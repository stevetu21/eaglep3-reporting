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Trips'!$A$2:$J$76</definedName>
    <definedName name="_xlnm._FilterDatabase" localSheetId="0" hidden="1">'Train Runs'!$A$12:$AG$267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4" i="1" l="1"/>
  <c r="L184" i="1"/>
  <c r="M184" i="1"/>
  <c r="N184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R31" i="3" s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S32" i="3" s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R17" i="3" s="1"/>
  <c r="AF30" i="1"/>
  <c r="AH30" i="1"/>
  <c r="AM30" i="1"/>
  <c r="AN30" i="1"/>
  <c r="K31" i="1"/>
  <c r="L31" i="1"/>
  <c r="M31" i="1"/>
  <c r="P31" i="1" s="1"/>
  <c r="V31" i="1"/>
  <c r="S22" i="3" s="1"/>
  <c r="Y31" i="1"/>
  <c r="Z31" i="1"/>
  <c r="AB31" i="1"/>
  <c r="AC31" i="1"/>
  <c r="AD31" i="1"/>
  <c r="T31" i="1" s="1"/>
  <c r="AE31" i="1"/>
  <c r="R33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24" i="3" s="1"/>
  <c r="Y36" i="1"/>
  <c r="Z36" i="1"/>
  <c r="AB36" i="1"/>
  <c r="AC36" i="1"/>
  <c r="AD36" i="1"/>
  <c r="AG36" i="1" s="1"/>
  <c r="AE36" i="1"/>
  <c r="R7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R14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R42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S19" i="3" s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R23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S8" i="3" s="1"/>
  <c r="Y64" i="1"/>
  <c r="Z64" i="1"/>
  <c r="AB64" i="1"/>
  <c r="AC64" i="1"/>
  <c r="AD64" i="1"/>
  <c r="T64" i="1" s="1"/>
  <c r="AE64" i="1"/>
  <c r="R8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S39" i="3" s="1"/>
  <c r="Y66" i="1"/>
  <c r="Z66" i="1"/>
  <c r="AB66" i="1"/>
  <c r="AC66" i="1"/>
  <c r="AD66" i="1"/>
  <c r="T66" i="1" s="1"/>
  <c r="AE66" i="1"/>
  <c r="R39" i="3" s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G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S26" i="3" s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R30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/>
  <c r="V92" i="1"/>
  <c r="Y92" i="1"/>
  <c r="AA92" i="1" s="1"/>
  <c r="Z92" i="1"/>
  <c r="AB92" i="1"/>
  <c r="AC92" i="1"/>
  <c r="AD92" i="1"/>
  <c r="T92" i="1" s="1"/>
  <c r="AE92" i="1"/>
  <c r="AF92" i="1"/>
  <c r="AH92" i="1"/>
  <c r="AM92" i="1"/>
  <c r="AN92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4" i="1"/>
  <c r="AM104" i="1"/>
  <c r="AN104" i="1"/>
  <c r="K168" i="1"/>
  <c r="L168" i="1"/>
  <c r="M168" i="1"/>
  <c r="N168" i="1"/>
  <c r="V168" i="1"/>
  <c r="Y168" i="1"/>
  <c r="Z168" i="1"/>
  <c r="AB168" i="1"/>
  <c r="AC168" i="1"/>
  <c r="AD168" i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6" i="1"/>
  <c r="AM116" i="1"/>
  <c r="AN11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8" i="1"/>
  <c r="AM118" i="1"/>
  <c r="AN118" i="1"/>
  <c r="K181" i="1"/>
  <c r="L181" i="1"/>
  <c r="M181" i="1"/>
  <c r="P181" i="1" s="1"/>
  <c r="V181" i="1"/>
  <c r="S45" i="3" s="1"/>
  <c r="Y181" i="1"/>
  <c r="Z181" i="1"/>
  <c r="AB181" i="1"/>
  <c r="AC181" i="1"/>
  <c r="AD181" i="1"/>
  <c r="T181" i="1" s="1"/>
  <c r="AE181" i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20" i="1"/>
  <c r="AM120" i="1"/>
  <c r="AN120" i="1"/>
  <c r="K183" i="1"/>
  <c r="L183" i="1"/>
  <c r="M183" i="1"/>
  <c r="P183" i="1" s="1"/>
  <c r="V183" i="1"/>
  <c r="Y183" i="1"/>
  <c r="Z183" i="1"/>
  <c r="AB183" i="1"/>
  <c r="AC183" i="1"/>
  <c r="AD183" i="1"/>
  <c r="AG183" i="1" s="1"/>
  <c r="AE183" i="1"/>
  <c r="AF183" i="1"/>
  <c r="AH121" i="1"/>
  <c r="AM121" i="1"/>
  <c r="AN121" i="1"/>
  <c r="V184" i="1"/>
  <c r="Y184" i="1"/>
  <c r="Z184" i="1"/>
  <c r="AB184" i="1"/>
  <c r="AC184" i="1"/>
  <c r="AD184" i="1"/>
  <c r="T184" i="1" s="1"/>
  <c r="AE184" i="1"/>
  <c r="AF184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4" i="1"/>
  <c r="AM124" i="1"/>
  <c r="AN124" i="1"/>
  <c r="K95" i="1"/>
  <c r="L95" i="1"/>
  <c r="M95" i="1"/>
  <c r="N95" i="1" s="1"/>
  <c r="V95" i="1"/>
  <c r="S43" i="3" s="1"/>
  <c r="Y95" i="1"/>
  <c r="Z95" i="1"/>
  <c r="AB95" i="1"/>
  <c r="AC95" i="1"/>
  <c r="AD95" i="1"/>
  <c r="AG95" i="1" s="1"/>
  <c r="AE95" i="1"/>
  <c r="AF95" i="1"/>
  <c r="AH125" i="1"/>
  <c r="AM125" i="1"/>
  <c r="AN12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6" i="1"/>
  <c r="AM126" i="1"/>
  <c r="AN126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R46" i="3" s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9" i="1"/>
  <c r="AM129" i="1"/>
  <c r="AN12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0" i="1"/>
  <c r="AM130" i="1"/>
  <c r="AN13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1" i="1"/>
  <c r="AM131" i="1"/>
  <c r="AN131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2" i="1"/>
  <c r="AM132" i="1"/>
  <c r="AN132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3" i="1"/>
  <c r="AM133" i="1"/>
  <c r="AN133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4" i="1"/>
  <c r="AM134" i="1"/>
  <c r="AN13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5" i="1"/>
  <c r="AM135" i="1"/>
  <c r="AN135" i="1"/>
  <c r="K100" i="1"/>
  <c r="L100" i="1"/>
  <c r="M100" i="1"/>
  <c r="N100" i="1" s="1"/>
  <c r="V100" i="1"/>
  <c r="S40" i="3" s="1"/>
  <c r="Y100" i="1"/>
  <c r="Z100" i="1"/>
  <c r="AB100" i="1"/>
  <c r="AC100" i="1"/>
  <c r="AD100" i="1"/>
  <c r="T100" i="1" s="1"/>
  <c r="AE100" i="1"/>
  <c r="AF100" i="1"/>
  <c r="AH136" i="1"/>
  <c r="AM136" i="1"/>
  <c r="AN136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7" i="1"/>
  <c r="AM137" i="1"/>
  <c r="AN137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8" i="1"/>
  <c r="AM138" i="1"/>
  <c r="AN13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39" i="1"/>
  <c r="AM139" i="1"/>
  <c r="AN13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40" i="1"/>
  <c r="AM140" i="1"/>
  <c r="AN140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1" i="1"/>
  <c r="AM141" i="1"/>
  <c r="AN141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2" i="1"/>
  <c r="AM142" i="1"/>
  <c r="AN142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3" i="1"/>
  <c r="AM143" i="1"/>
  <c r="AN143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4" i="1"/>
  <c r="AM144" i="1"/>
  <c r="AN144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6" i="1"/>
  <c r="AM146" i="1"/>
  <c r="AN146" i="1"/>
  <c r="K109" i="1"/>
  <c r="L109" i="1"/>
  <c r="M109" i="1"/>
  <c r="N109" i="1" s="1"/>
  <c r="V109" i="1"/>
  <c r="S44" i="3" s="1"/>
  <c r="Y109" i="1"/>
  <c r="Z109" i="1"/>
  <c r="AB109" i="1"/>
  <c r="AC109" i="1"/>
  <c r="AD109" i="1"/>
  <c r="AE109" i="1"/>
  <c r="AF109" i="1"/>
  <c r="AH147" i="1"/>
  <c r="AM147" i="1"/>
  <c r="AN147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8" i="1"/>
  <c r="AM148" i="1"/>
  <c r="AN148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9" i="1"/>
  <c r="AM149" i="1"/>
  <c r="AN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0" i="1"/>
  <c r="AM150" i="1"/>
  <c r="AN150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51" i="1"/>
  <c r="AM151" i="1"/>
  <c r="AN151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2" i="1"/>
  <c r="AM152" i="1"/>
  <c r="AN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4" i="1"/>
  <c r="AM154" i="1"/>
  <c r="AN154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5" i="1"/>
  <c r="AM155" i="1"/>
  <c r="AN15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6" i="1"/>
  <c r="AM156" i="1"/>
  <c r="AN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7" i="1"/>
  <c r="AM157" i="1"/>
  <c r="AN157" i="1"/>
  <c r="K121" i="1"/>
  <c r="L121" i="1"/>
  <c r="M121" i="1"/>
  <c r="N121" i="1" s="1"/>
  <c r="V121" i="1"/>
  <c r="S13" i="3" s="1"/>
  <c r="Y121" i="1"/>
  <c r="Z121" i="1"/>
  <c r="AB121" i="1"/>
  <c r="AC121" i="1"/>
  <c r="AD121" i="1"/>
  <c r="AG121" i="1" s="1"/>
  <c r="AE121" i="1"/>
  <c r="AF121" i="1"/>
  <c r="AH158" i="1"/>
  <c r="AM158" i="1"/>
  <c r="AN158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59" i="1"/>
  <c r="AM159" i="1"/>
  <c r="AN159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0" i="1"/>
  <c r="AM160" i="1"/>
  <c r="AN160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1" i="1"/>
  <c r="AM161" i="1"/>
  <c r="AN161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2" i="1"/>
  <c r="AM162" i="1"/>
  <c r="AN162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3" i="1"/>
  <c r="AM163" i="1"/>
  <c r="AN163" i="1"/>
  <c r="K127" i="1"/>
  <c r="L127" i="1"/>
  <c r="M127" i="1"/>
  <c r="P127" i="1" s="1"/>
  <c r="V127" i="1"/>
  <c r="Y127" i="1"/>
  <c r="Z127" i="1"/>
  <c r="AB127" i="1"/>
  <c r="AC127" i="1"/>
  <c r="AD127" i="1"/>
  <c r="AE127" i="1"/>
  <c r="AF127" i="1"/>
  <c r="AH164" i="1"/>
  <c r="AM164" i="1"/>
  <c r="AN164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5" i="1"/>
  <c r="AM165" i="1"/>
  <c r="AN165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6" i="1"/>
  <c r="AM166" i="1"/>
  <c r="AN166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7" i="1"/>
  <c r="AM167" i="1"/>
  <c r="AN167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8" i="1"/>
  <c r="AM168" i="1"/>
  <c r="AN168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9" i="1"/>
  <c r="AM169" i="1"/>
  <c r="AN169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70" i="1"/>
  <c r="AM170" i="1"/>
  <c r="AN170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1" i="1"/>
  <c r="AM171" i="1"/>
  <c r="AN171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2" i="1"/>
  <c r="AM172" i="1"/>
  <c r="AN172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3" i="1"/>
  <c r="AM173" i="1"/>
  <c r="AN173" i="1"/>
  <c r="K137" i="1"/>
  <c r="L137" i="1"/>
  <c r="M137" i="1"/>
  <c r="N137" i="1" s="1"/>
  <c r="V137" i="1"/>
  <c r="S27" i="3" s="1"/>
  <c r="Y137" i="1"/>
  <c r="Z137" i="1"/>
  <c r="AB137" i="1"/>
  <c r="AC137" i="1"/>
  <c r="AD137" i="1"/>
  <c r="AG137" i="1" s="1"/>
  <c r="AE137" i="1"/>
  <c r="AF137" i="1"/>
  <c r="AH174" i="1"/>
  <c r="AM174" i="1"/>
  <c r="AN174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5" i="1"/>
  <c r="AM175" i="1"/>
  <c r="AN175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6" i="1"/>
  <c r="AM176" i="1"/>
  <c r="AN176" i="1"/>
  <c r="K140" i="1"/>
  <c r="L140" i="1"/>
  <c r="M140" i="1"/>
  <c r="N140" i="1" s="1"/>
  <c r="V140" i="1"/>
  <c r="S12" i="3" s="1"/>
  <c r="Y140" i="1"/>
  <c r="Z140" i="1"/>
  <c r="AB140" i="1"/>
  <c r="AC140" i="1"/>
  <c r="AD140" i="1"/>
  <c r="AE140" i="1"/>
  <c r="AF140" i="1"/>
  <c r="AH177" i="1"/>
  <c r="AM177" i="1"/>
  <c r="AN177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8" i="1"/>
  <c r="AM178" i="1"/>
  <c r="AN178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9" i="1"/>
  <c r="AM179" i="1"/>
  <c r="AN179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0" i="1"/>
  <c r="AM180" i="1"/>
  <c r="AN180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1" i="1"/>
  <c r="AM181" i="1"/>
  <c r="AN181" i="1"/>
  <c r="K145" i="1"/>
  <c r="L145" i="1"/>
  <c r="M145" i="1"/>
  <c r="N145" i="1" s="1"/>
  <c r="V145" i="1"/>
  <c r="S28" i="3" s="1"/>
  <c r="Y145" i="1"/>
  <c r="Z145" i="1"/>
  <c r="AB145" i="1"/>
  <c r="AC145" i="1"/>
  <c r="AD145" i="1"/>
  <c r="AG145" i="1" s="1"/>
  <c r="AE145" i="1"/>
  <c r="AF145" i="1"/>
  <c r="AH182" i="1"/>
  <c r="AM182" i="1"/>
  <c r="AN182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3" i="1"/>
  <c r="AM183" i="1"/>
  <c r="AN183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4" i="1"/>
  <c r="AM184" i="1"/>
  <c r="AN184" i="1"/>
  <c r="K148" i="1"/>
  <c r="L148" i="1"/>
  <c r="M148" i="1"/>
  <c r="N148" i="1" s="1"/>
  <c r="V148" i="1"/>
  <c r="S21" i="3" s="1"/>
  <c r="Y148" i="1"/>
  <c r="Z148" i="1"/>
  <c r="AB148" i="1"/>
  <c r="AC148" i="1"/>
  <c r="AD148" i="1"/>
  <c r="T148" i="1" s="1"/>
  <c r="AE148" i="1"/>
  <c r="AF148" i="1"/>
  <c r="AH185" i="1"/>
  <c r="AM185" i="1"/>
  <c r="AN185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6" i="1"/>
  <c r="AM186" i="1"/>
  <c r="AN186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7" i="1"/>
  <c r="AM187" i="1"/>
  <c r="AN187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8" i="1"/>
  <c r="AM188" i="1"/>
  <c r="AN188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9" i="1"/>
  <c r="AM189" i="1"/>
  <c r="AN189" i="1"/>
  <c r="K153" i="1"/>
  <c r="L153" i="1"/>
  <c r="M153" i="1"/>
  <c r="N153" i="1" s="1"/>
  <c r="V153" i="1"/>
  <c r="S10" i="3" s="1"/>
  <c r="Y153" i="1"/>
  <c r="Z153" i="1"/>
  <c r="AB153" i="1"/>
  <c r="AC153" i="1"/>
  <c r="AD153" i="1"/>
  <c r="AG153" i="1" s="1"/>
  <c r="AE153" i="1"/>
  <c r="AF153" i="1"/>
  <c r="AH190" i="1"/>
  <c r="AM190" i="1"/>
  <c r="AN190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1" i="1"/>
  <c r="AM191" i="1"/>
  <c r="AN191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92" i="1"/>
  <c r="AM192" i="1"/>
  <c r="AN192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3" i="1"/>
  <c r="AM193" i="1"/>
  <c r="AN193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K199" i="1"/>
  <c r="L199" i="1"/>
  <c r="M199" i="1"/>
  <c r="N199" i="1" s="1"/>
  <c r="V199" i="1"/>
  <c r="S54" i="3" s="1"/>
  <c r="Y199" i="1"/>
  <c r="Z199" i="1"/>
  <c r="AB199" i="1"/>
  <c r="AC199" i="1"/>
  <c r="AD199" i="1"/>
  <c r="T199" i="1" s="1"/>
  <c r="AE199" i="1"/>
  <c r="R54" i="3" s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S53" i="3" s="1"/>
  <c r="Y201" i="1"/>
  <c r="Z201" i="1"/>
  <c r="AB201" i="1"/>
  <c r="AC201" i="1"/>
  <c r="AD201" i="1"/>
  <c r="T201" i="1" s="1"/>
  <c r="AE201" i="1"/>
  <c r="R53" i="3" s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K209" i="1"/>
  <c r="L209" i="1"/>
  <c r="M209" i="1"/>
  <c r="N209" i="1" s="1"/>
  <c r="V209" i="1"/>
  <c r="S51" i="3" s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R55" i="3" s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S49" i="3" s="1"/>
  <c r="Y216" i="1"/>
  <c r="Z216" i="1"/>
  <c r="AB216" i="1"/>
  <c r="AC216" i="1"/>
  <c r="AD216" i="1"/>
  <c r="T216" i="1" s="1"/>
  <c r="AE216" i="1"/>
  <c r="R50" i="3" s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R56" i="3" s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2" i="1"/>
  <c r="AM222" i="1"/>
  <c r="AN222" i="1"/>
  <c r="M54" i="3"/>
  <c r="U54" i="3"/>
  <c r="T54" i="3" s="1"/>
  <c r="V54" i="3"/>
  <c r="W54" i="3"/>
  <c r="X54" i="3"/>
  <c r="M53" i="3"/>
  <c r="U53" i="3"/>
  <c r="T53" i="3" s="1"/>
  <c r="V53" i="3"/>
  <c r="W53" i="3"/>
  <c r="X53" i="3"/>
  <c r="M31" i="3"/>
  <c r="S31" i="3"/>
  <c r="U31" i="3"/>
  <c r="AC31" i="3" s="1"/>
  <c r="V31" i="3"/>
  <c r="W31" i="3"/>
  <c r="X31" i="3"/>
  <c r="M32" i="3"/>
  <c r="R32" i="3"/>
  <c r="U32" i="3"/>
  <c r="AC32" i="3" s="1"/>
  <c r="V32" i="3"/>
  <c r="W32" i="3"/>
  <c r="X32" i="3"/>
  <c r="M22" i="3"/>
  <c r="R22" i="3"/>
  <c r="U22" i="3"/>
  <c r="V22" i="3"/>
  <c r="W22" i="3"/>
  <c r="X22" i="3"/>
  <c r="AC22" i="3"/>
  <c r="M33" i="3"/>
  <c r="U33" i="3"/>
  <c r="AC33" i="3" s="1"/>
  <c r="V33" i="3"/>
  <c r="W33" i="3"/>
  <c r="X33" i="3"/>
  <c r="M17" i="3"/>
  <c r="S17" i="3"/>
  <c r="U17" i="3"/>
  <c r="AC17" i="3" s="1"/>
  <c r="V17" i="3"/>
  <c r="W17" i="3"/>
  <c r="X17" i="3"/>
  <c r="M24" i="3"/>
  <c r="U24" i="3"/>
  <c r="AC24" i="3" s="1"/>
  <c r="V24" i="3"/>
  <c r="W24" i="3"/>
  <c r="X24" i="3"/>
  <c r="M7" i="3"/>
  <c r="U7" i="3"/>
  <c r="T7" i="3" s="1"/>
  <c r="V7" i="3"/>
  <c r="W7" i="3"/>
  <c r="X7" i="3"/>
  <c r="AC7" i="3"/>
  <c r="M34" i="3"/>
  <c r="S34" i="3"/>
  <c r="U34" i="3"/>
  <c r="AC34" i="3" s="1"/>
  <c r="V34" i="3"/>
  <c r="W34" i="3"/>
  <c r="X34" i="3"/>
  <c r="M15" i="3"/>
  <c r="R15" i="3"/>
  <c r="S15" i="3"/>
  <c r="U15" i="3"/>
  <c r="AC15" i="3" s="1"/>
  <c r="V15" i="3"/>
  <c r="W15" i="3"/>
  <c r="X15" i="3"/>
  <c r="M35" i="3"/>
  <c r="R35" i="3"/>
  <c r="S35" i="3"/>
  <c r="U35" i="3"/>
  <c r="AC35" i="3" s="1"/>
  <c r="V35" i="3"/>
  <c r="W35" i="3"/>
  <c r="X35" i="3"/>
  <c r="M14" i="3"/>
  <c r="S14" i="3"/>
  <c r="U14" i="3"/>
  <c r="T14" i="3" s="1"/>
  <c r="V14" i="3"/>
  <c r="W14" i="3"/>
  <c r="X14" i="3"/>
  <c r="AC14" i="3"/>
  <c r="M25" i="3"/>
  <c r="R25" i="3"/>
  <c r="S25" i="3"/>
  <c r="U25" i="3"/>
  <c r="V25" i="3"/>
  <c r="W25" i="3"/>
  <c r="X25" i="3"/>
  <c r="M42" i="3"/>
  <c r="S42" i="3"/>
  <c r="U42" i="3"/>
  <c r="AC42" i="3" s="1"/>
  <c r="V42" i="3"/>
  <c r="W42" i="3"/>
  <c r="X42" i="3"/>
  <c r="M23" i="3"/>
  <c r="S23" i="3"/>
  <c r="U23" i="3"/>
  <c r="AC23" i="3" s="1"/>
  <c r="V23" i="3"/>
  <c r="W23" i="3"/>
  <c r="X23" i="3"/>
  <c r="M19" i="3"/>
  <c r="R19" i="3"/>
  <c r="U19" i="3"/>
  <c r="V19" i="3"/>
  <c r="W19" i="3"/>
  <c r="X19" i="3"/>
  <c r="AC19" i="3"/>
  <c r="M36" i="3"/>
  <c r="R36" i="3"/>
  <c r="U36" i="3"/>
  <c r="V36" i="3"/>
  <c r="W36" i="3"/>
  <c r="X36" i="3"/>
  <c r="M9" i="3"/>
  <c r="U9" i="3"/>
  <c r="AC9" i="3" s="1"/>
  <c r="V9" i="3"/>
  <c r="W9" i="3"/>
  <c r="X9" i="3"/>
  <c r="M8" i="3"/>
  <c r="U8" i="3"/>
  <c r="AC8" i="3" s="1"/>
  <c r="V8" i="3"/>
  <c r="W8" i="3"/>
  <c r="X8" i="3"/>
  <c r="M49" i="3"/>
  <c r="U49" i="3"/>
  <c r="AD49" i="3" s="1"/>
  <c r="V49" i="3"/>
  <c r="W49" i="3"/>
  <c r="X49" i="3"/>
  <c r="AC49" i="3"/>
  <c r="M50" i="3"/>
  <c r="U50" i="3"/>
  <c r="V50" i="3"/>
  <c r="W50" i="3"/>
  <c r="X50" i="3"/>
  <c r="AC50" i="3"/>
  <c r="M37" i="3"/>
  <c r="R37" i="3"/>
  <c r="U37" i="3"/>
  <c r="AC37" i="3" s="1"/>
  <c r="V37" i="3"/>
  <c r="W37" i="3"/>
  <c r="X37" i="3"/>
  <c r="M38" i="3"/>
  <c r="R38" i="3"/>
  <c r="U38" i="3"/>
  <c r="AC38" i="3" s="1"/>
  <c r="V38" i="3"/>
  <c r="W38" i="3"/>
  <c r="X38" i="3"/>
  <c r="M39" i="3"/>
  <c r="U39" i="3"/>
  <c r="T39" i="3" s="1"/>
  <c r="V39" i="3"/>
  <c r="W39" i="3"/>
  <c r="X39" i="3"/>
  <c r="AC39" i="3"/>
  <c r="M47" i="3"/>
  <c r="R47" i="3"/>
  <c r="S47" i="3"/>
  <c r="U47" i="3"/>
  <c r="V47" i="3"/>
  <c r="W47" i="3"/>
  <c r="X47" i="3"/>
  <c r="M26" i="3"/>
  <c r="R26" i="3"/>
  <c r="U26" i="3"/>
  <c r="AC26" i="3" s="1"/>
  <c r="V26" i="3"/>
  <c r="W26" i="3"/>
  <c r="X26" i="3"/>
  <c r="M30" i="3"/>
  <c r="S30" i="3"/>
  <c r="U30" i="3"/>
  <c r="T30" i="3" s="1"/>
  <c r="V30" i="3"/>
  <c r="W30" i="3"/>
  <c r="X30" i="3"/>
  <c r="AC30" i="3"/>
  <c r="M29" i="3"/>
  <c r="R29" i="3"/>
  <c r="S29" i="3"/>
  <c r="U29" i="3"/>
  <c r="V29" i="3"/>
  <c r="W29" i="3"/>
  <c r="X29" i="3"/>
  <c r="AC29" i="3"/>
  <c r="M43" i="3"/>
  <c r="R43" i="3"/>
  <c r="U43" i="3"/>
  <c r="AC43" i="3" s="1"/>
  <c r="V43" i="3"/>
  <c r="W43" i="3"/>
  <c r="X43" i="3"/>
  <c r="M40" i="3"/>
  <c r="R40" i="3"/>
  <c r="U40" i="3"/>
  <c r="AC40" i="3" s="1"/>
  <c r="V40" i="3"/>
  <c r="W40" i="3"/>
  <c r="X40" i="3"/>
  <c r="M44" i="3"/>
  <c r="R44" i="3"/>
  <c r="U44" i="3"/>
  <c r="V44" i="3"/>
  <c r="W44" i="3"/>
  <c r="X44" i="3"/>
  <c r="AC44" i="3"/>
  <c r="M20" i="3"/>
  <c r="R20" i="3"/>
  <c r="S20" i="3"/>
  <c r="U20" i="3"/>
  <c r="V20" i="3"/>
  <c r="W20" i="3"/>
  <c r="X20" i="3"/>
  <c r="M13" i="3"/>
  <c r="R13" i="3"/>
  <c r="U13" i="3"/>
  <c r="AC13" i="3" s="1"/>
  <c r="V13" i="3"/>
  <c r="W13" i="3"/>
  <c r="X13" i="3"/>
  <c r="M45" i="3"/>
  <c r="R45" i="3"/>
  <c r="U45" i="3"/>
  <c r="AC45" i="3" s="1"/>
  <c r="V45" i="3"/>
  <c r="W45" i="3"/>
  <c r="X45" i="3"/>
  <c r="M51" i="3"/>
  <c r="U51" i="3"/>
  <c r="AC51" i="3" s="1"/>
  <c r="V51" i="3"/>
  <c r="W51" i="3"/>
  <c r="X51" i="3"/>
  <c r="M55" i="3"/>
  <c r="U55" i="3"/>
  <c r="AC55" i="3" s="1"/>
  <c r="V55" i="3"/>
  <c r="W55" i="3"/>
  <c r="X55" i="3"/>
  <c r="M56" i="3"/>
  <c r="S56" i="3"/>
  <c r="U56" i="3"/>
  <c r="T56" i="3" s="1"/>
  <c r="V56" i="3"/>
  <c r="W56" i="3"/>
  <c r="X56" i="3"/>
  <c r="AC56" i="3"/>
  <c r="M48" i="3"/>
  <c r="U48" i="3"/>
  <c r="AD48" i="3" s="1"/>
  <c r="V48" i="3"/>
  <c r="W48" i="3"/>
  <c r="X48" i="3"/>
  <c r="M11" i="3"/>
  <c r="R11" i="3"/>
  <c r="S11" i="3"/>
  <c r="U11" i="3"/>
  <c r="AC11" i="3" s="1"/>
  <c r="V11" i="3"/>
  <c r="W11" i="3"/>
  <c r="X11" i="3"/>
  <c r="M16" i="3"/>
  <c r="R16" i="3"/>
  <c r="S16" i="3"/>
  <c r="U16" i="3"/>
  <c r="AC16" i="3" s="1"/>
  <c r="V16" i="3"/>
  <c r="W16" i="3"/>
  <c r="X16" i="3"/>
  <c r="M27" i="3"/>
  <c r="R27" i="3"/>
  <c r="U27" i="3"/>
  <c r="T27" i="3" s="1"/>
  <c r="V27" i="3"/>
  <c r="W27" i="3"/>
  <c r="X27" i="3"/>
  <c r="AC27" i="3"/>
  <c r="M46" i="3"/>
  <c r="S46" i="3"/>
  <c r="U46" i="3"/>
  <c r="V46" i="3"/>
  <c r="W46" i="3"/>
  <c r="X46" i="3"/>
  <c r="M12" i="3"/>
  <c r="R12" i="3"/>
  <c r="U12" i="3"/>
  <c r="AC12" i="3" s="1"/>
  <c r="V12" i="3"/>
  <c r="W12" i="3"/>
  <c r="X12" i="3"/>
  <c r="M28" i="3"/>
  <c r="R28" i="3"/>
  <c r="U28" i="3"/>
  <c r="AC28" i="3" s="1"/>
  <c r="V28" i="3"/>
  <c r="W28" i="3"/>
  <c r="X28" i="3"/>
  <c r="M18" i="3"/>
  <c r="R18" i="3"/>
  <c r="S18" i="3"/>
  <c r="U18" i="3"/>
  <c r="AC18" i="3" s="1"/>
  <c r="V18" i="3"/>
  <c r="W18" i="3"/>
  <c r="X18" i="3"/>
  <c r="M41" i="3"/>
  <c r="R41" i="3"/>
  <c r="S41" i="3"/>
  <c r="U41" i="3"/>
  <c r="V41" i="3"/>
  <c r="W41" i="3"/>
  <c r="X41" i="3"/>
  <c r="M21" i="3"/>
  <c r="R21" i="3"/>
  <c r="U21" i="3"/>
  <c r="AC21" i="3" s="1"/>
  <c r="V21" i="3"/>
  <c r="W21" i="3"/>
  <c r="X21" i="3"/>
  <c r="M10" i="3"/>
  <c r="R10" i="3"/>
  <c r="U10" i="3"/>
  <c r="AC10" i="3" s="1"/>
  <c r="V10" i="3"/>
  <c r="W10" i="3"/>
  <c r="X10" i="3"/>
  <c r="AD56" i="3"/>
  <c r="Y56" i="3" l="1"/>
  <c r="AE45" i="3"/>
  <c r="AE31" i="3"/>
  <c r="Y36" i="3"/>
  <c r="AC53" i="3"/>
  <c r="AD38" i="3"/>
  <c r="Y25" i="3"/>
  <c r="Y14" i="3"/>
  <c r="AD53" i="3"/>
  <c r="Y13" i="3"/>
  <c r="AD35" i="3"/>
  <c r="Y31" i="3"/>
  <c r="S48" i="3"/>
  <c r="AD43" i="3"/>
  <c r="AD40" i="3"/>
  <c r="AD39" i="3"/>
  <c r="AE43" i="3"/>
  <c r="AD36" i="3"/>
  <c r="R49" i="3"/>
  <c r="R9" i="3"/>
  <c r="AA211" i="1"/>
  <c r="X158" i="1"/>
  <c r="X81" i="1"/>
  <c r="X73" i="1"/>
  <c r="R51" i="3"/>
  <c r="S36" i="3"/>
  <c r="S7" i="3"/>
  <c r="AA82" i="1"/>
  <c r="X57" i="1"/>
  <c r="AA47" i="1"/>
  <c r="AG213" i="1"/>
  <c r="R24" i="3"/>
  <c r="AG142" i="1"/>
  <c r="AG118" i="1"/>
  <c r="U118" i="1" s="1"/>
  <c r="S118" i="1" s="1"/>
  <c r="X118" i="1"/>
  <c r="X162" i="1"/>
  <c r="AG25" i="1"/>
  <c r="AI25" i="1" s="1"/>
  <c r="S9" i="3"/>
  <c r="X216" i="1"/>
  <c r="AG107" i="1"/>
  <c r="U107" i="1" s="1"/>
  <c r="S107" i="1" s="1"/>
  <c r="X107" i="1"/>
  <c r="AG106" i="1"/>
  <c r="Y48" i="3"/>
  <c r="AD34" i="3"/>
  <c r="S37" i="3"/>
  <c r="T15" i="3"/>
  <c r="S33" i="3"/>
  <c r="X221" i="1"/>
  <c r="AG199" i="1"/>
  <c r="AA193" i="1"/>
  <c r="AG138" i="1"/>
  <c r="X138" i="1"/>
  <c r="X134" i="1"/>
  <c r="AA126" i="1"/>
  <c r="AA122" i="1"/>
  <c r="AD54" i="3"/>
  <c r="Y12" i="3"/>
  <c r="S38" i="3"/>
  <c r="Y37" i="3"/>
  <c r="Y15" i="3"/>
  <c r="R34" i="3"/>
  <c r="AG197" i="1"/>
  <c r="U197" i="1" s="1"/>
  <c r="S197" i="1" s="1"/>
  <c r="AA146" i="1"/>
  <c r="AG187" i="1"/>
  <c r="AI187" i="1" s="1"/>
  <c r="AA173" i="1"/>
  <c r="AG162" i="1"/>
  <c r="AA85" i="1"/>
  <c r="AG57" i="1"/>
  <c r="U57" i="1" s="1"/>
  <c r="AG47" i="1"/>
  <c r="AA33" i="1"/>
  <c r="T28" i="1"/>
  <c r="AD27" i="3"/>
  <c r="AD42" i="3"/>
  <c r="T40" i="3"/>
  <c r="T49" i="3"/>
  <c r="AA221" i="1"/>
  <c r="AA217" i="1"/>
  <c r="AG195" i="1"/>
  <c r="U195" i="1" s="1"/>
  <c r="S195" i="1" s="1"/>
  <c r="X159" i="1"/>
  <c r="Y27" i="3"/>
  <c r="T55" i="3"/>
  <c r="T38" i="3"/>
  <c r="AD29" i="3"/>
  <c r="AE19" i="3"/>
  <c r="Y42" i="3"/>
  <c r="Y17" i="3"/>
  <c r="Y54" i="3"/>
  <c r="T203" i="1"/>
  <c r="U203" i="1" s="1"/>
  <c r="S203" i="1" s="1"/>
  <c r="AA133" i="1"/>
  <c r="AA113" i="1"/>
  <c r="W113" i="1" s="1"/>
  <c r="AG208" i="1"/>
  <c r="U208" i="1" s="1"/>
  <c r="S208" i="1" s="1"/>
  <c r="AA187" i="1"/>
  <c r="W187" i="1" s="1"/>
  <c r="T178" i="1"/>
  <c r="AA174" i="1"/>
  <c r="W174" i="1" s="1"/>
  <c r="AA93" i="1"/>
  <c r="AA159" i="1"/>
  <c r="AA89" i="1"/>
  <c r="AA74" i="1"/>
  <c r="AG72" i="1"/>
  <c r="AA49" i="1"/>
  <c r="AG43" i="1"/>
  <c r="X30" i="1"/>
  <c r="AG29" i="1"/>
  <c r="AI29" i="1" s="1"/>
  <c r="AA15" i="1"/>
  <c r="X154" i="1"/>
  <c r="AA154" i="1"/>
  <c r="Y46" i="3"/>
  <c r="S55" i="3"/>
  <c r="AI142" i="1"/>
  <c r="AA106" i="1"/>
  <c r="W106" i="1" s="1"/>
  <c r="AI178" i="1"/>
  <c r="X89" i="1"/>
  <c r="T73" i="1"/>
  <c r="W47" i="1"/>
  <c r="X161" i="1"/>
  <c r="X157" i="1"/>
  <c r="AA136" i="1"/>
  <c r="AA116" i="1"/>
  <c r="AA183" i="1"/>
  <c r="W183" i="1" s="1"/>
  <c r="AA94" i="1"/>
  <c r="W94" i="1" s="1"/>
  <c r="AA175" i="1"/>
  <c r="AG171" i="1"/>
  <c r="U171" i="1" s="1"/>
  <c r="S171" i="1" s="1"/>
  <c r="AA167" i="1"/>
  <c r="AA160" i="1"/>
  <c r="AG90" i="1"/>
  <c r="X90" i="1"/>
  <c r="AA73" i="1"/>
  <c r="AA60" i="1"/>
  <c r="AA32" i="1"/>
  <c r="AA25" i="1"/>
  <c r="W25" i="1" s="1"/>
  <c r="AA21" i="1"/>
  <c r="X20" i="1"/>
  <c r="AA14" i="1"/>
  <c r="X160" i="1"/>
  <c r="X156" i="1"/>
  <c r="W85" i="1"/>
  <c r="Y41" i="3"/>
  <c r="AD50" i="3"/>
  <c r="AE49" i="3"/>
  <c r="AD45" i="3"/>
  <c r="Y29" i="3"/>
  <c r="Y47" i="3"/>
  <c r="Y38" i="3"/>
  <c r="S50" i="3"/>
  <c r="Y9" i="3"/>
  <c r="T24" i="3"/>
  <c r="Y32" i="3"/>
  <c r="Y53" i="3"/>
  <c r="AG219" i="1"/>
  <c r="U219" i="1" s="1"/>
  <c r="S219" i="1" s="1"/>
  <c r="AG211" i="1"/>
  <c r="U211" i="1" s="1"/>
  <c r="S211" i="1" s="1"/>
  <c r="AA205" i="1"/>
  <c r="AG201" i="1"/>
  <c r="U201" i="1" s="1"/>
  <c r="S201" i="1" s="1"/>
  <c r="AG152" i="1"/>
  <c r="AA150" i="1"/>
  <c r="AA144" i="1"/>
  <c r="AA141" i="1"/>
  <c r="W141" i="1" s="1"/>
  <c r="T134" i="1"/>
  <c r="AA132" i="1"/>
  <c r="AA128" i="1"/>
  <c r="X121" i="1"/>
  <c r="AG114" i="1"/>
  <c r="X114" i="1"/>
  <c r="AA108" i="1"/>
  <c r="W108" i="1" s="1"/>
  <c r="AG96" i="1"/>
  <c r="U96" i="1" s="1"/>
  <c r="S96" i="1" s="1"/>
  <c r="T182" i="1"/>
  <c r="AA164" i="1"/>
  <c r="AA157" i="1"/>
  <c r="W157" i="1" s="1"/>
  <c r="AA88" i="1"/>
  <c r="AA80" i="1"/>
  <c r="AA76" i="1"/>
  <c r="W76" i="1" s="1"/>
  <c r="AA69" i="1"/>
  <c r="AA64" i="1"/>
  <c r="AA62" i="1"/>
  <c r="AG58" i="1"/>
  <c r="X50" i="1"/>
  <c r="T41" i="1"/>
  <c r="U41" i="1" s="1"/>
  <c r="S41" i="1" s="1"/>
  <c r="AG33" i="1"/>
  <c r="AI33" i="1" s="1"/>
  <c r="Y21" i="3"/>
  <c r="Y51" i="3"/>
  <c r="Y45" i="3"/>
  <c r="Y26" i="3"/>
  <c r="AE38" i="3"/>
  <c r="AD24" i="3"/>
  <c r="Y24" i="3"/>
  <c r="X152" i="1"/>
  <c r="AA149" i="1"/>
  <c r="W149" i="1" s="1"/>
  <c r="AI183" i="1"/>
  <c r="AI174" i="1"/>
  <c r="X122" i="1"/>
  <c r="T177" i="1"/>
  <c r="AA165" i="1"/>
  <c r="X86" i="1"/>
  <c r="AI68" i="1"/>
  <c r="AI47" i="1"/>
  <c r="AA24" i="1"/>
  <c r="AA20" i="1"/>
  <c r="W20" i="1" s="1"/>
  <c r="AE35" i="3"/>
  <c r="AE24" i="3"/>
  <c r="AA219" i="1"/>
  <c r="W219" i="1" s="1"/>
  <c r="X137" i="1"/>
  <c r="AG134" i="1"/>
  <c r="AA131" i="1"/>
  <c r="AA121" i="1"/>
  <c r="W121" i="1" s="1"/>
  <c r="AA120" i="1"/>
  <c r="AG110" i="1"/>
  <c r="AG104" i="1"/>
  <c r="U104" i="1" s="1"/>
  <c r="S104" i="1" s="1"/>
  <c r="X192" i="1"/>
  <c r="AA186" i="1"/>
  <c r="W186" i="1" s="1"/>
  <c r="AA180" i="1"/>
  <c r="AA177" i="1"/>
  <c r="T174" i="1"/>
  <c r="AG69" i="1"/>
  <c r="W69" i="1" s="1"/>
  <c r="AG66" i="1"/>
  <c r="AA63" i="1"/>
  <c r="AG45" i="1"/>
  <c r="U45" i="1" s="1"/>
  <c r="AG37" i="1"/>
  <c r="AI37" i="1" s="1"/>
  <c r="AA35" i="1"/>
  <c r="AA16" i="1"/>
  <c r="AI219" i="1"/>
  <c r="AA216" i="1"/>
  <c r="AA215" i="1"/>
  <c r="AG209" i="1"/>
  <c r="X203" i="1"/>
  <c r="AA201" i="1"/>
  <c r="X199" i="1"/>
  <c r="AA197" i="1"/>
  <c r="AG156" i="1"/>
  <c r="U156" i="1" s="1"/>
  <c r="S156" i="1" s="1"/>
  <c r="AG150" i="1"/>
  <c r="U150" i="1" s="1"/>
  <c r="S150" i="1" s="1"/>
  <c r="AA148" i="1"/>
  <c r="AG146" i="1"/>
  <c r="U146" i="1" s="1"/>
  <c r="S146" i="1" s="1"/>
  <c r="AA137" i="1"/>
  <c r="W137" i="1" s="1"/>
  <c r="AA135" i="1"/>
  <c r="AG130" i="1"/>
  <c r="AI130" i="1" s="1"/>
  <c r="X130" i="1"/>
  <c r="X125" i="1"/>
  <c r="AA119" i="1"/>
  <c r="AA117" i="1"/>
  <c r="W117" i="1" s="1"/>
  <c r="X113" i="1"/>
  <c r="AA110" i="1"/>
  <c r="W110" i="1" s="1"/>
  <c r="AI108" i="1"/>
  <c r="AA208" i="1"/>
  <c r="AA102" i="1"/>
  <c r="AG100" i="1"/>
  <c r="U100" i="1" s="1"/>
  <c r="S100" i="1" s="1"/>
  <c r="AA96" i="1"/>
  <c r="AG189" i="1"/>
  <c r="AI189" i="1" s="1"/>
  <c r="X174" i="1"/>
  <c r="AG169" i="1"/>
  <c r="U169" i="1" s="1"/>
  <c r="S169" i="1" s="1"/>
  <c r="AG166" i="1"/>
  <c r="U166" i="1" s="1"/>
  <c r="S166" i="1" s="1"/>
  <c r="X166" i="1"/>
  <c r="AA87" i="1"/>
  <c r="AA83" i="1"/>
  <c r="T81" i="1"/>
  <c r="U81" i="1" s="1"/>
  <c r="S81" i="1" s="1"/>
  <c r="T80" i="1"/>
  <c r="U80" i="1" s="1"/>
  <c r="S80" i="1" s="1"/>
  <c r="AA79" i="1"/>
  <c r="AA72" i="1"/>
  <c r="W72" i="1" s="1"/>
  <c r="AG70" i="1"/>
  <c r="AI70" i="1" s="1"/>
  <c r="AG65" i="1"/>
  <c r="U65" i="1" s="1"/>
  <c r="AG60" i="1"/>
  <c r="AI60" i="1" s="1"/>
  <c r="X60" i="1"/>
  <c r="AA56" i="1"/>
  <c r="X53" i="1"/>
  <c r="AG51" i="1"/>
  <c r="U51" i="1" s="1"/>
  <c r="S51" i="1" s="1"/>
  <c r="T50" i="1"/>
  <c r="AA43" i="1"/>
  <c r="W43" i="1" s="1"/>
  <c r="AA37" i="1"/>
  <c r="AG31" i="1"/>
  <c r="AA28" i="1"/>
  <c r="W28" i="1" s="1"/>
  <c r="AA27" i="1"/>
  <c r="W27" i="1" s="1"/>
  <c r="AA19" i="1"/>
  <c r="X18" i="1"/>
  <c r="X213" i="1"/>
  <c r="X209" i="1"/>
  <c r="X195" i="1"/>
  <c r="AA145" i="1"/>
  <c r="AA143" i="1"/>
  <c r="AI138" i="1"/>
  <c r="AI134" i="1"/>
  <c r="AA129" i="1"/>
  <c r="W129" i="1" s="1"/>
  <c r="X126" i="1"/>
  <c r="AA124" i="1"/>
  <c r="AI118" i="1"/>
  <c r="AI110" i="1"/>
  <c r="AA105" i="1"/>
  <c r="W105" i="1" s="1"/>
  <c r="AA104" i="1"/>
  <c r="AA207" i="1"/>
  <c r="AA99" i="1"/>
  <c r="AA98" i="1"/>
  <c r="AA192" i="1"/>
  <c r="AA191" i="1"/>
  <c r="AG180" i="1"/>
  <c r="U180" i="1" s="1"/>
  <c r="S180" i="1" s="1"/>
  <c r="AA178" i="1"/>
  <c r="W178" i="1" s="1"/>
  <c r="AA176" i="1"/>
  <c r="W176" i="1" s="1"/>
  <c r="X175" i="1"/>
  <c r="AA171" i="1"/>
  <c r="AA163" i="1"/>
  <c r="AA161" i="1"/>
  <c r="W161" i="1" s="1"/>
  <c r="T158" i="1"/>
  <c r="W89" i="1"/>
  <c r="T86" i="1"/>
  <c r="U86" i="1" s="1"/>
  <c r="S86" i="1" s="1"/>
  <c r="X77" i="1"/>
  <c r="U72" i="1"/>
  <c r="S72" i="1" s="1"/>
  <c r="W68" i="1"/>
  <c r="AA54" i="1"/>
  <c r="AA50" i="1"/>
  <c r="AA46" i="1"/>
  <c r="T44" i="1"/>
  <c r="T40" i="1"/>
  <c r="U40" i="1" s="1"/>
  <c r="S40" i="1" s="1"/>
  <c r="X22" i="1"/>
  <c r="AA214" i="1"/>
  <c r="W214" i="1" s="1"/>
  <c r="AG205" i="1"/>
  <c r="AG193" i="1"/>
  <c r="U193" i="1" s="1"/>
  <c r="S193" i="1" s="1"/>
  <c r="AG154" i="1"/>
  <c r="U154" i="1" s="1"/>
  <c r="S154" i="1" s="1"/>
  <c r="X133" i="1"/>
  <c r="AA125" i="1"/>
  <c r="W125" i="1" s="1"/>
  <c r="AA115" i="1"/>
  <c r="AA112" i="1"/>
  <c r="AA101" i="1"/>
  <c r="W101" i="1" s="1"/>
  <c r="AA181" i="1"/>
  <c r="AA84" i="1"/>
  <c r="AG81" i="1"/>
  <c r="AI81" i="1" s="1"/>
  <c r="AA78" i="1"/>
  <c r="T76" i="1"/>
  <c r="AA75" i="1"/>
  <c r="AA71" i="1"/>
  <c r="AA70" i="1"/>
  <c r="AA65" i="1"/>
  <c r="W65" i="1" s="1"/>
  <c r="AA55" i="1"/>
  <c r="AA52" i="1"/>
  <c r="W52" i="1" s="1"/>
  <c r="AA44" i="1"/>
  <c r="W44" i="1" s="1"/>
  <c r="AA40" i="1"/>
  <c r="AA39" i="1"/>
  <c r="U33" i="1"/>
  <c r="S33" i="1" s="1"/>
  <c r="X17" i="1"/>
  <c r="AA17" i="1"/>
  <c r="U209" i="1"/>
  <c r="S209" i="1" s="1"/>
  <c r="U199" i="1"/>
  <c r="S199" i="1" s="1"/>
  <c r="AI199" i="1"/>
  <c r="T129" i="1"/>
  <c r="U129" i="1" s="1"/>
  <c r="S129" i="1" s="1"/>
  <c r="T122" i="1"/>
  <c r="U106" i="1"/>
  <c r="S106" i="1" s="1"/>
  <c r="U76" i="1"/>
  <c r="S76" i="1" s="1"/>
  <c r="AI76" i="1"/>
  <c r="AI197" i="1"/>
  <c r="U152" i="1"/>
  <c r="R48" i="3"/>
  <c r="AA222" i="1"/>
  <c r="T221" i="1"/>
  <c r="AA220" i="1"/>
  <c r="T220" i="1"/>
  <c r="AG217" i="1"/>
  <c r="U217" i="1" s="1"/>
  <c r="AA213" i="1"/>
  <c r="W213" i="1" s="1"/>
  <c r="X212" i="1"/>
  <c r="AA210" i="1"/>
  <c r="W210" i="1" s="1"/>
  <c r="AA206" i="1"/>
  <c r="T206" i="1"/>
  <c r="AA203" i="1"/>
  <c r="W203" i="1" s="1"/>
  <c r="X202" i="1"/>
  <c r="AA200" i="1"/>
  <c r="AA198" i="1"/>
  <c r="T198" i="1"/>
  <c r="AA195" i="1"/>
  <c r="W195" i="1" s="1"/>
  <c r="X194" i="1"/>
  <c r="AA155" i="1"/>
  <c r="T155" i="1"/>
  <c r="X153" i="1"/>
  <c r="AA151" i="1"/>
  <c r="T151" i="1"/>
  <c r="X147" i="1"/>
  <c r="AG144" i="1"/>
  <c r="AI144" i="1" s="1"/>
  <c r="AA140" i="1"/>
  <c r="AA138" i="1"/>
  <c r="W138" i="1" s="1"/>
  <c r="AA134" i="1"/>
  <c r="T133" i="1"/>
  <c r="AA127" i="1"/>
  <c r="T126" i="1"/>
  <c r="U126" i="1" s="1"/>
  <c r="S126" i="1" s="1"/>
  <c r="AG122" i="1"/>
  <c r="W122" i="1" s="1"/>
  <c r="T121" i="1"/>
  <c r="U121" i="1" s="1"/>
  <c r="S121" i="1" s="1"/>
  <c r="X117" i="1"/>
  <c r="AA114" i="1"/>
  <c r="W114" i="1" s="1"/>
  <c r="T113" i="1"/>
  <c r="U110" i="1"/>
  <c r="S110" i="1" s="1"/>
  <c r="AA107" i="1"/>
  <c r="X106" i="1"/>
  <c r="AG98" i="1"/>
  <c r="U98" i="1" s="1"/>
  <c r="S98" i="1" s="1"/>
  <c r="AA190" i="1"/>
  <c r="W190" i="1" s="1"/>
  <c r="AA189" i="1"/>
  <c r="T186" i="1"/>
  <c r="U186" i="1" s="1"/>
  <c r="S186" i="1" s="1"/>
  <c r="AA185" i="1"/>
  <c r="AG184" i="1"/>
  <c r="AI184" i="1" s="1"/>
  <c r="X182" i="1"/>
  <c r="X181" i="1"/>
  <c r="U178" i="1"/>
  <c r="AG172" i="1"/>
  <c r="X172" i="1"/>
  <c r="T172" i="1"/>
  <c r="U172" i="1" s="1"/>
  <c r="S172" i="1" s="1"/>
  <c r="AI41" i="1"/>
  <c r="U213" i="1"/>
  <c r="S213" i="1" s="1"/>
  <c r="AI209" i="1"/>
  <c r="T137" i="1"/>
  <c r="U137" i="1" s="1"/>
  <c r="S137" i="1" s="1"/>
  <c r="X129" i="1"/>
  <c r="T125" i="1"/>
  <c r="U125" i="1" s="1"/>
  <c r="S125" i="1" s="1"/>
  <c r="AI114" i="1"/>
  <c r="AA111" i="1"/>
  <c r="AA109" i="1"/>
  <c r="X105" i="1"/>
  <c r="AA103" i="1"/>
  <c r="X208" i="1"/>
  <c r="AG102" i="1"/>
  <c r="U102" i="1" s="1"/>
  <c r="S102" i="1" s="1"/>
  <c r="X100" i="1"/>
  <c r="X99" i="1"/>
  <c r="U189" i="1"/>
  <c r="S189" i="1" s="1"/>
  <c r="X186" i="1"/>
  <c r="AG168" i="1"/>
  <c r="X168" i="1"/>
  <c r="T168" i="1"/>
  <c r="AI80" i="1"/>
  <c r="AI27" i="1"/>
  <c r="AI203" i="1"/>
  <c r="AG221" i="1"/>
  <c r="W221" i="1" s="1"/>
  <c r="X220" i="1"/>
  <c r="AA218" i="1"/>
  <c r="W218" i="1" s="1"/>
  <c r="X217" i="1"/>
  <c r="AG215" i="1"/>
  <c r="AI215" i="1" s="1"/>
  <c r="AA212" i="1"/>
  <c r="T212" i="1"/>
  <c r="AA209" i="1"/>
  <c r="W209" i="1" s="1"/>
  <c r="X206" i="1"/>
  <c r="AA204" i="1"/>
  <c r="AA202" i="1"/>
  <c r="T202" i="1"/>
  <c r="AA199" i="1"/>
  <c r="W199" i="1" s="1"/>
  <c r="X198" i="1"/>
  <c r="AA196" i="1"/>
  <c r="W196" i="1" s="1"/>
  <c r="AA194" i="1"/>
  <c r="T194" i="1"/>
  <c r="AA156" i="1"/>
  <c r="AA153" i="1"/>
  <c r="W153" i="1" s="1"/>
  <c r="T153" i="1"/>
  <c r="AA152" i="1"/>
  <c r="W152" i="1" s="1"/>
  <c r="X151" i="1"/>
  <c r="AG148" i="1"/>
  <c r="U148" i="1" s="1"/>
  <c r="S148" i="1" s="1"/>
  <c r="AA147" i="1"/>
  <c r="W147" i="1" s="1"/>
  <c r="T147" i="1"/>
  <c r="U147" i="1" s="1"/>
  <c r="S147" i="1" s="1"/>
  <c r="AA142" i="1"/>
  <c r="W142" i="1" s="1"/>
  <c r="AA130" i="1"/>
  <c r="W130" i="1" s="1"/>
  <c r="AG126" i="1"/>
  <c r="AI126" i="1" s="1"/>
  <c r="AA123" i="1"/>
  <c r="AA118" i="1"/>
  <c r="T117" i="1"/>
  <c r="U117" i="1" s="1"/>
  <c r="S117" i="1" s="1"/>
  <c r="AI146" i="1"/>
  <c r="X207" i="1"/>
  <c r="T191" i="1"/>
  <c r="AG191" i="1"/>
  <c r="AI191" i="1" s="1"/>
  <c r="X189" i="1"/>
  <c r="T188" i="1"/>
  <c r="AA95" i="1"/>
  <c r="W95" i="1" s="1"/>
  <c r="X185" i="1"/>
  <c r="AA184" i="1"/>
  <c r="U182" i="1"/>
  <c r="S182" i="1" s="1"/>
  <c r="W175" i="1"/>
  <c r="AI106" i="1"/>
  <c r="T175" i="1"/>
  <c r="U175" i="1" s="1"/>
  <c r="S175" i="1" s="1"/>
  <c r="AG158" i="1"/>
  <c r="AG86" i="1"/>
  <c r="AI86" i="1" s="1"/>
  <c r="AG78" i="1"/>
  <c r="U78" i="1" s="1"/>
  <c r="S78" i="1" s="1"/>
  <c r="X76" i="1"/>
  <c r="AG73" i="1"/>
  <c r="U73" i="1" s="1"/>
  <c r="AI72" i="1"/>
  <c r="AG64" i="1"/>
  <c r="AG61" i="1"/>
  <c r="U61" i="1" s="1"/>
  <c r="X61" i="1"/>
  <c r="AG56" i="1"/>
  <c r="AG53" i="1"/>
  <c r="U53" i="1" s="1"/>
  <c r="AI52" i="1"/>
  <c r="AG49" i="1"/>
  <c r="X42" i="1"/>
  <c r="AA41" i="1"/>
  <c r="W41" i="1" s="1"/>
  <c r="AG39" i="1"/>
  <c r="X38" i="1"/>
  <c r="U31" i="1"/>
  <c r="S31" i="1" s="1"/>
  <c r="AA30" i="1"/>
  <c r="W30" i="1" s="1"/>
  <c r="T30" i="1"/>
  <c r="AA29" i="1"/>
  <c r="X28" i="1"/>
  <c r="U25" i="1"/>
  <c r="S25" i="1" s="1"/>
  <c r="AG23" i="1"/>
  <c r="U23" i="1" s="1"/>
  <c r="S23" i="1" s="1"/>
  <c r="AA22" i="1"/>
  <c r="W22" i="1" s="1"/>
  <c r="T22" i="1"/>
  <c r="U22" i="1" s="1"/>
  <c r="S22" i="1" s="1"/>
  <c r="AG21" i="1"/>
  <c r="AI21" i="1" s="1"/>
  <c r="T20" i="1"/>
  <c r="U20" i="1" s="1"/>
  <c r="S20" i="1" s="1"/>
  <c r="X16" i="1"/>
  <c r="AA100" i="1"/>
  <c r="AA97" i="1"/>
  <c r="W97" i="1" s="1"/>
  <c r="X96" i="1"/>
  <c r="AA188" i="1"/>
  <c r="AA182" i="1"/>
  <c r="W182" i="1" s="1"/>
  <c r="AA179" i="1"/>
  <c r="W179" i="1" s="1"/>
  <c r="X178" i="1"/>
  <c r="AG94" i="1"/>
  <c r="AG173" i="1"/>
  <c r="W173" i="1" s="1"/>
  <c r="AA172" i="1"/>
  <c r="X170" i="1"/>
  <c r="AA168" i="1"/>
  <c r="X165" i="1"/>
  <c r="AA162" i="1"/>
  <c r="T161" i="1"/>
  <c r="U161" i="1" s="1"/>
  <c r="S161" i="1" s="1"/>
  <c r="AA90" i="1"/>
  <c r="W90" i="1" s="1"/>
  <c r="T89" i="1"/>
  <c r="X85" i="1"/>
  <c r="X83" i="1"/>
  <c r="AA77" i="1"/>
  <c r="T77" i="1"/>
  <c r="AG74" i="1"/>
  <c r="AI74" i="1" s="1"/>
  <c r="X72" i="1"/>
  <c r="X69" i="1"/>
  <c r="AA67" i="1"/>
  <c r="AA66" i="1"/>
  <c r="W66" i="1" s="1"/>
  <c r="X64" i="1"/>
  <c r="AG62" i="1"/>
  <c r="W62" i="1" s="1"/>
  <c r="AA59" i="1"/>
  <c r="AA58" i="1"/>
  <c r="X56" i="1"/>
  <c r="AG54" i="1"/>
  <c r="X52" i="1"/>
  <c r="AA51" i="1"/>
  <c r="W51" i="1" s="1"/>
  <c r="AA48" i="1"/>
  <c r="U43" i="1"/>
  <c r="S43" i="1" s="1"/>
  <c r="X40" i="1"/>
  <c r="AA36" i="1"/>
  <c r="W36" i="1" s="1"/>
  <c r="X34" i="1"/>
  <c r="T27" i="1"/>
  <c r="U27" i="1" s="1"/>
  <c r="S27" i="1" s="1"/>
  <c r="AA26" i="1"/>
  <c r="X21" i="1"/>
  <c r="T17" i="1"/>
  <c r="W80" i="1"/>
  <c r="X68" i="1"/>
  <c r="X65" i="1"/>
  <c r="AA61" i="1"/>
  <c r="U60" i="1"/>
  <c r="S60" i="1" s="1"/>
  <c r="AI43" i="1"/>
  <c r="AA42" i="1"/>
  <c r="AA38" i="1"/>
  <c r="X27" i="1"/>
  <c r="T16" i="1"/>
  <c r="U16" i="1" s="1"/>
  <c r="S16" i="1" s="1"/>
  <c r="AA170" i="1"/>
  <c r="W170" i="1" s="1"/>
  <c r="T170" i="1"/>
  <c r="U170" i="1" s="1"/>
  <c r="S170" i="1" s="1"/>
  <c r="AA169" i="1"/>
  <c r="AA166" i="1"/>
  <c r="T165" i="1"/>
  <c r="U165" i="1" s="1"/>
  <c r="S165" i="1" s="1"/>
  <c r="AA158" i="1"/>
  <c r="W158" i="1" s="1"/>
  <c r="T157" i="1"/>
  <c r="AA86" i="1"/>
  <c r="W86" i="1" s="1"/>
  <c r="T85" i="1"/>
  <c r="U85" i="1" s="1"/>
  <c r="S85" i="1" s="1"/>
  <c r="AG77" i="1"/>
  <c r="AI77" i="1" s="1"/>
  <c r="U68" i="1"/>
  <c r="S68" i="1" s="1"/>
  <c r="AA53" i="1"/>
  <c r="AA45" i="1"/>
  <c r="W45" i="1" s="1"/>
  <c r="X39" i="1"/>
  <c r="AG35" i="1"/>
  <c r="U35" i="1" s="1"/>
  <c r="AA34" i="1"/>
  <c r="W34" i="1" s="1"/>
  <c r="T34" i="1"/>
  <c r="AA31" i="1"/>
  <c r="W31" i="1" s="1"/>
  <c r="AA23" i="1"/>
  <c r="AA18" i="1"/>
  <c r="W18" i="1" s="1"/>
  <c r="T18" i="1"/>
  <c r="AG17" i="1"/>
  <c r="AI17" i="1" s="1"/>
  <c r="AI220" i="1"/>
  <c r="U220" i="1"/>
  <c r="S220" i="1" s="1"/>
  <c r="AI210" i="1"/>
  <c r="W204" i="1"/>
  <c r="AI182" i="1"/>
  <c r="U153" i="1"/>
  <c r="S153" i="1" s="1"/>
  <c r="AI190" i="1"/>
  <c r="W222" i="1"/>
  <c r="W220" i="1"/>
  <c r="AI214" i="1"/>
  <c r="W200" i="1"/>
  <c r="AI186" i="1"/>
  <c r="U144" i="1"/>
  <c r="S144" i="1" s="1"/>
  <c r="AI218" i="1"/>
  <c r="AI222" i="1"/>
  <c r="W145" i="1"/>
  <c r="X222" i="1"/>
  <c r="T222" i="1"/>
  <c r="U222" i="1" s="1"/>
  <c r="S222" i="1" s="1"/>
  <c r="S217" i="1"/>
  <c r="X214" i="1"/>
  <c r="T214" i="1"/>
  <c r="U214" i="1" s="1"/>
  <c r="S214" i="1" s="1"/>
  <c r="AI213" i="1"/>
  <c r="X210" i="1"/>
  <c r="T210" i="1"/>
  <c r="U210" i="1" s="1"/>
  <c r="S210" i="1" s="1"/>
  <c r="X204" i="1"/>
  <c r="T204" i="1"/>
  <c r="U204" i="1" s="1"/>
  <c r="S204" i="1" s="1"/>
  <c r="X200" i="1"/>
  <c r="T200" i="1"/>
  <c r="U200" i="1" s="1"/>
  <c r="S200" i="1" s="1"/>
  <c r="X196" i="1"/>
  <c r="T196" i="1"/>
  <c r="U196" i="1" s="1"/>
  <c r="S196" i="1" s="1"/>
  <c r="S152" i="1"/>
  <c r="X149" i="1"/>
  <c r="T149" i="1"/>
  <c r="U149" i="1" s="1"/>
  <c r="S149" i="1" s="1"/>
  <c r="X145" i="1"/>
  <c r="T145" i="1"/>
  <c r="U145" i="1" s="1"/>
  <c r="S145" i="1" s="1"/>
  <c r="U142" i="1"/>
  <c r="S142" i="1" s="1"/>
  <c r="U133" i="1"/>
  <c r="S133" i="1" s="1"/>
  <c r="AI170" i="1"/>
  <c r="AI162" i="1"/>
  <c r="U114" i="1"/>
  <c r="AI148" i="1"/>
  <c r="AG109" i="1"/>
  <c r="AI109" i="1" s="1"/>
  <c r="X109" i="1"/>
  <c r="T109" i="1"/>
  <c r="X110" i="1"/>
  <c r="AI125" i="1"/>
  <c r="AI107" i="1"/>
  <c r="X218" i="1"/>
  <c r="T218" i="1"/>
  <c r="U218" i="1" s="1"/>
  <c r="S218" i="1" s="1"/>
  <c r="AI217" i="1"/>
  <c r="X219" i="1"/>
  <c r="AG216" i="1"/>
  <c r="X215" i="1"/>
  <c r="AG212" i="1"/>
  <c r="X211" i="1"/>
  <c r="AG206" i="1"/>
  <c r="W206" i="1" s="1"/>
  <c r="X205" i="1"/>
  <c r="AG202" i="1"/>
  <c r="AI202" i="1" s="1"/>
  <c r="X201" i="1"/>
  <c r="AG198" i="1"/>
  <c r="AI198" i="1" s="1"/>
  <c r="X197" i="1"/>
  <c r="AG194" i="1"/>
  <c r="AI194" i="1" s="1"/>
  <c r="X193" i="1"/>
  <c r="AG155" i="1"/>
  <c r="AG151" i="1"/>
  <c r="W151" i="1" s="1"/>
  <c r="X150" i="1"/>
  <c r="X146" i="1"/>
  <c r="AG143" i="1"/>
  <c r="AI143" i="1" s="1"/>
  <c r="X142" i="1"/>
  <c r="T141" i="1"/>
  <c r="U141" i="1" s="1"/>
  <c r="S141" i="1" s="1"/>
  <c r="AA139" i="1"/>
  <c r="AI175" i="1"/>
  <c r="T131" i="1"/>
  <c r="X131" i="1"/>
  <c r="AG131" i="1"/>
  <c r="T123" i="1"/>
  <c r="X123" i="1"/>
  <c r="AG123" i="1"/>
  <c r="T115" i="1"/>
  <c r="X115" i="1"/>
  <c r="AG115" i="1"/>
  <c r="X143" i="1"/>
  <c r="AI179" i="1"/>
  <c r="X141" i="1"/>
  <c r="T140" i="1"/>
  <c r="X140" i="1"/>
  <c r="T135" i="1"/>
  <c r="X135" i="1"/>
  <c r="U134" i="1"/>
  <c r="S134" i="1" s="1"/>
  <c r="AI158" i="1"/>
  <c r="S114" i="1"/>
  <c r="AI152" i="1"/>
  <c r="U113" i="1"/>
  <c r="S113" i="1" s="1"/>
  <c r="X148" i="1"/>
  <c r="X144" i="1"/>
  <c r="AG140" i="1"/>
  <c r="AI140" i="1" s="1"/>
  <c r="AG139" i="1"/>
  <c r="X139" i="1"/>
  <c r="U138" i="1"/>
  <c r="S138" i="1" s="1"/>
  <c r="T136" i="1"/>
  <c r="X136" i="1"/>
  <c r="AG136" i="1"/>
  <c r="W136" i="1" s="1"/>
  <c r="AG135" i="1"/>
  <c r="W134" i="1"/>
  <c r="W133" i="1"/>
  <c r="T127" i="1"/>
  <c r="X127" i="1"/>
  <c r="AG127" i="1"/>
  <c r="W126" i="1"/>
  <c r="T119" i="1"/>
  <c r="X119" i="1"/>
  <c r="AG119" i="1"/>
  <c r="T111" i="1"/>
  <c r="X111" i="1"/>
  <c r="AG111" i="1"/>
  <c r="AI137" i="1"/>
  <c r="AI121" i="1"/>
  <c r="U94" i="1"/>
  <c r="S94" i="1" s="1"/>
  <c r="U174" i="1"/>
  <c r="S174" i="1" s="1"/>
  <c r="AI97" i="1"/>
  <c r="U89" i="1"/>
  <c r="S89" i="1" s="1"/>
  <c r="AI89" i="1"/>
  <c r="AG132" i="1"/>
  <c r="AI132" i="1" s="1"/>
  <c r="AG128" i="1"/>
  <c r="AI128" i="1" s="1"/>
  <c r="AG124" i="1"/>
  <c r="AG120" i="1"/>
  <c r="AI120" i="1" s="1"/>
  <c r="AG116" i="1"/>
  <c r="AI116" i="1" s="1"/>
  <c r="AG112" i="1"/>
  <c r="AI112" i="1" s="1"/>
  <c r="T108" i="1"/>
  <c r="U108" i="1" s="1"/>
  <c r="S108" i="1" s="1"/>
  <c r="X108" i="1"/>
  <c r="T105" i="1"/>
  <c r="U105" i="1" s="1"/>
  <c r="S105" i="1" s="1"/>
  <c r="AI133" i="1"/>
  <c r="AI117" i="1"/>
  <c r="AI105" i="1"/>
  <c r="W165" i="1"/>
  <c r="X132" i="1"/>
  <c r="X128" i="1"/>
  <c r="X124" i="1"/>
  <c r="X120" i="1"/>
  <c r="X116" i="1"/>
  <c r="X112" i="1"/>
  <c r="AI145" i="1"/>
  <c r="AG103" i="1"/>
  <c r="W103" i="1" s="1"/>
  <c r="T103" i="1"/>
  <c r="X103" i="1"/>
  <c r="AI129" i="1"/>
  <c r="U184" i="1"/>
  <c r="S184" i="1" s="1"/>
  <c r="AI113" i="1"/>
  <c r="AI101" i="1"/>
  <c r="U157" i="1"/>
  <c r="S157" i="1" s="1"/>
  <c r="AI85" i="1"/>
  <c r="X101" i="1"/>
  <c r="T101" i="1"/>
  <c r="U101" i="1" s="1"/>
  <c r="S101" i="1" s="1"/>
  <c r="X97" i="1"/>
  <c r="T97" i="1"/>
  <c r="U97" i="1" s="1"/>
  <c r="S97" i="1" s="1"/>
  <c r="X190" i="1"/>
  <c r="T190" i="1"/>
  <c r="U190" i="1" s="1"/>
  <c r="S190" i="1" s="1"/>
  <c r="X95" i="1"/>
  <c r="T95" i="1"/>
  <c r="U95" i="1" s="1"/>
  <c r="S95" i="1" s="1"/>
  <c r="AI124" i="1"/>
  <c r="X183" i="1"/>
  <c r="T183" i="1"/>
  <c r="U183" i="1" s="1"/>
  <c r="S183" i="1" s="1"/>
  <c r="X179" i="1"/>
  <c r="T179" i="1"/>
  <c r="U179" i="1" s="1"/>
  <c r="S179" i="1" s="1"/>
  <c r="S178" i="1"/>
  <c r="X176" i="1"/>
  <c r="T176" i="1"/>
  <c r="U176" i="1" s="1"/>
  <c r="S176" i="1" s="1"/>
  <c r="U173" i="1"/>
  <c r="S173" i="1" s="1"/>
  <c r="U162" i="1"/>
  <c r="S162" i="1" s="1"/>
  <c r="U90" i="1"/>
  <c r="S90" i="1" s="1"/>
  <c r="X104" i="1"/>
  <c r="AG207" i="1"/>
  <c r="AI207" i="1" s="1"/>
  <c r="X102" i="1"/>
  <c r="AG99" i="1"/>
  <c r="X98" i="1"/>
  <c r="AG192" i="1"/>
  <c r="X191" i="1"/>
  <c r="AG188" i="1"/>
  <c r="X187" i="1"/>
  <c r="AG185" i="1"/>
  <c r="X184" i="1"/>
  <c r="AG181" i="1"/>
  <c r="X180" i="1"/>
  <c r="AG177" i="1"/>
  <c r="X94" i="1"/>
  <c r="X173" i="1"/>
  <c r="X169" i="1"/>
  <c r="AG93" i="1"/>
  <c r="AG163" i="1"/>
  <c r="AG159" i="1"/>
  <c r="AG91" i="1"/>
  <c r="W91" i="1" s="1"/>
  <c r="AG87" i="1"/>
  <c r="AG83" i="1"/>
  <c r="T83" i="1"/>
  <c r="AA81" i="1"/>
  <c r="AG167" i="1"/>
  <c r="AI167" i="1" s="1"/>
  <c r="X93" i="1"/>
  <c r="AG164" i="1"/>
  <c r="X163" i="1"/>
  <c r="AI98" i="1"/>
  <c r="AG160" i="1"/>
  <c r="AI94" i="1"/>
  <c r="AG92" i="1"/>
  <c r="X91" i="1"/>
  <c r="AI90" i="1"/>
  <c r="AG88" i="1"/>
  <c r="X87" i="1"/>
  <c r="AG84" i="1"/>
  <c r="T82" i="1"/>
  <c r="X82" i="1"/>
  <c r="X171" i="1"/>
  <c r="X167" i="1"/>
  <c r="X164" i="1"/>
  <c r="X92" i="1"/>
  <c r="X88" i="1"/>
  <c r="X84" i="1"/>
  <c r="AG82" i="1"/>
  <c r="X80" i="1"/>
  <c r="T79" i="1"/>
  <c r="X79" i="1"/>
  <c r="AG79" i="1"/>
  <c r="U70" i="1"/>
  <c r="S70" i="1" s="1"/>
  <c r="U66" i="1"/>
  <c r="S66" i="1" s="1"/>
  <c r="U62" i="1"/>
  <c r="S62" i="1" s="1"/>
  <c r="U58" i="1"/>
  <c r="S58" i="1" s="1"/>
  <c r="U54" i="1"/>
  <c r="S54" i="1" s="1"/>
  <c r="X47" i="1"/>
  <c r="AG46" i="1"/>
  <c r="S45" i="1"/>
  <c r="AI34" i="1"/>
  <c r="U34" i="1"/>
  <c r="S34" i="1" s="1"/>
  <c r="AI20" i="1"/>
  <c r="AI18" i="1"/>
  <c r="U18" i="1"/>
  <c r="S18" i="1" s="1"/>
  <c r="X78" i="1"/>
  <c r="AG75" i="1"/>
  <c r="X74" i="1"/>
  <c r="S73" i="1"/>
  <c r="AG71" i="1"/>
  <c r="X70" i="1"/>
  <c r="AG67" i="1"/>
  <c r="X66" i="1"/>
  <c r="S65" i="1"/>
  <c r="AG63" i="1"/>
  <c r="X62" i="1"/>
  <c r="AI61" i="1"/>
  <c r="S61" i="1"/>
  <c r="AG59" i="1"/>
  <c r="X58" i="1"/>
  <c r="S57" i="1"/>
  <c r="AG55" i="1"/>
  <c r="X54" i="1"/>
  <c r="S53" i="1"/>
  <c r="AI51" i="1"/>
  <c r="X51" i="1"/>
  <c r="AG50" i="1"/>
  <c r="W48" i="1"/>
  <c r="T48" i="1"/>
  <c r="U48" i="1" s="1"/>
  <c r="S48" i="1" s="1"/>
  <c r="U47" i="1"/>
  <c r="S47" i="1" s="1"/>
  <c r="X46" i="1"/>
  <c r="U44" i="1"/>
  <c r="S44" i="1" s="1"/>
  <c r="AI44" i="1"/>
  <c r="W40" i="1"/>
  <c r="AI30" i="1"/>
  <c r="U30" i="1"/>
  <c r="S30" i="1" s="1"/>
  <c r="AI22" i="1"/>
  <c r="W16" i="1"/>
  <c r="X75" i="1"/>
  <c r="T75" i="1"/>
  <c r="X71" i="1"/>
  <c r="T71" i="1"/>
  <c r="X67" i="1"/>
  <c r="T67" i="1"/>
  <c r="AI66" i="1"/>
  <c r="X63" i="1"/>
  <c r="AI62" i="1"/>
  <c r="X59" i="1"/>
  <c r="AI58" i="1"/>
  <c r="X55" i="1"/>
  <c r="AI54" i="1"/>
  <c r="T52" i="1"/>
  <c r="U52" i="1" s="1"/>
  <c r="S52" i="1" s="1"/>
  <c r="AI48" i="1"/>
  <c r="AI45" i="1"/>
  <c r="X44" i="1"/>
  <c r="AI40" i="1"/>
  <c r="AI36" i="1"/>
  <c r="W32" i="1"/>
  <c r="W24" i="1"/>
  <c r="AI16" i="1"/>
  <c r="X48" i="1"/>
  <c r="T46" i="1"/>
  <c r="X43" i="1"/>
  <c r="AG42" i="1"/>
  <c r="AI32" i="1"/>
  <c r="U28" i="1"/>
  <c r="S28" i="1" s="1"/>
  <c r="AI28" i="1"/>
  <c r="AI24" i="1"/>
  <c r="X36" i="1"/>
  <c r="T36" i="1"/>
  <c r="U36" i="1" s="1"/>
  <c r="S36" i="1" s="1"/>
  <c r="S35" i="1"/>
  <c r="X32" i="1"/>
  <c r="T32" i="1"/>
  <c r="U32" i="1" s="1"/>
  <c r="S32" i="1" s="1"/>
  <c r="AI31" i="1"/>
  <c r="X24" i="1"/>
  <c r="T24" i="1"/>
  <c r="U24" i="1" s="1"/>
  <c r="S24" i="1" s="1"/>
  <c r="U17" i="1"/>
  <c r="S17" i="1" s="1"/>
  <c r="X49" i="1"/>
  <c r="X45" i="1"/>
  <c r="X41" i="1"/>
  <c r="AG38" i="1"/>
  <c r="W38" i="1" s="1"/>
  <c r="X37" i="1"/>
  <c r="X33" i="1"/>
  <c r="X29" i="1"/>
  <c r="AG26" i="1"/>
  <c r="W26" i="1" s="1"/>
  <c r="X25" i="1"/>
  <c r="AG14" i="1"/>
  <c r="X26" i="1"/>
  <c r="T26" i="1"/>
  <c r="AG19" i="1"/>
  <c r="AG15" i="1"/>
  <c r="X35" i="1"/>
  <c r="X31" i="1"/>
  <c r="X23" i="1"/>
  <c r="X19" i="1"/>
  <c r="X15" i="1"/>
  <c r="AD22" i="3"/>
  <c r="AD20" i="3"/>
  <c r="AD21" i="3"/>
  <c r="AE21" i="3"/>
  <c r="AE16" i="3"/>
  <c r="AD13" i="3"/>
  <c r="T28" i="3"/>
  <c r="Y11" i="3"/>
  <c r="Y55" i="3"/>
  <c r="Y20" i="3"/>
  <c r="Y43" i="3"/>
  <c r="Y30" i="3"/>
  <c r="Y39" i="3"/>
  <c r="AD31" i="3"/>
  <c r="AD28" i="3"/>
  <c r="AE28" i="3"/>
  <c r="AD26" i="3"/>
  <c r="T23" i="3"/>
  <c r="Y7" i="3"/>
  <c r="AD16" i="3"/>
  <c r="Y33" i="3"/>
  <c r="AE12" i="3"/>
  <c r="AD46" i="3"/>
  <c r="Y10" i="3"/>
  <c r="AC46" i="3"/>
  <c r="AD44" i="3"/>
  <c r="Y50" i="3"/>
  <c r="Y8" i="3"/>
  <c r="AD25" i="3"/>
  <c r="AC25" i="3"/>
  <c r="AD12" i="3"/>
  <c r="AD8" i="3"/>
  <c r="AE56" i="3"/>
  <c r="AC41" i="3"/>
  <c r="T18" i="3"/>
  <c r="Y28" i="3"/>
  <c r="T16" i="3"/>
  <c r="AE42" i="3"/>
  <c r="AC20" i="3"/>
  <c r="T44" i="3"/>
  <c r="Y40" i="3"/>
  <c r="AD32" i="3"/>
  <c r="AE32" i="3"/>
  <c r="Y49" i="3"/>
  <c r="AE27" i="3"/>
  <c r="AC36" i="3"/>
  <c r="T19" i="3"/>
  <c r="Y23" i="3"/>
  <c r="T35" i="3"/>
  <c r="AD17" i="3"/>
  <c r="AE17" i="3"/>
  <c r="T17" i="3"/>
  <c r="T22" i="3"/>
  <c r="AE11" i="3"/>
  <c r="AD9" i="3"/>
  <c r="AE9" i="3"/>
  <c r="Y44" i="3"/>
  <c r="Y19" i="3"/>
  <c r="Y35" i="3"/>
  <c r="Y22" i="3"/>
  <c r="Y18" i="3"/>
  <c r="Y16" i="3"/>
  <c r="T10" i="3"/>
  <c r="AE53" i="3"/>
  <c r="AE48" i="3"/>
  <c r="AC48" i="3"/>
  <c r="T45" i="3"/>
  <c r="AE39" i="3"/>
  <c r="AE34" i="3"/>
  <c r="AC47" i="3"/>
  <c r="T8" i="3"/>
  <c r="AE25" i="3"/>
  <c r="AE20" i="3"/>
  <c r="AE15" i="3"/>
  <c r="AE13" i="3"/>
  <c r="T32" i="3"/>
  <c r="AE55" i="3"/>
  <c r="T21" i="3"/>
  <c r="AE33" i="3"/>
  <c r="T26" i="3"/>
  <c r="AE30" i="3"/>
  <c r="T37" i="3"/>
  <c r="AE23" i="3"/>
  <c r="T42" i="3"/>
  <c r="Y34" i="3"/>
  <c r="AE41" i="3"/>
  <c r="T13" i="3"/>
  <c r="AE37" i="3"/>
  <c r="T43" i="3"/>
  <c r="T9" i="3"/>
  <c r="AD55" i="3"/>
  <c r="AE54" i="3"/>
  <c r="T41" i="3"/>
  <c r="AD51" i="3"/>
  <c r="AE50" i="3"/>
  <c r="T46" i="3"/>
  <c r="AD47" i="3"/>
  <c r="AE46" i="3"/>
  <c r="T48" i="3"/>
  <c r="AE44" i="3"/>
  <c r="AD41" i="3"/>
  <c r="AE40" i="3"/>
  <c r="T20" i="3"/>
  <c r="AD37" i="3"/>
  <c r="AE36" i="3"/>
  <c r="T29" i="3"/>
  <c r="AD33" i="3"/>
  <c r="T47" i="3"/>
  <c r="AD30" i="3"/>
  <c r="AE29" i="3"/>
  <c r="T50" i="3"/>
  <c r="AE26" i="3"/>
  <c r="T36" i="3"/>
  <c r="AD23" i="3"/>
  <c r="AE22" i="3"/>
  <c r="T25" i="3"/>
  <c r="AD19" i="3"/>
  <c r="AE18" i="3"/>
  <c r="T34" i="3"/>
  <c r="AD15" i="3"/>
  <c r="AE14" i="3"/>
  <c r="T33" i="3"/>
  <c r="AD11" i="3"/>
  <c r="AE10" i="3"/>
  <c r="T31" i="3"/>
  <c r="AC54" i="3"/>
  <c r="AE51" i="3"/>
  <c r="T12" i="3"/>
  <c r="AE47" i="3"/>
  <c r="T11" i="3"/>
  <c r="T51" i="3"/>
  <c r="AD18" i="3"/>
  <c r="AD14" i="3"/>
  <c r="AD10" i="3"/>
  <c r="AE8" i="3"/>
  <c r="R52" i="3"/>
  <c r="M52" i="3"/>
  <c r="S52" i="3"/>
  <c r="U52" i="3"/>
  <c r="V52" i="3"/>
  <c r="W52" i="3"/>
  <c r="X52" i="3"/>
  <c r="W184" i="1" l="1"/>
  <c r="AI35" i="1"/>
  <c r="AI78" i="1"/>
  <c r="AI53" i="1"/>
  <c r="U74" i="1"/>
  <c r="S74" i="1" s="1"/>
  <c r="U187" i="1"/>
  <c r="S187" i="1" s="1"/>
  <c r="AI166" i="1"/>
  <c r="W166" i="1"/>
  <c r="W56" i="1"/>
  <c r="AI193" i="1"/>
  <c r="U21" i="1"/>
  <c r="S21" i="1" s="1"/>
  <c r="AI201" i="1"/>
  <c r="W70" i="1"/>
  <c r="W33" i="1"/>
  <c r="W160" i="1"/>
  <c r="W159" i="1"/>
  <c r="W111" i="1"/>
  <c r="W216" i="1"/>
  <c r="U191" i="1"/>
  <c r="S191" i="1" s="1"/>
  <c r="W109" i="1"/>
  <c r="U168" i="1"/>
  <c r="S168" i="1" s="1"/>
  <c r="U158" i="1"/>
  <c r="S158" i="1" s="1"/>
  <c r="AI171" i="1"/>
  <c r="W74" i="1"/>
  <c r="W162" i="1"/>
  <c r="W172" i="1"/>
  <c r="AI195" i="1"/>
  <c r="W189" i="1"/>
  <c r="W107" i="1"/>
  <c r="W197" i="1"/>
  <c r="W19" i="1"/>
  <c r="AI57" i="1"/>
  <c r="AI65" i="1"/>
  <c r="W54" i="1"/>
  <c r="W57" i="1"/>
  <c r="W96" i="1"/>
  <c r="W118" i="1"/>
  <c r="U130" i="1"/>
  <c r="S130" i="1" s="1"/>
  <c r="W171" i="1"/>
  <c r="W201" i="1"/>
  <c r="W21" i="1"/>
  <c r="U221" i="1"/>
  <c r="S221" i="1" s="1"/>
  <c r="W42" i="1"/>
  <c r="W46" i="1"/>
  <c r="AI221" i="1"/>
  <c r="U29" i="1"/>
  <c r="S29" i="1" s="1"/>
  <c r="AI69" i="1"/>
  <c r="W93" i="1"/>
  <c r="W100" i="1"/>
  <c r="AI23" i="1"/>
  <c r="W164" i="1"/>
  <c r="W81" i="1"/>
  <c r="W208" i="1"/>
  <c r="W61" i="1"/>
  <c r="U69" i="1"/>
  <c r="S69" i="1" s="1"/>
  <c r="W29" i="1"/>
  <c r="W78" i="1"/>
  <c r="AI73" i="1"/>
  <c r="W163" i="1"/>
  <c r="AI136" i="1"/>
  <c r="W23" i="1"/>
  <c r="W169" i="1"/>
  <c r="W58" i="1"/>
  <c r="W156" i="1"/>
  <c r="AI211" i="1"/>
  <c r="W155" i="1"/>
  <c r="U37" i="1"/>
  <c r="S37" i="1" s="1"/>
  <c r="W191" i="1"/>
  <c r="W37" i="1"/>
  <c r="AI102" i="1"/>
  <c r="AI151" i="1"/>
  <c r="AI156" i="1"/>
  <c r="W104" i="1"/>
  <c r="W211" i="1"/>
  <c r="AI159" i="1"/>
  <c r="W139" i="1"/>
  <c r="W202" i="1"/>
  <c r="W146" i="1"/>
  <c r="W98" i="1"/>
  <c r="W154" i="1"/>
  <c r="W150" i="1"/>
  <c r="W112" i="1"/>
  <c r="W53" i="1"/>
  <c r="U77" i="1"/>
  <c r="S77" i="1" s="1"/>
  <c r="W73" i="1"/>
  <c r="W123" i="1"/>
  <c r="U205" i="1"/>
  <c r="S205" i="1" s="1"/>
  <c r="AI205" i="1"/>
  <c r="W60" i="1"/>
  <c r="W143" i="1"/>
  <c r="W193" i="1"/>
  <c r="W180" i="1"/>
  <c r="W205" i="1"/>
  <c r="AI206" i="1"/>
  <c r="U39" i="1"/>
  <c r="S39" i="1" s="1"/>
  <c r="AI39" i="1"/>
  <c r="AI49" i="1"/>
  <c r="W185" i="1"/>
  <c r="AI185" i="1"/>
  <c r="U49" i="1"/>
  <c r="S49" i="1" s="1"/>
  <c r="AI93" i="1"/>
  <c r="AI163" i="1"/>
  <c r="W35" i="1"/>
  <c r="W49" i="1"/>
  <c r="W77" i="1"/>
  <c r="W148" i="1"/>
  <c r="W102" i="1"/>
  <c r="W215" i="1"/>
  <c r="W181" i="1"/>
  <c r="AI181" i="1"/>
  <c r="AI111" i="1"/>
  <c r="AI155" i="1"/>
  <c r="U215" i="1"/>
  <c r="S215" i="1" s="1"/>
  <c r="W17" i="1"/>
  <c r="W168" i="1"/>
  <c r="U56" i="1"/>
  <c r="S56" i="1" s="1"/>
  <c r="AI56" i="1"/>
  <c r="U64" i="1"/>
  <c r="S64" i="1" s="1"/>
  <c r="AI64" i="1"/>
  <c r="W39" i="1"/>
  <c r="W64" i="1"/>
  <c r="AI122" i="1"/>
  <c r="U122" i="1"/>
  <c r="S122" i="1" s="1"/>
  <c r="W217" i="1"/>
  <c r="W144" i="1"/>
  <c r="AI164" i="1"/>
  <c r="U127" i="1"/>
  <c r="S127" i="1" s="1"/>
  <c r="S140" i="1"/>
  <c r="U140" i="1"/>
  <c r="AI177" i="1"/>
  <c r="AI200" i="1"/>
  <c r="U198" i="1"/>
  <c r="S198" i="1" s="1"/>
  <c r="U19" i="1"/>
  <c r="S19" i="1" s="1"/>
  <c r="AI19" i="1"/>
  <c r="AI55" i="1"/>
  <c r="U55" i="1"/>
  <c r="S55" i="1" s="1"/>
  <c r="AI59" i="1"/>
  <c r="U59" i="1"/>
  <c r="S59" i="1" s="1"/>
  <c r="AI63" i="1"/>
  <c r="U63" i="1"/>
  <c r="S63" i="1" s="1"/>
  <c r="AI67" i="1"/>
  <c r="U67" i="1"/>
  <c r="S67" i="1" s="1"/>
  <c r="AI71" i="1"/>
  <c r="U71" i="1"/>
  <c r="S71" i="1" s="1"/>
  <c r="AI75" i="1"/>
  <c r="U75" i="1"/>
  <c r="S75" i="1" s="1"/>
  <c r="S46" i="1"/>
  <c r="AI46" i="1"/>
  <c r="U46" i="1"/>
  <c r="W63" i="1"/>
  <c r="U88" i="1"/>
  <c r="S88" i="1" s="1"/>
  <c r="AI88" i="1"/>
  <c r="U167" i="1"/>
  <c r="S167" i="1" s="1"/>
  <c r="AI104" i="1"/>
  <c r="W67" i="1"/>
  <c r="U83" i="1"/>
  <c r="S83" i="1" s="1"/>
  <c r="AI83" i="1"/>
  <c r="AI99" i="1"/>
  <c r="U163" i="1"/>
  <c r="S163" i="1" s="1"/>
  <c r="W71" i="1"/>
  <c r="U120" i="1"/>
  <c r="S120" i="1" s="1"/>
  <c r="AI157" i="1"/>
  <c r="AI172" i="1"/>
  <c r="U135" i="1"/>
  <c r="S135" i="1" s="1"/>
  <c r="W135" i="1"/>
  <c r="W120" i="1"/>
  <c r="AI14" i="1"/>
  <c r="U14" i="1"/>
  <c r="S14" i="1" s="1"/>
  <c r="AI79" i="1"/>
  <c r="U79" i="1"/>
  <c r="S79" i="1" s="1"/>
  <c r="U92" i="1"/>
  <c r="S92" i="1" s="1"/>
  <c r="AI92" i="1"/>
  <c r="AI95" i="1"/>
  <c r="U159" i="1"/>
  <c r="S159" i="1" s="1"/>
  <c r="AI127" i="1"/>
  <c r="U188" i="1"/>
  <c r="S188" i="1" s="1"/>
  <c r="W140" i="1"/>
  <c r="W198" i="1"/>
  <c r="AI26" i="1"/>
  <c r="U26" i="1"/>
  <c r="S26" i="1" s="1"/>
  <c r="AI38" i="1"/>
  <c r="U38" i="1"/>
  <c r="S38" i="1" s="1"/>
  <c r="U82" i="1"/>
  <c r="S82" i="1" s="1"/>
  <c r="AI82" i="1"/>
  <c r="W82" i="1"/>
  <c r="U84" i="1"/>
  <c r="S84" i="1" s="1"/>
  <c r="AI84" i="1"/>
  <c r="U164" i="1"/>
  <c r="S164" i="1" s="1"/>
  <c r="AI100" i="1"/>
  <c r="AI87" i="1"/>
  <c r="U87" i="1"/>
  <c r="S87" i="1" s="1"/>
  <c r="AI103" i="1"/>
  <c r="U93" i="1"/>
  <c r="S93" i="1" s="1"/>
  <c r="AI115" i="1"/>
  <c r="U177" i="1"/>
  <c r="S177" i="1" s="1"/>
  <c r="AI123" i="1"/>
  <c r="U185" i="1"/>
  <c r="S185" i="1" s="1"/>
  <c r="AI131" i="1"/>
  <c r="U192" i="1"/>
  <c r="S192" i="1" s="1"/>
  <c r="AI139" i="1"/>
  <c r="U207" i="1"/>
  <c r="S207" i="1" s="1"/>
  <c r="W87" i="1"/>
  <c r="W167" i="1"/>
  <c r="U124" i="1"/>
  <c r="S124" i="1" s="1"/>
  <c r="AI161" i="1"/>
  <c r="W124" i="1"/>
  <c r="AI149" i="1"/>
  <c r="U111" i="1"/>
  <c r="S111" i="1" s="1"/>
  <c r="U136" i="1"/>
  <c r="S136" i="1" s="1"/>
  <c r="AI173" i="1"/>
  <c r="W127" i="1"/>
  <c r="AI168" i="1"/>
  <c r="U131" i="1"/>
  <c r="S131" i="1" s="1"/>
  <c r="AI188" i="1"/>
  <c r="U151" i="1"/>
  <c r="S151" i="1" s="1"/>
  <c r="AI196" i="1"/>
  <c r="U194" i="1"/>
  <c r="S194" i="1" s="1"/>
  <c r="AI204" i="1"/>
  <c r="U202" i="1"/>
  <c r="S202" i="1" s="1"/>
  <c r="AI212" i="1"/>
  <c r="U212" i="1"/>
  <c r="S212" i="1" s="1"/>
  <c r="W83" i="1"/>
  <c r="W92" i="1"/>
  <c r="W194" i="1"/>
  <c r="W212" i="1"/>
  <c r="U15" i="1"/>
  <c r="S15" i="1" s="1"/>
  <c r="AI15" i="1"/>
  <c r="AI119" i="1"/>
  <c r="U181" i="1"/>
  <c r="S181" i="1" s="1"/>
  <c r="AI135" i="1"/>
  <c r="U99" i="1"/>
  <c r="S99" i="1" s="1"/>
  <c r="U116" i="1"/>
  <c r="S116" i="1" s="1"/>
  <c r="AI154" i="1"/>
  <c r="W116" i="1"/>
  <c r="U132" i="1"/>
  <c r="S132" i="1" s="1"/>
  <c r="AI169" i="1"/>
  <c r="W132" i="1"/>
  <c r="AI153" i="1"/>
  <c r="U115" i="1"/>
  <c r="S115" i="1" s="1"/>
  <c r="AI192" i="1"/>
  <c r="U155" i="1"/>
  <c r="S155" i="1" s="1"/>
  <c r="AI208" i="1"/>
  <c r="U206" i="1"/>
  <c r="S206" i="1" s="1"/>
  <c r="AI216" i="1"/>
  <c r="U216" i="1"/>
  <c r="S216" i="1" s="1"/>
  <c r="W14" i="1"/>
  <c r="AI42" i="1"/>
  <c r="U42" i="1"/>
  <c r="S42" i="1" s="1"/>
  <c r="W15" i="1"/>
  <c r="AI50" i="1"/>
  <c r="U50" i="1"/>
  <c r="S50" i="1" s="1"/>
  <c r="W50" i="1"/>
  <c r="W55" i="1"/>
  <c r="W75" i="1"/>
  <c r="W79" i="1"/>
  <c r="U160" i="1"/>
  <c r="S160" i="1" s="1"/>
  <c r="AI96" i="1"/>
  <c r="W59" i="1"/>
  <c r="AI91" i="1"/>
  <c r="U91" i="1"/>
  <c r="S91" i="1" s="1"/>
  <c r="W99" i="1"/>
  <c r="U103" i="1"/>
  <c r="S103" i="1" s="1"/>
  <c r="AI141" i="1"/>
  <c r="W88" i="1"/>
  <c r="W207" i="1"/>
  <c r="U112" i="1"/>
  <c r="S112" i="1" s="1"/>
  <c r="AI150" i="1"/>
  <c r="U128" i="1"/>
  <c r="S128" i="1" s="1"/>
  <c r="AI165" i="1"/>
  <c r="W188" i="1"/>
  <c r="U119" i="1"/>
  <c r="S119" i="1" s="1"/>
  <c r="AI176" i="1"/>
  <c r="U139" i="1"/>
  <c r="S139" i="1" s="1"/>
  <c r="W119" i="1"/>
  <c r="AI160" i="1"/>
  <c r="U123" i="1"/>
  <c r="S123" i="1" s="1"/>
  <c r="AI180" i="1"/>
  <c r="U143" i="1"/>
  <c r="S143" i="1" s="1"/>
  <c r="W84" i="1"/>
  <c r="W177" i="1"/>
  <c r="W192" i="1"/>
  <c r="U109" i="1"/>
  <c r="S109" i="1" s="1"/>
  <c r="AI147" i="1"/>
  <c r="W115" i="1"/>
  <c r="W131" i="1"/>
  <c r="W128" i="1"/>
  <c r="AC52" i="3"/>
  <c r="AD52" i="3"/>
  <c r="AE52" i="3"/>
  <c r="Y52" i="3"/>
  <c r="T52" i="3"/>
  <c r="B6" i="6" l="1"/>
  <c r="J6" i="6" s="1"/>
  <c r="B7" i="6" l="1"/>
  <c r="F6" i="6"/>
  <c r="I6" i="6"/>
  <c r="G6" i="6"/>
  <c r="G7" i="6" l="1"/>
  <c r="I7" i="6"/>
  <c r="J7" i="6"/>
  <c r="F7" i="6"/>
  <c r="B8" i="6"/>
  <c r="F8" i="6" l="1"/>
  <c r="G8" i="6"/>
  <c r="I8" i="6"/>
  <c r="J8" i="6"/>
  <c r="B9" i="6"/>
  <c r="O2" i="3"/>
  <c r="G9" i="6" l="1"/>
  <c r="I9" i="6"/>
  <c r="J9" i="6"/>
  <c r="F9" i="6"/>
  <c r="B10" i="6"/>
  <c r="M28" i="5"/>
  <c r="B11" i="6" l="1"/>
  <c r="F10" i="6"/>
  <c r="I10" i="6"/>
  <c r="G10" i="6"/>
  <c r="J10" i="6"/>
  <c r="M23" i="5"/>
  <c r="B12" i="6" l="1"/>
  <c r="G11" i="6"/>
  <c r="I11" i="6"/>
  <c r="J11" i="6"/>
  <c r="F11" i="6"/>
  <c r="AD7" i="3"/>
  <c r="AN13" i="1"/>
  <c r="F12" i="6" l="1"/>
  <c r="I12" i="6"/>
  <c r="G12" i="6"/>
  <c r="J12" i="6"/>
  <c r="B13" i="6"/>
  <c r="AE7" i="3"/>
  <c r="G13" i="6" l="1"/>
  <c r="I13" i="6"/>
  <c r="F13" i="6"/>
  <c r="J13" i="6"/>
  <c r="B14" i="6"/>
  <c r="K13" i="1"/>
  <c r="M13" i="1"/>
  <c r="N13" i="1" s="1"/>
  <c r="Y13" i="1"/>
  <c r="Z13" i="1"/>
  <c r="AB13" i="1"/>
  <c r="AC13" i="1"/>
  <c r="AD13" i="1"/>
  <c r="X14" i="1" s="1"/>
  <c r="AE13" i="1"/>
  <c r="AM13" i="1"/>
  <c r="F14" i="6" l="1"/>
  <c r="I14" i="6"/>
  <c r="G14" i="6"/>
  <c r="J14" i="6"/>
  <c r="B15" i="6"/>
  <c r="AG13" i="1"/>
  <c r="AI13" i="1" s="1"/>
  <c r="X13" i="1"/>
  <c r="AA13" i="1"/>
  <c r="T13" i="1"/>
  <c r="G15" i="6" l="1"/>
  <c r="I15" i="6"/>
  <c r="J15" i="6"/>
  <c r="F15" i="6"/>
  <c r="B16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7" i="6" l="1"/>
  <c r="F16" i="6"/>
  <c r="G16" i="6"/>
  <c r="I16" i="6"/>
  <c r="J16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7" i="6" l="1"/>
  <c r="I17" i="6"/>
  <c r="J17" i="6"/>
  <c r="F17" i="6"/>
  <c r="B18" i="6"/>
  <c r="B87" i="9"/>
  <c r="B88" i="9"/>
  <c r="B89" i="9"/>
  <c r="B90" i="9"/>
  <c r="B91" i="9"/>
  <c r="B92" i="9"/>
  <c r="B19" i="6" l="1"/>
  <c r="F18" i="6"/>
  <c r="G18" i="6"/>
  <c r="I18" i="6"/>
  <c r="J18" i="6"/>
  <c r="C88" i="9"/>
  <c r="C92" i="9"/>
  <c r="C93" i="9"/>
  <c r="C90" i="9"/>
  <c r="C89" i="9"/>
  <c r="C91" i="9"/>
  <c r="B20" i="6" l="1"/>
  <c r="G19" i="6"/>
  <c r="I19" i="6"/>
  <c r="J19" i="6"/>
  <c r="F19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0" i="6" l="1"/>
  <c r="G20" i="6"/>
  <c r="I20" i="6"/>
  <c r="J20" i="6"/>
  <c r="B21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1" i="6" l="1"/>
  <c r="F21" i="6"/>
  <c r="G21" i="6"/>
  <c r="J21" i="6"/>
  <c r="B22" i="6"/>
  <c r="B55" i="9"/>
  <c r="B56" i="9"/>
  <c r="B57" i="9"/>
  <c r="B58" i="9"/>
  <c r="B59" i="9"/>
  <c r="B60" i="9"/>
  <c r="B61" i="9"/>
  <c r="B62" i="9"/>
  <c r="C63" i="9" s="1"/>
  <c r="F22" i="6" l="1"/>
  <c r="I22" i="6"/>
  <c r="G22" i="6"/>
  <c r="J22" i="6"/>
  <c r="B23" i="6"/>
  <c r="C61" i="9"/>
  <c r="C57" i="9"/>
  <c r="C59" i="9"/>
  <c r="C62" i="9"/>
  <c r="C60" i="9"/>
  <c r="C58" i="9"/>
  <c r="C56" i="9"/>
  <c r="G23" i="6" l="1"/>
  <c r="I23" i="6"/>
  <c r="J23" i="6"/>
  <c r="F23" i="6"/>
  <c r="B24" i="6"/>
  <c r="B50" i="9"/>
  <c r="B51" i="9"/>
  <c r="B52" i="9"/>
  <c r="B53" i="9"/>
  <c r="B54" i="9"/>
  <c r="F24" i="6" l="1"/>
  <c r="G24" i="6"/>
  <c r="I24" i="6"/>
  <c r="J24" i="6"/>
  <c r="B25" i="6"/>
  <c r="C52" i="9"/>
  <c r="C54" i="9"/>
  <c r="C55" i="9"/>
  <c r="C53" i="9"/>
  <c r="C51" i="9"/>
  <c r="G25" i="6" l="1"/>
  <c r="I25" i="6"/>
  <c r="J25" i="6"/>
  <c r="F25" i="6"/>
  <c r="B26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7" i="6" l="1"/>
  <c r="F26" i="6"/>
  <c r="G26" i="6"/>
  <c r="I26" i="6"/>
  <c r="J26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7" i="6" l="1"/>
  <c r="I27" i="6"/>
  <c r="J27" i="6"/>
  <c r="F27" i="6"/>
  <c r="B28" i="6"/>
  <c r="V13" i="1"/>
  <c r="B31" i="9"/>
  <c r="B32" i="9"/>
  <c r="C33" i="9" s="1"/>
  <c r="F28" i="6" l="1"/>
  <c r="G28" i="6"/>
  <c r="I28" i="6"/>
  <c r="J28" i="6"/>
  <c r="B29" i="6"/>
  <c r="C32" i="9"/>
  <c r="G29" i="6" l="1"/>
  <c r="I29" i="6"/>
  <c r="F29" i="6"/>
  <c r="H29" i="6"/>
  <c r="J29" i="6"/>
  <c r="B30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54" i="3" s="1"/>
  <c r="G23" i="4"/>
  <c r="G24" i="4"/>
  <c r="G25" i="4"/>
  <c r="N53" i="3" s="1"/>
  <c r="G26" i="4"/>
  <c r="N31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17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14" i="3" s="1"/>
  <c r="G72" i="4"/>
  <c r="N52" i="3" s="1"/>
  <c r="G73" i="4"/>
  <c r="N42" i="3" s="1"/>
  <c r="G74" i="4"/>
  <c r="N25" i="3" s="1"/>
  <c r="G75" i="4"/>
  <c r="G76" i="4"/>
  <c r="G77" i="4"/>
  <c r="N23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47" i="3" s="1"/>
  <c r="G108" i="4"/>
  <c r="G109" i="4"/>
  <c r="G110" i="4"/>
  <c r="H10" i="6" s="1"/>
  <c r="G111" i="4"/>
  <c r="G112" i="4"/>
  <c r="G113" i="4"/>
  <c r="G114" i="4"/>
  <c r="H11" i="6" s="1"/>
  <c r="G115" i="4"/>
  <c r="G116" i="4"/>
  <c r="H12" i="6" s="1"/>
  <c r="G117" i="4"/>
  <c r="G118" i="4"/>
  <c r="G119" i="4"/>
  <c r="G120" i="4"/>
  <c r="G121" i="4"/>
  <c r="N30" i="3" s="1"/>
  <c r="G122" i="4"/>
  <c r="N29" i="3" s="1"/>
  <c r="G123" i="4"/>
  <c r="G124" i="4"/>
  <c r="G125" i="4"/>
  <c r="G126" i="4"/>
  <c r="G127" i="4"/>
  <c r="G128" i="4"/>
  <c r="H20" i="6" s="1"/>
  <c r="G129" i="4"/>
  <c r="G130" i="4"/>
  <c r="G131" i="4"/>
  <c r="G132" i="4"/>
  <c r="G133" i="4"/>
  <c r="N43" i="3" s="1"/>
  <c r="G134" i="4"/>
  <c r="G135" i="4"/>
  <c r="G136" i="4"/>
  <c r="G137" i="4"/>
  <c r="G138" i="4"/>
  <c r="G139" i="4"/>
  <c r="G140" i="4"/>
  <c r="G141" i="4"/>
  <c r="G142" i="4"/>
  <c r="H26" i="6" s="1"/>
  <c r="G143" i="4"/>
  <c r="G144" i="4"/>
  <c r="G145" i="4"/>
  <c r="G146" i="4"/>
  <c r="G147" i="4"/>
  <c r="N40" i="3" s="1"/>
  <c r="G148" i="4"/>
  <c r="H28" i="6" s="1"/>
  <c r="G149" i="4"/>
  <c r="G150" i="4"/>
  <c r="N44" i="3" s="1"/>
  <c r="G151" i="4"/>
  <c r="G152" i="4"/>
  <c r="G153" i="4"/>
  <c r="G154" i="4"/>
  <c r="G155" i="4"/>
  <c r="G156" i="4"/>
  <c r="G157" i="4"/>
  <c r="G158" i="4"/>
  <c r="G159" i="4"/>
  <c r="N20" i="3" s="1"/>
  <c r="G160" i="4"/>
  <c r="G161" i="4"/>
  <c r="G162" i="4"/>
  <c r="G163" i="4"/>
  <c r="G164" i="4"/>
  <c r="G165" i="4"/>
  <c r="G166" i="4"/>
  <c r="N13" i="3" s="1"/>
  <c r="G167" i="4"/>
  <c r="G168" i="4"/>
  <c r="G169" i="4"/>
  <c r="G170" i="4"/>
  <c r="G171" i="4"/>
  <c r="G172" i="4"/>
  <c r="G173" i="4"/>
  <c r="G174" i="4"/>
  <c r="G175" i="4"/>
  <c r="G176" i="4"/>
  <c r="G177" i="4"/>
  <c r="N56" i="3" s="1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N11" i="3" s="1"/>
  <c r="G194" i="4"/>
  <c r="G195" i="4"/>
  <c r="G196" i="4"/>
  <c r="G197" i="4"/>
  <c r="N16" i="3" s="1"/>
  <c r="G198" i="4"/>
  <c r="G199" i="4"/>
  <c r="G200" i="4"/>
  <c r="G201" i="4"/>
  <c r="G202" i="4"/>
  <c r="G203" i="4"/>
  <c r="N27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N12" i="3" s="1"/>
  <c r="G216" i="4"/>
  <c r="N46" i="3" s="1"/>
  <c r="G217" i="4"/>
  <c r="N28" i="3" s="1"/>
  <c r="G218" i="4"/>
  <c r="G219" i="4"/>
  <c r="G220" i="4"/>
  <c r="G221" i="4"/>
  <c r="G222" i="4"/>
  <c r="G223" i="4"/>
  <c r="G224" i="4"/>
  <c r="G225" i="4"/>
  <c r="G226" i="4"/>
  <c r="G227" i="4"/>
  <c r="N21" i="3" s="1"/>
  <c r="G228" i="4"/>
  <c r="G229" i="4"/>
  <c r="G230" i="4"/>
  <c r="G231" i="4"/>
  <c r="G232" i="4"/>
  <c r="N10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41" i="3"/>
  <c r="N26" i="3"/>
  <c r="N38" i="3"/>
  <c r="N39" i="3"/>
  <c r="N37" i="3"/>
  <c r="N34" i="3"/>
  <c r="N24" i="3"/>
  <c r="N7" i="3"/>
  <c r="N45" i="3"/>
  <c r="N49" i="3"/>
  <c r="N50" i="3"/>
  <c r="N15" i="3"/>
  <c r="N35" i="3"/>
  <c r="N51" i="3"/>
  <c r="N55" i="3"/>
  <c r="N48" i="3"/>
  <c r="H7" i="6"/>
  <c r="N19" i="3"/>
  <c r="N36" i="3"/>
  <c r="N22" i="3"/>
  <c r="N33" i="3"/>
  <c r="N9" i="3"/>
  <c r="N8" i="3"/>
  <c r="N32" i="3"/>
  <c r="H23" i="6"/>
  <c r="H14" i="6"/>
  <c r="H27" i="6"/>
  <c r="H21" i="6"/>
  <c r="H8" i="6"/>
  <c r="H18" i="6"/>
  <c r="H13" i="6"/>
  <c r="H6" i="6"/>
  <c r="H17" i="6"/>
  <c r="H19" i="6"/>
  <c r="H9" i="6"/>
  <c r="H16" i="6"/>
  <c r="H24" i="6"/>
  <c r="H25" i="6"/>
  <c r="H22" i="6"/>
  <c r="H15" i="6"/>
  <c r="F30" i="6"/>
  <c r="I30" i="6"/>
  <c r="G30" i="6"/>
  <c r="H30" i="6"/>
  <c r="J30" i="6"/>
  <c r="B31" i="6"/>
  <c r="L13" i="1"/>
  <c r="G31" i="6" l="1"/>
  <c r="I31" i="6"/>
  <c r="J31" i="6"/>
  <c r="F31" i="6"/>
  <c r="H31" i="6"/>
  <c r="B3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2" i="6" l="1"/>
  <c r="G32" i="6"/>
  <c r="I32" i="6"/>
  <c r="J32" i="6"/>
  <c r="H32" i="6"/>
  <c r="B33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3" i="6" l="1"/>
  <c r="H33" i="6"/>
  <c r="J33" i="6"/>
  <c r="I33" i="6"/>
  <c r="F33" i="6"/>
  <c r="B3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5" i="6" l="1"/>
  <c r="F34" i="6"/>
  <c r="G34" i="6"/>
  <c r="I34" i="6"/>
  <c r="H34" i="6"/>
  <c r="J34" i="6"/>
  <c r="M30" i="5"/>
  <c r="M29" i="5"/>
  <c r="M27" i="5"/>
  <c r="G35" i="6" l="1"/>
  <c r="I35" i="6"/>
  <c r="J35" i="6"/>
  <c r="H35" i="6"/>
  <c r="F35" i="6"/>
  <c r="B36" i="6"/>
  <c r="M26" i="5"/>
  <c r="B37" i="6" l="1"/>
  <c r="F36" i="6"/>
  <c r="G36" i="6"/>
  <c r="H36" i="6"/>
  <c r="J36" i="6"/>
  <c r="I36" i="6"/>
  <c r="AH13" i="1"/>
  <c r="J7" i="1"/>
  <c r="G37" i="6" l="1"/>
  <c r="F37" i="6"/>
  <c r="H37" i="6"/>
  <c r="J37" i="6"/>
  <c r="I37" i="6"/>
  <c r="B38" i="6"/>
  <c r="X6" i="1"/>
  <c r="W6" i="1"/>
  <c r="V6" i="1"/>
  <c r="S6" i="1"/>
  <c r="R2" i="1"/>
  <c r="I2" i="1"/>
  <c r="O6" i="1"/>
  <c r="N6" i="1"/>
  <c r="M6" i="1"/>
  <c r="J6" i="1"/>
  <c r="B39" i="6" l="1"/>
  <c r="I38" i="6"/>
  <c r="G38" i="6"/>
  <c r="H38" i="6"/>
  <c r="J38" i="6"/>
  <c r="F38" i="6"/>
  <c r="P3" i="5"/>
  <c r="G39" i="6" l="1"/>
  <c r="I39" i="6"/>
  <c r="J39" i="6"/>
  <c r="F39" i="6"/>
  <c r="H39" i="6"/>
  <c r="B40" i="6"/>
  <c r="M18" i="5"/>
  <c r="B41" i="6" l="1"/>
  <c r="F40" i="6"/>
  <c r="G40" i="6"/>
  <c r="I40" i="6"/>
  <c r="J40" i="6"/>
  <c r="H40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1" i="6" l="1"/>
  <c r="I41" i="6"/>
  <c r="J41" i="6"/>
  <c r="F41" i="6"/>
  <c r="H41" i="6"/>
  <c r="B42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3" i="6" l="1"/>
  <c r="F42" i="6"/>
  <c r="G42" i="6"/>
  <c r="I42" i="6"/>
  <c r="H42" i="6"/>
  <c r="J42" i="6"/>
  <c r="G259" i="4"/>
  <c r="G260" i="4"/>
  <c r="G261" i="4"/>
  <c r="G262" i="4"/>
  <c r="G263" i="4"/>
  <c r="G264" i="4"/>
  <c r="G265" i="4"/>
  <c r="B44" i="6" l="1"/>
  <c r="G43" i="6"/>
  <c r="I43" i="6"/>
  <c r="H43" i="6"/>
  <c r="J43" i="6"/>
  <c r="F43" i="6"/>
  <c r="M14" i="5"/>
  <c r="M13" i="5"/>
  <c r="M12" i="5"/>
  <c r="M11" i="5"/>
  <c r="M10" i="5"/>
  <c r="M9" i="5"/>
  <c r="M8" i="5"/>
  <c r="M7" i="5"/>
  <c r="M6" i="5"/>
  <c r="M5" i="5"/>
  <c r="M4" i="5"/>
  <c r="M3" i="5"/>
  <c r="F44" i="6" l="1"/>
  <c r="G44" i="6"/>
  <c r="I44" i="6"/>
  <c r="J44" i="6"/>
  <c r="H44" i="6"/>
  <c r="B45" i="6"/>
  <c r="U13" i="1"/>
  <c r="S13" i="1" s="1"/>
  <c r="O3" i="3"/>
  <c r="H45" i="6" l="1"/>
  <c r="I45" i="6"/>
  <c r="F45" i="6"/>
  <c r="G45" i="6"/>
  <c r="J45" i="6"/>
  <c r="B4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7" i="6" l="1"/>
  <c r="F47" i="6" s="1"/>
  <c r="F46" i="6"/>
  <c r="G46" i="6"/>
  <c r="I46" i="6"/>
  <c r="H46" i="6"/>
  <c r="J46" i="6"/>
  <c r="J8" i="1"/>
  <c r="J4" i="1"/>
  <c r="S8" i="1"/>
  <c r="S4" i="1"/>
  <c r="J47" i="6" l="1"/>
  <c r="I47" i="6"/>
  <c r="G47" i="6"/>
  <c r="H47" i="6"/>
  <c r="B48" i="6"/>
  <c r="S9" i="1"/>
  <c r="J9" i="1"/>
  <c r="B49" i="6" l="1"/>
  <c r="H48" i="6"/>
  <c r="J48" i="6"/>
  <c r="F48" i="6"/>
  <c r="G48" i="6"/>
  <c r="I48" i="6"/>
  <c r="S11" i="1"/>
  <c r="A11" i="1"/>
  <c r="B50" i="6" l="1"/>
  <c r="F49" i="6"/>
  <c r="I49" i="6"/>
  <c r="J49" i="6"/>
  <c r="G49" i="6"/>
  <c r="H49" i="6"/>
  <c r="B1" i="6"/>
  <c r="A5" i="3"/>
  <c r="B51" i="6" l="1"/>
  <c r="G50" i="6"/>
  <c r="H50" i="6"/>
  <c r="F50" i="6"/>
  <c r="I50" i="6"/>
  <c r="J50" i="6"/>
  <c r="G51" i="6" l="1"/>
  <c r="H51" i="6"/>
  <c r="I51" i="6"/>
  <c r="J51" i="6"/>
  <c r="F51" i="6"/>
  <c r="B52" i="6"/>
  <c r="H52" i="6" l="1"/>
  <c r="F52" i="6"/>
  <c r="G52" i="6"/>
  <c r="I52" i="6"/>
  <c r="J52" i="6"/>
  <c r="B53" i="6"/>
  <c r="B54" i="6" l="1"/>
  <c r="G53" i="6"/>
  <c r="H53" i="6"/>
  <c r="I53" i="6"/>
  <c r="J53" i="6"/>
  <c r="F53" i="6"/>
  <c r="B55" i="6" l="1"/>
  <c r="I54" i="6"/>
  <c r="G54" i="6"/>
  <c r="F54" i="6"/>
  <c r="H54" i="6"/>
  <c r="J54" i="6"/>
  <c r="B3" i="6"/>
  <c r="G55" i="6" l="1"/>
  <c r="F55" i="6"/>
  <c r="H55" i="6"/>
  <c r="I55" i="6"/>
  <c r="J55" i="6"/>
  <c r="B56" i="6"/>
  <c r="I3" i="6"/>
  <c r="F3" i="6"/>
  <c r="J3" i="6"/>
  <c r="G3" i="6"/>
  <c r="H3" i="6"/>
  <c r="B4" i="6"/>
  <c r="H56" i="6" l="1"/>
  <c r="J56" i="6"/>
  <c r="F56" i="6"/>
  <c r="G56" i="6"/>
  <c r="I56" i="6"/>
  <c r="B57" i="6"/>
  <c r="I4" i="6"/>
  <c r="F4" i="6"/>
  <c r="B5" i="6"/>
  <c r="G4" i="6"/>
  <c r="J4" i="6"/>
  <c r="H4" i="6"/>
  <c r="B58" i="6" l="1"/>
  <c r="F57" i="6"/>
  <c r="G57" i="6"/>
  <c r="I57" i="6"/>
  <c r="H57" i="6"/>
  <c r="J57" i="6"/>
  <c r="I5" i="6"/>
  <c r="F5" i="6"/>
  <c r="G5" i="6"/>
  <c r="J5" i="6"/>
  <c r="H5" i="6"/>
  <c r="F58" i="6" l="1"/>
  <c r="G58" i="6"/>
  <c r="J58" i="6"/>
  <c r="H58" i="6"/>
  <c r="I58" i="6"/>
  <c r="B59" i="6"/>
  <c r="G59" i="6" l="1"/>
  <c r="J59" i="6"/>
  <c r="F59" i="6"/>
  <c r="H59" i="6"/>
  <c r="I59" i="6"/>
  <c r="B60" i="6"/>
  <c r="B61" i="6" l="1"/>
  <c r="F60" i="6"/>
  <c r="G60" i="6"/>
  <c r="H60" i="6"/>
  <c r="I60" i="6"/>
  <c r="J60" i="6"/>
  <c r="B62" i="6" l="1"/>
  <c r="J61" i="6"/>
  <c r="F61" i="6"/>
  <c r="I61" i="6"/>
  <c r="G61" i="6"/>
  <c r="H61" i="6"/>
  <c r="B63" i="6" l="1"/>
  <c r="G62" i="6"/>
  <c r="H62" i="6"/>
  <c r="F62" i="6"/>
  <c r="I62" i="6"/>
  <c r="J62" i="6"/>
  <c r="G63" i="6" l="1"/>
  <c r="I63" i="6"/>
  <c r="J63" i="6"/>
  <c r="F63" i="6"/>
  <c r="H63" i="6"/>
  <c r="B64" i="6"/>
  <c r="B65" i="6" l="1"/>
  <c r="J64" i="6"/>
  <c r="F64" i="6"/>
  <c r="H64" i="6"/>
  <c r="G64" i="6"/>
  <c r="I64" i="6"/>
  <c r="B66" i="6" l="1"/>
  <c r="H65" i="6"/>
  <c r="F65" i="6"/>
  <c r="I65" i="6"/>
  <c r="J65" i="6"/>
  <c r="G65" i="6"/>
  <c r="B68" i="6" l="1"/>
  <c r="B67" i="6"/>
  <c r="G66" i="6"/>
  <c r="H66" i="6"/>
  <c r="F66" i="6"/>
  <c r="I66" i="6"/>
  <c r="J66" i="6"/>
  <c r="G67" i="6" l="1"/>
  <c r="H67" i="6"/>
  <c r="I67" i="6"/>
  <c r="J67" i="6"/>
  <c r="F67" i="6"/>
  <c r="H68" i="6"/>
  <c r="J68" i="6"/>
  <c r="G68" i="6"/>
  <c r="I68" i="6"/>
  <c r="F6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<sst xmlns="http://schemas.openxmlformats.org/spreadsheetml/2006/main" count="2912" uniqueCount="1009">
  <si>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</si>
  <si>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</si>
  <si>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</si>
  <si>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</si>
  <si>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</si>
  <si>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</si>
  <si>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</si>
  <si>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</si>
  <si>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</si>
  <si>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</si>
  <si>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</si>
  <si>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</si>
  <si>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</si>
  <si>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</si>
  <si>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</si>
  <si>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</si>
  <si>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</si>
  <si>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</si>
  <si>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</si>
  <si>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</si>
  <si>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</si>
  <si>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</si>
  <si>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</si>
  <si>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</si>
  <si>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</si>
  <si>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</si>
  <si>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</si>
  <si>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</si>
  <si>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</si>
  <si>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</si>
  <si>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</si>
  <si>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</si>
  <si>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</si>
  <si>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</si>
  <si>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</si>
  <si>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</si>
  <si>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</si>
  <si>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</si>
  <si>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</si>
  <si>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</si>
  <si>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</si>
  <si>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</si>
  <si>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</si>
  <si>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</si>
  <si>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</si>
  <si>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</si>
  <si>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</si>
  <si>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</si>
  <si>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</si>
  <si>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</si>
  <si>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</si>
  <si>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</si>
  <si>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</si>
  <si>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</si>
  <si>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</si>
  <si>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</si>
  <si>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</si>
  <si>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</si>
  <si>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</si>
  <si>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</si>
  <si>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</si>
  <si>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</si>
  <si>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</si>
  <si>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</si>
  <si>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</si>
  <si>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</si>
  <si>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</si>
  <si>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</si>
  <si>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</si>
  <si>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</si>
  <si>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</si>
  <si>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</si>
  <si>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</si>
  <si>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</si>
  <si>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</si>
  <si>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</si>
  <si>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</si>
  <si>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</si>
  <si>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</si>
  <si>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</si>
  <si>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</si>
  <si>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</si>
  <si>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</si>
  <si>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</si>
  <si>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</si>
  <si>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</si>
  <si>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</si>
  <si>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</si>
  <si>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</si>
  <si>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</si>
  <si>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</si>
  <si>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</si>
  <si>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</si>
  <si>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</si>
  <si>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</si>
  <si>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</si>
  <si>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</si>
  <si>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</si>
  <si>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</si>
  <si>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</si>
  <si>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</si>
  <si>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</si>
  <si>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</si>
  <si>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</si>
  <si>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</si>
  <si>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</si>
  <si>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</si>
  <si>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</si>
  <si>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</si>
  <si>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</si>
  <si>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</si>
  <si>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</si>
  <si>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</si>
  <si>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</si>
  <si>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</si>
  <si>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</si>
  <si>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</si>
  <si>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</si>
  <si>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</si>
  <si>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</si>
  <si>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</si>
  <si>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</si>
  <si>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</si>
  <si>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</si>
  <si>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</si>
  <si>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</si>
  <si>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</si>
  <si>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</si>
  <si>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</si>
  <si>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</si>
  <si>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</si>
  <si>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</si>
  <si>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</si>
  <si>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</si>
  <si>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</si>
  <si>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</si>
  <si>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</si>
  <si>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</si>
  <si>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</si>
  <si>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</si>
  <si>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</si>
  <si>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</si>
  <si>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</si>
  <si>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</si>
  <si>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</si>
  <si>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</si>
  <si>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</si>
  <si>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</si>
  <si>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</si>
  <si>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</si>
  <si>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</si>
  <si>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</si>
  <si>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</si>
  <si>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</si>
  <si>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</si>
  <si>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</si>
  <si>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</si>
  <si>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</si>
  <si>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</si>
  <si>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</si>
  <si>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</si>
  <si>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</si>
  <si>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</si>
  <si>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</si>
  <si>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</si>
  <si>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</si>
  <si>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</si>
  <si>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</si>
  <si>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</si>
  <si>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</si>
  <si>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</si>
  <si>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</si>
  <si>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</si>
  <si>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</si>
  <si>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</si>
  <si>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</si>
  <si>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</si>
  <si>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</si>
  <si>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</si>
  <si>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</si>
  <si>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</si>
  <si>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</si>
  <si>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</si>
  <si>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</si>
  <si>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</si>
  <si>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</si>
  <si>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</si>
  <si>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</si>
  <si>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</si>
  <si>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</si>
  <si>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</si>
  <si>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</si>
  <si>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</si>
  <si>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</si>
  <si>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</si>
  <si>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</si>
  <si>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</si>
  <si>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</si>
  <si>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</si>
  <si>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</si>
  <si>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</si>
  <si>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</si>
  <si>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</si>
  <si>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</si>
  <si>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</si>
  <si>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</si>
  <si>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</si>
  <si>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</si>
  <si>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</si>
  <si>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</si>
  <si>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</si>
  <si>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</si>
  <si>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</si>
  <si>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</si>
  <si>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</si>
  <si>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</si>
  <si>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</si>
  <si>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</si>
  <si>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</si>
  <si>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</si>
  <si>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</si>
  <si>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</si>
  <si>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</si>
  <si>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</si>
  <si>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</si>
  <si>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</si>
  <si>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</si>
  <si>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</si>
  <si>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</si>
  <si>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</si>
  <si>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</si>
  <si>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</si>
  <si>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</si>
  <si>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</si>
  <si>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</si>
  <si>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</si>
  <si>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</si>
  <si>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</si>
  <si>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</si>
  <si>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</si>
  <si>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</si>
  <si>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</si>
  <si>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</si>
  <si>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</si>
  <si>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</si>
  <si>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</si>
  <si>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</si>
  <si>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</si>
  <si>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</si>
  <si>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</si>
  <si>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</si>
  <si>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</si>
  <si>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</si>
  <si>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</si>
  <si>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</si>
  <si>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</si>
  <si>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</si>
  <si>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</si>
  <si>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</si>
  <si>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</si>
  <si>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</si>
  <si>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</si>
  <si>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</si>
  <si>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</si>
  <si>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</si>
  <si>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</si>
  <si>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</si>
  <si>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</si>
  <si>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</si>
  <si>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</si>
  <si>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</si>
  <si>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</si>
  <si>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</si>
  <si>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</si>
  <si>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</si>
  <si>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</si>
  <si>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</si>
  <si>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</si>
  <si>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</si>
  <si>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</si>
  <si>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</si>
  <si>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</si>
  <si>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</si>
  <si>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</si>
  <si>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</si>
  <si>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</si>
  <si>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</si>
  <si>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</si>
  <si>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</si>
  <si>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</si>
  <si>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</si>
  <si>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</si>
  <si>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</si>
  <si>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</si>
  <si>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</si>
  <si>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</si>
  <si>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</si>
  <si>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</si>
  <si>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</si>
  <si>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</si>
  <si>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</si>
  <si>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</si>
  <si>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</si>
  <si>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</si>
  <si>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</si>
  <si>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</si>
  <si>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</si>
  <si>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</si>
  <si>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</si>
  <si>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</si>
  <si>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</si>
  <si>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</si>
  <si>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</si>
  <si>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</si>
  <si>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</si>
  <si>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</si>
  <si>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</si>
  <si>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</si>
  <si>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</si>
  <si>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</si>
  <si>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</si>
  <si>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</si>
  <si>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</si>
  <si>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</si>
  <si>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</si>
  <si>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</si>
  <si>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</si>
  <si>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</si>
  <si>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</si>
  <si>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</si>
  <si>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</si>
  <si>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</si>
  <si>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</si>
  <si>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</si>
  <si>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</si>
  <si>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</si>
  <si>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</si>
  <si>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</si>
  <si>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</si>
  <si>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</si>
  <si>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</si>
  <si>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</si>
  <si>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</si>
  <si>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</si>
  <si>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</si>
  <si>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</si>
  <si>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</si>
  <si>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</si>
  <si>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</si>
  <si>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</si>
  <si>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</si>
  <si>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</si>
  <si>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</si>
  <si>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</si>
  <si>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</si>
  <si>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</si>
  <si>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</si>
  <si>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</si>
  <si>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</si>
  <si>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</si>
  <si>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</si>
  <si>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</si>
  <si>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</si>
  <si>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</si>
  <si>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</si>
  <si>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</si>
  <si>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</si>
  <si>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</si>
  <si>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</si>
  <si>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</si>
  <si>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</si>
  <si>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</si>
  <si>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</si>
  <si>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</si>
  <si>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</si>
  <si>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</si>
  <si>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</si>
  <si>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</si>
  <si>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</si>
  <si>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</si>
  <si>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</si>
  <si>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</si>
  <si>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</si>
  <si>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</si>
  <si>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</si>
  <si>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</si>
  <si>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</si>
  <si>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</si>
  <si>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</si>
  <si>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</si>
  <si>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</si>
  <si>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</si>
  <si>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</si>
  <si>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</si>
  <si>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</si>
  <si>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</si>
  <si>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</si>
  <si>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</si>
  <si>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</si>
  <si>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</si>
  <si>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</si>
  <si>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</si>
  <si>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</si>
  <si>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</si>
  <si>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</si>
  <si>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</si>
  <si>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</si>
  <si>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204:477</t>
  </si>
  <si>
    <t>300:58617</t>
  </si>
  <si>
    <t>SWANSON</t>
  </si>
  <si>
    <t>BRYCE</t>
  </si>
  <si>
    <t>rtdc.l.rtdc.4001:itc</t>
  </si>
  <si>
    <t>BROWN</t>
  </si>
  <si>
    <t>JACOB</t>
  </si>
  <si>
    <t>SULLIVAN</t>
  </si>
  <si>
    <t>BRANDON</t>
  </si>
  <si>
    <t>300:23304</t>
  </si>
  <si>
    <t>rtdc.l.rtdc.4002:itc</t>
  </si>
  <si>
    <t>204:154</t>
  </si>
  <si>
    <t>Early arrival</t>
  </si>
  <si>
    <t>204:233297</t>
  </si>
  <si>
    <t>204:233295</t>
  </si>
  <si>
    <t>204:232974</t>
  </si>
  <si>
    <t>204:232982</t>
  </si>
  <si>
    <t>204:233011</t>
  </si>
  <si>
    <t>204:473</t>
  </si>
  <si>
    <t>rtdc.l.rtdc.4049:itc</t>
  </si>
  <si>
    <t>rtdc.l.rtdc.4030:itc</t>
  </si>
  <si>
    <t>rtdc.l.rtdc.4050:itc</t>
  </si>
  <si>
    <t>SPECTOR</t>
  </si>
  <si>
    <t>CLARK</t>
  </si>
  <si>
    <t>KATHLEEN</t>
  </si>
  <si>
    <t>204:469</t>
  </si>
  <si>
    <t>204:232993</t>
  </si>
  <si>
    <t>204:121</t>
  </si>
  <si>
    <t>300:58954</t>
  </si>
  <si>
    <t>rtdc.l.rtdc.4008:itc</t>
  </si>
  <si>
    <t>rtdc.l.rtdc.4007:itc</t>
  </si>
  <si>
    <t>rtdc.l.rtdc.4018:itc</t>
  </si>
  <si>
    <t>rtdc.l.rtdc.4053:itc</t>
  </si>
  <si>
    <t>rtdc.l.rtdc.4054:itc</t>
  </si>
  <si>
    <t>rtdc.l.rtdc.4059:itc</t>
  </si>
  <si>
    <t>59-16</t>
  </si>
  <si>
    <t>243-16</t>
  </si>
  <si>
    <t>rtdc.l.rtdc.4012:itc</t>
  </si>
  <si>
    <t>rtdc.l.rtdc.4011:itc</t>
  </si>
  <si>
    <t>66-16</t>
  </si>
  <si>
    <t>rtdc.l.rtdc.4060:itc</t>
  </si>
  <si>
    <t>60-16</t>
  </si>
  <si>
    <t>65-16</t>
  </si>
  <si>
    <t>908-16</t>
  </si>
  <si>
    <t>234-16</t>
  </si>
  <si>
    <t>237-16</t>
  </si>
  <si>
    <t>236-16</t>
  </si>
  <si>
    <t>239-16</t>
  </si>
  <si>
    <t>241-16</t>
  </si>
  <si>
    <t>238-16</t>
  </si>
  <si>
    <t>240-16</t>
  </si>
  <si>
    <t>315-16</t>
  </si>
  <si>
    <t>242-16</t>
  </si>
  <si>
    <t>309-16</t>
  </si>
  <si>
    <t>244-16</t>
  </si>
  <si>
    <t>311-16</t>
  </si>
  <si>
    <t>313-16</t>
  </si>
  <si>
    <t>Light Rain</t>
  </si>
  <si>
    <t>204:233291</t>
  </si>
  <si>
    <t>204:471</t>
  </si>
  <si>
    <t>204:233312</t>
  </si>
  <si>
    <t>204:233000</t>
  </si>
  <si>
    <t>204:233321</t>
  </si>
  <si>
    <t>204:233301</t>
  </si>
  <si>
    <t>204:233342</t>
  </si>
  <si>
    <t>300:23308</t>
  </si>
  <si>
    <t>204:478</t>
  </si>
  <si>
    <t>300:58941</t>
  </si>
  <si>
    <t>300:58624</t>
  </si>
  <si>
    <t>300:58943</t>
  </si>
  <si>
    <t>204:981</t>
  </si>
  <si>
    <t>Onboard in-route failure</t>
  </si>
  <si>
    <t>rtdc.l.rtdc.4056:itc</t>
  </si>
  <si>
    <t>rtdc.l.rtdc.4029:itc</t>
  </si>
  <si>
    <t>rtdc.l.rtdc.4024:itc</t>
  </si>
  <si>
    <t>rtdc.l.rtdc.4055:itc</t>
  </si>
  <si>
    <t>Y</t>
  </si>
  <si>
    <t>BADERTSCHER</t>
  </si>
  <si>
    <t>DIANE</t>
  </si>
  <si>
    <t>GEBRETEKLE</t>
  </si>
  <si>
    <t>DAGNEW</t>
  </si>
  <si>
    <t>rtdc.l.rtdc.4023:itc</t>
  </si>
  <si>
    <t>204:233299</t>
  </si>
  <si>
    <t>204:233325</t>
  </si>
  <si>
    <t>204:233025</t>
  </si>
  <si>
    <t>204:233353</t>
  </si>
  <si>
    <t>204:232987</t>
  </si>
  <si>
    <t>204:233306</t>
  </si>
  <si>
    <t>204:438</t>
  </si>
  <si>
    <t>204:233021</t>
  </si>
  <si>
    <t>204:232955</t>
  </si>
  <si>
    <t>204:232965</t>
  </si>
  <si>
    <t>204:233343</t>
  </si>
  <si>
    <t>204:233326</t>
  </si>
  <si>
    <t>300:23301</t>
  </si>
  <si>
    <t>204:979</t>
  </si>
  <si>
    <t>300:58937</t>
  </si>
  <si>
    <t>300:58623</t>
  </si>
  <si>
    <t>204:715</t>
  </si>
  <si>
    <t>Wi-MAX data drop</t>
  </si>
  <si>
    <t>Track device (7)</t>
  </si>
  <si>
    <t>rtdc.l.rtdc.4009:itc</t>
  </si>
  <si>
    <t>rtdc.l.rtdc.4010:itc</t>
  </si>
  <si>
    <t>241-18</t>
  </si>
  <si>
    <t>rtdc.l.rtdc.4062:itc</t>
  </si>
  <si>
    <t>238-18</t>
  </si>
  <si>
    <t>ROBINSON</t>
  </si>
  <si>
    <t>KADDIBA</t>
  </si>
  <si>
    <t>MACDONALD</t>
  </si>
  <si>
    <t>rtdc.l.rtdc.4026:itc</t>
  </si>
  <si>
    <t>ARVIDSON</t>
  </si>
  <si>
    <t>DANIEL</t>
  </si>
  <si>
    <t>LOPES</t>
  </si>
  <si>
    <t>KIMBERLY</t>
  </si>
  <si>
    <t>LALONDE</t>
  </si>
  <si>
    <t>GREGORY</t>
  </si>
  <si>
    <t>WHITED</t>
  </si>
  <si>
    <t>DUSTIN</t>
  </si>
  <si>
    <t>YANG</t>
  </si>
  <si>
    <t>JAN</t>
  </si>
  <si>
    <t>PERKINS</t>
  </si>
  <si>
    <t>DARREN</t>
  </si>
  <si>
    <t>rtdc.l.rtdc.4061:itc</t>
  </si>
  <si>
    <t>236-18</t>
  </si>
  <si>
    <t>239-18</t>
  </si>
  <si>
    <t>243-18</t>
  </si>
  <si>
    <t>240-18</t>
  </si>
  <si>
    <t>4061-18</t>
  </si>
  <si>
    <t>315-18</t>
  </si>
  <si>
    <t>242-18</t>
  </si>
  <si>
    <t>309-18</t>
  </si>
  <si>
    <t>244-18</t>
  </si>
  <si>
    <t>4062-18</t>
  </si>
  <si>
    <t>311-18</t>
  </si>
  <si>
    <t>51-19</t>
  </si>
  <si>
    <t>204:165</t>
  </si>
  <si>
    <t>204:233023</t>
  </si>
  <si>
    <t>204:426</t>
  </si>
  <si>
    <t>204:233334</t>
  </si>
  <si>
    <t>204:233288</t>
  </si>
  <si>
    <t>204:233076</t>
  </si>
  <si>
    <t>204:233302</t>
  </si>
  <si>
    <t>204:233282</t>
  </si>
  <si>
    <t>204:232983</t>
  </si>
  <si>
    <t>204:232978</t>
  </si>
  <si>
    <t>204:233136</t>
  </si>
  <si>
    <t>204:440</t>
  </si>
  <si>
    <t>204:233013</t>
  </si>
  <si>
    <t>204:233338</t>
  </si>
  <si>
    <t>204:233038</t>
  </si>
  <si>
    <t>204:233051</t>
  </si>
  <si>
    <t>204:233015</t>
  </si>
  <si>
    <t>204:233315</t>
  </si>
  <si>
    <t>204:233066</t>
  </si>
  <si>
    <t>204:232985</t>
  </si>
  <si>
    <t>204:233332</t>
  </si>
  <si>
    <t>204:971</t>
  </si>
  <si>
    <t>204:708</t>
  </si>
  <si>
    <t>204:986</t>
  </si>
  <si>
    <t>204:972</t>
  </si>
  <si>
    <t>300:58630</t>
  </si>
  <si>
    <t>204:694</t>
  </si>
  <si>
    <t>204:703</t>
  </si>
  <si>
    <t>300:58655</t>
  </si>
  <si>
    <t>204:701</t>
  </si>
  <si>
    <t>300:58640</t>
  </si>
  <si>
    <t>300:58969</t>
  </si>
  <si>
    <t>204:983</t>
  </si>
  <si>
    <t>300:58950</t>
  </si>
  <si>
    <t>204:1190</t>
  </si>
  <si>
    <t>302-21</t>
  </si>
  <si>
    <t>308-21</t>
  </si>
  <si>
    <t>Unknown (0)</t>
  </si>
  <si>
    <t>310-21</t>
  </si>
  <si>
    <t>109-21</t>
  </si>
  <si>
    <t>SWITCH UNKNOWN</t>
  </si>
  <si>
    <t>117-21</t>
  </si>
  <si>
    <t>119-21</t>
  </si>
  <si>
    <t>118-21</t>
  </si>
  <si>
    <t>124-21</t>
  </si>
  <si>
    <t>EQUIPMENT RESTRICTION</t>
  </si>
  <si>
    <t>126-21</t>
  </si>
  <si>
    <t>141-21</t>
  </si>
  <si>
    <t>138-21</t>
  </si>
  <si>
    <t>143-21</t>
  </si>
  <si>
    <t>147-21</t>
  </si>
  <si>
    <t>146-21</t>
  </si>
  <si>
    <t>152-21</t>
  </si>
  <si>
    <t>53-21</t>
  </si>
  <si>
    <t>154-21</t>
  </si>
  <si>
    <t>1813-21</t>
  </si>
  <si>
    <t>162-21</t>
  </si>
  <si>
    <t>168-21</t>
  </si>
  <si>
    <t>170-21</t>
  </si>
  <si>
    <t>183-21</t>
  </si>
  <si>
    <t>188-21</t>
  </si>
  <si>
    <t>197-21</t>
  </si>
  <si>
    <t>198-21</t>
  </si>
  <si>
    <t>209-21</t>
  </si>
  <si>
    <t>1824-21</t>
  </si>
  <si>
    <t>50-21</t>
  </si>
  <si>
    <t>54-21</t>
  </si>
  <si>
    <t>218-21</t>
  </si>
  <si>
    <t>rtdc.l.rtdc.4041:itc</t>
  </si>
  <si>
    <t>220-21</t>
  </si>
  <si>
    <t>225-21</t>
  </si>
  <si>
    <t>1832-21</t>
  </si>
  <si>
    <t>228-21</t>
  </si>
  <si>
    <t>233-21</t>
  </si>
  <si>
    <t>234-21</t>
  </si>
  <si>
    <t>236-21</t>
  </si>
  <si>
    <t>241-21</t>
  </si>
  <si>
    <t>242-20</t>
  </si>
  <si>
    <t>STAMBAUGH</t>
  </si>
  <si>
    <t>245-20</t>
  </si>
  <si>
    <t>309-20</t>
  </si>
  <si>
    <t>244-20</t>
  </si>
  <si>
    <t>80-20</t>
  </si>
  <si>
    <t>311-20</t>
  </si>
  <si>
    <t>246-20</t>
  </si>
  <si>
    <t>313-20</t>
  </si>
  <si>
    <t>81-20</t>
  </si>
  <si>
    <t>315-20</t>
  </si>
  <si>
    <t>300-21</t>
  </si>
  <si>
    <t>MAELZER</t>
  </si>
  <si>
    <t>KURT</t>
  </si>
  <si>
    <t>101-21</t>
  </si>
  <si>
    <t>51-21</t>
  </si>
  <si>
    <t>DE LA ROSA</t>
  </si>
  <si>
    <t>ALEX</t>
  </si>
  <si>
    <t>52-21</t>
  </si>
  <si>
    <t>103-21</t>
  </si>
  <si>
    <t>304-21</t>
  </si>
  <si>
    <t>DAVIS</t>
  </si>
  <si>
    <t>WENDY</t>
  </si>
  <si>
    <t>306-21</t>
  </si>
  <si>
    <t>102-21</t>
  </si>
  <si>
    <t>105-21</t>
  </si>
  <si>
    <t>107-21</t>
  </si>
  <si>
    <t>104-21</t>
  </si>
  <si>
    <t>111-21</t>
  </si>
  <si>
    <t>113-21</t>
  </si>
  <si>
    <t>106-21</t>
  </si>
  <si>
    <t>108-21</t>
  </si>
  <si>
    <t>312-21</t>
  </si>
  <si>
    <t>1901-21</t>
  </si>
  <si>
    <t>DAVIDSON</t>
  </si>
  <si>
    <t>DAVID</t>
  </si>
  <si>
    <t>115-21</t>
  </si>
  <si>
    <t>110-21</t>
  </si>
  <si>
    <t>1800-21</t>
  </si>
  <si>
    <t>112-21</t>
  </si>
  <si>
    <t>114-21</t>
  </si>
  <si>
    <t>1801-21</t>
  </si>
  <si>
    <t>121-21</t>
  </si>
  <si>
    <t>116-21</t>
  </si>
  <si>
    <t>123-21</t>
  </si>
  <si>
    <t>1802-21</t>
  </si>
  <si>
    <t>125-21</t>
  </si>
  <si>
    <t>120-21</t>
  </si>
  <si>
    <t>127-21</t>
  </si>
  <si>
    <t>1803-21</t>
  </si>
  <si>
    <t>122-21</t>
  </si>
  <si>
    <t>129-21</t>
  </si>
  <si>
    <t>131-21</t>
  </si>
  <si>
    <t>1804-21</t>
  </si>
  <si>
    <t>128-21</t>
  </si>
  <si>
    <t>133-21</t>
  </si>
  <si>
    <t>135-21</t>
  </si>
  <si>
    <t>1805-21</t>
  </si>
  <si>
    <t>130-21</t>
  </si>
  <si>
    <t>137-21</t>
  </si>
  <si>
    <t>132-21</t>
  </si>
  <si>
    <t>1806-21</t>
  </si>
  <si>
    <t>139-21</t>
  </si>
  <si>
    <t>134-21</t>
  </si>
  <si>
    <t>136-21</t>
  </si>
  <si>
    <t>1807-21</t>
  </si>
  <si>
    <t>145-21</t>
  </si>
  <si>
    <t>140-21</t>
  </si>
  <si>
    <t>1808-21</t>
  </si>
  <si>
    <t>142-21</t>
  </si>
  <si>
    <t>149-21</t>
  </si>
  <si>
    <t>144-21</t>
  </si>
  <si>
    <t>151-21</t>
  </si>
  <si>
    <t>1809-21</t>
  </si>
  <si>
    <t>153-21</t>
  </si>
  <si>
    <t>148-21</t>
  </si>
  <si>
    <t>150-21</t>
  </si>
  <si>
    <t>155-21</t>
  </si>
  <si>
    <t>1810-21</t>
  </si>
  <si>
    <t>157-21</t>
  </si>
  <si>
    <t>159-21</t>
  </si>
  <si>
    <t>1811-21</t>
  </si>
  <si>
    <t>161-21</t>
  </si>
  <si>
    <t>156-21</t>
  </si>
  <si>
    <t>163-21</t>
  </si>
  <si>
    <t>1812-21</t>
  </si>
  <si>
    <t>158-21</t>
  </si>
  <si>
    <t>165-21</t>
  </si>
  <si>
    <t>BRUDER</t>
  </si>
  <si>
    <t>RICHARD</t>
  </si>
  <si>
    <t>167-21</t>
  </si>
  <si>
    <t>160-21</t>
  </si>
  <si>
    <t>55-21</t>
  </si>
  <si>
    <t>169-21</t>
  </si>
  <si>
    <t>ROMERO</t>
  </si>
  <si>
    <t>CHAD</t>
  </si>
  <si>
    <t>164-21</t>
  </si>
  <si>
    <t>171-21</t>
  </si>
  <si>
    <t>1814-21</t>
  </si>
  <si>
    <t>166-21</t>
  </si>
  <si>
    <t>173-21</t>
  </si>
  <si>
    <t>MCREYNOLDS</t>
  </si>
  <si>
    <t>KYLE</t>
  </si>
  <si>
    <t>rtdc.l.rtdc.4016:itc</t>
  </si>
  <si>
    <t>1815-21</t>
  </si>
  <si>
    <t>rtdc.l.rtdc.4015:itc</t>
  </si>
  <si>
    <t>175-21</t>
  </si>
  <si>
    <t>177-21</t>
  </si>
  <si>
    <t>172-21</t>
  </si>
  <si>
    <t>179-21</t>
  </si>
  <si>
    <t>1816-21</t>
  </si>
  <si>
    <t>174-21</t>
  </si>
  <si>
    <t>181-21</t>
  </si>
  <si>
    <t>176-21</t>
  </si>
  <si>
    <t>1817-21</t>
  </si>
  <si>
    <t>HOLCOMB</t>
  </si>
  <si>
    <t>KAMDEN</t>
  </si>
  <si>
    <t>178-21</t>
  </si>
  <si>
    <t>185-21</t>
  </si>
  <si>
    <t>180-21</t>
  </si>
  <si>
    <t>187-21</t>
  </si>
  <si>
    <t>1818-21</t>
  </si>
  <si>
    <t>182-21</t>
  </si>
  <si>
    <t>184-21</t>
  </si>
  <si>
    <t>189-21</t>
  </si>
  <si>
    <t>191-21</t>
  </si>
  <si>
    <t>1819-21</t>
  </si>
  <si>
    <t>186-21</t>
  </si>
  <si>
    <t>193-21</t>
  </si>
  <si>
    <t>195-21</t>
  </si>
  <si>
    <t>1820-21</t>
  </si>
  <si>
    <t>190-21</t>
  </si>
  <si>
    <t>192-21</t>
  </si>
  <si>
    <t>199-21</t>
  </si>
  <si>
    <t>1821-21</t>
  </si>
  <si>
    <t>194-21</t>
  </si>
  <si>
    <t>201-21</t>
  </si>
  <si>
    <t>196-21</t>
  </si>
  <si>
    <t>203-21</t>
  </si>
  <si>
    <t>1822-21</t>
  </si>
  <si>
    <t>205-21</t>
  </si>
  <si>
    <t>207-21</t>
  </si>
  <si>
    <t>200-21</t>
  </si>
  <si>
    <t>202-21</t>
  </si>
  <si>
    <t>1823-21</t>
  </si>
  <si>
    <t>69-21</t>
  </si>
  <si>
    <t>67-21</t>
  </si>
  <si>
    <t>STORY</t>
  </si>
  <si>
    <t>SAMANTHA</t>
  </si>
  <si>
    <t>204-21</t>
  </si>
  <si>
    <t>211-21</t>
  </si>
  <si>
    <t>206-21</t>
  </si>
  <si>
    <t>213-21</t>
  </si>
  <si>
    <t>208-21</t>
  </si>
  <si>
    <t>215-21</t>
  </si>
  <si>
    <t>DUNCAN</t>
  </si>
  <si>
    <t>SHEILA</t>
  </si>
  <si>
    <t>1825-21</t>
  </si>
  <si>
    <t>210-21</t>
  </si>
  <si>
    <t>217-21</t>
  </si>
  <si>
    <t>212-21</t>
  </si>
  <si>
    <t>219-21</t>
  </si>
  <si>
    <t>MAGEE</t>
  </si>
  <si>
    <t>KENYA</t>
  </si>
  <si>
    <t>214-21</t>
  </si>
  <si>
    <t>1826-21</t>
  </si>
  <si>
    <t>301-21</t>
  </si>
  <si>
    <t>216-21</t>
  </si>
  <si>
    <t>221-21</t>
  </si>
  <si>
    <t>303-21</t>
  </si>
  <si>
    <t>1827-21</t>
  </si>
  <si>
    <t>223-21</t>
  </si>
  <si>
    <t>1828-21</t>
  </si>
  <si>
    <t>222-21</t>
  </si>
  <si>
    <t>224-21</t>
  </si>
  <si>
    <t>1829-21</t>
  </si>
  <si>
    <t>227-21</t>
  </si>
  <si>
    <t>229-21</t>
  </si>
  <si>
    <t>1830-21</t>
  </si>
  <si>
    <t>226-21</t>
  </si>
  <si>
    <t>231-21</t>
  </si>
  <si>
    <t>1831-21</t>
  </si>
  <si>
    <t>230-21</t>
  </si>
  <si>
    <t>1833-21</t>
  </si>
  <si>
    <t>232-21</t>
  </si>
  <si>
    <t>235-21</t>
  </si>
  <si>
    <t>1834-21</t>
  </si>
  <si>
    <t>237-21</t>
  </si>
  <si>
    <t>1835-21</t>
  </si>
  <si>
    <t>239-21</t>
  </si>
  <si>
    <t>1902-21</t>
  </si>
  <si>
    <t>238-21</t>
  </si>
  <si>
    <t>240-21</t>
  </si>
  <si>
    <t>243-21</t>
  </si>
  <si>
    <t>307-21</t>
  </si>
  <si>
    <t>242-21</t>
  </si>
  <si>
    <t>309-21</t>
  </si>
  <si>
    <t>244-21</t>
  </si>
  <si>
    <t>311-21</t>
  </si>
  <si>
    <t>313-21</t>
  </si>
  <si>
    <t>fog</t>
  </si>
  <si>
    <t>Foggy</t>
  </si>
  <si>
    <t>partly-cloudy-night</t>
  </si>
  <si>
    <t>Mostly Cloudy</t>
  </si>
  <si>
    <t>Partly Cloudy</t>
  </si>
  <si>
    <t>partly-cloudy-day</t>
  </si>
  <si>
    <t>Drizzle</t>
  </si>
  <si>
    <t>204:810</t>
  </si>
  <si>
    <t>204:233004</t>
  </si>
  <si>
    <t>204:233368</t>
  </si>
  <si>
    <t>204:233082</t>
  </si>
  <si>
    <t>204:437</t>
  </si>
  <si>
    <t>204:233329</t>
  </si>
  <si>
    <t>204:233003</t>
  </si>
  <si>
    <t>204:233308</t>
  </si>
  <si>
    <t>204:233019</t>
  </si>
  <si>
    <t>204:233324</t>
  </si>
  <si>
    <t>204:517</t>
  </si>
  <si>
    <t>204:233310</t>
  </si>
  <si>
    <t>204:233010</t>
  </si>
  <si>
    <t>204:467</t>
  </si>
  <si>
    <t>204:233426</t>
  </si>
  <si>
    <t>204:233274</t>
  </si>
  <si>
    <t>204:232953</t>
  </si>
  <si>
    <t>204:172</t>
  </si>
  <si>
    <t>204:218623</t>
  </si>
  <si>
    <t>204:232998</t>
  </si>
  <si>
    <t>204:232</t>
  </si>
  <si>
    <t>204:233344</t>
  </si>
  <si>
    <t>204:233389</t>
  </si>
  <si>
    <t>204:233072</t>
  </si>
  <si>
    <t>204:488</t>
  </si>
  <si>
    <t>204:233322</t>
  </si>
  <si>
    <t>204:549</t>
  </si>
  <si>
    <t>204:84760</t>
  </si>
  <si>
    <t>204:233309</t>
  </si>
  <si>
    <t>204:232986</t>
  </si>
  <si>
    <t>204:233278</t>
  </si>
  <si>
    <t>204:232966</t>
  </si>
  <si>
    <t>204:262</t>
  </si>
  <si>
    <t>204:232971</t>
  </si>
  <si>
    <t>204:233331</t>
  </si>
  <si>
    <t>204:233395</t>
  </si>
  <si>
    <t>204:233042</t>
  </si>
  <si>
    <t>204:872</t>
  </si>
  <si>
    <t>204:233385</t>
  </si>
  <si>
    <t>204:233374</t>
  </si>
  <si>
    <t>204:233059</t>
  </si>
  <si>
    <t>204:116</t>
  </si>
  <si>
    <t>204:198</t>
  </si>
  <si>
    <t>204:559</t>
  </si>
  <si>
    <t>204:232969</t>
  </si>
  <si>
    <t>204:233055</t>
  </si>
  <si>
    <t>204:161</t>
  </si>
  <si>
    <t>204:233380</t>
  </si>
  <si>
    <t>204:134</t>
  </si>
  <si>
    <t>204:544</t>
  </si>
  <si>
    <t>204:233245</t>
  </si>
  <si>
    <t>204:194</t>
  </si>
  <si>
    <t>204:233372</t>
  </si>
  <si>
    <t>204:233363</t>
  </si>
  <si>
    <t>204:233276</t>
  </si>
  <si>
    <t>300:58615</t>
  </si>
  <si>
    <t>300:58924</t>
  </si>
  <si>
    <t>300:58613</t>
  </si>
  <si>
    <t>204:684</t>
  </si>
  <si>
    <t>204:965</t>
  </si>
  <si>
    <t>300:58911</t>
  </si>
  <si>
    <t>300:58604</t>
  </si>
  <si>
    <t>204:691</t>
  </si>
  <si>
    <t>300:58916</t>
  </si>
  <si>
    <t>204:687</t>
  </si>
  <si>
    <t>204:985</t>
  </si>
  <si>
    <t>300:58918</t>
  </si>
  <si>
    <t>300:58602</t>
  </si>
  <si>
    <t>300:58905</t>
  </si>
  <si>
    <t>300:58594</t>
  </si>
  <si>
    <t>204:976</t>
  </si>
  <si>
    <t>300:58600</t>
  </si>
  <si>
    <t>300:58903</t>
  </si>
  <si>
    <t>300:58581</t>
  </si>
  <si>
    <t>300:58643</t>
  </si>
  <si>
    <t>204:731</t>
  </si>
  <si>
    <t>204:1016</t>
  </si>
  <si>
    <t>300:58935</t>
  </si>
  <si>
    <t>300:57327</t>
  </si>
  <si>
    <t>204:755</t>
  </si>
  <si>
    <t>204:1034</t>
  </si>
  <si>
    <t>300:58656</t>
  </si>
  <si>
    <t>300:41850</t>
  </si>
  <si>
    <t>204:967</t>
  </si>
  <si>
    <t>300:58948</t>
  </si>
  <si>
    <t>300:58636</t>
  </si>
  <si>
    <t>300:42362</t>
  </si>
  <si>
    <t>300:58967</t>
  </si>
  <si>
    <t>300:57335</t>
  </si>
  <si>
    <t>204:685</t>
  </si>
  <si>
    <t>204:233449</t>
  </si>
  <si>
    <t>300:58638</t>
  </si>
  <si>
    <t>204:678</t>
  </si>
  <si>
    <t>204:677</t>
  </si>
  <si>
    <t>204:233101</t>
  </si>
  <si>
    <t>204:508</t>
  </si>
  <si>
    <t>204:192</t>
  </si>
  <si>
    <t>204:233364</t>
  </si>
  <si>
    <t>204:233044</t>
  </si>
  <si>
    <t>204:252</t>
  </si>
  <si>
    <t>300:30472</t>
  </si>
  <si>
    <t>300:21719</t>
  </si>
  <si>
    <t>204:233036</t>
  </si>
  <si>
    <t>204:233347</t>
  </si>
  <si>
    <t>204:233030</t>
  </si>
  <si>
    <t>204:233402</t>
  </si>
  <si>
    <t>204:233106</t>
  </si>
  <si>
    <t>204:540</t>
  </si>
  <si>
    <t>204:233339</t>
  </si>
  <si>
    <t>204:233005</t>
  </si>
  <si>
    <t>204:233305</t>
  </si>
  <si>
    <t>204:484</t>
  </si>
  <si>
    <t>204:233425</t>
  </si>
  <si>
    <t>204:233128</t>
  </si>
  <si>
    <t>204:233418</t>
  </si>
  <si>
    <t>204:233092</t>
  </si>
  <si>
    <t>204:232967</t>
  </si>
  <si>
    <t>204:233420</t>
  </si>
  <si>
    <t>204:233048</t>
  </si>
  <si>
    <t>204:233453</t>
  </si>
  <si>
    <t>204:112</t>
  </si>
  <si>
    <t>204:233255</t>
  </si>
  <si>
    <t>204:232984</t>
  </si>
  <si>
    <t>204:233416</t>
  </si>
  <si>
    <t>204:424</t>
  </si>
  <si>
    <t>204:233431</t>
  </si>
  <si>
    <t>204:233124</t>
  </si>
  <si>
    <t>204:232973</t>
  </si>
  <si>
    <t>204:233069</t>
  </si>
  <si>
    <t>204:233459</t>
  </si>
  <si>
    <t>204:233151</t>
  </si>
  <si>
    <t>204:553</t>
  </si>
  <si>
    <t>204:233323</t>
  </si>
  <si>
    <t>204:232977</t>
  </si>
  <si>
    <t>300:18719</t>
  </si>
  <si>
    <t>300:23620</t>
  </si>
  <si>
    <t>300:23303</t>
  </si>
  <si>
    <t>300:23411</t>
  </si>
  <si>
    <t>300:23586</t>
  </si>
  <si>
    <t>300:5166</t>
  </si>
  <si>
    <t>300:23845</t>
  </si>
  <si>
    <t>204:81</t>
  </si>
  <si>
    <t>300:22734</t>
  </si>
  <si>
    <t>300:22342</t>
  </si>
  <si>
    <t>204:911</t>
  </si>
  <si>
    <t>300:23029</t>
  </si>
  <si>
    <t>300:21456</t>
  </si>
  <si>
    <t>204:1173</t>
  </si>
  <si>
    <t>300:21780</t>
  </si>
  <si>
    <t>300:23312</t>
  </si>
  <si>
    <t>204:3556</t>
  </si>
  <si>
    <t>204:3233</t>
  </si>
  <si>
    <t>204:1198</t>
  </si>
  <si>
    <t>204:1513</t>
  </si>
  <si>
    <t>204:1952</t>
  </si>
  <si>
    <t>300:23502</t>
  </si>
  <si>
    <t>204:1030</t>
  </si>
  <si>
    <t>300:30637</t>
  </si>
  <si>
    <t>204:1196</t>
  </si>
  <si>
    <t>204:1194</t>
  </si>
  <si>
    <t>204:1524</t>
  </si>
  <si>
    <t>start /low /b %USERPROFILE%\Documents\GitHub\eaglep3\Utilities\DownloadLogsFromS3.py --loco 4040 --day 2017-05-21</t>
  </si>
  <si>
    <t>start /low /b %USERPROFILE%\Documents\GitHub\eaglep3\Utilities\DownloadLogsFromS3.py --loco 4055 --day 2017-05-21</t>
  </si>
  <si>
    <t>start /low /b %USERPROFILE%\Documents\GitHub\eaglep3\Utilities\DownloadLogsFromS3.py --loco 4010 --day 1969-12-31</t>
  </si>
  <si>
    <t>start /low /b %USERPROFILE%\Documents\GitHub\eaglep3\Utilities\DownloadLogsFromS3.py --loco 4053 --day 2017-05-21</t>
  </si>
  <si>
    <t>start /low /b %USERPROFILE%\Documents\GitHub\eaglep3\Utilities\DownloadLogsFromS3.py --loco 4040 --day 2017-05-22</t>
  </si>
  <si>
    <t>start /low /b %USERPROFILE%\Documents\GitHub\eaglep3\Utilities\DownloadLogsFromS3.py --loco 4039 --day 2017-05-22</t>
  </si>
  <si>
    <t>start /low /b %USERPROFILE%\Documents\GitHub\eaglep3\Utilities\DownloadLogsFromS3.py --loco 4041 --day 2017-05-22</t>
  </si>
  <si>
    <t>start /low /b %USERPROFILE%\Documents\GitHub\eaglep3\Utilities\DownloadLogsFromS3.py --loco 4024 --day 2017-05-21</t>
  </si>
  <si>
    <t>start /low /b %USERPROFILE%\Documents\GitHub\eaglep3\Utilities\DownloadLogsFromS3.py --loco 4008 --day 2017-05-21</t>
  </si>
  <si>
    <t>start /low /b %USERPROFILE%\Documents\GitHub\eaglep3\Utilities\DownloadLogsFromS3.py --loco 4023 --day 2017-05-21</t>
  </si>
  <si>
    <t>start /low /b %USERPROFILE%\Documents\GitHub\eaglep3\Utilities\DownloadLogsFromS3.py --loco 4009 --day 2017-05-21</t>
  </si>
  <si>
    <t>start /low /b %USERPROFILE%\Documents\GitHub\eaglep3\Utilities\DownloadLogsFromS3.py --loco 4007 --day 2017-05-21</t>
  </si>
  <si>
    <t>start /low /b %USERPROFILE%\Documents\GitHub\eaglep3\Utilities\DownloadLogsFromS3.py --loco 4039 --day 2017-05-21</t>
  </si>
  <si>
    <t>start /low /b %USERPROFILE%\Documents\GitHub\eaglep3\Utilities\DownloadLogsFromS3.py --loco 4056 --day 2017-05-21</t>
  </si>
  <si>
    <t>start /low /b %USERPROFILE%\Documents\GitHub\eaglep3\Utilities\DownloadLogsFromS3.py --loco 4010 --day 2017-05-21</t>
  </si>
  <si>
    <t>start /low /b %USERPROFILE%\Documents\GitHub\eaglep3\Utilities\DownloadLogsFromS3.py --loco 4002 --day 2017-05-21</t>
  </si>
  <si>
    <t>start /low /b %USERPROFILE%\Documents\GitHub\eaglep3\Utilities\DownloadLogsFromS3.py --loco 4053 --day 2017-05-22</t>
  </si>
  <si>
    <t>start /low /b %USERPROFILE%\Documents\GitHub\eaglep3\Utilities\DownloadLogsFromS3.py --loco 4054 --day 2017-05-21</t>
  </si>
  <si>
    <t>Wheel tach slip</t>
  </si>
  <si>
    <t>Wi-MAX data drop (78th radio down)</t>
  </si>
  <si>
    <t>Faulty speed sensor</t>
  </si>
  <si>
    <t>Delays initializing due to CCROC/crew/equipment mismatch and Class 2 brake test issues (3 separate incident reports logged for this one event)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</si>
</sst>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opLeftCell="A172" zoomScaleNormal="100" workbookViewId="0">
      <selection activeCell="N191" sqref="N19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42876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42876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36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COUNTIFS($N$13:$N$9315,"&gt;0",$AG$13:$AG$9315,I1)</f>
        <v>141</v>
      </c>
      <c r="K5" s="39"/>
      <c r="L5" s="39"/>
      <c r="M5" s="40">
        <f>AVERAGEIFS($N$13:$N$9315,$AG$13:$AG$9315,I1)</f>
        <v>37.646453900391514</v>
      </c>
      <c r="N5" s="38">
        <f t="array" ref="N5">MIN(IF($AG$13:$AG$9315=I1,IF(ISNUMBER($N$13:$N$9315),IF($N$13:$N$9315&gt;0,$N$13:$N$9315))))</f>
        <v>34.433333325432613</v>
      </c>
      <c r="O5" s="3">
        <f t="array" ref="O5">MAX(IF($AG$13:$AG$9315=I1,IF(ISNUMBER($N$13:$N$9315),IF($N$13:$N$9315&gt;0,$N$13:$N$9315))))</f>
        <v>44.933333328226581</v>
      </c>
      <c r="P5" s="2"/>
      <c r="R5" s="177" t="s">
        <v>17</v>
      </c>
      <c r="S5" s="199">
        <f>COUNTIFS($N$13:$N$9315,"&gt;0",$AG$13:$AG$9315,R1)</f>
        <v>34</v>
      </c>
      <c r="T5" s="179"/>
      <c r="U5" s="179"/>
      <c r="V5" s="176">
        <f>AVERAGEIFS($N$13:$N$9315,$AG$13:$AG$9315,R1)</f>
        <v>14.32598039165468</v>
      </c>
      <c r="W5" s="177">
        <f t="array" ref="W5">MIN(IF($AG$13:$AG$9315=R1,IF(ISNUMBER($N$13:$N$9315),IF($N$13:$N$9315&gt;0,$N$13:$N$9315))))</f>
        <v>11.649999999208376</v>
      </c>
      <c r="X5" s="178">
        <f t="array" ref="X5">MAX(IF($AG$13:$AG$9315=R1,IF(ISNUMBER($N$13:$N$9315),IF($N$13:$N$9315&gt;0,$N$13:$N$9315))))</f>
        <v>24.916666665812954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COUNT($O$13:$O$114)</f>
        <v>0</v>
      </c>
      <c r="K6" s="39"/>
      <c r="L6" s="39"/>
      <c r="M6" s="40">
        <f>IFERROR(AVERAGE($O$13:$O$114),0)</f>
        <v>0</v>
      </c>
      <c r="N6" s="38">
        <f>MIN($O$13:$O$114)</f>
        <v>0</v>
      </c>
      <c r="O6" s="3">
        <f>MAX($O$13:$O$114)</f>
        <v>0</v>
      </c>
      <c r="P6" s="2"/>
      <c r="R6" s="180" t="s">
        <v>43</v>
      </c>
      <c r="S6" s="199">
        <f>COUNT($O$13:$O$114)</f>
        <v>0</v>
      </c>
      <c r="T6" s="179"/>
      <c r="U6" s="179"/>
      <c r="V6" s="176">
        <f>IFERROR(AVERAGE($O$13:$O$114),0)</f>
        <v>0</v>
      </c>
      <c r="W6" s="177">
        <f>MIN($O$13:$O$114)</f>
        <v>0</v>
      </c>
      <c r="X6" s="178">
        <f>MAX($O$13:$O$114)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COUNTIFS($P$13:$P$9315,"&gt;0",$AG$13:$AG$9315,I1)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COUNTIFS($P$13:$P$9315,"&gt;0",$AG$13:$AG$9315,R1)</f>
        <v>2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37.646453900391514</v>
      </c>
      <c r="N8" s="38">
        <f>N5</f>
        <v>34.433333325432613</v>
      </c>
      <c r="O8" s="3">
        <f>O5</f>
        <v>44.933333328226581</v>
      </c>
      <c r="P8" s="2"/>
      <c r="R8" s="177" t="s">
        <v>16</v>
      </c>
      <c r="S8" s="199">
        <f>S5</f>
        <v>34</v>
      </c>
      <c r="T8" s="179"/>
      <c r="U8" s="179"/>
      <c r="V8" s="176">
        <f>V5</f>
        <v>14.32598039165468</v>
      </c>
      <c r="W8" s="177">
        <f>W5</f>
        <v>11.649999999208376</v>
      </c>
      <c r="X8" s="178">
        <f>X5</f>
        <v>24.916666665812954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0.97916666666666663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0.94444444444444442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- 2017-05-21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0.98931623931623924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633</v>
      </c>
      <c r="B13" s="7">
        <v>4024</v>
      </c>
      <c r="C13" s="21" t="s">
        <v>206</v>
      </c>
      <c r="D13" s="21" t="s">
        <v>826</v>
      </c>
      <c r="E13" s="13">
        <v>42876.130254629628</v>
      </c>
      <c r="F13" s="13">
        <v>42876.135625000003</v>
      </c>
      <c r="G13" s="7">
        <v>1</v>
      </c>
      <c r="H13" s="21" t="s">
        <v>469</v>
      </c>
      <c r="I13" s="13">
        <v>42876.16134259259</v>
      </c>
      <c r="J13" s="7">
        <v>0</v>
      </c>
      <c r="K13" s="92" t="str">
        <f t="shared" ref="K13:K76" si="0">IF(ISEVEN(B13),(B13-1)&amp;"/"&amp;B13,B13&amp;"/"&amp;(B13+1))</f>
        <v>4023/4024</v>
      </c>
      <c r="L13" s="21" t="str">
        <f>VLOOKUP(A13,'Trips&amp;Operators'!$C$1:$G$99999,5,FALSE)</f>
        <v>MAELZER KURT</v>
      </c>
      <c r="M13" s="6">
        <f t="shared" ref="M13:M76" si="1">I13-F13</f>
        <v>2.5717592587170657E-2</v>
      </c>
      <c r="N13" s="7">
        <f t="shared" ref="N13:N30" si="2">24*60*SUM($M13:$M13)</f>
        <v>37.033333325525746</v>
      </c>
      <c r="O13" s="7"/>
      <c r="P13" s="7"/>
      <c r="Q13" s="22"/>
      <c r="R13" s="190"/>
      <c r="S13" s="196">
        <f t="shared" ref="S13:S76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-21T02:07:34-0600',mode:absolute,to:'2017-05-21T04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92" t="str">
        <f t="shared" ref="W13:W76" si="6">IF(AA13&lt;IF(AG13="EC",23,5.65),"Y","N")</f>
        <v>N</v>
      </c>
      <c r="X13" s="192" t="e">
        <f t="shared" ref="X13:X44" si="7">VALUE(LEFT(AD13,4))-VALUE(LEFT(AD12,4))</f>
        <v>#VALUE!</v>
      </c>
      <c r="Y13" s="192">
        <f t="shared" ref="Y13:Y76" si="8">RIGHT(D13,LEN(D13)-4)/10000</f>
        <v>8.1000000000000003E-2</v>
      </c>
      <c r="Z13" s="192">
        <f t="shared" ref="Z13:Z76" si="9">RIGHT(H13,LEN(H13)-4)/10000</f>
        <v>23.332100000000001</v>
      </c>
      <c r="AA13" s="192">
        <f t="shared" ref="AA13:AA76" si="10">ABS(Z13-Y13)</f>
        <v>23.251100000000001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0101-21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/stypes="app*4024*20170521*"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4024 --swversion DE.1.0.9.0 --startMP 204:810 --initTime 2017-05-21T03:07:34 --startdatetime 2017-05-21T03:15:18 --delay 1 --endMP 204:233321 --enddatetime 2017-05-21T03:52:20 --enforcementcount 0 &gt;&gt;C:\Users\stu\Documents\GitHub\eaglep3-reporting\EC\2017-05-21-refined-times.txt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{"issue":{"subject":"","project_id":79,"tracker_id":40,"status_id":1,"priority_id":2,"assigned_to_id":23,"start_date":"2017-05-21","description":"","custom_fields":[{"id":1,"name":"Subdivision","value":"EC"},{"id":4,"name":"Milepost","value":"23.3321"},{"id":17,"name":"Train ID","value":"101-21"},{"id":16,"name":"Locomotive ID","value":"4024"},{"id":130,"name":"Impact","value":""},{"id":150,"name":"Time of Event (Mountain Time)","value":"03:52:20"},{"id":151,"name":"Denver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4024 --day 2017-05-21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09:52:20"},{"id":29,"name":"Sharepoint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643</v>
      </c>
      <c r="B14" s="7">
        <v>4023</v>
      </c>
      <c r="C14" s="21" t="s">
        <v>206</v>
      </c>
      <c r="D14" s="21" t="s">
        <v>827</v>
      </c>
      <c r="E14" s="13">
        <v>42876.166608796295</v>
      </c>
      <c r="F14" s="13">
        <v>42876.17527777778</v>
      </c>
      <c r="G14" s="7">
        <v>1</v>
      </c>
      <c r="H14" s="21" t="s">
        <v>355</v>
      </c>
      <c r="I14" s="13">
        <v>42876.201898148145</v>
      </c>
      <c r="J14" s="7">
        <v>0</v>
      </c>
      <c r="K14" s="92" t="str">
        <f t="shared" si="0"/>
        <v>4023/4024</v>
      </c>
      <c r="L14" s="21" t="str">
        <f>VLOOKUP(A14,'Trips&amp;Operators'!$C$1:$G$99999,5,FALSE)</f>
        <v>MAELZER KURT</v>
      </c>
      <c r="M14" s="6">
        <f t="shared" si="1"/>
        <v>2.6620370364980772E-2</v>
      </c>
      <c r="N14" s="7">
        <f t="shared" si="2"/>
        <v>38.333333325572312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-21T02:59:55-0600',mode:absolute,to:'2017-05-21T05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23.3004</v>
      </c>
      <c r="Z14" s="192">
        <f t="shared" si="9"/>
        <v>1.4999999999999999E-2</v>
      </c>
      <c r="AA14" s="192">
        <f t="shared" si="10"/>
        <v>23.285399999999999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0102-21</v>
      </c>
      <c r="AE14" s="80" t="str">
        <f t="shared" si="12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14" s="77" t="str">
        <f t="shared" si="13"/>
        <v>"C:\Program Files (x86)\AstroGrep\AstroGrep.exe" /e /r /s /spath="%USERPROFILE%\AppData\Local\Temp\OnboardLogs" /stypes="app*4023*20170521*"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4023 --swversion DE.1.0.9.0 --startMP 204:233004 --initTime 2017-05-21T03:59:55 --startdatetime 2017-05-21T04:12:24 --delay 1 --endMP 204:150 --enddatetime 2017-05-21T04:50:44 --enforcementcount 0 &gt;&gt;C:\Users\stu\Documents\GitHub\eaglep3-reporting\EC\2017-05-21-refined-times.txt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{"issue":{"subject":"","project_id":79,"tracker_id":40,"status_id":1,"priority_id":2,"assigned_to_id":23,"start_date":"2017-05-21","description":"","custom_fields":[{"id":1,"name":"Subdivision","value":"EC"},{"id":4,"name":"Milepost","value":"0.015"},{"id":17,"name":"Train ID","value":"102-21"},{"id":16,"name":"Locomotive ID","value":"4023"},{"id":130,"name":"Impact","value":""},{"id":150,"name":"Time of Event (Mountain Time)","value":"04:50:44"},{"id":151,"name":"Denver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4023 --day 2017-05-21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638</v>
      </c>
      <c r="B15" s="7">
        <v>4002</v>
      </c>
      <c r="C15" s="21" t="s">
        <v>206</v>
      </c>
      <c r="D15" s="21" t="s">
        <v>373</v>
      </c>
      <c r="E15" s="13">
        <v>42876.153506944444</v>
      </c>
      <c r="F15" s="13">
        <v>42876.156724537039</v>
      </c>
      <c r="G15" s="7">
        <v>1</v>
      </c>
      <c r="H15" s="21" t="s">
        <v>828</v>
      </c>
      <c r="I15" s="13">
        <v>42876.183125000003</v>
      </c>
      <c r="J15" s="7">
        <v>0</v>
      </c>
      <c r="K15" s="92" t="str">
        <f t="shared" si="0"/>
        <v>4001/4002</v>
      </c>
      <c r="L15" s="21" t="str">
        <f>VLOOKUP(A15,'Trips&amp;Operators'!$C$1:$G$99999,5,FALSE)</f>
        <v>WILLIAMS DONTE</v>
      </c>
      <c r="M15" s="6">
        <f t="shared" si="1"/>
        <v>2.6400462964375038E-2</v>
      </c>
      <c r="N15" s="7">
        <f t="shared" si="2"/>
        <v>38.016666668700054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-21T02:41:03-0600',mode:absolute,to:'2017-05-21T05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4.5499999999999999E-2</v>
      </c>
      <c r="Z15" s="192">
        <f t="shared" si="9"/>
        <v>23.3368</v>
      </c>
      <c r="AA15" s="192">
        <f t="shared" si="10"/>
        <v>23.2913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0103-21</v>
      </c>
      <c r="AE15" s="80" t="str">
        <f t="shared" si="12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15" s="77" t="str">
        <f t="shared" si="13"/>
        <v>"C:\Program Files (x86)\AstroGrep\AstroGrep.exe" /e /r /s /spath="%USERPROFILE%\AppData\Local\Temp\OnboardLogs" /stypes="app*4002*20170521*"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103-21 --locoid 4002 --swversion DE.1.0.9.0 --startMP 204:455 --initTime 2017-05-21T03:41:03 --startdatetime 2017-05-21T03:45:41 --delay 1 --endMP 204:233368 --enddatetime 2017-05-21T04:23:42 --enforcementcount 0 &gt;&gt;C:\Users\stu\Documents\GitHub\eaglep3-reporting\EC\2017-05-21-refined-times.txt</v>
      </c>
      <c r="AI15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{"issue":{"subject":"","project_id":79,"tracker_id":40,"status_id":1,"priority_id":2,"assigned_to_id":23,"start_date":"2017-05-21","description":"","custom_fields":[{"id":1,"name":"Subdivision","value":"EC"},{"id":4,"name":"Milepost","value":"23.3368"},{"id":17,"name":"Train ID","value":"103-21"},{"id":16,"name":"Locomotive ID","value":"4002"},{"id":130,"name":"Impact","value":""},{"id":150,"name":"Time of Event (Mountain Time)","value":"04:23:42"},{"id":151,"name":"Denver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4002 --day 2017-05-21</v>
      </c>
      <c r="AN15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10:23:42"},{"id":29,"name":"Sharepoint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646</v>
      </c>
      <c r="B16" s="7">
        <v>4001</v>
      </c>
      <c r="C16" s="21" t="s">
        <v>206</v>
      </c>
      <c r="D16" s="21" t="s">
        <v>829</v>
      </c>
      <c r="E16" s="13">
        <v>42876.185277777775</v>
      </c>
      <c r="F16" s="13">
        <v>42876.196446759262</v>
      </c>
      <c r="G16" s="7">
        <v>1</v>
      </c>
      <c r="H16" s="21" t="s">
        <v>198</v>
      </c>
      <c r="I16" s="13">
        <v>42876.223935185182</v>
      </c>
      <c r="J16" s="7">
        <v>0</v>
      </c>
      <c r="K16" s="92" t="str">
        <f t="shared" si="0"/>
        <v>4001/4002</v>
      </c>
      <c r="L16" s="21" t="str">
        <f>VLOOKUP(A16,'Trips&amp;Operators'!$C$1:$G$99999,5,FALSE)</f>
        <v>WILLIAMS DONTE</v>
      </c>
      <c r="M16" s="6">
        <f t="shared" si="1"/>
        <v>2.7488425919727888E-2</v>
      </c>
      <c r="N16" s="7">
        <f t="shared" si="2"/>
        <v>39.583333324408159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-21T03:26:48-0600',mode:absolute,to:'2017-05-21T06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23.308199999999999</v>
      </c>
      <c r="Z16" s="192">
        <f t="shared" si="9"/>
        <v>1.5800000000000002E-2</v>
      </c>
      <c r="AA16" s="192">
        <f t="shared" si="10"/>
        <v>23.292400000000001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0104-21</v>
      </c>
      <c r="AE16" s="80" t="str">
        <f t="shared" si="12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16" s="77" t="str">
        <f t="shared" si="13"/>
        <v>"C:\Program Files (x86)\AstroGrep\AstroGrep.exe" /e /r /s /spath="%USERPROFILE%\AppData\Local\Temp\OnboardLogs" /stypes="app*4001*20170521*"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104-21 --locoid 4001 --swversion DE.1.0.9.0 --startMP 204:233082 --initTime 2017-05-21T04:26:48 --startdatetime 2017-05-21T04:42:53 --delay 1 --endMP 204:158 --enddatetime 2017-05-21T05:22:28 --enforcementcount 0 &gt;&gt;C:\Users\stu\Documents\GitHub\eaglep3-reporting\EC\2017-05-21-refined-times.txt</v>
      </c>
      <c r="AI16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{"issue":{"subject":"","project_id":79,"tracker_id":40,"status_id":1,"priority_id":2,"assigned_to_id":23,"start_date":"2017-05-21","description":"","custom_fields":[{"id":1,"name":"Subdivision","value":"EC"},{"id":4,"name":"Milepost","value":"0.0158"},{"id":17,"name":"Train ID","value":"104-21"},{"id":16,"name":"Locomotive ID","value":"4001"},{"id":130,"name":"Impact","value":""},{"id":150,"name":"Time of Event (Mountain Time)","value":"05:22:28"},{"id":151,"name":"Denver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4001 --day 2017-05-21</v>
      </c>
      <c r="AN16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644</v>
      </c>
      <c r="B17" s="7">
        <v>4040</v>
      </c>
      <c r="C17" s="21" t="s">
        <v>206</v>
      </c>
      <c r="D17" s="21" t="s">
        <v>830</v>
      </c>
      <c r="E17" s="13">
        <v>42876.170624999999</v>
      </c>
      <c r="F17" s="13">
        <v>42876.177245370367</v>
      </c>
      <c r="G17" s="7">
        <v>1</v>
      </c>
      <c r="H17" s="21" t="s">
        <v>831</v>
      </c>
      <c r="I17" s="13">
        <v>42876.203518518516</v>
      </c>
      <c r="J17" s="7">
        <v>0</v>
      </c>
      <c r="K17" s="92" t="str">
        <f t="shared" si="0"/>
        <v>4039/4040</v>
      </c>
      <c r="L17" s="21" t="str">
        <f>VLOOKUP(A17,'Trips&amp;Operators'!$C$1:$G$99999,5,FALSE)</f>
        <v>DAVIS WENDY</v>
      </c>
      <c r="M17" s="6">
        <f t="shared" si="1"/>
        <v>2.6273148148902692E-2</v>
      </c>
      <c r="N17" s="7">
        <f t="shared" si="2"/>
        <v>37.833333334419876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-21T03:05:42-0600',mode:absolute,to:'2017-05-21T05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4.3700000000000003E-2</v>
      </c>
      <c r="Z17" s="192">
        <f t="shared" si="9"/>
        <v>23.332899999999999</v>
      </c>
      <c r="AA17" s="192">
        <f t="shared" si="10"/>
        <v>23.289199999999997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0105-21</v>
      </c>
      <c r="AE17" s="80" t="str">
        <f t="shared" si="12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17" s="77" t="str">
        <f t="shared" si="13"/>
        <v>"C:\Program Files (x86)\AstroGrep\AstroGrep.exe" /e /r /s /spath="%USERPROFILE%\AppData\Local\Temp\OnboardLogs" /stypes="app*4040*20170521*"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105-21 --locoid 4040 --swversion DE.1.0.9.0 --startMP 204:437 --initTime 2017-05-21T04:05:42 --startdatetime 2017-05-21T04:15:14 --delay 1 --endMP 204:233329 --enddatetime 2017-05-21T04:53:04 --enforcementcount 0 &gt;&gt;C:\Users\stu\Documents\GitHub\eaglep3-reporting\EC\2017-05-21-refined-times.txt</v>
      </c>
      <c r="AI17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{"issue":{"subject":"","project_id":79,"tracker_id":40,"status_id":1,"priority_id":2,"assigned_to_id":23,"start_date":"2017-05-21","description":"","custom_fields":[{"id":1,"name":"Subdivision","value":"EC"},{"id":4,"name":"Milepost","value":"23.3329"},{"id":17,"name":"Train ID","value":"105-21"},{"id":16,"name":"Locomotive ID","value":"4040"},{"id":130,"name":"Impact","value":""},{"id":150,"name":"Time of Event (Mountain Time)","value":"04:53:04"},{"id":151,"name":"Denver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4040 --day 2017-05-21</v>
      </c>
      <c r="AN17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10:53:04"},{"id":29,"name":"Sharepoint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649</v>
      </c>
      <c r="B18" s="7">
        <v>4039</v>
      </c>
      <c r="C18" s="21" t="s">
        <v>206</v>
      </c>
      <c r="D18" s="21" t="s">
        <v>554</v>
      </c>
      <c r="E18" s="13">
        <v>42876.213912037034</v>
      </c>
      <c r="F18" s="13">
        <v>42876.216817129629</v>
      </c>
      <c r="G18" s="7">
        <v>1</v>
      </c>
      <c r="H18" s="21" t="s">
        <v>368</v>
      </c>
      <c r="I18" s="13">
        <v>42876.244340277779</v>
      </c>
      <c r="J18" s="7">
        <v>0</v>
      </c>
      <c r="K18" s="92" t="str">
        <f t="shared" si="0"/>
        <v>4039/4040</v>
      </c>
      <c r="L18" s="21" t="str">
        <f>VLOOKUP(A18,'Trips&amp;Operators'!$C$1:$G$99999,5,FALSE)</f>
        <v>DAVIS WENDY</v>
      </c>
      <c r="M18" s="6">
        <f t="shared" si="1"/>
        <v>2.7523148150066845E-2</v>
      </c>
      <c r="N18" s="7">
        <f t="shared" si="2"/>
        <v>39.633333336096257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-21T04:08:02-0600',mode:absolute,to:'2017-05-21T06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23.301300000000001</v>
      </c>
      <c r="Z18" s="192">
        <f t="shared" si="9"/>
        <v>1.41E-2</v>
      </c>
      <c r="AA18" s="192">
        <f t="shared" si="10"/>
        <v>23.287200000000002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0106-21</v>
      </c>
      <c r="AE18" s="80" t="str">
        <f t="shared" si="12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18" s="77" t="str">
        <f t="shared" si="13"/>
        <v>"C:\Program Files (x86)\AstroGrep\AstroGrep.exe" /e /r /s /spath="%USERPROFILE%\AppData\Local\Temp\OnboardLogs" /stypes="app*4039*20170521*"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106-21 --locoid 4039 --swversion DE.1.0.9.0 --startMP 204:233013 --initTime 2017-05-21T05:08:02 --startdatetime 2017-05-21T05:12:13 --delay 1 --endMP 204:141 --enddatetime 2017-05-21T05:51:51 --enforcementcount 0 &gt;&gt;C:\Users\stu\Documents\GitHub\eaglep3-reporting\EC\2017-05-21-refined-times.txt</v>
      </c>
      <c r="AI18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{"issue":{"subject":"","project_id":79,"tracker_id":40,"status_id":1,"priority_id":2,"assigned_to_id":23,"start_date":"2017-05-21","description":"","custom_fields":[{"id":1,"name":"Subdivision","value":"EC"},{"id":4,"name":"Milepost","value":"0.0141"},{"id":17,"name":"Train ID","value":"106-21"},{"id":16,"name":"Locomotive ID","value":"4039"},{"id":130,"name":"Impact","value":""},{"id":150,"name":"Time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4039 --day 2017-05-21</v>
      </c>
      <c r="AN18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645</v>
      </c>
      <c r="B19" s="7">
        <v>4042</v>
      </c>
      <c r="C19" s="21" t="s">
        <v>206</v>
      </c>
      <c r="D19" s="21" t="s">
        <v>365</v>
      </c>
      <c r="E19" s="13">
        <v>42876.178657407407</v>
      </c>
      <c r="F19" s="13">
        <v>42876.187824074077</v>
      </c>
      <c r="G19" s="7">
        <v>1</v>
      </c>
      <c r="H19" s="21" t="s">
        <v>500</v>
      </c>
      <c r="I19" s="13">
        <v>42876.212800925925</v>
      </c>
      <c r="J19" s="7">
        <v>0</v>
      </c>
      <c r="K19" s="92" t="str">
        <f t="shared" si="0"/>
        <v>4041/4042</v>
      </c>
      <c r="L19" s="21" t="str">
        <f>VLOOKUP(A19,'Trips&amp;Operators'!$C$1:$G$99999,5,FALSE)</f>
        <v>LALONDE GREGORY</v>
      </c>
      <c r="M19" s="6">
        <f t="shared" si="1"/>
        <v>2.4976851847895887E-2</v>
      </c>
      <c r="N19" s="7">
        <f t="shared" si="2"/>
        <v>35.966666660970077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-21T03:17:16-0600',mode:absolute,to:'2017-05-21T06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4.4699999999999997E-2</v>
      </c>
      <c r="Z19" s="192">
        <f t="shared" si="9"/>
        <v>23.332599999999999</v>
      </c>
      <c r="AA19" s="192">
        <f t="shared" si="10"/>
        <v>23.2879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0107-21</v>
      </c>
      <c r="AE19" s="80" t="str">
        <f t="shared" si="12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19" s="77" t="str">
        <f t="shared" si="13"/>
        <v>"C:\Program Files (x86)\AstroGrep\AstroGrep.exe" /e /r /s /spath="%USERPROFILE%\AppData\Local\Temp\OnboardLogs" /stypes="app*4042*20170521*"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107-21 --locoid 4042 --swversion DE.1.0.9.0 --startMP 204:447 --initTime 2017-05-21T04:17:16 --startdatetime 2017-05-21T04:30:28 --delay 1 --endMP 204:233326 --enddatetime 2017-05-21T05:06:26 --enforcementcount 0 &gt;&gt;C:\Users\stu\Documents\GitHub\eaglep3-reporting\EC\2017-05-21-refined-times.txt</v>
      </c>
      <c r="AI19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{"issue":{"subject":"","project_id":79,"tracker_id":40,"status_id":1,"priority_id":2,"assigned_to_id":23,"start_date":"2017-05-21","description":"","custom_fields":[{"id":1,"name":"Subdivision","value":"EC"},{"id":4,"name":"Milepost","value":"23.3326"},{"id":17,"name":"Train ID","value":"107-21"},{"id":16,"name":"Locomotive ID","value":"4042"},{"id":130,"name":"Impact","value":""},{"id":150,"name":"Time of Event (Mountain Time)","value":"05:06:26"},{"id":151,"name":"Denver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4042 --day 2017-05-21</v>
      </c>
      <c r="AN19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650</v>
      </c>
      <c r="B20" s="7">
        <v>4041</v>
      </c>
      <c r="C20" s="21" t="s">
        <v>206</v>
      </c>
      <c r="D20" s="21" t="s">
        <v>832</v>
      </c>
      <c r="E20" s="13">
        <v>42876.214259259257</v>
      </c>
      <c r="F20" s="13">
        <v>42876.227314814816</v>
      </c>
      <c r="G20" s="7">
        <v>1</v>
      </c>
      <c r="H20" s="21" t="s">
        <v>357</v>
      </c>
      <c r="I20" s="13">
        <v>42876.252997685187</v>
      </c>
      <c r="J20" s="7">
        <v>0</v>
      </c>
      <c r="K20" s="92" t="str">
        <f t="shared" si="0"/>
        <v>4041/4042</v>
      </c>
      <c r="L20" s="21" t="str">
        <f>VLOOKUP(A20,'Trips&amp;Operators'!$C$1:$G$99999,5,FALSE)</f>
        <v>LALONDE GREGORY</v>
      </c>
      <c r="M20" s="6">
        <f t="shared" si="1"/>
        <v>2.5682870371383615E-2</v>
      </c>
      <c r="N20" s="7">
        <f t="shared" si="2"/>
        <v>36.983333334792405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-21T04:08:32-0600',mode:absolute,to:'2017-05-21T07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23.3003</v>
      </c>
      <c r="Z20" s="192">
        <f t="shared" si="9"/>
        <v>1.43E-2</v>
      </c>
      <c r="AA20" s="192">
        <f t="shared" si="10"/>
        <v>23.286000000000001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0108-21</v>
      </c>
      <c r="AE20" s="80" t="str">
        <f t="shared" si="12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20" s="77" t="str">
        <f t="shared" si="13"/>
        <v>"C:\Program Files (x86)\AstroGrep\AstroGrep.exe" /e /r /s /spath="%USERPROFILE%\AppData\Local\Temp\OnboardLogs" /stypes="app*4041*20170521*"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108-21 --locoid 4041 --swversion DE.1.0.9.0 --startMP 204:233003 --initTime 2017-05-21T05:08:32 --startdatetime 2017-05-21T05:27:20 --delay 1 --endMP 204:143 --enddatetime 2017-05-21T06:04:19 --enforcementcount 0 &gt;&gt;C:\Users\stu\Documents\GitHub\eaglep3-reporting\EC\2017-05-21-refined-times.txt</v>
      </c>
      <c r="AI20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{"issue":{"subject":"","project_id":79,"tracker_id":40,"status_id":1,"priority_id":2,"assigned_to_id":23,"start_date":"2017-05-21","description":"","custom_fields":[{"id":1,"name":"Subdivision","value":"EC"},{"id":4,"name":"Milepost","value":"0.0143"},{"id":17,"name":"Train ID","value":"108-21"},{"id":16,"name":"Locomotive ID","value":"4041"},{"id":130,"name":"Impact","value":""},{"id":150,"name":"Time of Event (Mountain Time)","value":"06:04:19"},{"id":151,"name":"Denver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4041 --day 2017-05-21</v>
      </c>
      <c r="AN20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581</v>
      </c>
      <c r="B21" s="7">
        <v>4056</v>
      </c>
      <c r="C21" s="21" t="s">
        <v>206</v>
      </c>
      <c r="D21" s="21" t="s">
        <v>473</v>
      </c>
      <c r="E21" s="13">
        <v>42876.194513888891</v>
      </c>
      <c r="F21" s="13">
        <v>42876.19809027778</v>
      </c>
      <c r="G21" s="7">
        <v>1</v>
      </c>
      <c r="H21" s="21" t="s">
        <v>833</v>
      </c>
      <c r="I21" s="13">
        <v>42876.224097222221</v>
      </c>
      <c r="J21" s="7">
        <v>0</v>
      </c>
      <c r="K21" s="92" t="str">
        <f t="shared" si="0"/>
        <v>4055/4056</v>
      </c>
      <c r="L21" s="21" t="str">
        <f>VLOOKUP(A21,'Trips&amp;Operators'!$C$1:$G$99999,5,FALSE)</f>
        <v>GEBRETEKLE DAGNEW</v>
      </c>
      <c r="M21" s="6">
        <f t="shared" si="1"/>
        <v>2.6006944441178348E-2</v>
      </c>
      <c r="N21" s="7">
        <f t="shared" si="2"/>
        <v>37.449999995296821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-21T03:40:06-0600',mode:absolute,to:'2017-05-21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4.7800000000000002E-2</v>
      </c>
      <c r="Z21" s="192">
        <f t="shared" si="9"/>
        <v>23.3308</v>
      </c>
      <c r="AA21" s="192">
        <f t="shared" si="10"/>
        <v>23.283000000000001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0109-21</v>
      </c>
      <c r="AE21" s="80" t="str">
        <f t="shared" si="12"/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AF21" s="77" t="str">
        <f t="shared" si="13"/>
        <v>"C:\Program Files (x86)\AstroGrep\AstroGrep.exe" /e /r /s /spath="%USERPROFILE%\AppData\Local\Temp\OnboardLogs" /stypes="app*4056*20170521*"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109-21 --locoid 4056 --swversion DE.1.0.9.0 --startMP 204:478 --initTime 2017-05-21T04:40:06 --startdatetime 2017-05-21T04:45:15 --delay 1 --endMP 204:233308 --enddatetime 2017-05-21T05:22:42 --enforcementcount 0 &gt;&gt;C:\Users\stu\Documents\GitHub\eaglep3-reporting\EC\2017-05-21-refined-times.txt</v>
      </c>
      <c r="AI21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{"issue":{"subject":"","project_id":79,"tracker_id":40,"status_id":1,"priority_id":2,"assigned_to_id":23,"start_date":"2017-05-21","description":"","custom_fields":[{"id":1,"name":"Subdivision","value":"EC"},{"id":4,"name":"Milepost","value":"23.3308"},{"id":17,"name":"Train ID","value":"109-21"},{"id":16,"name":"Locomotive ID","value":"4056"},{"id":130,"name":"Impact","value":""},{"id":150,"name":"Time of Event (Mountain Time)","value":"05:22:42"},{"id":151,"name":"Denver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4056 --day 2017-05-21</v>
      </c>
      <c r="AN21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656</v>
      </c>
      <c r="B22" s="7">
        <v>4055</v>
      </c>
      <c r="C22" s="21" t="s">
        <v>206</v>
      </c>
      <c r="D22" s="21" t="s">
        <v>834</v>
      </c>
      <c r="E22" s="13">
        <v>42876.232986111114</v>
      </c>
      <c r="F22" s="13">
        <v>42876.237708333334</v>
      </c>
      <c r="G22" s="7">
        <v>1</v>
      </c>
      <c r="H22" s="21" t="s">
        <v>198</v>
      </c>
      <c r="I22" s="13">
        <v>42876.263275462959</v>
      </c>
      <c r="J22" s="7">
        <v>0</v>
      </c>
      <c r="K22" s="92" t="str">
        <f t="shared" si="0"/>
        <v>4055/4056</v>
      </c>
      <c r="L22" s="21" t="str">
        <f>VLOOKUP(A22,'Trips&amp;Operators'!$C$1:$G$99999,5,FALSE)</f>
        <v>GEBRETEKLE DAGNEW</v>
      </c>
      <c r="M22" s="6">
        <f t="shared" si="1"/>
        <v>2.5567129625414964E-2</v>
      </c>
      <c r="N22" s="7">
        <f t="shared" si="2"/>
        <v>36.816666660597548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-21T04:35:30-0600',mode:absolute,to:'2017-05-21T07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23.3019</v>
      </c>
      <c r="Z22" s="192">
        <f t="shared" si="9"/>
        <v>1.5800000000000002E-2</v>
      </c>
      <c r="AA22" s="192">
        <f t="shared" si="10"/>
        <v>23.286100000000001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0110-21</v>
      </c>
      <c r="AE22" s="80" t="str">
        <f t="shared" si="12"/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AF22" s="77" t="str">
        <f t="shared" si="13"/>
        <v>"C:\Program Files (x86)\AstroGrep\AstroGrep.exe" /e /r /s /spath="%USERPROFILE%\AppData\Local\Temp\OnboardLogs" /stypes="app*4055*20170521*"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110-21 --locoid 4055 --swversion DE.1.0.9.0 --startMP 204:233019 --initTime 2017-05-21T05:35:30 --startdatetime 2017-05-21T05:42:18 --delay 1 --endMP 204:158 --enddatetime 2017-05-21T06:19:07 --enforcementcount 0 &gt;&gt;C:\Users\stu\Documents\GitHub\eaglep3-reporting\EC\2017-05-21-refined-times.txt</v>
      </c>
      <c r="AI22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{"issue":{"subject":"","project_id":79,"tracker_id":40,"status_id":1,"priority_id":2,"assigned_to_id":23,"start_date":"2017-05-21","description":"","custom_fields":[{"id":1,"name":"Subdivision","value":"EC"},{"id":4,"name":"Milepost","value":"0.0158"},{"id":17,"name":"Train ID","value":"110-21"},{"id":16,"name":"Locomotive ID","value":"4055"},{"id":130,"name":"Impact","value":""},{"id":150,"name":"Time of Event (Mountain Time)","value":"06:19:07"},{"id":151,"name":"Denver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4055 --day 2017-05-21</v>
      </c>
      <c r="AN22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647</v>
      </c>
      <c r="B23" s="7">
        <v>4024</v>
      </c>
      <c r="C23" s="21" t="s">
        <v>206</v>
      </c>
      <c r="D23" s="21" t="s">
        <v>405</v>
      </c>
      <c r="E23" s="13">
        <v>42876.20416666667</v>
      </c>
      <c r="F23" s="13">
        <v>42876.208541666667</v>
      </c>
      <c r="G23" s="7">
        <v>1</v>
      </c>
      <c r="H23" s="21" t="s">
        <v>835</v>
      </c>
      <c r="I23" s="13">
        <v>42876.23296296296</v>
      </c>
      <c r="J23" s="7">
        <v>0</v>
      </c>
      <c r="K23" s="92" t="str">
        <f t="shared" si="0"/>
        <v>4023/4024</v>
      </c>
      <c r="L23" s="21" t="str">
        <f>VLOOKUP(A23,'Trips&amp;Operators'!$C$1:$G$99999,5,FALSE)</f>
        <v>MAELZER KURT</v>
      </c>
      <c r="M23" s="6">
        <f t="shared" si="1"/>
        <v>2.4421296293439809E-2</v>
      </c>
      <c r="N23" s="7">
        <f t="shared" si="2"/>
        <v>35.166666662553325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-21T03:54:00-0600',mode:absolute,to:'2017-05-21T06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4.6199999999999998E-2</v>
      </c>
      <c r="Z23" s="192">
        <f t="shared" si="9"/>
        <v>23.3324</v>
      </c>
      <c r="AA23" s="192">
        <f t="shared" si="10"/>
        <v>23.286200000000001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0111-21</v>
      </c>
      <c r="AE23" s="80" t="str">
        <f t="shared" si="12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23" s="77" t="str">
        <f t="shared" si="13"/>
        <v>"C:\Program Files (x86)\AstroGrep\AstroGrep.exe" /e /r /s /spath="%USERPROFILE%\AppData\Local\Temp\OnboardLogs" /stypes="app*4024*20170521*"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111-21 --locoid 4024 --swversion DE.1.0.9.0 --startMP 204:462 --initTime 2017-05-21T04:54:00 --startdatetime 2017-05-21T05:00:18 --delay 1 --endMP 204:233324 --enddatetime 2017-05-21T05:35:28 --enforcementcount 0 &gt;&gt;C:\Users\stu\Documents\GitHub\eaglep3-reporting\EC\2017-05-21-refined-times.txt</v>
      </c>
      <c r="AI23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{"issue":{"subject":"","project_id":79,"tracker_id":40,"status_id":1,"priority_id":2,"assigned_to_id":23,"start_date":"2017-05-21","description":"","custom_fields":[{"id":1,"name":"Subdivision","value":"EC"},{"id":4,"name":"Milepost","value":"23.3324"},{"id":17,"name":"Train ID","value":"111-21"},{"id":16,"name":"Locomotive ID","value":"4024"},{"id":130,"name":"Impact","value":""},{"id":150,"name":"Time of Event (Mountain Time)","value":"05:35:28"},{"id":151,"name":"Denver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4024 --day 2017-05-21</v>
      </c>
      <c r="AN23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658</v>
      </c>
      <c r="B24" s="7">
        <v>4023</v>
      </c>
      <c r="C24" s="21" t="s">
        <v>206</v>
      </c>
      <c r="D24" s="21" t="s">
        <v>424</v>
      </c>
      <c r="E24" s="13">
        <v>42876.240925925929</v>
      </c>
      <c r="F24" s="13">
        <v>42876.248124999998</v>
      </c>
      <c r="G24" s="7">
        <v>0</v>
      </c>
      <c r="H24" s="21" t="s">
        <v>366</v>
      </c>
      <c r="I24" s="13">
        <v>42876.274502314816</v>
      </c>
      <c r="J24" s="7">
        <v>0</v>
      </c>
      <c r="K24" s="92" t="str">
        <f t="shared" si="0"/>
        <v>4023/4024</v>
      </c>
      <c r="L24" s="21" t="str">
        <f>VLOOKUP(A24,'Trips&amp;Operators'!$C$1:$G$99999,5,FALSE)</f>
        <v>MAELZER KURT</v>
      </c>
      <c r="M24" s="6">
        <f t="shared" si="1"/>
        <v>2.6377314818091691E-2</v>
      </c>
      <c r="N24" s="7">
        <f t="shared" si="2"/>
        <v>37.983333338052034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-21T04:46:56-0600',mode:absolute,to:'2017-05-21T07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23.301100000000002</v>
      </c>
      <c r="Z24" s="192">
        <f t="shared" si="9"/>
        <v>1.3899999999999999E-2</v>
      </c>
      <c r="AA24" s="192">
        <f t="shared" si="10"/>
        <v>23.287200000000002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0112-21</v>
      </c>
      <c r="AE24" s="80" t="str">
        <f t="shared" si="12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24" s="77" t="str">
        <f t="shared" si="13"/>
        <v>"C:\Program Files (x86)\AstroGrep\AstroGrep.exe" /e /r /s /spath="%USERPROFILE%\AppData\Local\Temp\OnboardLogs" /stypes="app*4023*20170521*"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112-21 --locoid 4023 --swversion DE.1.0.9.0 --startMP 204:233011 --initTime 2017-05-21T05:46:56 --startdatetime 2017-05-21T05:57:18 --delay 0 --endMP 204:139 --enddatetime 2017-05-21T06:35:17 --enforcementcount 0 &gt;&gt;C:\Users\stu\Documents\GitHub\eaglep3-reporting\EC\2017-05-21-refined-times.txt</v>
      </c>
      <c r="AI24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{"issue":{"subject":"","project_id":79,"tracker_id":40,"status_id":1,"priority_id":2,"assigned_to_id":23,"start_date":"2017-05-21","description":"","custom_fields":[{"id":1,"name":"Subdivision","value":"EC"},{"id":4,"name":"Milepost","value":"0.0139"},{"id":17,"name":"Train ID","value":"112-21"},{"id":16,"name":"Locomotive ID","value":"4023"},{"id":130,"name":"Impact","value":""},{"id":150,"name":"Time of Event (Mountain Time)","value":"06:35:17"},{"id":151,"name":"Denver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4023 --day 2017-05-21</v>
      </c>
      <c r="AN24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648</v>
      </c>
      <c r="B25" s="7">
        <v>4008</v>
      </c>
      <c r="C25" s="21" t="s">
        <v>206</v>
      </c>
      <c r="D25" s="21" t="s">
        <v>836</v>
      </c>
      <c r="E25" s="13">
        <v>42876.207696759258</v>
      </c>
      <c r="F25" s="13">
        <v>42876.218946759262</v>
      </c>
      <c r="G25" s="7">
        <v>1</v>
      </c>
      <c r="H25" s="21" t="s">
        <v>837</v>
      </c>
      <c r="I25" s="13">
        <v>42876.244699074072</v>
      </c>
      <c r="J25" s="7">
        <v>0</v>
      </c>
      <c r="K25" s="92" t="str">
        <f t="shared" si="0"/>
        <v>4007/4008</v>
      </c>
      <c r="L25" s="21" t="str">
        <f>VLOOKUP(A25,'Trips&amp;Operators'!$C$1:$G$99999,5,FALSE)</f>
        <v>GUZMAN DANNY</v>
      </c>
      <c r="M25" s="6">
        <f t="shared" si="1"/>
        <v>2.5752314810233656E-2</v>
      </c>
      <c r="N25" s="7">
        <f t="shared" si="2"/>
        <v>37.083333326736465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-21T03:59:05-0600',mode:absolute,to:'2017-05-21T06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5.1700000000000003E-2</v>
      </c>
      <c r="Z25" s="192">
        <f t="shared" si="9"/>
        <v>23.331</v>
      </c>
      <c r="AA25" s="192">
        <f t="shared" si="10"/>
        <v>23.279299999999999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0113-21</v>
      </c>
      <c r="AE25" s="80" t="str">
        <f t="shared" si="12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25" s="77" t="str">
        <f t="shared" si="13"/>
        <v>"C:\Program Files (x86)\AstroGrep\AstroGrep.exe" /e /r /s /spath="%USERPROFILE%\AppData\Local\Temp\OnboardLogs" /stypes="app*4008*20170521*"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113-21 --locoid 4008 --swversion DE.1.0.9.0 --startMP 204:517 --initTime 2017-05-21T04:59:05 --startdatetime 2017-05-21T05:15:17 --delay 1 --endMP 204:233310 --enddatetime 2017-05-21T05:52:22 --enforcementcount 0 &gt;&gt;C:\Users\stu\Documents\GitHub\eaglep3-reporting\EC\2017-05-21-refined-times.txt</v>
      </c>
      <c r="AI25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{"issue":{"subject":"","project_id":79,"tracker_id":40,"status_id":1,"priority_id":2,"assigned_to_id":23,"start_date":"2017-05-21","description":"","custom_fields":[{"id":1,"name":"Subdivision","value":"EC"},{"id":4,"name":"Milepost","value":"23.331"},{"id":17,"name":"Train ID","value":"113-21"},{"id":16,"name":"Locomotive ID","value":"4008"},{"id":130,"name":"Impact","value":""},{"id":150,"name":"Time of Event (Mountain Time)","value":"05:52:22"},{"id":151,"name":"Denver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4008 --day 2017-05-21</v>
      </c>
      <c r="AN25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659</v>
      </c>
      <c r="B26" s="7">
        <v>4007</v>
      </c>
      <c r="C26" s="21" t="s">
        <v>206</v>
      </c>
      <c r="D26" s="21" t="s">
        <v>838</v>
      </c>
      <c r="E26" s="13">
        <v>42876.248599537037</v>
      </c>
      <c r="F26" s="13">
        <v>42876.258483796293</v>
      </c>
      <c r="G26" s="7">
        <v>1</v>
      </c>
      <c r="H26" s="21" t="s">
        <v>369</v>
      </c>
      <c r="I26" s="13">
        <v>42876.285671296297</v>
      </c>
      <c r="J26" s="7">
        <v>0</v>
      </c>
      <c r="K26" s="92" t="str">
        <f t="shared" si="0"/>
        <v>4007/4008</v>
      </c>
      <c r="L26" s="21" t="str">
        <f>VLOOKUP(A26,'Trips&amp;Operators'!$C$1:$G$99999,5,FALSE)</f>
        <v>GUZMAN DANNY</v>
      </c>
      <c r="M26" s="6">
        <f t="shared" si="1"/>
        <v>2.718750000349246E-2</v>
      </c>
      <c r="N26" s="7">
        <f t="shared" si="2"/>
        <v>39.150000005029142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-21T04:57:59-0600',mode:absolute,to:'2017-05-21T07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23.300999999999998</v>
      </c>
      <c r="Z26" s="192">
        <f t="shared" si="9"/>
        <v>1.47E-2</v>
      </c>
      <c r="AA26" s="192">
        <f t="shared" si="10"/>
        <v>23.286299999999997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0114-21</v>
      </c>
      <c r="AE26" s="80" t="str">
        <f t="shared" si="12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26" s="77" t="str">
        <f t="shared" si="13"/>
        <v>"C:\Program Files (x86)\AstroGrep\AstroGrep.exe" /e /r /s /spath="%USERPROFILE%\AppData\Local\Temp\OnboardLogs" /stypes="app*4007*20170521*"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114-21 --locoid 4007 --swversion DE.1.0.9.0 --startMP 204:233010 --initTime 2017-05-21T05:57:59 --startdatetime 2017-05-21T06:12:13 --delay 1 --endMP 204:147 --enddatetime 2017-05-21T06:51:22 --enforcementcount 0 &gt;&gt;C:\Users\stu\Documents\GitHub\eaglep3-reporting\EC\2017-05-21-refined-times.txt</v>
      </c>
      <c r="AI26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{"issue":{"subject":"","project_id":79,"tracker_id":40,"status_id":1,"priority_id":2,"assigned_to_id":23,"start_date":"2017-05-21","description":"","custom_fields":[{"id":1,"name":"Subdivision","value":"EC"},{"id":4,"name":"Milepost","value":"0.0147"},{"id":17,"name":"Train ID","value":"114-21"},{"id":16,"name":"Locomotive ID","value":"4007"},{"id":130,"name":"Impact","value":""},{"id":150,"name":"Time of Event (Mountain Time)","value":"06:51:22"},{"id":151,"name":"Denver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4007 --day 2017-05-21</v>
      </c>
      <c r="AN26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655</v>
      </c>
      <c r="B27" s="7">
        <v>4002</v>
      </c>
      <c r="C27" s="21" t="s">
        <v>206</v>
      </c>
      <c r="D27" s="21" t="s">
        <v>839</v>
      </c>
      <c r="E27" s="13">
        <v>42876.226157407407</v>
      </c>
      <c r="F27" s="13">
        <v>42876.229618055557</v>
      </c>
      <c r="G27" s="7">
        <v>1</v>
      </c>
      <c r="H27" s="21" t="s">
        <v>840</v>
      </c>
      <c r="I27" s="13">
        <v>42876.254780092589</v>
      </c>
      <c r="J27" s="7">
        <v>0</v>
      </c>
      <c r="K27" s="92" t="str">
        <f t="shared" si="0"/>
        <v>4001/4002</v>
      </c>
      <c r="L27" s="21" t="str">
        <f>VLOOKUP(A27,'Trips&amp;Operators'!$C$1:$G$99999,5,FALSE)</f>
        <v>WILLIAMS DONTE</v>
      </c>
      <c r="M27" s="6">
        <f t="shared" si="1"/>
        <v>2.5162037032714579E-2</v>
      </c>
      <c r="N27" s="7">
        <f t="shared" si="2"/>
        <v>36.233333327108994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-21T04:25:40-0600',mode:absolute,to:'2017-05-21T07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4.6699999999999998E-2</v>
      </c>
      <c r="Z27" s="192">
        <f t="shared" si="9"/>
        <v>23.342600000000001</v>
      </c>
      <c r="AA27" s="192">
        <f t="shared" si="10"/>
        <v>23.2959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0115-21</v>
      </c>
      <c r="AE27" s="80" t="str">
        <f t="shared" si="12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27" s="77" t="str">
        <f t="shared" si="13"/>
        <v>"C:\Program Files (x86)\AstroGrep\AstroGrep.exe" /e /r /s /spath="%USERPROFILE%\AppData\Local\Temp\OnboardLogs" /stypes="app*4002*20170521*"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115-21 --locoid 4002 --swversion DE.1.0.9.0 --startMP 204:467 --initTime 2017-05-21T05:25:40 --startdatetime 2017-05-21T05:30:39 --delay 1 --endMP 204:233426 --enddatetime 2017-05-21T06:06:53 --enforcementcount 0 &gt;&gt;C:\Users\stu\Documents\GitHub\eaglep3-reporting\EC\2017-05-21-refined-times.txt</v>
      </c>
      <c r="AI27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{"issue":{"subject":"","project_id":79,"tracker_id":40,"status_id":1,"priority_id":2,"assigned_to_id":23,"start_date":"2017-05-21","description":"","custom_fields":[{"id":1,"name":"Subdivision","value":"EC"},{"id":4,"name":"Milepost","value":"23.3426"},{"id":17,"name":"Train ID","value":"115-21"},{"id":16,"name":"Locomotive ID","value":"4002"},{"id":130,"name":"Impact","value":""},{"id":150,"name":"Time of Event (Mountain Time)","value":"06:06:53"},{"id":151,"name":"Denver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4002 --day 2017-05-21</v>
      </c>
      <c r="AN27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662</v>
      </c>
      <c r="B28" s="7">
        <v>4001</v>
      </c>
      <c r="C28" s="21" t="s">
        <v>206</v>
      </c>
      <c r="D28" s="21" t="s">
        <v>547</v>
      </c>
      <c r="E28" s="13">
        <v>42876.257152777776</v>
      </c>
      <c r="F28" s="13">
        <v>42876.270254629628</v>
      </c>
      <c r="G28" s="7">
        <v>2</v>
      </c>
      <c r="H28" s="21" t="s">
        <v>356</v>
      </c>
      <c r="I28" s="13">
        <v>42876.297025462962</v>
      </c>
      <c r="J28" s="7">
        <v>0</v>
      </c>
      <c r="K28" s="92" t="str">
        <f t="shared" si="0"/>
        <v>4001/4002</v>
      </c>
      <c r="L28" s="21" t="str">
        <f>VLOOKUP(A28,'Trips&amp;Operators'!$C$1:$G$99999,5,FALSE)</f>
        <v>WILLIAMS DONTE</v>
      </c>
      <c r="M28" s="6">
        <f t="shared" si="1"/>
        <v>2.6770833334012423E-2</v>
      </c>
      <c r="N28" s="7">
        <f t="shared" si="2"/>
        <v>38.550000000977889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-21T05:10:18-0600',mode:absolute,to:'2017-05-21T08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23.307600000000001</v>
      </c>
      <c r="Z28" s="192">
        <f t="shared" si="9"/>
        <v>1.49E-2</v>
      </c>
      <c r="AA28" s="192">
        <f t="shared" si="10"/>
        <v>23.2927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0116-21</v>
      </c>
      <c r="AE28" s="80" t="str">
        <f t="shared" si="12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28" s="77" t="str">
        <f t="shared" si="13"/>
        <v>"C:\Program Files (x86)\AstroGrep\AstroGrep.exe" /e /r /s /spath="%USERPROFILE%\AppData\Local\Temp\OnboardLogs" /stypes="app*4001*20170521*"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116-21 --locoid 4001 --swversion DE.1.0.9.0 --startMP 204:233076 --initTime 2017-05-21T06:10:18 --startdatetime 2017-05-21T06:29:10 --delay 2 --endMP 204:149 --enddatetime 2017-05-21T07:07:43 --enforcementcount 0 &gt;&gt;C:\Users\stu\Documents\GitHub\eaglep3-reporting\EC\2017-05-21-refined-times.txt</v>
      </c>
      <c r="AI28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{"issue":{"subject":"","project_id":79,"tracker_id":40,"status_id":1,"priority_id":2,"assigned_to_id":23,"start_date":"2017-05-21","description":"","custom_fields":[{"id":1,"name":"Subdivision","value":"EC"},{"id":4,"name":"Milepost","value":"0.0149"},{"id":17,"name":"Train ID","value":"116-21"},{"id":16,"name":"Locomotive ID","value":"4001"},{"id":130,"name":"Impact","value":""},{"id":150,"name":"Time of Event (Mountain Time)","value":"07:07:43"},{"id":151,"name":"Denver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4001 --day 2017-05-21</v>
      </c>
      <c r="AN28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583</v>
      </c>
      <c r="B29" s="7">
        <v>4010</v>
      </c>
      <c r="C29" s="21" t="s">
        <v>206</v>
      </c>
      <c r="D29" s="21" t="s">
        <v>425</v>
      </c>
      <c r="E29" s="13">
        <v>42876.238321759258</v>
      </c>
      <c r="F29" s="13">
        <v>42876.23978009259</v>
      </c>
      <c r="G29" s="7">
        <v>1</v>
      </c>
      <c r="H29" s="21" t="s">
        <v>841</v>
      </c>
      <c r="I29" s="13">
        <v>42876.265949074077</v>
      </c>
      <c r="J29" s="7">
        <v>0</v>
      </c>
      <c r="K29" s="92" t="str">
        <f t="shared" si="0"/>
        <v>4009/4010</v>
      </c>
      <c r="L29" s="21" t="str">
        <f>VLOOKUP(A29,'Trips&amp;Operators'!$C$1:$G$99999,5,FALSE)</f>
        <v>MACDONALD THOMAS</v>
      </c>
      <c r="M29" s="6">
        <f t="shared" si="1"/>
        <v>2.6168981486989651E-2</v>
      </c>
      <c r="N29" s="7">
        <f t="shared" si="2"/>
        <v>37.683333341265097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-21T04:43:11-0600',mode:absolute,to:'2017-05-21T07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4.7300000000000002E-2</v>
      </c>
      <c r="Z29" s="192">
        <f t="shared" si="9"/>
        <v>23.327400000000001</v>
      </c>
      <c r="AA29" s="192">
        <f t="shared" si="10"/>
        <v>23.280100000000001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0117-21</v>
      </c>
      <c r="AE29" s="80" t="str">
        <f t="shared" si="12"/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AF29" s="77" t="str">
        <f t="shared" si="13"/>
        <v>"C:\Program Files (x86)\AstroGrep\AstroGrep.exe" /e /r /s /spath="%USERPROFILE%\AppData\Local\Temp\OnboardLogs" /stypes="app*4010*20170521*"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117-21 --locoid 4010 --swversion DE.1.0.9.0 --startMP 204:473 --initTime 2017-05-21T05:43:11 --startdatetime 2017-05-21T05:45:17 --delay 1 --endMP 204:233274 --enddatetime 2017-05-21T06:22:58 --enforcementcount 0 &gt;&gt;C:\Users\stu\Documents\GitHub\eaglep3-reporting\EC\2017-05-21-refined-times.txt</v>
      </c>
      <c r="AI29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{"issue":{"subject":"","project_id":79,"tracker_id":40,"status_id":1,"priority_id":2,"assigned_to_id":23,"start_date":"2017-05-21","description":"","custom_fields":[{"id":1,"name":"Subdivision","value":"EC"},{"id":4,"name":"Milepost","value":"23.3274"},{"id":17,"name":"Train ID","value":"117-21"},{"id":16,"name":"Locomotive ID","value":"4010"},{"id":130,"name":"Impact","value":""},{"id":150,"name":"Time of Event (Mountain Time)","value":"06:22:58"},{"id":151,"name":"Denver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4010 --day 2017-05-21</v>
      </c>
      <c r="AN29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585</v>
      </c>
      <c r="B30" s="7">
        <v>4009</v>
      </c>
      <c r="C30" s="21" t="s">
        <v>206</v>
      </c>
      <c r="D30" s="21" t="s">
        <v>842</v>
      </c>
      <c r="E30" s="13">
        <v>42876.273611111108</v>
      </c>
      <c r="F30" s="13">
        <v>42876.279618055552</v>
      </c>
      <c r="G30" s="7">
        <v>1</v>
      </c>
      <c r="H30" s="21" t="s">
        <v>843</v>
      </c>
      <c r="I30" s="13">
        <v>42876.306504629632</v>
      </c>
      <c r="J30" s="7">
        <v>0</v>
      </c>
      <c r="K30" s="92" t="str">
        <f t="shared" si="0"/>
        <v>4009/4010</v>
      </c>
      <c r="L30" s="21" t="str">
        <f>VLOOKUP(A30,'Trips&amp;Operators'!$C$1:$G$99999,5,FALSE)</f>
        <v>MACDONALD THOMAS</v>
      </c>
      <c r="M30" s="6">
        <f t="shared" si="1"/>
        <v>2.6886574079981074E-2</v>
      </c>
      <c r="N30" s="7">
        <f t="shared" si="2"/>
        <v>38.716666675172746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-21T05:34:00-0600',mode:absolute,to:'2017-05-21T08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23.295300000000001</v>
      </c>
      <c r="Z30" s="192">
        <f t="shared" si="9"/>
        <v>1.72E-2</v>
      </c>
      <c r="AA30" s="192">
        <f t="shared" si="10"/>
        <v>23.278100000000002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0118-21</v>
      </c>
      <c r="AE30" s="80" t="str">
        <f t="shared" si="12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30" s="77" t="str">
        <f t="shared" si="13"/>
        <v>"C:\Program Files (x86)\AstroGrep\AstroGrep.exe" /e /r /s /spath="%USERPROFILE%\AppData\Local\Temp\OnboardLogs" /stypes="app*4009*20170521*"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118-21 --locoid 4009 --swversion DE.1.0.9.0 --startMP 204:232953 --initTime 2017-05-21T06:34:00 --startdatetime 2017-05-21T06:42:39 --delay 1 --endMP 204:172 --enddatetime 2017-05-21T07:21:22 --enforcementcount 0 &gt;&gt;C:\Users\stu\Documents\GitHub\eaglep3-reporting\EC\2017-05-21-refined-times.txt</v>
      </c>
      <c r="AI30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{"issue":{"subject":"","project_id":79,"tracker_id":40,"status_id":1,"priority_id":2,"assigned_to_id":23,"start_date":"2017-05-21","description":"","custom_fields":[{"id":1,"name":"Subdivision","value":"EC"},{"id":4,"name":"Milepost","value":"0.0172"},{"id":17,"name":"Train ID","value":"118-21"},{"id":16,"name":"Locomotive ID","value":"4009"},{"id":130,"name":"Impact","value":""},{"id":150,"name":"Time of Event (Mountain Time)","value":"07:21:22"},{"id":151,"name":"Denver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4009 --day 2017-05-21</v>
      </c>
      <c r="AN30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584</v>
      </c>
      <c r="B31" s="7">
        <v>4040</v>
      </c>
      <c r="C31" s="21" t="s">
        <v>206</v>
      </c>
      <c r="D31" s="21" t="s">
        <v>365</v>
      </c>
      <c r="E31" s="13">
        <v>42876.245833333334</v>
      </c>
      <c r="F31" s="13">
        <v>42876.250138888892</v>
      </c>
      <c r="G31" s="7">
        <v>1</v>
      </c>
      <c r="H31" s="21" t="s">
        <v>844</v>
      </c>
      <c r="I31" s="13">
        <v>42876.273333333331</v>
      </c>
      <c r="J31" s="7">
        <v>0</v>
      </c>
      <c r="K31" s="92" t="str">
        <f t="shared" si="0"/>
        <v>4039/4040</v>
      </c>
      <c r="L31" s="21" t="str">
        <f>VLOOKUP(A31,'Trips&amp;Operators'!$C$1:$G$99999,5,FALSE)</f>
        <v>DAVIS WENDY</v>
      </c>
      <c r="M31" s="6">
        <f t="shared" si="1"/>
        <v>2.3194444438559003E-2</v>
      </c>
      <c r="N31" s="7"/>
      <c r="O31" s="7"/>
      <c r="P31" s="7">
        <f>24*60*SUM($M31:$M31)</f>
        <v>33.399999991524965</v>
      </c>
      <c r="Q31" s="22"/>
      <c r="R31" s="190" t="s">
        <v>506</v>
      </c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-21T04:54:00-0600',mode:absolute,to:'2017-05-21T07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2" t="str">
        <f t="shared" si="6"/>
        <v>Y</v>
      </c>
      <c r="X31" s="192">
        <f t="shared" si="7"/>
        <v>1</v>
      </c>
      <c r="Y31" s="192">
        <f t="shared" si="8"/>
        <v>4.4699999999999997E-2</v>
      </c>
      <c r="Z31" s="192">
        <f t="shared" si="9"/>
        <v>21.862300000000001</v>
      </c>
      <c r="AA31" s="192">
        <f t="shared" si="10"/>
        <v>21.817600000000002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0119-21</v>
      </c>
      <c r="AE31" s="80" t="str">
        <f t="shared" si="12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31" s="77" t="str">
        <f t="shared" si="13"/>
        <v>"C:\Program Files (x86)\AstroGrep\AstroGrep.exe" /e /r /s /spath="%USERPROFILE%\AppData\Local\Temp\OnboardLogs" /stypes="app*4040*20170521*"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119-21 --locoid 4040 --swversion DE.1.0.9.0 --startMP 204:447 --initTime 2017-05-21T05:54:00 --startdatetime 2017-05-21T06:00:12 --delay 1 --endMP 204:218623 --enddatetime 2017-05-21T06:33:36 --enforcementcount 0 &gt;&gt;C:\Users\stu\Documents\GitHub\eaglep3-reporting\EC\2017-05-21-refined-times.txt</v>
      </c>
      <c r="AI31" s="99" t="str">
        <f t="shared" si="20"/>
        <v>echo {"issue":{"subject":"Wi-MAX data drop","project_id":79,"tracker_id":40,"status_id":1,"priority_id":2,"assigned_to_id":23,"start_date":"2017-05-21","description":"","custom_fields":[{"id":1,"name":"Subdivision","value":"EC"},{"id":4,"name":"Milepost","value":"21.8623"},{"id":17,"name":"Train ID","value":"119-21"},{"id":16,"name":"Locomotive ID","value":"4040"},{"id":130,"name":"Impact","value":""},{"id":150,"name":"Time of Event (Mountain Time)","value":"06:33:36"},{"id":151,"name":"Denver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4040 --day 2017-05-21</v>
      </c>
      <c r="AN31" s="154" t="str">
        <f t="shared" si="22"/>
        <v>echo {"issue":{"subject":"Wi-MAX data drop","project_id":30,"tracker_id":4,"status_id":1,"priority_id":1,"assigned_to_id":10,"start_date":"2017-05-21","description":"","custom_fields":[{"id":30,"name":"Category","value":"Issue"},{"id":3,"name":"Functional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666</v>
      </c>
      <c r="B32" s="7">
        <v>4039</v>
      </c>
      <c r="C32" s="21" t="s">
        <v>206</v>
      </c>
      <c r="D32" s="21" t="s">
        <v>845</v>
      </c>
      <c r="E32" s="13">
        <v>42876.287372685183</v>
      </c>
      <c r="F32" s="13">
        <v>42876.28974537037</v>
      </c>
      <c r="G32" s="7">
        <v>0</v>
      </c>
      <c r="H32" s="21" t="s">
        <v>366</v>
      </c>
      <c r="I32" s="13">
        <v>42876.319027777776</v>
      </c>
      <c r="J32" s="7">
        <v>0</v>
      </c>
      <c r="K32" s="92" t="str">
        <f t="shared" si="0"/>
        <v>4039/4040</v>
      </c>
      <c r="L32" s="21" t="str">
        <f>VLOOKUP(A32,'Trips&amp;Operators'!$C$1:$G$99999,5,FALSE)</f>
        <v>DAVIS WENDY</v>
      </c>
      <c r="M32" s="6">
        <f t="shared" si="1"/>
        <v>2.9282407405844424E-2</v>
      </c>
      <c r="N32" s="7">
        <f t="shared" ref="N32:N49" si="23">24*60*SUM($M32:$M32)</f>
        <v>42.16666666441597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-21T05:53:49-0600',mode:absolute,to:'2017-05-21T08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23.299800000000001</v>
      </c>
      <c r="Z32" s="192">
        <f t="shared" si="9"/>
        <v>1.3899999999999999E-2</v>
      </c>
      <c r="AA32" s="192">
        <f t="shared" si="10"/>
        <v>23.285900000000002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0120-21</v>
      </c>
      <c r="AE32" s="80" t="str">
        <f t="shared" si="12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32" s="77" t="str">
        <f t="shared" si="13"/>
        <v>"C:\Program Files (x86)\AstroGrep\AstroGrep.exe" /e /r /s /spath="%USERPROFILE%\AppData\Local\Temp\OnboardLogs" /stypes="app*4039*20170521*"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120-21 --locoid 4039 --swversion DE.1.0.9.0 --startMP 204:232998 --initTime 2017-05-21T06:53:49 --startdatetime 2017-05-21T06:57:14 --delay 0 --endMP 204:139 --enddatetime 2017-05-21T07:39:24 --enforcementcount 0 &gt;&gt;C:\Users\stu\Documents\GitHub\eaglep3-reporting\EC\2017-05-21-refined-times.txt</v>
      </c>
      <c r="AI32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{"issue":{"subject":"","project_id":79,"tracker_id":40,"status_id":1,"priority_id":2,"assigned_to_id":23,"start_date":"2017-05-21","description":"","custom_fields":[{"id":1,"name":"Subdivision","value":"EC"},{"id":4,"name":"Milepost","value":"0.0139"},{"id":17,"name":"Train ID","value":"120-21"},{"id":16,"name":"Locomotive ID","value":"4039"},{"id":130,"name":"Impact","value":""},{"id":150,"name":"Time of Event (Mountain Time)","value":"07:39:24"},{"id":151,"name":"Denver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4039 --day 2017-05-21</v>
      </c>
      <c r="AN32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661</v>
      </c>
      <c r="B33" s="7">
        <v>4042</v>
      </c>
      <c r="C33" s="21" t="s">
        <v>206</v>
      </c>
      <c r="D33" s="21" t="s">
        <v>202</v>
      </c>
      <c r="E33" s="13">
        <v>42876.254351851851</v>
      </c>
      <c r="F33" s="13">
        <v>42876.260567129626</v>
      </c>
      <c r="G33" s="7">
        <v>1</v>
      </c>
      <c r="H33" s="21" t="s">
        <v>406</v>
      </c>
      <c r="I33" s="13">
        <v>42876.28534722222</v>
      </c>
      <c r="J33" s="7">
        <v>0</v>
      </c>
      <c r="K33" s="92" t="str">
        <f t="shared" si="0"/>
        <v>4041/4042</v>
      </c>
      <c r="L33" s="21" t="str">
        <f>VLOOKUP(A33,'Trips&amp;Operators'!$C$1:$G$99999,5,FALSE)</f>
        <v>NEWELL JAMES</v>
      </c>
      <c r="M33" s="6">
        <f t="shared" si="1"/>
        <v>2.4780092593573499E-2</v>
      </c>
      <c r="N33" s="7">
        <f t="shared" si="23"/>
        <v>35.683333334745839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-21T05:06:16-0600',mode:absolute,to:'2017-05-21T07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4.5699999999999998E-2</v>
      </c>
      <c r="Z33" s="192">
        <f t="shared" si="9"/>
        <v>23.3293</v>
      </c>
      <c r="AA33" s="192">
        <f t="shared" si="10"/>
        <v>23.2836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0121-21</v>
      </c>
      <c r="AE33" s="80" t="str">
        <f t="shared" si="12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33" s="77" t="str">
        <f t="shared" si="13"/>
        <v>"C:\Program Files (x86)\AstroGrep\AstroGrep.exe" /e /r /s /spath="%USERPROFILE%\AppData\Local\Temp\OnboardLogs" /stypes="app*4042*20170521*"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121-21 --locoid 4042 --swversion DE.1.0.9.0 --startMP 204:457 --initTime 2017-05-21T06:06:16 --startdatetime 2017-05-21T06:15:13 --delay 1 --endMP 204:233293 --enddatetime 2017-05-21T06:50:54 --enforcementcount 0 &gt;&gt;C:\Users\stu\Documents\GitHub\eaglep3-reporting\EC\2017-05-21-refined-times.txt</v>
      </c>
      <c r="AI33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{"issue":{"subject":"","project_id":79,"tracker_id":40,"status_id":1,"priority_id":2,"assigned_to_id":23,"start_date":"2017-05-21","description":"","custom_fields":[{"id":1,"name":"Subdivision","value":"EC"},{"id":4,"name":"Milepost","value":"23.3293"},{"id":17,"name":"Train ID","value":"121-21"},{"id":16,"name":"Locomotive ID","value":"4042"},{"id":130,"name":"Impact","value":""},{"id":150,"name":"Time of Event (Mountain Time)","value":"06:50:54"},{"id":151,"name":"Denver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4042 --day 2017-05-21</v>
      </c>
      <c r="AN33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669</v>
      </c>
      <c r="B34" s="7">
        <v>4041</v>
      </c>
      <c r="C34" s="21" t="s">
        <v>206</v>
      </c>
      <c r="D34" s="21" t="s">
        <v>845</v>
      </c>
      <c r="E34" s="13">
        <v>42876.29414351852</v>
      </c>
      <c r="F34" s="13">
        <v>42876.300162037034</v>
      </c>
      <c r="G34" s="7">
        <v>1</v>
      </c>
      <c r="H34" s="21" t="s">
        <v>542</v>
      </c>
      <c r="I34" s="13">
        <v>42876.327222222222</v>
      </c>
      <c r="J34" s="7">
        <v>0</v>
      </c>
      <c r="K34" s="92" t="str">
        <f t="shared" si="0"/>
        <v>4041/4042</v>
      </c>
      <c r="L34" s="21" t="str">
        <f>VLOOKUP(A34,'Trips&amp;Operators'!$C$1:$G$99999,5,FALSE)</f>
        <v>NEWELL JAMES</v>
      </c>
      <c r="M34" s="6">
        <f t="shared" si="1"/>
        <v>2.7060185188020114E-2</v>
      </c>
      <c r="N34" s="7">
        <f t="shared" si="23"/>
        <v>38.966666670748964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-21T06:03:34-0600',mode:absolute,to:'2017-05-21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23.299800000000001</v>
      </c>
      <c r="Z34" s="192">
        <f t="shared" si="9"/>
        <v>1.6500000000000001E-2</v>
      </c>
      <c r="AA34" s="192">
        <f t="shared" si="10"/>
        <v>23.283300000000001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0122-21</v>
      </c>
      <c r="AE34" s="80" t="str">
        <f t="shared" si="12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34" s="77" t="str">
        <f t="shared" si="13"/>
        <v>"C:\Program Files (x86)\AstroGrep\AstroGrep.exe" /e /r /s /spath="%USERPROFILE%\AppData\Local\Temp\OnboardLogs" /stypes="app*4041*20170521*"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122-21 --locoid 4041 --swversion DE.1.0.9.0 --startMP 204:232998 --initTime 2017-05-21T07:03:34 --startdatetime 2017-05-21T07:12:14 --delay 1 --endMP 204:165 --enddatetime 2017-05-21T07:51:12 --enforcementcount 0 &gt;&gt;C:\Users\stu\Documents\GitHub\eaglep3-reporting\EC\2017-05-21-refined-times.txt</v>
      </c>
      <c r="AI34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{"issue":{"subject":"","project_id":79,"tracker_id":40,"status_id":1,"priority_id":2,"assigned_to_id":23,"start_date":"2017-05-21","description":"","custom_fields":[{"id":1,"name":"Subdivision","value":"EC"},{"id":4,"name":"Milepost","value":"0.0165"},{"id":17,"name":"Train ID","value":"122-21"},{"id":16,"name":"Locomotive ID","value":"4041"},{"id":130,"name":"Impact","value":""},{"id":150,"name":"Time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4041 --day 2017-05-21</v>
      </c>
      <c r="AN34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663</v>
      </c>
      <c r="B35" s="7">
        <v>4056</v>
      </c>
      <c r="C35" s="21" t="s">
        <v>206</v>
      </c>
      <c r="D35" s="21" t="s">
        <v>358</v>
      </c>
      <c r="E35" s="13">
        <v>42876.266296296293</v>
      </c>
      <c r="F35" s="13">
        <v>42876.27103009259</v>
      </c>
      <c r="G35" s="7">
        <v>1</v>
      </c>
      <c r="H35" s="21" t="s">
        <v>470</v>
      </c>
      <c r="I35" s="13">
        <v>42876.295358796298</v>
      </c>
      <c r="J35" s="7">
        <v>0</v>
      </c>
      <c r="K35" s="92" t="str">
        <f t="shared" si="0"/>
        <v>4055/4056</v>
      </c>
      <c r="L35" s="21" t="str">
        <f>VLOOKUP(A35,'Trips&amp;Operators'!$C$1:$G$99999,5,FALSE)</f>
        <v>GEBRETEKLE DAGNEW</v>
      </c>
      <c r="M35" s="6">
        <f t="shared" si="1"/>
        <v>2.4328703708306421E-2</v>
      </c>
      <c r="N35" s="7">
        <f t="shared" si="23"/>
        <v>35.033333339961246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-21T05:23:28-0600',mode:absolute,to:'2017-05-21T08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4.6600000000000003E-2</v>
      </c>
      <c r="Z35" s="192">
        <f t="shared" si="9"/>
        <v>23.330100000000002</v>
      </c>
      <c r="AA35" s="192">
        <f t="shared" si="10"/>
        <v>23.2835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0123-21</v>
      </c>
      <c r="AE35" s="80" t="str">
        <f t="shared" si="12"/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AF35" s="77" t="str">
        <f t="shared" si="13"/>
        <v>"C:\Program Files (x86)\AstroGrep\AstroGrep.exe" /e /r /s /spath="%USERPROFILE%\AppData\Local\Temp\OnboardLogs" /stypes="app*4056*20170521*"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123-21 --locoid 4056 --swversion DE.1.0.9.0 --startMP 204:466 --initTime 2017-05-21T06:23:28 --startdatetime 2017-05-21T06:30:17 --delay 1 --endMP 204:233301 --enddatetime 2017-05-21T07:05:19 --enforcementcount 0 &gt;&gt;C:\Users\stu\Documents\GitHub\eaglep3-reporting\EC\2017-05-21-refined-times.txt</v>
      </c>
      <c r="AI35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{"issue":{"subject":"","project_id":79,"tracker_id":40,"status_id":1,"priority_id":2,"assigned_to_id":23,"start_date":"2017-05-21","description":"","custom_fields":[{"id":1,"name":"Subdivision","value":"EC"},{"id":4,"name":"Milepost","value":"23.3301"},{"id":17,"name":"Train ID","value":"123-21"},{"id":16,"name":"Locomotive ID","value":"4056"},{"id":130,"name":"Impact","value":""},{"id":150,"name":"Time of Event (Mountain Time)","value":"07:05:19"},{"id":151,"name":"Denver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4056 --day 2017-05-21</v>
      </c>
      <c r="AN35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586</v>
      </c>
      <c r="B36" s="7">
        <v>4055</v>
      </c>
      <c r="C36" s="21" t="s">
        <v>206</v>
      </c>
      <c r="D36" s="21" t="s">
        <v>832</v>
      </c>
      <c r="E36" s="13">
        <v>42876.305821759262</v>
      </c>
      <c r="F36" s="13">
        <v>42876.310624999998</v>
      </c>
      <c r="G36" s="7">
        <v>1</v>
      </c>
      <c r="H36" s="21" t="s">
        <v>846</v>
      </c>
      <c r="I36" s="13">
        <v>42876.34033564815</v>
      </c>
      <c r="J36" s="7">
        <v>0</v>
      </c>
      <c r="K36" s="92" t="str">
        <f t="shared" si="0"/>
        <v>4055/4056</v>
      </c>
      <c r="L36" s="21" t="str">
        <f>VLOOKUP(A36,'Trips&amp;Operators'!$C$1:$G$99999,5,FALSE)</f>
        <v>GEBRETEKLE DAGNEW</v>
      </c>
      <c r="M36" s="6">
        <f t="shared" si="1"/>
        <v>2.9710648152104113E-2</v>
      </c>
      <c r="N36" s="7">
        <f t="shared" si="23"/>
        <v>42.783333339029923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-21T06:20:23-0600',mode:absolute,to:'2017-05-21T09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23.3003</v>
      </c>
      <c r="Z36" s="192">
        <f t="shared" si="9"/>
        <v>2.3199999999999998E-2</v>
      </c>
      <c r="AA36" s="192">
        <f t="shared" si="10"/>
        <v>23.277100000000001</v>
      </c>
      <c r="AB36" s="57" t="str">
        <f>VLOOKUP(A36,Enforcements!$C$7:$K$13,8,0)</f>
        <v>Speed (6)</v>
      </c>
      <c r="AC36" s="53" t="str">
        <f>VLOOKUP(A36,Enforcements!$C$7:$E$13,3,0)</f>
        <v>EQUIPMENT RESTRICTION</v>
      </c>
      <c r="AD36" s="54" t="str">
        <f t="shared" si="11"/>
        <v>0124-21</v>
      </c>
      <c r="AE36" s="80" t="str">
        <f t="shared" si="12"/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AF36" s="77" t="str">
        <f t="shared" si="13"/>
        <v>"C:\Program Files (x86)\AstroGrep\AstroGrep.exe" /e /r /s /spath="%USERPROFILE%\AppData\Local\Temp\OnboardLogs" /stypes="app*4055*20170521*"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124-21 --locoid 4055 --swversion DE.1.0.9.0 --startMP 204:233003 --initTime 2017-05-21T07:20:23 --startdatetime 2017-05-21T07:27:18 --delay 1 --endMP 204:232 --enddatetime 2017-05-21T08:10:05 --enforcementcount 0 &gt;&gt;C:\Users\stu\Documents\GitHub\eaglep3-reporting\EC\2017-05-21-refined-times.txt</v>
      </c>
      <c r="AI36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{"issue":{"subject":"","project_id":79,"tracker_id":40,"status_id":1,"priority_id":2,"assigned_to_id":23,"start_date":"2017-05-21","description":"","custom_fields":[{"id":1,"name":"Subdivision","value":"EC"},{"id":4,"name":"Milepost","value":"0.0232"},{"id":17,"name":"Train ID","value":"124-21"},{"id":16,"name":"Locomotive ID","value":"4055"},{"id":130,"name":"Impact","value":""},{"id":150,"name":"Time of Event (Mountain Time)","value":"08:10:05"},{"id":151,"name":"Denver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4055 --day 2017-05-21</v>
      </c>
      <c r="AN36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14:10:05"},{"id":29,"name":"Sharepoint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665</v>
      </c>
      <c r="B37" s="7">
        <v>4024</v>
      </c>
      <c r="C37" s="21" t="s">
        <v>206</v>
      </c>
      <c r="D37" s="21" t="s">
        <v>365</v>
      </c>
      <c r="E37" s="13">
        <v>42876.27685185185</v>
      </c>
      <c r="F37" s="13">
        <v>42876.281493055554</v>
      </c>
      <c r="G37" s="7">
        <v>1</v>
      </c>
      <c r="H37" s="21" t="s">
        <v>847</v>
      </c>
      <c r="I37" s="13">
        <v>42876.306400462963</v>
      </c>
      <c r="J37" s="7">
        <v>0</v>
      </c>
      <c r="K37" s="92" t="str">
        <f t="shared" si="0"/>
        <v>4023/4024</v>
      </c>
      <c r="L37" s="21" t="str">
        <f>VLOOKUP(A37,'Trips&amp;Operators'!$C$1:$G$99999,5,FALSE)</f>
        <v>MAELZER KURT</v>
      </c>
      <c r="M37" s="6">
        <f t="shared" si="1"/>
        <v>2.4907407409045845E-2</v>
      </c>
      <c r="N37" s="7">
        <f t="shared" si="23"/>
        <v>35.866666669026017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-21T05:38:40-0600',mode:absolute,to:'2017-05-21T08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4.4699999999999997E-2</v>
      </c>
      <c r="Z37" s="192">
        <f t="shared" si="9"/>
        <v>23.334399999999999</v>
      </c>
      <c r="AA37" s="192">
        <f t="shared" si="10"/>
        <v>23.2897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0125-21</v>
      </c>
      <c r="AE37" s="80" t="str">
        <f t="shared" si="12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37" s="77" t="str">
        <f t="shared" si="13"/>
        <v>"C:\Program Files (x86)\AstroGrep\AstroGrep.exe" /e /r /s /spath="%USERPROFILE%\AppData\Local\Temp\OnboardLogs" /stypes="app*4024*20170521*"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125-21 --locoid 4024 --swversion DE.1.0.9.0 --startMP 204:447 --initTime 2017-05-21T06:38:40 --startdatetime 2017-05-21T06:45:21 --delay 1 --endMP 204:233344 --enddatetime 2017-05-21T07:21:13 --enforcementcount 0 &gt;&gt;C:\Users\stu\Documents\GitHub\eaglep3-reporting\EC\2017-05-21-refined-times.txt</v>
      </c>
      <c r="AI37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{"issue":{"subject":"","project_id":79,"tracker_id":40,"status_id":1,"priority_id":2,"assigned_to_id":23,"start_date":"2017-05-21","description":"","custom_fields":[{"id":1,"name":"Subdivision","value":"EC"},{"id":4,"name":"Milepost","value":"23.3344"},{"id":17,"name":"Train ID","value":"125-21"},{"id":16,"name":"Locomotive ID","value":"4024"},{"id":130,"name":"Impact","value":""},{"id":150,"name":"Time of Event (Mountain Time)","value":"07:21:13"},{"id":151,"name":"Denver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4024 --day 2017-05-21</v>
      </c>
      <c r="AN37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588</v>
      </c>
      <c r="B38" s="7">
        <v>4023</v>
      </c>
      <c r="C38" s="21" t="s">
        <v>206</v>
      </c>
      <c r="D38" s="21" t="s">
        <v>834</v>
      </c>
      <c r="E38" s="13">
        <v>42876.313483796293</v>
      </c>
      <c r="F38" s="13">
        <v>42876.321435185186</v>
      </c>
      <c r="G38" s="7">
        <v>2</v>
      </c>
      <c r="H38" s="21" t="s">
        <v>357</v>
      </c>
      <c r="I38" s="13">
        <v>42876.350810185184</v>
      </c>
      <c r="J38" s="7">
        <v>0</v>
      </c>
      <c r="K38" s="92" t="str">
        <f t="shared" si="0"/>
        <v>4023/4024</v>
      </c>
      <c r="L38" s="21" t="str">
        <f>VLOOKUP(A38,'Trips&amp;Operators'!$C$1:$G$99999,5,FALSE)</f>
        <v>MAELZER KURT</v>
      </c>
      <c r="M38" s="6">
        <f t="shared" si="1"/>
        <v>2.937499999825377E-2</v>
      </c>
      <c r="N38" s="7">
        <f t="shared" si="23"/>
        <v>42.299999997485429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-21T06:31:25-0600',mode:absolute,to:'2017-05-21T09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23.3019</v>
      </c>
      <c r="Z38" s="192">
        <f t="shared" si="9"/>
        <v>1.43E-2</v>
      </c>
      <c r="AA38" s="192">
        <f t="shared" si="10"/>
        <v>23.287600000000001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0126-21</v>
      </c>
      <c r="AE38" s="80" t="str">
        <f t="shared" si="12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38" s="77" t="str">
        <f t="shared" si="13"/>
        <v>"C:\Program Files (x86)\AstroGrep\AstroGrep.exe" /e /r /s /spath="%USERPROFILE%\AppData\Local\Temp\OnboardLogs" /stypes="app*4023*20170521*"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126-21 --locoid 4023 --swversion DE.1.0.9.0 --startMP 204:233019 --initTime 2017-05-21T07:31:25 --startdatetime 2017-05-21T07:42:52 --delay 2 --endMP 204:143 --enddatetime 2017-05-21T08:25:10 --enforcementcount 0 &gt;&gt;C:\Users\stu\Documents\GitHub\eaglep3-reporting\EC\2017-05-21-refined-times.txt</v>
      </c>
      <c r="AI38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{"issue":{"subject":"","project_id":79,"tracker_id":40,"status_id":1,"priority_id":2,"assigned_to_id":23,"start_date":"2017-05-21","description":"","custom_fields":[{"id":1,"name":"Subdivision","value":"EC"},{"id":4,"name":"Milepost","value":"0.0143"},{"id":17,"name":"Train ID","value":"126-21"},{"id":16,"name":"Locomotive ID","value":"4023"},{"id":130,"name":"Impact","value":""},{"id":150,"name":"Time of Event (Mountain Time)","value":"08:25:10"},{"id":151,"name":"Denver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4023 --day 2017-05-21</v>
      </c>
      <c r="AN38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667</v>
      </c>
      <c r="B39" s="7">
        <v>4008</v>
      </c>
      <c r="C39" s="21" t="s">
        <v>206</v>
      </c>
      <c r="D39" s="21" t="s">
        <v>405</v>
      </c>
      <c r="E39" s="13">
        <v>42876.287499999999</v>
      </c>
      <c r="F39" s="13">
        <v>42876.291828703703</v>
      </c>
      <c r="G39" s="7">
        <v>1</v>
      </c>
      <c r="H39" s="21" t="s">
        <v>492</v>
      </c>
      <c r="I39" s="13">
        <v>42876.317083333335</v>
      </c>
      <c r="J39" s="7">
        <v>0</v>
      </c>
      <c r="K39" s="92" t="str">
        <f t="shared" si="0"/>
        <v>4007/4008</v>
      </c>
      <c r="L39" s="21" t="str">
        <f>VLOOKUP(A39,'Trips&amp;Operators'!$C$1:$G$99999,5,FALSE)</f>
        <v>GUZMAN DANNY</v>
      </c>
      <c r="M39" s="6">
        <f t="shared" si="1"/>
        <v>2.5254629632399883E-2</v>
      </c>
      <c r="N39" s="7">
        <f t="shared" si="23"/>
        <v>36.366666670655832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-21T05:54:00-0600',mode:absolute,to:'2017-05-21T08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4.6199999999999998E-2</v>
      </c>
      <c r="Z39" s="192">
        <f t="shared" si="9"/>
        <v>23.3353</v>
      </c>
      <c r="AA39" s="192">
        <f t="shared" si="10"/>
        <v>23.289100000000001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0127-21</v>
      </c>
      <c r="AE39" s="80" t="str">
        <f t="shared" si="12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39" s="77" t="str">
        <f t="shared" si="13"/>
        <v>"C:\Program Files (x86)\AstroGrep\AstroGrep.exe" /e /r /s /spath="%USERPROFILE%\AppData\Local\Temp\OnboardLogs" /stypes="app*4008*20170521*"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127-21 --locoid 4008 --swversion DE.1.0.9.0 --startMP 204:462 --initTime 2017-05-21T06:54:00 --startdatetime 2017-05-21T07:00:14 --delay 1 --endMP 204:233353 --enddatetime 2017-05-21T07:36:36 --enforcementcount 0 &gt;&gt;C:\Users\stu\Documents\GitHub\eaglep3-reporting\EC\2017-05-21-refined-times.txt</v>
      </c>
      <c r="AI39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{"issue":{"subject":"","project_id":79,"tracker_id":40,"status_id":1,"priority_id":2,"assigned_to_id":23,"start_date":"2017-05-21","description":"","custom_fields":[{"id":1,"name":"Subdivision","value":"EC"},{"id":4,"name":"Milepost","value":"23.3353"},{"id":17,"name":"Train ID","value":"127-21"},{"id":16,"name":"Locomotive ID","value":"4008"},{"id":130,"name":"Impact","value":""},{"id":150,"name":"Time of Event (Mountain Time)","value":"07:36:36"},{"id":151,"name":"Denver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4008 --day 2017-05-21</v>
      </c>
      <c r="AN39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673</v>
      </c>
      <c r="B40" s="7">
        <v>4007</v>
      </c>
      <c r="C40" s="21" t="s">
        <v>206</v>
      </c>
      <c r="D40" s="21" t="s">
        <v>558</v>
      </c>
      <c r="E40" s="13">
        <v>42876.319398148145</v>
      </c>
      <c r="F40" s="13">
        <v>42876.331932870373</v>
      </c>
      <c r="G40" s="7">
        <v>1</v>
      </c>
      <c r="H40" s="21" t="s">
        <v>368</v>
      </c>
      <c r="I40" s="13">
        <v>42876.359016203707</v>
      </c>
      <c r="J40" s="7">
        <v>0</v>
      </c>
      <c r="K40" s="92" t="str">
        <f t="shared" si="0"/>
        <v>4007/4008</v>
      </c>
      <c r="L40" s="21" t="str">
        <f>VLOOKUP(A40,'Trips&amp;Operators'!$C$1:$G$99999,5,FALSE)</f>
        <v>GUZMAN DANNY</v>
      </c>
      <c r="M40" s="6">
        <f t="shared" si="1"/>
        <v>2.7083333334303461E-2</v>
      </c>
      <c r="N40" s="7">
        <f t="shared" si="23"/>
        <v>39.000000001396984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-21T06:39:56-0600',mode:absolute,to:'2017-05-21T09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23.301500000000001</v>
      </c>
      <c r="Z40" s="192">
        <f t="shared" si="9"/>
        <v>1.41E-2</v>
      </c>
      <c r="AA40" s="192">
        <f t="shared" si="10"/>
        <v>23.287400000000002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0128-21</v>
      </c>
      <c r="AE40" s="80" t="str">
        <f t="shared" si="12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40" s="77" t="str">
        <f t="shared" si="13"/>
        <v>"C:\Program Files (x86)\AstroGrep\AstroGrep.exe" /e /r /s /spath="%USERPROFILE%\AppData\Local\Temp\OnboardLogs" /stypes="app*4007*20170521*"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128-21 --locoid 4007 --swversion DE.1.0.9.0 --startMP 204:233015 --initTime 2017-05-21T07:39:56 --startdatetime 2017-05-21T07:57:59 --delay 1 --endMP 204:141 --enddatetime 2017-05-21T08:36:59 --enforcementcount 0 &gt;&gt;C:\Users\stu\Documents\GitHub\eaglep3-reporting\EC\2017-05-21-refined-times.txt</v>
      </c>
      <c r="AI40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{"issue":{"subject":"","project_id":79,"tracker_id":40,"status_id":1,"priority_id":2,"assigned_to_id":23,"start_date":"2017-05-21","description":"","custom_fields":[{"id":1,"name":"Subdivision","value":"EC"},{"id":4,"name":"Milepost","value":"0.0141"},{"id":17,"name":"Train ID","value":"128-21"},{"id":16,"name":"Locomotive ID","value":"4007"},{"id":130,"name":"Impact","value":""},{"id":150,"name":"Time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4007 --day 2017-05-21</v>
      </c>
      <c r="AN40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670</v>
      </c>
      <c r="B41" s="7">
        <v>4002</v>
      </c>
      <c r="C41" s="21" t="s">
        <v>206</v>
      </c>
      <c r="D41" s="21" t="s">
        <v>347</v>
      </c>
      <c r="E41" s="13">
        <v>42876.299247685187</v>
      </c>
      <c r="F41" s="13">
        <v>42876.304479166669</v>
      </c>
      <c r="G41" s="7">
        <v>1</v>
      </c>
      <c r="H41" s="21" t="s">
        <v>848</v>
      </c>
      <c r="I41" s="13">
        <v>42876.331909722219</v>
      </c>
      <c r="J41" s="7">
        <v>0</v>
      </c>
      <c r="K41" s="92" t="str">
        <f t="shared" si="0"/>
        <v>4001/4002</v>
      </c>
      <c r="L41" s="21" t="str">
        <f>VLOOKUP(A41,'Trips&amp;Operators'!$C$1:$G$99999,5,FALSE)</f>
        <v>WILLIAMS DONTE</v>
      </c>
      <c r="M41" s="6">
        <f t="shared" si="1"/>
        <v>2.7430555550381541E-2</v>
      </c>
      <c r="N41" s="7">
        <f t="shared" si="23"/>
        <v>39.499999992549419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-21T06:10:55-0600',mode:absolute,to:'2017-05-21T08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4.4900000000000002E-2</v>
      </c>
      <c r="Z41" s="192">
        <f t="shared" si="9"/>
        <v>23.338899999999999</v>
      </c>
      <c r="AA41" s="192">
        <f t="shared" si="10"/>
        <v>23.294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0129-21</v>
      </c>
      <c r="AE41" s="80" t="str">
        <f t="shared" si="12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41" s="77" t="str">
        <f t="shared" si="13"/>
        <v>"C:\Program Files (x86)\AstroGrep\AstroGrep.exe" /e /r /s /spath="%USERPROFILE%\AppData\Local\Temp\OnboardLogs" /stypes="app*4002*20170521*"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129-21 --locoid 4002 --swversion DE.1.0.9.0 --startMP 204:449 --initTime 2017-05-21T07:10:55 --startdatetime 2017-05-21T07:18:27 --delay 1 --endMP 204:233389 --enddatetime 2017-05-21T07:57:57 --enforcementcount 0 &gt;&gt;C:\Users\stu\Documents\GitHub\eaglep3-reporting\EC\2017-05-21-refined-times.txt</v>
      </c>
      <c r="AI41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{"issue":{"subject":"","project_id":79,"tracker_id":40,"status_id":1,"priority_id":2,"assigned_to_id":23,"start_date":"2017-05-21","description":"","custom_fields":[{"id":1,"name":"Subdivision","value":"EC"},{"id":4,"name":"Milepost","value":"23.3389"},{"id":17,"name":"Train ID","value":"129-21"},{"id":16,"name":"Locomotive ID","value":"4002"},{"id":130,"name":"Impact","value":""},{"id":150,"name":"Time of Event (Mountain Time)","value":"07:57:57"},{"id":151,"name":"Denver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4002 --day 2017-05-21</v>
      </c>
      <c r="AN41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677</v>
      </c>
      <c r="B42" s="7">
        <v>4001</v>
      </c>
      <c r="C42" s="21" t="s">
        <v>206</v>
      </c>
      <c r="D42" s="21" t="s">
        <v>849</v>
      </c>
      <c r="E42" s="13">
        <v>42876.334039351852</v>
      </c>
      <c r="F42" s="13">
        <v>42876.34233796296</v>
      </c>
      <c r="G42" s="7">
        <v>1</v>
      </c>
      <c r="H42" s="21" t="s">
        <v>355</v>
      </c>
      <c r="I42" s="13">
        <v>42876.369722222225</v>
      </c>
      <c r="J42" s="7">
        <v>0</v>
      </c>
      <c r="K42" s="92" t="str">
        <f t="shared" si="0"/>
        <v>4001/4002</v>
      </c>
      <c r="L42" s="21" t="str">
        <f>VLOOKUP(A42,'Trips&amp;Operators'!$C$1:$G$99999,5,FALSE)</f>
        <v>WILLIAMS DONTE</v>
      </c>
      <c r="M42" s="6">
        <f t="shared" si="1"/>
        <v>2.7384259265090805E-2</v>
      </c>
      <c r="N42" s="7">
        <f t="shared" si="23"/>
        <v>39.433333341730759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-21T07:01:01-0600',mode:absolute,to:'2017-05-21T09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23.307200000000002</v>
      </c>
      <c r="Z42" s="192">
        <f t="shared" si="9"/>
        <v>1.4999999999999999E-2</v>
      </c>
      <c r="AA42" s="192">
        <f t="shared" si="10"/>
        <v>23.292200000000001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0130-21</v>
      </c>
      <c r="AE42" s="80" t="str">
        <f t="shared" si="12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42" s="77" t="str">
        <f t="shared" si="13"/>
        <v>"C:\Program Files (x86)\AstroGrep\AstroGrep.exe" /e /r /s /spath="%USERPROFILE%\AppData\Local\Temp\OnboardLogs" /stypes="app*4001*20170521*"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130-21 --locoid 4001 --swversion DE.1.0.9.0 --startMP 204:233072 --initTime 2017-05-21T08:01:01 --startdatetime 2017-05-21T08:12:58 --delay 1 --endMP 204:150 --enddatetime 2017-05-21T08:52:24 --enforcementcount 0 &gt;&gt;C:\Users\stu\Documents\GitHub\eaglep3-reporting\EC\2017-05-21-refined-times.txt</v>
      </c>
      <c r="AI42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{"issue":{"subject":"","project_id":79,"tracker_id":40,"status_id":1,"priority_id":2,"assigned_to_id":23,"start_date":"2017-05-21","description":"","custom_fields":[{"id":1,"name":"Subdivision","value":"EC"},{"id":4,"name":"Milepost","value":"0.015"},{"id":17,"name":"Train ID","value":"130-21"},{"id":16,"name":"Locomotive ID","value":"4001"},{"id":130,"name":"Impact","value":""},{"id":150,"name":"Time of Event (Mountain Time)","value":"08:52:24"},{"id":151,"name":"Denver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4001 --day 2017-05-21</v>
      </c>
      <c r="AN42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671</v>
      </c>
      <c r="B43" s="7">
        <v>4010</v>
      </c>
      <c r="C43" s="21" t="s">
        <v>206</v>
      </c>
      <c r="D43" s="21" t="s">
        <v>850</v>
      </c>
      <c r="E43" s="13">
        <v>42876.308287037034</v>
      </c>
      <c r="F43" s="13">
        <v>42876.312719907408</v>
      </c>
      <c r="G43" s="7">
        <v>4</v>
      </c>
      <c r="H43" s="21" t="s">
        <v>467</v>
      </c>
      <c r="I43" s="13">
        <v>42876.338287037041</v>
      </c>
      <c r="J43" s="7">
        <v>0</v>
      </c>
      <c r="K43" s="92" t="str">
        <f t="shared" si="0"/>
        <v>4009/4010</v>
      </c>
      <c r="L43" s="21" t="str">
        <f>VLOOKUP(A43,'Trips&amp;Operators'!$C$1:$G$99999,5,FALSE)</f>
        <v>MACDONALD THOMAS</v>
      </c>
      <c r="M43" s="6">
        <f t="shared" si="1"/>
        <v>2.5567129632690921E-2</v>
      </c>
      <c r="N43" s="7">
        <f t="shared" si="23"/>
        <v>36.816666671074927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-21T06:23:56-0600',mode:absolute,to:'2017-05-21T09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4.8800000000000003E-2</v>
      </c>
      <c r="Z43" s="192">
        <f t="shared" si="9"/>
        <v>23.331199999999999</v>
      </c>
      <c r="AA43" s="192">
        <f t="shared" si="10"/>
        <v>23.282399999999999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0131-21</v>
      </c>
      <c r="AE43" s="80" t="str">
        <f t="shared" si="12"/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AF43" s="77" t="str">
        <f t="shared" si="13"/>
        <v>"C:\Program Files (x86)\AstroGrep\AstroGrep.exe" /e /r /s /spath="%USERPROFILE%\AppData\Local\Temp\OnboardLogs" /stypes="app*4010*20170521*"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131-21 --locoid 4010 --swversion DE.1.0.9.0 --startMP 204:488 --initTime 2017-05-21T07:23:56 --startdatetime 2017-05-21T07:30:19 --delay 4 --endMP 204:233312 --enddatetime 2017-05-21T08:07:08 --enforcementcount 0 &gt;&gt;C:\Users\stu\Documents\GitHub\eaglep3-reporting\EC\2017-05-21-refined-times.txt</v>
      </c>
      <c r="AI43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{"issue":{"subject":"","project_id":79,"tracker_id":40,"status_id":1,"priority_id":2,"assigned_to_id":23,"start_date":"2017-05-21","description":"","custom_fields":[{"id":1,"name":"Subdivision","value":"EC"},{"id":4,"name":"Milepost","value":"23.3312"},{"id":17,"name":"Train ID","value":"131-21"},{"id":16,"name":"Locomotive ID","value":"4010"},{"id":130,"name":"Impact","value":""},{"id":150,"name":"Time of Event (Mountain Time)","value":"08:07:08"},{"id":151,"name":"Denver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4010 --day 2017-05-21</v>
      </c>
      <c r="AN43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679</v>
      </c>
      <c r="B44" s="7">
        <v>4009</v>
      </c>
      <c r="C44" s="21" t="s">
        <v>206</v>
      </c>
      <c r="D44" s="21" t="s">
        <v>423</v>
      </c>
      <c r="E44" s="13">
        <v>42876.349085648151</v>
      </c>
      <c r="F44" s="13">
        <v>42876.352222222224</v>
      </c>
      <c r="G44" s="7">
        <v>1</v>
      </c>
      <c r="H44" s="21" t="s">
        <v>418</v>
      </c>
      <c r="I44" s="13">
        <v>42876.377685185187</v>
      </c>
      <c r="J44" s="7">
        <v>0</v>
      </c>
      <c r="K44" s="92" t="str">
        <f t="shared" si="0"/>
        <v>4009/4010</v>
      </c>
      <c r="L44" s="21" t="str">
        <f>VLOOKUP(A44,'Trips&amp;Operators'!$C$1:$G$99999,5,FALSE)</f>
        <v>MACDONALD THOMAS</v>
      </c>
      <c r="M44" s="6">
        <f t="shared" si="1"/>
        <v>2.5462962963501923E-2</v>
      </c>
      <c r="N44" s="7">
        <f t="shared" si="23"/>
        <v>36.666666667442769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-21T07:22:41-0600',mode:absolute,to:'2017-05-21T10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23.298200000000001</v>
      </c>
      <c r="Z44" s="192">
        <f t="shared" si="9"/>
        <v>1.54E-2</v>
      </c>
      <c r="AA44" s="192">
        <f t="shared" si="10"/>
        <v>23.282800000000002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0132-21</v>
      </c>
      <c r="AE44" s="80" t="str">
        <f t="shared" si="12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44" s="77" t="str">
        <f t="shared" si="13"/>
        <v>"C:\Program Files (x86)\AstroGrep\AstroGrep.exe" /e /r /s /spath="%USERPROFILE%\AppData\Local\Temp\OnboardLogs" /stypes="app*4009*20170521*"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132-21 --locoid 4009 --swversion DE.1.0.9.0 --startMP 204:232982 --initTime 2017-05-21T08:22:41 --startdatetime 2017-05-21T08:27:12 --delay 1 --endMP 204:154 --enddatetime 2017-05-21T09:03:52 --enforcementcount 0 &gt;&gt;C:\Users\stu\Documents\GitHub\eaglep3-reporting\EC\2017-05-21-refined-times.txt</v>
      </c>
      <c r="AI44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{"issue":{"subject":"","project_id":79,"tracker_id":40,"status_id":1,"priority_id":2,"assigned_to_id":23,"start_date":"2017-05-21","description":"","custom_fields":[{"id":1,"name":"Subdivision","value":"EC"},{"id":4,"name":"Milepost","value":"0.0154"},{"id":17,"name":"Train ID","value":"132-21"},{"id":16,"name":"Locomotive ID","value":"4009"},{"id":130,"name":"Impact","value":""},{"id":150,"name":"Time of Event (Mountain Time)","value":"09:03:52"},{"id":151,"name":"Denver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4009 --day 2017-05-21</v>
      </c>
      <c r="AN44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674</v>
      </c>
      <c r="B45" s="7">
        <v>4040</v>
      </c>
      <c r="C45" s="21" t="s">
        <v>206</v>
      </c>
      <c r="D45" s="21" t="s">
        <v>347</v>
      </c>
      <c r="E45" s="13">
        <v>42876.320520833331</v>
      </c>
      <c r="F45" s="13">
        <v>42876.323067129626</v>
      </c>
      <c r="G45" s="7">
        <v>1</v>
      </c>
      <c r="H45" s="21" t="s">
        <v>490</v>
      </c>
      <c r="I45" s="13">
        <v>42876.351099537038</v>
      </c>
      <c r="J45" s="7">
        <v>0</v>
      </c>
      <c r="K45" s="92" t="str">
        <f t="shared" si="0"/>
        <v>4039/4040</v>
      </c>
      <c r="L45" s="21" t="str">
        <f>VLOOKUP(A45,'Trips&amp;Operators'!$C$1:$G$99999,5,FALSE)</f>
        <v>DAVIS WENDY</v>
      </c>
      <c r="M45" s="6">
        <f t="shared" si="1"/>
        <v>2.8032407411956228E-2</v>
      </c>
      <c r="N45" s="7">
        <f t="shared" si="23"/>
        <v>40.366666673216969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-21T06:41:33-0600',mode:absolute,to:'2017-05-21T09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192" t="str">
        <f t="shared" si="6"/>
        <v>N</v>
      </c>
      <c r="X45" s="192">
        <f t="shared" ref="X45:X76" si="24">VALUE(LEFT(AD45,4))-VALUE(LEFT(AD44,4))</f>
        <v>1</v>
      </c>
      <c r="Y45" s="192">
        <f t="shared" si="8"/>
        <v>4.4900000000000002E-2</v>
      </c>
      <c r="Z45" s="192">
        <f t="shared" si="9"/>
        <v>23.3325</v>
      </c>
      <c r="AA45" s="192">
        <f t="shared" si="10"/>
        <v>23.287600000000001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0133-21</v>
      </c>
      <c r="AE45" s="80" t="str">
        <f t="shared" si="12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45" s="77" t="str">
        <f t="shared" si="13"/>
        <v>"C:\Program Files (x86)\AstroGrep\AstroGrep.exe" /e /r /s /spath="%USERPROFILE%\AppData\Local\Temp\OnboardLogs" /stypes="app*4040*20170521*"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133-21 --locoid 4040 --swversion DE.1.0.9.0 --startMP 204:449 --initTime 2017-05-21T07:41:33 --startdatetime 2017-05-21T07:45:13 --delay 1 --endMP 204:233325 --enddatetime 2017-05-21T08:25:35 --enforcementcount 0 &gt;&gt;C:\Users\stu\Documents\GitHub\eaglep3-reporting\EC\2017-05-21-refined-times.txt</v>
      </c>
      <c r="AI45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{"issue":{"subject":"","project_id":79,"tracker_id":40,"status_id":1,"priority_id":2,"assigned_to_id":23,"start_date":"2017-05-21","description":"","custom_fields":[{"id":1,"name":"Subdivision","value":"EC"},{"id":4,"name":"Milepost","value":"23.3325"},{"id":17,"name":"Train ID","value":"133-21"},{"id":16,"name":"Locomotive ID","value":"4040"},{"id":130,"name":"Impact","value":""},{"id":150,"name":"Time of Event (Mountain Time)","value":"08:25:35"},{"id":151,"name":"Denver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4040 --day 2017-05-21</v>
      </c>
      <c r="AN45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682</v>
      </c>
      <c r="B46" s="7">
        <v>4039</v>
      </c>
      <c r="C46" s="21" t="s">
        <v>206</v>
      </c>
      <c r="D46" s="21" t="s">
        <v>845</v>
      </c>
      <c r="E46" s="13">
        <v>42876.35732638889</v>
      </c>
      <c r="F46" s="13">
        <v>42876.362673611111</v>
      </c>
      <c r="G46" s="7">
        <v>0</v>
      </c>
      <c r="H46" s="21" t="s">
        <v>366</v>
      </c>
      <c r="I46" s="13">
        <v>42876.390150462961</v>
      </c>
      <c r="J46" s="7">
        <v>0</v>
      </c>
      <c r="K46" s="92" t="str">
        <f t="shared" si="0"/>
        <v>4039/4040</v>
      </c>
      <c r="L46" s="21" t="str">
        <f>VLOOKUP(A46,'Trips&amp;Operators'!$C$1:$G$99999,5,FALSE)</f>
        <v>DAVIS WENDY</v>
      </c>
      <c r="M46" s="6">
        <f t="shared" si="1"/>
        <v>2.7476851850224193E-2</v>
      </c>
      <c r="N46" s="7">
        <f t="shared" si="23"/>
        <v>39.566666664322838</v>
      </c>
      <c r="O46" s="7"/>
      <c r="P46" s="7"/>
      <c r="Q46" s="22"/>
      <c r="R46" s="190"/>
      <c r="S46" s="196">
        <f t="shared" si="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-21T07:34:33-0600',mode:absolute,to:'2017-05-21T10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192" t="str">
        <f t="shared" si="6"/>
        <v>N</v>
      </c>
      <c r="X46" s="192">
        <f t="shared" si="24"/>
        <v>1</v>
      </c>
      <c r="Y46" s="192">
        <f t="shared" si="8"/>
        <v>23.299800000000001</v>
      </c>
      <c r="Z46" s="192">
        <f t="shared" si="9"/>
        <v>1.3899999999999999E-2</v>
      </c>
      <c r="AA46" s="192">
        <f t="shared" si="10"/>
        <v>23.285900000000002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0134-21</v>
      </c>
      <c r="AE46" s="80" t="str">
        <f t="shared" si="12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46" s="77" t="str">
        <f t="shared" si="13"/>
        <v>"C:\Program Files (x86)\AstroGrep\AstroGrep.exe" /e /r /s /spath="%USERPROFILE%\AppData\Local\Temp\OnboardLogs" /stypes="app*4039*20170521*"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134-21 --locoid 4039 --swversion DE.1.0.9.0 --startMP 204:232998 --initTime 2017-05-21T08:34:33 --startdatetime 2017-05-21T08:42:15 --delay 0 --endMP 204:139 --enddatetime 2017-05-21T09:21:49 --enforcementcount 0 &gt;&gt;C:\Users\stu\Documents\GitHub\eaglep3-reporting\EC\2017-05-21-refined-times.txt</v>
      </c>
      <c r="AI46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{"issue":{"subject":"","project_id":79,"tracker_id":40,"status_id":1,"priority_id":2,"assigned_to_id":23,"start_date":"2017-05-21","description":"","custom_fields":[{"id":1,"name":"Subdivision","value":"EC"},{"id":4,"name":"Milepost","value":"0.0139"},{"id":17,"name":"Train ID","value":"134-21"},{"id":16,"name":"Locomotive ID","value":"4039"},{"id":130,"name":"Impact","value":""},{"id":150,"name":"Time of Event (Mountain Time)","value":"09:21:49"},{"id":151,"name":"Denver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4039 --day 2017-05-21</v>
      </c>
      <c r="AN46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675</v>
      </c>
      <c r="B47" s="7">
        <v>4042</v>
      </c>
      <c r="C47" s="21" t="s">
        <v>206</v>
      </c>
      <c r="D47" s="21" t="s">
        <v>363</v>
      </c>
      <c r="E47" s="13">
        <v>42876.329259259262</v>
      </c>
      <c r="F47" s="13">
        <v>42876.333553240744</v>
      </c>
      <c r="G47" s="7">
        <v>1</v>
      </c>
      <c r="H47" s="21" t="s">
        <v>851</v>
      </c>
      <c r="I47" s="13">
        <v>42876.358078703706</v>
      </c>
      <c r="J47" s="7">
        <v>0</v>
      </c>
      <c r="K47" s="92" t="str">
        <f t="shared" si="0"/>
        <v>4041/4042</v>
      </c>
      <c r="L47" s="21" t="str">
        <f>VLOOKUP(A47,'Trips&amp;Operators'!$C$1:$G$99999,5,FALSE)</f>
        <v>LALONDE GREGORY</v>
      </c>
      <c r="M47" s="6">
        <f t="shared" si="1"/>
        <v>2.4525462962628808E-2</v>
      </c>
      <c r="N47" s="7">
        <f t="shared" si="23"/>
        <v>35.316666666185483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-21T06:54:08-0600',mode:absolute,to:'2017-05-21T09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192" t="str">
        <f t="shared" si="6"/>
        <v>N</v>
      </c>
      <c r="X47" s="192">
        <f t="shared" si="24"/>
        <v>1</v>
      </c>
      <c r="Y47" s="192">
        <f t="shared" si="8"/>
        <v>4.53E-2</v>
      </c>
      <c r="Z47" s="192">
        <f t="shared" si="9"/>
        <v>23.3322</v>
      </c>
      <c r="AA47" s="192">
        <f t="shared" si="10"/>
        <v>23.286899999999999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0135-21</v>
      </c>
      <c r="AE47" s="80" t="str">
        <f t="shared" si="12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47" s="77" t="str">
        <f t="shared" si="13"/>
        <v>"C:\Program Files (x86)\AstroGrep\AstroGrep.exe" /e /r /s /spath="%USERPROFILE%\AppData\Local\Temp\OnboardLogs" /stypes="app*4042*20170521*"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135-21 --locoid 4042 --swversion DE.1.0.9.0 --startMP 204:453 --initTime 2017-05-21T07:54:08 --startdatetime 2017-05-21T08:00:19 --delay 1 --endMP 204:233322 --enddatetime 2017-05-21T08:35:38 --enforcementcount 0 &gt;&gt;C:\Users\stu\Documents\GitHub\eaglep3-reporting\EC\2017-05-21-refined-times.txt</v>
      </c>
      <c r="AI47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{"issue":{"subject":"","project_id":79,"tracker_id":40,"status_id":1,"priority_id":2,"assigned_to_id":23,"start_date":"2017-05-21","description":"","custom_fields":[{"id":1,"name":"Subdivision","value":"EC"},{"id":4,"name":"Milepost","value":"23.3322"},{"id":17,"name":"Train ID","value":"135-21"},{"id":16,"name":"Locomotive ID","value":"4042"},{"id":130,"name":"Impact","value":""},{"id":150,"name":"Time of Event (Mountain Time)","value":"08:35:38"},{"id":151,"name":"Denver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4042 --day 2017-05-21</v>
      </c>
      <c r="AN47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683</v>
      </c>
      <c r="B48" s="7">
        <v>4041</v>
      </c>
      <c r="C48" s="21" t="s">
        <v>206</v>
      </c>
      <c r="D48" s="21" t="s">
        <v>543</v>
      </c>
      <c r="E48" s="13">
        <v>42876.359340277777</v>
      </c>
      <c r="F48" s="13">
        <v>42876.373078703706</v>
      </c>
      <c r="G48" s="7">
        <v>1</v>
      </c>
      <c r="H48" s="21" t="s">
        <v>348</v>
      </c>
      <c r="I48" s="13">
        <v>42876.398680555554</v>
      </c>
      <c r="J48" s="7">
        <v>0</v>
      </c>
      <c r="K48" s="92" t="str">
        <f t="shared" si="0"/>
        <v>4041/4042</v>
      </c>
      <c r="L48" s="21" t="str">
        <f>VLOOKUP(A48,'Trips&amp;Operators'!$C$1:$G$99999,5,FALSE)</f>
        <v>LALONDE GREGORY</v>
      </c>
      <c r="M48" s="6">
        <f t="shared" si="1"/>
        <v>2.5601851848477963E-2</v>
      </c>
      <c r="N48" s="7">
        <f t="shared" si="23"/>
        <v>36.866666661808267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-21T07:37:27-0600',mode:absolute,to:'2017-05-21T10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192" t="str">
        <f t="shared" si="6"/>
        <v>N</v>
      </c>
      <c r="X48" s="192">
        <f t="shared" si="24"/>
        <v>1</v>
      </c>
      <c r="Y48" s="192">
        <f t="shared" si="8"/>
        <v>23.302299999999999</v>
      </c>
      <c r="Z48" s="192">
        <f t="shared" si="9"/>
        <v>1.38E-2</v>
      </c>
      <c r="AA48" s="192">
        <f t="shared" si="10"/>
        <v>23.288499999999999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0136-21</v>
      </c>
      <c r="AE48" s="80" t="str">
        <f t="shared" si="12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48" s="77" t="str">
        <f t="shared" si="13"/>
        <v>"C:\Program Files (x86)\AstroGrep\AstroGrep.exe" /e /r /s /spath="%USERPROFILE%\AppData\Local\Temp\OnboardLogs" /stypes="app*4041*20170521*"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136-21 --locoid 4041 --swversion DE.1.0.9.0 --startMP 204:233023 --initTime 2017-05-21T08:37:27 --startdatetime 2017-05-21T08:57:14 --delay 1 --endMP 204:138 --enddatetime 2017-05-21T09:34:06 --enforcementcount 0 &gt;&gt;C:\Users\stu\Documents\GitHub\eaglep3-reporting\EC\2017-05-21-refined-times.txt</v>
      </c>
      <c r="AI48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{"issue":{"subject":"","project_id":79,"tracker_id":40,"status_id":1,"priority_id":2,"assigned_to_id":23,"start_date":"2017-05-21","description":"","custom_fields":[{"id":1,"name":"Subdivision","value":"EC"},{"id":4,"name":"Milepost","value":"0.0138"},{"id":17,"name":"Train ID","value":"136-21"},{"id":16,"name":"Locomotive ID","value":"4041"},{"id":130,"name":"Impact","value":""},{"id":150,"name":"Time of Event (Mountain Time)","value":"09:34:06"},{"id":151,"name":"Denver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4041 --day 2017-05-21</v>
      </c>
      <c r="AN48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678</v>
      </c>
      <c r="B49" s="7">
        <v>4056</v>
      </c>
      <c r="C49" s="21" t="s">
        <v>206</v>
      </c>
      <c r="D49" s="21" t="s">
        <v>852</v>
      </c>
      <c r="E49" s="13">
        <v>42876.341666666667</v>
      </c>
      <c r="F49" s="13">
        <v>42876.343923611108</v>
      </c>
      <c r="G49" s="7">
        <v>1</v>
      </c>
      <c r="H49" s="21" t="s">
        <v>562</v>
      </c>
      <c r="I49" s="13">
        <v>42876.368807870371</v>
      </c>
      <c r="J49" s="7">
        <v>0</v>
      </c>
      <c r="K49" s="92" t="str">
        <f t="shared" si="0"/>
        <v>4055/4056</v>
      </c>
      <c r="L49" s="21" t="str">
        <f>VLOOKUP(A49,'Trips&amp;Operators'!$C$1:$G$99999,5,FALSE)</f>
        <v>GEBRETEKLE DAGNEW</v>
      </c>
      <c r="M49" s="6">
        <f t="shared" si="1"/>
        <v>2.4884259262762498E-2</v>
      </c>
      <c r="N49" s="7">
        <f t="shared" si="23"/>
        <v>35.833333338377997</v>
      </c>
      <c r="O49" s="7"/>
      <c r="P49" s="7"/>
      <c r="Q49" s="22"/>
      <c r="R49" s="190"/>
      <c r="S49" s="196">
        <f t="shared" si="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-21T07:12:00-0600',mode:absolute,to:'2017-05-21T09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192" t="str">
        <f t="shared" si="6"/>
        <v>N</v>
      </c>
      <c r="X49" s="192">
        <f t="shared" si="24"/>
        <v>1</v>
      </c>
      <c r="Y49" s="192">
        <f t="shared" si="8"/>
        <v>5.4899999999999997E-2</v>
      </c>
      <c r="Z49" s="192">
        <f t="shared" si="9"/>
        <v>23.333200000000001</v>
      </c>
      <c r="AA49" s="192">
        <f t="shared" si="10"/>
        <v>23.278300000000002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0137-21</v>
      </c>
      <c r="AE49" s="80" t="str">
        <f t="shared" si="12"/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AF49" s="77" t="str">
        <f t="shared" si="13"/>
        <v>"C:\Program Files (x86)\AstroGrep\AstroGrep.exe" /e /r /s /spath="%USERPROFILE%\AppData\Local\Temp\OnboardLogs" /stypes="app*4056*20170521*"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137-21 --locoid 4056 --swversion DE.1.0.9.0 --startMP 204:549 --initTime 2017-05-21T08:12:00 --startdatetime 2017-05-21T08:15:15 --delay 1 --endMP 204:233332 --enddatetime 2017-05-21T08:51:05 --enforcementcount 0 &gt;&gt;C:\Users\stu\Documents\GitHub\eaglep3-reporting\EC\2017-05-21-refined-times.txt</v>
      </c>
      <c r="AI49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{"issue":{"subject":"","project_id":79,"tracker_id":40,"status_id":1,"priority_id":2,"assigned_to_id":23,"start_date":"2017-05-21","description":"","custom_fields":[{"id":1,"name":"Subdivision","value":"EC"},{"id":4,"name":"Milepost","value":"23.3332"},{"id":17,"name":"Train ID","value":"137-21"},{"id":16,"name":"Locomotive ID","value":"4056"},{"id":130,"name":"Impact","value":""},{"id":150,"name":"Time of Event (Mountain Time)","value":"08:51:05"},{"id":151,"name":"Denver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4056 --day 2017-05-21</v>
      </c>
      <c r="AN49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590</v>
      </c>
      <c r="B50" s="7">
        <v>4055</v>
      </c>
      <c r="C50" s="21" t="s">
        <v>206</v>
      </c>
      <c r="D50" s="21" t="s">
        <v>491</v>
      </c>
      <c r="E50" s="13">
        <v>42876.378518518519</v>
      </c>
      <c r="F50" s="13">
        <v>42876.383518518516</v>
      </c>
      <c r="G50" s="7">
        <v>1</v>
      </c>
      <c r="H50" s="21" t="s">
        <v>853</v>
      </c>
      <c r="I50" s="13">
        <v>42876.391944444447</v>
      </c>
      <c r="J50" s="7">
        <v>0</v>
      </c>
      <c r="K50" s="92" t="str">
        <f t="shared" si="0"/>
        <v>4055/4056</v>
      </c>
      <c r="L50" s="21" t="str">
        <f>VLOOKUP(A50,'Trips&amp;Operators'!$C$1:$G$99999,5,FALSE)</f>
        <v>GEBRETEKLE DAGNEW</v>
      </c>
      <c r="M50" s="6">
        <f t="shared" si="1"/>
        <v>8.4259259310783818E-3</v>
      </c>
      <c r="N50" s="7"/>
      <c r="O50" s="7"/>
      <c r="P50" s="7">
        <f>24*60*SUM($M50:$M50)</f>
        <v>12.13333334075287</v>
      </c>
      <c r="Q50" s="22"/>
      <c r="R50" s="190" t="s">
        <v>1005</v>
      </c>
      <c r="S50" s="196">
        <f t="shared" si="3"/>
        <v>0.16666666666666666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-21T08:05:04-0600',mode:absolute,to:'2017-05-21T10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192" t="str">
        <f t="shared" si="6"/>
        <v>Y</v>
      </c>
      <c r="X50" s="192">
        <f t="shared" si="24"/>
        <v>1</v>
      </c>
      <c r="Y50" s="192">
        <f t="shared" si="8"/>
        <v>23.302499999999998</v>
      </c>
      <c r="Z50" s="192">
        <f t="shared" si="9"/>
        <v>8.4760000000000009</v>
      </c>
      <c r="AA50" s="192">
        <f t="shared" si="10"/>
        <v>14.826499999999998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0138-21</v>
      </c>
      <c r="AE50" s="80" t="str">
        <f t="shared" si="12"/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AF50" s="77" t="str">
        <f t="shared" si="13"/>
        <v>"C:\Program Files (x86)\AstroGrep\AstroGrep.exe" /e /r /s /spath="%USERPROFILE%\AppData\Local\Temp\OnboardLogs" /stypes="app*4055*20170521*"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138-21 --locoid 4055 --swversion DE.1.0.9.0 --startMP 204:233025 --initTime 2017-05-21T09:05:04 --startdatetime 2017-05-21T09:12:16 --delay 1 --endMP 204:84760 --enddatetime 2017-05-21T09:24:24 --enforcementcount 0 &gt;&gt;C:\Users\stu\Documents\GitHub\eaglep3-reporting\EC\2017-05-21-refined-times.txt</v>
      </c>
      <c r="AI50" s="99" t="str">
        <f t="shared" si="20"/>
        <v>echo {"issue":{"subject":"Wheel tach slip","project_id":79,"tracker_id":40,"status_id":1,"priority_id":2,"assigned_to_id":23,"start_date":"2017-05-21","description":"","custom_fields":[{"id":1,"name":"Subdivision","value":"EC"},{"id":4,"name":"Milepost","value":"8.476"},{"id":17,"name":"Train ID","value":"138-21"},{"id":16,"name":"Locomotive ID","value":"4055"},{"id":130,"name":"Impact","value":""},{"id":150,"name":"Time of Event (Mountain Time)","value":"09:24:24"},{"id":151,"name":"Denver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4055 --day 2017-05-21</v>
      </c>
      <c r="AN50" s="154" t="str">
        <f t="shared" si="22"/>
        <v>echo {"issue":{"subject":"Wheel tach slip","project_id":30,"tracker_id":4,"status_id":1,"priority_id":1,"assigned_to_id":10,"start_date":"2017-05-21","description":"","custom_fields":[{"id":30,"name":"Category","value":"Issue"},{"id":3,"name":"Functional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681</v>
      </c>
      <c r="B51" s="7">
        <v>4024</v>
      </c>
      <c r="C51" s="21" t="s">
        <v>206</v>
      </c>
      <c r="D51" s="21" t="s">
        <v>361</v>
      </c>
      <c r="E51" s="13">
        <v>42876.352581018517</v>
      </c>
      <c r="F51" s="13">
        <v>42876.354409722226</v>
      </c>
      <c r="G51" s="7">
        <v>1</v>
      </c>
      <c r="H51" s="21" t="s">
        <v>545</v>
      </c>
      <c r="I51" s="13">
        <v>42876.37872685185</v>
      </c>
      <c r="J51" s="7">
        <v>0</v>
      </c>
      <c r="K51" s="92" t="str">
        <f t="shared" si="0"/>
        <v>4023/4024</v>
      </c>
      <c r="L51" s="21" t="str">
        <f>VLOOKUP(A51,'Trips&amp;Operators'!$C$1:$G$99999,5,FALSE)</f>
        <v>MAELZER KURT</v>
      </c>
      <c r="M51" s="6">
        <f t="shared" si="1"/>
        <v>2.4317129624250811E-2</v>
      </c>
      <c r="N51" s="7">
        <f t="shared" ref="N51:N82" si="25">24*60*SUM($M51:$M51)</f>
        <v>35.016666658921167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-21T07:27:43-0600',mode:absolute,to:'2017-05-21T10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1" s="192" t="str">
        <f t="shared" si="6"/>
        <v>N</v>
      </c>
      <c r="X51" s="192">
        <f t="shared" si="24"/>
        <v>1</v>
      </c>
      <c r="Y51" s="192">
        <f t="shared" si="8"/>
        <v>4.6399999999999997E-2</v>
      </c>
      <c r="Z51" s="192">
        <f t="shared" si="9"/>
        <v>23.333400000000001</v>
      </c>
      <c r="AA51" s="192">
        <f t="shared" si="10"/>
        <v>23.287000000000003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0139-21</v>
      </c>
      <c r="AE51" s="80" t="str">
        <f t="shared" si="12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51" s="77" t="str">
        <f t="shared" si="13"/>
        <v>"C:\Program Files (x86)\AstroGrep\AstroGrep.exe" /e /r /s /spath="%USERPROFILE%\AppData\Local\Temp\OnboardLogs" /stypes="app*4024*20170521*"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139-21 --locoid 4024 --swversion DE.1.0.9.0 --startMP 204:464 --initTime 2017-05-21T08:27:43 --startdatetime 2017-05-21T08:30:21 --delay 1 --endMP 204:233334 --enddatetime 2017-05-21T09:05:22 --enforcementcount 0 &gt;&gt;C:\Users\stu\Documents\GitHub\eaglep3-reporting\EC\2017-05-21-refined-times.txt</v>
      </c>
      <c r="AI51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{"issue":{"subject":"","project_id":79,"tracker_id":40,"status_id":1,"priority_id":2,"assigned_to_id":23,"start_date":"2017-05-21","description":"","custom_fields":[{"id":1,"name":"Subdivision","value":"EC"},{"id":4,"name":"Milepost","value":"23.3334"},{"id":17,"name":"Train ID","value":"139-21"},{"id":16,"name":"Locomotive ID","value":"4024"},{"id":130,"name":"Impact","value":""},{"id":150,"name":"Time of Event (Mountain Time)","value":"09:05:22"},{"id":151,"name":"Denver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4024 --day 2017-05-21</v>
      </c>
      <c r="AN51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686</v>
      </c>
      <c r="B52" s="7">
        <v>4023</v>
      </c>
      <c r="C52" s="21" t="s">
        <v>206</v>
      </c>
      <c r="D52" s="21" t="s">
        <v>543</v>
      </c>
      <c r="E52" s="13">
        <v>42876.387233796297</v>
      </c>
      <c r="F52" s="13">
        <v>42876.394016203703</v>
      </c>
      <c r="G52" s="7">
        <v>1</v>
      </c>
      <c r="H52" s="21" t="s">
        <v>376</v>
      </c>
      <c r="I52" s="13">
        <v>42876.420578703706</v>
      </c>
      <c r="J52" s="7">
        <v>0</v>
      </c>
      <c r="K52" s="92" t="str">
        <f t="shared" si="0"/>
        <v>4023/4024</v>
      </c>
      <c r="L52" s="21" t="str">
        <f>VLOOKUP(A52,'Trips&amp;Operators'!$C$1:$G$99999,5,FALSE)</f>
        <v>MAELZER KURT</v>
      </c>
      <c r="M52" s="6">
        <f t="shared" si="1"/>
        <v>2.6562500002910383E-2</v>
      </c>
      <c r="N52" s="7">
        <f t="shared" si="25"/>
        <v>38.250000004190952</v>
      </c>
      <c r="O52" s="7"/>
      <c r="P52" s="7"/>
      <c r="Q52" s="22"/>
      <c r="R52" s="190"/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-21T08:17:37-0600',mode:absolute,to:'2017-05-21T11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2" s="192" t="str">
        <f t="shared" si="6"/>
        <v>N</v>
      </c>
      <c r="X52" s="192">
        <f t="shared" si="24"/>
        <v>1</v>
      </c>
      <c r="Y52" s="192">
        <f t="shared" si="8"/>
        <v>23.302299999999999</v>
      </c>
      <c r="Z52" s="192">
        <f t="shared" si="9"/>
        <v>1.3599999999999999E-2</v>
      </c>
      <c r="AA52" s="192">
        <f t="shared" si="10"/>
        <v>23.288699999999999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0140-21</v>
      </c>
      <c r="AE52" s="80" t="str">
        <f t="shared" si="12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52" s="77" t="str">
        <f t="shared" si="13"/>
        <v>"C:\Program Files (x86)\AstroGrep\AstroGrep.exe" /e /r /s /spath="%USERPROFILE%\AppData\Local\Temp\OnboardLogs" /stypes="app*4023*20170521*"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140-21 --locoid 4023 --swversion DE.1.0.9.0 --startMP 204:233023 --initTime 2017-05-21T09:17:37 --startdatetime 2017-05-21T09:27:23 --delay 1 --endMP 204:136 --enddatetime 2017-05-21T10:05:38 --enforcementcount 0 &gt;&gt;C:\Users\stu\Documents\GitHub\eaglep3-reporting\EC\2017-05-21-refined-times.txt</v>
      </c>
      <c r="AI52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{"issue":{"subject":"","project_id":79,"tracker_id":40,"status_id":1,"priority_id":2,"assigned_to_id":23,"start_date":"2017-05-21","description":"","custom_fields":[{"id":1,"name":"Subdivision","value":"EC"},{"id":4,"name":"Milepost","value":"0.0136"},{"id":17,"name":"Train ID","value":"140-21"},{"id":16,"name":"Locomotive ID","value":"4023"},{"id":130,"name":"Impact","value":""},{"id":150,"name":"Time of Event (Mountain Time)","value":"10:05:38"},{"id":151,"name":"Denver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4023 --day 2017-05-21</v>
      </c>
      <c r="AN52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589</v>
      </c>
      <c r="B53" s="7">
        <v>4008</v>
      </c>
      <c r="C53" s="21" t="s">
        <v>206</v>
      </c>
      <c r="D53" s="21" t="s">
        <v>407</v>
      </c>
      <c r="E53" s="13">
        <v>42876.361273148148</v>
      </c>
      <c r="F53" s="13">
        <v>42876.364733796298</v>
      </c>
      <c r="G53" s="7">
        <v>1</v>
      </c>
      <c r="H53" s="21" t="s">
        <v>548</v>
      </c>
      <c r="I53" s="13">
        <v>42876.391145833331</v>
      </c>
      <c r="J53" s="7">
        <v>0</v>
      </c>
      <c r="K53" s="92" t="str">
        <f t="shared" si="0"/>
        <v>4007/4008</v>
      </c>
      <c r="L53" s="21" t="str">
        <f>VLOOKUP(A53,'Trips&amp;Operators'!$C$1:$G$99999,5,FALSE)</f>
        <v>GUZMAN DANNY</v>
      </c>
      <c r="M53" s="6">
        <f t="shared" si="1"/>
        <v>2.6412037033878732E-2</v>
      </c>
      <c r="N53" s="7">
        <f t="shared" si="25"/>
        <v>38.033333328785375</v>
      </c>
      <c r="O53" s="7"/>
      <c r="P53" s="7"/>
      <c r="Q53" s="22"/>
      <c r="R53" s="190"/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-21T07:40:14-0600',mode:absolute,to:'2017-05-21T10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192" t="str">
        <f t="shared" si="6"/>
        <v>N</v>
      </c>
      <c r="X53" s="192">
        <f t="shared" si="24"/>
        <v>1</v>
      </c>
      <c r="Y53" s="192">
        <f t="shared" si="8"/>
        <v>4.7699999999999999E-2</v>
      </c>
      <c r="Z53" s="192">
        <f t="shared" si="9"/>
        <v>23.330200000000001</v>
      </c>
      <c r="AA53" s="192">
        <f t="shared" si="10"/>
        <v>23.282500000000002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0141-21</v>
      </c>
      <c r="AE53" s="80" t="str">
        <f t="shared" si="12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53" s="77" t="str">
        <f t="shared" si="13"/>
        <v>"C:\Program Files (x86)\AstroGrep\AstroGrep.exe" /e /r /s /spath="%USERPROFILE%\AppData\Local\Temp\OnboardLogs" /stypes="app*4008*20170521*"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141-21 --locoid 4008 --swversion DE.1.0.9.0 --startMP 204:477 --initTime 2017-05-21T08:40:14 --startdatetime 2017-05-21T08:45:13 --delay 1 --endMP 204:233302 --enddatetime 2017-05-21T09:23:15 --enforcementcount 0 &gt;&gt;C:\Users\stu\Documents\GitHub\eaglep3-reporting\EC\2017-05-21-refined-times.txt</v>
      </c>
      <c r="AI53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{"issue":{"subject":"","project_id":79,"tracker_id":40,"status_id":1,"priority_id":2,"assigned_to_id":23,"start_date":"2017-05-21","description":"","custom_fields":[{"id":1,"name":"Subdivision","value":"EC"},{"id":4,"name":"Milepost","value":"23.3302"},{"id":17,"name":"Train ID","value":"141-21"},{"id":16,"name":"Locomotive ID","value":"4008"},{"id":130,"name":"Impact","value":""},{"id":150,"name":"Time of Event (Mountain Time)","value":"09:23:15"},{"id":151,"name":"Denver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4008 --day 2017-05-21</v>
      </c>
      <c r="AN53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688</v>
      </c>
      <c r="B54" s="7">
        <v>4007</v>
      </c>
      <c r="C54" s="21" t="s">
        <v>206</v>
      </c>
      <c r="D54" s="21" t="s">
        <v>561</v>
      </c>
      <c r="E54" s="13">
        <v>42876.396249999998</v>
      </c>
      <c r="F54" s="13">
        <v>42876.404328703706</v>
      </c>
      <c r="G54" s="7">
        <v>1</v>
      </c>
      <c r="H54" s="21" t="s">
        <v>542</v>
      </c>
      <c r="I54" s="13">
        <v>42876.431539351855</v>
      </c>
      <c r="J54" s="7">
        <v>0</v>
      </c>
      <c r="K54" s="92" t="str">
        <f t="shared" si="0"/>
        <v>4007/4008</v>
      </c>
      <c r="L54" s="21" t="str">
        <f>VLOOKUP(A54,'Trips&amp;Operators'!$C$1:$G$99999,5,FALSE)</f>
        <v>GUZMAN DANNY</v>
      </c>
      <c r="M54" s="6">
        <f t="shared" si="1"/>
        <v>2.7210648149775807E-2</v>
      </c>
      <c r="N54" s="7">
        <f t="shared" si="25"/>
        <v>39.183333335677162</v>
      </c>
      <c r="O54" s="7"/>
      <c r="P54" s="7"/>
      <c r="Q54" s="22"/>
      <c r="R54" s="190"/>
      <c r="S54" s="196">
        <f t="shared" si="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-21T08:30:36-0600',mode:absolute,to:'2017-05-21T11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92" t="str">
        <f t="shared" si="6"/>
        <v>N</v>
      </c>
      <c r="X54" s="192">
        <f t="shared" si="24"/>
        <v>1</v>
      </c>
      <c r="Y54" s="192">
        <f t="shared" si="8"/>
        <v>23.298500000000001</v>
      </c>
      <c r="Z54" s="192">
        <f t="shared" si="9"/>
        <v>1.6500000000000001E-2</v>
      </c>
      <c r="AA54" s="192">
        <f t="shared" si="10"/>
        <v>23.282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0142-21</v>
      </c>
      <c r="AE54" s="80" t="str">
        <f t="shared" si="12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54" s="77" t="str">
        <f t="shared" si="13"/>
        <v>"C:\Program Files (x86)\AstroGrep\AstroGrep.exe" /e /r /s /spath="%USERPROFILE%\AppData\Local\Temp\OnboardLogs" /stypes="app*4007*20170521*"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142-21 --locoid 4007 --swversion DE.1.0.9.0 --startMP 204:232985 --initTime 2017-05-21T09:30:36 --startdatetime 2017-05-21T09:42:14 --delay 1 --endMP 204:165 --enddatetime 2017-05-21T10:21:25 --enforcementcount 0 &gt;&gt;C:\Users\stu\Documents\GitHub\eaglep3-reporting\EC\2017-05-21-refined-times.txt</v>
      </c>
      <c r="AI54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{"issue":{"subject":"","project_id":79,"tracker_id":40,"status_id":1,"priority_id":2,"assigned_to_id":23,"start_date":"2017-05-21","description":"","custom_fields":[{"id":1,"name":"Subdivision","value":"EC"},{"id":4,"name":"Milepost","value":"0.0165"},{"id":17,"name":"Train ID","value":"142-21"},{"id":16,"name":"Locomotive ID","value":"4007"},{"id":130,"name":"Impact","value":""},{"id":150,"name":"Time of Event (Mountain Time)","value":"10:21:25"},{"id":151,"name":"Denver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4007 --day 2017-05-21</v>
      </c>
      <c r="AN54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591</v>
      </c>
      <c r="B55" s="7">
        <v>4002</v>
      </c>
      <c r="C55" s="21" t="s">
        <v>206</v>
      </c>
      <c r="D55" s="21" t="s">
        <v>473</v>
      </c>
      <c r="E55" s="13">
        <v>42876.374108796299</v>
      </c>
      <c r="F55" s="13">
        <v>42876.375648148147</v>
      </c>
      <c r="G55" s="7">
        <v>1</v>
      </c>
      <c r="H55" s="21" t="s">
        <v>854</v>
      </c>
      <c r="I55" s="13">
        <v>42876.400590277779</v>
      </c>
      <c r="J55" s="7">
        <v>0</v>
      </c>
      <c r="K55" s="92" t="str">
        <f t="shared" si="0"/>
        <v>4001/4002</v>
      </c>
      <c r="L55" s="21" t="str">
        <f>VLOOKUP(A55,'Trips&amp;Operators'!$C$1:$G$99999,5,FALSE)</f>
        <v>WILLIAMS DONTE</v>
      </c>
      <c r="M55" s="6">
        <f t="shared" si="1"/>
        <v>2.4942129632108845E-2</v>
      </c>
      <c r="N55" s="7">
        <f t="shared" si="25"/>
        <v>35.916666670236737</v>
      </c>
      <c r="O55" s="7"/>
      <c r="P55" s="7"/>
      <c r="Q55" s="22"/>
      <c r="R55" s="190"/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-21T07:58:43-0600',mode:absolute,to:'2017-05-21T10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92" t="str">
        <f t="shared" si="6"/>
        <v>N</v>
      </c>
      <c r="X55" s="192">
        <f t="shared" si="24"/>
        <v>1</v>
      </c>
      <c r="Y55" s="192">
        <f t="shared" si="8"/>
        <v>4.7800000000000002E-2</v>
      </c>
      <c r="Z55" s="192">
        <f t="shared" si="9"/>
        <v>23.3309</v>
      </c>
      <c r="AA55" s="192">
        <f t="shared" si="10"/>
        <v>23.283100000000001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0143-21</v>
      </c>
      <c r="AE55" s="80" t="str">
        <f t="shared" si="12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55" s="77" t="str">
        <f t="shared" si="13"/>
        <v>"C:\Program Files (x86)\AstroGrep\AstroGrep.exe" /e /r /s /spath="%USERPROFILE%\AppData\Local\Temp\OnboardLogs" /stypes="app*4002*20170521*"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143-21 --locoid 4002 --swversion DE.1.0.9.0 --startMP 204:478 --initTime 2017-05-21T08:58:43 --startdatetime 2017-05-21T09:00:56 --delay 1 --endMP 204:233309 --enddatetime 2017-05-21T09:36:51 --enforcementcount 0 &gt;&gt;C:\Users\stu\Documents\GitHub\eaglep3-reporting\EC\2017-05-21-refined-times.txt</v>
      </c>
      <c r="AI55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{"issue":{"subject":"","project_id":79,"tracker_id":40,"status_id":1,"priority_id":2,"assigned_to_id":23,"start_date":"2017-05-21","description":"","custom_fields":[{"id":1,"name":"Subdivision","value":"EC"},{"id":4,"name":"Milepost","value":"23.3309"},{"id":17,"name":"Train ID","value":"143-21"},{"id":16,"name":"Locomotive ID","value":"4002"},{"id":130,"name":"Impact","value":""},{"id":150,"name":"Time of Event (Mountain Time)","value":"09:36:51"},{"id":151,"name":"Denver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4002 --day 2017-05-21</v>
      </c>
      <c r="AN55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690</v>
      </c>
      <c r="B56" s="7">
        <v>4001</v>
      </c>
      <c r="C56" s="21" t="s">
        <v>206</v>
      </c>
      <c r="D56" s="21" t="s">
        <v>855</v>
      </c>
      <c r="E56" s="13">
        <v>42876.414664351854</v>
      </c>
      <c r="F56" s="13">
        <v>42876.415856481479</v>
      </c>
      <c r="G56" s="7">
        <v>1</v>
      </c>
      <c r="H56" s="21" t="s">
        <v>355</v>
      </c>
      <c r="I56" s="13">
        <v>42876.44326388889</v>
      </c>
      <c r="J56" s="7">
        <v>0</v>
      </c>
      <c r="K56" s="92" t="str">
        <f t="shared" si="0"/>
        <v>4001/4002</v>
      </c>
      <c r="L56" s="21" t="str">
        <f>VLOOKUP(A56,'Trips&amp;Operators'!$C$1:$G$99999,5,FALSE)</f>
        <v>WILLIAMS DONTE</v>
      </c>
      <c r="M56" s="6">
        <f t="shared" si="1"/>
        <v>2.7407407411374152E-2</v>
      </c>
      <c r="N56" s="7">
        <f t="shared" si="25"/>
        <v>39.466666672378778</v>
      </c>
      <c r="O56" s="7"/>
      <c r="P56" s="7"/>
      <c r="Q56" s="22"/>
      <c r="R56" s="190"/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-21T08:57:07-0600',mode:absolute,to:'2017-05-21T11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92" t="str">
        <f t="shared" si="6"/>
        <v>N</v>
      </c>
      <c r="X56" s="192">
        <f t="shared" si="24"/>
        <v>1</v>
      </c>
      <c r="Y56" s="192">
        <f t="shared" si="8"/>
        <v>23.2986</v>
      </c>
      <c r="Z56" s="192">
        <f t="shared" si="9"/>
        <v>1.4999999999999999E-2</v>
      </c>
      <c r="AA56" s="192">
        <f t="shared" si="10"/>
        <v>23.2836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0144-21</v>
      </c>
      <c r="AE56" s="80" t="str">
        <f t="shared" si="12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56" s="77" t="str">
        <f t="shared" si="13"/>
        <v>"C:\Program Files (x86)\AstroGrep\AstroGrep.exe" /e /r /s /spath="%USERPROFILE%\AppData\Local\Temp\OnboardLogs" /stypes="app*4001*20170521*"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144-21 --locoid 4001 --swversion DE.1.0.9.0 --startMP 204:232986 --initTime 2017-05-21T09:57:07 --startdatetime 2017-05-21T09:58:50 --delay 1 --endMP 204:150 --enddatetime 2017-05-21T10:38:18 --enforcementcount 0 &gt;&gt;C:\Users\stu\Documents\GitHub\eaglep3-reporting\EC\2017-05-21-refined-times.txt</v>
      </c>
      <c r="AI56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{"issue":{"subject":"","project_id":79,"tracker_id":40,"status_id":1,"priority_id":2,"assigned_to_id":23,"start_date":"2017-05-21","description":"","custom_fields":[{"id":1,"name":"Subdivision","value":"EC"},{"id":4,"name":"Milepost","value":"0.015"},{"id":17,"name":"Train ID","value":"144-21"},{"id":16,"name":"Locomotive ID","value":"4001"},{"id":130,"name":"Impact","value":""},{"id":150,"name":"Time of Event (Mountain Time)","value":"10:38:18"},{"id":151,"name":"Denver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4001 --day 2017-05-21</v>
      </c>
      <c r="AN56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685</v>
      </c>
      <c r="B57" s="7">
        <v>4010</v>
      </c>
      <c r="C57" s="21" t="s">
        <v>206</v>
      </c>
      <c r="D57" s="21" t="s">
        <v>425</v>
      </c>
      <c r="E57" s="13">
        <v>42876.383287037039</v>
      </c>
      <c r="F57" s="13">
        <v>42876.385648148149</v>
      </c>
      <c r="G57" s="7">
        <v>1</v>
      </c>
      <c r="H57" s="21" t="s">
        <v>856</v>
      </c>
      <c r="I57" s="13">
        <v>42876.410370370373</v>
      </c>
      <c r="J57" s="7">
        <v>0</v>
      </c>
      <c r="K57" s="92" t="str">
        <f t="shared" si="0"/>
        <v>4009/4010</v>
      </c>
      <c r="L57" s="21" t="str">
        <f>VLOOKUP(A57,'Trips&amp;Operators'!$C$1:$G$99999,5,FALSE)</f>
        <v>MACDONALD THOMAS</v>
      </c>
      <c r="M57" s="6">
        <f t="shared" si="1"/>
        <v>2.4722222224227153E-2</v>
      </c>
      <c r="N57" s="7">
        <f t="shared" si="25"/>
        <v>35.6000000028871</v>
      </c>
      <c r="O57" s="7"/>
      <c r="P57" s="7"/>
      <c r="Q57" s="22"/>
      <c r="R57" s="190"/>
      <c r="S57" s="196">
        <f t="shared" si="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-21T08:11:56-0600',mode:absolute,to:'2017-05-21T10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192" t="str">
        <f t="shared" si="6"/>
        <v>N</v>
      </c>
      <c r="X57" s="192">
        <f t="shared" si="24"/>
        <v>1</v>
      </c>
      <c r="Y57" s="192">
        <f t="shared" si="8"/>
        <v>4.7300000000000002E-2</v>
      </c>
      <c r="Z57" s="192">
        <f t="shared" si="9"/>
        <v>23.3278</v>
      </c>
      <c r="AA57" s="192">
        <f t="shared" si="10"/>
        <v>23.2805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0145-21</v>
      </c>
      <c r="AE57" s="80" t="str">
        <f t="shared" si="12"/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AF57" s="77" t="str">
        <f t="shared" si="13"/>
        <v>"C:\Program Files (x86)\AstroGrep\AstroGrep.exe" /e /r /s /spath="%USERPROFILE%\AppData\Local\Temp\OnboardLogs" /stypes="app*4010*20170521*"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145-21 --locoid 4010 --swversion DE.1.0.9.0 --startMP 204:473 --initTime 2017-05-21T09:11:56 --startdatetime 2017-05-21T09:15:20 --delay 1 --endMP 204:233278 --enddatetime 2017-05-21T09:50:56 --enforcementcount 0 &gt;&gt;C:\Users\stu\Documents\GitHub\eaglep3-reporting\EC\2017-05-21-refined-times.txt</v>
      </c>
      <c r="AI57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{"issue":{"subject":"","project_id":79,"tracker_id":40,"status_id":1,"priority_id":2,"assigned_to_id":23,"start_date":"2017-05-21","description":"","custom_fields":[{"id":1,"name":"Subdivision","value":"EC"},{"id":4,"name":"Milepost","value":"23.3278"},{"id":17,"name":"Train ID","value":"145-21"},{"id":16,"name":"Locomotive ID","value":"4010"},{"id":130,"name":"Impact","value":""},{"id":150,"name":"Time of Event (Mountain Time)","value":"09:50:56"},{"id":151,"name":"Denver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4010 --day 2017-05-21</v>
      </c>
      <c r="AN57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593</v>
      </c>
      <c r="B58" s="7">
        <v>4009</v>
      </c>
      <c r="C58" s="21" t="s">
        <v>206</v>
      </c>
      <c r="D58" s="21" t="s">
        <v>857</v>
      </c>
      <c r="E58" s="13">
        <v>42876.422962962963</v>
      </c>
      <c r="F58" s="13">
        <v>42876.425312500003</v>
      </c>
      <c r="G58" s="7">
        <v>1</v>
      </c>
      <c r="H58" s="21" t="s">
        <v>858</v>
      </c>
      <c r="I58" s="13">
        <v>42876.451620370368</v>
      </c>
      <c r="J58" s="7">
        <v>0</v>
      </c>
      <c r="K58" s="92" t="str">
        <f t="shared" si="0"/>
        <v>4009/4010</v>
      </c>
      <c r="L58" s="21" t="str">
        <f>VLOOKUP(A58,'Trips&amp;Operators'!$C$1:$G$99999,5,FALSE)</f>
        <v>MACDONALD THOMAS</v>
      </c>
      <c r="M58" s="6">
        <f t="shared" si="1"/>
        <v>2.6307870364689734E-2</v>
      </c>
      <c r="N58" s="7">
        <f t="shared" si="25"/>
        <v>37.883333325153217</v>
      </c>
      <c r="O58" s="7"/>
      <c r="P58" s="7"/>
      <c r="Q58" s="22"/>
      <c r="R58" s="190"/>
      <c r="S58" s="196">
        <f t="shared" si="3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-21T09:09:04-0600',mode:absolute,to:'2017-05-21T11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8" s="192" t="str">
        <f t="shared" si="6"/>
        <v>N</v>
      </c>
      <c r="X58" s="192">
        <f t="shared" si="24"/>
        <v>1</v>
      </c>
      <c r="Y58" s="192">
        <f t="shared" si="8"/>
        <v>23.296600000000002</v>
      </c>
      <c r="Z58" s="192">
        <f t="shared" si="9"/>
        <v>2.6200000000000001E-2</v>
      </c>
      <c r="AA58" s="192">
        <f t="shared" si="10"/>
        <v>23.270400000000002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0146-21</v>
      </c>
      <c r="AE58" s="80" t="str">
        <f t="shared" si="12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58" s="77" t="str">
        <f t="shared" si="13"/>
        <v>"C:\Program Files (x86)\AstroGrep\AstroGrep.exe" /e /r /s /spath="%USERPROFILE%\AppData\Local\Temp\OnboardLogs" /stypes="app*4009*20170521*"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146-21 --locoid 4009 --swversion DE.1.0.9.0 --startMP 204:232966 --initTime 2017-05-21T10:09:04 --startdatetime 2017-05-21T10:12:27 --delay 1 --endMP 204:262 --enddatetime 2017-05-21T10:50:20 --enforcementcount 0 &gt;&gt;C:\Users\stu\Documents\GitHub\eaglep3-reporting\EC\2017-05-21-refined-times.txt</v>
      </c>
      <c r="AI58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{"issue":{"subject":"","project_id":79,"tracker_id":40,"status_id":1,"priority_id":2,"assigned_to_id":23,"start_date":"2017-05-21","description":"","custom_fields":[{"id":1,"name":"Subdivision","value":"EC"},{"id":4,"name":"Milepost","value":"0.0262"},{"id":17,"name":"Train ID","value":"146-21"},{"id":16,"name":"Locomotive ID","value":"4009"},{"id":130,"name":"Impact","value":""},{"id":150,"name":"Time of Event (Mountain Time)","value":"10:50:20"},{"id":151,"name":"Denver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4009 --day 2017-05-21</v>
      </c>
      <c r="AN58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592</v>
      </c>
      <c r="B59" s="7">
        <v>4040</v>
      </c>
      <c r="C59" s="21" t="s">
        <v>206</v>
      </c>
      <c r="D59" s="21" t="s">
        <v>347</v>
      </c>
      <c r="E59" s="13">
        <v>42876.391689814816</v>
      </c>
      <c r="F59" s="13">
        <v>42876.395983796298</v>
      </c>
      <c r="G59" s="7">
        <v>1</v>
      </c>
      <c r="H59" s="21" t="s">
        <v>549</v>
      </c>
      <c r="I59" s="13">
        <v>42876.422210648147</v>
      </c>
      <c r="J59" s="7">
        <v>0</v>
      </c>
      <c r="K59" s="92" t="str">
        <f t="shared" si="0"/>
        <v>4039/4040</v>
      </c>
      <c r="L59" s="21" t="str">
        <f>VLOOKUP(A59,'Trips&amp;Operators'!$C$1:$G$99999,5,FALSE)</f>
        <v>DAVIS WENDY</v>
      </c>
      <c r="M59" s="6">
        <f t="shared" si="1"/>
        <v>2.622685184906004E-2</v>
      </c>
      <c r="N59" s="7">
        <f t="shared" si="25"/>
        <v>37.766666662646458</v>
      </c>
      <c r="O59" s="7"/>
      <c r="P59" s="7"/>
      <c r="Q59" s="22"/>
      <c r="R59" s="190"/>
      <c r="S59" s="196">
        <f t="shared" si="3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-21T08:24:02-0600',mode:absolute,to:'2017-05-21T11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192" t="str">
        <f t="shared" si="6"/>
        <v>N</v>
      </c>
      <c r="X59" s="192">
        <f t="shared" si="24"/>
        <v>1</v>
      </c>
      <c r="Y59" s="192">
        <f t="shared" si="8"/>
        <v>4.4900000000000002E-2</v>
      </c>
      <c r="Z59" s="192">
        <f t="shared" si="9"/>
        <v>23.328199999999999</v>
      </c>
      <c r="AA59" s="192">
        <f t="shared" si="10"/>
        <v>23.283300000000001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0147-21</v>
      </c>
      <c r="AE59" s="80" t="str">
        <f t="shared" si="12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59" s="77" t="str">
        <f t="shared" si="13"/>
        <v>"C:\Program Files (x86)\AstroGrep\AstroGrep.exe" /e /r /s /spath="%USERPROFILE%\AppData\Local\Temp\OnboardLogs" /stypes="app*4040*20170521*"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147-21 --locoid 4040 --swversion DE.1.0.9.0 --startMP 204:449 --initTime 2017-05-21T09:24:02 --startdatetime 2017-05-21T09:30:13 --delay 1 --endMP 204:233282 --enddatetime 2017-05-21T10:07:59 --enforcementcount 0 &gt;&gt;C:\Users\stu\Documents\GitHub\eaglep3-reporting\EC\2017-05-21-refined-times.txt</v>
      </c>
      <c r="AI59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{"issue":{"subject":"","project_id":79,"tracker_id":40,"status_id":1,"priority_id":2,"assigned_to_id":23,"start_date":"2017-05-21","description":"","custom_fields":[{"id":1,"name":"Subdivision","value":"EC"},{"id":4,"name":"Milepost","value":"23.3282"},{"id":17,"name":"Train ID","value":"147-21"},{"id":16,"name":"Locomotive ID","value":"4040"},{"id":130,"name":"Impact","value":""},{"id":150,"name":"Time of Event (Mountain Time)","value":"10:07:59"},{"id":151,"name":"Denver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4040 --day 2017-05-21</v>
      </c>
      <c r="AN59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694</v>
      </c>
      <c r="B60" s="7">
        <v>4039</v>
      </c>
      <c r="C60" s="21" t="s">
        <v>206</v>
      </c>
      <c r="D60" s="21" t="s">
        <v>859</v>
      </c>
      <c r="E60" s="13">
        <v>42876.432604166665</v>
      </c>
      <c r="F60" s="13">
        <v>42876.435567129629</v>
      </c>
      <c r="G60" s="7">
        <v>1</v>
      </c>
      <c r="H60" s="21" t="s">
        <v>369</v>
      </c>
      <c r="I60" s="13">
        <v>42876.463194444441</v>
      </c>
      <c r="J60" s="7">
        <v>0</v>
      </c>
      <c r="K60" s="92" t="str">
        <f t="shared" si="0"/>
        <v>4039/4040</v>
      </c>
      <c r="L60" s="21" t="str">
        <f>VLOOKUP(A60,'Trips&amp;Operators'!$C$1:$G$99999,5,FALSE)</f>
        <v>DAVIS WENDY</v>
      </c>
      <c r="M60" s="6">
        <f t="shared" si="1"/>
        <v>2.7627314811979886E-2</v>
      </c>
      <c r="N60" s="7">
        <f t="shared" si="25"/>
        <v>39.783333329251036</v>
      </c>
      <c r="O60" s="7"/>
      <c r="P60" s="7"/>
      <c r="Q60" s="22"/>
      <c r="R60" s="190"/>
      <c r="S60" s="196">
        <f t="shared" si="3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-21T09:22:57-0600',mode:absolute,to:'2017-05-21T12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192" t="str">
        <f t="shared" si="6"/>
        <v>N</v>
      </c>
      <c r="X60" s="192">
        <f t="shared" si="24"/>
        <v>1</v>
      </c>
      <c r="Y60" s="192">
        <f t="shared" si="8"/>
        <v>23.2971</v>
      </c>
      <c r="Z60" s="192">
        <f t="shared" si="9"/>
        <v>1.47E-2</v>
      </c>
      <c r="AA60" s="192">
        <f t="shared" si="10"/>
        <v>23.282399999999999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0148-21</v>
      </c>
      <c r="AE60" s="80" t="str">
        <f t="shared" si="12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60" s="77" t="str">
        <f t="shared" si="13"/>
        <v>"C:\Program Files (x86)\AstroGrep\AstroGrep.exe" /e /r /s /spath="%USERPROFILE%\AppData\Local\Temp\OnboardLogs" /stypes="app*4039*20170521*"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148-21 --locoid 4039 --swversion DE.1.0.9.0 --startMP 204:232971 --initTime 2017-05-21T10:22:57 --startdatetime 2017-05-21T10:27:13 --delay 1 --endMP 204:147 --enddatetime 2017-05-21T11:07:00 --enforcementcount 0 &gt;&gt;C:\Users\stu\Documents\GitHub\eaglep3-reporting\EC\2017-05-21-refined-times.txt</v>
      </c>
      <c r="AI60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{"issue":{"subject":"","project_id":79,"tracker_id":40,"status_id":1,"priority_id":2,"assigned_to_id":23,"start_date":"2017-05-21","description":"","custom_fields":[{"id":1,"name":"Subdivision","value":"EC"},{"id":4,"name":"Milepost","value":"0.0147"},{"id":17,"name":"Train ID","value":"148-21"},{"id":16,"name":"Locomotive ID","value":"4039"},{"id":130,"name":"Impact","value":""},{"id":150,"name":"Time of Event (Mountain Time)","value":"11:07:00"},{"id":151,"name":"Denver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4039 --day 2017-05-21</v>
      </c>
      <c r="AN60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689</v>
      </c>
      <c r="B61" s="7">
        <v>4042</v>
      </c>
      <c r="C61" s="21" t="s">
        <v>206</v>
      </c>
      <c r="D61" s="21" t="s">
        <v>405</v>
      </c>
      <c r="E61" s="13">
        <v>42876.400636574072</v>
      </c>
      <c r="F61" s="13">
        <v>42876.406469907408</v>
      </c>
      <c r="G61" s="7">
        <v>1</v>
      </c>
      <c r="H61" s="21" t="s">
        <v>860</v>
      </c>
      <c r="I61" s="13">
        <v>42876.431018518517</v>
      </c>
      <c r="J61" s="7">
        <v>0</v>
      </c>
      <c r="K61" s="92" t="str">
        <f t="shared" si="0"/>
        <v>4041/4042</v>
      </c>
      <c r="L61" s="21" t="str">
        <f>VLOOKUP(A61,'Trips&amp;Operators'!$C$1:$G$99999,5,FALSE)</f>
        <v>LALONDE GREGORY</v>
      </c>
      <c r="M61" s="6">
        <f t="shared" si="1"/>
        <v>2.4548611108912155E-2</v>
      </c>
      <c r="N61" s="7">
        <f t="shared" si="25"/>
        <v>35.349999996833503</v>
      </c>
      <c r="O61" s="7"/>
      <c r="P61" s="7"/>
      <c r="Q61" s="22"/>
      <c r="R61" s="190"/>
      <c r="S61" s="196">
        <f t="shared" si="3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-21T08:36:55-0600',mode:absolute,to:'2017-05-21T11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192" t="str">
        <f t="shared" si="6"/>
        <v>N</v>
      </c>
      <c r="X61" s="192">
        <f t="shared" si="24"/>
        <v>1</v>
      </c>
      <c r="Y61" s="192">
        <f t="shared" si="8"/>
        <v>4.6199999999999998E-2</v>
      </c>
      <c r="Z61" s="192">
        <f t="shared" si="9"/>
        <v>23.333100000000002</v>
      </c>
      <c r="AA61" s="192">
        <f t="shared" si="10"/>
        <v>23.286900000000003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0149-21</v>
      </c>
      <c r="AE61" s="80" t="str">
        <f t="shared" si="12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61" s="77" t="str">
        <f t="shared" si="13"/>
        <v>"C:\Program Files (x86)\AstroGrep\AstroGrep.exe" /e /r /s /spath="%USERPROFILE%\AppData\Local\Temp\OnboardLogs" /stypes="app*4042*20170521*"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149-21 --locoid 4042 --swversion DE.1.0.9.0 --startMP 204:462 --initTime 2017-05-21T09:36:55 --startdatetime 2017-05-21T09:45:19 --delay 1 --endMP 204:233331 --enddatetime 2017-05-21T10:20:40 --enforcementcount 0 &gt;&gt;C:\Users\stu\Documents\GitHub\eaglep3-reporting\EC\2017-05-21-refined-times.txt</v>
      </c>
      <c r="AI61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{"issue":{"subject":"","project_id":79,"tracker_id":40,"status_id":1,"priority_id":2,"assigned_to_id":23,"start_date":"2017-05-21","description":"","custom_fields":[{"id":1,"name":"Subdivision","value":"EC"},{"id":4,"name":"Milepost","value":"23.3331"},{"id":17,"name":"Train ID","value":"149-21"},{"id":16,"name":"Locomotive ID","value":"4042"},{"id":130,"name":"Impact","value":""},{"id":150,"name":"Time of Event (Mountain Time)","value":"10:20:40"},{"id":151,"name":"Denver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4042 --day 2017-05-21</v>
      </c>
      <c r="AN61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695</v>
      </c>
      <c r="B62" s="7">
        <v>4041</v>
      </c>
      <c r="C62" s="21" t="s">
        <v>206</v>
      </c>
      <c r="D62" s="21" t="s">
        <v>827</v>
      </c>
      <c r="E62" s="13">
        <v>42876.43273148148</v>
      </c>
      <c r="F62" s="13">
        <v>42876.44599537037</v>
      </c>
      <c r="G62" s="7">
        <v>1</v>
      </c>
      <c r="H62" s="21" t="s">
        <v>356</v>
      </c>
      <c r="I62" s="13">
        <v>42876.472037037034</v>
      </c>
      <c r="J62" s="7">
        <v>0</v>
      </c>
      <c r="K62" s="92" t="str">
        <f t="shared" si="0"/>
        <v>4041/4042</v>
      </c>
      <c r="L62" s="21" t="str">
        <f>VLOOKUP(A62,'Trips&amp;Operators'!$C$1:$G$99999,5,FALSE)</f>
        <v>LALONDE GREGORY</v>
      </c>
      <c r="M62" s="6">
        <f t="shared" si="1"/>
        <v>2.6041666664241347E-2</v>
      </c>
      <c r="N62" s="7">
        <f t="shared" si="25"/>
        <v>37.49999999650754</v>
      </c>
      <c r="O62" s="7"/>
      <c r="P62" s="7"/>
      <c r="Q62" s="22"/>
      <c r="R62" s="190"/>
      <c r="S62" s="196">
        <f t="shared" si="3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-21T09:23:08-0600',mode:absolute,to:'2017-05-21T12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192" t="str">
        <f t="shared" si="6"/>
        <v>N</v>
      </c>
      <c r="X62" s="192">
        <f t="shared" si="24"/>
        <v>1</v>
      </c>
      <c r="Y62" s="192">
        <f t="shared" si="8"/>
        <v>23.3004</v>
      </c>
      <c r="Z62" s="192">
        <f t="shared" si="9"/>
        <v>1.49E-2</v>
      </c>
      <c r="AA62" s="192">
        <f t="shared" si="10"/>
        <v>23.285499999999999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0150-21</v>
      </c>
      <c r="AE62" s="80" t="str">
        <f t="shared" si="12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62" s="77" t="str">
        <f t="shared" si="13"/>
        <v>"C:\Program Files (x86)\AstroGrep\AstroGrep.exe" /e /r /s /spath="%USERPROFILE%\AppData\Local\Temp\OnboardLogs" /stypes="app*4041*20170521*"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150-21 --locoid 4041 --swversion DE.1.0.9.0 --startMP 204:233004 --initTime 2017-05-21T10:23:08 --startdatetime 2017-05-21T10:42:14 --delay 1 --endMP 204:149 --enddatetime 2017-05-21T11:19:44 --enforcementcount 0 &gt;&gt;C:\Users\stu\Documents\GitHub\eaglep3-reporting\EC\2017-05-21-refined-times.txt</v>
      </c>
      <c r="AI62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{"issue":{"subject":"","project_id":79,"tracker_id":40,"status_id":1,"priority_id":2,"assigned_to_id":23,"start_date":"2017-05-21","description":"","custom_fields":[{"id":1,"name":"Subdivision","value":"EC"},{"id":4,"name":"Milepost","value":"0.0149"},{"id":17,"name":"Train ID","value":"150-21"},{"id":16,"name":"Locomotive ID","value":"4041"},{"id":130,"name":"Impact","value":""},{"id":150,"name":"Time of Event (Mountain Time)","value":"11:19:44"},{"id":151,"name":"Denver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4041 --day 2017-05-21</v>
      </c>
      <c r="AN62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691</v>
      </c>
      <c r="B63" s="7">
        <v>4056</v>
      </c>
      <c r="C63" s="21" t="s">
        <v>206</v>
      </c>
      <c r="D63" s="21" t="s">
        <v>830</v>
      </c>
      <c r="E63" s="13">
        <v>42876.416018518517</v>
      </c>
      <c r="F63" s="13">
        <v>42876.417083333334</v>
      </c>
      <c r="G63" s="7">
        <v>0</v>
      </c>
      <c r="H63" s="21" t="s">
        <v>861</v>
      </c>
      <c r="I63" s="13">
        <v>42876.441296296296</v>
      </c>
      <c r="J63" s="7">
        <v>0</v>
      </c>
      <c r="K63" s="92" t="str">
        <f t="shared" si="0"/>
        <v>4055/4056</v>
      </c>
      <c r="L63" s="21" t="str">
        <f>VLOOKUP(A63,'Trips&amp;Operators'!$C$1:$G$99999,5,FALSE)</f>
        <v>GEBRETEKLE DAGNEW</v>
      </c>
      <c r="M63" s="6">
        <f t="shared" si="1"/>
        <v>2.421296296233777E-2</v>
      </c>
      <c r="N63" s="7">
        <f t="shared" si="25"/>
        <v>34.866666665766388</v>
      </c>
      <c r="O63" s="7"/>
      <c r="P63" s="7"/>
      <c r="Q63" s="22"/>
      <c r="R63" s="190"/>
      <c r="S63" s="196">
        <f t="shared" si="3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-21T08:59:04-0600',mode:absolute,to:'2017-05-21T11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192" t="str">
        <f t="shared" si="6"/>
        <v>N</v>
      </c>
      <c r="X63" s="192">
        <f t="shared" si="24"/>
        <v>1</v>
      </c>
      <c r="Y63" s="192">
        <f t="shared" si="8"/>
        <v>4.3700000000000003E-2</v>
      </c>
      <c r="Z63" s="192">
        <f t="shared" si="9"/>
        <v>23.339500000000001</v>
      </c>
      <c r="AA63" s="192">
        <f t="shared" si="10"/>
        <v>23.2958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0151-21</v>
      </c>
      <c r="AE63" s="80" t="str">
        <f t="shared" si="12"/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AF63" s="77" t="str">
        <f t="shared" si="13"/>
        <v>"C:\Program Files (x86)\AstroGrep\AstroGrep.exe" /e /r /s /spath="%USERPROFILE%\AppData\Local\Temp\OnboardLogs" /stypes="app*4056*20170521*"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151-21 --locoid 4056 --swversion DE.1.0.9.0 --startMP 204:437 --initTime 2017-05-21T09:59:04 --startdatetime 2017-05-21T10:00:36 --delay 0 --endMP 204:233395 --enddatetime 2017-05-21T10:35:28 --enforcementcount 0 &gt;&gt;C:\Users\stu\Documents\GitHub\eaglep3-reporting\EC\2017-05-21-refined-times.txt</v>
      </c>
      <c r="AI63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{"issue":{"subject":"","project_id":79,"tracker_id":40,"status_id":1,"priority_id":2,"assigned_to_id":23,"start_date":"2017-05-21","description":"","custom_fields":[{"id":1,"name":"Subdivision","value":"EC"},{"id":4,"name":"Milepost","value":"23.3395"},{"id":17,"name":"Train ID","value":"151-21"},{"id":16,"name":"Locomotive ID","value":"4056"},{"id":130,"name":"Impact","value":""},{"id":150,"name":"Time of Event (Mountain Time)","value":"10:35:28"},{"id":151,"name":"Denver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4056 --day 2017-05-21</v>
      </c>
      <c r="AN63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594</v>
      </c>
      <c r="B64" s="7">
        <v>4055</v>
      </c>
      <c r="C64" s="21" t="s">
        <v>206</v>
      </c>
      <c r="D64" s="21" t="s">
        <v>862</v>
      </c>
      <c r="E64" s="13">
        <v>42876.448888888888</v>
      </c>
      <c r="F64" s="13">
        <v>42876.456412037034</v>
      </c>
      <c r="G64" s="7">
        <v>1</v>
      </c>
      <c r="H64" s="21" t="s">
        <v>863</v>
      </c>
      <c r="I64" s="13">
        <v>42876.484803240739</v>
      </c>
      <c r="J64" s="7">
        <v>0</v>
      </c>
      <c r="K64" s="92" t="str">
        <f t="shared" si="0"/>
        <v>4055/4056</v>
      </c>
      <c r="L64" s="21" t="str">
        <f>VLOOKUP(A64,'Trips&amp;Operators'!$C$1:$G$99999,5,FALSE)</f>
        <v>GEBRETEKLE DAGNEW</v>
      </c>
      <c r="M64" s="6">
        <f t="shared" si="1"/>
        <v>2.8391203704813961E-2</v>
      </c>
      <c r="N64" s="7">
        <f t="shared" si="25"/>
        <v>40.883333334932104</v>
      </c>
      <c r="O64" s="7"/>
      <c r="P64" s="7"/>
      <c r="Q64" s="22"/>
      <c r="R64" s="190"/>
      <c r="S64" s="196">
        <f t="shared" si="3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-21T09:46:24-0600',mode:absolute,to:'2017-05-21T12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192" t="str">
        <f t="shared" si="6"/>
        <v>N</v>
      </c>
      <c r="X64" s="192">
        <f t="shared" si="24"/>
        <v>1</v>
      </c>
      <c r="Y64" s="192">
        <f t="shared" si="8"/>
        <v>23.304200000000002</v>
      </c>
      <c r="Z64" s="192">
        <f t="shared" si="9"/>
        <v>8.72E-2</v>
      </c>
      <c r="AA64" s="192">
        <f t="shared" si="10"/>
        <v>23.217000000000002</v>
      </c>
      <c r="AB64" s="57" t="str">
        <f>VLOOKUP(A64,Enforcements!$C$7:$K$13,8,0)</f>
        <v>Speed (6)</v>
      </c>
      <c r="AC64" s="53" t="str">
        <f>VLOOKUP(A64,Enforcements!$C$7:$E$13,3,0)</f>
        <v>EQUIPMENT RESTRICTION</v>
      </c>
      <c r="AD64" s="54" t="str">
        <f t="shared" si="11"/>
        <v>0152-21</v>
      </c>
      <c r="AE64" s="80" t="str">
        <f t="shared" si="12"/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AF64" s="77" t="str">
        <f t="shared" si="13"/>
        <v>"C:\Program Files (x86)\AstroGrep\AstroGrep.exe" /e /r /s /spath="%USERPROFILE%\AppData\Local\Temp\OnboardLogs" /stypes="app*4055*20170521*"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152-21 --locoid 4055 --swversion DE.1.0.9.0 --startMP 204:233042 --initTime 2017-05-21T10:46:24 --startdatetime 2017-05-21T10:57:14 --delay 1 --endMP 204:872 --enddatetime 2017-05-21T11:38:07 --enforcementcount 0 &gt;&gt;C:\Users\stu\Documents\GitHub\eaglep3-reporting\EC\2017-05-21-refined-times.txt</v>
      </c>
      <c r="AI64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{"issue":{"subject":"","project_id":79,"tracker_id":40,"status_id":1,"priority_id":2,"assigned_to_id":23,"start_date":"2017-05-21","description":"","custom_fields":[{"id":1,"name":"Subdivision","value":"EC"},{"id":4,"name":"Milepost","value":"0.0872"},{"id":17,"name":"Train ID","value":"152-21"},{"id":16,"name":"Locomotive ID","value":"4055"},{"id":130,"name":"Impact","value":""},{"id":150,"name":"Time of Event (Mountain Time)","value":"11:38:07"},{"id":151,"name":"Denver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4055 --day 2017-05-21</v>
      </c>
      <c r="AN64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693</v>
      </c>
      <c r="B65" s="7">
        <v>4024</v>
      </c>
      <c r="C65" s="21" t="s">
        <v>206</v>
      </c>
      <c r="D65" s="21" t="s">
        <v>359</v>
      </c>
      <c r="E65" s="13">
        <v>42876.423159722224</v>
      </c>
      <c r="F65" s="13">
        <v>42876.427361111113</v>
      </c>
      <c r="G65" s="7">
        <v>1</v>
      </c>
      <c r="H65" s="21" t="s">
        <v>864</v>
      </c>
      <c r="I65" s="13">
        <v>42876.452534722222</v>
      </c>
      <c r="J65" s="7">
        <v>0</v>
      </c>
      <c r="K65" s="92" t="str">
        <f t="shared" si="0"/>
        <v>4023/4024</v>
      </c>
      <c r="L65" s="21" t="str">
        <f>VLOOKUP(A65,'Trips&amp;Operators'!$C$1:$G$99999,5,FALSE)</f>
        <v>WHITED DUSTIN</v>
      </c>
      <c r="M65" s="6">
        <f t="shared" si="1"/>
        <v>2.5173611109494232E-2</v>
      </c>
      <c r="N65" s="7">
        <f t="shared" si="25"/>
        <v>36.249999997671694</v>
      </c>
      <c r="O65" s="7"/>
      <c r="P65" s="7"/>
      <c r="Q65" s="22"/>
      <c r="R65" s="190"/>
      <c r="S65" s="196">
        <f t="shared" si="3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-21T09:09:21-0600',mode:absolute,to:'2017-05-21T11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5" s="192" t="str">
        <f t="shared" si="6"/>
        <v>N</v>
      </c>
      <c r="X65" s="192">
        <f t="shared" si="24"/>
        <v>1</v>
      </c>
      <c r="Y65" s="192">
        <f t="shared" si="8"/>
        <v>4.5100000000000001E-2</v>
      </c>
      <c r="Z65" s="192">
        <f t="shared" si="9"/>
        <v>23.3385</v>
      </c>
      <c r="AA65" s="192">
        <f t="shared" si="10"/>
        <v>23.293399999999998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0153-21</v>
      </c>
      <c r="AE65" s="80" t="str">
        <f t="shared" si="12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65" s="77" t="str">
        <f t="shared" si="13"/>
        <v>"C:\Program Files (x86)\AstroGrep\AstroGrep.exe" /e /r /s /spath="%USERPROFILE%\AppData\Local\Temp\OnboardLogs" /stypes="app*4024*20170521*"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153-21 --locoid 4024 --swversion DE.1.0.9.0 --startMP 204:451 --initTime 2017-05-21T10:09:21 --startdatetime 2017-05-21T10:15:24 --delay 1 --endMP 204:233385 --enddatetime 2017-05-21T10:51:39 --enforcementcount 0 &gt;&gt;C:\Users\stu\Documents\GitHub\eaglep3-reporting\EC\2017-05-21-refined-times.txt</v>
      </c>
      <c r="AI65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{"issue":{"subject":"","project_id":79,"tracker_id":40,"status_id":1,"priority_id":2,"assigned_to_id":23,"start_date":"2017-05-21","description":"","custom_fields":[{"id":1,"name":"Subdivision","value":"EC"},{"id":4,"name":"Milepost","value":"23.3385"},{"id":17,"name":"Train ID","value":"153-21"},{"id":16,"name":"Locomotive ID","value":"4024"},{"id":130,"name":"Impact","value":""},{"id":150,"name":"Time of Event (Mountain Time)","value":"10:51:39"},{"id":151,"name":"Denver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4024 --day 2017-05-21</v>
      </c>
      <c r="AN65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596</v>
      </c>
      <c r="B66" s="7">
        <v>4023</v>
      </c>
      <c r="C66" s="21" t="s">
        <v>206</v>
      </c>
      <c r="D66" s="21" t="s">
        <v>560</v>
      </c>
      <c r="E66" s="13">
        <v>42876.460995370369</v>
      </c>
      <c r="F66" s="13">
        <v>42876.466990740744</v>
      </c>
      <c r="G66" s="7">
        <v>1</v>
      </c>
      <c r="H66" s="21" t="s">
        <v>376</v>
      </c>
      <c r="I66" s="13">
        <v>42876.492974537039</v>
      </c>
      <c r="J66" s="7">
        <v>0</v>
      </c>
      <c r="K66" s="92" t="str">
        <f t="shared" si="0"/>
        <v>4023/4024</v>
      </c>
      <c r="L66" s="21" t="str">
        <f>VLOOKUP(A66,'Trips&amp;Operators'!$C$1:$G$99999,5,FALSE)</f>
        <v>WHITED DUSTIN</v>
      </c>
      <c r="M66" s="6">
        <f t="shared" si="1"/>
        <v>2.5983796294895001E-2</v>
      </c>
      <c r="N66" s="7">
        <f t="shared" si="25"/>
        <v>37.416666664648801</v>
      </c>
      <c r="O66" s="7"/>
      <c r="P66" s="7"/>
      <c r="Q66" s="22"/>
      <c r="R66" s="190"/>
      <c r="S66" s="196">
        <f t="shared" si="3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-21T10:03:50-0600',mode:absolute,to:'2017-05-21T12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6" s="192" t="str">
        <f t="shared" si="6"/>
        <v>N</v>
      </c>
      <c r="X66" s="192">
        <f t="shared" si="24"/>
        <v>1</v>
      </c>
      <c r="Y66" s="192">
        <f t="shared" si="8"/>
        <v>23.3066</v>
      </c>
      <c r="Z66" s="192">
        <f t="shared" si="9"/>
        <v>1.3599999999999999E-2</v>
      </c>
      <c r="AA66" s="192">
        <f t="shared" si="10"/>
        <v>23.292999999999999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0154-21</v>
      </c>
      <c r="AE66" s="80" t="str">
        <f t="shared" si="12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66" s="77" t="str">
        <f t="shared" si="13"/>
        <v>"C:\Program Files (x86)\AstroGrep\AstroGrep.exe" /e /r /s /spath="%USERPROFILE%\AppData\Local\Temp\OnboardLogs" /stypes="app*4023*20170521*"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154-21 --locoid 4023 --swversion DE.1.0.9.0 --startMP 204:233066 --initTime 2017-05-21T11:03:50 --startdatetime 2017-05-21T11:12:28 --delay 1 --endMP 204:136 --enddatetime 2017-05-21T11:49:53 --enforcementcount 0 &gt;&gt;C:\Users\stu\Documents\GitHub\eaglep3-reporting\EC\2017-05-21-refined-times.txt</v>
      </c>
      <c r="AI66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{"issue":{"subject":"","project_id":79,"tracker_id":40,"status_id":1,"priority_id":2,"assigned_to_id":23,"start_date":"2017-05-21","description":"","custom_fields":[{"id":1,"name":"Subdivision","value":"EC"},{"id":4,"name":"Milepost","value":"0.0136"},{"id":17,"name":"Train ID","value":"154-21"},{"id":16,"name":"Locomotive ID","value":"4023"},{"id":130,"name":"Impact","value":""},{"id":150,"name":"Time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4023 --day 2017-05-21</v>
      </c>
      <c r="AN66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696</v>
      </c>
      <c r="B67" s="7">
        <v>4008</v>
      </c>
      <c r="C67" s="21" t="s">
        <v>206</v>
      </c>
      <c r="D67" s="21" t="s">
        <v>425</v>
      </c>
      <c r="E67" s="13">
        <v>42876.433749999997</v>
      </c>
      <c r="F67" s="13">
        <v>42876.437662037039</v>
      </c>
      <c r="G67" s="7">
        <v>1</v>
      </c>
      <c r="H67" s="21" t="s">
        <v>865</v>
      </c>
      <c r="I67" s="13">
        <v>42876.462685185186</v>
      </c>
      <c r="J67" s="7">
        <v>0</v>
      </c>
      <c r="K67" s="92" t="str">
        <f t="shared" si="0"/>
        <v>4007/4008</v>
      </c>
      <c r="L67" s="21" t="str">
        <f>VLOOKUP(A67,'Trips&amp;Operators'!$C$1:$G$99999,5,FALSE)</f>
        <v>GUZMAN DANNY</v>
      </c>
      <c r="M67" s="6">
        <f t="shared" si="1"/>
        <v>2.5023148147738539E-2</v>
      </c>
      <c r="N67" s="7">
        <f t="shared" si="25"/>
        <v>36.033333332743496</v>
      </c>
      <c r="O67" s="7"/>
      <c r="P67" s="7"/>
      <c r="Q67" s="22"/>
      <c r="R67" s="190"/>
      <c r="S67" s="196">
        <f t="shared" si="3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-21T09:24:36-0600',mode:absolute,to:'2017-05-21T12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192" t="str">
        <f t="shared" si="6"/>
        <v>N</v>
      </c>
      <c r="X67" s="192">
        <f t="shared" si="24"/>
        <v>1</v>
      </c>
      <c r="Y67" s="192">
        <f t="shared" si="8"/>
        <v>4.7300000000000002E-2</v>
      </c>
      <c r="Z67" s="192">
        <f t="shared" si="9"/>
        <v>23.337399999999999</v>
      </c>
      <c r="AA67" s="192">
        <f t="shared" si="10"/>
        <v>23.290099999999999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0155-21</v>
      </c>
      <c r="AE67" s="80" t="str">
        <f t="shared" si="12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67" s="77" t="str">
        <f t="shared" si="13"/>
        <v>"C:\Program Files (x86)\AstroGrep\AstroGrep.exe" /e /r /s /spath="%USERPROFILE%\AppData\Local\Temp\OnboardLogs" /stypes="app*4008*20170521*"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155-21 --locoid 4008 --swversion DE.1.0.9.0 --startMP 204:473 --initTime 2017-05-21T10:24:36 --startdatetime 2017-05-21T10:30:14 --delay 1 --endMP 204:233374 --enddatetime 2017-05-21T11:06:16 --enforcementcount 0 &gt;&gt;C:\Users\stu\Documents\GitHub\eaglep3-reporting\EC\2017-05-21-refined-times.txt</v>
      </c>
      <c r="AI67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{"issue":{"subject":"","project_id":79,"tracker_id":40,"status_id":1,"priority_id":2,"assigned_to_id":23,"start_date":"2017-05-21","description":"","custom_fields":[{"id":1,"name":"Subdivision","value":"EC"},{"id":4,"name":"Milepost","value":"23.3374"},{"id":17,"name":"Train ID","value":"155-21"},{"id":16,"name":"Locomotive ID","value":"4008"},{"id":130,"name":"Impact","value":""},{"id":150,"name":"Time of Event (Mountain Time)","value":"11:06:16"},{"id":151,"name":"Denver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4008 --day 2017-05-21</v>
      </c>
      <c r="AN67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702</v>
      </c>
      <c r="B68" s="7">
        <v>4007</v>
      </c>
      <c r="C68" s="21" t="s">
        <v>206</v>
      </c>
      <c r="D68" s="21" t="s">
        <v>866</v>
      </c>
      <c r="E68" s="13">
        <v>42876.466979166667</v>
      </c>
      <c r="F68" s="13">
        <v>42876.477256944447</v>
      </c>
      <c r="G68" s="7">
        <v>1</v>
      </c>
      <c r="H68" s="21" t="s">
        <v>867</v>
      </c>
      <c r="I68" s="13">
        <v>42876.504629629628</v>
      </c>
      <c r="J68" s="7">
        <v>0</v>
      </c>
      <c r="K68" s="92" t="str">
        <f t="shared" si="0"/>
        <v>4007/4008</v>
      </c>
      <c r="L68" s="21" t="str">
        <f>VLOOKUP(A68,'Trips&amp;Operators'!$C$1:$G$99999,5,FALSE)</f>
        <v>GUZMAN DANNY</v>
      </c>
      <c r="M68" s="6">
        <f t="shared" si="1"/>
        <v>2.7372685181035195E-2</v>
      </c>
      <c r="N68" s="7">
        <f t="shared" si="25"/>
        <v>39.41666666069068</v>
      </c>
      <c r="O68" s="7"/>
      <c r="P68" s="7"/>
      <c r="Q68" s="22"/>
      <c r="R68" s="190"/>
      <c r="S68" s="196">
        <f t="shared" si="3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-21T10:12:27-0600',mode:absolute,to:'2017-05-21T13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92" t="str">
        <f t="shared" si="6"/>
        <v>N</v>
      </c>
      <c r="X68" s="192">
        <f t="shared" si="24"/>
        <v>1</v>
      </c>
      <c r="Y68" s="192">
        <f t="shared" si="8"/>
        <v>23.305900000000001</v>
      </c>
      <c r="Z68" s="192">
        <f t="shared" si="9"/>
        <v>1.1599999999999999E-2</v>
      </c>
      <c r="AA68" s="192">
        <f t="shared" si="10"/>
        <v>23.2943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0156-21</v>
      </c>
      <c r="AE68" s="80" t="str">
        <f t="shared" si="12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68" s="77" t="str">
        <f t="shared" si="13"/>
        <v>"C:\Program Files (x86)\AstroGrep\AstroGrep.exe" /e /r /s /spath="%USERPROFILE%\AppData\Local\Temp\OnboardLogs" /stypes="app*4007*20170521*"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156-21 --locoid 4007 --swversion DE.1.0.9.0 --startMP 204:233059 --initTime 2017-05-21T11:12:27 --startdatetime 2017-05-21T11:27:15 --delay 1 --endMP 204:116 --enddatetime 2017-05-21T12:06:40 --enforcementcount 0 &gt;&gt;C:\Users\stu\Documents\GitHub\eaglep3-reporting\EC\2017-05-21-refined-times.txt</v>
      </c>
      <c r="AI68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{"issue":{"subject":"","project_id":79,"tracker_id":40,"status_id":1,"priority_id":2,"assigned_to_id":23,"start_date":"2017-05-21","description":"","custom_fields":[{"id":1,"name":"Subdivision","value":"EC"},{"id":4,"name":"Milepost","value":"0.0116"},{"id":17,"name":"Train ID","value":"156-21"},{"id":16,"name":"Locomotive ID","value":"4007"},{"id":130,"name":"Impact","value":""},{"id":150,"name":"Time of Event (Mountain Time)","value":"12:06:40"},{"id":151,"name":"Denver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4007 --day 2017-05-21</v>
      </c>
      <c r="AN68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698</v>
      </c>
      <c r="B69" s="7">
        <v>4002</v>
      </c>
      <c r="C69" s="21" t="s">
        <v>206</v>
      </c>
      <c r="D69" s="21" t="s">
        <v>354</v>
      </c>
      <c r="E69" s="13">
        <v>42876.445428240739</v>
      </c>
      <c r="F69" s="13">
        <v>42876.448078703703</v>
      </c>
      <c r="G69" s="7">
        <v>2</v>
      </c>
      <c r="H69" s="21" t="s">
        <v>421</v>
      </c>
      <c r="I69" s="13">
        <v>42876.474212962959</v>
      </c>
      <c r="J69" s="7">
        <v>0</v>
      </c>
      <c r="K69" s="92" t="str">
        <f t="shared" si="0"/>
        <v>4001/4002</v>
      </c>
      <c r="L69" s="21" t="str">
        <f>VLOOKUP(A69,'Trips&amp;Operators'!$C$1:$G$99999,5,FALSE)</f>
        <v>CLARK KATHLEEN</v>
      </c>
      <c r="M69" s="6">
        <f t="shared" si="1"/>
        <v>2.6134259256650694E-2</v>
      </c>
      <c r="N69" s="7">
        <f t="shared" si="25"/>
        <v>37.633333329576999</v>
      </c>
      <c r="O69" s="7"/>
      <c r="P69" s="7"/>
      <c r="Q69" s="22"/>
      <c r="R69" s="190"/>
      <c r="S69" s="196">
        <f t="shared" si="3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-21T09:41:25-0600',mode:absolute,to:'2017-05-21T12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192" t="str">
        <f t="shared" si="6"/>
        <v>N</v>
      </c>
      <c r="X69" s="192">
        <f t="shared" si="24"/>
        <v>1</v>
      </c>
      <c r="Y69" s="192">
        <f t="shared" si="8"/>
        <v>4.58E-2</v>
      </c>
      <c r="Z69" s="192">
        <f t="shared" si="9"/>
        <v>23.329499999999999</v>
      </c>
      <c r="AA69" s="192">
        <f t="shared" si="10"/>
        <v>23.2837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0157-21</v>
      </c>
      <c r="AE69" s="80" t="str">
        <f t="shared" si="12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69" s="77" t="str">
        <f t="shared" si="13"/>
        <v>"C:\Program Files (x86)\AstroGrep\AstroGrep.exe" /e /r /s /spath="%USERPROFILE%\AppData\Local\Temp\OnboardLogs" /stypes="app*4002*20170521*"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157-21 --locoid 4002 --swversion DE.1.0.9.0 --startMP 204:458 --initTime 2017-05-21T10:41:25 --startdatetime 2017-05-21T10:45:14 --delay 2 --endMP 204:233295 --enddatetime 2017-05-21T11:22:52 --enforcementcount 0 &gt;&gt;C:\Users\stu\Documents\GitHub\eaglep3-reporting\EC\2017-05-21-refined-times.txt</v>
      </c>
      <c r="AI69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{"issue":{"subject":"","project_id":79,"tracker_id":40,"status_id":1,"priority_id":2,"assigned_to_id":23,"start_date":"2017-05-21","description":"","custom_fields":[{"id":1,"name":"Subdivision","value":"EC"},{"id":4,"name":"Milepost","value":"23.3295"},{"id":17,"name":"Train ID","value":"157-21"},{"id":16,"name":"Locomotive ID","value":"4002"},{"id":130,"name":"Impact","value":""},{"id":150,"name":"Time of Event (Mountain Time)","value":"11:22:52"},{"id":151,"name":"Denver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4002 --day 2017-05-21</v>
      </c>
      <c r="AN69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705</v>
      </c>
      <c r="B70" s="7">
        <v>4001</v>
      </c>
      <c r="C70" s="21" t="s">
        <v>206</v>
      </c>
      <c r="D70" s="21" t="s">
        <v>857</v>
      </c>
      <c r="E70" s="13">
        <v>42876.481782407405</v>
      </c>
      <c r="F70" s="13">
        <v>42876.487673611111</v>
      </c>
      <c r="G70" s="7">
        <v>1</v>
      </c>
      <c r="H70" s="21" t="s">
        <v>868</v>
      </c>
      <c r="I70" s="13">
        <v>42876.515439814815</v>
      </c>
      <c r="J70" s="7">
        <v>0</v>
      </c>
      <c r="K70" s="92" t="str">
        <f t="shared" si="0"/>
        <v>4001/4002</v>
      </c>
      <c r="L70" s="21" t="str">
        <f>VLOOKUP(A70,'Trips&amp;Operators'!$C$1:$G$99999,5,FALSE)</f>
        <v>CLARK KATHLEEN</v>
      </c>
      <c r="M70" s="6">
        <f t="shared" si="1"/>
        <v>2.7766203704231884E-2</v>
      </c>
      <c r="N70" s="7">
        <f t="shared" si="25"/>
        <v>39.983333334093913</v>
      </c>
      <c r="O70" s="7"/>
      <c r="P70" s="7"/>
      <c r="Q70" s="22"/>
      <c r="R70" s="190"/>
      <c r="S70" s="196">
        <f t="shared" si="3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-21T10:33:46-0600',mode:absolute,to:'2017-05-21T13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192" t="str">
        <f t="shared" si="6"/>
        <v>N</v>
      </c>
      <c r="X70" s="192">
        <f t="shared" si="24"/>
        <v>1</v>
      </c>
      <c r="Y70" s="192">
        <f t="shared" si="8"/>
        <v>23.296600000000002</v>
      </c>
      <c r="Z70" s="192">
        <f t="shared" si="9"/>
        <v>1.9800000000000002E-2</v>
      </c>
      <c r="AA70" s="192">
        <f t="shared" si="10"/>
        <v>23.276800000000001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0158-21</v>
      </c>
      <c r="AE70" s="80" t="str">
        <f t="shared" si="12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70" s="77" t="str">
        <f t="shared" si="13"/>
        <v>"C:\Program Files (x86)\AstroGrep\AstroGrep.exe" /e /r /s /spath="%USERPROFILE%\AppData\Local\Temp\OnboardLogs" /stypes="app*4001*20170521*"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158-21 --locoid 4001 --swversion DE.1.0.9.0 --startMP 204:232966 --initTime 2017-05-21T11:33:46 --startdatetime 2017-05-21T11:42:15 --delay 1 --endMP 204:198 --enddatetime 2017-05-21T12:22:14 --enforcementcount 0 &gt;&gt;C:\Users\stu\Documents\GitHub\eaglep3-reporting\EC\2017-05-21-refined-times.txt</v>
      </c>
      <c r="AI70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{"issue":{"subject":"","project_id":79,"tracker_id":40,"status_id":1,"priority_id":2,"assigned_to_id":23,"start_date":"2017-05-21","description":"","custom_fields":[{"id":1,"name":"Subdivision","value":"EC"},{"id":4,"name":"Milepost","value":"0.0198"},{"id":17,"name":"Train ID","value":"158-21"},{"id":16,"name":"Locomotive ID","value":"4001"},{"id":130,"name":"Impact","value":""},{"id":150,"name":"Time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4001 --day 2017-05-21</v>
      </c>
      <c r="AN70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699</v>
      </c>
      <c r="B71" s="7">
        <v>4010</v>
      </c>
      <c r="C71" s="21" t="s">
        <v>206</v>
      </c>
      <c r="D71" s="21" t="s">
        <v>869</v>
      </c>
      <c r="E71" s="13">
        <v>42876.456157407411</v>
      </c>
      <c r="F71" s="13">
        <v>42876.459178240744</v>
      </c>
      <c r="G71" s="7">
        <v>1</v>
      </c>
      <c r="H71" s="21" t="s">
        <v>465</v>
      </c>
      <c r="I71" s="13">
        <v>42876.483090277776</v>
      </c>
      <c r="J71" s="7">
        <v>0</v>
      </c>
      <c r="K71" s="92" t="str">
        <f t="shared" si="0"/>
        <v>4009/4010</v>
      </c>
      <c r="L71" s="21" t="str">
        <f>VLOOKUP(A71,'Trips&amp;Operators'!$C$1:$G$99999,5,FALSE)</f>
        <v>MACDONALD THOMAS</v>
      </c>
      <c r="M71" s="6">
        <f t="shared" si="1"/>
        <v>2.3912037031550426E-2</v>
      </c>
      <c r="N71" s="7">
        <f t="shared" si="25"/>
        <v>34.433333325432613</v>
      </c>
      <c r="O71" s="7"/>
      <c r="P71" s="7"/>
      <c r="Q71" s="22"/>
      <c r="R71" s="190"/>
      <c r="S71" s="196">
        <f t="shared" si="3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-21T09:56:52-0600',mode:absolute,to:'2017-05-21T12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192" t="str">
        <f t="shared" si="6"/>
        <v>N</v>
      </c>
      <c r="X71" s="192">
        <f t="shared" si="24"/>
        <v>1</v>
      </c>
      <c r="Y71" s="192">
        <f t="shared" si="8"/>
        <v>5.5899999999999998E-2</v>
      </c>
      <c r="Z71" s="192">
        <f t="shared" si="9"/>
        <v>23.3291</v>
      </c>
      <c r="AA71" s="192">
        <f t="shared" si="10"/>
        <v>23.273199999999999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0159-21</v>
      </c>
      <c r="AE71" s="80" t="str">
        <f t="shared" si="12"/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AF71" s="77" t="str">
        <f t="shared" si="13"/>
        <v>"C:\Program Files (x86)\AstroGrep\AstroGrep.exe" /e /r /s /spath="%USERPROFILE%\AppData\Local\Temp\OnboardLogs" /stypes="app*4010*20170521*"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159-21 --locoid 4010 --swversion DE.1.0.9.0 --startMP 204:559 --initTime 2017-05-21T10:56:52 --startdatetime 2017-05-21T11:01:13 --delay 1 --endMP 204:233291 --enddatetime 2017-05-21T11:35:39 --enforcementcount 0 &gt;&gt;C:\Users\stu\Documents\GitHub\eaglep3-reporting\EC\2017-05-21-refined-times.txt</v>
      </c>
      <c r="AI71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{"issue":{"subject":"","project_id":79,"tracker_id":40,"status_id":1,"priority_id":2,"assigned_to_id":23,"start_date":"2017-05-21","description":"","custom_fields":[{"id":1,"name":"Subdivision","value":"EC"},{"id":4,"name":"Milepost","value":"23.3291"},{"id":17,"name":"Train ID","value":"159-21"},{"id":16,"name":"Locomotive ID","value":"4010"},{"id":130,"name":"Impact","value":""},{"id":150,"name":"Time of Event (Mountain Time)","value":"11:35:39"},{"id":151,"name":"Denver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4010 --day 2017-05-21</v>
      </c>
      <c r="AN71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710</v>
      </c>
      <c r="B72" s="7">
        <v>4009</v>
      </c>
      <c r="C72" s="21" t="s">
        <v>206</v>
      </c>
      <c r="D72" s="21" t="s">
        <v>870</v>
      </c>
      <c r="E72" s="13">
        <v>42876.496342592596</v>
      </c>
      <c r="F72" s="13">
        <v>42876.498101851852</v>
      </c>
      <c r="G72" s="7">
        <v>1</v>
      </c>
      <c r="H72" s="21" t="s">
        <v>356</v>
      </c>
      <c r="I72" s="13">
        <v>42876.523587962962</v>
      </c>
      <c r="J72" s="7">
        <v>0</v>
      </c>
      <c r="K72" s="92" t="str">
        <f t="shared" si="0"/>
        <v>4009/4010</v>
      </c>
      <c r="L72" s="21" t="str">
        <f>VLOOKUP(A72,'Trips&amp;Operators'!$C$1:$G$99999,5,FALSE)</f>
        <v>MACDONALD THOMAS</v>
      </c>
      <c r="M72" s="6">
        <f t="shared" si="1"/>
        <v>2.548611110978527E-2</v>
      </c>
      <c r="N72" s="7">
        <f t="shared" si="25"/>
        <v>36.699999998090789</v>
      </c>
      <c r="O72" s="7"/>
      <c r="P72" s="7"/>
      <c r="Q72" s="22"/>
      <c r="R72" s="190"/>
      <c r="S72" s="196">
        <f t="shared" si="3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-21T10:54:44-0600',mode:absolute,to:'2017-05-21T13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2" s="192" t="str">
        <f t="shared" si="6"/>
        <v>N</v>
      </c>
      <c r="X72" s="192">
        <f t="shared" si="24"/>
        <v>1</v>
      </c>
      <c r="Y72" s="192">
        <f t="shared" si="8"/>
        <v>23.296900000000001</v>
      </c>
      <c r="Z72" s="192">
        <f t="shared" si="9"/>
        <v>1.49E-2</v>
      </c>
      <c r="AA72" s="192">
        <f t="shared" si="10"/>
        <v>23.282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0160-21</v>
      </c>
      <c r="AE72" s="80" t="str">
        <f t="shared" si="12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72" s="77" t="str">
        <f t="shared" si="13"/>
        <v>"C:\Program Files (x86)\AstroGrep\AstroGrep.exe" /e /r /s /spath="%USERPROFILE%\AppData\Local\Temp\OnboardLogs" /stypes="app*4009*20170521*"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160-21 --locoid 4009 --swversion DE.1.0.9.0 --startMP 204:232969 --initTime 2017-05-21T11:54:44 --startdatetime 2017-05-21T11:57:16 --delay 1 --endMP 204:149 --enddatetime 2017-05-21T12:33:58 --enforcementcount 0 &gt;&gt;C:\Users\stu\Documents\GitHub\eaglep3-reporting\EC\2017-05-21-refined-times.txt</v>
      </c>
      <c r="AI72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{"issue":{"subject":"","project_id":79,"tracker_id":40,"status_id":1,"priority_id":2,"assigned_to_id":23,"start_date":"2017-05-21","description":"","custom_fields":[{"id":1,"name":"Subdivision","value":"EC"},{"id":4,"name":"Milepost","value":"0.0149"},{"id":17,"name":"Train ID","value":"160-21"},{"id":16,"name":"Locomotive ID","value":"4009"},{"id":130,"name":"Impact","value":""},{"id":150,"name":"Time of Event (Mountain Time)","value":"12:33:58"},{"id":151,"name":"Denver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4009 --day 2017-05-21</v>
      </c>
      <c r="AN72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701</v>
      </c>
      <c r="B73" s="7">
        <v>4040</v>
      </c>
      <c r="C73" s="21" t="s">
        <v>206</v>
      </c>
      <c r="D73" s="21" t="s">
        <v>363</v>
      </c>
      <c r="E73" s="13">
        <v>42876.466122685182</v>
      </c>
      <c r="F73" s="13">
        <v>42876.469270833331</v>
      </c>
      <c r="G73" s="7">
        <v>3</v>
      </c>
      <c r="H73" s="21" t="s">
        <v>467</v>
      </c>
      <c r="I73" s="13">
        <v>42876.495520833334</v>
      </c>
      <c r="J73" s="7">
        <v>0</v>
      </c>
      <c r="K73" s="92" t="str">
        <f t="shared" si="0"/>
        <v>4039/4040</v>
      </c>
      <c r="L73" s="21" t="str">
        <f>VLOOKUP(A73,'Trips&amp;Operators'!$C$1:$G$99999,5,FALSE)</f>
        <v>DAVIS MICHAEL</v>
      </c>
      <c r="M73" s="6">
        <f t="shared" si="1"/>
        <v>2.6250000002619345E-2</v>
      </c>
      <c r="N73" s="7">
        <f t="shared" si="25"/>
        <v>37.800000003771856</v>
      </c>
      <c r="O73" s="7"/>
      <c r="P73" s="7"/>
      <c r="Q73" s="22"/>
      <c r="R73" s="190"/>
      <c r="S73" s="196">
        <f t="shared" si="3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-21T10:11:13-0600',mode:absolute,to:'2017-05-21T12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192" t="str">
        <f t="shared" si="6"/>
        <v>N</v>
      </c>
      <c r="X73" s="192">
        <f t="shared" si="24"/>
        <v>1</v>
      </c>
      <c r="Y73" s="192">
        <f t="shared" si="8"/>
        <v>4.53E-2</v>
      </c>
      <c r="Z73" s="192">
        <f t="shared" si="9"/>
        <v>23.331199999999999</v>
      </c>
      <c r="AA73" s="192">
        <f t="shared" si="10"/>
        <v>23.285899999999998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0161-21</v>
      </c>
      <c r="AE73" s="80" t="str">
        <f t="shared" si="12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73" s="77" t="str">
        <f t="shared" si="13"/>
        <v>"C:\Program Files (x86)\AstroGrep\AstroGrep.exe" /e /r /s /spath="%USERPROFILE%\AppData\Local\Temp\OnboardLogs" /stypes="app*4040*20170521*"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161-21 --locoid 4040 --swversion DE.1.0.9.0 --startMP 204:453 --initTime 2017-05-21T11:11:13 --startdatetime 2017-05-21T11:15:45 --delay 3 --endMP 204:233312 --enddatetime 2017-05-21T11:53:33 --enforcementcount 0 &gt;&gt;C:\Users\stu\Documents\GitHub\eaglep3-reporting\EC\2017-05-21-refined-times.txt</v>
      </c>
      <c r="AI73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{"issue":{"subject":"","project_id":79,"tracker_id":40,"status_id":1,"priority_id":2,"assigned_to_id":23,"start_date":"2017-05-21","description":"","custom_fields":[{"id":1,"name":"Subdivision","value":"EC"},{"id":4,"name":"Milepost","value":"23.3312"},{"id":17,"name":"Train ID","value":"161-21"},{"id":16,"name":"Locomotive ID","value":"4040"},{"id":130,"name":"Impact","value":""},{"id":150,"name":"Time of Event (Mountain Time)","value":"11:53:33"},{"id":151,"name":"Denver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4040 --day 2017-05-21</v>
      </c>
      <c r="AN73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598</v>
      </c>
      <c r="B74" s="7">
        <v>4039</v>
      </c>
      <c r="C74" s="21" t="s">
        <v>206</v>
      </c>
      <c r="D74" s="21" t="s">
        <v>845</v>
      </c>
      <c r="E74" s="13">
        <v>42876.506342592591</v>
      </c>
      <c r="F74" s="13">
        <v>42876.508321759262</v>
      </c>
      <c r="G74" s="7">
        <v>2</v>
      </c>
      <c r="H74" s="21" t="s">
        <v>434</v>
      </c>
      <c r="I74" s="13">
        <v>42876.539525462962</v>
      </c>
      <c r="J74" s="7">
        <v>0</v>
      </c>
      <c r="K74" s="92" t="str">
        <f t="shared" si="0"/>
        <v>4039/4040</v>
      </c>
      <c r="L74" s="21" t="str">
        <f>VLOOKUP(A74,'Trips&amp;Operators'!$C$1:$G$99999,5,FALSE)</f>
        <v>DAVIS MICHAEL</v>
      </c>
      <c r="M74" s="6">
        <f t="shared" si="1"/>
        <v>3.1203703700157348E-2</v>
      </c>
      <c r="N74" s="7">
        <f t="shared" si="25"/>
        <v>44.933333328226581</v>
      </c>
      <c r="O74" s="7"/>
      <c r="P74" s="7"/>
      <c r="Q74" s="22"/>
      <c r="R74" s="190"/>
      <c r="S74" s="196">
        <f t="shared" si="3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-21T11:09:08-0600',mode:absolute,to:'2017-05-21T13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192" t="str">
        <f t="shared" si="6"/>
        <v>N</v>
      </c>
      <c r="X74" s="192">
        <f t="shared" si="24"/>
        <v>1</v>
      </c>
      <c r="Y74" s="192">
        <f t="shared" si="8"/>
        <v>23.299800000000001</v>
      </c>
      <c r="Z74" s="192">
        <f t="shared" si="9"/>
        <v>1.21E-2</v>
      </c>
      <c r="AA74" s="192">
        <f t="shared" si="10"/>
        <v>23.287700000000001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0162-21</v>
      </c>
      <c r="AE74" s="80" t="str">
        <f t="shared" si="12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74" s="77" t="str">
        <f t="shared" si="13"/>
        <v>"C:\Program Files (x86)\AstroGrep\AstroGrep.exe" /e /r /s /spath="%USERPROFILE%\AppData\Local\Temp\OnboardLogs" /stypes="app*4039*20170521*"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162-21 --locoid 4039 --swversion DE.1.0.9.0 --startMP 204:232998 --initTime 2017-05-21T12:09:08 --startdatetime 2017-05-21T12:11:59 --delay 2 --endMP 204:121 --enddatetime 2017-05-21T12:56:55 --enforcementcount 0 &gt;&gt;C:\Users\stu\Documents\GitHub\eaglep3-reporting\EC\2017-05-21-refined-times.txt</v>
      </c>
      <c r="AI74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{"issue":{"subject":"","project_id":79,"tracker_id":40,"status_id":1,"priority_id":2,"assigned_to_id":23,"start_date":"2017-05-21","description":"","custom_fields":[{"id":1,"name":"Subdivision","value":"EC"},{"id":4,"name":"Milepost","value":"0.0121"},{"id":17,"name":"Train ID","value":"162-21"},{"id":16,"name":"Locomotive ID","value":"4039"},{"id":130,"name":"Impact","value":""},{"id":150,"name":"Time of Event (Mountain Time)","value":"12:56:55"},{"id":151,"name":"Denver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4039 --day 2017-05-21</v>
      </c>
      <c r="AN74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703</v>
      </c>
      <c r="B75" s="7">
        <v>4042</v>
      </c>
      <c r="C75" s="21" t="s">
        <v>206</v>
      </c>
      <c r="D75" s="21" t="s">
        <v>347</v>
      </c>
      <c r="E75" s="13">
        <v>42876.475057870368</v>
      </c>
      <c r="F75" s="13">
        <v>42876.479363425926</v>
      </c>
      <c r="G75" s="7">
        <v>1</v>
      </c>
      <c r="H75" s="21" t="s">
        <v>499</v>
      </c>
      <c r="I75" s="13">
        <v>42876.504270833335</v>
      </c>
      <c r="J75" s="7">
        <v>0</v>
      </c>
      <c r="K75" s="92" t="str">
        <f t="shared" si="0"/>
        <v>4041/4042</v>
      </c>
      <c r="L75" s="21" t="str">
        <f>VLOOKUP(A75,'Trips&amp;Operators'!$C$1:$G$99999,5,FALSE)</f>
        <v>ARVIDSON DANIEL</v>
      </c>
      <c r="M75" s="6">
        <f t="shared" si="1"/>
        <v>2.4907407409045845E-2</v>
      </c>
      <c r="N75" s="7">
        <f t="shared" si="25"/>
        <v>35.866666669026017</v>
      </c>
      <c r="O75" s="7"/>
      <c r="P75" s="7"/>
      <c r="Q75" s="22"/>
      <c r="R75" s="190"/>
      <c r="S75" s="196">
        <f t="shared" si="3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-21T10:24:05-0600',mode:absolute,to:'2017-05-21T13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192" t="str">
        <f t="shared" si="6"/>
        <v>N</v>
      </c>
      <c r="X75" s="192">
        <f t="shared" si="24"/>
        <v>1</v>
      </c>
      <c r="Y75" s="192">
        <f t="shared" si="8"/>
        <v>4.4900000000000002E-2</v>
      </c>
      <c r="Z75" s="192">
        <f t="shared" si="9"/>
        <v>23.334299999999999</v>
      </c>
      <c r="AA75" s="192">
        <f t="shared" si="10"/>
        <v>23.289400000000001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0163-21</v>
      </c>
      <c r="AE75" s="80" t="str">
        <f t="shared" si="12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75" s="77" t="str">
        <f t="shared" si="13"/>
        <v>"C:\Program Files (x86)\AstroGrep\AstroGrep.exe" /e /r /s /spath="%USERPROFILE%\AppData\Local\Temp\OnboardLogs" /stypes="app*4042*20170521*"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163-21 --locoid 4042 --swversion DE.1.0.9.0 --startMP 204:449 --initTime 2017-05-21T11:24:05 --startdatetime 2017-05-21T11:30:17 --delay 1 --endMP 204:233343 --enddatetime 2017-05-21T12:06:09 --enforcementcount 0 &gt;&gt;C:\Users\stu\Documents\GitHub\eaglep3-reporting\EC\2017-05-21-refined-times.txt</v>
      </c>
      <c r="AI75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{"issue":{"subject":"","project_id":79,"tracker_id":40,"status_id":1,"priority_id":2,"assigned_to_id":23,"start_date":"2017-05-21","description":"","custom_fields":[{"id":1,"name":"Subdivision","value":"EC"},{"id":4,"name":"Milepost","value":"23.3343"},{"id":17,"name":"Train ID","value":"163-21"},{"id":16,"name":"Locomotive ID","value":"4042"},{"id":130,"name":"Impact","value":""},{"id":150,"name":"Time of Event (Mountain Time)","value":"12:06:09"},{"id":151,"name":"Denver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4042 --day 2017-05-21</v>
      </c>
      <c r="AN75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715</v>
      </c>
      <c r="B76" s="7">
        <v>4041</v>
      </c>
      <c r="C76" s="21" t="s">
        <v>206</v>
      </c>
      <c r="D76" s="21" t="s">
        <v>871</v>
      </c>
      <c r="E76" s="13">
        <v>42876.5153125</v>
      </c>
      <c r="F76" s="13">
        <v>42876.519270833334</v>
      </c>
      <c r="G76" s="7">
        <v>1</v>
      </c>
      <c r="H76" s="21" t="s">
        <v>872</v>
      </c>
      <c r="I76" s="13">
        <v>42876.546354166669</v>
      </c>
      <c r="J76" s="7">
        <v>0</v>
      </c>
      <c r="K76" s="92" t="str">
        <f t="shared" si="0"/>
        <v>4041/4042</v>
      </c>
      <c r="L76" s="21" t="str">
        <f>VLOOKUP(A76,'Trips&amp;Operators'!$C$1:$G$99999,5,FALSE)</f>
        <v>ARVIDSON DANIEL</v>
      </c>
      <c r="M76" s="6">
        <f t="shared" si="1"/>
        <v>2.7083333334303461E-2</v>
      </c>
      <c r="N76" s="7">
        <f t="shared" si="25"/>
        <v>39.000000001396984</v>
      </c>
      <c r="O76" s="7"/>
      <c r="P76" s="7"/>
      <c r="Q76" s="22"/>
      <c r="R76" s="190"/>
      <c r="S76" s="196">
        <f t="shared" si="3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-21T11:22:03-0600',mode:absolute,to:'2017-05-21T14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192" t="str">
        <f t="shared" si="6"/>
        <v>N</v>
      </c>
      <c r="X76" s="192">
        <f t="shared" si="24"/>
        <v>1</v>
      </c>
      <c r="Y76" s="192">
        <f t="shared" si="8"/>
        <v>23.305499999999999</v>
      </c>
      <c r="Z76" s="192">
        <f t="shared" si="9"/>
        <v>1.61E-2</v>
      </c>
      <c r="AA76" s="192">
        <f t="shared" si="10"/>
        <v>23.289399999999997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0164-21</v>
      </c>
      <c r="AE76" s="80" t="str">
        <f t="shared" si="12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76" s="77" t="str">
        <f t="shared" si="13"/>
        <v>"C:\Program Files (x86)\AstroGrep\AstroGrep.exe" /e /r /s /spath="%USERPROFILE%\AppData\Local\Temp\OnboardLogs" /stypes="app*4041*20170521*"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164-21 --locoid 4041 --swversion DE.1.0.9.0 --startMP 204:233055 --initTime 2017-05-21T12:22:03 --startdatetime 2017-05-21T12:27:45 --delay 1 --endMP 204:161 --enddatetime 2017-05-21T13:06:45 --enforcementcount 0 &gt;&gt;C:\Users\stu\Documents\GitHub\eaglep3-reporting\EC\2017-05-21-refined-times.txt</v>
      </c>
      <c r="AI76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{"issue":{"subject":"","project_id":79,"tracker_id":40,"status_id":1,"priority_id":2,"assigned_to_id":23,"start_date":"2017-05-21","description":"","custom_fields":[{"id":1,"name":"Subdivision","value":"EC"},{"id":4,"name":"Milepost","value":"0.0161"},{"id":17,"name":"Train ID","value":"164-21"},{"id":16,"name":"Locomotive ID","value":"4041"},{"id":130,"name":"Impact","value":""},{"id":150,"name":"Time of Event (Mountain Time)","value":"13:06:45"},{"id":151,"name":"Denver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4041 --day 2017-05-21</v>
      </c>
      <c r="AN76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706</v>
      </c>
      <c r="B77" s="7">
        <v>4030</v>
      </c>
      <c r="C77" s="21" t="s">
        <v>206</v>
      </c>
      <c r="D77" s="21" t="s">
        <v>405</v>
      </c>
      <c r="E77" s="13">
        <v>42876.48300925926</v>
      </c>
      <c r="F77" s="13">
        <v>42876.48978009259</v>
      </c>
      <c r="G77" s="7">
        <v>3</v>
      </c>
      <c r="H77" s="21" t="s">
        <v>420</v>
      </c>
      <c r="I77" s="13">
        <v>42876.514872685184</v>
      </c>
      <c r="J77" s="7">
        <v>0</v>
      </c>
      <c r="K77" s="92" t="str">
        <f t="shared" ref="K77:K140" si="26">IF(ISEVEN(B77),(B77-1)&amp;"/"&amp;B77,B77&amp;"/"&amp;(B77+1))</f>
        <v>4029/4030</v>
      </c>
      <c r="L77" s="21" t="str">
        <f>VLOOKUP(A77,'Trips&amp;Operators'!$C$1:$G$99999,5,FALSE)</f>
        <v>BRUDER RICHARD</v>
      </c>
      <c r="M77" s="6">
        <f t="shared" ref="M77:M140" si="27">I77-F77</f>
        <v>2.5092592593864538E-2</v>
      </c>
      <c r="N77" s="7">
        <f t="shared" si="25"/>
        <v>36.133333335164934</v>
      </c>
      <c r="O77" s="7"/>
      <c r="P77" s="7"/>
      <c r="Q77" s="22"/>
      <c r="R77" s="190"/>
      <c r="S77" s="196">
        <f t="shared" ref="S77:S140" si="28">SUM(U77:U77)/IF(AG77="EC",12,1)</f>
        <v>1</v>
      </c>
      <c r="T77" s="190" t="str">
        <f t="shared" ref="T77:T140" si="29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-21T10:35:32-0600',mode:absolute,to:'2017-05-21T13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192" t="str">
        <f t="shared" ref="W77:W140" si="31">IF(AA77&lt;IF(AG77="EC",23,5.65),"Y","N")</f>
        <v>N</v>
      </c>
      <c r="X77" s="192">
        <f t="shared" ref="X77:X108" si="32">VALUE(LEFT(AD77,4))-VALUE(LEFT(AD76,4))</f>
        <v>1</v>
      </c>
      <c r="Y77" s="192">
        <f t="shared" ref="Y77:Y140" si="33">RIGHT(D77,LEN(D77)-4)/10000</f>
        <v>4.6199999999999998E-2</v>
      </c>
      <c r="Z77" s="192">
        <f t="shared" ref="Z77:Z140" si="34">RIGHT(H77,LEN(H77)-4)/10000</f>
        <v>23.329699999999999</v>
      </c>
      <c r="AA77" s="192">
        <f t="shared" ref="AA77:AA140" si="35">ABS(Z77-Y77)</f>
        <v>23.2835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6">IF(LEN(A77)=6,"0"&amp;A77,A77)</f>
        <v>0165-21</v>
      </c>
      <c r="AE77" s="80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"%USERPROFILE%\AppData\Local\Temp\OnboardLogs"\RTDC4030\2017-05-21 --exclude "*" --recursive --include "*20170521*" &amp; "%USERPROFILE%\Documents\GitHub\mrs-test-scripts\Headless Mode &amp; Sideloading\WalkAndUnGZ.bat" "%USERPROFILE%\AppData\Local\Temp\OnboardLogs"\RTDC4030\2017-05-21 &amp; 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</v>
      </c>
      <c r="AF77" s="77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/stypes="app*4030*20170521*"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165-21 --locoid 4030 --swversion DE.1.0.9.0 --startMP 204:462 --initTime 2017-05-21T11:35:32 --startdatetime 2017-05-21T11:45:17 --delay 3 --endMP 204:233297 --enddatetime 2017-05-21T12:21:25 --enforcementcount 0 &gt;&gt;C:\Users\stu\Documents\GitHub\eaglep3-reporting\EC\2017-05-21-refined-times.txt</v>
      </c>
      <c r="AI77" s="99" t="str">
        <f t="shared" si="20"/>
        <v>echo {"issue":{"subject":"","project_id":79,"tracker_id":40,"status_id":1,"priority_id":2,"assigned_to_id":23,"start_date":"2017-05-21","description":"","custom_fields":[{"id":1,"name":"Subdivision","value":"EC"},{"id":4,"name":"Milepost","value":"23.3297"},{"id":17,"name":"Train ID","value":"165-21"},{"id":16,"name":"Locomotive ID","value":"4030"},{"id":130,"name":"Impact","value":""},{"id":150,"name":"Time of Event (Mountain Time)","value":"12:21:25"},{"id":151,"name":"Denver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4030 --day 2017-05-21</v>
      </c>
      <c r="AN77" s="154" t="str">
        <f t="shared" si="22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718</v>
      </c>
      <c r="B78" s="7">
        <v>4029</v>
      </c>
      <c r="C78" s="21" t="s">
        <v>206</v>
      </c>
      <c r="D78" s="21" t="s">
        <v>493</v>
      </c>
      <c r="E78" s="13">
        <v>42876.525057870371</v>
      </c>
      <c r="F78" s="13">
        <v>42876.529340277775</v>
      </c>
      <c r="G78" s="7">
        <v>2</v>
      </c>
      <c r="H78" s="21" t="s">
        <v>356</v>
      </c>
      <c r="I78" s="13">
        <v>42876.55541666667</v>
      </c>
      <c r="J78" s="7">
        <v>0</v>
      </c>
      <c r="K78" s="92" t="str">
        <f t="shared" si="26"/>
        <v>4029/4030</v>
      </c>
      <c r="L78" s="21" t="str">
        <f>VLOOKUP(A78,'Trips&amp;Operators'!$C$1:$G$99999,5,FALSE)</f>
        <v>BRUDER RICHARD</v>
      </c>
      <c r="M78" s="6">
        <f t="shared" si="27"/>
        <v>2.6076388894580305E-2</v>
      </c>
      <c r="N78" s="7">
        <f t="shared" si="25"/>
        <v>37.550000008195639</v>
      </c>
      <c r="O78" s="7"/>
      <c r="P78" s="7"/>
      <c r="Q78" s="22"/>
      <c r="R78" s="190"/>
      <c r="S78" s="196">
        <f t="shared" si="28"/>
        <v>1</v>
      </c>
      <c r="T78" s="190" t="str">
        <f t="shared" si="29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0"/>
        <v>https://d0f6bd738d7f1b3e5a7ca70fe4ff75f0.us-east-1.aws.found.io/app/kibana#/discover/Steve-Slow-Train-Analysis-(2080s-and-2083s)?_g=(refreshInterval:(display:Off,pause:!f,section:0,value:0),time:(from:'2017-05-21T11:36:05-0600',mode:absolute,to:'2017-05-21T14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192" t="str">
        <f t="shared" si="31"/>
        <v>N</v>
      </c>
      <c r="X78" s="192">
        <f t="shared" si="32"/>
        <v>1</v>
      </c>
      <c r="Y78" s="192">
        <f t="shared" si="33"/>
        <v>23.2987</v>
      </c>
      <c r="Z78" s="192">
        <f t="shared" si="34"/>
        <v>1.49E-2</v>
      </c>
      <c r="AA78" s="192">
        <f t="shared" si="35"/>
        <v>23.283799999999999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6"/>
        <v>0166-21</v>
      </c>
      <c r="AE78" s="80" t="str">
        <f t="shared" si="37"/>
        <v>aws s3 cp s3://rtdc.mdm.uploadarchive.raw/RTDC4029/ "%USERPROFILE%\AppData\Local\Temp\OnboardLogs"\RTDC4029\2017-05-21 --exclude "*" --recursive --include "*20170521*" &amp; "%USERPROFILE%\Documents\GitHub\mrs-test-scripts\Headless Mode &amp; Sideloading\WalkAndUnGZ.bat" "%USERPROFILE%\AppData\Local\Temp\OnboardLogs"\RTDC4029\2017-05-21 &amp; 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</v>
      </c>
      <c r="AF78" s="77" t="str">
        <f t="shared" si="38"/>
        <v>"C:\Program Files (x86)\AstroGrep\AstroGrep.exe" /e /r /s /spath="%USERPROFILE%\AppData\Local\Temp\OnboardLogs" /stypes="app*4029*20170521*" /stext=" 19:.+((SYSTEM_STATE.+slice.+state.+changed )|(ment ac)|(multiple cpu faults)|(system.+state.+changed )|(\[timeout)|(PRM\|1\|D)|(kpr)|(kdp)|(train st.+moving)|(\|lc)|(penalty))"</v>
      </c>
      <c r="AG78" s="1" t="str">
        <f t="shared" si="39"/>
        <v>EC</v>
      </c>
      <c r="AH78" s="81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166-21 --locoid 4029 --swversion DE.1.0.9.0 --startMP 204:232987 --initTime 2017-05-21T12:36:05 --startdatetime 2017-05-21T12:42:15 --delay 2 --endMP 204:149 --enddatetime 2017-05-21T13:19:48 --enforcementcount 0 &gt;&gt;C:\Users\stu\Documents\GitHub\eaglep3-reporting\EC\2017-05-21-refined-times.txt</v>
      </c>
      <c r="AI78" s="99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{"issue":{"subject":"","project_id":79,"tracker_id":40,"status_id":1,"priority_id":2,"assigned_to_id":23,"start_date":"2017-05-21","description":"","custom_fields":[{"id":1,"name":"Subdivision","value":"EC"},{"id":4,"name":"Milepost","value":"0.0149"},{"id":17,"name":"Train ID","value":"166-21"},{"id":16,"name":"Locomotive ID","value":"4029"},{"id":130,"name":"Impact","value":""},{"id":150,"name":"Time of Event (Mountain Time)","value":"13:19:48"},{"id":151,"name":"Denver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2">"start /low /b "&amp;dls3logs&amp;" --loco "&amp;B78&amp;" --day "&amp;TEXT(F78,"YYYY-MM-DD")</f>
        <v>start /low /b %USERPROFILE%\Documents\GitHub\eaglep3\Utilities\DownloadLogsFromS3.py --loco 4029 --day 2017-05-21</v>
      </c>
      <c r="AN78" s="154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709</v>
      </c>
      <c r="B79" s="7">
        <v>4024</v>
      </c>
      <c r="C79" s="21" t="s">
        <v>206</v>
      </c>
      <c r="D79" s="21" t="s">
        <v>358</v>
      </c>
      <c r="E79" s="13">
        <v>42876.496365740742</v>
      </c>
      <c r="F79" s="13">
        <v>42876.500289351854</v>
      </c>
      <c r="G79" s="7">
        <v>1</v>
      </c>
      <c r="H79" s="21" t="s">
        <v>420</v>
      </c>
      <c r="I79" s="13">
        <v>42876.524513888886</v>
      </c>
      <c r="J79" s="7">
        <v>0</v>
      </c>
      <c r="K79" s="92" t="str">
        <f t="shared" si="26"/>
        <v>4023/4024</v>
      </c>
      <c r="L79" s="21" t="str">
        <f>VLOOKUP(A79,'Trips&amp;Operators'!$C$1:$G$99999,5,FALSE)</f>
        <v>WHITED DUSTIN</v>
      </c>
      <c r="M79" s="6">
        <f t="shared" si="27"/>
        <v>2.4224537031841464E-2</v>
      </c>
      <c r="N79" s="7">
        <f t="shared" si="25"/>
        <v>34.883333325851709</v>
      </c>
      <c r="O79" s="7"/>
      <c r="P79" s="7"/>
      <c r="Q79" s="22"/>
      <c r="R79" s="190"/>
      <c r="S79" s="196">
        <f t="shared" si="28"/>
        <v>1</v>
      </c>
      <c r="T79" s="190" t="str">
        <f t="shared" si="29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0"/>
        <v>https://d0f6bd738d7f1b3e5a7ca70fe4ff75f0.us-east-1.aws.found.io/app/kibana#/discover/Steve-Slow-Train-Analysis-(2080s-and-2083s)?_g=(refreshInterval:(display:Off,pause:!f,section:0,value:0),time:(from:'2017-05-21T10:54:46-0600',mode:absolute,to:'2017-05-21T13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9" s="192" t="str">
        <f t="shared" si="31"/>
        <v>N</v>
      </c>
      <c r="X79" s="192">
        <f t="shared" si="32"/>
        <v>1</v>
      </c>
      <c r="Y79" s="192">
        <f t="shared" si="33"/>
        <v>4.6600000000000003E-2</v>
      </c>
      <c r="Z79" s="192">
        <f t="shared" si="34"/>
        <v>23.329699999999999</v>
      </c>
      <c r="AA79" s="192">
        <f t="shared" si="35"/>
        <v>23.283099999999997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6"/>
        <v>0167-21</v>
      </c>
      <c r="AE79" s="80" t="str">
        <f t="shared" si="37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79" s="77" t="str">
        <f t="shared" si="38"/>
        <v>"C:\Program Files (x86)\AstroGrep\AstroGrep.exe" /e /r /s /spath="%USERPROFILE%\AppData\Local\Temp\OnboardLogs" /stypes="app*4024*20170521*" /stext=" 18:.+((SYSTEM_STATE.+slice.+state.+changed )|(ment ac)|(multiple cpu faults)|(system.+state.+changed )|(\[timeout)|(PRM\|1\|D)|(kpr)|(kdp)|(train st.+moving)|(\|lc)|(penalty))"</v>
      </c>
      <c r="AG79" s="1" t="str">
        <f t="shared" si="39"/>
        <v>EC</v>
      </c>
      <c r="AH79" s="81" t="str">
        <f t="shared" si="40"/>
        <v>"%USERPROFILE%\Documents\GitHub\eaglep3\Utilities\RefineRTDCRunTimes.py" --tripid 167-21 --locoid 4024 --swversion DE.1.0.9.0 --startMP 204:466 --initTime 2017-05-21T11:54:46 --startdatetime 2017-05-21T12:00:25 --delay 1 --endMP 204:233297 --enddatetime 2017-05-21T12:35:18 --enforcementcount 0 &gt;&gt;C:\Users\stu\Documents\GitHub\eaglep3-reporting\EC\2017-05-21-refined-times.txt</v>
      </c>
      <c r="AI79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{"issue":{"subject":"","project_id":79,"tracker_id":40,"status_id":1,"priority_id":2,"assigned_to_id":23,"start_date":"2017-05-21","description":"","custom_fields":[{"id":1,"name":"Subdivision","value":"EC"},{"id":4,"name":"Milepost","value":"23.3297"},{"id":17,"name":"Train ID","value":"167-21"},{"id":16,"name":"Locomotive ID","value":"4024"},{"id":130,"name":"Impact","value":""},{"id":150,"name":"Time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2"/>
        <v>start /low /b %USERPROFILE%\Documents\GitHub\eaglep3\Utilities\DownloadLogsFromS3.py --loco 4024 --day 2017-05-21</v>
      </c>
      <c r="AN79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599</v>
      </c>
      <c r="B80" s="7">
        <v>4023</v>
      </c>
      <c r="C80" s="21" t="s">
        <v>206</v>
      </c>
      <c r="D80" s="21" t="s">
        <v>556</v>
      </c>
      <c r="E80" s="13">
        <v>42876.533113425925</v>
      </c>
      <c r="F80" s="13">
        <v>42876.539884259262</v>
      </c>
      <c r="G80" s="7">
        <v>1</v>
      </c>
      <c r="H80" s="21" t="s">
        <v>353</v>
      </c>
      <c r="I80" s="13">
        <v>42876.566574074073</v>
      </c>
      <c r="J80" s="7">
        <v>0</v>
      </c>
      <c r="K80" s="92" t="str">
        <f t="shared" si="26"/>
        <v>4023/4024</v>
      </c>
      <c r="L80" s="21" t="str">
        <f>VLOOKUP(A80,'Trips&amp;Operators'!$C$1:$G$99999,5,FALSE)</f>
        <v>WHITED DUSTIN</v>
      </c>
      <c r="M80" s="6">
        <f t="shared" si="27"/>
        <v>2.6689814811106771E-2</v>
      </c>
      <c r="N80" s="7">
        <f t="shared" si="25"/>
        <v>38.433333327993751</v>
      </c>
      <c r="O80" s="7"/>
      <c r="P80" s="7"/>
      <c r="Q80" s="22"/>
      <c r="R80" s="190"/>
      <c r="S80" s="196">
        <f t="shared" si="28"/>
        <v>1</v>
      </c>
      <c r="T80" s="190" t="str">
        <f t="shared" si="29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0"/>
        <v>https://d0f6bd738d7f1b3e5a7ca70fe4ff75f0.us-east-1.aws.found.io/app/kibana#/discover/Steve-Slow-Train-Analysis-(2080s-and-2083s)?_g=(refreshInterval:(display:Off,pause:!f,section:0,value:0),time:(from:'2017-05-21T11:47:41-0600',mode:absolute,to:'2017-05-21T14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0" s="192" t="str">
        <f t="shared" si="31"/>
        <v>N</v>
      </c>
      <c r="X80" s="192">
        <f t="shared" si="32"/>
        <v>1</v>
      </c>
      <c r="Y80" s="192">
        <f t="shared" si="33"/>
        <v>23.303799999999999</v>
      </c>
      <c r="Z80" s="192">
        <f t="shared" si="34"/>
        <v>1.6E-2</v>
      </c>
      <c r="AA80" s="192">
        <f t="shared" si="35"/>
        <v>23.287800000000001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6"/>
        <v>0168-21</v>
      </c>
      <c r="AE80" s="80" t="str">
        <f t="shared" si="37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80" s="77" t="str">
        <f t="shared" si="38"/>
        <v>"C:\Program Files (x86)\AstroGrep\AstroGrep.exe" /e /r /s /spath="%USERPROFILE%\AppData\Local\Temp\OnboardLogs" /stypes="app*4023*20170521*" /stext=" 19:.+((SYSTEM_STATE.+slice.+state.+changed )|(ment ac)|(multiple cpu faults)|(system.+state.+changed )|(\[timeout)|(PRM\|1\|D)|(kpr)|(kdp)|(train st.+moving)|(\|lc)|(penalty))"</v>
      </c>
      <c r="AG80" s="1" t="str">
        <f t="shared" si="39"/>
        <v>EC</v>
      </c>
      <c r="AH80" s="81" t="str">
        <f t="shared" si="40"/>
        <v>"%USERPROFILE%\Documents\GitHub\eaglep3\Utilities\RefineRTDCRunTimes.py" --tripid 168-21 --locoid 4023 --swversion DE.1.0.9.0 --startMP 204:233038 --initTime 2017-05-21T12:47:41 --startdatetime 2017-05-21T12:57:26 --delay 1 --endMP 204:160 --enddatetime 2017-05-21T13:35:52 --enforcementcount 0 &gt;&gt;C:\Users\stu\Documents\GitHub\eaglep3-reporting\EC\2017-05-21-refined-times.txt</v>
      </c>
      <c r="AI80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{"issue":{"subject":"","project_id":79,"tracker_id":40,"status_id":1,"priority_id":2,"assigned_to_id":23,"start_date":"2017-05-21","description":"","custom_fields":[{"id":1,"name":"Subdivision","value":"EC"},{"id":4,"name":"Milepost","value":"0.016"},{"id":17,"name":"Train ID","value":"168-21"},{"id":16,"name":"Locomotive ID","value":"4023"},{"id":130,"name":"Impact","value":""},{"id":150,"name":"Time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2"/>
        <v>start /low /b %USERPROFILE%\Documents\GitHub\eaglep3\Utilities\DownloadLogsFromS3.py --loco 4023 --day 2017-05-21</v>
      </c>
      <c r="AN80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712</v>
      </c>
      <c r="B81" s="7">
        <v>4008</v>
      </c>
      <c r="C81" s="21" t="s">
        <v>206</v>
      </c>
      <c r="D81" s="21" t="s">
        <v>544</v>
      </c>
      <c r="E81" s="13">
        <v>42876.506319444445</v>
      </c>
      <c r="F81" s="13">
        <v>42876.510740740741</v>
      </c>
      <c r="G81" s="7">
        <v>1</v>
      </c>
      <c r="H81" s="21" t="s">
        <v>873</v>
      </c>
      <c r="I81" s="13">
        <v>42876.535381944443</v>
      </c>
      <c r="J81" s="7">
        <v>0</v>
      </c>
      <c r="K81" s="92" t="str">
        <f t="shared" si="26"/>
        <v>4007/4008</v>
      </c>
      <c r="L81" s="21" t="str">
        <f>VLOOKUP(A81,'Trips&amp;Operators'!$C$1:$G$99999,5,FALSE)</f>
        <v>ROMERO CHAD</v>
      </c>
      <c r="M81" s="6">
        <f t="shared" si="27"/>
        <v>2.4641203701321501E-2</v>
      </c>
      <c r="N81" s="7">
        <f t="shared" si="25"/>
        <v>35.483333329902962</v>
      </c>
      <c r="O81" s="7"/>
      <c r="P81" s="7"/>
      <c r="Q81" s="22"/>
      <c r="R81" s="190"/>
      <c r="S81" s="196">
        <f t="shared" si="28"/>
        <v>1</v>
      </c>
      <c r="T81" s="190" t="str">
        <f t="shared" si="29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0"/>
        <v>https://d0f6bd738d7f1b3e5a7ca70fe4ff75f0.us-east-1.aws.found.io/app/kibana#/discover/Steve-Slow-Train-Analysis-(2080s-and-2083s)?_g=(refreshInterval:(display:Off,pause:!f,section:0,value:0),time:(from:'2017-05-21T11:09:06-0600',mode:absolute,to:'2017-05-21T13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92" t="str">
        <f t="shared" si="31"/>
        <v>N</v>
      </c>
      <c r="X81" s="192">
        <f t="shared" si="32"/>
        <v>1</v>
      </c>
      <c r="Y81" s="192">
        <f t="shared" si="33"/>
        <v>4.2599999999999999E-2</v>
      </c>
      <c r="Z81" s="192">
        <f t="shared" si="34"/>
        <v>23.338000000000001</v>
      </c>
      <c r="AA81" s="192">
        <f t="shared" si="35"/>
        <v>23.295400000000001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6"/>
        <v>0169-21</v>
      </c>
      <c r="AE81" s="80" t="str">
        <f t="shared" si="37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81" s="77" t="str">
        <f t="shared" si="38"/>
        <v>"C:\Program Files (x86)\AstroGrep\AstroGrep.exe" /e /r /s /spath="%USERPROFILE%\AppData\Local\Temp\OnboardLogs" /stypes="app*4008*20170521*" /stext=" 18:.+((SYSTEM_STATE.+slice.+state.+changed )|(ment ac)|(multiple cpu faults)|(system.+state.+changed )|(\[timeout)|(PRM\|1\|D)|(kpr)|(kdp)|(train st.+moving)|(\|lc)|(penalty))"</v>
      </c>
      <c r="AG81" s="1" t="str">
        <f t="shared" si="39"/>
        <v>EC</v>
      </c>
      <c r="AH81" s="81" t="str">
        <f t="shared" si="40"/>
        <v>"%USERPROFILE%\Documents\GitHub\eaglep3\Utilities\RefineRTDCRunTimes.py" --tripid 169-21 --locoid 4008 --swversion DE.1.0.9.0 --startMP 204:426 --initTime 2017-05-21T12:09:06 --startdatetime 2017-05-21T12:15:28 --delay 1 --endMP 204:233380 --enddatetime 2017-05-21T12:50:57 --enforcementcount 0 &gt;&gt;C:\Users\stu\Documents\GitHub\eaglep3-reporting\EC\2017-05-21-refined-times.txt</v>
      </c>
      <c r="AI81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{"issue":{"subject":"","project_id":79,"tracker_id":40,"status_id":1,"priority_id":2,"assigned_to_id":23,"start_date":"2017-05-21","description":"","custom_fields":[{"id":1,"name":"Subdivision","value":"EC"},{"id":4,"name":"Milepost","value":"23.338"},{"id":17,"name":"Train ID","value":"169-21"},{"id":16,"name":"Locomotive ID","value":"4008"},{"id":130,"name":"Impact","value":""},{"id":150,"name":"Time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2"/>
        <v>start /low /b %USERPROFILE%\Documents\GitHub\eaglep3\Utilities\DownloadLogsFromS3.py --loco 4008 --day 2017-05-21</v>
      </c>
      <c r="AN81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600</v>
      </c>
      <c r="B82" s="7">
        <v>4007</v>
      </c>
      <c r="C82" s="21" t="s">
        <v>206</v>
      </c>
      <c r="D82" s="21" t="s">
        <v>547</v>
      </c>
      <c r="E82" s="13">
        <v>42876.540300925924</v>
      </c>
      <c r="F82" s="13">
        <v>42876.550173611111</v>
      </c>
      <c r="G82" s="7">
        <v>2</v>
      </c>
      <c r="H82" s="21" t="s">
        <v>874</v>
      </c>
      <c r="I82" s="13">
        <v>42876.575601851851</v>
      </c>
      <c r="J82" s="7">
        <v>0</v>
      </c>
      <c r="K82" s="92" t="str">
        <f t="shared" si="26"/>
        <v>4007/4008</v>
      </c>
      <c r="L82" s="21" t="str">
        <f>VLOOKUP(A82,'Trips&amp;Operators'!$C$1:$G$99999,5,FALSE)</f>
        <v>ROMERO CHAD</v>
      </c>
      <c r="M82" s="6">
        <f t="shared" si="27"/>
        <v>2.5428240740438923E-2</v>
      </c>
      <c r="N82" s="7">
        <f t="shared" si="25"/>
        <v>36.616666666232049</v>
      </c>
      <c r="O82" s="7"/>
      <c r="P82" s="7"/>
      <c r="Q82" s="22"/>
      <c r="R82" s="190"/>
      <c r="S82" s="196">
        <f t="shared" si="28"/>
        <v>1</v>
      </c>
      <c r="T82" s="190" t="str">
        <f t="shared" si="29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0"/>
        <v>https://d0f6bd738d7f1b3e5a7ca70fe4ff75f0.us-east-1.aws.found.io/app/kibana#/discover/Steve-Slow-Train-Analysis-(2080s-and-2083s)?_g=(refreshInterval:(display:Off,pause:!f,section:0,value:0),time:(from:'2017-05-21T11:58:02-0600',mode:absolute,to:'2017-05-21T14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92" t="str">
        <f t="shared" si="31"/>
        <v>N</v>
      </c>
      <c r="X82" s="192">
        <f t="shared" si="32"/>
        <v>1</v>
      </c>
      <c r="Y82" s="192">
        <f t="shared" si="33"/>
        <v>23.307600000000001</v>
      </c>
      <c r="Z82" s="192">
        <f t="shared" si="34"/>
        <v>1.34E-2</v>
      </c>
      <c r="AA82" s="192">
        <f t="shared" si="35"/>
        <v>23.2942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6"/>
        <v>0170-21</v>
      </c>
      <c r="AE82" s="80" t="str">
        <f t="shared" si="37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82" s="77" t="str">
        <f t="shared" si="38"/>
        <v>"C:\Program Files (x86)\AstroGrep\AstroGrep.exe" /e /r /s /spath="%USERPROFILE%\AppData\Local\Temp\OnboardLogs" /stypes="app*4007*20170521*" /stext=" 19:.+((SYSTEM_STATE.+slice.+state.+changed )|(ment ac)|(multiple cpu faults)|(system.+state.+changed )|(\[timeout)|(PRM\|1\|D)|(kpr)|(kdp)|(train st.+moving)|(\|lc)|(penalty))"</v>
      </c>
      <c r="AG82" s="1" t="str">
        <f t="shared" si="39"/>
        <v>EC</v>
      </c>
      <c r="AH82" s="81" t="str">
        <f t="shared" si="40"/>
        <v>"%USERPROFILE%\Documents\GitHub\eaglep3\Utilities\RefineRTDCRunTimes.py" --tripid 170-21 --locoid 4007 --swversion DE.1.0.9.0 --startMP 204:233076 --initTime 2017-05-21T12:58:02 --startdatetime 2017-05-21T13:12:15 --delay 2 --endMP 204:134 --enddatetime 2017-05-21T13:48:52 --enforcementcount 0 &gt;&gt;C:\Users\stu\Documents\GitHub\eaglep3-reporting\EC\2017-05-21-refined-times.txt</v>
      </c>
      <c r="AI82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{"issue":{"subject":"","project_id":79,"tracker_id":40,"status_id":1,"priority_id":2,"assigned_to_id":23,"start_date":"2017-05-21","description":"","custom_fields":[{"id":1,"name":"Subdivision","value":"EC"},{"id":4,"name":"Milepost","value":"0.0134"},{"id":17,"name":"Train ID","value":"170-21"},{"id":16,"name":"Locomotive ID","value":"4007"},{"id":130,"name":"Impact","value":""},{"id":150,"name":"Time of Event (Mountain Time)","value":"13:48:52"},{"id":151,"name":"Denver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2"/>
        <v>start /low /b %USERPROFILE%\Documents\GitHub\eaglep3\Utilities\DownloadLogsFromS3.py --loco 4007 --day 2017-05-21</v>
      </c>
      <c r="AN82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716</v>
      </c>
      <c r="B83" s="7">
        <v>4002</v>
      </c>
      <c r="C83" s="21" t="s">
        <v>206</v>
      </c>
      <c r="D83" s="21" t="s">
        <v>875</v>
      </c>
      <c r="E83" s="13">
        <v>42876.516863425924</v>
      </c>
      <c r="F83" s="13">
        <v>42876.520995370367</v>
      </c>
      <c r="G83" s="7">
        <v>1</v>
      </c>
      <c r="H83" s="21" t="s">
        <v>876</v>
      </c>
      <c r="I83" s="13">
        <v>42876.547025462962</v>
      </c>
      <c r="J83" s="7">
        <v>0</v>
      </c>
      <c r="K83" s="92" t="str">
        <f t="shared" si="26"/>
        <v>4001/4002</v>
      </c>
      <c r="L83" s="21" t="str">
        <f>VLOOKUP(A83,'Trips&amp;Operators'!$C$1:$G$99999,5,FALSE)</f>
        <v>CLARK KATHLEEN</v>
      </c>
      <c r="M83" s="6">
        <f t="shared" si="27"/>
        <v>2.6030092594737653E-2</v>
      </c>
      <c r="N83" s="7">
        <f t="shared" ref="N83:N114" si="44">24*60*SUM($M83:$M83)</f>
        <v>37.48333333642222</v>
      </c>
      <c r="O83" s="7"/>
      <c r="P83" s="7"/>
      <c r="Q83" s="22"/>
      <c r="R83" s="190"/>
      <c r="S83" s="196">
        <f t="shared" si="28"/>
        <v>1</v>
      </c>
      <c r="T83" s="190" t="str">
        <f t="shared" si="29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0"/>
        <v>https://d0f6bd738d7f1b3e5a7ca70fe4ff75f0.us-east-1.aws.found.io/app/kibana#/discover/Steve-Slow-Train-Analysis-(2080s-and-2083s)?_g=(refreshInterval:(display:Off,pause:!f,section:0,value:0),time:(from:'2017-05-21T11:24:17-0600',mode:absolute,to:'2017-05-21T14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192" t="str">
        <f t="shared" si="31"/>
        <v>N</v>
      </c>
      <c r="X83" s="192">
        <f t="shared" si="32"/>
        <v>1</v>
      </c>
      <c r="Y83" s="192">
        <f t="shared" si="33"/>
        <v>5.4399999999999997E-2</v>
      </c>
      <c r="Z83" s="192">
        <f t="shared" si="34"/>
        <v>23.3245</v>
      </c>
      <c r="AA83" s="192">
        <f t="shared" si="35"/>
        <v>23.270099999999999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6"/>
        <v>0171-21</v>
      </c>
      <c r="AE83" s="80" t="str">
        <f t="shared" si="37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83" s="77" t="str">
        <f t="shared" si="38"/>
        <v>"C:\Program Files (x86)\AstroGrep\AstroGrep.exe" /e /r /s /spath="%USERPROFILE%\AppData\Local\Temp\OnboardLogs" /stypes="app*4002*20170521*" /stext=" 19:.+((SYSTEM_STATE.+slice.+state.+changed )|(ment ac)|(multiple cpu faults)|(system.+state.+changed )|(\[timeout)|(PRM\|1\|D)|(kpr)|(kdp)|(train st.+moving)|(\|lc)|(penalty))"</v>
      </c>
      <c r="AG83" s="1" t="str">
        <f t="shared" si="39"/>
        <v>EC</v>
      </c>
      <c r="AH83" s="81" t="str">
        <f t="shared" si="40"/>
        <v>"%USERPROFILE%\Documents\GitHub\eaglep3\Utilities\RefineRTDCRunTimes.py" --tripid 171-21 --locoid 4002 --swversion DE.1.0.9.0 --startMP 204:544 --initTime 2017-05-21T12:24:17 --startdatetime 2017-05-21T12:30:14 --delay 1 --endMP 204:233245 --enddatetime 2017-05-21T13:07:43 --enforcementcount 0 &gt;&gt;C:\Users\stu\Documents\GitHub\eaglep3-reporting\EC\2017-05-21-refined-times.txt</v>
      </c>
      <c r="AI83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{"issue":{"subject":"","project_id":79,"tracker_id":40,"status_id":1,"priority_id":2,"assigned_to_id":23,"start_date":"2017-05-21","description":"","custom_fields":[{"id":1,"name":"Subdivision","value":"EC"},{"id":4,"name":"Milepost","value":"23.3245"},{"id":17,"name":"Train ID","value":"171-21"},{"id":16,"name":"Locomotive ID","value":"4002"},{"id":130,"name":"Impact","value":""},{"id":150,"name":"Time of Event (Mountain Time)","value":"13:07:43"},{"id":151,"name":"Denver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2"/>
        <v>start /low /b %USERPROFILE%\Documents\GitHub\eaglep3\Utilities\DownloadLogsFromS3.py --loco 4002 --day 2017-05-21</v>
      </c>
      <c r="AN83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727</v>
      </c>
      <c r="B84" s="7">
        <v>4001</v>
      </c>
      <c r="C84" s="21" t="s">
        <v>206</v>
      </c>
      <c r="D84" s="21" t="s">
        <v>497</v>
      </c>
      <c r="E84" s="13">
        <v>42876.555578703701</v>
      </c>
      <c r="F84" s="13">
        <v>42876.560624999998</v>
      </c>
      <c r="G84" s="7">
        <v>1</v>
      </c>
      <c r="H84" s="21" t="s">
        <v>877</v>
      </c>
      <c r="I84" s="13">
        <v>42876.588807870372</v>
      </c>
      <c r="J84" s="7">
        <v>0</v>
      </c>
      <c r="K84" s="92" t="str">
        <f t="shared" si="26"/>
        <v>4001/4002</v>
      </c>
      <c r="L84" s="21" t="str">
        <f>VLOOKUP(A84,'Trips&amp;Operators'!$C$1:$G$99999,5,FALSE)</f>
        <v>CLARK KATHLEEN</v>
      </c>
      <c r="M84" s="6">
        <f t="shared" si="27"/>
        <v>2.8182870373711921E-2</v>
      </c>
      <c r="N84" s="7">
        <f t="shared" si="44"/>
        <v>40.583333338145167</v>
      </c>
      <c r="O84" s="7"/>
      <c r="P84" s="7"/>
      <c r="Q84" s="22"/>
      <c r="R84" s="190"/>
      <c r="S84" s="196">
        <f t="shared" si="28"/>
        <v>1</v>
      </c>
      <c r="T84" s="190" t="str">
        <f t="shared" si="29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0"/>
        <v>https://d0f6bd738d7f1b3e5a7ca70fe4ff75f0.us-east-1.aws.found.io/app/kibana#/discover/Steve-Slow-Train-Analysis-(2080s-and-2083s)?_g=(refreshInterval:(display:Off,pause:!f,section:0,value:0),time:(from:'2017-05-21T12:20:02-0600',mode:absolute,to:'2017-05-21T15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192" t="str">
        <f t="shared" si="31"/>
        <v>N</v>
      </c>
      <c r="X84" s="192">
        <f t="shared" si="32"/>
        <v>1</v>
      </c>
      <c r="Y84" s="192">
        <f t="shared" si="33"/>
        <v>23.295500000000001</v>
      </c>
      <c r="Z84" s="192">
        <f t="shared" si="34"/>
        <v>1.9400000000000001E-2</v>
      </c>
      <c r="AA84" s="192">
        <f t="shared" si="35"/>
        <v>23.2761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6"/>
        <v>0172-21</v>
      </c>
      <c r="AE84" s="80" t="str">
        <f t="shared" si="37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84" s="77" t="str">
        <f t="shared" si="38"/>
        <v>"C:\Program Files (x86)\AstroGrep\AstroGrep.exe" /e /r /s /spath="%USERPROFILE%\AppData\Local\Temp\OnboardLogs" /stypes="app*4001*20170521*" /stext=" 20:.+((SYSTEM_STATE.+slice.+state.+changed )|(ment ac)|(multiple cpu faults)|(system.+state.+changed )|(\[timeout)|(PRM\|1\|D)|(kpr)|(kdp)|(train st.+moving)|(\|lc)|(penalty))"</v>
      </c>
      <c r="AG84" s="1" t="str">
        <f t="shared" si="39"/>
        <v>EC</v>
      </c>
      <c r="AH84" s="81" t="str">
        <f t="shared" si="40"/>
        <v>"%USERPROFILE%\Documents\GitHub\eaglep3\Utilities\RefineRTDCRunTimes.py" --tripid 172-21 --locoid 4001 --swversion DE.1.0.9.0 --startMP 204:232955 --initTime 2017-05-21T13:20:02 --startdatetime 2017-05-21T13:27:18 --delay 1 --endMP 204:194 --enddatetime 2017-05-21T14:07:53 --enforcementcount 0 &gt;&gt;C:\Users\stu\Documents\GitHub\eaglep3-reporting\EC\2017-05-21-refined-times.txt</v>
      </c>
      <c r="AI84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{"issue":{"subject":"","project_id":79,"tracker_id":40,"status_id":1,"priority_id":2,"assigned_to_id":23,"start_date":"2017-05-21","description":"","custom_fields":[{"id":1,"name":"Subdivision","value":"EC"},{"id":4,"name":"Milepost","value":"0.0194"},{"id":17,"name":"Train ID","value":"172-21"},{"id":16,"name":"Locomotive ID","value":"4001"},{"id":130,"name":"Impact","value":""},{"id":150,"name":"Time of Event (Mountain Time)","value":"14:07:53"},{"id":151,"name":"Denver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2"/>
        <v>start /low /b %USERPROFILE%\Documents\GitHub\eaglep3\Utilities\DownloadLogsFromS3.py --loco 4001 --day 2017-05-21</v>
      </c>
      <c r="AN84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719</v>
      </c>
      <c r="B85" s="7">
        <v>4010</v>
      </c>
      <c r="C85" s="21" t="s">
        <v>206</v>
      </c>
      <c r="D85" s="21" t="s">
        <v>363</v>
      </c>
      <c r="E85" s="13">
        <v>42876.525347222225</v>
      </c>
      <c r="F85" s="13">
        <v>42876.531481481485</v>
      </c>
      <c r="G85" s="7">
        <v>1</v>
      </c>
      <c r="H85" s="21" t="s">
        <v>555</v>
      </c>
      <c r="I85" s="13">
        <v>42876.556354166663</v>
      </c>
      <c r="J85" s="7">
        <v>0</v>
      </c>
      <c r="K85" s="92" t="str">
        <f t="shared" si="26"/>
        <v>4009/4010</v>
      </c>
      <c r="L85" s="21" t="str">
        <f>VLOOKUP(A85,'Trips&amp;Operators'!$C$1:$G$99999,5,FALSE)</f>
        <v>MCREYNOLDS KYLE</v>
      </c>
      <c r="M85" s="6">
        <f t="shared" si="27"/>
        <v>2.4872685178706888E-2</v>
      </c>
      <c r="N85" s="7">
        <f t="shared" si="44"/>
        <v>35.816666657337919</v>
      </c>
      <c r="O85" s="7"/>
      <c r="P85" s="7"/>
      <c r="Q85" s="22"/>
      <c r="R85" s="190"/>
      <c r="S85" s="196">
        <f t="shared" si="28"/>
        <v>1</v>
      </c>
      <c r="T85" s="190" t="str">
        <f t="shared" si="29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0"/>
        <v>https://d0f6bd738d7f1b3e5a7ca70fe4ff75f0.us-east-1.aws.found.io/app/kibana#/discover/Steve-Slow-Train-Analysis-(2080s-and-2083s)?_g=(refreshInterval:(display:Off,pause:!f,section:0,value:0),time:(from:'2017-05-21T11:36:30-0600',mode:absolute,to:'2017-05-21T14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192" t="str">
        <f t="shared" si="31"/>
        <v>N</v>
      </c>
      <c r="X85" s="192">
        <f t="shared" si="32"/>
        <v>1</v>
      </c>
      <c r="Y85" s="192">
        <f t="shared" si="33"/>
        <v>4.53E-2</v>
      </c>
      <c r="Z85" s="192">
        <f t="shared" si="34"/>
        <v>23.3338</v>
      </c>
      <c r="AA85" s="192">
        <f t="shared" si="35"/>
        <v>23.288499999999999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6"/>
        <v>0173-21</v>
      </c>
      <c r="AE85" s="80" t="str">
        <f t="shared" si="37"/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AF85" s="77" t="str">
        <f t="shared" si="38"/>
        <v>"C:\Program Files (x86)\AstroGrep\AstroGrep.exe" /e /r /s /spath="%USERPROFILE%\AppData\Local\Temp\OnboardLogs" /stypes="app*4010*20170521*" /stext=" 19:.+((SYSTEM_STATE.+slice.+state.+changed )|(ment ac)|(multiple cpu faults)|(system.+state.+changed )|(\[timeout)|(PRM\|1\|D)|(kpr)|(kdp)|(train st.+moving)|(\|lc)|(penalty))"</v>
      </c>
      <c r="AG85" s="1" t="str">
        <f t="shared" si="39"/>
        <v>EC</v>
      </c>
      <c r="AH85" s="81" t="str">
        <f t="shared" si="40"/>
        <v>"%USERPROFILE%\Documents\GitHub\eaglep3\Utilities\RefineRTDCRunTimes.py" --tripid 173-21 --locoid 4010 --swversion DE.1.0.9.0 --startMP 204:453 --initTime 2017-05-21T12:36:30 --startdatetime 2017-05-21T12:45:20 --delay 1 --endMP 204:233338 --enddatetime 2017-05-21T13:21:09 --enforcementcount 0 &gt;&gt;C:\Users\stu\Documents\GitHub\eaglep3-reporting\EC\2017-05-21-refined-times.txt</v>
      </c>
      <c r="AI85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{"issue":{"subject":"","project_id":79,"tracker_id":40,"status_id":1,"priority_id":2,"assigned_to_id":23,"start_date":"2017-05-21","description":"","custom_fields":[{"id":1,"name":"Subdivision","value":"EC"},{"id":4,"name":"Milepost","value":"23.3338"},{"id":17,"name":"Train ID","value":"173-21"},{"id":16,"name":"Locomotive ID","value":"4010"},{"id":130,"name":"Impact","value":""},{"id":150,"name":"Time of Event (Mountain Time)","value":"13:21:09"},{"id":151,"name":"Denver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2"/>
        <v>start /low /b %USERPROFILE%\Documents\GitHub\eaglep3\Utilities\DownloadLogsFromS3.py --loco 4010 --day 2017-05-21</v>
      </c>
      <c r="AN85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730</v>
      </c>
      <c r="B86" s="7">
        <v>4009</v>
      </c>
      <c r="C86" s="21" t="s">
        <v>206</v>
      </c>
      <c r="D86" s="21" t="s">
        <v>491</v>
      </c>
      <c r="E86" s="13">
        <v>42876.560231481482</v>
      </c>
      <c r="F86" s="13">
        <v>42876.571180555555</v>
      </c>
      <c r="G86" s="7">
        <v>1</v>
      </c>
      <c r="H86" s="21" t="s">
        <v>418</v>
      </c>
      <c r="I86" s="13">
        <v>42876.597071759257</v>
      </c>
      <c r="J86" s="7">
        <v>0</v>
      </c>
      <c r="K86" s="92" t="str">
        <f t="shared" si="26"/>
        <v>4009/4010</v>
      </c>
      <c r="L86" s="21" t="str">
        <f>VLOOKUP(A86,'Trips&amp;Operators'!$C$1:$G$99999,5,FALSE)</f>
        <v>MCREYNOLDS KYLE</v>
      </c>
      <c r="M86" s="6">
        <f t="shared" si="27"/>
        <v>2.5891203702485655E-2</v>
      </c>
      <c r="N86" s="7">
        <f t="shared" si="44"/>
        <v>37.283333331579342</v>
      </c>
      <c r="O86" s="7"/>
      <c r="P86" s="7"/>
      <c r="Q86" s="22"/>
      <c r="R86" s="190"/>
      <c r="S86" s="196">
        <f t="shared" si="28"/>
        <v>1</v>
      </c>
      <c r="T86" s="190" t="str">
        <f t="shared" si="29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0"/>
        <v>https://d0f6bd738d7f1b3e5a7ca70fe4ff75f0.us-east-1.aws.found.io/app/kibana#/discover/Steve-Slow-Train-Analysis-(2080s-and-2083s)?_g=(refreshInterval:(display:Off,pause:!f,section:0,value:0),time:(from:'2017-05-21T12:26:44-0600',mode:absolute,to:'2017-05-21T15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192" t="str">
        <f t="shared" si="31"/>
        <v>N</v>
      </c>
      <c r="X86" s="192">
        <f t="shared" si="32"/>
        <v>1</v>
      </c>
      <c r="Y86" s="192">
        <f t="shared" si="33"/>
        <v>23.302499999999998</v>
      </c>
      <c r="Z86" s="192">
        <f t="shared" si="34"/>
        <v>1.54E-2</v>
      </c>
      <c r="AA86" s="192">
        <f t="shared" si="35"/>
        <v>23.287099999999999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6"/>
        <v>0174-21</v>
      </c>
      <c r="AE86" s="80" t="str">
        <f t="shared" si="37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86" s="77" t="str">
        <f t="shared" si="38"/>
        <v>"C:\Program Files (x86)\AstroGrep\AstroGrep.exe" /e /r /s /spath="%USERPROFILE%\AppData\Local\Temp\OnboardLogs" /stypes="app*4009*20170521*" /stext=" 20:.+((SYSTEM_STATE.+slice.+state.+changed )|(ment ac)|(multiple cpu faults)|(system.+state.+changed )|(\[timeout)|(PRM\|1\|D)|(kpr)|(kdp)|(train st.+moving)|(\|lc)|(penalty))"</v>
      </c>
      <c r="AG86" s="1" t="str">
        <f t="shared" si="39"/>
        <v>EC</v>
      </c>
      <c r="AH86" s="81" t="str">
        <f t="shared" si="40"/>
        <v>"%USERPROFILE%\Documents\GitHub\eaglep3\Utilities\RefineRTDCRunTimes.py" --tripid 174-21 --locoid 4009 --swversion DE.1.0.9.0 --startMP 204:233025 --initTime 2017-05-21T13:26:44 --startdatetime 2017-05-21T13:42:30 --delay 1 --endMP 204:154 --enddatetime 2017-05-21T14:19:47 --enforcementcount 0 &gt;&gt;C:\Users\stu\Documents\GitHub\eaglep3-reporting\EC\2017-05-21-refined-times.txt</v>
      </c>
      <c r="AI86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{"issue":{"subject":"","project_id":79,"tracker_id":40,"status_id":1,"priority_id":2,"assigned_to_id":23,"start_date":"2017-05-21","description":"","custom_fields":[{"id":1,"name":"Subdivision","value":"EC"},{"id":4,"name":"Milepost","value":"0.0154"},{"id":17,"name":"Train ID","value":"174-21"},{"id":16,"name":"Locomotive ID","value":"4009"},{"id":130,"name":"Impact","value":""},{"id":150,"name":"Time of Event (Mountain Time)","value":"14:19:47"},{"id":151,"name":"Denver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2"/>
        <v>start /low /b %USERPROFILE%\Documents\GitHub\eaglep3\Utilities\DownloadLogsFromS3.py --loco 4009 --day 2017-05-21</v>
      </c>
      <c r="AN86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725</v>
      </c>
      <c r="B87" s="7">
        <v>4040</v>
      </c>
      <c r="C87" s="21" t="s">
        <v>206</v>
      </c>
      <c r="D87" s="21" t="s">
        <v>354</v>
      </c>
      <c r="E87" s="13">
        <v>42876.541643518518</v>
      </c>
      <c r="F87" s="13">
        <v>42876.543124999997</v>
      </c>
      <c r="G87" s="7">
        <v>1</v>
      </c>
      <c r="H87" s="21" t="s">
        <v>878</v>
      </c>
      <c r="I87" s="13">
        <v>42876.568472222221</v>
      </c>
      <c r="J87" s="7">
        <v>0</v>
      </c>
      <c r="K87" s="92" t="str">
        <f t="shared" si="26"/>
        <v>4039/4040</v>
      </c>
      <c r="L87" s="21" t="str">
        <f>VLOOKUP(A87,'Trips&amp;Operators'!$C$1:$G$99999,5,FALSE)</f>
        <v>DAVIS MICHAEL</v>
      </c>
      <c r="M87" s="6">
        <f t="shared" si="27"/>
        <v>2.5347222224809229E-2</v>
      </c>
      <c r="N87" s="7">
        <f t="shared" si="44"/>
        <v>36.50000000372529</v>
      </c>
      <c r="O87" s="7"/>
      <c r="P87" s="7"/>
      <c r="Q87" s="22"/>
      <c r="R87" s="190"/>
      <c r="S87" s="196">
        <f t="shared" si="28"/>
        <v>1</v>
      </c>
      <c r="T87" s="190" t="str">
        <f t="shared" si="29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0"/>
        <v>https://d0f6bd738d7f1b3e5a7ca70fe4ff75f0.us-east-1.aws.found.io/app/kibana#/discover/Steve-Slow-Train-Analysis-(2080s-and-2083s)?_g=(refreshInterval:(display:Off,pause:!f,section:0,value:0),time:(from:'2017-05-21T11:59:58-0600',mode:absolute,to:'2017-05-21T14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192" t="str">
        <f t="shared" si="31"/>
        <v>N</v>
      </c>
      <c r="X87" s="192">
        <f t="shared" si="32"/>
        <v>1</v>
      </c>
      <c r="Y87" s="192">
        <f t="shared" si="33"/>
        <v>4.58E-2</v>
      </c>
      <c r="Z87" s="192">
        <f t="shared" si="34"/>
        <v>23.337199999999999</v>
      </c>
      <c r="AA87" s="192">
        <f t="shared" si="35"/>
        <v>23.291399999999999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6"/>
        <v>0175-21</v>
      </c>
      <c r="AE87" s="80" t="str">
        <f t="shared" si="37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87" s="77" t="str">
        <f t="shared" si="38"/>
        <v>"C:\Program Files (x86)\AstroGrep\AstroGrep.exe" /e /r /s /spath="%USERPROFILE%\AppData\Local\Temp\OnboardLogs" /stypes="app*4040*20170521*" /stext=" 19:.+((SYSTEM_STATE.+slice.+state.+changed )|(ment ac)|(multiple cpu faults)|(system.+state.+changed )|(\[timeout)|(PRM\|1\|D)|(kpr)|(kdp)|(train st.+moving)|(\|lc)|(penalty))"</v>
      </c>
      <c r="AG87" s="1" t="str">
        <f t="shared" si="39"/>
        <v>EC</v>
      </c>
      <c r="AH87" s="81" t="str">
        <f t="shared" si="40"/>
        <v>"%USERPROFILE%\Documents\GitHub\eaglep3\Utilities\RefineRTDCRunTimes.py" --tripid 175-21 --locoid 4040 --swversion DE.1.0.9.0 --startMP 204:458 --initTime 2017-05-21T12:59:58 --startdatetime 2017-05-21T13:02:06 --delay 1 --endMP 204:233372 --enddatetime 2017-05-21T13:38:36 --enforcementcount 0 &gt;&gt;C:\Users\stu\Documents\GitHub\eaglep3-reporting\EC\2017-05-21-refined-times.txt</v>
      </c>
      <c r="AI87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{"issue":{"subject":"","project_id":79,"tracker_id":40,"status_id":1,"priority_id":2,"assigned_to_id":23,"start_date":"2017-05-21","description":"","custom_fields":[{"id":1,"name":"Subdivision","value":"EC"},{"id":4,"name":"Milepost","value":"23.3372"},{"id":17,"name":"Train ID","value":"175-21"},{"id":16,"name":"Locomotive ID","value":"4040"},{"id":130,"name":"Impact","value":""},{"id":150,"name":"Time of Event (Mountain Time)","value":"13:38:36"},{"id":151,"name":"Denver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2"/>
        <v>start /low /b %USERPROFILE%\Documents\GitHub\eaglep3\Utilities\DownloadLogsFromS3.py --loco 4040 --day 2017-05-21</v>
      </c>
      <c r="AN87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732</v>
      </c>
      <c r="B88" s="7">
        <v>4039</v>
      </c>
      <c r="C88" s="21" t="s">
        <v>206</v>
      </c>
      <c r="D88" s="21" t="s">
        <v>496</v>
      </c>
      <c r="E88" s="13">
        <v>42876.578842592593</v>
      </c>
      <c r="F88" s="13">
        <v>42876.58148148148</v>
      </c>
      <c r="G88" s="7">
        <v>1</v>
      </c>
      <c r="H88" s="21" t="s">
        <v>368</v>
      </c>
      <c r="I88" s="13">
        <v>42876.609386574077</v>
      </c>
      <c r="J88" s="7">
        <v>0</v>
      </c>
      <c r="K88" s="92" t="str">
        <f t="shared" si="26"/>
        <v>4039/4040</v>
      </c>
      <c r="L88" s="21" t="str">
        <f>VLOOKUP(A88,'Trips&amp;Operators'!$C$1:$G$99999,5,FALSE)</f>
        <v>DAVIS MICHAEL</v>
      </c>
      <c r="M88" s="6">
        <f t="shared" si="27"/>
        <v>2.7905092596483883E-2</v>
      </c>
      <c r="N88" s="7">
        <f t="shared" si="44"/>
        <v>40.183333338936791</v>
      </c>
      <c r="O88" s="7"/>
      <c r="P88" s="7"/>
      <c r="Q88" s="22"/>
      <c r="R88" s="190"/>
      <c r="S88" s="196">
        <f t="shared" si="28"/>
        <v>1</v>
      </c>
      <c r="T88" s="190" t="str">
        <f t="shared" si="29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0"/>
        <v>https://d0f6bd738d7f1b3e5a7ca70fe4ff75f0.us-east-1.aws.found.io/app/kibana#/discover/Steve-Slow-Train-Analysis-(2080s-and-2083s)?_g=(refreshInterval:(display:Off,pause:!f,section:0,value:0),time:(from:'2017-05-21T12:53:32-0600',mode:absolute,to:'2017-05-21T15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192" t="str">
        <f t="shared" si="31"/>
        <v>N</v>
      </c>
      <c r="X88" s="192">
        <f t="shared" si="32"/>
        <v>1</v>
      </c>
      <c r="Y88" s="192">
        <f t="shared" si="33"/>
        <v>23.302099999999999</v>
      </c>
      <c r="Z88" s="192">
        <f t="shared" si="34"/>
        <v>1.41E-2</v>
      </c>
      <c r="AA88" s="192">
        <f t="shared" si="35"/>
        <v>23.288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6"/>
        <v>0176-21</v>
      </c>
      <c r="AE88" s="80" t="str">
        <f t="shared" si="37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88" s="77" t="str">
        <f t="shared" si="38"/>
        <v>"C:\Program Files (x86)\AstroGrep\AstroGrep.exe" /e /r /s /spath="%USERPROFILE%\AppData\Local\Temp\OnboardLogs" /stypes="app*4039*20170521*" /stext=" 20:.+((SYSTEM_STATE.+slice.+state.+changed )|(ment ac)|(multiple cpu faults)|(system.+state.+changed )|(\[timeout)|(PRM\|1\|D)|(kpr)|(kdp)|(train st.+moving)|(\|lc)|(penalty))"</v>
      </c>
      <c r="AG88" s="1" t="str">
        <f t="shared" si="39"/>
        <v>EC</v>
      </c>
      <c r="AH88" s="81" t="str">
        <f t="shared" si="40"/>
        <v>"%USERPROFILE%\Documents\GitHub\eaglep3\Utilities\RefineRTDCRunTimes.py" --tripid 176-21 --locoid 4039 --swversion DE.1.0.9.0 --startMP 204:233021 --initTime 2017-05-21T13:53:32 --startdatetime 2017-05-21T13:57:20 --delay 1 --endMP 204:141 --enddatetime 2017-05-21T14:37:31 --enforcementcount 0 &gt;&gt;C:\Users\stu\Documents\GitHub\eaglep3-reporting\EC\2017-05-21-refined-times.txt</v>
      </c>
      <c r="AI88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{"issue":{"subject":"","project_id":79,"tracker_id":40,"status_id":1,"priority_id":2,"assigned_to_id":23,"start_date":"2017-05-21","description":"","custom_fields":[{"id":1,"name":"Subdivision","value":"EC"},{"id":4,"name":"Milepost","value":"0.0141"},{"id":17,"name":"Train ID","value":"176-21"},{"id":16,"name":"Locomotive ID","value":"4039"},{"id":130,"name":"Impact","value":""},{"id":150,"name":"Time of Event (Mountain Time)","value":"14:37:31"},{"id":151,"name":"Denver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2"/>
        <v>start /low /b %USERPROFILE%\Documents\GitHub\eaglep3\Utilities\DownloadLogsFromS3.py --loco 4039 --day 2017-05-21</v>
      </c>
      <c r="AN88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726</v>
      </c>
      <c r="B89" s="7">
        <v>4042</v>
      </c>
      <c r="C89" s="21" t="s">
        <v>206</v>
      </c>
      <c r="D89" s="21" t="s">
        <v>361</v>
      </c>
      <c r="E89" s="13">
        <v>42876.549108796295</v>
      </c>
      <c r="F89" s="13">
        <v>42876.552303240744</v>
      </c>
      <c r="G89" s="7">
        <v>1</v>
      </c>
      <c r="H89" s="21" t="s">
        <v>879</v>
      </c>
      <c r="I89" s="13">
        <v>42876.577615740738</v>
      </c>
      <c r="J89" s="7">
        <v>0</v>
      </c>
      <c r="K89" s="92" t="str">
        <f t="shared" si="26"/>
        <v>4041/4042</v>
      </c>
      <c r="L89" s="21" t="str">
        <f>VLOOKUP(A89,'Trips&amp;Operators'!$C$1:$G$99999,5,FALSE)</f>
        <v>ARVIDSON DANIEL</v>
      </c>
      <c r="M89" s="6">
        <f t="shared" si="27"/>
        <v>2.5312499994470272E-2</v>
      </c>
      <c r="N89" s="7">
        <f t="shared" si="44"/>
        <v>36.449999992037192</v>
      </c>
      <c r="O89" s="7"/>
      <c r="P89" s="7"/>
      <c r="Q89" s="22"/>
      <c r="R89" s="190"/>
      <c r="S89" s="196">
        <f t="shared" si="28"/>
        <v>1</v>
      </c>
      <c r="T89" s="190" t="str">
        <f t="shared" si="29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0"/>
        <v>https://d0f6bd738d7f1b3e5a7ca70fe4ff75f0.us-east-1.aws.found.io/app/kibana#/discover/Steve-Slow-Train-Analysis-(2080s-and-2083s)?_g=(refreshInterval:(display:Off,pause:!f,section:0,value:0),time:(from:'2017-05-21T12:10:43-0600',mode:absolute,to:'2017-05-21T14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192" t="str">
        <f t="shared" si="31"/>
        <v>N</v>
      </c>
      <c r="X89" s="192">
        <f t="shared" si="32"/>
        <v>1</v>
      </c>
      <c r="Y89" s="192">
        <f t="shared" si="33"/>
        <v>4.6399999999999997E-2</v>
      </c>
      <c r="Z89" s="192">
        <f t="shared" si="34"/>
        <v>23.336300000000001</v>
      </c>
      <c r="AA89" s="192">
        <f t="shared" si="35"/>
        <v>23.289900000000003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6"/>
        <v>0177-21</v>
      </c>
      <c r="AE89" s="80" t="str">
        <f t="shared" si="37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89" s="77" t="str">
        <f t="shared" si="38"/>
        <v>"C:\Program Files (x86)\AstroGrep\AstroGrep.exe" /e /r /s /spath="%USERPROFILE%\AppData\Local\Temp\OnboardLogs" /stypes="app*4042*20170521*" /stext=" 19:.+((SYSTEM_STATE.+slice.+state.+changed )|(ment ac)|(multiple cpu faults)|(system.+state.+changed )|(\[timeout)|(PRM\|1\|D)|(kpr)|(kdp)|(train st.+moving)|(\|lc)|(penalty))"</v>
      </c>
      <c r="AG89" s="1" t="str">
        <f t="shared" si="39"/>
        <v>EC</v>
      </c>
      <c r="AH89" s="81" t="str">
        <f t="shared" si="40"/>
        <v>"%USERPROFILE%\Documents\GitHub\eaglep3\Utilities\RefineRTDCRunTimes.py" --tripid 177-21 --locoid 4042 --swversion DE.1.0.9.0 --startMP 204:464 --initTime 2017-05-21T13:10:43 --startdatetime 2017-05-21T13:15:19 --delay 1 --endMP 204:233363 --enddatetime 2017-05-21T13:51:46 --enforcementcount 0 &gt;&gt;C:\Users\stu\Documents\GitHub\eaglep3-reporting\EC\2017-05-21-refined-times.txt</v>
      </c>
      <c r="AI89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{"issue":{"subject":"","project_id":79,"tracker_id":40,"status_id":1,"priority_id":2,"assigned_to_id":23,"start_date":"2017-05-21","description":"","custom_fields":[{"id":1,"name":"Subdivision","value":"EC"},{"id":4,"name":"Milepost","value":"23.3363"},{"id":17,"name":"Train ID","value":"177-21"},{"id":16,"name":"Locomotive ID","value":"4042"},{"id":130,"name":"Impact","value":""},{"id":150,"name":"Time of Event (Mountain Time)","value":"13:51:46"},{"id":151,"name":"Denver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2"/>
        <v>start /low /b %USERPROFILE%\Documents\GitHub\eaglep3\Utilities\DownloadLogsFromS3.py --loco 4042 --day 2017-05-21</v>
      </c>
      <c r="AN89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736</v>
      </c>
      <c r="B90" s="7">
        <v>4041</v>
      </c>
      <c r="C90" s="21" t="s">
        <v>206</v>
      </c>
      <c r="D90" s="21" t="s">
        <v>871</v>
      </c>
      <c r="E90" s="13">
        <v>42876.589062500003</v>
      </c>
      <c r="F90" s="13">
        <v>42876.591921296298</v>
      </c>
      <c r="G90" s="7">
        <v>1</v>
      </c>
      <c r="H90" s="21" t="s">
        <v>356</v>
      </c>
      <c r="I90" s="13">
        <v>42876.618668981479</v>
      </c>
      <c r="J90" s="7">
        <v>0</v>
      </c>
      <c r="K90" s="92" t="str">
        <f t="shared" si="26"/>
        <v>4041/4042</v>
      </c>
      <c r="L90" s="21" t="str">
        <f>VLOOKUP(A90,'Trips&amp;Operators'!$C$1:$G$99999,5,FALSE)</f>
        <v>ARVIDSON DANIEL</v>
      </c>
      <c r="M90" s="6">
        <f t="shared" si="27"/>
        <v>2.6747685180453118E-2</v>
      </c>
      <c r="N90" s="7">
        <f t="shared" si="44"/>
        <v>38.51666665985249</v>
      </c>
      <c r="O90" s="7"/>
      <c r="P90" s="7"/>
      <c r="Q90" s="22"/>
      <c r="R90" s="190"/>
      <c r="S90" s="196">
        <f t="shared" si="28"/>
        <v>1</v>
      </c>
      <c r="T90" s="190" t="str">
        <f t="shared" si="29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0"/>
        <v>https://d0f6bd738d7f1b3e5a7ca70fe4ff75f0.us-east-1.aws.found.io/app/kibana#/discover/Steve-Slow-Train-Analysis-(2080s-and-2083s)?_g=(refreshInterval:(display:Off,pause:!f,section:0,value:0),time:(from:'2017-05-21T13:08:15-0600',mode:absolute,to:'2017-05-21T15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92" t="str">
        <f t="shared" si="31"/>
        <v>N</v>
      </c>
      <c r="X90" s="192">
        <f t="shared" si="32"/>
        <v>1</v>
      </c>
      <c r="Y90" s="192">
        <f t="shared" si="33"/>
        <v>23.305499999999999</v>
      </c>
      <c r="Z90" s="192">
        <f t="shared" si="34"/>
        <v>1.49E-2</v>
      </c>
      <c r="AA90" s="192">
        <f t="shared" si="35"/>
        <v>23.290599999999998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6"/>
        <v>0178-21</v>
      </c>
      <c r="AE90" s="80" t="str">
        <f t="shared" si="37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90" s="77" t="str">
        <f t="shared" si="38"/>
        <v>"C:\Program Files (x86)\AstroGrep\AstroGrep.exe" /e /r /s /spath="%USERPROFILE%\AppData\Local\Temp\OnboardLogs" /stypes="app*4041*20170521*" /stext=" 20:.+((SYSTEM_STATE.+slice.+state.+changed )|(ment ac)|(multiple cpu faults)|(system.+state.+changed )|(\[timeout)|(PRM\|1\|D)|(kpr)|(kdp)|(train st.+moving)|(\|lc)|(penalty))"</v>
      </c>
      <c r="AG90" s="1" t="str">
        <f t="shared" si="39"/>
        <v>EC</v>
      </c>
      <c r="AH90" s="81" t="str">
        <f t="shared" si="40"/>
        <v>"%USERPROFILE%\Documents\GitHub\eaglep3\Utilities\RefineRTDCRunTimes.py" --tripid 178-21 --locoid 4041 --swversion DE.1.0.9.0 --startMP 204:233055 --initTime 2017-05-21T14:08:15 --startdatetime 2017-05-21T14:12:22 --delay 1 --endMP 204:149 --enddatetime 2017-05-21T14:50:53 --enforcementcount 0 &gt;&gt;C:\Users\stu\Documents\GitHub\eaglep3-reporting\EC\2017-05-21-refined-times.txt</v>
      </c>
      <c r="AI90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{"issue":{"subject":"","project_id":79,"tracker_id":40,"status_id":1,"priority_id":2,"assigned_to_id":23,"start_date":"2017-05-21","description":"","custom_fields":[{"id":1,"name":"Subdivision","value":"EC"},{"id":4,"name":"Milepost","value":"0.0149"},{"id":17,"name":"Train ID","value":"178-21"},{"id":16,"name":"Locomotive ID","value":"4041"},{"id":130,"name":"Impact","value":""},{"id":150,"name":"Time of Event (Mountain Time)","value":"14:50:53"},{"id":151,"name":"Denver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2"/>
        <v>start /low /b %USERPROFILE%\Documents\GitHub\eaglep3\Utilities\DownloadLogsFromS3.py --loco 4041 --day 2017-05-21</v>
      </c>
      <c r="AN90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728</v>
      </c>
      <c r="B91" s="7">
        <v>4030</v>
      </c>
      <c r="C91" s="21" t="s">
        <v>206</v>
      </c>
      <c r="D91" s="21" t="s">
        <v>364</v>
      </c>
      <c r="E91" s="13">
        <v>42876.558379629627</v>
      </c>
      <c r="F91" s="13">
        <v>42876.562696759262</v>
      </c>
      <c r="G91" s="7">
        <v>1</v>
      </c>
      <c r="H91" s="21" t="s">
        <v>880</v>
      </c>
      <c r="I91" s="13">
        <v>42876.586967592593</v>
      </c>
      <c r="J91" s="7">
        <v>0</v>
      </c>
      <c r="K91" s="92" t="str">
        <f t="shared" si="26"/>
        <v>4029/4030</v>
      </c>
      <c r="L91" s="21" t="str">
        <f>VLOOKUP(A91,'Trips&amp;Operators'!$C$1:$G$99999,5,FALSE)</f>
        <v>BRUDER RICHARD</v>
      </c>
      <c r="M91" s="6">
        <f t="shared" si="27"/>
        <v>2.4270833331684116E-2</v>
      </c>
      <c r="N91" s="7">
        <f t="shared" si="44"/>
        <v>34.949999997625127</v>
      </c>
      <c r="O91" s="7"/>
      <c r="P91" s="7"/>
      <c r="Q91" s="22"/>
      <c r="R91" s="190"/>
      <c r="S91" s="196">
        <f t="shared" si="28"/>
        <v>1</v>
      </c>
      <c r="T91" s="190" t="str">
        <f t="shared" si="29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0"/>
        <v>https://d0f6bd738d7f1b3e5a7ca70fe4ff75f0.us-east-1.aws.found.io/app/kibana#/discover/Steve-Slow-Train-Analysis-(2080s-and-2083s)?_g=(refreshInterval:(display:Off,pause:!f,section:0,value:0),time:(from:'2017-05-21T12:24:04-0600',mode:absolute,to:'2017-05-21T15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192" t="str">
        <f t="shared" si="31"/>
        <v>N</v>
      </c>
      <c r="X91" s="192">
        <f t="shared" si="32"/>
        <v>1</v>
      </c>
      <c r="Y91" s="192">
        <f t="shared" si="33"/>
        <v>4.4400000000000002E-2</v>
      </c>
      <c r="Z91" s="192">
        <f t="shared" si="34"/>
        <v>23.3276</v>
      </c>
      <c r="AA91" s="192">
        <f t="shared" si="35"/>
        <v>23.283200000000001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6"/>
        <v>0179-21</v>
      </c>
      <c r="AE91" s="80" t="str">
        <f t="shared" si="37"/>
        <v>aws s3 cp s3://rtdc.mdm.uploadarchive.raw/RTDC4030/ "%USERPROFILE%\AppData\Local\Temp\OnboardLogs"\RTDC4030\2017-05-21 --exclude "*" --recursive --include "*20170521*" &amp; "%USERPROFILE%\Documents\GitHub\mrs-test-scripts\Headless Mode &amp; Sideloading\WalkAndUnGZ.bat" "%USERPROFILE%\AppData\Local\Temp\OnboardLogs"\RTDC4030\2017-05-21 &amp; 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</v>
      </c>
      <c r="AF91" s="77" t="str">
        <f t="shared" si="38"/>
        <v>"C:\Program Files (x86)\AstroGrep\AstroGrep.exe" /e /r /s /spath="%USERPROFILE%\AppData\Local\Temp\OnboardLogs" /stypes="app*4030*20170521*" /stext=" 20:.+((SYSTEM_STATE.+slice.+state.+changed )|(ment ac)|(multiple cpu faults)|(system.+state.+changed )|(\[timeout)|(PRM\|1\|D)|(kpr)|(kdp)|(train st.+moving)|(\|lc)|(penalty))"</v>
      </c>
      <c r="AG91" s="1" t="str">
        <f t="shared" si="39"/>
        <v>EC</v>
      </c>
      <c r="AH91" s="81" t="str">
        <f t="shared" si="40"/>
        <v>"%USERPROFILE%\Documents\GitHub\eaglep3\Utilities\RefineRTDCRunTimes.py" --tripid 179-21 --locoid 4030 --swversion DE.1.0.9.0 --startMP 204:444 --initTime 2017-05-21T13:24:04 --startdatetime 2017-05-21T13:30:17 --delay 1 --endMP 204:233276 --enddatetime 2017-05-21T14:05:14 --enforcementcount 0 &gt;&gt;C:\Users\stu\Documents\GitHub\eaglep3-reporting\EC\2017-05-21-refined-times.txt</v>
      </c>
      <c r="AI91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{"issue":{"subject":"","project_id":79,"tracker_id":40,"status_id":1,"priority_id":2,"assigned_to_id":23,"start_date":"2017-05-21","description":"","custom_fields":[{"id":1,"name":"Subdivision","value":"EC"},{"id":4,"name":"Milepost","value":"23.3276"},{"id":17,"name":"Train ID","value":"179-21"},{"id":16,"name":"Locomotive ID","value":"4030"},{"id":130,"name":"Impact","value":""},{"id":150,"name":"Time of Event (Mountain Time)","value":"14:05:14"},{"id":151,"name":"Denver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2"/>
        <v>start /low /b %USERPROFILE%\Documents\GitHub\eaglep3\Utilities\DownloadLogsFromS3.py --loco 4030 --day 2017-05-21</v>
      </c>
      <c r="AN91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738</v>
      </c>
      <c r="B92" s="7">
        <v>4029</v>
      </c>
      <c r="C92" s="21" t="s">
        <v>206</v>
      </c>
      <c r="D92" s="21" t="s">
        <v>551</v>
      </c>
      <c r="E92" s="13">
        <v>42876.597083333334</v>
      </c>
      <c r="F92" s="13">
        <v>42876.602233796293</v>
      </c>
      <c r="G92" s="7">
        <v>3</v>
      </c>
      <c r="H92" s="21" t="s">
        <v>356</v>
      </c>
      <c r="I92" s="13">
        <v>42876.62835648148</v>
      </c>
      <c r="J92" s="7">
        <v>0</v>
      </c>
      <c r="K92" s="92" t="str">
        <f t="shared" si="26"/>
        <v>4029/4030</v>
      </c>
      <c r="L92" s="21" t="str">
        <f>VLOOKUP(A92,'Trips&amp;Operators'!$C$1:$G$99999,5,FALSE)</f>
        <v>BRUDER RICHARD</v>
      </c>
      <c r="M92" s="6">
        <f t="shared" si="27"/>
        <v>2.6122685187146999E-2</v>
      </c>
      <c r="N92" s="7">
        <f t="shared" si="44"/>
        <v>37.616666669491678</v>
      </c>
      <c r="O92" s="7"/>
      <c r="P92" s="7"/>
      <c r="Q92" s="22"/>
      <c r="R92" s="190"/>
      <c r="S92" s="196">
        <f t="shared" si="28"/>
        <v>1</v>
      </c>
      <c r="T92" s="190" t="str">
        <f t="shared" si="29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0"/>
        <v>https://d0f6bd738d7f1b3e5a7ca70fe4ff75f0.us-east-1.aws.found.io/app/kibana#/discover/Steve-Slow-Train-Analysis-(2080s-and-2083s)?_g=(refreshInterval:(display:Off,pause:!f,section:0,value:0),time:(from:'2017-05-21T13:19:48-0600',mode:absolute,to:'2017-05-21T16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192" t="str">
        <f t="shared" si="31"/>
        <v>N</v>
      </c>
      <c r="X92" s="192">
        <f t="shared" si="32"/>
        <v>1</v>
      </c>
      <c r="Y92" s="192">
        <f t="shared" si="33"/>
        <v>23.297799999999999</v>
      </c>
      <c r="Z92" s="192">
        <f t="shared" si="34"/>
        <v>1.49E-2</v>
      </c>
      <c r="AA92" s="192">
        <f t="shared" si="35"/>
        <v>23.282899999999998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6"/>
        <v>0180-21</v>
      </c>
      <c r="AE92" s="80" t="str">
        <f t="shared" si="37"/>
        <v>aws s3 cp s3://rtdc.mdm.uploadarchive.raw/RTDC4029/ "%USERPROFILE%\AppData\Local\Temp\OnboardLogs"\RTDC4029\2017-05-21 --exclude "*" --recursive --include "*20170521*" &amp; "%USERPROFILE%\Documents\GitHub\mrs-test-scripts\Headless Mode &amp; Sideloading\WalkAndUnGZ.bat" "%USERPROFILE%\AppData\Local\Temp\OnboardLogs"\RTDC4029\2017-05-21 &amp; 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</v>
      </c>
      <c r="AF92" s="77" t="str">
        <f t="shared" si="38"/>
        <v>"C:\Program Files (x86)\AstroGrep\AstroGrep.exe" /e /r /s /spath="%USERPROFILE%\AppData\Local\Temp\OnboardLogs" /stypes="app*4029*20170521*" /stext=" 21:.+((SYSTEM_STATE.+slice.+state.+changed )|(ment ac)|(multiple cpu faults)|(system.+state.+changed )|(\[timeout)|(PRM\|1\|D)|(kpr)|(kdp)|(train st.+moving)|(\|lc)|(penalty))"</v>
      </c>
      <c r="AG92" s="1" t="str">
        <f t="shared" si="39"/>
        <v>EC</v>
      </c>
      <c r="AH92" s="81" t="str">
        <f t="shared" si="40"/>
        <v>"%USERPROFILE%\Documents\GitHub\eaglep3\Utilities\RefineRTDCRunTimes.py" --tripid 180-21 --locoid 4029 --swversion DE.1.0.9.0 --startMP 204:232978 --initTime 2017-05-21T14:19:48 --startdatetime 2017-05-21T14:27:13 --delay 3 --endMP 204:149 --enddatetime 2017-05-21T15:04:50 --enforcementcount 0 &gt;&gt;C:\Users\stu\Documents\GitHub\eaglep3-reporting\EC\2017-05-21-refined-times.txt</v>
      </c>
      <c r="AI92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{"issue":{"subject":"","project_id":79,"tracker_id":40,"status_id":1,"priority_id":2,"assigned_to_id":23,"start_date":"2017-05-21","description":"","custom_fields":[{"id":1,"name":"Subdivision","value":"EC"},{"id":4,"name":"Milepost","value":"0.0149"},{"id":17,"name":"Train ID","value":"180-21"},{"id":16,"name":"Locomotive ID","value":"4029"},{"id":130,"name":"Impact","value":""},{"id":150,"name":"Time of Event (Mountain Time)","value":"15:04:50"},{"id":151,"name":"Denver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2"/>
        <v>start /low /b %USERPROFILE%\Documents\GitHub\eaglep3\Utilities\DownloadLogsFromS3.py --loco 4029 --day 2017-05-21</v>
      </c>
      <c r="AN92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731</v>
      </c>
      <c r="B93" s="7">
        <v>4024</v>
      </c>
      <c r="C93" s="21" t="s">
        <v>206</v>
      </c>
      <c r="D93" s="21" t="s">
        <v>363</v>
      </c>
      <c r="E93" s="13">
        <v>42876.568182870367</v>
      </c>
      <c r="F93" s="13">
        <v>42876.573125000003</v>
      </c>
      <c r="G93" s="7">
        <v>1</v>
      </c>
      <c r="H93" s="21" t="s">
        <v>490</v>
      </c>
      <c r="I93" s="13">
        <v>42876.597974537035</v>
      </c>
      <c r="J93" s="7">
        <v>0</v>
      </c>
      <c r="K93" s="92" t="str">
        <f t="shared" si="26"/>
        <v>4023/4024</v>
      </c>
      <c r="L93" s="21" t="str">
        <f>VLOOKUP(A93,'Trips&amp;Operators'!$C$1:$G$99999,5,FALSE)</f>
        <v>WHITED DUSTIN</v>
      </c>
      <c r="M93" s="6">
        <f t="shared" si="27"/>
        <v>2.4849537032423541E-2</v>
      </c>
      <c r="N93" s="7">
        <f t="shared" si="44"/>
        <v>35.783333326689899</v>
      </c>
      <c r="O93" s="7"/>
      <c r="P93" s="7"/>
      <c r="Q93" s="22"/>
      <c r="R93" s="190"/>
      <c r="S93" s="196">
        <f t="shared" si="28"/>
        <v>1</v>
      </c>
      <c r="T93" s="190" t="str">
        <f t="shared" si="29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0"/>
        <v>https://d0f6bd738d7f1b3e5a7ca70fe4ff75f0.us-east-1.aws.found.io/app/kibana#/discover/Steve-Slow-Train-Analysis-(2080s-and-2083s)?_g=(refreshInterval:(display:Off,pause:!f,section:0,value:0),time:(from:'2017-05-21T12:38:11-0600',mode:absolute,to:'2017-05-21T15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3" s="192" t="str">
        <f t="shared" si="31"/>
        <v>N</v>
      </c>
      <c r="X93" s="192">
        <f t="shared" si="32"/>
        <v>1</v>
      </c>
      <c r="Y93" s="192">
        <f t="shared" si="33"/>
        <v>4.53E-2</v>
      </c>
      <c r="Z93" s="192">
        <f t="shared" si="34"/>
        <v>23.3325</v>
      </c>
      <c r="AA93" s="192">
        <f t="shared" si="35"/>
        <v>23.287199999999999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6"/>
        <v>0181-21</v>
      </c>
      <c r="AE93" s="80" t="str">
        <f t="shared" si="37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93" s="77" t="str">
        <f t="shared" si="38"/>
        <v>"C:\Program Files (x86)\AstroGrep\AstroGrep.exe" /e /r /s /spath="%USERPROFILE%\AppData\Local\Temp\OnboardLogs" /stypes="app*4024*20170521*" /stext=" 20:.+((SYSTEM_STATE.+slice.+state.+changed )|(ment ac)|(multiple cpu faults)|(system.+state.+changed )|(\[timeout)|(PRM\|1\|D)|(kpr)|(kdp)|(train st.+moving)|(\|lc)|(penalty))"</v>
      </c>
      <c r="AG93" s="1" t="str">
        <f t="shared" si="39"/>
        <v>EC</v>
      </c>
      <c r="AH93" s="81" t="str">
        <f t="shared" si="40"/>
        <v>"%USERPROFILE%\Documents\GitHub\eaglep3\Utilities\RefineRTDCRunTimes.py" --tripid 181-21 --locoid 4024 --swversion DE.1.0.9.0 --startMP 204:453 --initTime 2017-05-21T13:38:11 --startdatetime 2017-05-21T13:45:18 --delay 1 --endMP 204:233325 --enddatetime 2017-05-21T14:21:05 --enforcementcount 0 &gt;&gt;C:\Users\stu\Documents\GitHub\eaglep3-reporting\EC\2017-05-21-refined-times.txt</v>
      </c>
      <c r="AI93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{"issue":{"subject":"","project_id":79,"tracker_id":40,"status_id":1,"priority_id":2,"assigned_to_id":23,"start_date":"2017-05-21","description":"","custom_fields":[{"id":1,"name":"Subdivision","value":"EC"},{"id":4,"name":"Milepost","value":"23.3325"},{"id":17,"name":"Train ID","value":"181-21"},{"id":16,"name":"Locomotive ID","value":"4024"},{"id":130,"name":"Impact","value":""},{"id":150,"name":"Time of Event (Mountain Time)","value":"14:21:05"},{"id":151,"name":"Denver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2"/>
        <v>start /low /b %USERPROFILE%\Documents\GitHub\eaglep3\Utilities\DownloadLogsFromS3.py --loco 4024 --day 2017-05-21</v>
      </c>
      <c r="AN93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741</v>
      </c>
      <c r="B94" s="7">
        <v>4023</v>
      </c>
      <c r="C94" s="21" t="s">
        <v>206</v>
      </c>
      <c r="D94" s="21" t="s">
        <v>493</v>
      </c>
      <c r="E94" s="13">
        <v>42876.60465277778</v>
      </c>
      <c r="F94" s="13">
        <v>42876.61277777778</v>
      </c>
      <c r="G94" s="7">
        <v>1</v>
      </c>
      <c r="H94" s="21" t="s">
        <v>197</v>
      </c>
      <c r="I94" s="13">
        <v>42876.638506944444</v>
      </c>
      <c r="J94" s="7">
        <v>0</v>
      </c>
      <c r="K94" s="92" t="str">
        <f t="shared" si="26"/>
        <v>4023/4024</v>
      </c>
      <c r="L94" s="21" t="str">
        <f>VLOOKUP(A94,'Trips&amp;Operators'!$C$1:$G$99999,5,FALSE)</f>
        <v>WHITED DUSTIN</v>
      </c>
      <c r="M94" s="6">
        <f t="shared" si="27"/>
        <v>2.5729166663950309E-2</v>
      </c>
      <c r="N94" s="7">
        <f t="shared" si="44"/>
        <v>37.049999996088445</v>
      </c>
      <c r="O94" s="7"/>
      <c r="P94" s="7"/>
      <c r="Q94" s="22"/>
      <c r="R94" s="190"/>
      <c r="S94" s="196">
        <f t="shared" si="28"/>
        <v>1</v>
      </c>
      <c r="T94" s="190" t="str">
        <f t="shared" si="29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0"/>
        <v>https://d0f6bd738d7f1b3e5a7ca70fe4ff75f0.us-east-1.aws.found.io/app/kibana#/discover/Steve-Slow-Train-Analysis-(2080s-and-2083s)?_g=(refreshInterval:(display:Off,pause:!f,section:0,value:0),time:(from:'2017-05-21T13:30:42-0600',mode:absolute,to:'2017-05-21T16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4" s="192" t="str">
        <f t="shared" si="31"/>
        <v>N</v>
      </c>
      <c r="X94" s="192">
        <f t="shared" si="32"/>
        <v>1</v>
      </c>
      <c r="Y94" s="192">
        <f t="shared" si="33"/>
        <v>23.2987</v>
      </c>
      <c r="Z94" s="192">
        <f t="shared" si="34"/>
        <v>1.52E-2</v>
      </c>
      <c r="AA94" s="192">
        <f t="shared" si="35"/>
        <v>23.2835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6"/>
        <v>0182-21</v>
      </c>
      <c r="AE94" s="80" t="str">
        <f t="shared" si="37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94" s="77" t="str">
        <f t="shared" si="38"/>
        <v>"C:\Program Files (x86)\AstroGrep\AstroGrep.exe" /e /r /s /spath="%USERPROFILE%\AppData\Local\Temp\OnboardLogs" /stypes="app*4023*20170521*" /stext=" 21:.+((SYSTEM_STATE.+slice.+state.+changed )|(ment ac)|(multiple cpu faults)|(system.+state.+changed )|(\[timeout)|(PRM\|1\|D)|(kpr)|(kdp)|(train st.+moving)|(\|lc)|(penalty))"</v>
      </c>
      <c r="AG94" s="1" t="str">
        <f t="shared" si="39"/>
        <v>EC</v>
      </c>
      <c r="AH94" s="81" t="str">
        <f t="shared" si="40"/>
        <v>"%USERPROFILE%\Documents\GitHub\eaglep3\Utilities\RefineRTDCRunTimes.py" --tripid 182-21 --locoid 4023 --swversion DE.1.0.9.0 --startMP 204:232987 --initTime 2017-05-21T14:30:42 --startdatetime 2017-05-21T14:42:24 --delay 1 --endMP 204:152 --enddatetime 2017-05-21T15:19:27 --enforcementcount 0 &gt;&gt;C:\Users\stu\Documents\GitHub\eaglep3-reporting\EC\2017-05-21-refined-times.txt</v>
      </c>
      <c r="AI94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{"issue":{"subject":"","project_id":79,"tracker_id":40,"status_id":1,"priority_id":2,"assigned_to_id":23,"start_date":"2017-05-21","description":"","custom_fields":[{"id":1,"name":"Subdivision","value":"EC"},{"id":4,"name":"Milepost","value":"0.0152"},{"id":17,"name":"Train ID","value":"182-21"},{"id":16,"name":"Locomotive ID","value":"4023"},{"id":130,"name":"Impact","value":""},{"id":150,"name":"Time of Event (Mountain Time)","value":"15:19:27"},{"id":151,"name":"Denver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2"/>
        <v>start /low /b %USERPROFILE%\Documents\GitHub\eaglep3\Utilities\DownloadLogsFromS3.py --loco 4023 --day 2017-05-21</v>
      </c>
      <c r="AN94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601</v>
      </c>
      <c r="B95" s="7">
        <v>4008</v>
      </c>
      <c r="C95" s="21" t="s">
        <v>206</v>
      </c>
      <c r="D95" s="21" t="s">
        <v>373</v>
      </c>
      <c r="E95" s="13">
        <v>42876.578634259262</v>
      </c>
      <c r="F95" s="13">
        <v>42876.583483796298</v>
      </c>
      <c r="G95" s="7">
        <v>1</v>
      </c>
      <c r="H95" s="21" t="s">
        <v>916</v>
      </c>
      <c r="I95" s="13">
        <v>42876.60837962963</v>
      </c>
      <c r="J95" s="7">
        <v>0</v>
      </c>
      <c r="K95" s="92" t="str">
        <f t="shared" si="26"/>
        <v>4007/4008</v>
      </c>
      <c r="L95" s="21" t="str">
        <f>VLOOKUP(A95,'Trips&amp;Operators'!$C$1:$G$99999,5,FALSE)</f>
        <v>ROMERO CHAD</v>
      </c>
      <c r="M95" s="6">
        <f t="shared" si="27"/>
        <v>2.4895833332266193E-2</v>
      </c>
      <c r="N95" s="7">
        <f t="shared" si="44"/>
        <v>35.849999998463318</v>
      </c>
      <c r="O95" s="7"/>
      <c r="P95" s="7"/>
      <c r="Q95" s="22"/>
      <c r="R95" s="190"/>
      <c r="S95" s="196">
        <f t="shared" si="28"/>
        <v>1</v>
      </c>
      <c r="T95" s="190" t="str">
        <f t="shared" si="29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0"/>
        <v>https://d0f6bd738d7f1b3e5a7ca70fe4ff75f0.us-east-1.aws.found.io/app/kibana#/discover/Steve-Slow-Train-Analysis-(2080s-and-2083s)?_g=(refreshInterval:(display:Off,pause:!f,section:0,value:0),time:(from:'2017-05-21T12:53:14-0600',mode:absolute,to:'2017-05-21T15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92" t="str">
        <f t="shared" si="31"/>
        <v>N</v>
      </c>
      <c r="X95" s="192">
        <f t="shared" si="32"/>
        <v>1</v>
      </c>
      <c r="Y95" s="192">
        <f t="shared" si="33"/>
        <v>4.5499999999999999E-2</v>
      </c>
      <c r="Z95" s="192">
        <f t="shared" si="34"/>
        <v>23.344899999999999</v>
      </c>
      <c r="AA95" s="192">
        <f t="shared" si="35"/>
        <v>23.299399999999999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6"/>
        <v>0183-21</v>
      </c>
      <c r="AE95" s="80" t="str">
        <f t="shared" si="37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95" s="77" t="str">
        <f t="shared" si="38"/>
        <v>"C:\Program Files (x86)\AstroGrep\AstroGrep.exe" /e /r /s /spath="%USERPROFILE%\AppData\Local\Temp\OnboardLogs" /stypes="app*4008*20170521*" /stext=" 20:.+((SYSTEM_STATE.+slice.+state.+changed )|(ment ac)|(multiple cpu faults)|(system.+state.+changed )|(\[timeout)|(PRM\|1\|D)|(kpr)|(kdp)|(train st.+moving)|(\|lc)|(penalty))"</v>
      </c>
      <c r="AG95" s="1" t="str">
        <f t="shared" si="39"/>
        <v>EC</v>
      </c>
      <c r="AH95" s="81" t="str">
        <f t="shared" si="40"/>
        <v>"%USERPROFILE%\Documents\GitHub\eaglep3\Utilities\RefineRTDCRunTimes.py" --tripid 183-21 --locoid 4008 --swversion DE.1.0.9.0 --startMP 204:455 --initTime 2017-05-21T13:53:14 --startdatetime 2017-05-21T14:00:13 --delay 1 --endMP 204:233449 --enddatetime 2017-05-21T14:36:04 --enforcementcount 0 &gt;&gt;C:\Users\stu\Documents\GitHub\eaglep3-reporting\EC\2017-05-21-refined-times.txt</v>
      </c>
      <c r="AI95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{"issue":{"subject":"","project_id":79,"tracker_id":40,"status_id":1,"priority_id":2,"assigned_to_id":23,"start_date":"2017-05-21","description":"","custom_fields":[{"id":1,"name":"Subdivision","value":"EC"},{"id":4,"name":"Milepost","value":"23.3449"},{"id":17,"name":"Train ID","value":"183-21"},{"id":16,"name":"Locomotive ID","value":"4008"},{"id":130,"name":"Impact","value":""},{"id":150,"name":"Time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2"/>
        <v>start /low /b %USERPROFILE%\Documents\GitHub\eaglep3\Utilities\DownloadLogsFromS3.py --loco 4008 --day 2017-05-21</v>
      </c>
      <c r="AN95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742</v>
      </c>
      <c r="B96" s="7">
        <v>4007</v>
      </c>
      <c r="C96" s="21" t="s">
        <v>206</v>
      </c>
      <c r="D96" s="21" t="s">
        <v>920</v>
      </c>
      <c r="E96" s="13">
        <v>42876.6096875</v>
      </c>
      <c r="F96" s="13">
        <v>42876.623194444444</v>
      </c>
      <c r="G96" s="7">
        <v>1</v>
      </c>
      <c r="H96" s="21" t="s">
        <v>348</v>
      </c>
      <c r="I96" s="13">
        <v>42876.648310185185</v>
      </c>
      <c r="J96" s="7">
        <v>0</v>
      </c>
      <c r="K96" s="92" t="str">
        <f t="shared" si="26"/>
        <v>4007/4008</v>
      </c>
      <c r="L96" s="21" t="str">
        <f>VLOOKUP(A96,'Trips&amp;Operators'!$C$1:$G$99999,5,FALSE)</f>
        <v>ROMERO CHAD</v>
      </c>
      <c r="M96" s="6">
        <f t="shared" si="27"/>
        <v>2.5115740740147885E-2</v>
      </c>
      <c r="N96" s="7">
        <f t="shared" si="44"/>
        <v>36.166666665812954</v>
      </c>
      <c r="O96" s="7"/>
      <c r="P96" s="7"/>
      <c r="Q96" s="22"/>
      <c r="R96" s="190"/>
      <c r="S96" s="196">
        <f t="shared" si="28"/>
        <v>1</v>
      </c>
      <c r="T96" s="190" t="str">
        <f t="shared" si="29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0"/>
        <v>https://d0f6bd738d7f1b3e5a7ca70fe4ff75f0.us-east-1.aws.found.io/app/kibana#/discover/Steve-Slow-Train-Analysis-(2080s-and-2083s)?_g=(refreshInterval:(display:Off,pause:!f,section:0,value:0),time:(from:'2017-05-21T13:37:57-0600',mode:absolute,to:'2017-05-21T16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192" t="str">
        <f t="shared" si="31"/>
        <v>N</v>
      </c>
      <c r="X96" s="192">
        <f t="shared" si="32"/>
        <v>1</v>
      </c>
      <c r="Y96" s="192">
        <f t="shared" si="33"/>
        <v>23.310099999999998</v>
      </c>
      <c r="Z96" s="192">
        <f t="shared" si="34"/>
        <v>1.38E-2</v>
      </c>
      <c r="AA96" s="192">
        <f t="shared" si="35"/>
        <v>23.296299999999999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6"/>
        <v>0184-21</v>
      </c>
      <c r="AE96" s="80" t="str">
        <f t="shared" si="37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96" s="77" t="str">
        <f t="shared" si="38"/>
        <v>"C:\Program Files (x86)\AstroGrep\AstroGrep.exe" /e /r /s /spath="%USERPROFILE%\AppData\Local\Temp\OnboardLogs" /stypes="app*4007*20170521*" /stext=" 21:.+((SYSTEM_STATE.+slice.+state.+changed )|(ment ac)|(multiple cpu faults)|(system.+state.+changed )|(\[timeout)|(PRM\|1\|D)|(kpr)|(kdp)|(train st.+moving)|(\|lc)|(penalty))"</v>
      </c>
      <c r="AG96" s="1" t="str">
        <f t="shared" si="39"/>
        <v>EC</v>
      </c>
      <c r="AH96" s="81" t="str">
        <f t="shared" si="40"/>
        <v>"%USERPROFILE%\Documents\GitHub\eaglep3\Utilities\RefineRTDCRunTimes.py" --tripid 184-21 --locoid 4007 --swversion DE.1.0.9.0 --startMP 204:233101 --initTime 2017-05-21T14:37:57 --startdatetime 2017-05-21T14:57:24 --delay 1 --endMP 204:138 --enddatetime 2017-05-21T15:33:34 --enforcementcount 0 &gt;&gt;C:\Users\stu\Documents\GitHub\eaglep3-reporting\EC\2017-05-21-refined-times.txt</v>
      </c>
      <c r="AI96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{"issue":{"subject":"","project_id":79,"tracker_id":40,"status_id":1,"priority_id":2,"assigned_to_id":23,"start_date":"2017-05-21","description":"","custom_fields":[{"id":1,"name":"Subdivision","value":"EC"},{"id":4,"name":"Milepost","value":"0.0138"},{"id":17,"name":"Train ID","value":"184-21"},{"id":16,"name":"Locomotive ID","value":"4007"},{"id":130,"name":"Impact","value":""},{"id":150,"name":"Time of Event (Mountain Time)","value":"15:33:34"},{"id":151,"name":"Denver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2"/>
        <v>start /low /b %USERPROFILE%\Documents\GitHub\eaglep3\Utilities\DownloadLogsFromS3.py --loco 4007 --day 2017-05-21</v>
      </c>
      <c r="AN96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737</v>
      </c>
      <c r="B97" s="7">
        <v>4002</v>
      </c>
      <c r="C97" s="21" t="s">
        <v>206</v>
      </c>
      <c r="D97" s="21" t="s">
        <v>921</v>
      </c>
      <c r="E97" s="13">
        <v>42876.590462962966</v>
      </c>
      <c r="F97" s="13">
        <v>42876.593912037039</v>
      </c>
      <c r="G97" s="7">
        <v>2</v>
      </c>
      <c r="H97" s="21" t="s">
        <v>494</v>
      </c>
      <c r="I97" s="13">
        <v>42876.61996527778</v>
      </c>
      <c r="J97" s="7">
        <v>0</v>
      </c>
      <c r="K97" s="92" t="str">
        <f t="shared" si="26"/>
        <v>4001/4002</v>
      </c>
      <c r="L97" s="21" t="str">
        <f>VLOOKUP(A97,'Trips&amp;Operators'!$C$1:$G$99999,5,FALSE)</f>
        <v>CLARK KATHLEEN</v>
      </c>
      <c r="M97" s="6">
        <f t="shared" si="27"/>
        <v>2.6053240741021E-2</v>
      </c>
      <c r="N97" s="7">
        <f t="shared" si="44"/>
        <v>37.51666666707024</v>
      </c>
      <c r="O97" s="7"/>
      <c r="P97" s="7"/>
      <c r="Q97" s="22"/>
      <c r="R97" s="190"/>
      <c r="S97" s="196">
        <f t="shared" si="28"/>
        <v>1</v>
      </c>
      <c r="T97" s="190" t="str">
        <f t="shared" si="29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0"/>
        <v>https://d0f6bd738d7f1b3e5a7ca70fe4ff75f0.us-east-1.aws.found.io/app/kibana#/discover/Steve-Slow-Train-Analysis-(2080s-and-2083s)?_g=(refreshInterval:(display:Off,pause:!f,section:0,value:0),time:(from:'2017-05-21T13:10:16-0600',mode:absolute,to:'2017-05-21T15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192" t="str">
        <f t="shared" si="31"/>
        <v>N</v>
      </c>
      <c r="X97" s="192">
        <f t="shared" si="32"/>
        <v>1</v>
      </c>
      <c r="Y97" s="192">
        <f t="shared" si="33"/>
        <v>5.0799999999999998E-2</v>
      </c>
      <c r="Z97" s="192">
        <f t="shared" si="34"/>
        <v>23.3306</v>
      </c>
      <c r="AA97" s="192">
        <f t="shared" si="35"/>
        <v>23.279800000000002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6"/>
        <v>0185-21</v>
      </c>
      <c r="AE97" s="80" t="str">
        <f t="shared" si="37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97" s="77" t="str">
        <f t="shared" si="38"/>
        <v>"C:\Program Files (x86)\AstroGrep\AstroGrep.exe" /e /r /s /spath="%USERPROFILE%\AppData\Local\Temp\OnboardLogs" /stypes="app*4002*20170521*" /stext=" 20:.+((SYSTEM_STATE.+slice.+state.+changed )|(ment ac)|(multiple cpu faults)|(system.+state.+changed )|(\[timeout)|(PRM\|1\|D)|(kpr)|(kdp)|(train st.+moving)|(\|lc)|(penalty))"</v>
      </c>
      <c r="AG97" s="1" t="str">
        <f t="shared" si="39"/>
        <v>EC</v>
      </c>
      <c r="AH97" s="81" t="str">
        <f t="shared" si="40"/>
        <v>"%USERPROFILE%\Documents\GitHub\eaglep3\Utilities\RefineRTDCRunTimes.py" --tripid 185-21 --locoid 4002 --swversion DE.1.0.9.0 --startMP 204:508 --initTime 2017-05-21T14:10:16 --startdatetime 2017-05-21T14:15:14 --delay 2 --endMP 204:233306 --enddatetime 2017-05-21T14:52:45 --enforcementcount 0 &gt;&gt;C:\Users\stu\Documents\GitHub\eaglep3-reporting\EC\2017-05-21-refined-times.txt</v>
      </c>
      <c r="AI97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{"issue":{"subject":"","project_id":79,"tracker_id":40,"status_id":1,"priority_id":2,"assigned_to_id":23,"start_date":"2017-05-21","description":"","custom_fields":[{"id":1,"name":"Subdivision","value":"EC"},{"id":4,"name":"Milepost","value":"23.3306"},{"id":17,"name":"Train ID","value":"185-21"},{"id":16,"name":"Locomotive ID","value":"4002"},{"id":130,"name":"Impact","value":""},{"id":150,"name":"Time of Event (Mountain Time)","value":"14:52:45"},{"id":151,"name":"Denver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42"/>
        <v>start /low /b %USERPROFILE%\Documents\GitHub\eaglep3\Utilities\DownloadLogsFromS3.py --loco 4002 --day 2017-05-21</v>
      </c>
      <c r="AN97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746</v>
      </c>
      <c r="B98" s="7">
        <v>4001</v>
      </c>
      <c r="C98" s="21" t="s">
        <v>206</v>
      </c>
      <c r="D98" s="21" t="s">
        <v>468</v>
      </c>
      <c r="E98" s="13">
        <v>42876.628958333335</v>
      </c>
      <c r="F98" s="13">
        <v>42876.633506944447</v>
      </c>
      <c r="G98" s="7">
        <v>0</v>
      </c>
      <c r="H98" s="21" t="s">
        <v>922</v>
      </c>
      <c r="I98" s="13">
        <v>42876.661157407405</v>
      </c>
      <c r="J98" s="7">
        <v>0</v>
      </c>
      <c r="K98" s="92" t="str">
        <f t="shared" si="26"/>
        <v>4001/4002</v>
      </c>
      <c r="L98" s="21" t="str">
        <f>VLOOKUP(A98,'Trips&amp;Operators'!$C$1:$G$99999,5,FALSE)</f>
        <v>CLARK KATHLEEN</v>
      </c>
      <c r="M98" s="6">
        <f t="shared" si="27"/>
        <v>2.7650462958263233E-2</v>
      </c>
      <c r="N98" s="7">
        <f t="shared" si="44"/>
        <v>39.816666659899056</v>
      </c>
      <c r="O98" s="7"/>
      <c r="P98" s="7"/>
      <c r="Q98" s="22"/>
      <c r="R98" s="190"/>
      <c r="S98" s="196">
        <f t="shared" si="28"/>
        <v>1</v>
      </c>
      <c r="T98" s="190" t="str">
        <f t="shared" si="29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0"/>
        <v>https://d0f6bd738d7f1b3e5a7ca70fe4ff75f0.us-east-1.aws.found.io/app/kibana#/discover/Steve-Slow-Train-Analysis-(2080s-and-2083s)?_g=(refreshInterval:(display:Off,pause:!f,section:0,value:0),time:(from:'2017-05-21T14:05:42-0600',mode:absolute,to:'2017-05-21T16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192" t="str">
        <f t="shared" si="31"/>
        <v>N</v>
      </c>
      <c r="X98" s="192">
        <f t="shared" si="32"/>
        <v>1</v>
      </c>
      <c r="Y98" s="192">
        <f t="shared" si="33"/>
        <v>23.3</v>
      </c>
      <c r="Z98" s="192">
        <f t="shared" si="34"/>
        <v>1.9199999999999998E-2</v>
      </c>
      <c r="AA98" s="192">
        <f t="shared" si="35"/>
        <v>23.280799999999999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6"/>
        <v>0186-21</v>
      </c>
      <c r="AE98" s="80" t="str">
        <f t="shared" si="37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98" s="77" t="str">
        <f t="shared" si="38"/>
        <v>"C:\Program Files (x86)\AstroGrep\AstroGrep.exe" /e /r /s /spath="%USERPROFILE%\AppData\Local\Temp\OnboardLogs" /stypes="app*4001*20170521*" /stext=" 21:.+((SYSTEM_STATE.+slice.+state.+changed )|(ment ac)|(multiple cpu faults)|(system.+state.+changed )|(\[timeout)|(PRM\|1\|D)|(kpr)|(kdp)|(train st.+moving)|(\|lc)|(penalty))"</v>
      </c>
      <c r="AG98" s="1" t="str">
        <f t="shared" si="39"/>
        <v>EC</v>
      </c>
      <c r="AH98" s="81" t="str">
        <f t="shared" si="40"/>
        <v>"%USERPROFILE%\Documents\GitHub\eaglep3\Utilities\RefineRTDCRunTimes.py" --tripid 186-21 --locoid 4001 --swversion DE.1.0.9.0 --startMP 204:233000 --initTime 2017-05-21T15:05:42 --startdatetime 2017-05-21T15:12:15 --delay 0 --endMP 204:192 --enddatetime 2017-05-21T15:52:04 --enforcementcount 0 &gt;&gt;C:\Users\stu\Documents\GitHub\eaglep3-reporting\EC\2017-05-21-refined-times.txt</v>
      </c>
      <c r="AI98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{"issue":{"subject":"","project_id":79,"tracker_id":40,"status_id":1,"priority_id":2,"assigned_to_id":23,"start_date":"2017-05-21","description":"","custom_fields":[{"id":1,"name":"Subdivision","value":"EC"},{"id":4,"name":"Milepost","value":"0.0192"},{"id":17,"name":"Train ID","value":"186-21"},{"id":16,"name":"Locomotive ID","value":"4001"},{"id":130,"name":"Impact","value":""},{"id":150,"name":"Time of Event (Mountain Time)","value":"15:52:04"},{"id":151,"name":"Denver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2"/>
        <v>start /low /b %USERPROFILE%\Documents\GitHub\eaglep3\Utilities\DownloadLogsFromS3.py --loco 4001 --day 2017-05-21</v>
      </c>
      <c r="AN98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739</v>
      </c>
      <c r="B99" s="7">
        <v>4010</v>
      </c>
      <c r="C99" s="21" t="s">
        <v>206</v>
      </c>
      <c r="D99" s="21" t="s">
        <v>354</v>
      </c>
      <c r="E99" s="13">
        <v>42876.59951388889</v>
      </c>
      <c r="F99" s="13">
        <v>42876.604351851849</v>
      </c>
      <c r="G99" s="7">
        <v>1</v>
      </c>
      <c r="H99" s="21" t="s">
        <v>923</v>
      </c>
      <c r="I99" s="13">
        <v>42876.629548611112</v>
      </c>
      <c r="J99" s="7">
        <v>0</v>
      </c>
      <c r="K99" s="92" t="str">
        <f t="shared" si="26"/>
        <v>4009/4010</v>
      </c>
      <c r="L99" s="21" t="str">
        <f>VLOOKUP(A99,'Trips&amp;Operators'!$C$1:$G$99999,5,FALSE)</f>
        <v>MCREYNOLDS KYLE</v>
      </c>
      <c r="M99" s="6">
        <f t="shared" si="27"/>
        <v>2.5196759263053536E-2</v>
      </c>
      <c r="N99" s="7">
        <f t="shared" si="44"/>
        <v>36.283333338797092</v>
      </c>
      <c r="O99" s="7"/>
      <c r="P99" s="7"/>
      <c r="Q99" s="22"/>
      <c r="R99" s="190"/>
      <c r="S99" s="196">
        <f t="shared" si="28"/>
        <v>1</v>
      </c>
      <c r="T99" s="190" t="str">
        <f t="shared" si="29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0"/>
        <v>https://d0f6bd738d7f1b3e5a7ca70fe4ff75f0.us-east-1.aws.found.io/app/kibana#/discover/Steve-Slow-Train-Analysis-(2080s-and-2083s)?_g=(refreshInterval:(display:Off,pause:!f,section:0,value:0),time:(from:'2017-05-21T13:23:18-0600',mode:absolute,to:'2017-05-21T16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192" t="str">
        <f t="shared" si="31"/>
        <v>N</v>
      </c>
      <c r="X99" s="192">
        <f t="shared" si="32"/>
        <v>1</v>
      </c>
      <c r="Y99" s="192">
        <f t="shared" si="33"/>
        <v>4.58E-2</v>
      </c>
      <c r="Z99" s="192">
        <f t="shared" si="34"/>
        <v>23.336400000000001</v>
      </c>
      <c r="AA99" s="192">
        <f t="shared" si="35"/>
        <v>23.290600000000001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6"/>
        <v>0187-21</v>
      </c>
      <c r="AE99" s="80" t="str">
        <f t="shared" si="37"/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AF99" s="77" t="str">
        <f t="shared" si="38"/>
        <v>"C:\Program Files (x86)\AstroGrep\AstroGrep.exe" /e /r /s /spath="%USERPROFILE%\AppData\Local\Temp\OnboardLogs" /stypes="app*4010*20170521*" /stext=" 21:.+((SYSTEM_STATE.+slice.+state.+changed )|(ment ac)|(multiple cpu faults)|(system.+state.+changed )|(\[timeout)|(PRM\|1\|D)|(kpr)|(kdp)|(train st.+moving)|(\|lc)|(penalty))"</v>
      </c>
      <c r="AG99" s="1" t="str">
        <f t="shared" si="39"/>
        <v>EC</v>
      </c>
      <c r="AH99" s="81" t="str">
        <f t="shared" si="40"/>
        <v>"%USERPROFILE%\Documents\GitHub\eaglep3\Utilities\RefineRTDCRunTimes.py" --tripid 187-21 --locoid 4010 --swversion DE.1.0.9.0 --startMP 204:458 --initTime 2017-05-21T14:23:18 --startdatetime 2017-05-21T14:30:16 --delay 1 --endMP 204:233364 --enddatetime 2017-05-21T15:06:33 --enforcementcount 0 &gt;&gt;C:\Users\stu\Documents\GitHub\eaglep3-reporting\EC\2017-05-21-refined-times.txt</v>
      </c>
      <c r="AI99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{"issue":{"subject":"","project_id":79,"tracker_id":40,"status_id":1,"priority_id":2,"assigned_to_id":23,"start_date":"2017-05-21","description":"","custom_fields":[{"id":1,"name":"Subdivision","value":"EC"},{"id":4,"name":"Milepost","value":"23.3364"},{"id":17,"name":"Train ID","value":"187-21"},{"id":16,"name":"Locomotive ID","value":"4010"},{"id":130,"name":"Impact","value":""},{"id":150,"name":"Time of Event (Mountain Time)","value":"15:06:33"},{"id":151,"name":"Denver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2"/>
        <v>start /low /b %USERPROFILE%\Documents\GitHub\eaglep3\Utilities\DownloadLogsFromS3.py --loco 4010 --day 2017-05-21</v>
      </c>
      <c r="AN99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602</v>
      </c>
      <c r="B100" s="7">
        <v>4009</v>
      </c>
      <c r="C100" s="21" t="s">
        <v>206</v>
      </c>
      <c r="D100" s="21" t="s">
        <v>924</v>
      </c>
      <c r="E100" s="13">
        <v>42876.637418981481</v>
      </c>
      <c r="F100" s="13">
        <v>42876.643912037034</v>
      </c>
      <c r="G100" s="7">
        <v>1</v>
      </c>
      <c r="H100" s="21" t="s">
        <v>925</v>
      </c>
      <c r="I100" s="13">
        <v>42876.66978009259</v>
      </c>
      <c r="J100" s="7">
        <v>0</v>
      </c>
      <c r="K100" s="92" t="str">
        <f t="shared" si="26"/>
        <v>4009/4010</v>
      </c>
      <c r="L100" s="21" t="str">
        <f>VLOOKUP(A100,'Trips&amp;Operators'!$C$1:$G$99999,5,FALSE)</f>
        <v>MCREYNOLDS KYLE</v>
      </c>
      <c r="M100" s="6">
        <f t="shared" si="27"/>
        <v>2.5868055556202307E-2</v>
      </c>
      <c r="N100" s="7">
        <f t="shared" si="44"/>
        <v>37.250000000931323</v>
      </c>
      <c r="O100" s="7"/>
      <c r="P100" s="7"/>
      <c r="Q100" s="22"/>
      <c r="R100" s="190"/>
      <c r="S100" s="196">
        <f t="shared" si="28"/>
        <v>1</v>
      </c>
      <c r="T100" s="190" t="str">
        <f t="shared" si="29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0"/>
        <v>https://d0f6bd738d7f1b3e5a7ca70fe4ff75f0.us-east-1.aws.found.io/app/kibana#/discover/Steve-Slow-Train-Analysis-(2080s-and-2083s)?_g=(refreshInterval:(display:Off,pause:!f,section:0,value:0),time:(from:'2017-05-21T14:17:53-0600',mode:absolute,to:'2017-05-21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192" t="str">
        <f t="shared" si="31"/>
        <v>N</v>
      </c>
      <c r="X100" s="192">
        <f t="shared" si="32"/>
        <v>1</v>
      </c>
      <c r="Y100" s="192">
        <f t="shared" si="33"/>
        <v>23.304400000000001</v>
      </c>
      <c r="Z100" s="192">
        <f t="shared" si="34"/>
        <v>2.52E-2</v>
      </c>
      <c r="AA100" s="192">
        <f t="shared" si="35"/>
        <v>23.279199999999999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6"/>
        <v>0188-21</v>
      </c>
      <c r="AE100" s="80" t="str">
        <f t="shared" si="37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100" s="77" t="str">
        <f t="shared" si="38"/>
        <v>"C:\Program Files (x86)\AstroGrep\AstroGrep.exe" /e /r /s /spath="%USERPROFILE%\AppData\Local\Temp\OnboardLogs" /stypes="app*4009*20170521*" /stext=" 22:.+((SYSTEM_STATE.+slice.+state.+changed )|(ment ac)|(multiple cpu faults)|(system.+state.+changed )|(\[timeout)|(PRM\|1\|D)|(kpr)|(kdp)|(train st.+moving)|(\|lc)|(penalty))"</v>
      </c>
      <c r="AG100" s="1" t="str">
        <f t="shared" si="39"/>
        <v>EC</v>
      </c>
      <c r="AH100" s="81" t="str">
        <f t="shared" si="40"/>
        <v>"%USERPROFILE%\Documents\GitHub\eaglep3\Utilities\RefineRTDCRunTimes.py" --tripid 188-21 --locoid 4009 --swversion DE.1.0.9.0 --startMP 204:233044 --initTime 2017-05-21T15:17:53 --startdatetime 2017-05-21T15:27:14 --delay 1 --endMP 204:252 --enddatetime 2017-05-21T16:04:29 --enforcementcount 0 &gt;&gt;C:\Users\stu\Documents\GitHub\eaglep3-reporting\EC\2017-05-21-refined-times.txt</v>
      </c>
      <c r="AI100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{"issue":{"subject":"","project_id":79,"tracker_id":40,"status_id":1,"priority_id":2,"assigned_to_id":23,"start_date":"2017-05-21","description":"","custom_fields":[{"id":1,"name":"Subdivision","value":"EC"},{"id":4,"name":"Milepost","value":"0.0252"},{"id":17,"name":"Train ID","value":"188-21"},{"id":16,"name":"Locomotive ID","value":"4009"},{"id":130,"name":"Impact","value":""},{"id":150,"name":"Time of Event (Mountain Time)","value":"16:04:29"},{"id":151,"name":"Denver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2"/>
        <v>start /low /b %USERPROFILE%\Documents\GitHub\eaglep3\Utilities\DownloadLogsFromS3.py --loco 4009 --day 2017-05-21</v>
      </c>
      <c r="AN100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743</v>
      </c>
      <c r="B101" s="7">
        <v>4040</v>
      </c>
      <c r="C101" s="21" t="s">
        <v>206</v>
      </c>
      <c r="D101" s="21" t="s">
        <v>352</v>
      </c>
      <c r="E101" s="13">
        <v>42876.611932870372</v>
      </c>
      <c r="F101" s="13">
        <v>42876.614837962959</v>
      </c>
      <c r="G101" s="7">
        <v>1</v>
      </c>
      <c r="H101" s="21" t="s">
        <v>471</v>
      </c>
      <c r="I101" s="13">
        <v>42876.640636574077</v>
      </c>
      <c r="J101" s="7">
        <v>0</v>
      </c>
      <c r="K101" s="92" t="str">
        <f t="shared" si="26"/>
        <v>4039/4040</v>
      </c>
      <c r="L101" s="21" t="str">
        <f>VLOOKUP(A101,'Trips&amp;Operators'!$C$1:$G$99999,5,FALSE)</f>
        <v>DAVIS MICHAEL</v>
      </c>
      <c r="M101" s="6">
        <f t="shared" si="27"/>
        <v>2.5798611117352266E-2</v>
      </c>
      <c r="N101" s="7">
        <f t="shared" si="44"/>
        <v>37.150000008987263</v>
      </c>
      <c r="O101" s="7"/>
      <c r="P101" s="7"/>
      <c r="Q101" s="22"/>
      <c r="R101" s="190"/>
      <c r="S101" s="196">
        <f t="shared" si="28"/>
        <v>1</v>
      </c>
      <c r="T101" s="190" t="str">
        <f t="shared" si="29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0"/>
        <v>https://d0f6bd738d7f1b3e5a7ca70fe4ff75f0.us-east-1.aws.found.io/app/kibana#/discover/Steve-Slow-Train-Analysis-(2080s-and-2083s)?_g=(refreshInterval:(display:Off,pause:!f,section:0,value:0),time:(from:'2017-05-21T13:41:11-0600',mode:absolute,to:'2017-05-21T16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192" t="str">
        <f t="shared" si="31"/>
        <v>N</v>
      </c>
      <c r="X101" s="192">
        <f t="shared" si="32"/>
        <v>1</v>
      </c>
      <c r="Y101" s="192">
        <f t="shared" si="33"/>
        <v>4.4600000000000001E-2</v>
      </c>
      <c r="Z101" s="192">
        <f t="shared" si="34"/>
        <v>23.334199999999999</v>
      </c>
      <c r="AA101" s="192">
        <f t="shared" si="35"/>
        <v>23.2896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6"/>
        <v>0189-21</v>
      </c>
      <c r="AE101" s="80" t="str">
        <f t="shared" si="37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101" s="77" t="str">
        <f t="shared" si="38"/>
        <v>"C:\Program Files (x86)\AstroGrep\AstroGrep.exe" /e /r /s /spath="%USERPROFILE%\AppData\Local\Temp\OnboardLogs" /stypes="app*4040*20170521*" /stext=" 21:.+((SYSTEM_STATE.+slice.+state.+changed )|(ment ac)|(multiple cpu faults)|(system.+state.+changed )|(\[timeout)|(PRM\|1\|D)|(kpr)|(kdp)|(train st.+moving)|(\|lc)|(penalty))"</v>
      </c>
      <c r="AG101" s="1" t="str">
        <f t="shared" si="39"/>
        <v>EC</v>
      </c>
      <c r="AH101" s="81" t="str">
        <f t="shared" si="40"/>
        <v>"%USERPROFILE%\Documents\GitHub\eaglep3\Utilities\RefineRTDCRunTimes.py" --tripid 189-21 --locoid 4040 --swversion DE.1.0.9.0 --startMP 204:446 --initTime 2017-05-21T14:41:11 --startdatetime 2017-05-21T14:45:22 --delay 1 --endMP 204:233342 --enddatetime 2017-05-21T15:22:31 --enforcementcount 0 &gt;&gt;C:\Users\stu\Documents\GitHub\eaglep3-reporting\EC\2017-05-21-refined-times.txt</v>
      </c>
      <c r="AI101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{"issue":{"subject":"","project_id":79,"tracker_id":40,"status_id":1,"priority_id":2,"assigned_to_id":23,"start_date":"2017-05-21","description":"","custom_fields":[{"id":1,"name":"Subdivision","value":"EC"},{"id":4,"name":"Milepost","value":"23.3342"},{"id":17,"name":"Train ID","value":"189-21"},{"id":16,"name":"Locomotive ID","value":"4040"},{"id":130,"name":"Impact","value":""},{"id":150,"name":"Time of Event (Mountain Time)","value":"15:22:31"},{"id":151,"name":"Denver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2"/>
        <v>start /low /b %USERPROFILE%\Documents\GitHub\eaglep3\Utilities\DownloadLogsFromS3.py --loco 4040 --day 2017-05-21</v>
      </c>
      <c r="AN101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750</v>
      </c>
      <c r="B102" s="7">
        <v>4039</v>
      </c>
      <c r="C102" s="21" t="s">
        <v>206</v>
      </c>
      <c r="D102" s="21" t="s">
        <v>543</v>
      </c>
      <c r="E102" s="13">
        <v>42876.651979166665</v>
      </c>
      <c r="F102" s="13">
        <v>42876.654502314814</v>
      </c>
      <c r="G102" s="7">
        <v>1</v>
      </c>
      <c r="H102" s="21" t="s">
        <v>369</v>
      </c>
      <c r="I102" s="13">
        <v>42876.682071759256</v>
      </c>
      <c r="J102" s="7">
        <v>0</v>
      </c>
      <c r="K102" s="92" t="str">
        <f t="shared" si="26"/>
        <v>4039/4040</v>
      </c>
      <c r="L102" s="21" t="str">
        <f>VLOOKUP(A102,'Trips&amp;Operators'!$C$1:$G$99999,5,FALSE)</f>
        <v>DAVIS MICHAEL</v>
      </c>
      <c r="M102" s="6">
        <f t="shared" si="27"/>
        <v>2.7569444442633539E-2</v>
      </c>
      <c r="N102" s="7">
        <f t="shared" si="44"/>
        <v>39.699999997392297</v>
      </c>
      <c r="O102" s="7"/>
      <c r="P102" s="7"/>
      <c r="Q102" s="22"/>
      <c r="R102" s="190"/>
      <c r="S102" s="196">
        <f t="shared" si="28"/>
        <v>1</v>
      </c>
      <c r="T102" s="190" t="str">
        <f t="shared" si="29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0"/>
        <v>https://d0f6bd738d7f1b3e5a7ca70fe4ff75f0.us-east-1.aws.found.io/app/kibana#/discover/Steve-Slow-Train-Analysis-(2080s-and-2083s)?_g=(refreshInterval:(display:Off,pause:!f,section:0,value:0),time:(from:'2017-05-21T14:38:51-0600',mode:absolute,to:'2017-05-21T17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192" t="str">
        <f t="shared" si="31"/>
        <v>N</v>
      </c>
      <c r="X102" s="192">
        <f t="shared" si="32"/>
        <v>1</v>
      </c>
      <c r="Y102" s="192">
        <f t="shared" si="33"/>
        <v>23.302299999999999</v>
      </c>
      <c r="Z102" s="192">
        <f t="shared" si="34"/>
        <v>1.47E-2</v>
      </c>
      <c r="AA102" s="192">
        <f t="shared" si="35"/>
        <v>23.287599999999998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6"/>
        <v>0190-21</v>
      </c>
      <c r="AE102" s="80" t="str">
        <f t="shared" si="37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102" s="77" t="str">
        <f t="shared" si="38"/>
        <v>"C:\Program Files (x86)\AstroGrep\AstroGrep.exe" /e /r /s /spath="%USERPROFILE%\AppData\Local\Temp\OnboardLogs" /stypes="app*4039*20170521*" /stext=" 22:.+((SYSTEM_STATE.+slice.+state.+changed )|(ment ac)|(multiple cpu faults)|(system.+state.+changed )|(\[timeout)|(PRM\|1\|D)|(kpr)|(kdp)|(train st.+moving)|(\|lc)|(penalty))"</v>
      </c>
      <c r="AG102" s="1" t="str">
        <f t="shared" si="39"/>
        <v>EC</v>
      </c>
      <c r="AH102" s="81" t="str">
        <f t="shared" si="40"/>
        <v>"%USERPROFILE%\Documents\GitHub\eaglep3\Utilities\RefineRTDCRunTimes.py" --tripid 190-21 --locoid 4039 --swversion DE.1.0.9.0 --startMP 204:233023 --initTime 2017-05-21T15:38:51 --startdatetime 2017-05-21T15:42:29 --delay 1 --endMP 204:147 --enddatetime 2017-05-21T16:22:11 --enforcementcount 0 &gt;&gt;C:\Users\stu\Documents\GitHub\eaglep3-reporting\EC\2017-05-21-refined-times.txt</v>
      </c>
      <c r="AI102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{"issue":{"subject":"","project_id":79,"tracker_id":40,"status_id":1,"priority_id":2,"assigned_to_id":23,"start_date":"2017-05-21","description":"","custom_fields":[{"id":1,"name":"Subdivision","value":"EC"},{"id":4,"name":"Milepost","value":"0.0147"},{"id":17,"name":"Train ID","value":"190-21"},{"id":16,"name":"Locomotive ID","value":"4039"},{"id":130,"name":"Impact","value":""},{"id":150,"name":"Time of Event (Mountain Time)","value":"16:22:11"},{"id":151,"name":"Denver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2"/>
        <v>start /low /b %USERPROFILE%\Documents\GitHub\eaglep3\Utilities\DownloadLogsFromS3.py --loco 4039 --day 2017-05-21</v>
      </c>
      <c r="AN102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744</v>
      </c>
      <c r="B103" s="7">
        <v>4042</v>
      </c>
      <c r="C103" s="21" t="s">
        <v>206</v>
      </c>
      <c r="D103" s="21" t="s">
        <v>839</v>
      </c>
      <c r="E103" s="13">
        <v>42876.622569444444</v>
      </c>
      <c r="F103" s="13">
        <v>42876.625173611108</v>
      </c>
      <c r="G103" s="7">
        <v>2</v>
      </c>
      <c r="H103" s="21" t="s">
        <v>489</v>
      </c>
      <c r="I103" s="13">
        <v>42876.650949074072</v>
      </c>
      <c r="J103" s="7">
        <v>0</v>
      </c>
      <c r="K103" s="92" t="str">
        <f t="shared" si="26"/>
        <v>4041/4042</v>
      </c>
      <c r="L103" s="21" t="str">
        <f>VLOOKUP(A103,'Trips&amp;Operators'!$C$1:$G$99999,5,FALSE)</f>
        <v>ARVIDSON DANIEL</v>
      </c>
      <c r="M103" s="6">
        <f t="shared" si="27"/>
        <v>2.5775462963792961E-2</v>
      </c>
      <c r="N103" s="7">
        <f t="shared" si="44"/>
        <v>37.116666667861864</v>
      </c>
      <c r="O103" s="7"/>
      <c r="P103" s="7"/>
      <c r="Q103" s="22"/>
      <c r="R103" s="190"/>
      <c r="S103" s="196">
        <f t="shared" si="28"/>
        <v>1</v>
      </c>
      <c r="T103" s="190" t="str">
        <f t="shared" si="29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0"/>
        <v>https://d0f6bd738d7f1b3e5a7ca70fe4ff75f0.us-east-1.aws.found.io/app/kibana#/discover/Steve-Slow-Train-Analysis-(2080s-and-2083s)?_g=(refreshInterval:(display:Off,pause:!f,section:0,value:0),time:(from:'2017-05-21T13:56:30-0600',mode:absolute,to:'2017-05-21T16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192" t="str">
        <f t="shared" si="31"/>
        <v>N</v>
      </c>
      <c r="X103" s="192">
        <f t="shared" si="32"/>
        <v>1</v>
      </c>
      <c r="Y103" s="192">
        <f t="shared" si="33"/>
        <v>4.6699999999999998E-2</v>
      </c>
      <c r="Z103" s="192">
        <f t="shared" si="34"/>
        <v>23.329899999999999</v>
      </c>
      <c r="AA103" s="192">
        <f t="shared" si="35"/>
        <v>23.283199999999997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6"/>
        <v>0191-21</v>
      </c>
      <c r="AE103" s="80" t="str">
        <f t="shared" si="37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103" s="77" t="str">
        <f t="shared" si="38"/>
        <v>"C:\Program Files (x86)\AstroGrep\AstroGrep.exe" /e /r /s /spath="%USERPROFILE%\AppData\Local\Temp\OnboardLogs" /stypes="app*4042*20170521*" /stext=" 21:.+((SYSTEM_STATE.+slice.+state.+changed )|(ment ac)|(multiple cpu faults)|(system.+state.+changed )|(\[timeout)|(PRM\|1\|D)|(kpr)|(kdp)|(train st.+moving)|(\|lc)|(penalty))"</v>
      </c>
      <c r="AG103" s="1" t="str">
        <f t="shared" si="39"/>
        <v>EC</v>
      </c>
      <c r="AH103" s="81" t="str">
        <f t="shared" si="40"/>
        <v>"%USERPROFILE%\Documents\GitHub\eaglep3\Utilities\RefineRTDCRunTimes.py" --tripid 191-21 --locoid 4042 --swversion DE.1.0.9.0 --startMP 204:467 --initTime 2017-05-21T14:56:30 --startdatetime 2017-05-21T15:00:15 --delay 2 --endMP 204:233299 --enddatetime 2017-05-21T15:37:22 --enforcementcount 0 &gt;&gt;C:\Users\stu\Documents\GitHub\eaglep3-reporting\EC\2017-05-21-refined-times.txt</v>
      </c>
      <c r="AI103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{"issue":{"subject":"","project_id":79,"tracker_id":40,"status_id":1,"priority_id":2,"assigned_to_id":23,"start_date":"2017-05-21","description":"","custom_fields":[{"id":1,"name":"Subdivision","value":"EC"},{"id":4,"name":"Milepost","value":"23.3299"},{"id":17,"name":"Train ID","value":"191-21"},{"id":16,"name":"Locomotive ID","value":"4042"},{"id":130,"name":"Impact","value":""},{"id":150,"name":"Time of Event (Mountain Time)","value":"15:37:22"},{"id":151,"name":"Denver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2"/>
        <v>start /low /b %USERPROFILE%\Documents\GitHub\eaglep3\Utilities\DownloadLogsFromS3.py --loco 4042 --day 2017-05-21</v>
      </c>
      <c r="AN103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751</v>
      </c>
      <c r="B104" s="7">
        <v>4041</v>
      </c>
      <c r="C104" s="21" t="s">
        <v>206</v>
      </c>
      <c r="D104" s="21" t="s">
        <v>928</v>
      </c>
      <c r="E104" s="13">
        <v>42876.660995370374</v>
      </c>
      <c r="F104" s="13">
        <v>42876.664699074077</v>
      </c>
      <c r="G104" s="7">
        <v>2</v>
      </c>
      <c r="H104" s="21" t="s">
        <v>348</v>
      </c>
      <c r="I104" s="13">
        <v>42876.691423611112</v>
      </c>
      <c r="J104" s="7">
        <v>0</v>
      </c>
      <c r="K104" s="92" t="str">
        <f t="shared" si="26"/>
        <v>4041/4042</v>
      </c>
      <c r="L104" s="21" t="str">
        <f>VLOOKUP(A104,'Trips&amp;Operators'!$C$1:$G$99999,5,FALSE)</f>
        <v>ARVIDSON DANIEL</v>
      </c>
      <c r="M104" s="6">
        <f t="shared" si="27"/>
        <v>2.6724537034169771E-2</v>
      </c>
      <c r="N104" s="7">
        <f t="shared" si="44"/>
        <v>38.48333332920447</v>
      </c>
      <c r="O104" s="7"/>
      <c r="P104" s="7"/>
      <c r="Q104" s="22"/>
      <c r="R104" s="190"/>
      <c r="S104" s="196">
        <f t="shared" si="28"/>
        <v>1</v>
      </c>
      <c r="T104" s="190" t="str">
        <f t="shared" si="29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0"/>
        <v>https://d0f6bd738d7f1b3e5a7ca70fe4ff75f0.us-east-1.aws.found.io/app/kibana#/discover/Steve-Slow-Train-Analysis-(2080s-and-2083s)?_g=(refreshInterval:(display:Off,pause:!f,section:0,value:0),time:(from:'2017-05-21T14:51:50-0600',mode:absolute,to:'2017-05-21T17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192" t="str">
        <f t="shared" si="31"/>
        <v>N</v>
      </c>
      <c r="X104" s="192">
        <f t="shared" si="32"/>
        <v>1</v>
      </c>
      <c r="Y104" s="192">
        <f t="shared" si="33"/>
        <v>23.303599999999999</v>
      </c>
      <c r="Z104" s="192">
        <f t="shared" si="34"/>
        <v>1.38E-2</v>
      </c>
      <c r="AA104" s="192">
        <f t="shared" si="35"/>
        <v>23.2898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6"/>
        <v>0192-21</v>
      </c>
      <c r="AE104" s="80" t="str">
        <f t="shared" si="37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104" s="77" t="str">
        <f t="shared" si="38"/>
        <v>"C:\Program Files (x86)\AstroGrep\AstroGrep.exe" /e /r /s /spath="%USERPROFILE%\AppData\Local\Temp\OnboardLogs" /stypes="app*4041*20170521*" /stext=" 22:.+((SYSTEM_STATE.+slice.+state.+changed )|(ment ac)|(multiple cpu faults)|(system.+state.+changed )|(\[timeout)|(PRM\|1\|D)|(kpr)|(kdp)|(train st.+moving)|(\|lc)|(penalty))"</v>
      </c>
      <c r="AG104" s="1" t="str">
        <f t="shared" si="39"/>
        <v>EC</v>
      </c>
      <c r="AH104" s="81" t="str">
        <f t="shared" si="40"/>
        <v>"%USERPROFILE%\Documents\GitHub\eaglep3\Utilities\RefineRTDCRunTimes.py" --tripid 192-21 --locoid 4041 --swversion DE.1.0.9.0 --startMP 204:233036 --initTime 2017-05-21T15:51:50 --startdatetime 2017-05-21T15:57:10 --delay 2 --endMP 204:138 --enddatetime 2017-05-21T16:35:39 --enforcementcount 0 &gt;&gt;C:\Users\stu\Documents\GitHub\eaglep3-reporting\EC\2017-05-21-refined-times.txt</v>
      </c>
      <c r="AI104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{"issue":{"subject":"","project_id":79,"tracker_id":40,"status_id":1,"priority_id":2,"assigned_to_id":23,"start_date":"2017-05-21","description":"","custom_fields":[{"id":1,"name":"Subdivision","value":"EC"},{"id":4,"name":"Milepost","value":"0.0138"},{"id":17,"name":"Train ID","value":"192-21"},{"id":16,"name":"Locomotive ID","value":"4041"},{"id":130,"name":"Impact","value":""},{"id":150,"name":"Time of Event (Mountain Time)","value":"16:35:39"},{"id":151,"name":"Denver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2"/>
        <v>start /low /b %USERPROFILE%\Documents\GitHub\eaglep3\Utilities\DownloadLogsFromS3.py --loco 4041 --day 2017-05-21</v>
      </c>
      <c r="AN104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747</v>
      </c>
      <c r="B105" s="7">
        <v>4030</v>
      </c>
      <c r="C105" s="21" t="s">
        <v>206</v>
      </c>
      <c r="D105" s="21" t="s">
        <v>839</v>
      </c>
      <c r="E105" s="13">
        <v>42876.630370370367</v>
      </c>
      <c r="F105" s="13">
        <v>42876.635613425926</v>
      </c>
      <c r="G105" s="7">
        <v>1</v>
      </c>
      <c r="H105" s="21" t="s">
        <v>494</v>
      </c>
      <c r="I105" s="13">
        <v>42876.660173611112</v>
      </c>
      <c r="J105" s="7">
        <v>0</v>
      </c>
      <c r="K105" s="92" t="str">
        <f t="shared" si="26"/>
        <v>4029/4030</v>
      </c>
      <c r="L105" s="21" t="str">
        <f>VLOOKUP(A105,'Trips&amp;Operators'!$C$1:$G$99999,5,FALSE)</f>
        <v>BRUDER RICHARD</v>
      </c>
      <c r="M105" s="6">
        <f t="shared" si="27"/>
        <v>2.4560185185691807E-2</v>
      </c>
      <c r="N105" s="7">
        <f t="shared" si="44"/>
        <v>35.366666667396203</v>
      </c>
      <c r="O105" s="7"/>
      <c r="P105" s="7"/>
      <c r="Q105" s="22"/>
      <c r="R105" s="190"/>
      <c r="S105" s="196">
        <f t="shared" si="28"/>
        <v>1</v>
      </c>
      <c r="T105" s="190" t="str">
        <f t="shared" si="29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0"/>
        <v>https://d0f6bd738d7f1b3e5a7ca70fe4ff75f0.us-east-1.aws.found.io/app/kibana#/discover/Steve-Slow-Train-Analysis-(2080s-and-2083s)?_g=(refreshInterval:(display:Off,pause:!f,section:0,value:0),time:(from:'2017-05-21T14:07:44-0600',mode:absolute,to:'2017-05-21T16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5" s="192" t="str">
        <f t="shared" si="31"/>
        <v>N</v>
      </c>
      <c r="X105" s="192">
        <f t="shared" si="32"/>
        <v>1</v>
      </c>
      <c r="Y105" s="192">
        <f t="shared" si="33"/>
        <v>4.6699999999999998E-2</v>
      </c>
      <c r="Z105" s="192">
        <f t="shared" si="34"/>
        <v>23.3306</v>
      </c>
      <c r="AA105" s="192">
        <f t="shared" si="35"/>
        <v>23.283899999999999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6"/>
        <v>0193-21</v>
      </c>
      <c r="AE105" s="80" t="str">
        <f t="shared" si="37"/>
        <v>aws s3 cp s3://rtdc.mdm.uploadarchive.raw/RTDC4030/ "%USERPROFILE%\AppData\Local\Temp\OnboardLogs"\RTDC4030\2017-05-21 --exclude "*" --recursive --include "*20170521*" &amp; "%USERPROFILE%\Documents\GitHub\mrs-test-scripts\Headless Mode &amp; Sideloading\WalkAndUnGZ.bat" "%USERPROFILE%\AppData\Local\Temp\OnboardLogs"\RTDC4030\2017-05-21 &amp; 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</v>
      </c>
      <c r="AF105" s="77" t="str">
        <f t="shared" si="38"/>
        <v>"C:\Program Files (x86)\AstroGrep\AstroGrep.exe" /e /r /s /spath="%USERPROFILE%\AppData\Local\Temp\OnboardLogs" /stypes="app*4030*20170521*" /stext=" 21:.+((SYSTEM_STATE.+slice.+state.+changed )|(ment ac)|(multiple cpu faults)|(system.+state.+changed )|(\[timeout)|(PRM\|1\|D)|(kpr)|(kdp)|(train st.+moving)|(\|lc)|(penalty))"</v>
      </c>
      <c r="AG105" s="1" t="str">
        <f t="shared" si="39"/>
        <v>EC</v>
      </c>
      <c r="AH105" s="81" t="str">
        <f t="shared" si="40"/>
        <v>"%USERPROFILE%\Documents\GitHub\eaglep3\Utilities\RefineRTDCRunTimes.py" --tripid 193-21 --locoid 4030 --swversion DE.1.0.9.0 --startMP 204:467 --initTime 2017-05-21T15:07:44 --startdatetime 2017-05-21T15:15:17 --delay 1 --endMP 204:233306 --enddatetime 2017-05-21T15:50:39 --enforcementcount 0 &gt;&gt;C:\Users\stu\Documents\GitHub\eaglep3-reporting\EC\2017-05-21-refined-times.txt</v>
      </c>
      <c r="AI105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{"issue":{"subject":"","project_id":79,"tracker_id":40,"status_id":1,"priority_id":2,"assigned_to_id":23,"start_date":"2017-05-21","description":"","custom_fields":[{"id":1,"name":"Subdivision","value":"EC"},{"id":4,"name":"Milepost","value":"23.3306"},{"id":17,"name":"Train ID","value":"193-21"},{"id":16,"name":"Locomotive ID","value":"4030"},{"id":130,"name":"Impact","value":""},{"id":150,"name":"Time of Event (Mountain Time)","value":"15:50:39"},{"id":151,"name":"Denver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2"/>
        <v>start /low /b %USERPROFILE%\Documents\GitHub\eaglep3\Utilities\DownloadLogsFromS3.py --loco 4030 --day 2017-05-21</v>
      </c>
      <c r="AN105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754</v>
      </c>
      <c r="B106" s="7">
        <v>4029</v>
      </c>
      <c r="C106" s="21" t="s">
        <v>206</v>
      </c>
      <c r="D106" s="21" t="s">
        <v>550</v>
      </c>
      <c r="E106" s="13">
        <v>42876.670532407406</v>
      </c>
      <c r="F106" s="13">
        <v>42876.675185185188</v>
      </c>
      <c r="G106" s="7">
        <v>1</v>
      </c>
      <c r="H106" s="21" t="s">
        <v>376</v>
      </c>
      <c r="I106" s="13">
        <v>42876.701412037037</v>
      </c>
      <c r="J106" s="7">
        <v>0</v>
      </c>
      <c r="K106" s="92" t="str">
        <f t="shared" si="26"/>
        <v>4029/4030</v>
      </c>
      <c r="L106" s="21" t="str">
        <f>VLOOKUP(A106,'Trips&amp;Operators'!$C$1:$G$99999,5,FALSE)</f>
        <v>BRUDER RICHARD</v>
      </c>
      <c r="M106" s="6">
        <f t="shared" si="27"/>
        <v>2.622685184906004E-2</v>
      </c>
      <c r="N106" s="7">
        <f t="shared" si="44"/>
        <v>37.766666662646458</v>
      </c>
      <c r="O106" s="7"/>
      <c r="P106" s="7"/>
      <c r="Q106" s="22"/>
      <c r="R106" s="190"/>
      <c r="S106" s="196">
        <f t="shared" si="28"/>
        <v>1</v>
      </c>
      <c r="T106" s="190" t="str">
        <f t="shared" si="29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0"/>
        <v>https://d0f6bd738d7f1b3e5a7ca70fe4ff75f0.us-east-1.aws.found.io/app/kibana#/discover/Steve-Slow-Train-Analysis-(2080s-and-2083s)?_g=(refreshInterval:(display:Off,pause:!f,section:0,value:0),time:(from:'2017-05-21T15:05:34-0600',mode:absolute,to:'2017-05-21T17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192" t="str">
        <f t="shared" si="31"/>
        <v>N</v>
      </c>
      <c r="X106" s="192">
        <f t="shared" si="32"/>
        <v>1</v>
      </c>
      <c r="Y106" s="192">
        <f t="shared" si="33"/>
        <v>23.298300000000001</v>
      </c>
      <c r="Z106" s="192">
        <f t="shared" si="34"/>
        <v>1.3599999999999999E-2</v>
      </c>
      <c r="AA106" s="192">
        <f t="shared" si="35"/>
        <v>23.284700000000001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6"/>
        <v>0194-21</v>
      </c>
      <c r="AE106" s="80" t="str">
        <f t="shared" si="37"/>
        <v>aws s3 cp s3://rtdc.mdm.uploadarchive.raw/RTDC4029/ "%USERPROFILE%\AppData\Local\Temp\OnboardLogs"\RTDC4029\2017-05-21 --exclude "*" --recursive --include "*20170521*" &amp; "%USERPROFILE%\Documents\GitHub\mrs-test-scripts\Headless Mode &amp; Sideloading\WalkAndUnGZ.bat" "%USERPROFILE%\AppData\Local\Temp\OnboardLogs"\RTDC4029\2017-05-21 &amp; 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</v>
      </c>
      <c r="AF106" s="77" t="str">
        <f t="shared" si="38"/>
        <v>"C:\Program Files (x86)\AstroGrep\AstroGrep.exe" /e /r /s /spath="%USERPROFILE%\AppData\Local\Temp\OnboardLogs" /stypes="app*4029*20170521*" /stext=" 22:.+((SYSTEM_STATE.+slice.+state.+changed )|(ment ac)|(multiple cpu faults)|(system.+state.+changed )|(\[timeout)|(PRM\|1\|D)|(kpr)|(kdp)|(train st.+moving)|(\|lc)|(penalty))"</v>
      </c>
      <c r="AG106" s="1" t="str">
        <f t="shared" si="39"/>
        <v>EC</v>
      </c>
      <c r="AH106" s="81" t="str">
        <f t="shared" si="40"/>
        <v>"%USERPROFILE%\Documents\GitHub\eaglep3\Utilities\RefineRTDCRunTimes.py" --tripid 194-21 --locoid 4029 --swversion DE.1.0.9.0 --startMP 204:232983 --initTime 2017-05-21T16:05:34 --startdatetime 2017-05-21T16:12:16 --delay 1 --endMP 204:136 --enddatetime 2017-05-21T16:50:02 --enforcementcount 0 &gt;&gt;C:\Users\stu\Documents\GitHub\eaglep3-reporting\EC\2017-05-21-refined-times.txt</v>
      </c>
      <c r="AI106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{"issue":{"subject":"","project_id":79,"tracker_id":40,"status_id":1,"priority_id":2,"assigned_to_id":23,"start_date":"2017-05-21","description":"","custom_fields":[{"id":1,"name":"Subdivision","value":"EC"},{"id":4,"name":"Milepost","value":"0.0136"},{"id":17,"name":"Train ID","value":"194-21"},{"id":16,"name":"Locomotive ID","value":"4029"},{"id":130,"name":"Impact","value":""},{"id":150,"name":"Time of Event (Mountain Time)","value":"16:50:02"},{"id":151,"name":"Denver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2"/>
        <v>start /low /b %USERPROFILE%\Documents\GitHub\eaglep3\Utilities\DownloadLogsFromS3.py --loco 4029 --day 2017-05-21</v>
      </c>
      <c r="AN106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748</v>
      </c>
      <c r="B107" s="7">
        <v>4024</v>
      </c>
      <c r="C107" s="21" t="s">
        <v>206</v>
      </c>
      <c r="D107" s="21" t="s">
        <v>405</v>
      </c>
      <c r="E107" s="13">
        <v>42876.642152777778</v>
      </c>
      <c r="F107" s="13">
        <v>42876.646006944444</v>
      </c>
      <c r="G107" s="7">
        <v>1</v>
      </c>
      <c r="H107" s="21" t="s">
        <v>929</v>
      </c>
      <c r="I107" s="13">
        <v>42876.671018518522</v>
      </c>
      <c r="J107" s="7">
        <v>0</v>
      </c>
      <c r="K107" s="92" t="str">
        <f t="shared" si="26"/>
        <v>4023/4024</v>
      </c>
      <c r="L107" s="21" t="str">
        <f>VLOOKUP(A107,'Trips&amp;Operators'!$C$1:$G$99999,5,FALSE)</f>
        <v>WHITED DUSTIN</v>
      </c>
      <c r="M107" s="6">
        <f t="shared" si="27"/>
        <v>2.5011574078234844E-2</v>
      </c>
      <c r="N107" s="7">
        <f t="shared" si="44"/>
        <v>36.016666672658175</v>
      </c>
      <c r="O107" s="7"/>
      <c r="P107" s="7"/>
      <c r="Q107" s="22"/>
      <c r="R107" s="190"/>
      <c r="S107" s="196">
        <f t="shared" si="28"/>
        <v>1</v>
      </c>
      <c r="T107" s="190" t="str">
        <f t="shared" si="29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0"/>
        <v>https://d0f6bd738d7f1b3e5a7ca70fe4ff75f0.us-east-1.aws.found.io/app/kibana#/discover/Steve-Slow-Train-Analysis-(2080s-and-2083s)?_g=(refreshInterval:(display:Off,pause:!f,section:0,value:0),time:(from:'2017-05-21T14:24:42-0600',mode:absolute,to:'2017-05-21T17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7" s="192" t="str">
        <f t="shared" si="31"/>
        <v>N</v>
      </c>
      <c r="X107" s="192">
        <f t="shared" si="32"/>
        <v>1</v>
      </c>
      <c r="Y107" s="192">
        <f t="shared" si="33"/>
        <v>4.6199999999999998E-2</v>
      </c>
      <c r="Z107" s="192">
        <f t="shared" si="34"/>
        <v>23.334700000000002</v>
      </c>
      <c r="AA107" s="192">
        <f t="shared" si="35"/>
        <v>23.288500000000003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6"/>
        <v>0195-21</v>
      </c>
      <c r="AE107" s="80" t="str">
        <f t="shared" si="37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107" s="77" t="str">
        <f t="shared" si="38"/>
        <v>"C:\Program Files (x86)\AstroGrep\AstroGrep.exe" /e /r /s /spath="%USERPROFILE%\AppData\Local\Temp\OnboardLogs" /stypes="app*4024*20170521*" /stext=" 22:.+((SYSTEM_STATE.+slice.+state.+changed )|(ment ac)|(multiple cpu faults)|(system.+state.+changed )|(\[timeout)|(PRM\|1\|D)|(kpr)|(kdp)|(train st.+moving)|(\|lc)|(penalty))"</v>
      </c>
      <c r="AG107" s="1" t="str">
        <f t="shared" si="39"/>
        <v>EC</v>
      </c>
      <c r="AH107" s="81" t="str">
        <f t="shared" si="40"/>
        <v>"%USERPROFILE%\Documents\GitHub\eaglep3\Utilities\RefineRTDCRunTimes.py" --tripid 195-21 --locoid 4024 --swversion DE.1.0.9.0 --startMP 204:462 --initTime 2017-05-21T15:24:42 --startdatetime 2017-05-21T15:30:15 --delay 1 --endMP 204:233347 --enddatetime 2017-05-21T16:06:16 --enforcementcount 0 &gt;&gt;C:\Users\stu\Documents\GitHub\eaglep3-reporting\EC\2017-05-21-refined-times.txt</v>
      </c>
      <c r="AI107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{"issue":{"subject":"","project_id":79,"tracker_id":40,"status_id":1,"priority_id":2,"assigned_to_id":23,"start_date":"2017-05-21","description":"","custom_fields":[{"id":1,"name":"Subdivision","value":"EC"},{"id":4,"name":"Milepost","value":"23.3347"},{"id":17,"name":"Train ID","value":"195-21"},{"id":16,"name":"Locomotive ID","value":"4024"},{"id":130,"name":"Impact","value":""},{"id":150,"name":"Time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2"/>
        <v>start /low /b %USERPROFILE%\Documents\GitHub\eaglep3\Utilities\DownloadLogsFromS3.py --loco 4024 --day 2017-05-21</v>
      </c>
      <c r="AN107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756</v>
      </c>
      <c r="B108" s="7">
        <v>4023</v>
      </c>
      <c r="C108" s="21" t="s">
        <v>206</v>
      </c>
      <c r="D108" s="21" t="s">
        <v>930</v>
      </c>
      <c r="E108" s="13">
        <v>42876.680983796294</v>
      </c>
      <c r="F108" s="13">
        <v>42876.685613425929</v>
      </c>
      <c r="G108" s="7">
        <v>4</v>
      </c>
      <c r="H108" s="21" t="s">
        <v>418</v>
      </c>
      <c r="I108" s="13">
        <v>42876.711215277777</v>
      </c>
      <c r="J108" s="7">
        <v>0</v>
      </c>
      <c r="K108" s="92" t="str">
        <f t="shared" si="26"/>
        <v>4023/4024</v>
      </c>
      <c r="L108" s="21" t="str">
        <f>VLOOKUP(A108,'Trips&amp;Operators'!$C$1:$G$99999,5,FALSE)</f>
        <v>WHITED DUSTIN</v>
      </c>
      <c r="M108" s="6">
        <f t="shared" si="27"/>
        <v>2.5601851848477963E-2</v>
      </c>
      <c r="N108" s="7">
        <f t="shared" si="44"/>
        <v>36.866666661808267</v>
      </c>
      <c r="O108" s="7"/>
      <c r="P108" s="7"/>
      <c r="Q108" s="22"/>
      <c r="R108" s="190"/>
      <c r="S108" s="196">
        <f t="shared" si="28"/>
        <v>1</v>
      </c>
      <c r="T108" s="190" t="str">
        <f t="shared" si="29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0"/>
        <v>https://d0f6bd738d7f1b3e5a7ca70fe4ff75f0.us-east-1.aws.found.io/app/kibana#/discover/Steve-Slow-Train-Analysis-(2080s-and-2083s)?_g=(refreshInterval:(display:Off,pause:!f,section:0,value:0),time:(from:'2017-05-21T15:20:37-0600',mode:absolute,to:'2017-05-21T18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8" s="192" t="str">
        <f t="shared" si="31"/>
        <v>N</v>
      </c>
      <c r="X108" s="192">
        <f t="shared" si="32"/>
        <v>1</v>
      </c>
      <c r="Y108" s="192">
        <f t="shared" si="33"/>
        <v>23.303000000000001</v>
      </c>
      <c r="Z108" s="192">
        <f t="shared" si="34"/>
        <v>1.54E-2</v>
      </c>
      <c r="AA108" s="192">
        <f t="shared" si="35"/>
        <v>23.287600000000001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6"/>
        <v>0196-21</v>
      </c>
      <c r="AE108" s="80" t="str">
        <f t="shared" si="37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108" s="77" t="str">
        <f t="shared" si="38"/>
        <v>"C:\Program Files (x86)\AstroGrep\AstroGrep.exe" /e /r /s /spath="%USERPROFILE%\AppData\Local\Temp\OnboardLogs" /stypes="app*4023*20170521*" /stext=" 23:.+((SYSTEM_STATE.+slice.+state.+changed )|(ment ac)|(multiple cpu faults)|(system.+state.+changed )|(\[timeout)|(PRM\|1\|D)|(kpr)|(kdp)|(train st.+moving)|(\|lc)|(penalty))"</v>
      </c>
      <c r="AG108" s="1" t="str">
        <f t="shared" si="39"/>
        <v>EC</v>
      </c>
      <c r="AH108" s="81" t="str">
        <f t="shared" si="40"/>
        <v>"%USERPROFILE%\Documents\GitHub\eaglep3\Utilities\RefineRTDCRunTimes.py" --tripid 196-21 --locoid 4023 --swversion DE.1.0.9.0 --startMP 204:233030 --initTime 2017-05-21T16:20:37 --startdatetime 2017-05-21T16:27:17 --delay 4 --endMP 204:154 --enddatetime 2017-05-21T17:04:09 --enforcementcount 0 &gt;&gt;C:\Users\stu\Documents\GitHub\eaglep3-reporting\EC\2017-05-21-refined-times.txt</v>
      </c>
      <c r="AI108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{"issue":{"subject":"","project_id":79,"tracker_id":40,"status_id":1,"priority_id":2,"assigned_to_id":23,"start_date":"2017-05-21","description":"","custom_fields":[{"id":1,"name":"Subdivision","value":"EC"},{"id":4,"name":"Milepost","value":"0.0154"},{"id":17,"name":"Train ID","value":"196-21"},{"id":16,"name":"Locomotive ID","value":"4023"},{"id":130,"name":"Impact","value":""},{"id":150,"name":"Time of Event (Mountain Time)","value":"17:04:09"},{"id":151,"name":"Denver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2"/>
        <v>start /low /b %USERPROFILE%\Documents\GitHub\eaglep3\Utilities\DownloadLogsFromS3.py --loco 4023 --day 2017-05-21</v>
      </c>
      <c r="AN108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603</v>
      </c>
      <c r="B109" s="7">
        <v>4008</v>
      </c>
      <c r="C109" s="21" t="s">
        <v>206</v>
      </c>
      <c r="D109" s="21" t="s">
        <v>425</v>
      </c>
      <c r="E109" s="13">
        <v>42876.650914351849</v>
      </c>
      <c r="F109" s="13">
        <v>42876.656423611108</v>
      </c>
      <c r="G109" s="7">
        <v>1</v>
      </c>
      <c r="H109" s="21" t="s">
        <v>931</v>
      </c>
      <c r="I109" s="13">
        <v>42876.680810185186</v>
      </c>
      <c r="J109" s="7">
        <v>0</v>
      </c>
      <c r="K109" s="92" t="str">
        <f t="shared" si="26"/>
        <v>4007/4008</v>
      </c>
      <c r="L109" s="21" t="str">
        <f>VLOOKUP(A109,'Trips&amp;Operators'!$C$1:$G$99999,5,FALSE)</f>
        <v>ROMERO CHAD</v>
      </c>
      <c r="M109" s="6">
        <f t="shared" si="27"/>
        <v>2.4386574077652767E-2</v>
      </c>
      <c r="N109" s="7">
        <f t="shared" si="44"/>
        <v>35.116666671819985</v>
      </c>
      <c r="O109" s="7"/>
      <c r="P109" s="7"/>
      <c r="Q109" s="22"/>
      <c r="R109" s="190"/>
      <c r="S109" s="196">
        <f t="shared" si="28"/>
        <v>1</v>
      </c>
      <c r="T109" s="190" t="str">
        <f t="shared" si="29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0"/>
        <v>https://d0f6bd738d7f1b3e5a7ca70fe4ff75f0.us-east-1.aws.found.io/app/kibana#/discover/Steve-Slow-Train-Analysis-(2080s-and-2083s)?_g=(refreshInterval:(display:Off,pause:!f,section:0,value:0),time:(from:'2017-05-21T14:37:19-0600',mode:absolute,to:'2017-05-21T17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92" t="str">
        <f t="shared" si="31"/>
        <v>N</v>
      </c>
      <c r="X109" s="192">
        <f t="shared" ref="X109:X140" si="45">VALUE(LEFT(AD109,4))-VALUE(LEFT(AD108,4))</f>
        <v>1</v>
      </c>
      <c r="Y109" s="192">
        <f t="shared" si="33"/>
        <v>4.7300000000000002E-2</v>
      </c>
      <c r="Z109" s="192">
        <f t="shared" si="34"/>
        <v>23.340199999999999</v>
      </c>
      <c r="AA109" s="192">
        <f t="shared" si="35"/>
        <v>23.292899999999999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6"/>
        <v>0197-21</v>
      </c>
      <c r="AE109" s="80" t="str">
        <f t="shared" si="37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109" s="77" t="str">
        <f t="shared" si="38"/>
        <v>"C:\Program Files (x86)\AstroGrep\AstroGrep.exe" /e /r /s /spath="%USERPROFILE%\AppData\Local\Temp\OnboardLogs" /stypes="app*4008*20170521*" /stext=" 22:.+((SYSTEM_STATE.+slice.+state.+changed )|(ment ac)|(multiple cpu faults)|(system.+state.+changed )|(\[timeout)|(PRM\|1\|D)|(kpr)|(kdp)|(train st.+moving)|(\|lc)|(penalty))"</v>
      </c>
      <c r="AG109" s="1" t="str">
        <f t="shared" si="39"/>
        <v>EC</v>
      </c>
      <c r="AH109" s="81" t="str">
        <f t="shared" si="40"/>
        <v>"%USERPROFILE%\Documents\GitHub\eaglep3\Utilities\RefineRTDCRunTimes.py" --tripid 197-21 --locoid 4008 --swversion DE.1.0.9.0 --startMP 204:473 --initTime 2017-05-21T15:37:19 --startdatetime 2017-05-21T15:45:15 --delay 1 --endMP 204:233402 --enddatetime 2017-05-21T16:20:22 --enforcementcount 0 &gt;&gt;C:\Users\stu\Documents\GitHub\eaglep3-reporting\EC\2017-05-21-refined-times.txt</v>
      </c>
      <c r="AI109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{"issue":{"subject":"","project_id":79,"tracker_id":40,"status_id":1,"priority_id":2,"assigned_to_id":23,"start_date":"2017-05-21","description":"","custom_fields":[{"id":1,"name":"Subdivision","value":"EC"},{"id":4,"name":"Milepost","value":"23.3402"},{"id":17,"name":"Train ID","value":"197-21"},{"id":16,"name":"Locomotive ID","value":"4008"},{"id":130,"name":"Impact","value":""},{"id":150,"name":"Time of Event (Mountain Time)","value":"16:20:22"},{"id":151,"name":"Denver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2"/>
        <v>start /low /b %USERPROFILE%\Documents\GitHub\eaglep3\Utilities\DownloadLogsFromS3.py --loco 4008 --day 2017-05-21</v>
      </c>
      <c r="AN109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604</v>
      </c>
      <c r="B110" s="7">
        <v>4007</v>
      </c>
      <c r="C110" s="21" t="s">
        <v>206</v>
      </c>
      <c r="D110" s="21" t="s">
        <v>932</v>
      </c>
      <c r="E110" s="13">
        <v>42876.685891203706</v>
      </c>
      <c r="F110" s="13">
        <v>42876.69604166667</v>
      </c>
      <c r="G110" s="7">
        <v>1</v>
      </c>
      <c r="H110" s="21" t="s">
        <v>369</v>
      </c>
      <c r="I110" s="13">
        <v>42876.721736111111</v>
      </c>
      <c r="J110" s="7">
        <v>0</v>
      </c>
      <c r="K110" s="92" t="str">
        <f t="shared" si="26"/>
        <v>4007/4008</v>
      </c>
      <c r="L110" s="21" t="str">
        <f>VLOOKUP(A110,'Trips&amp;Operators'!$C$1:$G$99999,5,FALSE)</f>
        <v>ROMERO CHAD</v>
      </c>
      <c r="M110" s="6">
        <f t="shared" si="27"/>
        <v>2.569444444088731E-2</v>
      </c>
      <c r="N110" s="7">
        <f t="shared" si="44"/>
        <v>36.999999994877726</v>
      </c>
      <c r="O110" s="7"/>
      <c r="P110" s="7"/>
      <c r="Q110" s="22"/>
      <c r="R110" s="190"/>
      <c r="S110" s="196">
        <f t="shared" si="28"/>
        <v>1</v>
      </c>
      <c r="T110" s="190" t="str">
        <f t="shared" si="29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0"/>
        <v>https://d0f6bd738d7f1b3e5a7ca70fe4ff75f0.us-east-1.aws.found.io/app/kibana#/discover/Steve-Slow-Train-Analysis-(2080s-and-2083s)?_g=(refreshInterval:(display:Off,pause:!f,section:0,value:0),time:(from:'2017-05-21T15:27:41-0600',mode:absolute,to:'2017-05-21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92" t="str">
        <f t="shared" si="31"/>
        <v>N</v>
      </c>
      <c r="X110" s="192">
        <f t="shared" si="45"/>
        <v>1</v>
      </c>
      <c r="Y110" s="192">
        <f t="shared" si="33"/>
        <v>23.310600000000001</v>
      </c>
      <c r="Z110" s="192">
        <f t="shared" si="34"/>
        <v>1.47E-2</v>
      </c>
      <c r="AA110" s="192">
        <f t="shared" si="35"/>
        <v>23.2959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6"/>
        <v>0198-21</v>
      </c>
      <c r="AE110" s="80" t="str">
        <f t="shared" si="37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110" s="77" t="str">
        <f t="shared" si="38"/>
        <v>"C:\Program Files (x86)\AstroGrep\AstroGrep.exe" /e /r /s /spath="%USERPROFILE%\AppData\Local\Temp\OnboardLogs" /stypes="app*4007*20170521*" /stext=" 23:.+((SYSTEM_STATE.+slice.+state.+changed )|(ment ac)|(multiple cpu faults)|(system.+state.+changed )|(\[timeout)|(PRM\|1\|D)|(kpr)|(kdp)|(train st.+moving)|(\|lc)|(penalty))"</v>
      </c>
      <c r="AG110" s="1" t="str">
        <f t="shared" si="39"/>
        <v>EC</v>
      </c>
      <c r="AH110" s="81" t="str">
        <f t="shared" si="40"/>
        <v>"%USERPROFILE%\Documents\GitHub\eaglep3\Utilities\RefineRTDCRunTimes.py" --tripid 198-21 --locoid 4007 --swversion DE.1.0.9.0 --startMP 204:233106 --initTime 2017-05-21T16:27:41 --startdatetime 2017-05-21T16:42:18 --delay 1 --endMP 204:147 --enddatetime 2017-05-21T17:19:18 --enforcementcount 0 &gt;&gt;C:\Users\stu\Documents\GitHub\eaglep3-reporting\EC\2017-05-21-refined-times.txt</v>
      </c>
      <c r="AI110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{"issue":{"subject":"","project_id":79,"tracker_id":40,"status_id":1,"priority_id":2,"assigned_to_id":23,"start_date":"2017-05-21","description":"","custom_fields":[{"id":1,"name":"Subdivision","value":"EC"},{"id":4,"name":"Milepost","value":"0.0147"},{"id":17,"name":"Train ID","value":"198-21"},{"id":16,"name":"Locomotive ID","value":"4007"},{"id":130,"name":"Impact","value":""},{"id":150,"name":"Time of Event (Mountain Time)","value":"17:19:18"},{"id":151,"name":"Denver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2"/>
        <v>start /low /b %USERPROFILE%\Documents\GitHub\eaglep3\Utilities\DownloadLogsFromS3.py --loco 4007 --day 2017-05-21</v>
      </c>
      <c r="AN110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752</v>
      </c>
      <c r="B111" s="7">
        <v>4002</v>
      </c>
      <c r="C111" s="21" t="s">
        <v>206</v>
      </c>
      <c r="D111" s="21" t="s">
        <v>466</v>
      </c>
      <c r="E111" s="13">
        <v>42876.662893518522</v>
      </c>
      <c r="F111" s="13">
        <v>42876.66684027778</v>
      </c>
      <c r="G111" s="7">
        <v>1</v>
      </c>
      <c r="H111" s="21" t="s">
        <v>546</v>
      </c>
      <c r="I111" s="13">
        <v>42876.693831018521</v>
      </c>
      <c r="J111" s="7">
        <v>0</v>
      </c>
      <c r="K111" s="92" t="str">
        <f t="shared" si="26"/>
        <v>4001/4002</v>
      </c>
      <c r="L111" s="21" t="str">
        <f>VLOOKUP(A111,'Trips&amp;Operators'!$C$1:$G$99999,5,FALSE)</f>
        <v>CLARK KATHLEEN</v>
      </c>
      <c r="M111" s="6">
        <f t="shared" si="27"/>
        <v>2.6990740741894115E-2</v>
      </c>
      <c r="N111" s="7">
        <f t="shared" si="44"/>
        <v>38.866666668327525</v>
      </c>
      <c r="O111" s="7"/>
      <c r="P111" s="7"/>
      <c r="Q111" s="22"/>
      <c r="R111" s="190"/>
      <c r="S111" s="196">
        <f t="shared" si="28"/>
        <v>1</v>
      </c>
      <c r="T111" s="190" t="str">
        <f t="shared" si="29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0"/>
        <v>https://d0f6bd738d7f1b3e5a7ca70fe4ff75f0.us-east-1.aws.found.io/app/kibana#/discover/Steve-Slow-Train-Analysis-(2080s-and-2083s)?_g=(refreshInterval:(display:Off,pause:!f,section:0,value:0),time:(from:'2017-05-21T14:54:34-0600',mode:absolute,to:'2017-05-21T17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192" t="str">
        <f t="shared" si="31"/>
        <v>N</v>
      </c>
      <c r="X111" s="192">
        <f t="shared" si="45"/>
        <v>1</v>
      </c>
      <c r="Y111" s="192">
        <f t="shared" si="33"/>
        <v>4.7100000000000003E-2</v>
      </c>
      <c r="Z111" s="192">
        <f t="shared" si="34"/>
        <v>23.328800000000001</v>
      </c>
      <c r="AA111" s="192">
        <f t="shared" si="35"/>
        <v>23.281700000000001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6"/>
        <v>0199-21</v>
      </c>
      <c r="AE111" s="80" t="str">
        <f t="shared" si="37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111" s="77" t="str">
        <f t="shared" si="38"/>
        <v>"C:\Program Files (x86)\AstroGrep\AstroGrep.exe" /e /r /s /spath="%USERPROFILE%\AppData\Local\Temp\OnboardLogs" /stypes="app*4002*20170521*" /stext=" 22:.+((SYSTEM_STATE.+slice.+state.+changed )|(ment ac)|(multiple cpu faults)|(system.+state.+changed )|(\[timeout)|(PRM\|1\|D)|(kpr)|(kdp)|(train st.+moving)|(\|lc)|(penalty))"</v>
      </c>
      <c r="AG111" s="1" t="str">
        <f t="shared" si="39"/>
        <v>EC</v>
      </c>
      <c r="AH111" s="81" t="str">
        <f t="shared" si="40"/>
        <v>"%USERPROFILE%\Documents\GitHub\eaglep3\Utilities\RefineRTDCRunTimes.py" --tripid 199-21 --locoid 4002 --swversion DE.1.0.9.0 --startMP 204:471 --initTime 2017-05-21T15:54:34 --startdatetime 2017-05-21T16:00:15 --delay 1 --endMP 204:233288 --enddatetime 2017-05-21T16:39:07 --enforcementcount 0 &gt;&gt;C:\Users\stu\Documents\GitHub\eaglep3-reporting\EC\2017-05-21-refined-times.txt</v>
      </c>
      <c r="AI111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{"issue":{"subject":"","project_id":79,"tracker_id":40,"status_id":1,"priority_id":2,"assigned_to_id":23,"start_date":"2017-05-21","description":"","custom_fields":[{"id":1,"name":"Subdivision","value":"EC"},{"id":4,"name":"Milepost","value":"23.3288"},{"id":17,"name":"Train ID","value":"199-21"},{"id":16,"name":"Locomotive ID","value":"4002"},{"id":130,"name":"Impact","value":""},{"id":150,"name":"Time of Event (Mountain Time)","value":"16:39:07"},{"id":151,"name":"Denver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2"/>
        <v>start /low /b %USERPROFILE%\Documents\GitHub\eaglep3\Utilities\DownloadLogsFromS3.py --loco 4002 --day 2017-05-21</v>
      </c>
      <c r="AN111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761</v>
      </c>
      <c r="B112" s="7">
        <v>4001</v>
      </c>
      <c r="C112" s="21" t="s">
        <v>206</v>
      </c>
      <c r="D112" s="21" t="s">
        <v>498</v>
      </c>
      <c r="E112" s="13">
        <v>42876.703298611108</v>
      </c>
      <c r="F112" s="13">
        <v>42876.706423611111</v>
      </c>
      <c r="G112" s="7">
        <v>0</v>
      </c>
      <c r="H112" s="21" t="s">
        <v>418</v>
      </c>
      <c r="I112" s="13">
        <v>42876.733935185184</v>
      </c>
      <c r="J112" s="7">
        <v>0</v>
      </c>
      <c r="K112" s="92" t="str">
        <f t="shared" si="26"/>
        <v>4001/4002</v>
      </c>
      <c r="L112" s="21" t="str">
        <f>VLOOKUP(A112,'Trips&amp;Operators'!$C$1:$G$99999,5,FALSE)</f>
        <v>CLARK KATHLEEN</v>
      </c>
      <c r="M112" s="6">
        <f t="shared" si="27"/>
        <v>2.7511574073287193E-2</v>
      </c>
      <c r="N112" s="7">
        <f t="shared" si="44"/>
        <v>39.616666665533558</v>
      </c>
      <c r="O112" s="7"/>
      <c r="P112" s="7"/>
      <c r="Q112" s="22"/>
      <c r="R112" s="190"/>
      <c r="S112" s="196">
        <f t="shared" si="28"/>
        <v>1</v>
      </c>
      <c r="T112" s="190" t="str">
        <f t="shared" si="29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0"/>
        <v>https://d0f6bd738d7f1b3e5a7ca70fe4ff75f0.us-east-1.aws.found.io/app/kibana#/discover/Steve-Slow-Train-Analysis-(2080s-and-2083s)?_g=(refreshInterval:(display:Off,pause:!f,section:0,value:0),time:(from:'2017-05-21T15:52:45-0600',mode:absolute,to:'2017-05-21T18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192" t="str">
        <f t="shared" si="31"/>
        <v>N</v>
      </c>
      <c r="X112" s="192">
        <f t="shared" si="45"/>
        <v>1</v>
      </c>
      <c r="Y112" s="192">
        <f t="shared" si="33"/>
        <v>23.296500000000002</v>
      </c>
      <c r="Z112" s="192">
        <f t="shared" si="34"/>
        <v>1.54E-2</v>
      </c>
      <c r="AA112" s="192">
        <f t="shared" si="35"/>
        <v>23.281100000000002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6"/>
        <v>0200-21</v>
      </c>
      <c r="AE112" s="80" t="str">
        <f t="shared" si="37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112" s="77" t="str">
        <f t="shared" si="38"/>
        <v>"C:\Program Files (x86)\AstroGrep\AstroGrep.exe" /e /r /s /spath="%USERPROFILE%\AppData\Local\Temp\OnboardLogs" /stypes="app*4001*20170521*" /stext=" 23:.+((SYSTEM_STATE.+slice.+state.+changed )|(ment ac)|(multiple cpu faults)|(system.+state.+changed )|(\[timeout)|(PRM\|1\|D)|(kpr)|(kdp)|(train st.+moving)|(\|lc)|(penalty))"</v>
      </c>
      <c r="AG112" s="1" t="str">
        <f t="shared" si="39"/>
        <v>EC</v>
      </c>
      <c r="AH112" s="81" t="str">
        <f t="shared" si="40"/>
        <v>"%USERPROFILE%\Documents\GitHub\eaglep3\Utilities\RefineRTDCRunTimes.py" --tripid 200-21 --locoid 4001 --swversion DE.1.0.9.0 --startMP 204:232965 --initTime 2017-05-21T16:52:45 --startdatetime 2017-05-21T16:57:15 --delay 0 --endMP 204:154 --enddatetime 2017-05-21T17:36:52 --enforcementcount 0 &gt;&gt;C:\Users\stu\Documents\GitHub\eaglep3-reporting\EC\2017-05-21-refined-times.txt</v>
      </c>
      <c r="AI112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{"issue":{"subject":"","project_id":79,"tracker_id":40,"status_id":1,"priority_id":2,"assigned_to_id":23,"start_date":"2017-05-21","description":"","custom_fields":[{"id":1,"name":"Subdivision","value":"EC"},{"id":4,"name":"Milepost","value":"0.0154"},{"id":17,"name":"Train ID","value":"200-21"},{"id":16,"name":"Locomotive ID","value":"4001"},{"id":130,"name":"Impact","value":""},{"id":150,"name":"Time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2"/>
        <v>start /low /b %USERPROFILE%\Documents\GitHub\eaglep3\Utilities\DownloadLogsFromS3.py --loco 4001 --day 2017-05-21</v>
      </c>
      <c r="AN112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755</v>
      </c>
      <c r="B113" s="7">
        <v>4010</v>
      </c>
      <c r="C113" s="21" t="s">
        <v>206</v>
      </c>
      <c r="D113" s="21" t="s">
        <v>933</v>
      </c>
      <c r="E113" s="13">
        <v>42876.672546296293</v>
      </c>
      <c r="F113" s="13">
        <v>42876.677268518521</v>
      </c>
      <c r="G113" s="7">
        <v>1</v>
      </c>
      <c r="H113" s="21" t="s">
        <v>833</v>
      </c>
      <c r="I113" s="13">
        <v>42876.702743055554</v>
      </c>
      <c r="J113" s="7">
        <v>0</v>
      </c>
      <c r="K113" s="92" t="str">
        <f t="shared" si="26"/>
        <v>4009/4010</v>
      </c>
      <c r="L113" s="21" t="str">
        <f>VLOOKUP(A113,'Trips&amp;Operators'!$C$1:$G$99999,5,FALSE)</f>
        <v>MCREYNOLDS KYLE</v>
      </c>
      <c r="M113" s="6">
        <f t="shared" si="27"/>
        <v>2.5474537033005618E-2</v>
      </c>
      <c r="N113" s="7">
        <f t="shared" si="44"/>
        <v>36.683333327528089</v>
      </c>
      <c r="O113" s="7"/>
      <c r="P113" s="7"/>
      <c r="Q113" s="22"/>
      <c r="R113" s="190"/>
      <c r="S113" s="196">
        <f t="shared" si="28"/>
        <v>1</v>
      </c>
      <c r="T113" s="190" t="str">
        <f t="shared" si="29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0"/>
        <v>https://d0f6bd738d7f1b3e5a7ca70fe4ff75f0.us-east-1.aws.found.io/app/kibana#/discover/Steve-Slow-Train-Analysis-(2080s-and-2083s)?_g=(refreshInterval:(display:Off,pause:!f,section:0,value:0),time:(from:'2017-05-21T15:08:28-0600',mode:absolute,to:'2017-05-21T17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3" s="192" t="str">
        <f t="shared" si="31"/>
        <v>N</v>
      </c>
      <c r="X113" s="192">
        <f t="shared" si="45"/>
        <v>1</v>
      </c>
      <c r="Y113" s="192">
        <f t="shared" si="33"/>
        <v>5.3999999999999999E-2</v>
      </c>
      <c r="Z113" s="192">
        <f t="shared" si="34"/>
        <v>23.3308</v>
      </c>
      <c r="AA113" s="192">
        <f t="shared" si="35"/>
        <v>23.276800000000001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6"/>
        <v>0201-21</v>
      </c>
      <c r="AE113" s="80" t="str">
        <f t="shared" si="37"/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AF113" s="77" t="str">
        <f t="shared" si="38"/>
        <v>"C:\Program Files (x86)\AstroGrep\AstroGrep.exe" /e /r /s /spath="%USERPROFILE%\AppData\Local\Temp\OnboardLogs" /stypes="app*4010*20170521*" /stext=" 22:.+((SYSTEM_STATE.+slice.+state.+changed )|(ment ac)|(multiple cpu faults)|(system.+state.+changed )|(\[timeout)|(PRM\|1\|D)|(kpr)|(kdp)|(train st.+moving)|(\|lc)|(penalty))"</v>
      </c>
      <c r="AG113" s="1" t="str">
        <f t="shared" si="39"/>
        <v>EC</v>
      </c>
      <c r="AH113" s="81" t="str">
        <f t="shared" si="40"/>
        <v>"%USERPROFILE%\Documents\GitHub\eaglep3\Utilities\RefineRTDCRunTimes.py" --tripid 201-21 --locoid 4010 --swversion DE.1.0.9.0 --startMP 204:540 --initTime 2017-05-21T16:08:28 --startdatetime 2017-05-21T16:15:16 --delay 1 --endMP 204:233308 --enddatetime 2017-05-21T16:51:57 --enforcementcount 0 &gt;&gt;C:\Users\stu\Documents\GitHub\eaglep3-reporting\EC\2017-05-21-refined-times.txt</v>
      </c>
      <c r="AI113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{"issue":{"subject":"","project_id":79,"tracker_id":40,"status_id":1,"priority_id":2,"assigned_to_id":23,"start_date":"2017-05-21","description":"","custom_fields":[{"id":1,"name":"Subdivision","value":"EC"},{"id":4,"name":"Milepost","value":"23.3308"},{"id":17,"name":"Train ID","value":"201-21"},{"id":16,"name":"Locomotive ID","value":"4010"},{"id":130,"name":"Impact","value":""},{"id":150,"name":"Time of Event (Mountain Time)","value":"16:51:57"},{"id":151,"name":"Denver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2"/>
        <v>start /low /b %USERPROFILE%\Documents\GitHub\eaglep3\Utilities\DownloadLogsFromS3.py --loco 4010 --day 2017-05-21</v>
      </c>
      <c r="AN113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762</v>
      </c>
      <c r="B114" s="7">
        <v>4009</v>
      </c>
      <c r="C114" s="21" t="s">
        <v>206</v>
      </c>
      <c r="D114" s="21" t="s">
        <v>550</v>
      </c>
      <c r="E114" s="13">
        <v>42876.708113425928</v>
      </c>
      <c r="F114" s="13">
        <v>42876.716932870368</v>
      </c>
      <c r="G114" s="7">
        <v>1</v>
      </c>
      <c r="H114" s="21" t="s">
        <v>197</v>
      </c>
      <c r="I114" s="13">
        <v>42876.742905092593</v>
      </c>
      <c r="J114" s="7">
        <v>0</v>
      </c>
      <c r="K114" s="92" t="str">
        <f t="shared" si="26"/>
        <v>4009/4010</v>
      </c>
      <c r="L114" s="21" t="str">
        <f>VLOOKUP(A114,'Trips&amp;Operators'!$C$1:$G$99999,5,FALSE)</f>
        <v>MCREYNOLDS KYLE</v>
      </c>
      <c r="M114" s="6">
        <f t="shared" si="27"/>
        <v>2.5972222225391306E-2</v>
      </c>
      <c r="N114" s="7">
        <f t="shared" si="44"/>
        <v>37.400000004563481</v>
      </c>
      <c r="O114" s="7"/>
      <c r="P114" s="7"/>
      <c r="Q114" s="22"/>
      <c r="R114" s="190"/>
      <c r="S114" s="196">
        <f t="shared" si="28"/>
        <v>1</v>
      </c>
      <c r="T114" s="190" t="str">
        <f t="shared" si="29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0"/>
        <v>https://d0f6bd738d7f1b3e5a7ca70fe4ff75f0.us-east-1.aws.found.io/app/kibana#/discover/Steve-Slow-Train-Analysis-(2080s-and-2083s)?_g=(refreshInterval:(display:Off,pause:!f,section:0,value:0),time:(from:'2017-05-21T15:59:41-0600',mode:absolute,to:'2017-05-21T18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4" s="192" t="str">
        <f t="shared" si="31"/>
        <v>N</v>
      </c>
      <c r="X114" s="192">
        <f t="shared" si="45"/>
        <v>1</v>
      </c>
      <c r="Y114" s="192">
        <f t="shared" si="33"/>
        <v>23.298300000000001</v>
      </c>
      <c r="Z114" s="192">
        <f t="shared" si="34"/>
        <v>1.52E-2</v>
      </c>
      <c r="AA114" s="192">
        <f t="shared" si="35"/>
        <v>23.283100000000001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6"/>
        <v>0202-21</v>
      </c>
      <c r="AE114" s="80" t="str">
        <f t="shared" si="37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114" s="77" t="str">
        <f t="shared" si="38"/>
        <v>"C:\Program Files (x86)\AstroGrep\AstroGrep.exe" /e /r /s /spath="%USERPROFILE%\AppData\Local\Temp\OnboardLogs" /stypes="app*4009*20170521*" /stext=" 23:.+((SYSTEM_STATE.+slice.+state.+changed )|(ment ac)|(multiple cpu faults)|(system.+state.+changed )|(\[timeout)|(PRM\|1\|D)|(kpr)|(kdp)|(train st.+moving)|(\|lc)|(penalty))"</v>
      </c>
      <c r="AG114" s="1" t="str">
        <f t="shared" si="39"/>
        <v>EC</v>
      </c>
      <c r="AH114" s="81" t="str">
        <f t="shared" si="40"/>
        <v>"%USERPROFILE%\Documents\GitHub\eaglep3\Utilities\RefineRTDCRunTimes.py" --tripid 202-21 --locoid 4009 --swversion DE.1.0.9.0 --startMP 204:232983 --initTime 2017-05-21T16:59:41 --startdatetime 2017-05-21T17:12:23 --delay 1 --endMP 204:152 --enddatetime 2017-05-21T17:49:47 --enforcementcount 0 &gt;&gt;C:\Users\stu\Documents\GitHub\eaglep3-reporting\EC\2017-05-21-refined-times.txt</v>
      </c>
      <c r="AI114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{"issue":{"subject":"","project_id":79,"tracker_id":40,"status_id":1,"priority_id":2,"assigned_to_id":23,"start_date":"2017-05-21","description":"","custom_fields":[{"id":1,"name":"Subdivision","value":"EC"},{"id":4,"name":"Milepost","value":"0.0152"},{"id":17,"name":"Train ID","value":"202-21"},{"id":16,"name":"Locomotive ID","value":"4009"},{"id":130,"name":"Impact","value":""},{"id":150,"name":"Time of Event (Mountain Time)","value":"17:49:47"},{"id":151,"name":"Denver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2"/>
        <v>start /low /b %USERPROFILE%\Documents\GitHub\eaglep3\Utilities\DownloadLogsFromS3.py --loco 4009 --day 2017-05-21</v>
      </c>
      <c r="AN114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757</v>
      </c>
      <c r="B115" s="7">
        <v>4040</v>
      </c>
      <c r="C115" s="21" t="s">
        <v>206</v>
      </c>
      <c r="D115" s="21" t="s">
        <v>363</v>
      </c>
      <c r="E115" s="13">
        <v>42876.685196759259</v>
      </c>
      <c r="F115" s="13">
        <v>42876.687754629631</v>
      </c>
      <c r="G115" s="7">
        <v>1</v>
      </c>
      <c r="H115" s="21" t="s">
        <v>934</v>
      </c>
      <c r="I115" s="13">
        <v>42876.71435185185</v>
      </c>
      <c r="J115" s="7">
        <v>0</v>
      </c>
      <c r="K115" s="92" t="str">
        <f t="shared" si="26"/>
        <v>4039/4040</v>
      </c>
      <c r="L115" s="21" t="str">
        <f>VLOOKUP(A115,'Trips&amp;Operators'!$C$1:$G$99999,5,FALSE)</f>
        <v>DAVIS MICHAEL</v>
      </c>
      <c r="M115" s="6">
        <f t="shared" si="27"/>
        <v>2.6597222218697425E-2</v>
      </c>
      <c r="N115" s="7">
        <f t="shared" ref="N115:N126" si="46">24*60*SUM($M115:$M115)</f>
        <v>38.299999994924292</v>
      </c>
      <c r="O115" s="7"/>
      <c r="P115" s="7"/>
      <c r="Q115" s="22"/>
      <c r="R115" s="190"/>
      <c r="S115" s="196">
        <f t="shared" si="28"/>
        <v>1</v>
      </c>
      <c r="T115" s="190" t="str">
        <f t="shared" si="29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0"/>
        <v>https://d0f6bd738d7f1b3e5a7ca70fe4ff75f0.us-east-1.aws.found.io/app/kibana#/discover/Steve-Slow-Train-Analysis-(2080s-and-2083s)?_g=(refreshInterval:(display:Off,pause:!f,section:0,value:0),time:(from:'2017-05-21T15:26:41-0600',mode:absolute,to:'2017-05-21T18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192" t="str">
        <f t="shared" si="31"/>
        <v>N</v>
      </c>
      <c r="X115" s="192">
        <f t="shared" si="45"/>
        <v>1</v>
      </c>
      <c r="Y115" s="192">
        <f t="shared" si="33"/>
        <v>4.53E-2</v>
      </c>
      <c r="Z115" s="192">
        <f t="shared" si="34"/>
        <v>23.3339</v>
      </c>
      <c r="AA115" s="192">
        <f t="shared" si="35"/>
        <v>23.288599999999999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6"/>
        <v>0203-21</v>
      </c>
      <c r="AE115" s="80" t="str">
        <f t="shared" si="37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115" s="77" t="str">
        <f t="shared" si="38"/>
        <v>"C:\Program Files (x86)\AstroGrep\AstroGrep.exe" /e /r /s /spath="%USERPROFILE%\AppData\Local\Temp\OnboardLogs" /stypes="app*4040*20170521*" /stext=" 23:.+((SYSTEM_STATE.+slice.+state.+changed )|(ment ac)|(multiple cpu faults)|(system.+state.+changed )|(\[timeout)|(PRM\|1\|D)|(kpr)|(kdp)|(train st.+moving)|(\|lc)|(penalty))"</v>
      </c>
      <c r="AG115" s="1" t="str">
        <f t="shared" si="39"/>
        <v>EC</v>
      </c>
      <c r="AH115" s="81" t="str">
        <f t="shared" si="40"/>
        <v>"%USERPROFILE%\Documents\GitHub\eaglep3\Utilities\RefineRTDCRunTimes.py" --tripid 203-21 --locoid 4040 --swversion DE.1.0.9.0 --startMP 204:453 --initTime 2017-05-21T16:26:41 --startdatetime 2017-05-21T16:30:22 --delay 1 --endMP 204:233339 --enddatetime 2017-05-21T17:08:40 --enforcementcount 0 &gt;&gt;C:\Users\stu\Documents\GitHub\eaglep3-reporting\EC\2017-05-21-refined-times.txt</v>
      </c>
      <c r="AI115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{"issue":{"subject":"","project_id":79,"tracker_id":40,"status_id":1,"priority_id":2,"assigned_to_id":23,"start_date":"2017-05-21","description":"","custom_fields":[{"id":1,"name":"Subdivision","value":"EC"},{"id":4,"name":"Milepost","value":"23.3339"},{"id":17,"name":"Train ID","value":"203-21"},{"id":16,"name":"Locomotive ID","value":"4040"},{"id":130,"name":"Impact","value":""},{"id":150,"name":"Time of Event (Mountain Time)","value":"17:08:40"},{"id":151,"name":"Denver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2"/>
        <v>start /low /b %USERPROFILE%\Documents\GitHub\eaglep3\Utilities\DownloadLogsFromS3.py --loco 4040 --day 2017-05-21</v>
      </c>
      <c r="AN115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768</v>
      </c>
      <c r="B116" s="7">
        <v>4039</v>
      </c>
      <c r="C116" s="21" t="s">
        <v>206</v>
      </c>
      <c r="D116" s="21" t="s">
        <v>935</v>
      </c>
      <c r="E116" s="13">
        <v>42876.725416666668</v>
      </c>
      <c r="F116" s="13">
        <v>42876.727395833332</v>
      </c>
      <c r="G116" s="7">
        <v>0</v>
      </c>
      <c r="H116" s="21" t="s">
        <v>348</v>
      </c>
      <c r="I116" s="13">
        <v>42876.755104166667</v>
      </c>
      <c r="J116" s="7">
        <v>0</v>
      </c>
      <c r="K116" s="92" t="str">
        <f t="shared" si="26"/>
        <v>4039/4040</v>
      </c>
      <c r="L116" s="21" t="str">
        <f>VLOOKUP(A116,'Trips&amp;Operators'!$C$1:$G$99999,5,FALSE)</f>
        <v>DAVIS MICHAEL</v>
      </c>
      <c r="M116" s="6">
        <f t="shared" si="27"/>
        <v>2.7708333334885538E-2</v>
      </c>
      <c r="N116" s="7">
        <f t="shared" si="46"/>
        <v>39.900000002235174</v>
      </c>
      <c r="O116" s="7"/>
      <c r="P116" s="7"/>
      <c r="Q116" s="22"/>
      <c r="R116" s="190"/>
      <c r="S116" s="196">
        <f t="shared" si="28"/>
        <v>1</v>
      </c>
      <c r="T116" s="190" t="str">
        <f t="shared" si="29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0"/>
        <v>https://d0f6bd738d7f1b3e5a7ca70fe4ff75f0.us-east-1.aws.found.io/app/kibana#/discover/Steve-Slow-Train-Analysis-(2080s-and-2083s)?_g=(refreshInterval:(display:Off,pause:!f,section:0,value:0),time:(from:'2017-05-21T16:24:36-0600',mode:absolute,to:'2017-05-21T19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192" t="str">
        <f t="shared" si="31"/>
        <v>N</v>
      </c>
      <c r="X116" s="192">
        <f t="shared" si="45"/>
        <v>1</v>
      </c>
      <c r="Y116" s="192">
        <f t="shared" si="33"/>
        <v>23.3005</v>
      </c>
      <c r="Z116" s="192">
        <f t="shared" si="34"/>
        <v>1.38E-2</v>
      </c>
      <c r="AA116" s="192">
        <f t="shared" si="35"/>
        <v>23.2867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6"/>
        <v>0204-21</v>
      </c>
      <c r="AE116" s="80" t="str">
        <f t="shared" si="37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116" s="77" t="str">
        <f t="shared" si="38"/>
        <v>"C:\Program Files (x86)\AstroGrep\AstroGrep.exe" /e /r /s /spath="%USERPROFILE%\AppData\Local\Temp\OnboardLogs" /stypes="app*4039*20170522*" /stext=" 00:.+((SYSTEM_STATE.+slice.+state.+changed )|(ment ac)|(multiple cpu faults)|(system.+state.+changed )|(\[timeout)|(PRM\|1\|D)|(kpr)|(kdp)|(train st.+moving)|(\|lc)|(penalty))"</v>
      </c>
      <c r="AG116" s="1" t="str">
        <f t="shared" si="39"/>
        <v>EC</v>
      </c>
      <c r="AH116" s="81" t="str">
        <f t="shared" si="40"/>
        <v>"%USERPROFILE%\Documents\GitHub\eaglep3\Utilities\RefineRTDCRunTimes.py" --tripid 204-21 --locoid 4039 --swversion DE.1.0.9.0 --startMP 204:233005 --initTime 2017-05-21T17:24:36 --startdatetime 2017-05-21T17:27:27 --delay 0 --endMP 204:138 --enddatetime 2017-05-21T18:07:21 --enforcementcount 0 &gt;&gt;C:\Users\stu\Documents\GitHub\eaglep3-reporting\EC\2017-05-21-refined-times.txt</v>
      </c>
      <c r="AI116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{"issue":{"subject":"","project_id":79,"tracker_id":40,"status_id":1,"priority_id":2,"assigned_to_id":23,"start_date":"2017-05-21","description":"","custom_fields":[{"id":1,"name":"Subdivision","value":"EC"},{"id":4,"name":"Milepost","value":"0.0138"},{"id":17,"name":"Train ID","value":"204-21"},{"id":16,"name":"Locomotive ID","value":"4039"},{"id":130,"name":"Impact","value":""},{"id":150,"name":"Time of Event (Mountain Time)","value":"18:07:21"},{"id":151,"name":"Denver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2"/>
        <v>start /low /b %USERPROFILE%\Documents\GitHub\eaglep3\Utilities\DownloadLogsFromS3.py --loco 4039 --day 2017-05-21</v>
      </c>
      <c r="AN116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759</v>
      </c>
      <c r="B117" s="7">
        <v>4042</v>
      </c>
      <c r="C117" s="21" t="s">
        <v>206</v>
      </c>
      <c r="D117" s="21" t="s">
        <v>352</v>
      </c>
      <c r="E117" s="13">
        <v>42876.695567129631</v>
      </c>
      <c r="F117" s="13">
        <v>42876.698159722226</v>
      </c>
      <c r="G117" s="7">
        <v>1</v>
      </c>
      <c r="H117" s="21" t="s">
        <v>923</v>
      </c>
      <c r="I117" s="13">
        <v>42876.723425925928</v>
      </c>
      <c r="J117" s="7">
        <v>0</v>
      </c>
      <c r="K117" s="92" t="str">
        <f t="shared" si="26"/>
        <v>4041/4042</v>
      </c>
      <c r="L117" s="21" t="str">
        <f>VLOOKUP(A117,'Trips&amp;Operators'!$C$1:$G$99999,5,FALSE)</f>
        <v>ARVIDSON DANIEL</v>
      </c>
      <c r="M117" s="6">
        <f t="shared" si="27"/>
        <v>2.5266203701903578E-2</v>
      </c>
      <c r="N117" s="7">
        <f t="shared" si="46"/>
        <v>36.383333330741152</v>
      </c>
      <c r="O117" s="7"/>
      <c r="P117" s="7"/>
      <c r="Q117" s="22"/>
      <c r="R117" s="190"/>
      <c r="S117" s="196">
        <f t="shared" si="28"/>
        <v>1</v>
      </c>
      <c r="T117" s="190" t="str">
        <f t="shared" si="29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0"/>
        <v>https://d0f6bd738d7f1b3e5a7ca70fe4ff75f0.us-east-1.aws.found.io/app/kibana#/discover/Steve-Slow-Train-Analysis-(2080s-and-2083s)?_g=(refreshInterval:(display:Off,pause:!f,section:0,value:0),time:(from:'2017-05-21T15:41:37-0600',mode:absolute,to:'2017-05-21T18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192" t="str">
        <f t="shared" si="31"/>
        <v>N</v>
      </c>
      <c r="X117" s="192">
        <f t="shared" si="45"/>
        <v>1</v>
      </c>
      <c r="Y117" s="192">
        <f t="shared" si="33"/>
        <v>4.4600000000000001E-2</v>
      </c>
      <c r="Z117" s="192">
        <f t="shared" si="34"/>
        <v>23.336400000000001</v>
      </c>
      <c r="AA117" s="192">
        <f t="shared" si="35"/>
        <v>23.291800000000002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6"/>
        <v>0205-21</v>
      </c>
      <c r="AE117" s="80" t="str">
        <f t="shared" si="37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117" s="77" t="str">
        <f t="shared" si="38"/>
        <v>"C:\Program Files (x86)\AstroGrep\AstroGrep.exe" /e /r /s /spath="%USERPROFILE%\AppData\Local\Temp\OnboardLogs" /stypes="app*4042*20170521*" /stext=" 23:.+((SYSTEM_STATE.+slice.+state.+changed )|(ment ac)|(multiple cpu faults)|(system.+state.+changed )|(\[timeout)|(PRM\|1\|D)|(kpr)|(kdp)|(train st.+moving)|(\|lc)|(penalty))"</v>
      </c>
      <c r="AG117" s="1" t="str">
        <f t="shared" si="39"/>
        <v>EC</v>
      </c>
      <c r="AH117" s="81" t="str">
        <f t="shared" si="40"/>
        <v>"%USERPROFILE%\Documents\GitHub\eaglep3\Utilities\RefineRTDCRunTimes.py" --tripid 205-21 --locoid 4042 --swversion DE.1.0.9.0 --startMP 204:446 --initTime 2017-05-21T16:41:37 --startdatetime 2017-05-21T16:45:21 --delay 1 --endMP 204:233364 --enddatetime 2017-05-21T17:21:44 --enforcementcount 0 &gt;&gt;C:\Users\stu\Documents\GitHub\eaglep3-reporting\EC\2017-05-21-refined-times.txt</v>
      </c>
      <c r="AI117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{"issue":{"subject":"","project_id":79,"tracker_id":40,"status_id":1,"priority_id":2,"assigned_to_id":23,"start_date":"2017-05-21","description":"","custom_fields":[{"id":1,"name":"Subdivision","value":"EC"},{"id":4,"name":"Milepost","value":"23.3364"},{"id":17,"name":"Train ID","value":"205-21"},{"id":16,"name":"Locomotive ID","value":"4042"},{"id":130,"name":"Impact","value":""},{"id":150,"name":"Time of Event (Mountain Time)","value":"17:21:44"},{"id":151,"name":"Denver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2"/>
        <v>start /low /b %USERPROFILE%\Documents\GitHub\eaglep3\Utilities\DownloadLogsFromS3.py --loco 4042 --day 2017-05-21</v>
      </c>
      <c r="AN117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770</v>
      </c>
      <c r="B118" s="7">
        <v>4041</v>
      </c>
      <c r="C118" s="21" t="s">
        <v>206</v>
      </c>
      <c r="D118" s="21" t="s">
        <v>557</v>
      </c>
      <c r="E118" s="13">
        <v>42876.73369212963</v>
      </c>
      <c r="F118" s="13">
        <v>42876.737719907411</v>
      </c>
      <c r="G118" s="7">
        <v>1</v>
      </c>
      <c r="H118" s="21" t="s">
        <v>362</v>
      </c>
      <c r="I118" s="13">
        <v>42876.765277777777</v>
      </c>
      <c r="J118" s="7">
        <v>0</v>
      </c>
      <c r="K118" s="92" t="str">
        <f t="shared" si="26"/>
        <v>4041/4042</v>
      </c>
      <c r="L118" s="21" t="str">
        <f>VLOOKUP(A118,'Trips&amp;Operators'!$C$1:$G$99999,5,FALSE)</f>
        <v>ARVIDSON DANIEL</v>
      </c>
      <c r="M118" s="6">
        <f t="shared" si="27"/>
        <v>2.7557870365853887E-2</v>
      </c>
      <c r="N118" s="7">
        <f t="shared" si="46"/>
        <v>39.683333326829597</v>
      </c>
      <c r="O118" s="7"/>
      <c r="P118" s="7"/>
      <c r="Q118" s="22"/>
      <c r="R118" s="190"/>
      <c r="S118" s="196">
        <f t="shared" si="28"/>
        <v>1</v>
      </c>
      <c r="T118" s="190" t="str">
        <f t="shared" si="29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0"/>
        <v>https://d0f6bd738d7f1b3e5a7ca70fe4ff75f0.us-east-1.aws.found.io/app/kibana#/discover/Steve-Slow-Train-Analysis-(2080s-and-2083s)?_g=(refreshInterval:(display:Off,pause:!f,section:0,value:0),time:(from:'2017-05-21T16:36:31-0600',mode:absolute,to:'2017-05-21T19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192" t="str">
        <f t="shared" si="31"/>
        <v>N</v>
      </c>
      <c r="X118" s="192">
        <f t="shared" si="45"/>
        <v>1</v>
      </c>
      <c r="Y118" s="192">
        <f t="shared" si="33"/>
        <v>23.305099999999999</v>
      </c>
      <c r="Z118" s="192">
        <f t="shared" si="34"/>
        <v>1.5599999999999999E-2</v>
      </c>
      <c r="AA118" s="192">
        <f t="shared" si="35"/>
        <v>23.2895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6"/>
        <v>0206-21</v>
      </c>
      <c r="AE118" s="80" t="str">
        <f t="shared" si="37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118" s="77" t="str">
        <f t="shared" si="38"/>
        <v>"C:\Program Files (x86)\AstroGrep\AstroGrep.exe" /e /r /s /spath="%USERPROFILE%\AppData\Local\Temp\OnboardLogs" /stypes="app*4041*20170522*" /stext=" 00:.+((SYSTEM_STATE.+slice.+state.+changed )|(ment ac)|(multiple cpu faults)|(system.+state.+changed )|(\[timeout)|(PRM\|1\|D)|(kpr)|(kdp)|(train st.+moving)|(\|lc)|(penalty))"</v>
      </c>
      <c r="AG118" s="1" t="str">
        <f t="shared" si="39"/>
        <v>EC</v>
      </c>
      <c r="AH118" s="81" t="str">
        <f t="shared" si="40"/>
        <v>"%USERPROFILE%\Documents\GitHub\eaglep3\Utilities\RefineRTDCRunTimes.py" --tripid 206-21 --locoid 4041 --swversion DE.1.0.9.0 --startMP 204:233051 --initTime 2017-05-21T17:36:31 --startdatetime 2017-05-21T17:42:19 --delay 1 --endMP 204:156 --enddatetime 2017-05-21T18:22:00 --enforcementcount 0 &gt;&gt;C:\Users\stu\Documents\GitHub\eaglep3-reporting\EC\2017-05-21-refined-times.txt</v>
      </c>
      <c r="AI118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{"issue":{"subject":"","project_id":79,"tracker_id":40,"status_id":1,"priority_id":2,"assigned_to_id":23,"start_date":"2017-05-21","description":"","custom_fields":[{"id":1,"name":"Subdivision","value":"EC"},{"id":4,"name":"Milepost","value":"0.0156"},{"id":17,"name":"Train ID","value":"206-21"},{"id":16,"name":"Locomotive ID","value":"4041"},{"id":130,"name":"Impact","value":""},{"id":150,"name":"Time of Event (Mountain Time)","value":"18:22:00"},{"id":151,"name":"Denver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2"/>
        <v>start /low /b %USERPROFILE%\Documents\GitHub\eaglep3\Utilities\DownloadLogsFromS3.py --loco 4041 --day 2017-05-21</v>
      </c>
      <c r="AN118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760</v>
      </c>
      <c r="B119" s="7">
        <v>4030</v>
      </c>
      <c r="C119" s="21" t="s">
        <v>206</v>
      </c>
      <c r="D119" s="21" t="s">
        <v>553</v>
      </c>
      <c r="E119" s="13">
        <v>42876.703194444446</v>
      </c>
      <c r="F119" s="13">
        <v>42876.708518518521</v>
      </c>
      <c r="G119" s="7">
        <v>1</v>
      </c>
      <c r="H119" s="21" t="s">
        <v>936</v>
      </c>
      <c r="I119" s="13">
        <v>42876.733819444446</v>
      </c>
      <c r="J119" s="7">
        <v>0</v>
      </c>
      <c r="K119" s="92" t="str">
        <f t="shared" si="26"/>
        <v>4029/4030</v>
      </c>
      <c r="L119" s="21" t="str">
        <f>VLOOKUP(A119,'Trips&amp;Operators'!$C$1:$G$99999,5,FALSE)</f>
        <v>BRUDER RICHARD</v>
      </c>
      <c r="M119" s="6">
        <f t="shared" si="27"/>
        <v>2.5300925924966577E-2</v>
      </c>
      <c r="N119" s="7">
        <f t="shared" si="46"/>
        <v>36.433333331951872</v>
      </c>
      <c r="O119" s="7"/>
      <c r="P119" s="7"/>
      <c r="Q119" s="22"/>
      <c r="R119" s="190"/>
      <c r="S119" s="196">
        <f t="shared" si="28"/>
        <v>1</v>
      </c>
      <c r="T119" s="190" t="str">
        <f t="shared" si="29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0"/>
        <v>https://d0f6bd738d7f1b3e5a7ca70fe4ff75f0.us-east-1.aws.found.io/app/kibana#/discover/Steve-Slow-Train-Analysis-(2080s-and-2083s)?_g=(refreshInterval:(display:Off,pause:!f,section:0,value:0),time:(from:'2017-05-21T15:52:36-0600',mode:absolute,to:'2017-05-21T18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9" s="192" t="str">
        <f t="shared" si="31"/>
        <v>N</v>
      </c>
      <c r="X119" s="192">
        <f t="shared" si="45"/>
        <v>1</v>
      </c>
      <c r="Y119" s="192">
        <f t="shared" si="33"/>
        <v>4.3999999999999997E-2</v>
      </c>
      <c r="Z119" s="192">
        <f t="shared" si="34"/>
        <v>23.330500000000001</v>
      </c>
      <c r="AA119" s="192">
        <f t="shared" si="35"/>
        <v>23.2865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6"/>
        <v>0207-21</v>
      </c>
      <c r="AE119" s="80" t="str">
        <f t="shared" si="37"/>
        <v>aws s3 cp s3://rtdc.mdm.uploadarchive.raw/RTDC4030/ "%USERPROFILE%\AppData\Local\Temp\OnboardLogs"\RTDC4030\2017-05-21 --exclude "*" --recursive --include "*20170521*" &amp; "%USERPROFILE%\Documents\GitHub\mrs-test-scripts\Headless Mode &amp; Sideloading\WalkAndUnGZ.bat" "%USERPROFILE%\AppData\Local\Temp\OnboardLogs"\RTDC4030\2017-05-21 &amp; 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</v>
      </c>
      <c r="AF119" s="77" t="str">
        <f t="shared" si="38"/>
        <v>"C:\Program Files (x86)\AstroGrep\AstroGrep.exe" /e /r /s /spath="%USERPROFILE%\AppData\Local\Temp\OnboardLogs" /stypes="app*4030*20170521*" /stext=" 23:.+((SYSTEM_STATE.+slice.+state.+changed )|(ment ac)|(multiple cpu faults)|(system.+state.+changed )|(\[timeout)|(PRM\|1\|D)|(kpr)|(kdp)|(train st.+moving)|(\|lc)|(penalty))"</v>
      </c>
      <c r="AG119" s="1" t="str">
        <f t="shared" si="39"/>
        <v>EC</v>
      </c>
      <c r="AH119" s="81" t="str">
        <f t="shared" si="40"/>
        <v>"%USERPROFILE%\Documents\GitHub\eaglep3\Utilities\RefineRTDCRunTimes.py" --tripid 207-21 --locoid 4030 --swversion DE.1.0.9.0 --startMP 204:440 --initTime 2017-05-21T16:52:36 --startdatetime 2017-05-21T17:00:16 --delay 1 --endMP 204:233305 --enddatetime 2017-05-21T17:36:42 --enforcementcount 0 &gt;&gt;C:\Users\stu\Documents\GitHub\eaglep3-reporting\EC\2017-05-21-refined-times.txt</v>
      </c>
      <c r="AI119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{"issue":{"subject":"","project_id":79,"tracker_id":40,"status_id":1,"priority_id":2,"assigned_to_id":23,"start_date":"2017-05-21","description":"","custom_fields":[{"id":1,"name":"Subdivision","value":"EC"},{"id":4,"name":"Milepost","value":"23.3305"},{"id":17,"name":"Train ID","value":"207-21"},{"id":16,"name":"Locomotive ID","value":"4030"},{"id":130,"name":"Impact","value":""},{"id":150,"name":"Time of Event (Mountain Time)","value":"17:36:42"},{"id":151,"name":"Denver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2"/>
        <v>start /low /b %USERPROFILE%\Documents\GitHub\eaglep3\Utilities\DownloadLogsFromS3.py --loco 4030 --day 2017-05-21</v>
      </c>
      <c r="AN119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772</v>
      </c>
      <c r="B120" s="7">
        <v>4029</v>
      </c>
      <c r="C120" s="21" t="s">
        <v>206</v>
      </c>
      <c r="D120" s="21" t="s">
        <v>551</v>
      </c>
      <c r="E120" s="13">
        <v>42876.743043981478</v>
      </c>
      <c r="F120" s="13">
        <v>42876.748182870368</v>
      </c>
      <c r="G120" s="7">
        <v>1</v>
      </c>
      <c r="H120" s="21" t="s">
        <v>369</v>
      </c>
      <c r="I120" s="13">
        <v>42876.774467592593</v>
      </c>
      <c r="J120" s="7">
        <v>0</v>
      </c>
      <c r="K120" s="92" t="str">
        <f t="shared" si="26"/>
        <v>4029/4030</v>
      </c>
      <c r="L120" s="21" t="str">
        <f>VLOOKUP(A120,'Trips&amp;Operators'!$C$1:$G$99999,5,FALSE)</f>
        <v>BRUDER RICHARD</v>
      </c>
      <c r="M120" s="6">
        <f t="shared" si="27"/>
        <v>2.6284722225682344E-2</v>
      </c>
      <c r="N120" s="7">
        <f t="shared" si="46"/>
        <v>37.850000004982576</v>
      </c>
      <c r="O120" s="7"/>
      <c r="P120" s="7"/>
      <c r="Q120" s="22"/>
      <c r="R120" s="190"/>
      <c r="S120" s="196">
        <f t="shared" si="28"/>
        <v>1</v>
      </c>
      <c r="T120" s="190" t="str">
        <f t="shared" si="29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0"/>
        <v>https://d0f6bd738d7f1b3e5a7ca70fe4ff75f0.us-east-1.aws.found.io/app/kibana#/discover/Steve-Slow-Train-Analysis-(2080s-and-2083s)?_g=(refreshInterval:(display:Off,pause:!f,section:0,value:0),time:(from:'2017-05-21T16:49:59-0600',mode:absolute,to:'2017-05-21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192" t="str">
        <f t="shared" si="31"/>
        <v>N</v>
      </c>
      <c r="X120" s="192">
        <f t="shared" si="45"/>
        <v>1</v>
      </c>
      <c r="Y120" s="192">
        <f t="shared" si="33"/>
        <v>23.297799999999999</v>
      </c>
      <c r="Z120" s="192">
        <f t="shared" si="34"/>
        <v>1.47E-2</v>
      </c>
      <c r="AA120" s="192">
        <f t="shared" si="35"/>
        <v>23.283099999999997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6"/>
        <v>0208-21</v>
      </c>
      <c r="AE120" s="80" t="str">
        <f t="shared" si="37"/>
        <v>aws s3 cp s3://rtdc.mdm.uploadarchive.raw/RTDC4029/ "%USERPROFILE%\AppData\Local\Temp\OnboardLogs"\RTDC4029\2017-05-21 --exclude "*" --recursive --include "*20170521*" &amp; "%USERPROFILE%\Documents\GitHub\mrs-test-scripts\Headless Mode &amp; Sideloading\WalkAndUnGZ.bat" "%USERPROFILE%\AppData\Local\Temp\OnboardLogs"\RTDC4029\2017-05-21 &amp; 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</v>
      </c>
      <c r="AF120" s="77" t="str">
        <f t="shared" si="38"/>
        <v>"C:\Program Files (x86)\AstroGrep\AstroGrep.exe" /e /r /s /spath="%USERPROFILE%\AppData\Local\Temp\OnboardLogs" /stypes="app*4029*20170522*" /stext=" 00:.+((SYSTEM_STATE.+slice.+state.+changed )|(ment ac)|(multiple cpu faults)|(system.+state.+changed )|(\[timeout)|(PRM\|1\|D)|(kpr)|(kdp)|(train st.+moving)|(\|lc)|(penalty))"</v>
      </c>
      <c r="AG120" s="1" t="str">
        <f t="shared" si="39"/>
        <v>EC</v>
      </c>
      <c r="AH120" s="81" t="str">
        <f t="shared" si="40"/>
        <v>"%USERPROFILE%\Documents\GitHub\eaglep3\Utilities\RefineRTDCRunTimes.py" --tripid 208-21 --locoid 4029 --swversion DE.1.0.9.0 --startMP 204:232978 --initTime 2017-05-21T17:49:59 --startdatetime 2017-05-21T17:57:23 --delay 1 --endMP 204:147 --enddatetime 2017-05-21T18:35:14 --enforcementcount 0 &gt;&gt;C:\Users\stu\Documents\GitHub\eaglep3-reporting\EC\2017-05-21-refined-times.txt</v>
      </c>
      <c r="AI120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{"issue":{"subject":"","project_id":79,"tracker_id":40,"status_id":1,"priority_id":2,"assigned_to_id":23,"start_date":"2017-05-21","description":"","custom_fields":[{"id":1,"name":"Subdivision","value":"EC"},{"id":4,"name":"Milepost","value":"0.0147"},{"id":17,"name":"Train ID","value":"208-21"},{"id":16,"name":"Locomotive ID","value":"4029"},{"id":130,"name":"Impact","value":""},{"id":150,"name":"Time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2"/>
        <v>start /low /b %USERPROFILE%\Documents\GitHub\eaglep3\Utilities\DownloadLogsFromS3.py --loco 4029 --day 2017-05-21</v>
      </c>
      <c r="AN120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605</v>
      </c>
      <c r="B121" s="7">
        <v>4024</v>
      </c>
      <c r="C121" s="21" t="s">
        <v>206</v>
      </c>
      <c r="D121" s="21" t="s">
        <v>937</v>
      </c>
      <c r="E121" s="13">
        <v>42876.713159722225</v>
      </c>
      <c r="F121" s="13">
        <v>42876.719340277778</v>
      </c>
      <c r="G121" s="7">
        <v>3</v>
      </c>
      <c r="H121" s="21" t="s">
        <v>938</v>
      </c>
      <c r="I121" s="13">
        <v>42876.744085648148</v>
      </c>
      <c r="J121" s="7">
        <v>0</v>
      </c>
      <c r="K121" s="92" t="str">
        <f t="shared" si="26"/>
        <v>4023/4024</v>
      </c>
      <c r="L121" s="21" t="str">
        <f>VLOOKUP(A121,'Trips&amp;Operators'!$C$1:$G$99999,5,FALSE)</f>
        <v>STAMBAUGH JAMES</v>
      </c>
      <c r="M121" s="6">
        <f t="shared" si="27"/>
        <v>2.47453703705105E-2</v>
      </c>
      <c r="N121" s="7">
        <f t="shared" si="46"/>
        <v>35.63333333353512</v>
      </c>
      <c r="O121" s="7"/>
      <c r="P121" s="7"/>
      <c r="Q121" s="22"/>
      <c r="R121" s="190"/>
      <c r="S121" s="196">
        <f t="shared" si="28"/>
        <v>1</v>
      </c>
      <c r="T121" s="190" t="str">
        <f t="shared" si="29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0"/>
        <v>https://d0f6bd738d7f1b3e5a7ca70fe4ff75f0.us-east-1.aws.found.io/app/kibana#/discover/Steve-Slow-Train-Analysis-(2080s-and-2083s)?_g=(refreshInterval:(display:Off,pause:!f,section:0,value:0),time:(from:'2017-05-21T16:06:57-0600',mode:absolute,to:'2017-05-21T18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1" s="192" t="str">
        <f t="shared" si="31"/>
        <v>N</v>
      </c>
      <c r="X121" s="192">
        <f t="shared" si="45"/>
        <v>1</v>
      </c>
      <c r="Y121" s="192">
        <f t="shared" si="33"/>
        <v>4.8399999999999999E-2</v>
      </c>
      <c r="Z121" s="192">
        <f t="shared" si="34"/>
        <v>23.342500000000001</v>
      </c>
      <c r="AA121" s="192">
        <f t="shared" si="35"/>
        <v>23.2941</v>
      </c>
      <c r="AB121" s="57" t="str">
        <f>VLOOKUP(A121,Enforcements!$C$7:$K$13,8,0)</f>
        <v>Bulletin (2)</v>
      </c>
      <c r="AC121" s="53" t="str">
        <f>VLOOKUP(A121,Enforcements!$C$7:$E$13,3,0)</f>
        <v>GRADE CROSSING</v>
      </c>
      <c r="AD121" s="54" t="str">
        <f t="shared" si="36"/>
        <v>0209-21</v>
      </c>
      <c r="AE121" s="80" t="str">
        <f t="shared" si="37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121" s="77" t="str">
        <f t="shared" si="38"/>
        <v>"C:\Program Files (x86)\AstroGrep\AstroGrep.exe" /e /r /s /spath="%USERPROFILE%\AppData\Local\Temp\OnboardLogs" /stypes="app*4024*20170521*" /stext=" 23:.+((SYSTEM_STATE.+slice.+state.+changed )|(ment ac)|(multiple cpu faults)|(system.+state.+changed )|(\[timeout)|(PRM\|1\|D)|(kpr)|(kdp)|(train st.+moving)|(\|lc)|(penalty))"</v>
      </c>
      <c r="AG121" s="1" t="str">
        <f t="shared" si="39"/>
        <v>EC</v>
      </c>
      <c r="AH121" s="81" t="str">
        <f t="shared" si="40"/>
        <v>"%USERPROFILE%\Documents\GitHub\eaglep3\Utilities\RefineRTDCRunTimes.py" --tripid 209-21 --locoid 4024 --swversion DE.1.0.9.0 --startMP 204:484 --initTime 2017-05-21T17:06:57 --startdatetime 2017-05-21T17:15:51 --delay 3 --endMP 204:233425 --enddatetime 2017-05-21T17:51:29 --enforcementcount 0 &gt;&gt;C:\Users\stu\Documents\GitHub\eaglep3-reporting\EC\2017-05-21-refined-times.txt</v>
      </c>
      <c r="AI121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{"issue":{"subject":"","project_id":79,"tracker_id":40,"status_id":1,"priority_id":2,"assigned_to_id":23,"start_date":"2017-05-21","description":"","custom_fields":[{"id":1,"name":"Subdivision","value":"EC"},{"id":4,"name":"Milepost","value":"23.3425"},{"id":17,"name":"Train ID","value":"209-21"},{"id":16,"name":"Locomotive ID","value":"4024"},{"id":130,"name":"Impact","value":""},{"id":150,"name":"Time of Event (Mountain Time)","value":"17:51:29"},{"id":151,"name":"Denver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2"/>
        <v>start /low /b %USERPROFILE%\Documents\GitHub\eaglep3\Utilities\DownloadLogsFromS3.py --loco 4024 --day 2017-05-21</v>
      </c>
      <c r="AN121" s="154" t="str">
        <f t="shared" si="43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777</v>
      </c>
      <c r="B122" s="7">
        <v>4023</v>
      </c>
      <c r="C122" s="21" t="s">
        <v>206</v>
      </c>
      <c r="D122" s="21" t="s">
        <v>939</v>
      </c>
      <c r="E122" s="13">
        <v>42876.752835648149</v>
      </c>
      <c r="F122" s="13">
        <v>42876.758831018517</v>
      </c>
      <c r="G122" s="7">
        <v>1</v>
      </c>
      <c r="H122" s="21" t="s">
        <v>355</v>
      </c>
      <c r="I122" s="13">
        <v>42876.785740740743</v>
      </c>
      <c r="J122" s="7">
        <v>0</v>
      </c>
      <c r="K122" s="92" t="str">
        <f t="shared" si="26"/>
        <v>4023/4024</v>
      </c>
      <c r="L122" s="21" t="str">
        <f>VLOOKUP(A122,'Trips&amp;Operators'!$C$1:$G$99999,5,FALSE)</f>
        <v>STAMBAUGH JAMES</v>
      </c>
      <c r="M122" s="6">
        <f t="shared" si="27"/>
        <v>2.6909722226264421E-2</v>
      </c>
      <c r="N122" s="7">
        <f t="shared" si="46"/>
        <v>38.750000005820766</v>
      </c>
      <c r="O122" s="7"/>
      <c r="P122" s="7"/>
      <c r="Q122" s="22"/>
      <c r="R122" s="190"/>
      <c r="S122" s="196">
        <f t="shared" si="28"/>
        <v>1</v>
      </c>
      <c r="T122" s="190" t="str">
        <f t="shared" si="29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0"/>
        <v>https://d0f6bd738d7f1b3e5a7ca70fe4ff75f0.us-east-1.aws.found.io/app/kibana#/discover/Steve-Slow-Train-Analysis-(2080s-and-2083s)?_g=(refreshInterval:(display:Off,pause:!f,section:0,value:0),time:(from:'2017-05-21T17:04:05-0600',mode:absolute,to:'2017-05-21T19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2" s="192" t="str">
        <f t="shared" si="31"/>
        <v>N</v>
      </c>
      <c r="X122" s="192">
        <f t="shared" si="45"/>
        <v>1</v>
      </c>
      <c r="Y122" s="192">
        <f t="shared" si="33"/>
        <v>23.312799999999999</v>
      </c>
      <c r="Z122" s="192">
        <f t="shared" si="34"/>
        <v>1.4999999999999999E-2</v>
      </c>
      <c r="AA122" s="192">
        <f t="shared" si="35"/>
        <v>23.297799999999999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6"/>
        <v>0210-21</v>
      </c>
      <c r="AE122" s="80" t="str">
        <f t="shared" si="37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122" s="77" t="str">
        <f t="shared" si="38"/>
        <v>"C:\Program Files (x86)\AstroGrep\AstroGrep.exe" /e /r /s /spath="%USERPROFILE%\AppData\Local\Temp\OnboardLogs" /stypes="app*4023*20170522*" /stext=" 00:.+((SYSTEM_STATE.+slice.+state.+changed )|(ment ac)|(multiple cpu faults)|(system.+state.+changed )|(\[timeout)|(PRM\|1\|D)|(kpr)|(kdp)|(train st.+moving)|(\|lc)|(penalty))"</v>
      </c>
      <c r="AG122" s="1" t="str">
        <f t="shared" si="39"/>
        <v>EC</v>
      </c>
      <c r="AH122" s="81" t="str">
        <f t="shared" si="40"/>
        <v>"%USERPROFILE%\Documents\GitHub\eaglep3\Utilities\RefineRTDCRunTimes.py" --tripid 210-21 --locoid 4023 --swversion DE.1.0.9.0 --startMP 204:233128 --initTime 2017-05-21T18:04:05 --startdatetime 2017-05-21T18:12:43 --delay 1 --endMP 204:150 --enddatetime 2017-05-21T18:51:28 --enforcementcount 0 &gt;&gt;C:\Users\stu\Documents\GitHub\eaglep3-reporting\EC\2017-05-21-refined-times.txt</v>
      </c>
      <c r="AI122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{"issue":{"subject":"","project_id":79,"tracker_id":40,"status_id":1,"priority_id":2,"assigned_to_id":23,"start_date":"2017-05-21","description":"","custom_fields":[{"id":1,"name":"Subdivision","value":"EC"},{"id":4,"name":"Milepost","value":"0.015"},{"id":17,"name":"Train ID","value":"210-21"},{"id":16,"name":"Locomotive ID","value":"4023"},{"id":130,"name":"Impact","value":""},{"id":150,"name":"Time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2"/>
        <v>start /low /b %USERPROFILE%\Documents\GitHub\eaglep3\Utilities\DownloadLogsFromS3.py --loco 4023 --day 2017-05-21</v>
      </c>
      <c r="AN122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769</v>
      </c>
      <c r="B123" s="7">
        <v>4008</v>
      </c>
      <c r="C123" s="21" t="s">
        <v>206</v>
      </c>
      <c r="D123" s="21" t="s">
        <v>359</v>
      </c>
      <c r="E123" s="13">
        <v>42876.726168981484</v>
      </c>
      <c r="F123" s="13">
        <v>42876.729375000003</v>
      </c>
      <c r="G123" s="7">
        <v>1</v>
      </c>
      <c r="H123" s="21" t="s">
        <v>940</v>
      </c>
      <c r="I123" s="13">
        <v>42876.75439814815</v>
      </c>
      <c r="J123" s="7">
        <v>0</v>
      </c>
      <c r="K123" s="92" t="str">
        <f t="shared" si="26"/>
        <v>4007/4008</v>
      </c>
      <c r="L123" s="21" t="str">
        <f>VLOOKUP(A123,'Trips&amp;Operators'!$C$1:$G$99999,5,FALSE)</f>
        <v>ROMERO CHAD</v>
      </c>
      <c r="M123" s="6">
        <f t="shared" si="27"/>
        <v>2.5023148147738539E-2</v>
      </c>
      <c r="N123" s="7">
        <f t="shared" si="46"/>
        <v>36.033333332743496</v>
      </c>
      <c r="O123" s="7"/>
      <c r="P123" s="7"/>
      <c r="Q123" s="22"/>
      <c r="R123" s="190"/>
      <c r="S123" s="196">
        <f t="shared" si="28"/>
        <v>1</v>
      </c>
      <c r="T123" s="190" t="str">
        <f t="shared" si="29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0"/>
        <v>https://d0f6bd738d7f1b3e5a7ca70fe4ff75f0.us-east-1.aws.found.io/app/kibana#/discover/Steve-Slow-Train-Analysis-(2080s-and-2083s)?_g=(refreshInterval:(display:Off,pause:!f,section:0,value:0),time:(from:'2017-05-21T16:25:41-0600',mode:absolute,to:'2017-05-21T19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92" t="str">
        <f t="shared" si="31"/>
        <v>N</v>
      </c>
      <c r="X123" s="192">
        <f t="shared" si="45"/>
        <v>1</v>
      </c>
      <c r="Y123" s="192">
        <f t="shared" si="33"/>
        <v>4.5100000000000001E-2</v>
      </c>
      <c r="Z123" s="192">
        <f t="shared" si="34"/>
        <v>23.341799999999999</v>
      </c>
      <c r="AA123" s="192">
        <f t="shared" si="35"/>
        <v>23.296699999999998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6"/>
        <v>0211-21</v>
      </c>
      <c r="AE123" s="80" t="str">
        <f t="shared" si="37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123" s="77" t="str">
        <f t="shared" si="38"/>
        <v>"C:\Program Files (x86)\AstroGrep\AstroGrep.exe" /e /r /s /spath="%USERPROFILE%\AppData\Local\Temp\OnboardLogs" /stypes="app*4008*20170522*" /stext=" 00:.+((SYSTEM_STATE.+slice.+state.+changed )|(ment ac)|(multiple cpu faults)|(system.+state.+changed )|(\[timeout)|(PRM\|1\|D)|(kpr)|(kdp)|(train st.+moving)|(\|lc)|(penalty))"</v>
      </c>
      <c r="AG123" s="1" t="str">
        <f t="shared" si="39"/>
        <v>EC</v>
      </c>
      <c r="AH123" s="81" t="str">
        <f t="shared" si="40"/>
        <v>"%USERPROFILE%\Documents\GitHub\eaglep3\Utilities\RefineRTDCRunTimes.py" --tripid 211-21 --locoid 4008 --swversion DE.1.0.9.0 --startMP 204:451 --initTime 2017-05-21T17:25:41 --startdatetime 2017-05-21T17:30:18 --delay 1 --endMP 204:233418 --enddatetime 2017-05-21T18:06:20 --enforcementcount 0 &gt;&gt;C:\Users\stu\Documents\GitHub\eaglep3-reporting\EC\2017-05-21-refined-times.txt</v>
      </c>
      <c r="AI123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{"issue":{"subject":"","project_id":79,"tracker_id":40,"status_id":1,"priority_id":2,"assigned_to_id":23,"start_date":"2017-05-21","description":"","custom_fields":[{"id":1,"name":"Subdivision","value":"EC"},{"id":4,"name":"Milepost","value":"23.3418"},{"id":17,"name":"Train ID","value":"211-21"},{"id":16,"name":"Locomotive ID","value":"4008"},{"id":130,"name":"Impact","value":""},{"id":150,"name":"Time of Event (Mountain Time)","value":"18:06:20"},{"id":151,"name":"Denver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2"/>
        <v>start /low /b %USERPROFILE%\Documents\GitHub\eaglep3\Utilities\DownloadLogsFromS3.py --loco 4008 --day 2017-05-21</v>
      </c>
      <c r="AN123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779</v>
      </c>
      <c r="B124" s="7">
        <v>4007</v>
      </c>
      <c r="C124" s="21" t="s">
        <v>206</v>
      </c>
      <c r="D124" s="21" t="s">
        <v>941</v>
      </c>
      <c r="E124" s="13">
        <v>42876.758576388886</v>
      </c>
      <c r="F124" s="13">
        <v>42876.768912037034</v>
      </c>
      <c r="G124" s="7">
        <v>1</v>
      </c>
      <c r="H124" s="21" t="s">
        <v>418</v>
      </c>
      <c r="I124" s="13">
        <v>42876.795682870368</v>
      </c>
      <c r="J124" s="7">
        <v>0</v>
      </c>
      <c r="K124" s="92" t="str">
        <f t="shared" si="26"/>
        <v>4007/4008</v>
      </c>
      <c r="L124" s="21" t="str">
        <f>VLOOKUP(A124,'Trips&amp;Operators'!$C$1:$G$99999,5,FALSE)</f>
        <v>ROMERO CHAD</v>
      </c>
      <c r="M124" s="6">
        <f t="shared" si="27"/>
        <v>2.6770833334012423E-2</v>
      </c>
      <c r="N124" s="7">
        <f t="shared" si="46"/>
        <v>38.550000000977889</v>
      </c>
      <c r="O124" s="7"/>
      <c r="P124" s="7"/>
      <c r="Q124" s="22"/>
      <c r="R124" s="190"/>
      <c r="S124" s="196">
        <f t="shared" si="28"/>
        <v>1</v>
      </c>
      <c r="T124" s="190" t="str">
        <f t="shared" si="29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0"/>
        <v>https://d0f6bd738d7f1b3e5a7ca70fe4ff75f0.us-east-1.aws.found.io/app/kibana#/discover/Steve-Slow-Train-Analysis-(2080s-and-2083s)?_g=(refreshInterval:(display:Off,pause:!f,section:0,value:0),time:(from:'2017-05-21T17:12:21-0600',mode:absolute,to:'2017-05-21T20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192" t="str">
        <f t="shared" si="31"/>
        <v>N</v>
      </c>
      <c r="X124" s="192">
        <f t="shared" si="45"/>
        <v>1</v>
      </c>
      <c r="Y124" s="192">
        <f t="shared" si="33"/>
        <v>23.309200000000001</v>
      </c>
      <c r="Z124" s="192">
        <f t="shared" si="34"/>
        <v>1.54E-2</v>
      </c>
      <c r="AA124" s="192">
        <f t="shared" si="35"/>
        <v>23.293800000000001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6"/>
        <v>0212-21</v>
      </c>
      <c r="AE124" s="80" t="str">
        <f t="shared" si="37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124" s="77" t="str">
        <f t="shared" si="38"/>
        <v>"C:\Program Files (x86)\AstroGrep\AstroGrep.exe" /e /r /s /spath="%USERPROFILE%\AppData\Local\Temp\OnboardLogs" /stypes="app*4007*20170522*" /stext=" 01:.+((SYSTEM_STATE.+slice.+state.+changed )|(ment ac)|(multiple cpu faults)|(system.+state.+changed )|(\[timeout)|(PRM\|1\|D)|(kpr)|(kdp)|(train st.+moving)|(\|lc)|(penalty))"</v>
      </c>
      <c r="AG124" s="1" t="str">
        <f t="shared" si="39"/>
        <v>EC</v>
      </c>
      <c r="AH124" s="81" t="str">
        <f t="shared" si="40"/>
        <v>"%USERPROFILE%\Documents\GitHub\eaglep3\Utilities\RefineRTDCRunTimes.py" --tripid 212-21 --locoid 4007 --swversion DE.1.0.9.0 --startMP 204:233092 --initTime 2017-05-21T18:12:21 --startdatetime 2017-05-21T18:27:14 --delay 1 --endMP 204:154 --enddatetime 2017-05-21T19:05:47 --enforcementcount 0 &gt;&gt;C:\Users\stu\Documents\GitHub\eaglep3-reporting\EC\2017-05-21-refined-times.txt</v>
      </c>
      <c r="AI124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{"issue":{"subject":"","project_id":79,"tracker_id":40,"status_id":1,"priority_id":2,"assigned_to_id":23,"start_date":"2017-05-21","description":"","custom_fields":[{"id":1,"name":"Subdivision","value":"EC"},{"id":4,"name":"Milepost","value":"0.0154"},{"id":17,"name":"Train ID","value":"212-21"},{"id":16,"name":"Locomotive ID","value":"4007"},{"id":130,"name":"Impact","value":""},{"id":150,"name":"Time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2"/>
        <v>start /low /b %USERPROFILE%\Documents\GitHub\eaglep3\Utilities\DownloadLogsFromS3.py --loco 4007 --day 2017-05-21</v>
      </c>
      <c r="AN124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01:05:47"},{"id":29,"name":"Sharepoint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771</v>
      </c>
      <c r="B125" s="7">
        <v>4002</v>
      </c>
      <c r="C125" s="21" t="s">
        <v>206</v>
      </c>
      <c r="D125" s="21" t="s">
        <v>354</v>
      </c>
      <c r="E125" s="13">
        <v>42876.736759259256</v>
      </c>
      <c r="F125" s="13">
        <v>42876.73978009259</v>
      </c>
      <c r="G125" s="7">
        <v>1</v>
      </c>
      <c r="H125" s="21" t="s">
        <v>880</v>
      </c>
      <c r="I125" s="13">
        <v>42876.764953703707</v>
      </c>
      <c r="J125" s="7">
        <v>0</v>
      </c>
      <c r="K125" s="92" t="str">
        <f t="shared" si="26"/>
        <v>4001/4002</v>
      </c>
      <c r="L125" s="21" t="str">
        <f>VLOOKUP(A125,'Trips&amp;Operators'!$C$1:$G$99999,5,FALSE)</f>
        <v>SMITH MICHAEL</v>
      </c>
      <c r="M125" s="6">
        <f t="shared" si="27"/>
        <v>2.5173611116770189E-2</v>
      </c>
      <c r="N125" s="7">
        <f t="shared" si="46"/>
        <v>36.250000008149073</v>
      </c>
      <c r="O125" s="7"/>
      <c r="P125" s="7"/>
      <c r="Q125" s="22"/>
      <c r="R125" s="190"/>
      <c r="S125" s="196">
        <f t="shared" si="28"/>
        <v>1</v>
      </c>
      <c r="T125" s="190" t="str">
        <f t="shared" si="29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0"/>
        <v>https://d0f6bd738d7f1b3e5a7ca70fe4ff75f0.us-east-1.aws.found.io/app/kibana#/discover/Steve-Slow-Train-Analysis-(2080s-and-2083s)?_g=(refreshInterval:(display:Off,pause:!f,section:0,value:0),time:(from:'2017-05-21T16:40:56-0600',mode:absolute,to:'2017-05-21T19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192" t="str">
        <f t="shared" si="31"/>
        <v>N</v>
      </c>
      <c r="X125" s="192">
        <f t="shared" si="45"/>
        <v>1</v>
      </c>
      <c r="Y125" s="192">
        <f t="shared" si="33"/>
        <v>4.58E-2</v>
      </c>
      <c r="Z125" s="192">
        <f t="shared" si="34"/>
        <v>23.3276</v>
      </c>
      <c r="AA125" s="192">
        <f t="shared" si="35"/>
        <v>23.2818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6"/>
        <v>0213-21</v>
      </c>
      <c r="AE125" s="80" t="str">
        <f t="shared" si="37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125" s="77" t="str">
        <f t="shared" si="38"/>
        <v>"C:\Program Files (x86)\AstroGrep\AstroGrep.exe" /e /r /s /spath="%USERPROFILE%\AppData\Local\Temp\OnboardLogs" /stypes="app*4002*20170522*" /stext=" 00:.+((SYSTEM_STATE.+slice.+state.+changed )|(ment ac)|(multiple cpu faults)|(system.+state.+changed )|(\[timeout)|(PRM\|1\|D)|(kpr)|(kdp)|(train st.+moving)|(\|lc)|(penalty))"</v>
      </c>
      <c r="AG125" s="1" t="str">
        <f t="shared" si="39"/>
        <v>EC</v>
      </c>
      <c r="AH125" s="81" t="str">
        <f t="shared" si="40"/>
        <v>"%USERPROFILE%\Documents\GitHub\eaglep3\Utilities\RefineRTDCRunTimes.py" --tripid 213-21 --locoid 4002 --swversion DE.1.0.9.0 --startMP 204:458 --initTime 2017-05-21T17:40:56 --startdatetime 2017-05-21T17:45:17 --delay 1 --endMP 204:233276 --enddatetime 2017-05-21T18:21:32 --enforcementcount 0 &gt;&gt;C:\Users\stu\Documents\GitHub\eaglep3-reporting\EC\2017-05-21-refined-times.txt</v>
      </c>
      <c r="AI125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{"issue":{"subject":"","project_id":79,"tracker_id":40,"status_id":1,"priority_id":2,"assigned_to_id":23,"start_date":"2017-05-21","description":"","custom_fields":[{"id":1,"name":"Subdivision","value":"EC"},{"id":4,"name":"Milepost","value":"23.3276"},{"id":17,"name":"Train ID","value":"213-21"},{"id":16,"name":"Locomotive ID","value":"4002"},{"id":130,"name":"Impact","value":""},{"id":150,"name":"Time of Event (Mountain Time)","value":"18:21:32"},{"id":151,"name":"Denver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2"/>
        <v>start /low /b %USERPROFILE%\Documents\GitHub\eaglep3\Utilities\DownloadLogsFromS3.py --loco 4002 --day 2017-05-21</v>
      </c>
      <c r="AN125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783</v>
      </c>
      <c r="B126" s="7">
        <v>4001</v>
      </c>
      <c r="C126" s="21" t="s">
        <v>206</v>
      </c>
      <c r="D126" s="21" t="s">
        <v>422</v>
      </c>
      <c r="E126" s="13">
        <v>42876.774340277778</v>
      </c>
      <c r="F126" s="13">
        <v>42876.779398148145</v>
      </c>
      <c r="G126" s="7">
        <v>1</v>
      </c>
      <c r="H126" s="21" t="s">
        <v>198</v>
      </c>
      <c r="I126" s="13">
        <v>42876.806145833332</v>
      </c>
      <c r="J126" s="7">
        <v>0</v>
      </c>
      <c r="K126" s="92" t="str">
        <f t="shared" si="26"/>
        <v>4001/4002</v>
      </c>
      <c r="L126" s="21" t="str">
        <f>VLOOKUP(A126,'Trips&amp;Operators'!$C$1:$G$99999,5,FALSE)</f>
        <v>SMITH MICHAEL</v>
      </c>
      <c r="M126" s="6">
        <f t="shared" si="27"/>
        <v>2.6747685187729076E-2</v>
      </c>
      <c r="N126" s="7">
        <f t="shared" si="46"/>
        <v>38.516666670329869</v>
      </c>
      <c r="O126" s="7"/>
      <c r="P126" s="7"/>
      <c r="Q126" s="22"/>
      <c r="R126" s="190"/>
      <c r="S126" s="196">
        <f t="shared" si="28"/>
        <v>1</v>
      </c>
      <c r="T126" s="190" t="str">
        <f t="shared" si="29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0"/>
        <v>https://d0f6bd738d7f1b3e5a7ca70fe4ff75f0.us-east-1.aws.found.io/app/kibana#/discover/Steve-Slow-Train-Analysis-(2080s-and-2083s)?_g=(refreshInterval:(display:Off,pause:!f,section:0,value:0),time:(from:'2017-05-21T17:35:03-0600',mode:absolute,to:'2017-05-21T20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192" t="str">
        <f t="shared" si="31"/>
        <v>N</v>
      </c>
      <c r="X126" s="192">
        <f t="shared" si="45"/>
        <v>1</v>
      </c>
      <c r="Y126" s="192">
        <f t="shared" si="33"/>
        <v>23.2974</v>
      </c>
      <c r="Z126" s="192">
        <f t="shared" si="34"/>
        <v>1.5800000000000002E-2</v>
      </c>
      <c r="AA126" s="192">
        <f t="shared" si="35"/>
        <v>23.281600000000001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6"/>
        <v>0214-21</v>
      </c>
      <c r="AE126" s="80" t="str">
        <f t="shared" si="37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126" s="77" t="str">
        <f t="shared" si="38"/>
        <v>"C:\Program Files (x86)\AstroGrep\AstroGrep.exe" /e /r /s /spath="%USERPROFILE%\AppData\Local\Temp\OnboardLogs" /stypes="app*4001*20170522*" /stext=" 01:.+((SYSTEM_STATE.+slice.+state.+changed )|(ment ac)|(multiple cpu faults)|(system.+state.+changed )|(\[timeout)|(PRM\|1\|D)|(kpr)|(kdp)|(train st.+moving)|(\|lc)|(penalty))"</v>
      </c>
      <c r="AG126" s="1" t="str">
        <f t="shared" si="39"/>
        <v>EC</v>
      </c>
      <c r="AH126" s="81" t="str">
        <f t="shared" si="40"/>
        <v>"%USERPROFILE%\Documents\GitHub\eaglep3\Utilities\RefineRTDCRunTimes.py" --tripid 214-21 --locoid 4001 --swversion DE.1.0.9.0 --startMP 204:232974 --initTime 2017-05-21T18:35:03 --startdatetime 2017-05-21T18:42:20 --delay 1 --endMP 204:158 --enddatetime 2017-05-21T19:20:51 --enforcementcount 0 &gt;&gt;C:\Users\stu\Documents\GitHub\eaglep3-reporting\EC\2017-05-21-refined-times.txt</v>
      </c>
      <c r="AI126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{"issue":{"subject":"","project_id":79,"tracker_id":40,"status_id":1,"priority_id":2,"assigned_to_id":23,"start_date":"2017-05-21","description":"","custom_fields":[{"id":1,"name":"Subdivision","value":"EC"},{"id":4,"name":"Milepost","value":"0.0158"},{"id":17,"name":"Train ID","value":"214-21"},{"id":16,"name":"Locomotive ID","value":"4001"},{"id":130,"name":"Impact","value":""},{"id":150,"name":"Time of Event (Mountain Time)","value":"19:20:51"},{"id":151,"name":"Denver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2"/>
        <v>start /low /b %USERPROFILE%\Documents\GitHub\eaglep3\Utilities\DownloadLogsFromS3.py --loco 4001 --day 2017-05-21</v>
      </c>
      <c r="AN126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773</v>
      </c>
      <c r="B127" s="7">
        <v>4010</v>
      </c>
      <c r="C127" s="21" t="s">
        <v>206</v>
      </c>
      <c r="D127" s="21" t="s">
        <v>405</v>
      </c>
      <c r="E127" s="13">
        <v>42876.744780092595</v>
      </c>
      <c r="F127" s="13">
        <v>42876.746030092596</v>
      </c>
      <c r="G127" s="7">
        <v>1</v>
      </c>
      <c r="H127" s="21" t="s">
        <v>432</v>
      </c>
      <c r="I127" s="13">
        <v>42876.746527777781</v>
      </c>
      <c r="J127" s="7">
        <v>0</v>
      </c>
      <c r="K127" s="92" t="str">
        <f t="shared" si="26"/>
        <v>4009/4010</v>
      </c>
      <c r="L127" s="21" t="str">
        <f>VLOOKUP(A127,'Trips&amp;Operators'!$C$1:$G$99999,5,FALSE)</f>
        <v>MCREYNOLDS KYLE</v>
      </c>
      <c r="M127" s="6">
        <f t="shared" si="27"/>
        <v>4.9768518510973081E-4</v>
      </c>
      <c r="N127" s="7"/>
      <c r="O127" s="7"/>
      <c r="P127" s="7">
        <f>24*60*SUM($M127:$M127)</f>
        <v>0.71666666655801237</v>
      </c>
      <c r="Q127" s="22"/>
      <c r="R127" s="190" t="s">
        <v>478</v>
      </c>
      <c r="S127" s="196">
        <f t="shared" si="28"/>
        <v>0</v>
      </c>
      <c r="T127" s="190" t="str">
        <f t="shared" si="29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191" t="str">
        <f t="shared" si="30"/>
        <v>https://d0f6bd738d7f1b3e5a7ca70fe4ff75f0.us-east-1.aws.found.io/app/kibana#/discover/Steve-Slow-Train-Analysis-(2080s-and-2083s)?_g=(refreshInterval:(display:Off,pause:!f,section:0,value:0),time:(from:'2017-05-21T16:52:29-0600',mode:absolute,to:'2017-05-21T18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7" s="192" t="str">
        <f t="shared" si="31"/>
        <v>Y</v>
      </c>
      <c r="X127" s="192">
        <f t="shared" si="45"/>
        <v>1</v>
      </c>
      <c r="Y127" s="192">
        <f t="shared" si="33"/>
        <v>4.6199999999999998E-2</v>
      </c>
      <c r="Z127" s="192">
        <f t="shared" si="34"/>
        <v>4.6899999999999997E-2</v>
      </c>
      <c r="AA127" s="192">
        <f t="shared" si="35"/>
        <v>6.9999999999999923E-4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6"/>
        <v>0215-21</v>
      </c>
      <c r="AE127" s="80" t="str">
        <f t="shared" si="37"/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AF127" s="77" t="str">
        <f t="shared" si="38"/>
        <v>"C:\Program Files (x86)\AstroGrep\AstroGrep.exe" /e /r /s /spath="%USERPROFILE%\AppData\Local\Temp\OnboardLogs" /stypes="app*4010*20170521*" /stext=" 23:.+((SYSTEM_STATE.+slice.+state.+changed )|(ment ac)|(multiple cpu faults)|(system.+state.+changed )|(\[timeout)|(PRM\|1\|D)|(kpr)|(kdp)|(train st.+moving)|(\|lc)|(penalty))"</v>
      </c>
      <c r="AG127" s="1" t="str">
        <f t="shared" si="39"/>
        <v>EC</v>
      </c>
      <c r="AH127" s="81" t="str">
        <f t="shared" si="40"/>
        <v>"%USERPROFILE%\Documents\GitHub\eaglep3\Utilities\RefineRTDCRunTimes.py" --tripid 215-21 --locoid 4010 --swversion DE.1.0.9.0 --startMP 204:462 --initTime 2017-05-21T17:52:29 --startdatetime 2017-05-21T17:54:17 --delay 1 --endMP 204:469 --enddatetime 2017-05-21T17:55:00 --enforcementcount 0 &gt;&gt;C:\Users\stu\Documents\GitHub\eaglep3-reporting\EC\2017-05-21-refined-times.txt</v>
      </c>
      <c r="AI127" s="99" t="str">
        <f t="shared" si="41"/>
        <v>echo {"issue":{"subject":"Onboard in-route failure","project_id":79,"tracker_id":40,"status_id":1,"priority_id":2,"assigned_to_id":23,"start_date":"2017-05-21","description":"","custom_fields":[{"id":1,"name":"Subdivision","value":"EC"},{"id":4,"name":"Milepost","value":"0.0469"},{"id":17,"name":"Train ID","value":"215-21"},{"id":16,"name":"Locomotive ID","value":"4010"},{"id":130,"name":"Impact","value":""},{"id":150,"name":"Time of Event (Mountain Time)","value":"17:55:00"},{"id":151,"name":"Denver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2"/>
        <v>start /low /b %USERPROFILE%\Documents\GitHub\eaglep3\Utilities\DownloadLogsFromS3.py --loco 4010 --day 2017-05-21</v>
      </c>
      <c r="AN127" s="154" t="str">
        <f t="shared" si="43"/>
        <v>echo {"issue":{"subject":"Onboard in-route failure","project_id":30,"tracker_id":4,"status_id":1,"priority_id":1,"assigned_to_id":10,"start_date":"2017-05-21","description":"","custom_fields":[{"id":30,"name":"Category","value":"Issue"},{"id":3,"name":"Functional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786</v>
      </c>
      <c r="B128" s="7">
        <v>4009</v>
      </c>
      <c r="C128" s="21" t="s">
        <v>206</v>
      </c>
      <c r="D128" s="21" t="s">
        <v>942</v>
      </c>
      <c r="E128" s="13">
        <v>42876.784108796295</v>
      </c>
      <c r="F128" s="13">
        <v>42876.789710648147</v>
      </c>
      <c r="G128" s="7">
        <v>1</v>
      </c>
      <c r="H128" s="21" t="s">
        <v>418</v>
      </c>
      <c r="I128" s="13">
        <v>42876.816030092596</v>
      </c>
      <c r="J128" s="7">
        <v>0</v>
      </c>
      <c r="K128" s="92" t="str">
        <f t="shared" si="26"/>
        <v>4009/4010</v>
      </c>
      <c r="L128" s="21" t="str">
        <f>VLOOKUP(A128,'Trips&amp;Operators'!$C$1:$G$99999,5,FALSE)</f>
        <v>MCREYNOLDS KYLE</v>
      </c>
      <c r="M128" s="6">
        <f t="shared" si="27"/>
        <v>2.6319444448745344E-2</v>
      </c>
      <c r="N128" s="7">
        <f t="shared" ref="N128:N159" si="47">24*60*SUM($M128:$M128)</f>
        <v>37.900000006193295</v>
      </c>
      <c r="O128" s="7"/>
      <c r="P128" s="7"/>
      <c r="Q128" s="22"/>
      <c r="R128" s="190"/>
      <c r="S128" s="196">
        <f t="shared" si="28"/>
        <v>1</v>
      </c>
      <c r="T128" s="190" t="str">
        <f t="shared" si="29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0"/>
        <v>https://d0f6bd738d7f1b3e5a7ca70fe4ff75f0.us-east-1.aws.found.io/app/kibana#/discover/Steve-Slow-Train-Analysis-(2080s-and-2083s)?_g=(refreshInterval:(display:Off,pause:!f,section:0,value:0),time:(from:'2017-05-21T17:49:07-0600',mode:absolute,to:'2017-05-21T20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192" t="str">
        <f t="shared" si="31"/>
        <v>N</v>
      </c>
      <c r="X128" s="192">
        <f t="shared" si="45"/>
        <v>1</v>
      </c>
      <c r="Y128" s="192">
        <f t="shared" si="33"/>
        <v>23.296700000000001</v>
      </c>
      <c r="Z128" s="192">
        <f t="shared" si="34"/>
        <v>1.54E-2</v>
      </c>
      <c r="AA128" s="192">
        <f t="shared" si="35"/>
        <v>23.281300000000002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6"/>
        <v>0216-21</v>
      </c>
      <c r="AE128" s="80" t="str">
        <f t="shared" si="37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128" s="77" t="str">
        <f t="shared" si="38"/>
        <v>"C:\Program Files (x86)\AstroGrep\AstroGrep.exe" /e /r /s /spath="%USERPROFILE%\AppData\Local\Temp\OnboardLogs" /stypes="app*4009*20170522*" /stext=" 01:.+((SYSTEM_STATE.+slice.+state.+changed )|(ment ac)|(multiple cpu faults)|(system.+state.+changed )|(\[timeout)|(PRM\|1\|D)|(kpr)|(kdp)|(train st.+moving)|(\|lc)|(penalty))"</v>
      </c>
      <c r="AG128" s="1" t="str">
        <f t="shared" si="39"/>
        <v>EC</v>
      </c>
      <c r="AH128" s="81" t="str">
        <f t="shared" si="40"/>
        <v>"%USERPROFILE%\Documents\GitHub\eaglep3\Utilities\RefineRTDCRunTimes.py" --tripid 216-21 --locoid 4009 --swversion DE.1.0.9.0 --startMP 204:232967 --initTime 2017-05-21T18:49:07 --startdatetime 2017-05-21T18:57:11 --delay 1 --endMP 204:154 --enddatetime 2017-05-21T19:35:05 --enforcementcount 0 &gt;&gt;C:\Users\stu\Documents\GitHub\eaglep3-reporting\EC\2017-05-21-refined-times.txt</v>
      </c>
      <c r="AI128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{"issue":{"subject":"","project_id":79,"tracker_id":40,"status_id":1,"priority_id":2,"assigned_to_id":23,"start_date":"2017-05-21","description":"","custom_fields":[{"id":1,"name":"Subdivision","value":"EC"},{"id":4,"name":"Milepost","value":"0.0154"},{"id":17,"name":"Train ID","value":"216-21"},{"id":16,"name":"Locomotive ID","value":"4009"},{"id":130,"name":"Impact","value":""},{"id":150,"name":"Time of Event (Mountain Time)","value":"19:35:05"},{"id":151,"name":"Denver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2"/>
        <v>start /low /b %USERPROFILE%\Documents\GitHub\eaglep3\Utilities\DownloadLogsFromS3.py --loco 4009 --day 2017-05-21</v>
      </c>
      <c r="AN128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778</v>
      </c>
      <c r="B129" s="7">
        <v>4040</v>
      </c>
      <c r="C129" s="21" t="s">
        <v>206</v>
      </c>
      <c r="D129" s="21" t="s">
        <v>203</v>
      </c>
      <c r="E129" s="13">
        <v>42876.756967592592</v>
      </c>
      <c r="F129" s="13">
        <v>42876.76054398148</v>
      </c>
      <c r="G129" s="7">
        <v>3</v>
      </c>
      <c r="H129" s="21" t="s">
        <v>831</v>
      </c>
      <c r="I129" s="13">
        <v>42876.786932870367</v>
      </c>
      <c r="J129" s="7">
        <v>0</v>
      </c>
      <c r="K129" s="92" t="str">
        <f t="shared" si="26"/>
        <v>4039/4040</v>
      </c>
      <c r="L129" s="21" t="str">
        <f>VLOOKUP(A129,'Trips&amp;Operators'!$C$1:$G$99999,5,FALSE)</f>
        <v>PERKINS DARREN</v>
      </c>
      <c r="M129" s="6">
        <f t="shared" si="27"/>
        <v>2.6388888887595385E-2</v>
      </c>
      <c r="N129" s="7">
        <f t="shared" si="47"/>
        <v>37.999999998137355</v>
      </c>
      <c r="O129" s="7"/>
      <c r="P129" s="7"/>
      <c r="Q129" s="22"/>
      <c r="R129" s="190"/>
      <c r="S129" s="196">
        <f t="shared" si="28"/>
        <v>1</v>
      </c>
      <c r="T129" s="190" t="str">
        <f t="shared" si="29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0"/>
        <v>https://d0f6bd738d7f1b3e5a7ca70fe4ff75f0.us-east-1.aws.found.io/app/kibana#/discover/Steve-Slow-Train-Analysis-(2080s-and-2083s)?_g=(refreshInterval:(display:Off,pause:!f,section:0,value:0),time:(from:'2017-05-21T17:10:02-0600',mode:absolute,to:'2017-05-21T19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192" t="str">
        <f t="shared" si="31"/>
        <v>N</v>
      </c>
      <c r="X129" s="192">
        <f t="shared" si="45"/>
        <v>1</v>
      </c>
      <c r="Y129" s="192">
        <f t="shared" si="33"/>
        <v>4.5999999999999999E-2</v>
      </c>
      <c r="Z129" s="192">
        <f t="shared" si="34"/>
        <v>23.332899999999999</v>
      </c>
      <c r="AA129" s="192">
        <f t="shared" si="35"/>
        <v>23.286899999999999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6"/>
        <v>0217-21</v>
      </c>
      <c r="AE129" s="80" t="str">
        <f t="shared" si="37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129" s="77" t="str">
        <f t="shared" si="38"/>
        <v>"C:\Program Files (x86)\AstroGrep\AstroGrep.exe" /e /r /s /spath="%USERPROFILE%\AppData\Local\Temp\OnboardLogs" /stypes="app*4040*20170522*" /stext=" 00:.+((SYSTEM_STATE.+slice.+state.+changed )|(ment ac)|(multiple cpu faults)|(system.+state.+changed )|(\[timeout)|(PRM\|1\|D)|(kpr)|(kdp)|(train st.+moving)|(\|lc)|(penalty))"</v>
      </c>
      <c r="AG129" s="1" t="str">
        <f t="shared" si="39"/>
        <v>EC</v>
      </c>
      <c r="AH129" s="81" t="str">
        <f t="shared" si="40"/>
        <v>"%USERPROFILE%\Documents\GitHub\eaglep3\Utilities\RefineRTDCRunTimes.py" --tripid 217-21 --locoid 4040 --swversion DE.1.0.9.0 --startMP 204:460 --initTime 2017-05-21T18:10:02 --startdatetime 2017-05-21T18:15:11 --delay 3 --endMP 204:233329 --enddatetime 2017-05-21T18:53:11 --enforcementcount 0 &gt;&gt;C:\Users\stu\Documents\GitHub\eaglep3-reporting\EC\2017-05-21-refined-times.txt</v>
      </c>
      <c r="AI129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{"issue":{"subject":"","project_id":79,"tracker_id":40,"status_id":1,"priority_id":2,"assigned_to_id":23,"start_date":"2017-05-21","description":"","custom_fields":[{"id":1,"name":"Subdivision","value":"EC"},{"id":4,"name":"Milepost","value":"23.3329"},{"id":17,"name":"Train ID","value":"217-21"},{"id":16,"name":"Locomotive ID","value":"4040"},{"id":130,"name":"Impact","value":""},{"id":150,"name":"Time of Event (Mountain Time)","value":"18:53:11"},{"id":151,"name":"Denver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2"/>
        <v>start /low /b %USERPROFILE%\Documents\GitHub\eaglep3\Utilities\DownloadLogsFromS3.py --loco 4040 --day 2017-05-21</v>
      </c>
      <c r="AN129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609</v>
      </c>
      <c r="B130" s="7">
        <v>4039</v>
      </c>
      <c r="C130" s="21" t="s">
        <v>206</v>
      </c>
      <c r="D130" s="21" t="s">
        <v>468</v>
      </c>
      <c r="E130" s="13">
        <v>42876.793032407404</v>
      </c>
      <c r="F130" s="13">
        <v>42876.800370370373</v>
      </c>
      <c r="G130" s="7">
        <v>1</v>
      </c>
      <c r="H130" s="21" t="s">
        <v>366</v>
      </c>
      <c r="I130" s="13">
        <v>42876.82675925926</v>
      </c>
      <c r="J130" s="7">
        <v>0</v>
      </c>
      <c r="K130" s="92" t="str">
        <f t="shared" si="26"/>
        <v>4039/4040</v>
      </c>
      <c r="L130" s="21" t="str">
        <f>VLOOKUP(A130,'Trips&amp;Operators'!$C$1:$G$99999,5,FALSE)</f>
        <v>PERKINS DARREN</v>
      </c>
      <c r="M130" s="6">
        <f t="shared" si="27"/>
        <v>2.6388888887595385E-2</v>
      </c>
      <c r="N130" s="7">
        <f t="shared" si="47"/>
        <v>37.999999998137355</v>
      </c>
      <c r="O130" s="7"/>
      <c r="P130" s="7"/>
      <c r="Q130" s="22"/>
      <c r="R130" s="190"/>
      <c r="S130" s="196">
        <f t="shared" si="28"/>
        <v>1</v>
      </c>
      <c r="T130" s="190" t="str">
        <f t="shared" si="29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0"/>
        <v>https://d0f6bd738d7f1b3e5a7ca70fe4ff75f0.us-east-1.aws.found.io/app/kibana#/discover/Steve-Slow-Train-Analysis-(2080s-and-2083s)?_g=(refreshInterval:(display:Off,pause:!f,section:0,value:0),time:(from:'2017-05-21T18:01:58-0600',mode:absolute,to:'2017-05-21T20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192" t="str">
        <f t="shared" si="31"/>
        <v>N</v>
      </c>
      <c r="X130" s="192">
        <f t="shared" si="45"/>
        <v>1</v>
      </c>
      <c r="Y130" s="192">
        <f t="shared" si="33"/>
        <v>23.3</v>
      </c>
      <c r="Z130" s="192">
        <f t="shared" si="34"/>
        <v>1.3899999999999999E-2</v>
      </c>
      <c r="AA130" s="192">
        <f t="shared" si="35"/>
        <v>23.286100000000001</v>
      </c>
      <c r="AB130" s="57" t="str">
        <f>VLOOKUP(A130,Enforcements!$C$7:$K$13,8,0)</f>
        <v>Bulletin (2)</v>
      </c>
      <c r="AC130" s="53" t="str">
        <f>VLOOKUP(A130,Enforcements!$C$7:$E$13,3,0)</f>
        <v>GRADE CROSSING</v>
      </c>
      <c r="AD130" s="54" t="str">
        <f t="shared" si="36"/>
        <v>0218-21</v>
      </c>
      <c r="AE130" s="80" t="str">
        <f t="shared" si="37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130" s="77" t="str">
        <f t="shared" si="38"/>
        <v>"C:\Program Files (x86)\AstroGrep\AstroGrep.exe" /e /r /s /spath="%USERPROFILE%\AppData\Local\Temp\OnboardLogs" /stypes="app*4039*20170522*" /stext=" 01:.+((SYSTEM_STATE.+slice.+state.+changed )|(ment ac)|(multiple cpu faults)|(system.+state.+changed )|(\[timeout)|(PRM\|1\|D)|(kpr)|(kdp)|(train st.+moving)|(\|lc)|(penalty))"</v>
      </c>
      <c r="AG130" s="1" t="str">
        <f t="shared" si="39"/>
        <v>EC</v>
      </c>
      <c r="AH130" s="81" t="str">
        <f t="shared" si="40"/>
        <v>"%USERPROFILE%\Documents\GitHub\eaglep3\Utilities\RefineRTDCRunTimes.py" --tripid 218-21 --locoid 4039 --swversion DE.1.0.9.0 --startMP 204:233000 --initTime 2017-05-21T19:01:58 --startdatetime 2017-05-21T19:12:32 --delay 1 --endMP 204:139 --enddatetime 2017-05-21T19:50:32 --enforcementcount 0 &gt;&gt;C:\Users\stu\Documents\GitHub\eaglep3-reporting\EC\2017-05-21-refined-times.txt</v>
      </c>
      <c r="AI130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{"issue":{"subject":"","project_id":79,"tracker_id":40,"status_id":1,"priority_id":2,"assigned_to_id":23,"start_date":"2017-05-21","description":"","custom_fields":[{"id":1,"name":"Subdivision","value":"EC"},{"id":4,"name":"Milepost","value":"0.0139"},{"id":17,"name":"Train ID","value":"218-21"},{"id":16,"name":"Locomotive ID","value":"4039"},{"id":130,"name":"Impact","value":""},{"id":150,"name":"Time of Event (Mountain Time)","value":"19:50:32"},{"id":151,"name":"Denver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2"/>
        <v>start /low /b %USERPROFILE%\Documents\GitHub\eaglep3\Utilities\DownloadLogsFromS3.py --loco 4039 --day 2017-05-21</v>
      </c>
      <c r="AN130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01:50:32"},{"id":29,"name":"Sharepoint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780</v>
      </c>
      <c r="B131" s="7">
        <v>4042</v>
      </c>
      <c r="C131" s="21" t="s">
        <v>206</v>
      </c>
      <c r="D131" s="21" t="s">
        <v>425</v>
      </c>
      <c r="E131" s="13">
        <v>42876.767511574071</v>
      </c>
      <c r="F131" s="13">
        <v>42876.771203703705</v>
      </c>
      <c r="G131" s="7">
        <v>1</v>
      </c>
      <c r="H131" s="21" t="s">
        <v>943</v>
      </c>
      <c r="I131" s="13">
        <v>42876.7968287037</v>
      </c>
      <c r="J131" s="7">
        <v>0</v>
      </c>
      <c r="K131" s="92" t="str">
        <f t="shared" si="26"/>
        <v>4041/4042</v>
      </c>
      <c r="L131" s="21" t="str">
        <f>VLOOKUP(A131,'Trips&amp;Operators'!$C$1:$G$99999,5,FALSE)</f>
        <v>MAGEE KENYA</v>
      </c>
      <c r="M131" s="6">
        <f t="shared" si="27"/>
        <v>2.5624999994761311E-2</v>
      </c>
      <c r="N131" s="7">
        <f t="shared" si="47"/>
        <v>36.899999992456287</v>
      </c>
      <c r="O131" s="7"/>
      <c r="P131" s="7"/>
      <c r="Q131" s="22"/>
      <c r="R131" s="190"/>
      <c r="S131" s="196">
        <f t="shared" si="28"/>
        <v>1</v>
      </c>
      <c r="T131" s="190" t="str">
        <f t="shared" si="29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0"/>
        <v>https://d0f6bd738d7f1b3e5a7ca70fe4ff75f0.us-east-1.aws.found.io/app/kibana#/discover/Steve-Slow-Train-Analysis-(2080s-and-2083s)?_g=(refreshInterval:(display:Off,pause:!f,section:0,value:0),time:(from:'2017-05-21T17:25:13-0600',mode:absolute,to:'2017-05-21T20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192" t="str">
        <f t="shared" si="31"/>
        <v>N</v>
      </c>
      <c r="X131" s="192">
        <f t="shared" si="45"/>
        <v>1</v>
      </c>
      <c r="Y131" s="192">
        <f t="shared" si="33"/>
        <v>4.7300000000000002E-2</v>
      </c>
      <c r="Z131" s="192">
        <f t="shared" si="34"/>
        <v>23.341999999999999</v>
      </c>
      <c r="AA131" s="192">
        <f t="shared" si="35"/>
        <v>23.294699999999999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6"/>
        <v>0219-21</v>
      </c>
      <c r="AE131" s="80" t="str">
        <f t="shared" si="37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131" s="77" t="str">
        <f t="shared" si="38"/>
        <v>"C:\Program Files (x86)\AstroGrep\AstroGrep.exe" /e /r /s /spath="%USERPROFILE%\AppData\Local\Temp\OnboardLogs" /stypes="app*4042*20170522*" /stext=" 01:.+((SYSTEM_STATE.+slice.+state.+changed )|(ment ac)|(multiple cpu faults)|(system.+state.+changed )|(\[timeout)|(PRM\|1\|D)|(kpr)|(kdp)|(train st.+moving)|(\|lc)|(penalty))"</v>
      </c>
      <c r="AG131" s="1" t="str">
        <f t="shared" si="39"/>
        <v>EC</v>
      </c>
      <c r="AH131" s="81" t="str">
        <f t="shared" si="40"/>
        <v>"%USERPROFILE%\Documents\GitHub\eaglep3\Utilities\RefineRTDCRunTimes.py" --tripid 219-21 --locoid 4042 --swversion DE.1.0.9.0 --startMP 204:473 --initTime 2017-05-21T18:25:13 --startdatetime 2017-05-21T18:30:32 --delay 1 --endMP 204:233420 --enddatetime 2017-05-21T19:07:26 --enforcementcount 0 &gt;&gt;C:\Users\stu\Documents\GitHub\eaglep3-reporting\EC\2017-05-21-refined-times.txt</v>
      </c>
      <c r="AI131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{"issue":{"subject":"","project_id":79,"tracker_id":40,"status_id":1,"priority_id":2,"assigned_to_id":23,"start_date":"2017-05-21","description":"","custom_fields":[{"id":1,"name":"Subdivision","value":"EC"},{"id":4,"name":"Milepost","value":"23.342"},{"id":17,"name":"Train ID","value":"219-21"},{"id":16,"name":"Locomotive ID","value":"4042"},{"id":130,"name":"Impact","value":""},{"id":150,"name":"Time of Event (Mountain Time)","value":"19:07:26"},{"id":151,"name":"Denver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2"/>
        <v>start /low /b %USERPROFILE%\Documents\GitHub\eaglep3\Utilities\DownloadLogsFromS3.py --loco 4042 --day 2017-05-21</v>
      </c>
      <c r="AN131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01:07:26"},{"id":29,"name":"Sharepoint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611</v>
      </c>
      <c r="B132" s="7">
        <v>4041</v>
      </c>
      <c r="C132" s="21" t="s">
        <v>206</v>
      </c>
      <c r="D132" s="21" t="s">
        <v>944</v>
      </c>
      <c r="E132" s="13">
        <v>42876.80914351852</v>
      </c>
      <c r="F132" s="13">
        <v>42876.810601851852</v>
      </c>
      <c r="G132" s="7">
        <v>1</v>
      </c>
      <c r="H132" s="21" t="s">
        <v>418</v>
      </c>
      <c r="I132" s="13">
        <v>42876.837268518517</v>
      </c>
      <c r="J132" s="7">
        <v>0</v>
      </c>
      <c r="K132" s="92" t="str">
        <f t="shared" si="26"/>
        <v>4041/4042</v>
      </c>
      <c r="L132" s="21" t="str">
        <f>VLOOKUP(A132,'Trips&amp;Operators'!$C$1:$G$99999,5,FALSE)</f>
        <v>MAGEE KENYA</v>
      </c>
      <c r="M132" s="6">
        <f t="shared" si="27"/>
        <v>2.6666666664823424E-2</v>
      </c>
      <c r="N132" s="7">
        <f t="shared" si="47"/>
        <v>38.399999997345731</v>
      </c>
      <c r="O132" s="7"/>
      <c r="P132" s="7"/>
      <c r="Q132" s="22"/>
      <c r="R132" s="190"/>
      <c r="S132" s="196">
        <f t="shared" si="28"/>
        <v>1</v>
      </c>
      <c r="T132" s="190" t="str">
        <f t="shared" si="29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0"/>
        <v>https://d0f6bd738d7f1b3e5a7ca70fe4ff75f0.us-east-1.aws.found.io/app/kibana#/discover/Steve-Slow-Train-Analysis-(2080s-and-2083s)?_g=(refreshInterval:(display:Off,pause:!f,section:0,value:0),time:(from:'2017-05-21T18:25:10-0600',mode:absolute,to:'2017-05-21T21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192" t="str">
        <f t="shared" si="31"/>
        <v>N</v>
      </c>
      <c r="X132" s="192">
        <f t="shared" si="45"/>
        <v>1</v>
      </c>
      <c r="Y132" s="192">
        <f t="shared" si="33"/>
        <v>23.3048</v>
      </c>
      <c r="Z132" s="192">
        <f t="shared" si="34"/>
        <v>1.54E-2</v>
      </c>
      <c r="AA132" s="192">
        <f t="shared" si="35"/>
        <v>23.289400000000001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6"/>
        <v>0220-21</v>
      </c>
      <c r="AE132" s="80" t="str">
        <f t="shared" si="37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132" s="77" t="str">
        <f t="shared" si="38"/>
        <v>"C:\Program Files (x86)\AstroGrep\AstroGrep.exe" /e /r /s /spath="%USERPROFILE%\AppData\Local\Temp\OnboardLogs" /stypes="app*4041*20170522*" /stext=" 02:.+((SYSTEM_STATE.+slice.+state.+changed )|(ment ac)|(multiple cpu faults)|(system.+state.+changed )|(\[timeout)|(PRM\|1\|D)|(kpr)|(kdp)|(train st.+moving)|(\|lc)|(penalty))"</v>
      </c>
      <c r="AG132" s="1" t="str">
        <f t="shared" si="39"/>
        <v>EC</v>
      </c>
      <c r="AH132" s="81" t="str">
        <f t="shared" si="40"/>
        <v>"%USERPROFILE%\Documents\GitHub\eaglep3\Utilities\RefineRTDCRunTimes.py" --tripid 220-21 --locoid 4041 --swversion DE.1.0.9.0 --startMP 204:233048 --initTime 2017-05-21T19:25:10 --startdatetime 2017-05-21T19:27:16 --delay 1 --endMP 204:154 --enddatetime 2017-05-21T20:05:40 --enforcementcount 0 &gt;&gt;C:\Users\stu\Documents\GitHub\eaglep3-reporting\EC\2017-05-21-refined-times.txt</v>
      </c>
      <c r="AI132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{"issue":{"subject":"","project_id":79,"tracker_id":40,"status_id":1,"priority_id":2,"assigned_to_id":23,"start_date":"2017-05-21","description":"","custom_fields":[{"id":1,"name":"Subdivision","value":"EC"},{"id":4,"name":"Milepost","value":"0.0154"},{"id":17,"name":"Train ID","value":"220-21"},{"id":16,"name":"Locomotive ID","value":"4041"},{"id":130,"name":"Impact","value":""},{"id":150,"name":"Time of Event (Mountain Time)","value":"20:05:40"},{"id":151,"name":"Denver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2"/>
        <v>start /low /b %USERPROFILE%\Documents\GitHub\eaglep3\Utilities\DownloadLogsFromS3.py --loco 4041 --day 2017-05-21</v>
      </c>
      <c r="AN132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787</v>
      </c>
      <c r="B133" s="7">
        <v>4024</v>
      </c>
      <c r="C133" s="21" t="s">
        <v>206</v>
      </c>
      <c r="D133" s="21" t="s">
        <v>365</v>
      </c>
      <c r="E133" s="13">
        <v>42876.789039351854</v>
      </c>
      <c r="F133" s="13">
        <v>42876.792118055557</v>
      </c>
      <c r="G133" s="7">
        <v>1</v>
      </c>
      <c r="H133" s="21" t="s">
        <v>945</v>
      </c>
      <c r="I133" s="13">
        <v>42876.817280092589</v>
      </c>
      <c r="J133" s="7">
        <v>0</v>
      </c>
      <c r="K133" s="92" t="str">
        <f t="shared" si="26"/>
        <v>4023/4024</v>
      </c>
      <c r="L133" s="21" t="str">
        <f>VLOOKUP(A133,'Trips&amp;Operators'!$C$1:$G$99999,5,FALSE)</f>
        <v>STAMBAUGH JAMES</v>
      </c>
      <c r="M133" s="6">
        <f t="shared" si="27"/>
        <v>2.5162037032714579E-2</v>
      </c>
      <c r="N133" s="7">
        <f t="shared" si="47"/>
        <v>36.233333327108994</v>
      </c>
      <c r="O133" s="7"/>
      <c r="P133" s="7"/>
      <c r="Q133" s="22"/>
      <c r="R133" s="190"/>
      <c r="S133" s="196">
        <f t="shared" si="28"/>
        <v>1</v>
      </c>
      <c r="T133" s="190" t="str">
        <f t="shared" si="29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0"/>
        <v>https://d0f6bd738d7f1b3e5a7ca70fe4ff75f0.us-east-1.aws.found.io/app/kibana#/discover/Steve-Slow-Train-Analysis-(2080s-and-2083s)?_g=(refreshInterval:(display:Off,pause:!f,section:0,value:0),time:(from:'2017-05-21T17:56:13-0600',mode:absolute,to:'2017-05-21T20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3" s="192" t="str">
        <f t="shared" si="31"/>
        <v>N</v>
      </c>
      <c r="X133" s="192">
        <f t="shared" si="45"/>
        <v>1</v>
      </c>
      <c r="Y133" s="192">
        <f t="shared" si="33"/>
        <v>4.4699999999999997E-2</v>
      </c>
      <c r="Z133" s="192">
        <f t="shared" si="34"/>
        <v>23.345300000000002</v>
      </c>
      <c r="AA133" s="192">
        <f t="shared" si="35"/>
        <v>23.300600000000003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6"/>
        <v>0221-21</v>
      </c>
      <c r="AE133" s="80" t="str">
        <f t="shared" si="37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133" s="77" t="str">
        <f t="shared" si="38"/>
        <v>"C:\Program Files (x86)\AstroGrep\AstroGrep.exe" /e /r /s /spath="%USERPROFILE%\AppData\Local\Temp\OnboardLogs" /stypes="app*4024*20170522*" /stext=" 01:.+((SYSTEM_STATE.+slice.+state.+changed )|(ment ac)|(multiple cpu faults)|(system.+state.+changed )|(\[timeout)|(PRM\|1\|D)|(kpr)|(kdp)|(train st.+moving)|(\|lc)|(penalty))"</v>
      </c>
      <c r="AG133" s="1" t="str">
        <f t="shared" si="39"/>
        <v>EC</v>
      </c>
      <c r="AH133" s="81" t="str">
        <f t="shared" si="40"/>
        <v>"%USERPROFILE%\Documents\GitHub\eaglep3\Utilities\RefineRTDCRunTimes.py" --tripid 221-21 --locoid 4024 --swversion DE.1.0.9.0 --startMP 204:447 --initTime 2017-05-21T18:56:13 --startdatetime 2017-05-21T19:00:39 --delay 1 --endMP 204:233453 --enddatetime 2017-05-21T19:36:53 --enforcementcount 0 &gt;&gt;C:\Users\stu\Documents\GitHub\eaglep3-reporting\EC\2017-05-21-refined-times.txt</v>
      </c>
      <c r="AI133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{"issue":{"subject":"","project_id":79,"tracker_id":40,"status_id":1,"priority_id":2,"assigned_to_id":23,"start_date":"2017-05-21","description":"","custom_fields":[{"id":1,"name":"Subdivision","value":"EC"},{"id":4,"name":"Milepost","value":"23.3453"},{"id":17,"name":"Train ID","value":"221-21"},{"id":16,"name":"Locomotive ID","value":"4024"},{"id":130,"name":"Impact","value":""},{"id":150,"name":"Time of Event (Mountain Time)","value":"19:36:53"},{"id":151,"name":"Denver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2"/>
        <v>start /low /b %USERPROFILE%\Documents\GitHub\eaglep3\Utilities\DownloadLogsFromS3.py --loco 4024 --day 2017-05-21</v>
      </c>
      <c r="AN133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01:36:53"},{"id":29,"name":"Sharepoint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792</v>
      </c>
      <c r="B134" s="7">
        <v>4023</v>
      </c>
      <c r="C134" s="21" t="s">
        <v>206</v>
      </c>
      <c r="D134" s="21" t="s">
        <v>552</v>
      </c>
      <c r="E134" s="13">
        <v>42876.828263888892</v>
      </c>
      <c r="F134" s="13">
        <v>42876.831134259257</v>
      </c>
      <c r="G134" s="7">
        <v>1</v>
      </c>
      <c r="H134" s="21" t="s">
        <v>946</v>
      </c>
      <c r="I134" s="13">
        <v>42876.857314814813</v>
      </c>
      <c r="J134" s="7">
        <v>0</v>
      </c>
      <c r="K134" s="92" t="str">
        <f t="shared" si="26"/>
        <v>4023/4024</v>
      </c>
      <c r="L134" s="21" t="str">
        <f>VLOOKUP(A134,'Trips&amp;Operators'!$C$1:$G$99999,5,FALSE)</f>
        <v>STAMBAUGH JAMES</v>
      </c>
      <c r="M134" s="6">
        <f t="shared" si="27"/>
        <v>2.6180555556493346E-2</v>
      </c>
      <c r="N134" s="7">
        <f t="shared" si="47"/>
        <v>37.700000001350418</v>
      </c>
      <c r="O134" s="7"/>
      <c r="P134" s="7"/>
      <c r="Q134" s="22"/>
      <c r="R134" s="190"/>
      <c r="S134" s="196">
        <f t="shared" si="28"/>
        <v>1</v>
      </c>
      <c r="T134" s="190" t="str">
        <f t="shared" si="29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0"/>
        <v>https://d0f6bd738d7f1b3e5a7ca70fe4ff75f0.us-east-1.aws.found.io/app/kibana#/discover/Steve-Slow-Train-Analysis-(2080s-and-2083s)?_g=(refreshInterval:(display:Off,pause:!f,section:0,value:0),time:(from:'2017-05-21T18:52:42-0600',mode:absolute,to:'2017-05-21T21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4" s="192" t="str">
        <f t="shared" si="31"/>
        <v>N</v>
      </c>
      <c r="X134" s="192">
        <f t="shared" si="45"/>
        <v>1</v>
      </c>
      <c r="Y134" s="192">
        <f t="shared" si="33"/>
        <v>23.313600000000001</v>
      </c>
      <c r="Z134" s="192">
        <f t="shared" si="34"/>
        <v>1.12E-2</v>
      </c>
      <c r="AA134" s="192">
        <f t="shared" si="35"/>
        <v>23.302400000000002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6"/>
        <v>0222-21</v>
      </c>
      <c r="AE134" s="80" t="str">
        <f t="shared" si="37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134" s="77" t="str">
        <f t="shared" si="38"/>
        <v>"C:\Program Files (x86)\AstroGrep\AstroGrep.exe" /e /r /s /spath="%USERPROFILE%\AppData\Local\Temp\OnboardLogs" /stypes="app*4023*20170522*" /stext=" 02:.+((SYSTEM_STATE.+slice.+state.+changed )|(ment ac)|(multiple cpu faults)|(system.+state.+changed )|(\[timeout)|(PRM\|1\|D)|(kpr)|(kdp)|(train st.+moving)|(\|lc)|(penalty))"</v>
      </c>
      <c r="AG134" s="1" t="str">
        <f t="shared" si="39"/>
        <v>EC</v>
      </c>
      <c r="AH134" s="81" t="str">
        <f t="shared" si="40"/>
        <v>"%USERPROFILE%\Documents\GitHub\eaglep3\Utilities\RefineRTDCRunTimes.py" --tripid 222-21 --locoid 4023 --swversion DE.1.0.9.0 --startMP 204:233136 --initTime 2017-05-21T19:52:42 --startdatetime 2017-05-21T19:56:50 --delay 1 --endMP 204:112 --enddatetime 2017-05-21T20:34:32 --enforcementcount 0 &gt;&gt;C:\Users\stu\Documents\GitHub\eaglep3-reporting\EC\2017-05-21-refined-times.txt</v>
      </c>
      <c r="AI134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{"issue":{"subject":"","project_id":79,"tracker_id":40,"status_id":1,"priority_id":2,"assigned_to_id":23,"start_date":"2017-05-21","description":"","custom_fields":[{"id":1,"name":"Subdivision","value":"EC"},{"id":4,"name":"Milepost","value":"0.0112"},{"id":17,"name":"Train ID","value":"222-21"},{"id":16,"name":"Locomotive ID","value":"4023"},{"id":130,"name":"Impact","value":""},{"id":150,"name":"Time of Event (Mountain Time)","value":"20:34:32"},{"id":151,"name":"Denver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2"/>
        <v>start /low /b %USERPROFILE%\Documents\GitHub\eaglep3\Utilities\DownloadLogsFromS3.py --loco 4023 --day 2017-05-21</v>
      </c>
      <c r="AN134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790</v>
      </c>
      <c r="B135" s="7">
        <v>4002</v>
      </c>
      <c r="C135" s="21" t="s">
        <v>206</v>
      </c>
      <c r="D135" s="21" t="s">
        <v>202</v>
      </c>
      <c r="E135" s="13">
        <v>42876.807974537034</v>
      </c>
      <c r="F135" s="13">
        <v>42876.812673611108</v>
      </c>
      <c r="G135" s="7">
        <v>1</v>
      </c>
      <c r="H135" s="21" t="s">
        <v>947</v>
      </c>
      <c r="I135" s="13">
        <v>42876.838414351849</v>
      </c>
      <c r="J135" s="7">
        <v>0</v>
      </c>
      <c r="K135" s="92" t="str">
        <f t="shared" si="26"/>
        <v>4001/4002</v>
      </c>
      <c r="L135" s="21" t="str">
        <f>VLOOKUP(A135,'Trips&amp;Operators'!$C$1:$G$99999,5,FALSE)</f>
        <v>SMITH MICHAEL</v>
      </c>
      <c r="M135" s="6">
        <f t="shared" si="27"/>
        <v>2.5740740740729962E-2</v>
      </c>
      <c r="N135" s="7">
        <f t="shared" si="47"/>
        <v>37.066666666651145</v>
      </c>
      <c r="O135" s="7"/>
      <c r="P135" s="7"/>
      <c r="Q135" s="22"/>
      <c r="R135" s="190"/>
      <c r="S135" s="196">
        <f t="shared" si="28"/>
        <v>1</v>
      </c>
      <c r="T135" s="190" t="str">
        <f t="shared" si="29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0"/>
        <v>https://d0f6bd738d7f1b3e5a7ca70fe4ff75f0.us-east-1.aws.found.io/app/kibana#/discover/Steve-Slow-Train-Analysis-(2080s-and-2083s)?_g=(refreshInterval:(display:Off,pause:!f,section:0,value:0),time:(from:'2017-05-21T18:23:29-0600',mode:absolute,to:'2017-05-21T21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92" t="str">
        <f t="shared" si="31"/>
        <v>N</v>
      </c>
      <c r="X135" s="192">
        <f t="shared" si="45"/>
        <v>1</v>
      </c>
      <c r="Y135" s="192">
        <f t="shared" si="33"/>
        <v>4.5699999999999998E-2</v>
      </c>
      <c r="Z135" s="192">
        <f t="shared" si="34"/>
        <v>23.325500000000002</v>
      </c>
      <c r="AA135" s="192">
        <f t="shared" si="35"/>
        <v>23.279800000000002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6"/>
        <v>0223-21</v>
      </c>
      <c r="AE135" s="80" t="str">
        <f t="shared" si="37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135" s="77" t="str">
        <f t="shared" si="38"/>
        <v>"C:\Program Files (x86)\AstroGrep\AstroGrep.exe" /e /r /s /spath="%USERPROFILE%\AppData\Local\Temp\OnboardLogs" /stypes="app*4002*20170522*" /stext=" 02:.+((SYSTEM_STATE.+slice.+state.+changed )|(ment ac)|(multiple cpu faults)|(system.+state.+changed )|(\[timeout)|(PRM\|1\|D)|(kpr)|(kdp)|(train st.+moving)|(\|lc)|(penalty))"</v>
      </c>
      <c r="AG135" s="1" t="str">
        <f t="shared" si="39"/>
        <v>EC</v>
      </c>
      <c r="AH135" s="81" t="str">
        <f t="shared" si="40"/>
        <v>"%USERPROFILE%\Documents\GitHub\eaglep3\Utilities\RefineRTDCRunTimes.py" --tripid 223-21 --locoid 4002 --swversion DE.1.0.9.0 --startMP 204:457 --initTime 2017-05-21T19:23:29 --startdatetime 2017-05-21T19:30:15 --delay 1 --endMP 204:233255 --enddatetime 2017-05-21T20:07:19 --enforcementcount 0 &gt;&gt;C:\Users\stu\Documents\GitHub\eaglep3-reporting\EC\2017-05-21-refined-times.txt</v>
      </c>
      <c r="AI135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{"issue":{"subject":"","project_id":79,"tracker_id":40,"status_id":1,"priority_id":2,"assigned_to_id":23,"start_date":"2017-05-21","description":"","custom_fields":[{"id":1,"name":"Subdivision","value":"EC"},{"id":4,"name":"Milepost","value":"23.3255"},{"id":17,"name":"Train ID","value":"223-21"},{"id":16,"name":"Locomotive ID","value":"4002"},{"id":130,"name":"Impact","value":""},{"id":150,"name":"Time of Event (Mountain Time)","value":"20:07:19"},{"id":151,"name":"Denver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2"/>
        <v>start /low /b %USERPROFILE%\Documents\GitHub\eaglep3\Utilities\DownloadLogsFromS3.py --loco 4002 --day 2017-05-21</v>
      </c>
      <c r="AN135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02:07:19"},{"id":29,"name":"Sharepoint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793</v>
      </c>
      <c r="B136" s="7">
        <v>4001</v>
      </c>
      <c r="C136" s="21" t="s">
        <v>206</v>
      </c>
      <c r="D136" s="21" t="s">
        <v>870</v>
      </c>
      <c r="E136" s="13">
        <v>42876.843275462961</v>
      </c>
      <c r="F136" s="13">
        <v>42876.852268518516</v>
      </c>
      <c r="G136" s="7">
        <v>1</v>
      </c>
      <c r="H136" s="21" t="s">
        <v>368</v>
      </c>
      <c r="I136" s="13">
        <v>42876.879976851851</v>
      </c>
      <c r="J136" s="7">
        <v>0</v>
      </c>
      <c r="K136" s="92" t="str">
        <f t="shared" si="26"/>
        <v>4001/4002</v>
      </c>
      <c r="L136" s="21" t="str">
        <f>VLOOKUP(A136,'Trips&amp;Operators'!$C$1:$G$99999,5,FALSE)</f>
        <v>SMITH MICHAEL</v>
      </c>
      <c r="M136" s="6">
        <f t="shared" si="27"/>
        <v>2.7708333334885538E-2</v>
      </c>
      <c r="N136" s="7">
        <f t="shared" si="47"/>
        <v>39.900000002235174</v>
      </c>
      <c r="O136" s="7"/>
      <c r="P136" s="7"/>
      <c r="Q136" s="22"/>
      <c r="R136" s="190"/>
      <c r="S136" s="196">
        <f t="shared" si="28"/>
        <v>1</v>
      </c>
      <c r="T136" s="190" t="str">
        <f t="shared" si="29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0"/>
        <v>https://d0f6bd738d7f1b3e5a7ca70fe4ff75f0.us-east-1.aws.found.io/app/kibana#/discover/Steve-Slow-Train-Analysis-(2080s-and-2083s)?_g=(refreshInterval:(display:Off,pause:!f,section:0,value:0),time:(from:'2017-05-21T19:14:19-0600',mode:absolute,to:'2017-05-21T22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92" t="str">
        <f t="shared" si="31"/>
        <v>N</v>
      </c>
      <c r="X136" s="192">
        <f t="shared" si="45"/>
        <v>1</v>
      </c>
      <c r="Y136" s="192">
        <f t="shared" si="33"/>
        <v>23.296900000000001</v>
      </c>
      <c r="Z136" s="192">
        <f t="shared" si="34"/>
        <v>1.41E-2</v>
      </c>
      <c r="AA136" s="192">
        <f t="shared" si="35"/>
        <v>23.282800000000002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6"/>
        <v>0224-21</v>
      </c>
      <c r="AE136" s="80" t="str">
        <f t="shared" si="37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136" s="77" t="str">
        <f t="shared" si="38"/>
        <v>"C:\Program Files (x86)\AstroGrep\AstroGrep.exe" /e /r /s /spath="%USERPROFILE%\AppData\Local\Temp\OnboardLogs" /stypes="app*4001*20170522*" /stext=" 03:.+((SYSTEM_STATE.+slice.+state.+changed )|(ment ac)|(multiple cpu faults)|(system.+state.+changed )|(\[timeout)|(PRM\|1\|D)|(kpr)|(kdp)|(train st.+moving)|(\|lc)|(penalty))"</v>
      </c>
      <c r="AG136" s="1" t="str">
        <f t="shared" si="39"/>
        <v>EC</v>
      </c>
      <c r="AH136" s="81" t="str">
        <f t="shared" si="40"/>
        <v>"%USERPROFILE%\Documents\GitHub\eaglep3\Utilities\RefineRTDCRunTimes.py" --tripid 224-21 --locoid 4001 --swversion DE.1.0.9.0 --startMP 204:232969 --initTime 2017-05-21T20:14:19 --startdatetime 2017-05-21T20:27:16 --delay 1 --endMP 204:141 --enddatetime 2017-05-21T21:07:10 --enforcementcount 0 &gt;&gt;C:\Users\stu\Documents\GitHub\eaglep3-reporting\EC\2017-05-21-refined-times.txt</v>
      </c>
      <c r="AI136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{"issue":{"subject":"","project_id":79,"tracker_id":40,"status_id":1,"priority_id":2,"assigned_to_id":23,"start_date":"2017-05-21","description":"","custom_fields":[{"id":1,"name":"Subdivision","value":"EC"},{"id":4,"name":"Milepost","value":"0.0141"},{"id":17,"name":"Train ID","value":"224-21"},{"id":16,"name":"Locomotive ID","value":"4001"},{"id":130,"name":"Impact","value":""},{"id":150,"name":"Time of Event (Mountain Time)","value":"21:07:10"},{"id":151,"name":"Denver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2"/>
        <v>start /low /b %USERPROFILE%\Documents\GitHub\eaglep3\Utilities\DownloadLogsFromS3.py --loco 4001 --day 2017-05-21</v>
      </c>
      <c r="AN136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612</v>
      </c>
      <c r="B137" s="7">
        <v>4040</v>
      </c>
      <c r="C137" s="21" t="s">
        <v>206</v>
      </c>
      <c r="D137" s="21" t="s">
        <v>347</v>
      </c>
      <c r="E137" s="13">
        <v>42876.828298611108</v>
      </c>
      <c r="F137" s="13">
        <v>42876.83353009259</v>
      </c>
      <c r="G137" s="7">
        <v>1</v>
      </c>
      <c r="H137" s="21" t="s">
        <v>467</v>
      </c>
      <c r="I137" s="13">
        <v>42876.861215277779</v>
      </c>
      <c r="J137" s="7">
        <v>0</v>
      </c>
      <c r="K137" s="92" t="str">
        <f t="shared" si="26"/>
        <v>4039/4040</v>
      </c>
      <c r="L137" s="21" t="str">
        <f>VLOOKUP(A137,'Trips&amp;Operators'!$C$1:$G$99999,5,FALSE)</f>
        <v>PERKINS DARREN</v>
      </c>
      <c r="M137" s="6">
        <f t="shared" si="27"/>
        <v>2.768518518860219E-2</v>
      </c>
      <c r="N137" s="7">
        <f t="shared" si="47"/>
        <v>39.866666671587154</v>
      </c>
      <c r="O137" s="7"/>
      <c r="P137" s="7"/>
      <c r="Q137" s="22"/>
      <c r="R137" s="190"/>
      <c r="S137" s="196">
        <f t="shared" si="28"/>
        <v>1</v>
      </c>
      <c r="T137" s="190" t="str">
        <f t="shared" si="29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0"/>
        <v>https://d0f6bd738d7f1b3e5a7ca70fe4ff75f0.us-east-1.aws.found.io/app/kibana#/discover/Steve-Slow-Train-Analysis-(2080s-and-2083s)?_g=(refreshInterval:(display:Off,pause:!f,section:0,value:0),time:(from:'2017-05-21T18:52:45-0600',mode:absolute,to:'2017-05-21T21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192" t="str">
        <f t="shared" si="31"/>
        <v>N</v>
      </c>
      <c r="X137" s="192">
        <f t="shared" si="45"/>
        <v>1</v>
      </c>
      <c r="Y137" s="192">
        <f t="shared" si="33"/>
        <v>4.4900000000000002E-2</v>
      </c>
      <c r="Z137" s="192">
        <f t="shared" si="34"/>
        <v>23.331199999999999</v>
      </c>
      <c r="AA137" s="192">
        <f t="shared" si="35"/>
        <v>23.286300000000001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6"/>
        <v>0225-21</v>
      </c>
      <c r="AE137" s="80" t="str">
        <f t="shared" si="37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137" s="77" t="str">
        <f t="shared" si="38"/>
        <v>"C:\Program Files (x86)\AstroGrep\AstroGrep.exe" /e /r /s /spath="%USERPROFILE%\AppData\Local\Temp\OnboardLogs" /stypes="app*4040*20170522*" /stext=" 02:.+((SYSTEM_STATE.+slice.+state.+changed )|(ment ac)|(multiple cpu faults)|(system.+state.+changed )|(\[timeout)|(PRM\|1\|D)|(kpr)|(kdp)|(train st.+moving)|(\|lc)|(penalty))"</v>
      </c>
      <c r="AG137" s="1" t="str">
        <f t="shared" si="39"/>
        <v>EC</v>
      </c>
      <c r="AH137" s="81" t="str">
        <f t="shared" si="40"/>
        <v>"%USERPROFILE%\Documents\GitHub\eaglep3\Utilities\RefineRTDCRunTimes.py" --tripid 225-21 --locoid 4040 --swversion DE.1.0.9.0 --startMP 204:449 --initTime 2017-05-21T19:52:45 --startdatetime 2017-05-21T20:00:17 --delay 1 --endMP 204:233312 --enddatetime 2017-05-21T20:40:09 --enforcementcount 0 &gt;&gt;C:\Users\stu\Documents\GitHub\eaglep3-reporting\EC\2017-05-21-refined-times.txt</v>
      </c>
      <c r="AI137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{"issue":{"subject":"","project_id":79,"tracker_id":40,"status_id":1,"priority_id":2,"assigned_to_id":23,"start_date":"2017-05-21","description":"","custom_fields":[{"id":1,"name":"Subdivision","value":"EC"},{"id":4,"name":"Milepost","value":"23.3312"},{"id":17,"name":"Train ID","value":"225-21"},{"id":16,"name":"Locomotive ID","value":"4040"},{"id":130,"name":"Impact","value":""},{"id":150,"name":"Time of Event (Mountain Time)","value":"20:40:09"},{"id":151,"name":"Denver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2"/>
        <v>start /low /b %USERPROFILE%\Documents\GitHub\eaglep3\Utilities\DownloadLogsFromS3.py --loco 4040 --day 2017-05-21</v>
      </c>
      <c r="AN137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02:40:09"},{"id":29,"name":"Sharepoint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798</v>
      </c>
      <c r="B138" s="7">
        <v>4039</v>
      </c>
      <c r="C138" s="21" t="s">
        <v>206</v>
      </c>
      <c r="D138" s="21" t="s">
        <v>948</v>
      </c>
      <c r="E138" s="13">
        <v>42876.866435185184</v>
      </c>
      <c r="F138" s="13">
        <v>42876.873252314814</v>
      </c>
      <c r="G138" s="7">
        <v>1</v>
      </c>
      <c r="H138" s="21" t="s">
        <v>356</v>
      </c>
      <c r="I138" s="13">
        <v>42876.899351851855</v>
      </c>
      <c r="J138" s="7">
        <v>0</v>
      </c>
      <c r="K138" s="92" t="str">
        <f t="shared" si="26"/>
        <v>4039/4040</v>
      </c>
      <c r="L138" s="21" t="str">
        <f>VLOOKUP(A138,'Trips&amp;Operators'!$C$1:$G$99999,5,FALSE)</f>
        <v>PERKINS DARREN</v>
      </c>
      <c r="M138" s="6">
        <f t="shared" si="27"/>
        <v>2.6099537040863652E-2</v>
      </c>
      <c r="N138" s="7">
        <f t="shared" si="47"/>
        <v>37.583333338843659</v>
      </c>
      <c r="O138" s="7"/>
      <c r="P138" s="7"/>
      <c r="Q138" s="22"/>
      <c r="R138" s="190"/>
      <c r="S138" s="196">
        <f t="shared" si="28"/>
        <v>1</v>
      </c>
      <c r="T138" s="190" t="str">
        <f t="shared" si="29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0"/>
        <v>https://d0f6bd738d7f1b3e5a7ca70fe4ff75f0.us-east-1.aws.found.io/app/kibana#/discover/Steve-Slow-Train-Analysis-(2080s-and-2083s)?_g=(refreshInterval:(display:Off,pause:!f,section:0,value:0),time:(from:'2017-05-21T19:47:40-0600',mode:absolute,to:'2017-05-21T22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192" t="str">
        <f t="shared" si="31"/>
        <v>N</v>
      </c>
      <c r="X138" s="192">
        <f t="shared" si="45"/>
        <v>1</v>
      </c>
      <c r="Y138" s="192">
        <f t="shared" si="33"/>
        <v>23.298400000000001</v>
      </c>
      <c r="Z138" s="192">
        <f t="shared" si="34"/>
        <v>1.49E-2</v>
      </c>
      <c r="AA138" s="192">
        <f t="shared" si="35"/>
        <v>23.2835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6"/>
        <v>0226-21</v>
      </c>
      <c r="AE138" s="80" t="str">
        <f t="shared" si="37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138" s="77" t="str">
        <f t="shared" si="38"/>
        <v>"C:\Program Files (x86)\AstroGrep\AstroGrep.exe" /e /r /s /spath="%USERPROFILE%\AppData\Local\Temp\OnboardLogs" /stypes="app*4039*20170522*" /stext=" 03:.+((SYSTEM_STATE.+slice.+state.+changed )|(ment ac)|(multiple cpu faults)|(system.+state.+changed )|(\[timeout)|(PRM\|1\|D)|(kpr)|(kdp)|(train st.+moving)|(\|lc)|(penalty))"</v>
      </c>
      <c r="AG138" s="1" t="str">
        <f t="shared" si="39"/>
        <v>EC</v>
      </c>
      <c r="AH138" s="81" t="str">
        <f t="shared" si="40"/>
        <v>"%USERPROFILE%\Documents\GitHub\eaglep3\Utilities\RefineRTDCRunTimes.py" --tripid 226-21 --locoid 4039 --swversion DE.1.0.9.0 --startMP 204:232984 --initTime 2017-05-21T20:47:40 --startdatetime 2017-05-21T20:57:29 --delay 1 --endMP 204:149 --enddatetime 2017-05-21T21:35:04 --enforcementcount 0 &gt;&gt;C:\Users\stu\Documents\GitHub\eaglep3-reporting\EC\2017-05-21-refined-times.txt</v>
      </c>
      <c r="AI138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{"issue":{"subject":"","project_id":79,"tracker_id":40,"status_id":1,"priority_id":2,"assigned_to_id":23,"start_date":"2017-05-21","description":"","custom_fields":[{"id":1,"name":"Subdivision","value":"EC"},{"id":4,"name":"Milepost","value":"0.0149"},{"id":17,"name":"Train ID","value":"226-21"},{"id":16,"name":"Locomotive ID","value":"4039"},{"id":130,"name":"Impact","value":""},{"id":150,"name":"Time of Event (Mountain Time)","value":"21:35:04"},{"id":151,"name":"Denver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2"/>
        <v>start /low /b %USERPROFILE%\Documents\GitHub\eaglep3\Utilities\DownloadLogsFromS3.py --loco 4039 --day 2017-05-21</v>
      </c>
      <c r="AN138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2" t="s">
        <v>795</v>
      </c>
      <c r="B139" s="7">
        <v>4042</v>
      </c>
      <c r="C139" s="21" t="s">
        <v>206</v>
      </c>
      <c r="D139" s="21" t="s">
        <v>495</v>
      </c>
      <c r="E139" s="13">
        <v>42876.850949074076</v>
      </c>
      <c r="F139" s="13">
        <v>42876.854548611111</v>
      </c>
      <c r="G139" s="7">
        <v>1</v>
      </c>
      <c r="H139" s="21" t="s">
        <v>949</v>
      </c>
      <c r="I139" s="13">
        <v>42876.879872685182</v>
      </c>
      <c r="J139" s="7">
        <v>0</v>
      </c>
      <c r="K139" s="92" t="str">
        <f t="shared" si="26"/>
        <v>4041/4042</v>
      </c>
      <c r="L139" s="21" t="str">
        <f>VLOOKUP(A139,'Trips&amp;Operators'!$C$1:$G$99999,5,FALSE)</f>
        <v>MAGEE KENYA</v>
      </c>
      <c r="M139" s="6">
        <f t="shared" si="27"/>
        <v>2.5324074071249925E-2</v>
      </c>
      <c r="N139" s="7">
        <f t="shared" si="47"/>
        <v>36.466666662599891</v>
      </c>
      <c r="O139" s="7"/>
      <c r="P139" s="7"/>
      <c r="Q139" s="22"/>
      <c r="R139" s="190"/>
      <c r="S139" s="196">
        <f t="shared" si="28"/>
        <v>1</v>
      </c>
      <c r="T139" s="190" t="str">
        <f t="shared" si="29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0"/>
        <v>https://d0f6bd738d7f1b3e5a7ca70fe4ff75f0.us-east-1.aws.found.io/app/kibana#/discover/Steve-Slow-Train-Analysis-(2080s-and-2083s)?_g=(refreshInterval:(display:Off,pause:!f,section:0,value:0),time:(from:'2017-05-21T19:25:22-0600',mode:absolute,to:'2017-05-21T22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192" t="str">
        <f t="shared" si="31"/>
        <v>N</v>
      </c>
      <c r="X139" s="192">
        <f t="shared" si="45"/>
        <v>1</v>
      </c>
      <c r="Y139" s="192">
        <f t="shared" si="33"/>
        <v>4.3799999999999999E-2</v>
      </c>
      <c r="Z139" s="192">
        <f t="shared" si="34"/>
        <v>23.3416</v>
      </c>
      <c r="AA139" s="192">
        <f t="shared" si="35"/>
        <v>23.297799999999999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6"/>
        <v>0227-21</v>
      </c>
      <c r="AE139" s="80" t="str">
        <f t="shared" si="37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139" s="77" t="str">
        <f t="shared" si="38"/>
        <v>"C:\Program Files (x86)\AstroGrep\AstroGrep.exe" /e /r /s /spath="%USERPROFILE%\AppData\Local\Temp\OnboardLogs" /stypes="app*4042*20170522*" /stext=" 03:.+((SYSTEM_STATE.+slice.+state.+changed )|(ment ac)|(multiple cpu faults)|(system.+state.+changed )|(\[timeout)|(PRM\|1\|D)|(kpr)|(kdp)|(train st.+moving)|(\|lc)|(penalty))"</v>
      </c>
      <c r="AG139" s="1" t="str">
        <f t="shared" si="39"/>
        <v>EC</v>
      </c>
      <c r="AH139" s="81" t="str">
        <f t="shared" si="40"/>
        <v>"%USERPROFILE%\Documents\GitHub\eaglep3\Utilities\RefineRTDCRunTimes.py" --tripid 227-21 --locoid 4042 --swversion DE.1.0.9.0 --startMP 204:438 --initTime 2017-05-21T20:25:22 --startdatetime 2017-05-21T20:30:33 --delay 1 --endMP 204:233416 --enddatetime 2017-05-21T21:07:01 --enforcementcount 0 &gt;&gt;C:\Users\stu\Documents\GitHub\eaglep3-reporting\EC\2017-05-21-refined-times.txt</v>
      </c>
      <c r="AI139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{"issue":{"subject":"","project_id":79,"tracker_id":40,"status_id":1,"priority_id":2,"assigned_to_id":23,"start_date":"2017-05-21","description":"","custom_fields":[{"id":1,"name":"Subdivision","value":"EC"},{"id":4,"name":"Milepost","value":"23.3416"},{"id":17,"name":"Train ID","value":"227-21"},{"id":16,"name":"Locomotive ID","value":"4042"},{"id":130,"name":"Impact","value":""},{"id":150,"name":"Time of Event (Mountain Time)","value":"21:07:01"},{"id":151,"name":"Denver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7"/>
      <c r="AL139" s="47"/>
      <c r="AM139" s="145" t="str">
        <f t="shared" si="42"/>
        <v>start /low /b %USERPROFILE%\Documents\GitHub\eaglep3\Utilities\DownloadLogsFromS3.py --loco 4042 --day 2017-05-21</v>
      </c>
      <c r="AN139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03:07:01"},{"id":29,"name":"Sharepoint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2" t="s">
        <v>614</v>
      </c>
      <c r="B140" s="7">
        <v>4041</v>
      </c>
      <c r="C140" s="21" t="s">
        <v>206</v>
      </c>
      <c r="D140" s="21" t="s">
        <v>866</v>
      </c>
      <c r="E140" s="13">
        <v>42876.890034722222</v>
      </c>
      <c r="F140" s="13">
        <v>42876.893923611111</v>
      </c>
      <c r="G140" s="7">
        <v>1</v>
      </c>
      <c r="H140" s="21" t="s">
        <v>362</v>
      </c>
      <c r="I140" s="13">
        <v>42876.921122685184</v>
      </c>
      <c r="J140" s="7">
        <v>0</v>
      </c>
      <c r="K140" s="92" t="str">
        <f t="shared" si="26"/>
        <v>4041/4042</v>
      </c>
      <c r="L140" s="21" t="str">
        <f>VLOOKUP(A140,'Trips&amp;Operators'!$C$1:$G$99999,5,FALSE)</f>
        <v>MAGEE KENYA</v>
      </c>
      <c r="M140" s="6">
        <f t="shared" si="27"/>
        <v>2.7199074072996154E-2</v>
      </c>
      <c r="N140" s="7">
        <f t="shared" si="47"/>
        <v>39.166666665114462</v>
      </c>
      <c r="O140" s="7"/>
      <c r="P140" s="7"/>
      <c r="Q140" s="22"/>
      <c r="R140" s="190"/>
      <c r="S140" s="196">
        <f t="shared" si="28"/>
        <v>1</v>
      </c>
      <c r="T140" s="190" t="str">
        <f t="shared" si="29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0"/>
        <v>https://d0f6bd738d7f1b3e5a7ca70fe4ff75f0.us-east-1.aws.found.io/app/kibana#/discover/Steve-Slow-Train-Analysis-(2080s-and-2083s)?_g=(refreshInterval:(display:Off,pause:!f,section:0,value:0),time:(from:'2017-05-21T20:21:39-0600',mode:absolute,to:'2017-05-21T23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192" t="str">
        <f t="shared" si="31"/>
        <v>N</v>
      </c>
      <c r="X140" s="192">
        <f t="shared" si="45"/>
        <v>1</v>
      </c>
      <c r="Y140" s="192">
        <f t="shared" si="33"/>
        <v>23.305900000000001</v>
      </c>
      <c r="Z140" s="192">
        <f t="shared" si="34"/>
        <v>1.5599999999999999E-2</v>
      </c>
      <c r="AA140" s="192">
        <f t="shared" si="35"/>
        <v>23.290300000000002</v>
      </c>
      <c r="AB140" s="57" t="str">
        <f>VLOOKUP(A140,Enforcements!$C$7:$K$13,8,0)</f>
        <v>Bulletin (2)</v>
      </c>
      <c r="AC140" s="53" t="str">
        <f>VLOOKUP(A140,Enforcements!$C$7:$E$13,3,0)</f>
        <v>GRADE CROSSING</v>
      </c>
      <c r="AD140" s="54" t="str">
        <f t="shared" si="36"/>
        <v>0228-21</v>
      </c>
      <c r="AE140" s="80" t="str">
        <f t="shared" si="37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140" s="77" t="str">
        <f t="shared" si="38"/>
        <v>"C:\Program Files (x86)\AstroGrep\AstroGrep.exe" /e /r /s /spath="%USERPROFILE%\AppData\Local\Temp\OnboardLogs" /stypes="app*4041*20170522*" /stext=" 04:.+((SYSTEM_STATE.+slice.+state.+changed )|(ment ac)|(multiple cpu faults)|(system.+state.+changed )|(\[timeout)|(PRM\|1\|D)|(kpr)|(kdp)|(train st.+moving)|(\|lc)|(penalty))"</v>
      </c>
      <c r="AG140" s="1" t="str">
        <f t="shared" si="39"/>
        <v>EC</v>
      </c>
      <c r="AH140" s="81" t="str">
        <f t="shared" si="40"/>
        <v>"%USERPROFILE%\Documents\GitHub\eaglep3\Utilities\RefineRTDCRunTimes.py" --tripid 228-21 --locoid 4041 --swversion DE.1.0.9.0 --startMP 204:233059 --initTime 2017-05-21T21:21:39 --startdatetime 2017-05-21T21:27:15 --delay 1 --endMP 204:156 --enddatetime 2017-05-21T22:06:25 --enforcementcount 0 &gt;&gt;C:\Users\stu\Documents\GitHub\eaglep3-reporting\EC\2017-05-21-refined-times.txt</v>
      </c>
      <c r="AI140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{"issue":{"subject":"","project_id":79,"tracker_id":40,"status_id":1,"priority_id":2,"assigned_to_id":23,"start_date":"2017-05-21","description":"","custom_fields":[{"id":1,"name":"Subdivision","value":"EC"},{"id":4,"name":"Milepost","value":"0.0156"},{"id":17,"name":"Train ID","value":"228-21"},{"id":16,"name":"Locomotive ID","value":"4041"},{"id":130,"name":"Impact","value":""},{"id":150,"name":"Time of Event (Mountain Time)","value":"22:06:25"},{"id":151,"name":"Denver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2"/>
        <v>start /low /b %USERPROFILE%\Documents\GitHub\eaglep3\Utilities\DownloadLogsFromS3.py --loco 4041 --day 2017-05-21</v>
      </c>
      <c r="AN140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796</v>
      </c>
      <c r="B141" s="7">
        <v>4024</v>
      </c>
      <c r="C141" s="21" t="s">
        <v>206</v>
      </c>
      <c r="D141" s="21" t="s">
        <v>950</v>
      </c>
      <c r="E141" s="13">
        <v>42876.859791666669</v>
      </c>
      <c r="F141" s="13">
        <v>42876.875497685185</v>
      </c>
      <c r="G141" s="7">
        <v>1</v>
      </c>
      <c r="H141" s="21" t="s">
        <v>951</v>
      </c>
      <c r="I141" s="13">
        <v>42876.900567129633</v>
      </c>
      <c r="J141" s="7">
        <v>0</v>
      </c>
      <c r="K141" s="92" t="str">
        <f t="shared" ref="K141:K204" si="48">IF(ISEVEN(B141),(B141-1)&amp;"/"&amp;B141,B141&amp;"/"&amp;(B141+1))</f>
        <v>4023/4024</v>
      </c>
      <c r="L141" s="21" t="str">
        <f>VLOOKUP(A141,'Trips&amp;Operators'!$C$1:$G$99999,5,FALSE)</f>
        <v>STAMBAUGH JAMES</v>
      </c>
      <c r="M141" s="6">
        <f t="shared" ref="M141:M204" si="49">I141-F141</f>
        <v>2.5069444447581191E-2</v>
      </c>
      <c r="N141" s="7">
        <f t="shared" si="47"/>
        <v>36.100000004516914</v>
      </c>
      <c r="O141" s="7"/>
      <c r="P141" s="7"/>
      <c r="Q141" s="22"/>
      <c r="R141" s="190"/>
      <c r="S141" s="196">
        <f t="shared" ref="S141:S204" si="50">SUM(U141:U141)/IF(AG141="EC",12,1)</f>
        <v>1</v>
      </c>
      <c r="T141" s="190" t="str">
        <f t="shared" ref="T141:T204" si="51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-21T19:38:06-0600',mode:absolute,to:'2017-05-21T22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1" s="192" t="str">
        <f t="shared" ref="W141:W204" si="53">IF(AA141&lt;IF(AG141="EC",23,5.65),"Y","N")</f>
        <v>N</v>
      </c>
      <c r="X141" s="192">
        <f t="shared" ref="X141:X153" si="54">VALUE(LEFT(AD141,4))-VALUE(LEFT(AD140,4))</f>
        <v>1</v>
      </c>
      <c r="Y141" s="192">
        <f t="shared" ref="Y141:Y204" si="55">RIGHT(D141,LEN(D141)-4)/10000</f>
        <v>4.24E-2</v>
      </c>
      <c r="Z141" s="192">
        <f t="shared" ref="Z141:Z204" si="56">RIGHT(H141,LEN(H141)-4)/10000</f>
        <v>23.3431</v>
      </c>
      <c r="AA141" s="192">
        <f t="shared" ref="AA141:AA204" si="57">ABS(Z141-Y141)</f>
        <v>23.300699999999999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58">IF(LEN(A141)=6,"0"&amp;A141,A141)</f>
        <v>0229-21</v>
      </c>
      <c r="AE141" s="80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141" s="77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/stypes="app*4024*20170522*"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1" t="str">
        <f t="shared" si="40"/>
        <v>"%USERPROFILE%\Documents\GitHub\eaglep3\Utilities\RefineRTDCRunTimes.py" --tripid 229-21 --locoid 4024 --swversion DE.1.0.9.0 --startMP 204:424 --initTime 2017-05-21T20:38:06 --startdatetime 2017-05-21T21:00:43 --delay 1 --endMP 204:233431 --enddatetime 2017-05-21T21:36:49 --enforcementcount 0 &gt;&gt;C:\Users\stu\Documents\GitHub\eaglep3-reporting\EC\2017-05-21-refined-times.txt</v>
      </c>
      <c r="AI141" s="99" t="str">
        <f t="shared" si="41"/>
        <v>echo {"issue":{"subject":"","project_id":79,"tracker_id":40,"status_id":1,"priority_id":2,"assigned_to_id":23,"start_date":"2017-05-21","description":"","custom_fields":[{"id":1,"name":"Subdivision","value":"EC"},{"id":4,"name":"Milepost","value":"23.3431"},{"id":17,"name":"Train ID","value":"229-21"},{"id":16,"name":"Locomotive ID","value":"4024"},{"id":130,"name":"Impact","value":""},{"id":150,"name":"Time of Event (Mountain Time)","value":"21:36:49"},{"id":151,"name":"Denver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2"/>
        <v>start /low /b %USERPROFILE%\Documents\GitHub\eaglep3\Utilities\DownloadLogsFromS3.py --loco 4024 --day 2017-05-21</v>
      </c>
      <c r="AN141" s="154" t="str">
        <f t="shared" si="43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801</v>
      </c>
      <c r="B142" s="7">
        <v>4023</v>
      </c>
      <c r="C142" s="21" t="s">
        <v>206</v>
      </c>
      <c r="D142" s="21" t="s">
        <v>952</v>
      </c>
      <c r="E142" s="13">
        <v>42876.91028935185</v>
      </c>
      <c r="F142" s="13">
        <v>42876.915023148147</v>
      </c>
      <c r="G142" s="7">
        <v>1</v>
      </c>
      <c r="H142" s="21" t="s">
        <v>357</v>
      </c>
      <c r="I142" s="13">
        <v>42876.940798611111</v>
      </c>
      <c r="J142" s="7">
        <v>0</v>
      </c>
      <c r="K142" s="92" t="str">
        <f t="shared" si="48"/>
        <v>4023/4024</v>
      </c>
      <c r="L142" s="21" t="str">
        <f>VLOOKUP(A142,'Trips&amp;Operators'!$C$1:$G$99999,5,FALSE)</f>
        <v>STAMBAUGH JAMES</v>
      </c>
      <c r="M142" s="6">
        <f t="shared" si="49"/>
        <v>2.5775462963792961E-2</v>
      </c>
      <c r="N142" s="7">
        <f t="shared" si="47"/>
        <v>37.116666667861864</v>
      </c>
      <c r="O142" s="7"/>
      <c r="P142" s="7"/>
      <c r="Q142" s="22"/>
      <c r="R142" s="190"/>
      <c r="S142" s="196">
        <f t="shared" si="50"/>
        <v>1</v>
      </c>
      <c r="T142" s="190" t="str">
        <f t="shared" si="51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2"/>
        <v>https://d0f6bd738d7f1b3e5a7ca70fe4ff75f0.us-east-1.aws.found.io/app/kibana#/discover/Steve-Slow-Train-Analysis-(2080s-and-2083s)?_g=(refreshInterval:(display:Off,pause:!f,section:0,value:0),time:(from:'2017-05-21T20:50:49-0600',mode:absolute,to:'2017-05-21T23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2" s="192" t="str">
        <f t="shared" si="53"/>
        <v>N</v>
      </c>
      <c r="X142" s="192">
        <f t="shared" si="54"/>
        <v>1</v>
      </c>
      <c r="Y142" s="192">
        <f t="shared" si="55"/>
        <v>23.3124</v>
      </c>
      <c r="Z142" s="192">
        <f t="shared" si="56"/>
        <v>1.43E-2</v>
      </c>
      <c r="AA142" s="192">
        <f t="shared" si="57"/>
        <v>23.298100000000002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8"/>
        <v>0230-21</v>
      </c>
      <c r="AE142" s="80" t="str">
        <f t="shared" si="59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142" s="77" t="str">
        <f t="shared" si="60"/>
        <v>"C:\Program Files (x86)\AstroGrep\AstroGrep.exe" /e /r /s /spath="%USERPROFILE%\AppData\Local\Temp\OnboardLogs" /stypes="app*4023*20170522*" /stext=" 04:.+((SYSTEM_STATE.+slice.+state.+changed )|(ment ac)|(multiple cpu faults)|(system.+state.+changed )|(\[timeout)|(PRM\|1\|D)|(kpr)|(kdp)|(train st.+moving)|(\|lc)|(penalty))"</v>
      </c>
      <c r="AG142" s="1" t="str">
        <f t="shared" si="61"/>
        <v>EC</v>
      </c>
      <c r="AH142" s="81" t="str">
        <f t="shared" ref="AH142:AH204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230-21 --locoid 4023 --swversion DE.1.0.9.0 --startMP 204:233124 --initTime 2017-05-21T21:50:49 --startdatetime 2017-05-21T21:57:38 --delay 1 --endMP 204:143 --enddatetime 2017-05-21T22:34:45 --enforcementcount 0 &gt;&gt;C:\Users\stu\Documents\GitHub\eaglep3-reporting\EC\2017-05-21-refined-times.txt</v>
      </c>
      <c r="AI142" s="99" t="str">
        <f t="shared" ref="AI142:AI204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{"issue":{"subject":"","project_id":79,"tracker_id":40,"status_id":1,"priority_id":2,"assigned_to_id":23,"start_date":"2017-05-21","description":"","custom_fields":[{"id":1,"name":"Subdivision","value":"EC"},{"id":4,"name":"Milepost","value":"0.0143"},{"id":17,"name":"Train ID","value":"230-21"},{"id":16,"name":"Locomotive ID","value":"4023"},{"id":130,"name":"Impact","value":""},{"id":150,"name":"Time of Event (Mountain Time)","value":"22:34:45"},{"id":151,"name":"Denver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4" si="64">"start /low /b "&amp;dls3logs&amp;" --loco "&amp;B142&amp;" --day "&amp;TEXT(F142,"YYYY-MM-DD")</f>
        <v>start /low /b %USERPROFILE%\Documents\GitHub\eaglep3\Utilities\DownloadLogsFromS3.py --loco 4023 --day 2017-05-21</v>
      </c>
      <c r="AN142" s="154" t="str">
        <f t="shared" ref="AN142:AN204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04:34:45"},{"id":29,"name":"Sharepoint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799</v>
      </c>
      <c r="B143" s="7">
        <v>4002</v>
      </c>
      <c r="C143" s="21" t="s">
        <v>206</v>
      </c>
      <c r="D143" s="21" t="s">
        <v>839</v>
      </c>
      <c r="E143" s="13">
        <v>42876.884548611109</v>
      </c>
      <c r="F143" s="13">
        <v>42876.896041666667</v>
      </c>
      <c r="G143" s="7">
        <v>1</v>
      </c>
      <c r="H143" s="21" t="s">
        <v>465</v>
      </c>
      <c r="I143" s="13">
        <v>42876.921875</v>
      </c>
      <c r="J143" s="7">
        <v>0</v>
      </c>
      <c r="K143" s="92" t="str">
        <f t="shared" si="48"/>
        <v>4001/4002</v>
      </c>
      <c r="L143" s="21" t="str">
        <f>VLOOKUP(A143,'Trips&amp;Operators'!$C$1:$G$99999,5,FALSE)</f>
        <v>SMITH MICHAEL</v>
      </c>
      <c r="M143" s="6">
        <f t="shared" si="49"/>
        <v>2.5833333333139308E-2</v>
      </c>
      <c r="N143" s="7">
        <f t="shared" si="47"/>
        <v>37.199999999720603</v>
      </c>
      <c r="O143" s="7"/>
      <c r="P143" s="7"/>
      <c r="Q143" s="22"/>
      <c r="R143" s="190"/>
      <c r="S143" s="196">
        <f t="shared" si="50"/>
        <v>1</v>
      </c>
      <c r="T143" s="190" t="str">
        <f t="shared" si="51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2"/>
        <v>https://d0f6bd738d7f1b3e5a7ca70fe4ff75f0.us-east-1.aws.found.io/app/kibana#/discover/Steve-Slow-Train-Analysis-(2080s-and-2083s)?_g=(refreshInterval:(display:Off,pause:!f,section:0,value:0),time:(from:'2017-05-21T20:13:45-0600',mode:absolute,to:'2017-05-21T23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92" t="str">
        <f t="shared" si="53"/>
        <v>N</v>
      </c>
      <c r="X143" s="192">
        <f t="shared" si="54"/>
        <v>1</v>
      </c>
      <c r="Y143" s="192">
        <f t="shared" si="55"/>
        <v>4.6699999999999998E-2</v>
      </c>
      <c r="Z143" s="192">
        <f t="shared" si="56"/>
        <v>23.3291</v>
      </c>
      <c r="AA143" s="192">
        <f t="shared" si="57"/>
        <v>23.282399999999999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8"/>
        <v>0231-21</v>
      </c>
      <c r="AE143" s="80" t="str">
        <f t="shared" si="59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143" s="77" t="str">
        <f t="shared" si="60"/>
        <v>"C:\Program Files (x86)\AstroGrep\AstroGrep.exe" /e /r /s /spath="%USERPROFILE%\AppData\Local\Temp\OnboardLogs" /stypes="app*4002*20170522*" /stext=" 04:.+((SYSTEM_STATE.+slice.+state.+changed )|(ment ac)|(multiple cpu faults)|(system.+state.+changed )|(\[timeout)|(PRM\|1\|D)|(kpr)|(kdp)|(train st.+moving)|(\|lc)|(penalty))"</v>
      </c>
      <c r="AG143" s="1" t="str">
        <f t="shared" si="61"/>
        <v>EC</v>
      </c>
      <c r="AH143" s="81" t="str">
        <f t="shared" si="62"/>
        <v>"%USERPROFILE%\Documents\GitHub\eaglep3\Utilities\RefineRTDCRunTimes.py" --tripid 231-21 --locoid 4002 --swversion DE.1.0.9.0 --startMP 204:467 --initTime 2017-05-21T21:13:45 --startdatetime 2017-05-21T21:30:18 --delay 1 --endMP 204:233291 --enddatetime 2017-05-21T22:07:30 --enforcementcount 0 &gt;&gt;C:\Users\stu\Documents\GitHub\eaglep3-reporting\EC\2017-05-21-refined-times.txt</v>
      </c>
      <c r="AI143" s="99" t="str">
        <f t="shared" si="63"/>
        <v>echo {"issue":{"subject":"","project_id":79,"tracker_id":40,"status_id":1,"priority_id":2,"assigned_to_id":23,"start_date":"2017-05-21","description":"","custom_fields":[{"id":1,"name":"Subdivision","value":"EC"},{"id":4,"name":"Milepost","value":"23.3291"},{"id":17,"name":"Train ID","value":"231-21"},{"id":16,"name":"Locomotive ID","value":"4002"},{"id":130,"name":"Impact","value":""},{"id":150,"name":"Time of Event (Mountain Time)","value":"22:07:30"},{"id":151,"name":"Denver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4"/>
        <v>start /low /b %USERPROFILE%\Documents\GitHub\eaglep3\Utilities\DownloadLogsFromS3.py --loco 4002 --day 2017-05-21</v>
      </c>
      <c r="AN143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04:07:30"},{"id":29,"name":"Sharepoint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803</v>
      </c>
      <c r="B144" s="7">
        <v>4001</v>
      </c>
      <c r="C144" s="21" t="s">
        <v>206</v>
      </c>
      <c r="D144" s="21" t="s">
        <v>953</v>
      </c>
      <c r="E144" s="13">
        <v>42876.93037037037</v>
      </c>
      <c r="F144" s="13">
        <v>42876.935856481483</v>
      </c>
      <c r="G144" s="7">
        <v>2</v>
      </c>
      <c r="H144" s="21" t="s">
        <v>197</v>
      </c>
      <c r="I144" s="13">
        <v>42876.963020833333</v>
      </c>
      <c r="J144" s="7">
        <v>0</v>
      </c>
      <c r="K144" s="92" t="str">
        <f t="shared" si="48"/>
        <v>4001/4002</v>
      </c>
      <c r="L144" s="21" t="str">
        <f>VLOOKUP(A144,'Trips&amp;Operators'!$C$1:$G$99999,5,FALSE)</f>
        <v>SMITH MICHAEL</v>
      </c>
      <c r="M144" s="6">
        <f t="shared" si="49"/>
        <v>2.7164351849933155E-2</v>
      </c>
      <c r="N144" s="7">
        <f t="shared" si="47"/>
        <v>39.116666663903743</v>
      </c>
      <c r="O144" s="7"/>
      <c r="P144" s="7"/>
      <c r="Q144" s="22"/>
      <c r="R144" s="190"/>
      <c r="S144" s="196">
        <f t="shared" si="50"/>
        <v>1</v>
      </c>
      <c r="T144" s="190" t="str">
        <f t="shared" si="51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2"/>
        <v>https://d0f6bd738d7f1b3e5a7ca70fe4ff75f0.us-east-1.aws.found.io/app/kibana#/discover/Steve-Slow-Train-Analysis-(2080s-and-2083s)?_g=(refreshInterval:(display:Off,pause:!f,section:0,value:0),time:(from:'2017-05-21T21:19:44-0600',mode:absolute,to:'2017-05-22T00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92" t="str">
        <f t="shared" si="53"/>
        <v>N</v>
      </c>
      <c r="X144" s="192">
        <f t="shared" si="54"/>
        <v>1</v>
      </c>
      <c r="Y144" s="192">
        <f t="shared" si="55"/>
        <v>23.2973</v>
      </c>
      <c r="Z144" s="192">
        <f t="shared" si="56"/>
        <v>1.52E-2</v>
      </c>
      <c r="AA144" s="192">
        <f t="shared" si="57"/>
        <v>23.2821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8"/>
        <v>0232-21</v>
      </c>
      <c r="AE144" s="80" t="str">
        <f t="shared" si="59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144" s="77" t="str">
        <f t="shared" si="60"/>
        <v>"C:\Program Files (x86)\AstroGrep\AstroGrep.exe" /e /r /s /spath="%USERPROFILE%\AppData\Local\Temp\OnboardLogs" /stypes="app*4001*20170522*" /stext=" 05:.+((SYSTEM_STATE.+slice.+state.+changed )|(ment ac)|(multiple cpu faults)|(system.+state.+changed )|(\[timeout)|(PRM\|1\|D)|(kpr)|(kdp)|(train st.+moving)|(\|lc)|(penalty))"</v>
      </c>
      <c r="AG144" s="1" t="str">
        <f t="shared" si="61"/>
        <v>EC</v>
      </c>
      <c r="AH144" s="81" t="str">
        <f t="shared" si="62"/>
        <v>"%USERPROFILE%\Documents\GitHub\eaglep3\Utilities\RefineRTDCRunTimes.py" --tripid 232-21 --locoid 4001 --swversion DE.1.0.9.0 --startMP 204:232973 --initTime 2017-05-21T22:19:44 --startdatetime 2017-05-21T22:27:38 --delay 2 --endMP 204:152 --enddatetime 2017-05-21T23:06:45 --enforcementcount 0 &gt;&gt;C:\Users\stu\Documents\GitHub\eaglep3-reporting\EC\2017-05-21-refined-times.txt</v>
      </c>
      <c r="AI144" s="99" t="str">
        <f t="shared" si="63"/>
        <v>echo {"issue":{"subject":"","project_id":79,"tracker_id":40,"status_id":1,"priority_id":2,"assigned_to_id":23,"start_date":"2017-05-21","description":"","custom_fields":[{"id":1,"name":"Subdivision","value":"EC"},{"id":4,"name":"Milepost","value":"0.0152"},{"id":17,"name":"Train ID","value":"232-21"},{"id":16,"name":"Locomotive ID","value":"4001"},{"id":130,"name":"Impact","value":""},{"id":150,"name":"Time of Event (Mountain Time)","value":"23:06:45"},{"id":151,"name":"Denver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4"/>
        <v>start /low /b %USERPROFILE%\Documents\GitHub\eaglep3\Utilities\DownloadLogsFromS3.py --loco 4001 --day 2017-05-21</v>
      </c>
      <c r="AN144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615</v>
      </c>
      <c r="B145" s="7">
        <v>4040</v>
      </c>
      <c r="C145" s="21" t="s">
        <v>206</v>
      </c>
      <c r="D145" s="21" t="s">
        <v>373</v>
      </c>
      <c r="E145" s="13">
        <v>42876.90320601852</v>
      </c>
      <c r="F145" s="13">
        <v>42876.916863425926</v>
      </c>
      <c r="G145" s="7">
        <v>1</v>
      </c>
      <c r="H145" s="21" t="s">
        <v>559</v>
      </c>
      <c r="I145" s="13">
        <v>42876.943298611113</v>
      </c>
      <c r="J145" s="7">
        <v>0</v>
      </c>
      <c r="K145" s="92" t="str">
        <f t="shared" si="48"/>
        <v>4039/4040</v>
      </c>
      <c r="L145" s="21" t="str">
        <f>VLOOKUP(A145,'Trips&amp;Operators'!$C$1:$G$99999,5,FALSE)</f>
        <v>PERKINS DARREN</v>
      </c>
      <c r="M145" s="6">
        <f t="shared" si="49"/>
        <v>2.6435185187438037E-2</v>
      </c>
      <c r="N145" s="7">
        <f t="shared" si="47"/>
        <v>38.066666669910774</v>
      </c>
      <c r="O145" s="7"/>
      <c r="P145" s="7"/>
      <c r="Q145" s="22"/>
      <c r="R145" s="190"/>
      <c r="S145" s="196">
        <f t="shared" si="50"/>
        <v>1</v>
      </c>
      <c r="T145" s="190" t="str">
        <f t="shared" si="51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2"/>
        <v>https://d0f6bd738d7f1b3e5a7ca70fe4ff75f0.us-east-1.aws.found.io/app/kibana#/discover/Steve-Slow-Train-Analysis-(2080s-and-2083s)?_g=(refreshInterval:(display:Off,pause:!f,section:0,value:0),time:(from:'2017-05-21T20:40:37-0600',mode:absolute,to:'2017-05-21T23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192" t="str">
        <f t="shared" si="53"/>
        <v>N</v>
      </c>
      <c r="X145" s="192">
        <f t="shared" si="54"/>
        <v>1</v>
      </c>
      <c r="Y145" s="192">
        <f t="shared" si="55"/>
        <v>4.5499999999999999E-2</v>
      </c>
      <c r="Z145" s="192">
        <f t="shared" si="56"/>
        <v>23.331499999999998</v>
      </c>
      <c r="AA145" s="192">
        <f t="shared" si="57"/>
        <v>23.285999999999998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8"/>
        <v>0233-21</v>
      </c>
      <c r="AE145" s="80" t="str">
        <f t="shared" si="59"/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AF145" s="77" t="str">
        <f t="shared" si="60"/>
        <v>"C:\Program Files (x86)\AstroGrep\AstroGrep.exe" /e /r /s /spath="%USERPROFILE%\AppData\Local\Temp\OnboardLogs" /stypes="app*4040*20170522*" /stext=" 04:.+((SYSTEM_STATE.+slice.+state.+changed )|(ment ac)|(multiple cpu faults)|(system.+state.+changed )|(\[timeout)|(PRM\|1\|D)|(kpr)|(kdp)|(train st.+moving)|(\|lc)|(penalty))"</v>
      </c>
      <c r="AG145" s="1" t="str">
        <f t="shared" si="61"/>
        <v>EC</v>
      </c>
      <c r="AH145" s="81" t="str">
        <f t="shared" si="62"/>
        <v>"%USERPROFILE%\Documents\GitHub\eaglep3\Utilities\RefineRTDCRunTimes.py" --tripid 233-21 --locoid 4040 --swversion DE.1.0.9.0 --startMP 204:455 --initTime 2017-05-21T21:40:37 --startdatetime 2017-05-21T22:00:17 --delay 1 --endMP 204:233315 --enddatetime 2017-05-21T22:38:21 --enforcementcount 0 &gt;&gt;C:\Users\stu\Documents\GitHub\eaglep3-reporting\EC\2017-05-21-refined-times.txt</v>
      </c>
      <c r="AI145" s="99" t="str">
        <f t="shared" si="63"/>
        <v>echo {"issue":{"subject":"","project_id":79,"tracker_id":40,"status_id":1,"priority_id":2,"assigned_to_id":23,"start_date":"2017-05-21","description":"","custom_fields":[{"id":1,"name":"Subdivision","value":"EC"},{"id":4,"name":"Milepost","value":"23.3315"},{"id":17,"name":"Train ID","value":"233-21"},{"id":16,"name":"Locomotive ID","value":"4040"},{"id":130,"name":"Impact","value":""},{"id":150,"name":"Time of Event (Mountain Time)","value":"22:38:21"},{"id":151,"name":"Denver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4"/>
        <v>start /low /b %USERPROFILE%\Documents\GitHub\eaglep3\Utilities\DownloadLogsFromS3.py --loco 4040 --day 2017-05-21</v>
      </c>
      <c r="AN145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04:38:21"},{"id":29,"name":"Sharepoint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616</v>
      </c>
      <c r="B146" s="7">
        <v>4039</v>
      </c>
      <c r="C146" s="21" t="s">
        <v>206</v>
      </c>
      <c r="D146" s="21" t="s">
        <v>433</v>
      </c>
      <c r="E146" s="13">
        <v>42876.945</v>
      </c>
      <c r="F146" s="13">
        <v>42876.956446759257</v>
      </c>
      <c r="G146" s="7">
        <v>1</v>
      </c>
      <c r="H146" s="21" t="s">
        <v>846</v>
      </c>
      <c r="I146" s="13">
        <v>42876.983865740738</v>
      </c>
      <c r="J146" s="7">
        <v>0</v>
      </c>
      <c r="K146" s="92" t="str">
        <f t="shared" si="48"/>
        <v>4039/4040</v>
      </c>
      <c r="L146" s="21" t="str">
        <f>VLOOKUP(A146,'Trips&amp;Operators'!$C$1:$G$99999,5,FALSE)</f>
        <v>PERKINS DARREN</v>
      </c>
      <c r="M146" s="6">
        <f t="shared" si="49"/>
        <v>2.7418981480877846E-2</v>
      </c>
      <c r="N146" s="7">
        <f t="shared" si="47"/>
        <v>39.483333332464099</v>
      </c>
      <c r="O146" s="7"/>
      <c r="P146" s="7"/>
      <c r="Q146" s="22"/>
      <c r="R146" s="190"/>
      <c r="S146" s="196">
        <f t="shared" si="50"/>
        <v>1</v>
      </c>
      <c r="T146" s="190" t="str">
        <f t="shared" si="51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2"/>
        <v>https://d0f6bd738d7f1b3e5a7ca70fe4ff75f0.us-east-1.aws.found.io/app/kibana#/discover/Steve-Slow-Train-Analysis-(2080s-and-2083s)?_g=(refreshInterval:(display:Off,pause:!f,section:0,value:0),time:(from:'2017-05-21T21:40:48-0600',mode:absolute,to:'2017-05-22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192" t="str">
        <f t="shared" si="53"/>
        <v>N</v>
      </c>
      <c r="X146" s="192">
        <f t="shared" si="54"/>
        <v>1</v>
      </c>
      <c r="Y146" s="192">
        <f t="shared" si="55"/>
        <v>23.299299999999999</v>
      </c>
      <c r="Z146" s="192">
        <f t="shared" si="56"/>
        <v>2.3199999999999998E-2</v>
      </c>
      <c r="AA146" s="192">
        <f t="shared" si="57"/>
        <v>23.2761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8"/>
        <v>0234-21</v>
      </c>
      <c r="AE146" s="80" t="str">
        <f t="shared" si="59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146" s="77" t="str">
        <f t="shared" si="60"/>
        <v>"C:\Program Files (x86)\AstroGrep\AstroGrep.exe" /e /r /s /spath="%USERPROFILE%\AppData\Local\Temp\OnboardLogs" /stypes="app*4039*20170522*" /stext=" 05:.+((SYSTEM_STATE.+slice.+state.+changed )|(ment ac)|(multiple cpu faults)|(system.+state.+changed )|(\[timeout)|(PRM\|1\|D)|(kpr)|(kdp)|(train st.+moving)|(\|lc)|(penalty))"</v>
      </c>
      <c r="AG146" s="1" t="str">
        <f t="shared" si="61"/>
        <v>EC</v>
      </c>
      <c r="AH146" s="81" t="str">
        <f t="shared" si="62"/>
        <v>"%USERPROFILE%\Documents\GitHub\eaglep3\Utilities\RefineRTDCRunTimes.py" --tripid 234-21 --locoid 4039 --swversion DE.1.0.9.0 --startMP 204:232993 --initTime 2017-05-21T22:40:48 --startdatetime 2017-05-21T22:57:17 --delay 1 --endMP 204:232 --enddatetime 2017-05-21T23:36:46 --enforcementcount 0 &gt;&gt;C:\Users\stu\Documents\GitHub\eaglep3-reporting\EC\2017-05-21-refined-times.txt</v>
      </c>
      <c r="AI146" s="99" t="str">
        <f t="shared" si="63"/>
        <v>echo {"issue":{"subject":"","project_id":79,"tracker_id":40,"status_id":1,"priority_id":2,"assigned_to_id":23,"start_date":"2017-05-21","description":"","custom_fields":[{"id":1,"name":"Subdivision","value":"EC"},{"id":4,"name":"Milepost","value":"0.0232"},{"id":17,"name":"Train ID","value":"234-21"},{"id":16,"name":"Locomotive ID","value":"4039"},{"id":130,"name":"Impact","value":""},{"id":150,"name":"Time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64"/>
        <v>start /low /b %USERPROFILE%\Documents\GitHub\eaglep3\Utilities\DownloadLogsFromS3.py --loco 4039 --day 2017-05-21</v>
      </c>
      <c r="AN146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804</v>
      </c>
      <c r="B147" s="7">
        <v>4042</v>
      </c>
      <c r="C147" s="21" t="s">
        <v>206</v>
      </c>
      <c r="D147" s="21" t="s">
        <v>432</v>
      </c>
      <c r="E147" s="13">
        <v>42876.934050925927</v>
      </c>
      <c r="F147" s="13">
        <v>42876.937731481485</v>
      </c>
      <c r="G147" s="7">
        <v>1</v>
      </c>
      <c r="H147" s="21" t="s">
        <v>848</v>
      </c>
      <c r="I147" s="13">
        <v>42876.96298611111</v>
      </c>
      <c r="J147" s="7">
        <v>0</v>
      </c>
      <c r="K147" s="92" t="str">
        <f t="shared" si="48"/>
        <v>4041/4042</v>
      </c>
      <c r="L147" s="21" t="str">
        <f>VLOOKUP(A147,'Trips&amp;Operators'!$C$1:$G$99999,5,FALSE)</f>
        <v>MAGEE KENYA</v>
      </c>
      <c r="M147" s="6">
        <f t="shared" si="49"/>
        <v>2.5254629625123926E-2</v>
      </c>
      <c r="N147" s="7">
        <f t="shared" si="47"/>
        <v>36.366666660178453</v>
      </c>
      <c r="O147" s="7"/>
      <c r="P147" s="7"/>
      <c r="Q147" s="22"/>
      <c r="R147" s="190"/>
      <c r="S147" s="196">
        <f t="shared" si="50"/>
        <v>1</v>
      </c>
      <c r="T147" s="190" t="str">
        <f t="shared" si="51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2"/>
        <v>https://d0f6bd738d7f1b3e5a7ca70fe4ff75f0.us-east-1.aws.found.io/app/kibana#/discover/Steve-Slow-Train-Analysis-(2080s-and-2083s)?_g=(refreshInterval:(display:Off,pause:!f,section:0,value:0),time:(from:'2017-05-21T21:25:02-0600',mode:absolute,to:'2017-05-22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192" t="str">
        <f t="shared" si="53"/>
        <v>N</v>
      </c>
      <c r="X147" s="192">
        <f t="shared" si="54"/>
        <v>1</v>
      </c>
      <c r="Y147" s="192">
        <f t="shared" si="55"/>
        <v>4.6899999999999997E-2</v>
      </c>
      <c r="Z147" s="192">
        <f t="shared" si="56"/>
        <v>23.338899999999999</v>
      </c>
      <c r="AA147" s="192">
        <f t="shared" si="57"/>
        <v>23.291999999999998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8"/>
        <v>0235-21</v>
      </c>
      <c r="AE147" s="80" t="str">
        <f t="shared" si="59"/>
        <v>aws s3 cp s3://rtdc.mdm.uploadarchive.raw/RTDC4042/ "%USERPROFILE%\AppData\Local\Temp\OnboardLogs"\RTDC4042\2017-05-21 --exclude "*" --recursive --include "*20170521*" &amp; "%USERPROFILE%\Documents\GitHub\mrs-test-scripts\Headless Mode &amp; Sideloading\WalkAndUnGZ.bat" "%USERPROFILE%\AppData\Local\Temp\OnboardLogs"\RTDC4042\2017-05-21 &amp; 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</v>
      </c>
      <c r="AF147" s="77" t="str">
        <f t="shared" si="60"/>
        <v>"C:\Program Files (x86)\AstroGrep\AstroGrep.exe" /e /r /s /spath="%USERPROFILE%\AppData\Local\Temp\OnboardLogs" /stypes="app*4042*20170522*" /stext=" 05:.+((SYSTEM_STATE.+slice.+state.+changed )|(ment ac)|(multiple cpu faults)|(system.+state.+changed )|(\[timeout)|(PRM\|1\|D)|(kpr)|(kdp)|(train st.+moving)|(\|lc)|(penalty))"</v>
      </c>
      <c r="AG147" s="1" t="str">
        <f t="shared" si="61"/>
        <v>EC</v>
      </c>
      <c r="AH147" s="81" t="str">
        <f t="shared" si="62"/>
        <v>"%USERPROFILE%\Documents\GitHub\eaglep3\Utilities\RefineRTDCRunTimes.py" --tripid 235-21 --locoid 4042 --swversion DE.1.0.9.0 --startMP 204:469 --initTime 2017-05-21T22:25:02 --startdatetime 2017-05-21T22:30:20 --delay 1 --endMP 204:233389 --enddatetime 2017-05-21T23:06:42 --enforcementcount 0 &gt;&gt;C:\Users\stu\Documents\GitHub\eaglep3-reporting\EC\2017-05-21-refined-times.txt</v>
      </c>
      <c r="AI147" s="99" t="str">
        <f t="shared" si="63"/>
        <v>echo {"issue":{"subject":"","project_id":79,"tracker_id":40,"status_id":1,"priority_id":2,"assigned_to_id":23,"start_date":"2017-05-21","description":"","custom_fields":[{"id":1,"name":"Subdivision","value":"EC"},{"id":4,"name":"Milepost","value":"23.3389"},{"id":17,"name":"Train ID","value":"235-21"},{"id":16,"name":"Locomotive ID","value":"4042"},{"id":130,"name":"Impact","value":""},{"id":150,"name":"Time of Event (Mountain Time)","value":"23:06:42"},{"id":151,"name":"Denver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4"/>
        <v>start /low /b %USERPROFILE%\Documents\GitHub\eaglep3\Utilities\DownloadLogsFromS3.py --loco 4042 --day 2017-05-21</v>
      </c>
      <c r="AN147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617</v>
      </c>
      <c r="B148" s="7">
        <v>4041</v>
      </c>
      <c r="C148" s="21" t="s">
        <v>206</v>
      </c>
      <c r="D148" s="21" t="s">
        <v>954</v>
      </c>
      <c r="E148" s="13">
        <v>42876.973645833335</v>
      </c>
      <c r="F148" s="13">
        <v>42876.977581018517</v>
      </c>
      <c r="G148" s="7">
        <v>1</v>
      </c>
      <c r="H148" s="21" t="s">
        <v>369</v>
      </c>
      <c r="I148" s="13">
        <v>42877.005856481483</v>
      </c>
      <c r="J148" s="7">
        <v>0</v>
      </c>
      <c r="K148" s="92" t="str">
        <f t="shared" si="48"/>
        <v>4041/4042</v>
      </c>
      <c r="L148" s="21" t="str">
        <f>VLOOKUP(A148,'Trips&amp;Operators'!$C$1:$G$99999,5,FALSE)</f>
        <v>MAGEE KENYA</v>
      </c>
      <c r="M148" s="6">
        <f t="shared" si="49"/>
        <v>2.8275462966121268E-2</v>
      </c>
      <c r="N148" s="7">
        <f t="shared" si="47"/>
        <v>40.716666671214625</v>
      </c>
      <c r="O148" s="7"/>
      <c r="P148" s="7"/>
      <c r="Q148" s="22"/>
      <c r="R148" s="190"/>
      <c r="S148" s="196">
        <f t="shared" si="50"/>
        <v>1</v>
      </c>
      <c r="T148" s="190" t="str">
        <f t="shared" si="51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2"/>
        <v>https://d0f6bd738d7f1b3e5a7ca70fe4ff75f0.us-east-1.aws.found.io/app/kibana#/discover/Steve-Slow-Train-Analysis-(2080s-and-2083s)?_g=(refreshInterval:(display:Off,pause:!f,section:0,value:0),time:(from:'2017-05-21T22:22:03-0600',mode:absolute,to:'2017-05-22T01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192" t="str">
        <f t="shared" si="53"/>
        <v>N</v>
      </c>
      <c r="X148" s="192">
        <f t="shared" si="54"/>
        <v>1</v>
      </c>
      <c r="Y148" s="192">
        <f t="shared" si="55"/>
        <v>23.306899999999999</v>
      </c>
      <c r="Z148" s="192">
        <f t="shared" si="56"/>
        <v>1.47E-2</v>
      </c>
      <c r="AA148" s="192">
        <f t="shared" si="57"/>
        <v>23.292199999999998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8"/>
        <v>0236-21</v>
      </c>
      <c r="AE148" s="80" t="str">
        <f t="shared" si="59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148" s="77" t="str">
        <f t="shared" si="60"/>
        <v>"C:\Program Files (x86)\AstroGrep\AstroGrep.exe" /e /r /s /spath="%USERPROFILE%\AppData\Local\Temp\OnboardLogs" /stypes="app*4041*20170522*" /stext=" 06:.+((SYSTEM_STATE.+slice.+state.+changed )|(ment ac)|(multiple cpu faults)|(system.+state.+changed )|(\[timeout)|(PRM\|1\|D)|(kpr)|(kdp)|(train st.+moving)|(\|lc)|(penalty))"</v>
      </c>
      <c r="AG148" s="1" t="str">
        <f t="shared" si="61"/>
        <v>EC</v>
      </c>
      <c r="AH148" s="81" t="str">
        <f t="shared" si="62"/>
        <v>"%USERPROFILE%\Documents\GitHub\eaglep3\Utilities\RefineRTDCRunTimes.py" --tripid 236-21 --locoid 4041 --swversion DE.1.0.9.0 --startMP 204:233069 --initTime 2017-05-21T23:22:03 --startdatetime 2017-05-21T23:27:43 --delay 1 --endMP 204:147 --enddatetime 2017-05-22T00:08:26 --enforcementcount 0 &gt;&gt;C:\Users\stu\Documents\GitHub\eaglep3-reporting\EC\2017-05-21-refined-times.txt</v>
      </c>
      <c r="AI148" s="99" t="str">
        <f t="shared" si="63"/>
        <v>echo {"issue":{"subject":"","project_id":79,"tracker_id":40,"status_id":1,"priority_id":2,"assigned_to_id":23,"start_date":"2017-05-22","description":"","custom_fields":[{"id":1,"name":"Subdivision","value":"EC"},{"id":4,"name":"Milepost","value":"0.0147"},{"id":17,"name":"Train ID","value":"236-21"},{"id":16,"name":"Locomotive ID","value":"4041"},{"id":130,"name":"Impact","value":""},{"id":150,"name":"Time of Event (Mountain Time)","value":"00:08:26"},{"id":151,"name":"Denver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64"/>
        <v>start /low /b %USERPROFILE%\Documents\GitHub\eaglep3\Utilities\DownloadLogsFromS3.py --loco 4041 --day 2017-05-21</v>
      </c>
      <c r="AN148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06:08:26"},{"id":29,"name":"Sharepoint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2" t="s">
        <v>806</v>
      </c>
      <c r="B149" s="7">
        <v>4024</v>
      </c>
      <c r="C149" s="21" t="s">
        <v>206</v>
      </c>
      <c r="D149" s="21" t="s">
        <v>365</v>
      </c>
      <c r="E149" s="13">
        <v>42876.943425925929</v>
      </c>
      <c r="F149" s="13">
        <v>42876.958923611113</v>
      </c>
      <c r="G149" s="7">
        <v>1</v>
      </c>
      <c r="H149" s="21" t="s">
        <v>955</v>
      </c>
      <c r="I149" s="13">
        <v>42876.983611111114</v>
      </c>
      <c r="J149" s="7">
        <v>0</v>
      </c>
      <c r="K149" s="92" t="str">
        <f t="shared" si="48"/>
        <v>4023/4024</v>
      </c>
      <c r="L149" s="21" t="str">
        <f>VLOOKUP(A149,'Trips&amp;Operators'!$C$1:$G$99999,5,FALSE)</f>
        <v>STAMBAUGH JAMES</v>
      </c>
      <c r="M149" s="6">
        <f t="shared" si="49"/>
        <v>2.4687500001164153E-2</v>
      </c>
      <c r="N149" s="7">
        <f t="shared" si="47"/>
        <v>35.550000001676381</v>
      </c>
      <c r="O149" s="7"/>
      <c r="P149" s="7"/>
      <c r="Q149" s="22"/>
      <c r="R149" s="190"/>
      <c r="S149" s="196">
        <f t="shared" si="50"/>
        <v>1</v>
      </c>
      <c r="T149" s="190" t="str">
        <f t="shared" si="51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2"/>
        <v>https://d0f6bd738d7f1b3e5a7ca70fe4ff75f0.us-east-1.aws.found.io/app/kibana#/discover/Steve-Slow-Train-Analysis-(2080s-and-2083s)?_g=(refreshInterval:(display:Off,pause:!f,section:0,value:0),time:(from:'2017-05-21T21:38:32-0600',mode:absolute,to:'2017-05-22T00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9" s="192" t="str">
        <f t="shared" si="53"/>
        <v>N</v>
      </c>
      <c r="X149" s="192">
        <f t="shared" si="54"/>
        <v>1</v>
      </c>
      <c r="Y149" s="192">
        <f t="shared" si="55"/>
        <v>4.4699999999999997E-2</v>
      </c>
      <c r="Z149" s="192">
        <f t="shared" si="56"/>
        <v>23.3459</v>
      </c>
      <c r="AA149" s="192">
        <f t="shared" si="57"/>
        <v>23.301200000000001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8"/>
        <v>0237-21</v>
      </c>
      <c r="AE149" s="80" t="str">
        <f t="shared" si="59"/>
        <v>aws s3 cp s3://rtdc.mdm.uploadarchive.raw/RTDC4024/ "%USERPROFILE%\AppData\Local\Temp\OnboardLogs"\RTDC4024\2017-05-21 --exclude "*" --recursive --include "*20170521*" &amp; "%USERPROFILE%\Documents\GitHub\mrs-test-scripts\Headless Mode &amp; Sideloading\WalkAndUnGZ.bat" "%USERPROFILE%\AppData\Local\Temp\OnboardLogs"\RTDC4024\2017-05-21 &amp; 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</v>
      </c>
      <c r="AF149" s="77" t="str">
        <f t="shared" si="60"/>
        <v>"C:\Program Files (x86)\AstroGrep\AstroGrep.exe" /e /r /s /spath="%USERPROFILE%\AppData\Local\Temp\OnboardLogs" /stypes="app*4024*20170522*" /stext=" 05:.+((SYSTEM_STATE.+slice.+state.+changed )|(ment ac)|(multiple cpu faults)|(system.+state.+changed )|(\[timeout)|(PRM\|1\|D)|(kpr)|(kdp)|(train st.+moving)|(\|lc)|(penalty))"</v>
      </c>
      <c r="AG149" s="1" t="str">
        <f t="shared" si="61"/>
        <v>EC</v>
      </c>
      <c r="AH149" s="81" t="str">
        <f t="shared" si="62"/>
        <v>"%USERPROFILE%\Documents\GitHub\eaglep3\Utilities\RefineRTDCRunTimes.py" --tripid 237-21 --locoid 4024 --swversion DE.1.0.9.0 --startMP 204:447 --initTime 2017-05-21T22:38:32 --startdatetime 2017-05-21T23:00:51 --delay 1 --endMP 204:233459 --enddatetime 2017-05-21T23:36:24 --enforcementcount 0 &gt;&gt;C:\Users\stu\Documents\GitHub\eaglep3-reporting\EC\2017-05-21-refined-times.txt</v>
      </c>
      <c r="AI149" s="99" t="str">
        <f t="shared" si="63"/>
        <v>echo {"issue":{"subject":"","project_id":79,"tracker_id":40,"status_id":1,"priority_id":2,"assigned_to_id":23,"start_date":"2017-05-21","description":"","custom_fields":[{"id":1,"name":"Subdivision","value":"EC"},{"id":4,"name":"Milepost","value":"23.3459"},{"id":17,"name":"Train ID","value":"237-21"},{"id":16,"name":"Locomotive ID","value":"4024"},{"id":130,"name":"Impact","value":""},{"id":150,"name":"Time of Event (Mountain Time)","value":"23:36:24"},{"id":151,"name":"Denver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4"/>
        <v>start /low /b %USERPROFILE%\Documents\GitHub\eaglep3\Utilities\DownloadLogsFromS3.py --loco 4024 --day 2017-05-21</v>
      </c>
      <c r="AN149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05:36:24"},{"id":29,"name":"Sharepoint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810</v>
      </c>
      <c r="B150" s="7">
        <v>4023</v>
      </c>
      <c r="C150" s="21" t="s">
        <v>206</v>
      </c>
      <c r="D150" s="21" t="s">
        <v>956</v>
      </c>
      <c r="E150" s="13">
        <v>42876.995185185187</v>
      </c>
      <c r="F150" s="13">
        <v>42876.998298611114</v>
      </c>
      <c r="G150" s="7">
        <v>1</v>
      </c>
      <c r="H150" s="21" t="s">
        <v>355</v>
      </c>
      <c r="I150" s="13">
        <v>42877.024189814816</v>
      </c>
      <c r="J150" s="7">
        <v>0</v>
      </c>
      <c r="K150" s="92" t="str">
        <f t="shared" si="48"/>
        <v>4023/4024</v>
      </c>
      <c r="L150" s="21" t="str">
        <f>VLOOKUP(A150,'Trips&amp;Operators'!$C$1:$G$99999,5,FALSE)</f>
        <v>STAMBAUGH JAMES</v>
      </c>
      <c r="M150" s="6">
        <f t="shared" si="49"/>
        <v>2.5891203702485655E-2</v>
      </c>
      <c r="N150" s="7">
        <f t="shared" si="47"/>
        <v>37.283333331579342</v>
      </c>
      <c r="O150" s="7"/>
      <c r="P150" s="7"/>
      <c r="Q150" s="22"/>
      <c r="R150" s="190"/>
      <c r="S150" s="196">
        <f t="shared" si="50"/>
        <v>1</v>
      </c>
      <c r="T150" s="190" t="str">
        <f t="shared" si="51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2"/>
        <v>https://d0f6bd738d7f1b3e5a7ca70fe4ff75f0.us-east-1.aws.found.io/app/kibana#/discover/Steve-Slow-Train-Analysis-(2080s-and-2083s)?_g=(refreshInterval:(display:Off,pause:!f,section:0,value:0),time:(from:'2017-05-21T22:53:04-0600',mode:absolute,to:'2017-05-22T01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0" s="192" t="str">
        <f t="shared" si="53"/>
        <v>N</v>
      </c>
      <c r="X150" s="192">
        <f t="shared" si="54"/>
        <v>1</v>
      </c>
      <c r="Y150" s="192">
        <f t="shared" si="55"/>
        <v>23.315100000000001</v>
      </c>
      <c r="Z150" s="192">
        <f t="shared" si="56"/>
        <v>1.4999999999999999E-2</v>
      </c>
      <c r="AA150" s="192">
        <f t="shared" si="57"/>
        <v>23.3001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8"/>
        <v>0238-21</v>
      </c>
      <c r="AE150" s="80" t="str">
        <f t="shared" si="59"/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AF150" s="77" t="str">
        <f t="shared" si="60"/>
        <v>"C:\Program Files (x86)\AstroGrep\AstroGrep.exe" /e /r /s /spath="%USERPROFILE%\AppData\Local\Temp\OnboardLogs" /stypes="app*4023*20170522*" /stext=" 06:.+((SYSTEM_STATE.+slice.+state.+changed )|(ment ac)|(multiple cpu faults)|(system.+state.+changed )|(\[timeout)|(PRM\|1\|D)|(kpr)|(kdp)|(train st.+moving)|(\|lc)|(penalty))"</v>
      </c>
      <c r="AG150" s="1" t="str">
        <f t="shared" si="61"/>
        <v>EC</v>
      </c>
      <c r="AH150" s="81" t="str">
        <f t="shared" si="62"/>
        <v>"%USERPROFILE%\Documents\GitHub\eaglep3\Utilities\RefineRTDCRunTimes.py" --tripid 238-21 --locoid 4023 --swversion DE.1.0.9.0 --startMP 204:233151 --initTime 2017-05-21T23:53:04 --startdatetime 2017-05-21T23:57:33 --delay 1 --endMP 204:150 --enddatetime 2017-05-22T00:34:50 --enforcementcount 0 &gt;&gt;C:\Users\stu\Documents\GitHub\eaglep3-reporting\EC\2017-05-21-refined-times.txt</v>
      </c>
      <c r="AI150" s="99" t="str">
        <f t="shared" si="63"/>
        <v>echo {"issue":{"subject":"","project_id":79,"tracker_id":40,"status_id":1,"priority_id":2,"assigned_to_id":23,"start_date":"2017-05-22","description":"","custom_fields":[{"id":1,"name":"Subdivision","value":"EC"},{"id":4,"name":"Milepost","value":"0.015"},{"id":17,"name":"Train ID","value":"238-21"},{"id":16,"name":"Locomotive ID","value":"4023"},{"id":130,"name":"Impact","value":""},{"id":150,"name":"Time of Event (Mountain Time)","value":"00:34:50"},{"id":151,"name":"Denver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4"/>
        <v>start /low /b %USERPROFILE%\Documents\GitHub\eaglep3\Utilities\DownloadLogsFromS3.py --loco 4023 --day 2017-05-21</v>
      </c>
      <c r="AN150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06:34:50"},{"id":29,"name":"Sharepoint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808</v>
      </c>
      <c r="B151" s="7">
        <v>4002</v>
      </c>
      <c r="C151" s="21" t="s">
        <v>206</v>
      </c>
      <c r="D151" s="21" t="s">
        <v>839</v>
      </c>
      <c r="E151" s="13">
        <v>42876.96671296296</v>
      </c>
      <c r="F151" s="13">
        <v>42876.979386574072</v>
      </c>
      <c r="G151" s="7">
        <v>1</v>
      </c>
      <c r="H151" s="21" t="s">
        <v>549</v>
      </c>
      <c r="I151" s="13">
        <v>42877.00508101852</v>
      </c>
      <c r="J151" s="7">
        <v>0</v>
      </c>
      <c r="K151" s="92" t="str">
        <f t="shared" si="48"/>
        <v>4001/4002</v>
      </c>
      <c r="L151" s="21" t="str">
        <f>VLOOKUP(A151,'Trips&amp;Operators'!$C$1:$G$99999,5,FALSE)</f>
        <v>SMITH MICHAEL</v>
      </c>
      <c r="M151" s="6">
        <f t="shared" si="49"/>
        <v>2.5694444448163267E-2</v>
      </c>
      <c r="N151" s="7">
        <f t="shared" si="47"/>
        <v>37.000000005355105</v>
      </c>
      <c r="O151" s="7"/>
      <c r="P151" s="7"/>
      <c r="Q151" s="22"/>
      <c r="R151" s="190"/>
      <c r="S151" s="196">
        <f t="shared" si="50"/>
        <v>1</v>
      </c>
      <c r="T151" s="190" t="str">
        <f t="shared" si="51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2"/>
        <v>https://d0f6bd738d7f1b3e5a7ca70fe4ff75f0.us-east-1.aws.found.io/app/kibana#/discover/Steve-Slow-Train-Analysis-(2080s-and-2083s)?_g=(refreshInterval:(display:Off,pause:!f,section:0,value:0),time:(from:'2017-05-21T22:12:04-0600',mode:absolute,to:'2017-05-22T01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192" t="str">
        <f t="shared" si="53"/>
        <v>N</v>
      </c>
      <c r="X151" s="192">
        <f t="shared" si="54"/>
        <v>1</v>
      </c>
      <c r="Y151" s="192">
        <f t="shared" si="55"/>
        <v>4.6699999999999998E-2</v>
      </c>
      <c r="Z151" s="192">
        <f t="shared" si="56"/>
        <v>23.328199999999999</v>
      </c>
      <c r="AA151" s="192">
        <f t="shared" si="57"/>
        <v>23.281499999999998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8"/>
        <v>0239-21</v>
      </c>
      <c r="AE151" s="80" t="str">
        <f t="shared" si="59"/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AF151" s="77" t="str">
        <f t="shared" si="60"/>
        <v>"C:\Program Files (x86)\AstroGrep\AstroGrep.exe" /e /r /s /spath="%USERPROFILE%\AppData\Local\Temp\OnboardLogs" /stypes="app*4002*20170522*" /stext=" 06:.+((SYSTEM_STATE.+slice.+state.+changed )|(ment ac)|(multiple cpu faults)|(system.+state.+changed )|(\[timeout)|(PRM\|1\|D)|(kpr)|(kdp)|(train st.+moving)|(\|lc)|(penalty))"</v>
      </c>
      <c r="AG151" s="1" t="str">
        <f t="shared" si="61"/>
        <v>EC</v>
      </c>
      <c r="AH151" s="81" t="str">
        <f t="shared" si="62"/>
        <v>"%USERPROFILE%\Documents\GitHub\eaglep3\Utilities\RefineRTDCRunTimes.py" --tripid 239-21 --locoid 4002 --swversion DE.1.0.9.0 --startMP 204:467 --initTime 2017-05-21T23:12:04 --startdatetime 2017-05-21T23:30:19 --delay 1 --endMP 204:233282 --enddatetime 2017-05-22T00:07:19 --enforcementcount 0 &gt;&gt;C:\Users\stu\Documents\GitHub\eaglep3-reporting\EC\2017-05-21-refined-times.txt</v>
      </c>
      <c r="AI151" s="99" t="str">
        <f t="shared" si="63"/>
        <v>echo {"issue":{"subject":"","project_id":79,"tracker_id":40,"status_id":1,"priority_id":2,"assigned_to_id":23,"start_date":"2017-05-22","description":"","custom_fields":[{"id":1,"name":"Subdivision","value":"EC"},{"id":4,"name":"Milepost","value":"23.3282"},{"id":17,"name":"Train ID","value":"239-21"},{"id":16,"name":"Locomotive ID","value":"4002"},{"id":130,"name":"Impact","value":""},{"id":150,"name":"Time of Event (Mountain Time)","value":"00:07:19"},{"id":151,"name":"Denver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64"/>
        <v>start /low /b %USERPROFILE%\Documents\GitHub\eaglep3\Utilities\DownloadLogsFromS3.py --loco 4002 --day 2017-05-21</v>
      </c>
      <c r="AN151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06:07:19"},{"id":29,"name":"Sharepoint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811</v>
      </c>
      <c r="B152" s="7">
        <v>4001</v>
      </c>
      <c r="C152" s="21" t="s">
        <v>206</v>
      </c>
      <c r="D152" s="21" t="s">
        <v>859</v>
      </c>
      <c r="E152" s="13">
        <v>42877.010601851849</v>
      </c>
      <c r="F152" s="13">
        <v>42877.018958333334</v>
      </c>
      <c r="G152" s="7">
        <v>1</v>
      </c>
      <c r="H152" s="21" t="s">
        <v>197</v>
      </c>
      <c r="I152" s="13">
        <v>42877.04550925926</v>
      </c>
      <c r="J152" s="7">
        <v>0</v>
      </c>
      <c r="K152" s="92" t="str">
        <f t="shared" si="48"/>
        <v>4001/4002</v>
      </c>
      <c r="L152" s="21" t="str">
        <f>VLOOKUP(A152,'Trips&amp;Operators'!$C$1:$G$99999,5,FALSE)</f>
        <v>SMITH MICHAEL</v>
      </c>
      <c r="M152" s="6">
        <f t="shared" si="49"/>
        <v>2.6550925926130731E-2</v>
      </c>
      <c r="N152" s="7">
        <f t="shared" si="47"/>
        <v>38.233333333628252</v>
      </c>
      <c r="O152" s="7"/>
      <c r="P152" s="7"/>
      <c r="Q152" s="22"/>
      <c r="R152" s="190"/>
      <c r="S152" s="196">
        <f t="shared" si="50"/>
        <v>1</v>
      </c>
      <c r="T152" s="190" t="str">
        <f t="shared" si="51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2"/>
        <v>https://d0f6bd738d7f1b3e5a7ca70fe4ff75f0.us-east-1.aws.found.io/app/kibana#/discover/Steve-Slow-Train-Analysis-(2080s-and-2083s)?_g=(refreshInterval:(display:Off,pause:!f,section:0,value:0),time:(from:'2017-05-21T23:15:16-0600',mode:absolute,to:'2017-05-22T02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192" t="str">
        <f t="shared" si="53"/>
        <v>N</v>
      </c>
      <c r="X152" s="192">
        <f t="shared" si="54"/>
        <v>1</v>
      </c>
      <c r="Y152" s="192">
        <f t="shared" si="55"/>
        <v>23.2971</v>
      </c>
      <c r="Z152" s="192">
        <f t="shared" si="56"/>
        <v>1.52E-2</v>
      </c>
      <c r="AA152" s="192">
        <f t="shared" si="57"/>
        <v>23.2819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8"/>
        <v>0240-21</v>
      </c>
      <c r="AE152" s="80" t="str">
        <f t="shared" si="59"/>
        <v>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 &amp; 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</v>
      </c>
      <c r="AF152" s="77" t="str">
        <f t="shared" si="60"/>
        <v>"C:\Program Files (x86)\AstroGrep\AstroGrep.exe" /e /r /s /spath="%USERPROFILE%\AppData\Local\Temp\OnboardLogs" /stypes="app*4001*20170522*" /stext=" 07:.+((SYSTEM_STATE.+slice.+state.+changed )|(ment ac)|(multiple cpu faults)|(system.+state.+changed )|(\[timeout)|(PRM\|1\|D)|(kpr)|(kdp)|(train st.+moving)|(\|lc)|(penalty))"</v>
      </c>
      <c r="AG152" s="1" t="str">
        <f t="shared" si="61"/>
        <v>EC</v>
      </c>
      <c r="AH152" s="81" t="str">
        <f t="shared" si="62"/>
        <v>"%USERPROFILE%\Documents\GitHub\eaglep3\Utilities\RefineRTDCRunTimes.py" --tripid 240-21 --locoid 4001 --swversion DE.1.0.9.0 --startMP 204:232971 --initTime 2017-05-22T00:15:16 --startdatetime 2017-05-22T00:27:18 --delay 1 --endMP 204:152 --enddatetime 2017-05-22T01:05:32 --enforcementcount 0 &gt;&gt;C:\Users\stu\Documents\GitHub\eaglep3-reporting\EC\2017-05-21-refined-times.txt</v>
      </c>
      <c r="AI152" s="99" t="str">
        <f t="shared" si="63"/>
        <v>echo {"issue":{"subject":"","project_id":79,"tracker_id":40,"status_id":1,"priority_id":2,"assigned_to_id":23,"start_date":"2017-05-22","description":"","custom_fields":[{"id":1,"name":"Subdivision","value":"EC"},{"id":4,"name":"Milepost","value":"0.0152"},{"id":17,"name":"Train ID","value":"240-21"},{"id":16,"name":"Locomotive ID","value":"4001"},{"id":130,"name":"Impact","value":""},{"id":150,"name":"Time of Event (Mountain Time)","value":"01:05:32"},{"id":151,"name":"Denver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4"/>
        <v>start /low /b %USERPROFILE%\Documents\GitHub\eaglep3\Utilities\DownloadLogsFromS3.py --loco 4001 --day 2017-05-22</v>
      </c>
      <c r="AN152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07:05:32"},{"id":29,"name":"Sharepoint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618</v>
      </c>
      <c r="B153" s="7">
        <v>4040</v>
      </c>
      <c r="C153" s="21" t="s">
        <v>206</v>
      </c>
      <c r="D153" s="21" t="s">
        <v>957</v>
      </c>
      <c r="E153" s="13">
        <v>42876.991550925923</v>
      </c>
      <c r="F153" s="13">
        <v>42877.000196759262</v>
      </c>
      <c r="G153" s="7">
        <v>1</v>
      </c>
      <c r="H153" s="21" t="s">
        <v>958</v>
      </c>
      <c r="I153" s="13">
        <v>42877.025393518517</v>
      </c>
      <c r="J153" s="7">
        <v>0</v>
      </c>
      <c r="K153" s="92" t="str">
        <f t="shared" si="48"/>
        <v>4039/4040</v>
      </c>
      <c r="L153" s="21" t="str">
        <f>VLOOKUP(A153,'Trips&amp;Operators'!$C$1:$G$99999,5,FALSE)</f>
        <v>PERKINS DARREN</v>
      </c>
      <c r="M153" s="6">
        <f t="shared" si="49"/>
        <v>2.5196759255777579E-2</v>
      </c>
      <c r="N153" s="7">
        <f t="shared" si="47"/>
        <v>36.283333328319713</v>
      </c>
      <c r="O153" s="7"/>
      <c r="P153" s="7"/>
      <c r="Q153" s="22"/>
      <c r="R153" s="190"/>
      <c r="S153" s="196">
        <f t="shared" si="50"/>
        <v>1</v>
      </c>
      <c r="T153" s="190" t="str">
        <f t="shared" si="51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2"/>
        <v>https://d0f6bd738d7f1b3e5a7ca70fe4ff75f0.us-east-1.aws.found.io/app/kibana#/discover/Steve-Slow-Train-Analysis-(2080s-and-2083s)?_g=(refreshInterval:(display:Off,pause:!f,section:0,value:0),time:(from:'2017-05-21T22:47:50-0600',mode:absolute,to:'2017-05-22T01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192" t="str">
        <f t="shared" si="53"/>
        <v>N</v>
      </c>
      <c r="X153" s="192">
        <f t="shared" si="54"/>
        <v>1</v>
      </c>
      <c r="Y153" s="192">
        <f t="shared" si="55"/>
        <v>5.5300000000000002E-2</v>
      </c>
      <c r="Z153" s="192">
        <f t="shared" si="56"/>
        <v>23.3323</v>
      </c>
      <c r="AA153" s="192">
        <f t="shared" si="57"/>
        <v>23.277000000000001</v>
      </c>
      <c r="AB153" s="57" t="str">
        <f>VLOOKUP(A153,Enforcements!$C$7:$K$13,8,0)</f>
        <v>Bulletin (2)</v>
      </c>
      <c r="AC153" s="53" t="str">
        <f>VLOOKUP(A153,Enforcements!$C$7:$E$13,3,0)</f>
        <v>GRADE CROSSING</v>
      </c>
      <c r="AD153" s="54" t="str">
        <f t="shared" si="58"/>
        <v>0241-21</v>
      </c>
      <c r="AE153" s="80" t="str">
        <f t="shared" si="59"/>
        <v>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 &amp; 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</v>
      </c>
      <c r="AF153" s="77" t="str">
        <f t="shared" si="60"/>
        <v>"C:\Program Files (x86)\AstroGrep\AstroGrep.exe" /e /r /s /spath="%USERPROFILE%\AppData\Local\Temp\OnboardLogs" /stypes="app*4040*20170522*" /stext=" 06:.+((SYSTEM_STATE.+slice.+state.+changed )|(ment ac)|(multiple cpu faults)|(system.+state.+changed )|(\[timeout)|(PRM\|1\|D)|(kpr)|(kdp)|(train st.+moving)|(\|lc)|(penalty))"</v>
      </c>
      <c r="AG153" s="1" t="str">
        <f t="shared" si="61"/>
        <v>EC</v>
      </c>
      <c r="AH153" s="81" t="str">
        <f t="shared" si="62"/>
        <v>"%USERPROFILE%\Documents\GitHub\eaglep3\Utilities\RefineRTDCRunTimes.py" --tripid 241-21 --locoid 4040 --swversion DE.1.0.9.0 --startMP 204:553 --initTime 2017-05-21T23:47:50 --startdatetime 2017-05-22T00:00:17 --delay 1 --endMP 204:233323 --enddatetime 2017-05-22T00:36:34 --enforcementcount 0 &gt;&gt;C:\Users\stu\Documents\GitHub\eaglep3-reporting\EC\2017-05-21-refined-times.txt</v>
      </c>
      <c r="AI153" s="99" t="str">
        <f t="shared" si="63"/>
        <v>echo {"issue":{"subject":"","project_id":79,"tracker_id":40,"status_id":1,"priority_id":2,"assigned_to_id":23,"start_date":"2017-05-22","description":"","custom_fields":[{"id":1,"name":"Subdivision","value":"EC"},{"id":4,"name":"Milepost","value":"23.3323"},{"id":17,"name":"Train ID","value":"241-21"},{"id":16,"name":"Locomotive ID","value":"4040"},{"id":130,"name":"Impact","value":""},{"id":150,"name":"Time of Event (Mountain Time)","value":"00:36:34"},{"id":151,"name":"Denver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64"/>
        <v>start /low /b %USERPROFILE%\Documents\GitHub\eaglep3\Utilities\DownloadLogsFromS3.py --loco 4040 --day 2017-05-22</v>
      </c>
      <c r="AN153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06:36:34"},{"id":29,"name":"Sharepoint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814</v>
      </c>
      <c r="B154" s="7">
        <v>4039</v>
      </c>
      <c r="C154" s="21" t="s">
        <v>206</v>
      </c>
      <c r="D154" s="21" t="s">
        <v>561</v>
      </c>
      <c r="E154" s="13">
        <v>42877.0309375</v>
      </c>
      <c r="F154" s="13">
        <v>42877.040127314816</v>
      </c>
      <c r="G154" s="7">
        <v>0</v>
      </c>
      <c r="H154" s="21" t="s">
        <v>355</v>
      </c>
      <c r="I154" s="13">
        <v>42877.066793981481</v>
      </c>
      <c r="J154" s="7">
        <v>0</v>
      </c>
      <c r="K154" s="92" t="str">
        <f t="shared" si="48"/>
        <v>4039/4040</v>
      </c>
      <c r="L154" s="21" t="str">
        <f>VLOOKUP(A154,'Trips&amp;Operators'!$C$1:$G$99999,5,FALSE)</f>
        <v>PERKINS DARREN</v>
      </c>
      <c r="M154" s="6">
        <f t="shared" si="49"/>
        <v>2.6666666664823424E-2</v>
      </c>
      <c r="N154" s="7">
        <f t="shared" si="47"/>
        <v>38.399999997345731</v>
      </c>
      <c r="O154" s="7"/>
      <c r="P154" s="7"/>
      <c r="Q154" s="22"/>
      <c r="R154" s="190"/>
      <c r="S154" s="196">
        <f t="shared" si="50"/>
        <v>1</v>
      </c>
      <c r="T154" s="190" t="str">
        <f t="shared" si="51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2"/>
        <v>https://d0f6bd738d7f1b3e5a7ca70fe4ff75f0.us-east-1.aws.found.io/app/kibana#/discover/Steve-Slow-Train-Analysis-(2080s-and-2083s)?_g=(refreshInterval:(display:Off,pause:!f,section:0,value:0),time:(from:'2017-05-21T23:44:33-0600',mode:absolute,to:'2017-05-22T02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192" t="str">
        <f t="shared" si="53"/>
        <v>N</v>
      </c>
      <c r="X154" s="192">
        <f t="shared" ref="X154:X162" si="66">VALUE(LEFT(AD154,4))-VALUE(LEFT(AD153,4))</f>
        <v>1</v>
      </c>
      <c r="Y154" s="192">
        <f t="shared" si="55"/>
        <v>23.298500000000001</v>
      </c>
      <c r="Z154" s="192">
        <f t="shared" si="56"/>
        <v>1.4999999999999999E-2</v>
      </c>
      <c r="AA154" s="192">
        <f t="shared" si="57"/>
        <v>23.2835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8"/>
        <v>0242-21</v>
      </c>
      <c r="AE154" s="80" t="str">
        <f t="shared" si="59"/>
        <v>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 &amp; 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</v>
      </c>
      <c r="AF154" s="77" t="str">
        <f t="shared" si="60"/>
        <v>"C:\Program Files (x86)\AstroGrep\AstroGrep.exe" /e /r /s /spath="%USERPROFILE%\AppData\Local\Temp\OnboardLogs" /stypes="app*4039*20170522*" /stext=" 07:.+((SYSTEM_STATE.+slice.+state.+changed )|(ment ac)|(multiple cpu faults)|(system.+state.+changed )|(\[timeout)|(PRM\|1\|D)|(kpr)|(kdp)|(train st.+moving)|(\|lc)|(penalty))"</v>
      </c>
      <c r="AG154" s="1" t="str">
        <f t="shared" si="61"/>
        <v>EC</v>
      </c>
      <c r="AH154" s="81" t="str">
        <f t="shared" si="62"/>
        <v>"%USERPROFILE%\Documents\GitHub\eaglep3\Utilities\RefineRTDCRunTimes.py" --tripid 242-21 --locoid 4039 --swversion DE.1.0.9.0 --startMP 204:232985 --initTime 2017-05-22T00:44:33 --startdatetime 2017-05-22T00:57:47 --delay 0 --endMP 204:150 --enddatetime 2017-05-22T01:36:11 --enforcementcount 0 &gt;&gt;C:\Users\stu\Documents\GitHub\eaglep3-reporting\EC\2017-05-21-refined-times.txt</v>
      </c>
      <c r="AI154" s="99" t="str">
        <f t="shared" si="63"/>
        <v>echo {"issue":{"subject":"","project_id":79,"tracker_id":40,"status_id":1,"priority_id":2,"assigned_to_id":23,"start_date":"2017-05-22","description":"","custom_fields":[{"id":1,"name":"Subdivision","value":"EC"},{"id":4,"name":"Milepost","value":"0.015"},{"id":17,"name":"Train ID","value":"242-21"},{"id":16,"name":"Locomotive ID","value":"4039"},{"id":130,"name":"Impact","value":""},{"id":150,"name":"Time of Event (Mountain Time)","value":"01:36:11"},{"id":151,"name":"Denver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4"/>
        <v>start /low /b %USERPROFILE%\Documents\GitHub\eaglep3\Utilities\DownloadLogsFromS3.py --loco 4039 --day 2017-05-22</v>
      </c>
      <c r="AN154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07:36:11"},{"id":29,"name":"Sharepoint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812</v>
      </c>
      <c r="B155" s="7">
        <v>4042</v>
      </c>
      <c r="C155" s="21" t="s">
        <v>206</v>
      </c>
      <c r="D155" s="21" t="s">
        <v>364</v>
      </c>
      <c r="E155" s="13">
        <v>42877.018414351849</v>
      </c>
      <c r="F155" s="13">
        <v>42877.021111111113</v>
      </c>
      <c r="G155" s="7">
        <v>1</v>
      </c>
      <c r="H155" s="21" t="s">
        <v>545</v>
      </c>
      <c r="I155" s="13">
        <v>42877.045856481483</v>
      </c>
      <c r="J155" s="7">
        <v>0</v>
      </c>
      <c r="K155" s="92" t="str">
        <f t="shared" si="48"/>
        <v>4041/4042</v>
      </c>
      <c r="L155" s="21" t="str">
        <f>VLOOKUP(A155,'Trips&amp;Operators'!$C$1:$G$99999,5,FALSE)</f>
        <v>MAGEE KENYA</v>
      </c>
      <c r="M155" s="6">
        <f t="shared" si="49"/>
        <v>2.47453703705105E-2</v>
      </c>
      <c r="N155" s="7">
        <f t="shared" si="47"/>
        <v>35.63333333353512</v>
      </c>
      <c r="O155" s="7"/>
      <c r="P155" s="7"/>
      <c r="Q155" s="22"/>
      <c r="R155" s="190"/>
      <c r="S155" s="196">
        <f t="shared" si="50"/>
        <v>1</v>
      </c>
      <c r="T155" s="190" t="str">
        <f t="shared" si="51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2"/>
        <v>https://d0f6bd738d7f1b3e5a7ca70fe4ff75f0.us-east-1.aws.found.io/app/kibana#/discover/Steve-Slow-Train-Analysis-(2080s-and-2083s)?_g=(refreshInterval:(display:Off,pause:!f,section:0,value:0),time:(from:'2017-05-21T23:26:31-0600',mode:absolute,to:'2017-05-22T02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192" t="str">
        <f t="shared" si="53"/>
        <v>N</v>
      </c>
      <c r="X155" s="192">
        <f t="shared" si="66"/>
        <v>1</v>
      </c>
      <c r="Y155" s="192">
        <f t="shared" si="55"/>
        <v>4.4400000000000002E-2</v>
      </c>
      <c r="Z155" s="192">
        <f t="shared" si="56"/>
        <v>23.333400000000001</v>
      </c>
      <c r="AA155" s="192">
        <f t="shared" si="57"/>
        <v>23.289000000000001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8"/>
        <v>0243-21</v>
      </c>
      <c r="AE155" s="80" t="str">
        <f t="shared" si="59"/>
        <v>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 &amp; 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</v>
      </c>
      <c r="AF155" s="77" t="str">
        <f t="shared" si="60"/>
        <v>"C:\Program Files (x86)\AstroGrep\AstroGrep.exe" /e /r /s /spath="%USERPROFILE%\AppData\Local\Temp\OnboardLogs" /stypes="app*4042*20170522*" /stext=" 07:.+((SYSTEM_STATE.+slice.+state.+changed )|(ment ac)|(multiple cpu faults)|(system.+state.+changed )|(\[timeout)|(PRM\|1\|D)|(kpr)|(kdp)|(train st.+moving)|(\|lc)|(penalty))"</v>
      </c>
      <c r="AG155" s="1" t="str">
        <f t="shared" si="61"/>
        <v>EC</v>
      </c>
      <c r="AH155" s="81" t="str">
        <f t="shared" si="62"/>
        <v>"%USERPROFILE%\Documents\GitHub\eaglep3\Utilities\RefineRTDCRunTimes.py" --tripid 243-21 --locoid 4042 --swversion DE.1.0.9.0 --startMP 204:444 --initTime 2017-05-22T00:26:31 --startdatetime 2017-05-22T00:30:24 --delay 1 --endMP 204:233334 --enddatetime 2017-05-22T01:06:02 --enforcementcount 0 &gt;&gt;C:\Users\stu\Documents\GitHub\eaglep3-reporting\EC\2017-05-21-refined-times.txt</v>
      </c>
      <c r="AI155" s="99" t="str">
        <f t="shared" si="63"/>
        <v>echo {"issue":{"subject":"","project_id":79,"tracker_id":40,"status_id":1,"priority_id":2,"assigned_to_id":23,"start_date":"2017-05-22","description":"","custom_fields":[{"id":1,"name":"Subdivision","value":"EC"},{"id":4,"name":"Milepost","value":"23.3334"},{"id":17,"name":"Train ID","value":"243-21"},{"id":16,"name":"Locomotive ID","value":"4042"},{"id":130,"name":"Impact","value":""},{"id":150,"name":"Time of Event (Mountain Time)","value":"01:06:02"},{"id":151,"name":"Denver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4"/>
        <v>start /low /b %USERPROFILE%\Documents\GitHub\eaglep3\Utilities\DownloadLogsFromS3.py --loco 4042 --day 2017-05-22</v>
      </c>
      <c r="AN155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07:06:02"},{"id":29,"name":"Sharepoint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816</v>
      </c>
      <c r="B156" s="7">
        <v>4041</v>
      </c>
      <c r="C156" s="21" t="s">
        <v>206</v>
      </c>
      <c r="D156" s="21" t="s">
        <v>959</v>
      </c>
      <c r="E156" s="13">
        <v>42877.058749999997</v>
      </c>
      <c r="F156" s="13">
        <v>42877.060844907406</v>
      </c>
      <c r="G156" s="7">
        <v>1</v>
      </c>
      <c r="H156" s="21" t="s">
        <v>362</v>
      </c>
      <c r="I156" s="13">
        <v>42877.08797453704</v>
      </c>
      <c r="J156" s="7">
        <v>0</v>
      </c>
      <c r="K156" s="92" t="str">
        <f t="shared" si="48"/>
        <v>4041/4042</v>
      </c>
      <c r="L156" s="21" t="str">
        <f>VLOOKUP(A156,'Trips&amp;Operators'!$C$1:$G$99999,5,FALSE)</f>
        <v>MAGEE KENYA</v>
      </c>
      <c r="M156" s="6">
        <f t="shared" si="49"/>
        <v>2.7129629634146113E-2</v>
      </c>
      <c r="N156" s="7">
        <f t="shared" si="47"/>
        <v>39.066666673170403</v>
      </c>
      <c r="O156" s="7"/>
      <c r="P156" s="7"/>
      <c r="Q156" s="22"/>
      <c r="R156" s="190"/>
      <c r="S156" s="196">
        <f t="shared" si="50"/>
        <v>1</v>
      </c>
      <c r="T156" s="190" t="str">
        <f t="shared" si="51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2"/>
        <v>https://d0f6bd738d7f1b3e5a7ca70fe4ff75f0.us-east-1.aws.found.io/app/kibana#/discover/Steve-Slow-Train-Analysis-(2080s-and-2083s)?_g=(refreshInterval:(display:Off,pause:!f,section:0,value:0),time:(from:'2017-05-22T00:24:36-0600',mode:absolute,to:'2017-05-22T03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192" t="str">
        <f t="shared" si="53"/>
        <v>N</v>
      </c>
      <c r="X156" s="192">
        <f t="shared" si="66"/>
        <v>1</v>
      </c>
      <c r="Y156" s="192">
        <f t="shared" si="55"/>
        <v>23.297699999999999</v>
      </c>
      <c r="Z156" s="192">
        <f t="shared" si="56"/>
        <v>1.5599999999999999E-2</v>
      </c>
      <c r="AA156" s="192">
        <f t="shared" si="57"/>
        <v>23.2821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8"/>
        <v>0244-21</v>
      </c>
      <c r="AE156" s="80" t="str">
        <f t="shared" si="59"/>
        <v>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 &amp; 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</v>
      </c>
      <c r="AF156" s="77" t="str">
        <f t="shared" si="60"/>
        <v>"C:\Program Files (x86)\AstroGrep\AstroGrep.exe" /e /r /s /spath="%USERPROFILE%\AppData\Local\Temp\OnboardLogs" /stypes="app*4041*20170522*" /stext=" 08:.+((SYSTEM_STATE.+slice.+state.+changed )|(ment ac)|(multiple cpu faults)|(system.+state.+changed )|(\[timeout)|(PRM\|1\|D)|(kpr)|(kdp)|(train st.+moving)|(\|lc)|(penalty))"</v>
      </c>
      <c r="AG156" s="1" t="str">
        <f t="shared" si="61"/>
        <v>EC</v>
      </c>
      <c r="AH156" s="81" t="str">
        <f t="shared" si="62"/>
        <v>"%USERPROFILE%\Documents\GitHub\eaglep3\Utilities\RefineRTDCRunTimes.py" --tripid 244-21 --locoid 4041 --swversion DE.1.0.9.0 --startMP 204:232977 --initTime 2017-05-22T01:24:36 --startdatetime 2017-05-22T01:27:37 --delay 1 --endMP 204:156 --enddatetime 2017-05-22T02:06:41 --enforcementcount 0 &gt;&gt;C:\Users\stu\Documents\GitHub\eaglep3-reporting\EC\2017-05-21-refined-times.txt</v>
      </c>
      <c r="AI156" s="99" t="str">
        <f t="shared" si="63"/>
        <v>echo {"issue":{"subject":"","project_id":79,"tracker_id":40,"status_id":1,"priority_id":2,"assigned_to_id":23,"start_date":"2017-05-22","description":"","custom_fields":[{"id":1,"name":"Subdivision","value":"EC"},{"id":4,"name":"Milepost","value":"0.0156"},{"id":17,"name":"Train ID","value":"244-21"},{"id":16,"name":"Locomotive ID","value":"4041"},{"id":130,"name":"Impact","value":""},{"id":150,"name":"Time of Event (Mountain Time)","value":"02:06:41"},{"id":151,"name":"Denver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4"/>
        <v>start /low /b %USERPROFILE%\Documents\GitHub\eaglep3\Utilities\DownloadLogsFromS3.py --loco 4041 --day 2017-05-22</v>
      </c>
      <c r="AN156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657</v>
      </c>
      <c r="B157" s="7">
        <v>4053</v>
      </c>
      <c r="C157" s="21" t="s">
        <v>206</v>
      </c>
      <c r="D157" s="21" t="s">
        <v>408</v>
      </c>
      <c r="E157" s="13">
        <v>42876.237974537034</v>
      </c>
      <c r="F157" s="13">
        <v>42876.23978009259</v>
      </c>
      <c r="G157" s="7">
        <v>1</v>
      </c>
      <c r="H157" s="21" t="s">
        <v>505</v>
      </c>
      <c r="I157" s="13">
        <v>42876.249305555553</v>
      </c>
      <c r="J157" s="7">
        <v>0</v>
      </c>
      <c r="K157" s="92" t="str">
        <f t="shared" si="48"/>
        <v>4053/4054</v>
      </c>
      <c r="L157" s="21" t="str">
        <f>VLOOKUP(A157,'Trips&amp;Operators'!$C$1:$G$99999,5,FALSE)</f>
        <v>DAVIDSON DAVID</v>
      </c>
      <c r="M157" s="6">
        <f t="shared" si="49"/>
        <v>9.5254629632108845E-3</v>
      </c>
      <c r="N157" s="7">
        <f t="shared" si="47"/>
        <v>13.716666667023674</v>
      </c>
      <c r="O157" s="7"/>
      <c r="P157" s="7"/>
      <c r="Q157" s="22"/>
      <c r="R157" s="190"/>
      <c r="S157" s="196">
        <f t="shared" si="50"/>
        <v>1</v>
      </c>
      <c r="T157" s="190" t="str">
        <f t="shared" si="51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 t="shared" si="52"/>
        <v>https://d0f6bd738d7f1b3e5a7ca70fe4ff75f0.us-east-1.aws.found.io/app/kibana#/discover/Steve-Slow-Train-Analysis-(2080s-and-2083s)?_g=(refreshInterval:(display:Off,pause:!f,section:0,value:0),time:(from:'2017-05-21T04:42:41-0600',mode:absolute,to:'2017-05-21T06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92" t="str">
        <f t="shared" si="53"/>
        <v>N</v>
      </c>
      <c r="X157" s="192">
        <f t="shared" si="66"/>
        <v>1556</v>
      </c>
      <c r="Y157" s="192">
        <f t="shared" si="55"/>
        <v>5.8616999999999999</v>
      </c>
      <c r="Z157" s="192">
        <f t="shared" si="56"/>
        <v>7.1499999999999994E-2</v>
      </c>
      <c r="AA157" s="192">
        <f t="shared" si="57"/>
        <v>5.7901999999999996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8"/>
        <v>1800-21</v>
      </c>
      <c r="AE157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57" s="77" t="str">
        <f t="shared" si="60"/>
        <v>"C:\Program Files (x86)\AstroGrep\AstroGrep.exe" /e /r /s /spath="%USERPROFILE%\AppData\Local\Temp\OnboardLogs" /stypes="app*4053*20170521*" /stext=" 11:.+((SYSTEM_STATE.+slice.+state.+changed )|(ment ac)|(multiple cpu faults)|(system.+state.+changed )|(\[timeout)|(PRM\|1\|D)|(kpr)|(kdp)|(train st.+moving)|(\|lc)|(penalty))"</v>
      </c>
      <c r="AG157" s="1" t="str">
        <f t="shared" si="61"/>
        <v>NW</v>
      </c>
      <c r="AH157" s="81" t="str">
        <f t="shared" si="62"/>
        <v>"%USERPROFILE%\Documents\GitHub\eaglep3\Utilities\RefineRTDCRunTimes.py" --tripid 1800-21 --locoid 4053 --swversion DE.1.0.9.0 --startMP 300:58617 --initTime 2017-05-21T05:42:41 --startdatetime 2017-05-21T05:45:17 --delay 1 --endMP 204:715 --enddatetime 2017-05-21T05:59:00 --enforcementcount 0 &gt;&gt;C:\Users\stu\Documents\GitHub\eaglep3-reporting\EC\2017-05-21-refined-times.txt</v>
      </c>
      <c r="AI157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{"issue":{"subject":"","project_id":79,"tracker_id":40,"status_id":1,"priority_id":2,"assigned_to_id":23,"start_date":"2017-05-21","description":"","custom_fields":[{"id":1,"name":"Subdivision","value":"NW"},{"id":4,"name":"Milepost","value":"0.0715"},{"id":17,"name":"Train ID","value":"1800-21"},{"id":16,"name":"Locomotive ID","value":"4053"},{"id":130,"name":"Impact","value":""},{"id":150,"name":"Time of Event (Mountain Time)","value":"05:59:00"},{"id":151,"name":"Denver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4"/>
        <v>start /low /b %USERPROFILE%\Documents\GitHub\eaglep3\Utilities\DownloadLogsFromS3.py --loco 4053 --day 2017-05-21</v>
      </c>
      <c r="AN157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660</v>
      </c>
      <c r="B158" s="7">
        <v>4054</v>
      </c>
      <c r="C158" s="21" t="s">
        <v>206</v>
      </c>
      <c r="D158" s="21" t="s">
        <v>477</v>
      </c>
      <c r="E158" s="13">
        <v>42876.251261574071</v>
      </c>
      <c r="F158" s="13">
        <v>42876.256469907406</v>
      </c>
      <c r="G158" s="7">
        <v>1</v>
      </c>
      <c r="H158" s="21" t="s">
        <v>476</v>
      </c>
      <c r="I158" s="13">
        <v>42876.266458333332</v>
      </c>
      <c r="J158" s="7">
        <v>0</v>
      </c>
      <c r="K158" s="92" t="str">
        <f t="shared" si="48"/>
        <v>4053/4054</v>
      </c>
      <c r="L158" s="21" t="str">
        <f>VLOOKUP(A158,'Trips&amp;Operators'!$C$1:$G$99999,5,FALSE)</f>
        <v>DAVIDSON DAVID</v>
      </c>
      <c r="M158" s="6">
        <f t="shared" si="49"/>
        <v>9.9884259252576157E-3</v>
      </c>
      <c r="N158" s="7">
        <f t="shared" si="47"/>
        <v>14.383333332370967</v>
      </c>
      <c r="O158" s="7"/>
      <c r="P158" s="7"/>
      <c r="Q158" s="22"/>
      <c r="R158" s="190"/>
      <c r="S158" s="196">
        <f t="shared" si="50"/>
        <v>1</v>
      </c>
      <c r="T158" s="190" t="str">
        <f t="shared" si="51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52"/>
        <v>https://d0f6bd738d7f1b3e5a7ca70fe4ff75f0.us-east-1.aws.found.io/app/kibana#/discover/Steve-Slow-Train-Analysis-(2080s-and-2083s)?_g=(refreshInterval:(display:Off,pause:!f,section:0,value:0),time:(from:'2017-05-21T05:01:49-0600',mode:absolute,to:'2017-05-21T07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92" t="str">
        <f t="shared" si="53"/>
        <v>N</v>
      </c>
      <c r="X158" s="192">
        <f t="shared" si="66"/>
        <v>1</v>
      </c>
      <c r="Y158" s="192">
        <f t="shared" si="55"/>
        <v>9.8100000000000007E-2</v>
      </c>
      <c r="Z158" s="192">
        <f t="shared" si="56"/>
        <v>5.8943000000000003</v>
      </c>
      <c r="AA158" s="192">
        <f t="shared" si="57"/>
        <v>5.7962000000000007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8"/>
        <v>1801-21</v>
      </c>
      <c r="AE158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58" s="77" t="str">
        <f t="shared" si="60"/>
        <v>"C:\Program Files (x86)\AstroGrep\AstroGrep.exe" /e /r /s /spath="%USERPROFILE%\AppData\Local\Temp\OnboardLogs" /stypes="app*4054*20170521*" /stext=" 12:.+((SYSTEM_STATE.+slice.+state.+changed )|(ment ac)|(multiple cpu faults)|(system.+state.+changed )|(\[timeout)|(PRM\|1\|D)|(kpr)|(kdp)|(train st.+moving)|(\|lc)|(penalty))"</v>
      </c>
      <c r="AG158" s="1" t="str">
        <f t="shared" si="61"/>
        <v>NW</v>
      </c>
      <c r="AH158" s="81" t="str">
        <f t="shared" si="62"/>
        <v>"%USERPROFILE%\Documents\GitHub\eaglep3\Utilities\RefineRTDCRunTimes.py" --tripid 1801-21 --locoid 4054 --swversion DE.1.0.9.0 --startMP 204:981 --initTime 2017-05-21T06:01:49 --startdatetime 2017-05-21T06:09:19 --delay 1 --endMP 300:58943 --enddatetime 2017-05-21T06:23:42 --enforcementcount 0 &gt;&gt;C:\Users\stu\Documents\GitHub\eaglep3-reporting\EC\2017-05-21-refined-times.txt</v>
      </c>
      <c r="AI158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{"issue":{"subject":"","project_id":79,"tracker_id":40,"status_id":1,"priority_id":2,"assigned_to_id":23,"start_date":"2017-05-21","description":"","custom_fields":[{"id":1,"name":"Subdivision","value":"NW"},{"id":4,"name":"Milepost","value":"5.8943"},{"id":17,"name":"Train ID","value":"1801-21"},{"id":16,"name":"Locomotive ID","value":"4054"},{"id":130,"name":"Impact","value":""},{"id":150,"name":"Time of Event (Mountain Time)","value":"06:23:42"},{"id":151,"name":"Denver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4"/>
        <v>start /low /b %USERPROFILE%\Documents\GitHub\eaglep3\Utilities\DownloadLogsFromS3.py --loco 4054 --day 2017-05-21</v>
      </c>
      <c r="AN158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664</v>
      </c>
      <c r="B159" s="7">
        <v>4053</v>
      </c>
      <c r="C159" s="21" t="s">
        <v>206</v>
      </c>
      <c r="D159" s="21" t="s">
        <v>881</v>
      </c>
      <c r="E159" s="13">
        <v>42876.267511574071</v>
      </c>
      <c r="F159" s="13">
        <v>42876.280624999999</v>
      </c>
      <c r="G159" s="7">
        <v>1</v>
      </c>
      <c r="H159" s="21" t="s">
        <v>569</v>
      </c>
      <c r="I159" s="13">
        <v>42876.288888888892</v>
      </c>
      <c r="J159" s="7">
        <v>0</v>
      </c>
      <c r="K159" s="92" t="str">
        <f t="shared" si="48"/>
        <v>4053/4054</v>
      </c>
      <c r="L159" s="21" t="str">
        <f>VLOOKUP(A159,'Trips&amp;Operators'!$C$1:$G$99999,5,FALSE)</f>
        <v>DAVIDSON DAVID</v>
      </c>
      <c r="M159" s="6">
        <f t="shared" si="49"/>
        <v>8.2638888925430365E-3</v>
      </c>
      <c r="N159" s="7">
        <f t="shared" si="47"/>
        <v>11.900000005261973</v>
      </c>
      <c r="O159" s="7"/>
      <c r="P159" s="7"/>
      <c r="Q159" s="22"/>
      <c r="R159" s="190"/>
      <c r="S159" s="196">
        <f t="shared" si="50"/>
        <v>1</v>
      </c>
      <c r="T159" s="190" t="str">
        <f t="shared" si="51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52"/>
        <v>https://d0f6bd738d7f1b3e5a7ca70fe4ff75f0.us-east-1.aws.found.io/app/kibana#/discover/Steve-Slow-Train-Analysis-(2080s-and-2083s)?_g=(refreshInterval:(display:Off,pause:!f,section:0,value:0),time:(from:'2017-05-21T05:25:13-0600',mode:absolute,to:'2017-05-21T07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192" t="str">
        <f t="shared" si="53"/>
        <v>N</v>
      </c>
      <c r="X159" s="192">
        <f t="shared" si="66"/>
        <v>1</v>
      </c>
      <c r="Y159" s="192">
        <f t="shared" si="55"/>
        <v>5.8615000000000004</v>
      </c>
      <c r="Z159" s="192">
        <f t="shared" si="56"/>
        <v>7.0300000000000001E-2</v>
      </c>
      <c r="AA159" s="192">
        <f t="shared" si="57"/>
        <v>5.7912000000000008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8"/>
        <v>1802-21</v>
      </c>
      <c r="AE159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59" s="77" t="str">
        <f t="shared" si="60"/>
        <v>"C:\Program Files (x86)\AstroGrep\AstroGrep.exe" /e /r /s /spath="%USERPROFILE%\AppData\Local\Temp\OnboardLogs" /stypes="app*4053*20170521*" /stext=" 12:.+((SYSTEM_STATE.+slice.+state.+changed )|(ment ac)|(multiple cpu faults)|(system.+state.+changed )|(\[timeout)|(PRM\|1\|D)|(kpr)|(kdp)|(train st.+moving)|(\|lc)|(penalty))"</v>
      </c>
      <c r="AG159" s="1" t="str">
        <f t="shared" si="61"/>
        <v>NW</v>
      </c>
      <c r="AH159" s="81" t="str">
        <f t="shared" si="62"/>
        <v>"%USERPROFILE%\Documents\GitHub\eaglep3\Utilities\RefineRTDCRunTimes.py" --tripid 1802-21 --locoid 4053 --swversion DE.1.0.9.0 --startMP 300:58615 --initTime 2017-05-21T06:25:13 --startdatetime 2017-05-21T06:44:06 --delay 1 --endMP 204:703 --enddatetime 2017-05-21T06:56:00 --enforcementcount 0 &gt;&gt;C:\Users\stu\Documents\GitHub\eaglep3-reporting\EC\2017-05-21-refined-times.txt</v>
      </c>
      <c r="AI159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{"issue":{"subject":"","project_id":79,"tracker_id":40,"status_id":1,"priority_id":2,"assigned_to_id":23,"start_date":"2017-05-21","description":"","custom_fields":[{"id":1,"name":"Subdivision","value":"NW"},{"id":4,"name":"Milepost","value":"0.0703"},{"id":17,"name":"Train ID","value":"1802-21"},{"id":16,"name":"Locomotive ID","value":"4053"},{"id":130,"name":"Impact","value":""},{"id":150,"name":"Time of Event (Mountain Time)","value":"06:56:00"},{"id":151,"name":"Denver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4"/>
        <v>start /low /b %USERPROFILE%\Documents\GitHub\eaglep3\Utilities\DownloadLogsFromS3.py --loco 4053 --day 2017-05-21</v>
      </c>
      <c r="AN159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12:56:00"},{"id":29,"name":"Sharepoint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668</v>
      </c>
      <c r="B160" s="7">
        <v>4054</v>
      </c>
      <c r="C160" s="21" t="s">
        <v>206</v>
      </c>
      <c r="D160" s="21" t="s">
        <v>563</v>
      </c>
      <c r="E160" s="13">
        <v>42876.291666666664</v>
      </c>
      <c r="F160" s="13">
        <v>42876.298344907409</v>
      </c>
      <c r="G160" s="7">
        <v>1</v>
      </c>
      <c r="H160" s="21" t="s">
        <v>882</v>
      </c>
      <c r="I160" s="13">
        <v>42876.308449074073</v>
      </c>
      <c r="J160" s="7">
        <v>0</v>
      </c>
      <c r="K160" s="92" t="str">
        <f t="shared" si="48"/>
        <v>4053/4054</v>
      </c>
      <c r="L160" s="21" t="str">
        <f>VLOOKUP(A160,'Trips&amp;Operators'!$C$1:$G$99999,5,FALSE)</f>
        <v>DAVIDSON DAVID</v>
      </c>
      <c r="M160" s="6">
        <f t="shared" si="49"/>
        <v>1.0104166663950309E-2</v>
      </c>
      <c r="N160" s="7">
        <f t="shared" ref="N160:N180" si="67">24*60*SUM($M160:$M160)</f>
        <v>14.549999996088445</v>
      </c>
      <c r="O160" s="7"/>
      <c r="P160" s="7"/>
      <c r="Q160" s="22"/>
      <c r="R160" s="190"/>
      <c r="S160" s="196">
        <f t="shared" si="50"/>
        <v>1</v>
      </c>
      <c r="T160" s="190" t="str">
        <f t="shared" si="51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52"/>
        <v>https://d0f6bd738d7f1b3e5a7ca70fe4ff75f0.us-east-1.aws.found.io/app/kibana#/discover/Steve-Slow-Train-Analysis-(2080s-and-2083s)?_g=(refreshInterval:(display:Off,pause:!f,section:0,value:0),time:(from:'2017-05-21T06:00:00-0600',mode:absolute,to:'2017-05-21T08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0" s="192" t="str">
        <f t="shared" si="53"/>
        <v>N</v>
      </c>
      <c r="X160" s="192">
        <f t="shared" si="66"/>
        <v>1</v>
      </c>
      <c r="Y160" s="192">
        <f t="shared" si="55"/>
        <v>9.7100000000000006E-2</v>
      </c>
      <c r="Z160" s="192">
        <f t="shared" si="56"/>
        <v>5.8924000000000003</v>
      </c>
      <c r="AA160" s="192">
        <f t="shared" si="57"/>
        <v>5.7953000000000001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8"/>
        <v>1803-21</v>
      </c>
      <c r="AE160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60" s="77" t="str">
        <f t="shared" si="60"/>
        <v>"C:\Program Files (x86)\AstroGrep\AstroGrep.exe" /e /r /s /spath="%USERPROFILE%\AppData\Local\Temp\OnboardLogs" /stypes="app*4054*20170521*" /stext=" 13:.+((SYSTEM_STATE.+slice.+state.+changed )|(ment ac)|(multiple cpu faults)|(system.+state.+changed )|(\[timeout)|(PRM\|1\|D)|(kpr)|(kdp)|(train st.+moving)|(\|lc)|(penalty))"</v>
      </c>
      <c r="AG160" s="1" t="str">
        <f t="shared" si="61"/>
        <v>NW</v>
      </c>
      <c r="AH160" s="81" t="str">
        <f t="shared" si="62"/>
        <v>"%USERPROFILE%\Documents\GitHub\eaglep3\Utilities\RefineRTDCRunTimes.py" --tripid 1803-21 --locoid 4054 --swversion DE.1.0.9.0 --startMP 204:971 --initTime 2017-05-21T07:00:00 --startdatetime 2017-05-21T07:09:37 --delay 1 --endMP 300:58924 --enddatetime 2017-05-21T07:24:10 --enforcementcount 0 &gt;&gt;C:\Users\stu\Documents\GitHub\eaglep3-reporting\EC\2017-05-21-refined-times.txt</v>
      </c>
      <c r="AI160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{"issue":{"subject":"","project_id":79,"tracker_id":40,"status_id":1,"priority_id":2,"assigned_to_id":23,"start_date":"2017-05-21","description":"","custom_fields":[{"id":1,"name":"Subdivision","value":"NW"},{"id":4,"name":"Milepost","value":"5.8924"},{"id":17,"name":"Train ID","value":"1803-21"},{"id":16,"name":"Locomotive ID","value":"4054"},{"id":130,"name":"Impact","value":""},{"id":150,"name":"Time of Event (Mountain Time)","value":"07:24:10"},{"id":151,"name":"Denver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4"/>
        <v>start /low /b %USERPROFILE%\Documents\GitHub\eaglep3\Utilities\DownloadLogsFromS3.py --loco 4054 --day 2017-05-21</v>
      </c>
      <c r="AN160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672</v>
      </c>
      <c r="B161" s="7">
        <v>4053</v>
      </c>
      <c r="C161" s="21" t="s">
        <v>206</v>
      </c>
      <c r="D161" s="21" t="s">
        <v>883</v>
      </c>
      <c r="E161" s="13">
        <v>42876.309502314813</v>
      </c>
      <c r="F161" s="13">
        <v>42876.322314814817</v>
      </c>
      <c r="G161" s="7">
        <v>1</v>
      </c>
      <c r="H161" s="21" t="s">
        <v>884</v>
      </c>
      <c r="I161" s="13">
        <v>42876.330405092594</v>
      </c>
      <c r="J161" s="7">
        <v>0</v>
      </c>
      <c r="K161" s="92" t="str">
        <f t="shared" si="48"/>
        <v>4053/4054</v>
      </c>
      <c r="L161" s="21" t="str">
        <f>VLOOKUP(A161,'Trips&amp;Operators'!$C$1:$G$99999,5,FALSE)</f>
        <v>DAVIDSON DAVID</v>
      </c>
      <c r="M161" s="6">
        <f t="shared" si="49"/>
        <v>8.0902777772280388E-3</v>
      </c>
      <c r="N161" s="7">
        <f t="shared" si="67"/>
        <v>11.649999999208376</v>
      </c>
      <c r="O161" s="7"/>
      <c r="P161" s="7"/>
      <c r="Q161" s="22"/>
      <c r="R161" s="190"/>
      <c r="S161" s="196">
        <f t="shared" si="50"/>
        <v>1</v>
      </c>
      <c r="T161" s="190" t="str">
        <f t="shared" si="51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2"/>
        <v>https://d0f6bd738d7f1b3e5a7ca70fe4ff75f0.us-east-1.aws.found.io/app/kibana#/discover/Steve-Slow-Train-Analysis-(2080s-and-2083s)?_g=(refreshInterval:(display:Off,pause:!f,section:0,value:0),time:(from:'2017-05-21T06:25:41-0600',mode:absolute,to:'2017-05-21T08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1" s="192" t="str">
        <f t="shared" si="53"/>
        <v>N</v>
      </c>
      <c r="X161" s="192">
        <f t="shared" si="66"/>
        <v>1</v>
      </c>
      <c r="Y161" s="192">
        <f t="shared" si="55"/>
        <v>5.8613</v>
      </c>
      <c r="Z161" s="192">
        <f t="shared" si="56"/>
        <v>6.8400000000000002E-2</v>
      </c>
      <c r="AA161" s="192">
        <f t="shared" si="57"/>
        <v>5.7929000000000004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8"/>
        <v>1804-21</v>
      </c>
      <c r="AE161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61" s="77" t="str">
        <f t="shared" si="60"/>
        <v>"C:\Program Files (x86)\AstroGrep\AstroGrep.exe" /e /r /s /spath="%USERPROFILE%\AppData\Local\Temp\OnboardLogs" /stypes="app*4053*20170521*" /stext=" 13:.+((SYSTEM_STATE.+slice.+state.+changed )|(ment ac)|(multiple cpu faults)|(system.+state.+changed )|(\[timeout)|(PRM\|1\|D)|(kpr)|(kdp)|(train st.+moving)|(\|lc)|(penalty))"</v>
      </c>
      <c r="AG161" s="1" t="str">
        <f t="shared" si="61"/>
        <v>NW</v>
      </c>
      <c r="AH161" s="81" t="str">
        <f t="shared" si="62"/>
        <v>"%USERPROFILE%\Documents\GitHub\eaglep3\Utilities\RefineRTDCRunTimes.py" --tripid 1804-21 --locoid 4053 --swversion DE.1.0.9.0 --startMP 300:58613 --initTime 2017-05-21T07:25:41 --startdatetime 2017-05-21T07:44:08 --delay 1 --endMP 204:684 --enddatetime 2017-05-21T07:55:47 --enforcementcount 0 &gt;&gt;C:\Users\stu\Documents\GitHub\eaglep3-reporting\EC\2017-05-21-refined-times.txt</v>
      </c>
      <c r="AI161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{"issue":{"subject":"","project_id":79,"tracker_id":40,"status_id":1,"priority_id":2,"assigned_to_id":23,"start_date":"2017-05-21","description":"","custom_fields":[{"id":1,"name":"Subdivision","value":"NW"},{"id":4,"name":"Milepost","value":"0.0684"},{"id":17,"name":"Train ID","value":"1804-21"},{"id":16,"name":"Locomotive ID","value":"4053"},{"id":130,"name":"Impact","value":""},{"id":150,"name":"Time of Event (Mountain Time)","value":"07:55:47"},{"id":151,"name":"Denver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4"/>
        <v>start /low /b %USERPROFILE%\Documents\GitHub\eaglep3\Utilities\DownloadLogsFromS3.py --loco 4053 --day 2017-05-21</v>
      </c>
      <c r="AN161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13:55:47"},{"id":29,"name":"Sharepoint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676</v>
      </c>
      <c r="B162" s="7">
        <v>4054</v>
      </c>
      <c r="C162" s="21" t="s">
        <v>206</v>
      </c>
      <c r="D162" s="21" t="s">
        <v>885</v>
      </c>
      <c r="E162" s="13">
        <v>42876.331932870373</v>
      </c>
      <c r="F162" s="13">
        <v>42876.339803240742</v>
      </c>
      <c r="G162" s="7">
        <v>1</v>
      </c>
      <c r="H162" s="21" t="s">
        <v>886</v>
      </c>
      <c r="I162" s="13">
        <v>42876.350925925923</v>
      </c>
      <c r="J162" s="7">
        <v>0</v>
      </c>
      <c r="K162" s="92" t="str">
        <f t="shared" si="48"/>
        <v>4053/4054</v>
      </c>
      <c r="L162" s="21" t="str">
        <f>VLOOKUP(A162,'Trips&amp;Operators'!$C$1:$G$99999,5,FALSE)</f>
        <v>DAVIDSON DAVID</v>
      </c>
      <c r="M162" s="6">
        <f t="shared" si="49"/>
        <v>1.1122685180453118E-2</v>
      </c>
      <c r="N162" s="7">
        <f t="shared" si="67"/>
        <v>16.01666665985249</v>
      </c>
      <c r="O162" s="7"/>
      <c r="P162" s="7"/>
      <c r="Q162" s="22"/>
      <c r="R162" s="190"/>
      <c r="S162" s="196">
        <f t="shared" si="50"/>
        <v>1</v>
      </c>
      <c r="T162" s="190" t="str">
        <f t="shared" si="51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2"/>
        <v>https://d0f6bd738d7f1b3e5a7ca70fe4ff75f0.us-east-1.aws.found.io/app/kibana#/discover/Steve-Slow-Train-Analysis-(2080s-and-2083s)?_g=(refreshInterval:(display:Off,pause:!f,section:0,value:0),time:(from:'2017-05-21T06:57:59-0600',mode:absolute,to:'2017-05-21T09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192" t="str">
        <f t="shared" si="53"/>
        <v>N</v>
      </c>
      <c r="X162" s="192">
        <f t="shared" si="66"/>
        <v>1</v>
      </c>
      <c r="Y162" s="192">
        <f t="shared" si="55"/>
        <v>9.6500000000000002E-2</v>
      </c>
      <c r="Z162" s="192">
        <f t="shared" si="56"/>
        <v>5.8910999999999998</v>
      </c>
      <c r="AA162" s="192">
        <f t="shared" si="57"/>
        <v>5.7946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8"/>
        <v>1805-21</v>
      </c>
      <c r="AE162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62" s="77" t="str">
        <f t="shared" si="60"/>
        <v>"C:\Program Files (x86)\AstroGrep\AstroGrep.exe" /e /r /s /spath="%USERPROFILE%\AppData\Local\Temp\OnboardLogs" /stypes="app*4054*20170521*" /stext=" 14:.+((SYSTEM_STATE.+slice.+state.+changed )|(ment ac)|(multiple cpu faults)|(system.+state.+changed )|(\[timeout)|(PRM\|1\|D)|(kpr)|(kdp)|(train st.+moving)|(\|lc)|(penalty))"</v>
      </c>
      <c r="AG162" s="1" t="str">
        <f t="shared" si="61"/>
        <v>NW</v>
      </c>
      <c r="AH162" s="81" t="str">
        <f t="shared" si="62"/>
        <v>"%USERPROFILE%\Documents\GitHub\eaglep3\Utilities\RefineRTDCRunTimes.py" --tripid 1805-21 --locoid 4054 --swversion DE.1.0.9.0 --startMP 204:965 --initTime 2017-05-21T07:57:59 --startdatetime 2017-05-21T08:09:19 --delay 1 --endMP 300:58911 --enddatetime 2017-05-21T08:25:20 --enforcementcount 0 &gt;&gt;C:\Users\stu\Documents\GitHub\eaglep3-reporting\EC\2017-05-21-refined-times.txt</v>
      </c>
      <c r="AI162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{"issue":{"subject":"","project_id":79,"tracker_id":40,"status_id":1,"priority_id":2,"assigned_to_id":23,"start_date":"2017-05-21","description":"","custom_fields":[{"id":1,"name":"Subdivision","value":"NW"},{"id":4,"name":"Milepost","value":"5.8911"},{"id":17,"name":"Train ID","value":"1805-21"},{"id":16,"name":"Locomotive ID","value":"4054"},{"id":130,"name":"Impact","value":""},{"id":150,"name":"Time of Event (Mountain Time)","value":"08:25:20"},{"id":151,"name":"Denver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4"/>
        <v>start /low /b %USERPROFILE%\Documents\GitHub\eaglep3\Utilities\DownloadLogsFromS3.py --loco 4054 --day 2017-05-21</v>
      </c>
      <c r="AN162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680</v>
      </c>
      <c r="B163" s="7">
        <v>4053</v>
      </c>
      <c r="C163" s="21" t="s">
        <v>206</v>
      </c>
      <c r="D163" s="21" t="s">
        <v>887</v>
      </c>
      <c r="E163" s="13">
        <v>42876.351990740739</v>
      </c>
      <c r="F163" s="13">
        <v>42876.363981481481</v>
      </c>
      <c r="G163" s="7">
        <v>1</v>
      </c>
      <c r="H163" s="21" t="s">
        <v>888</v>
      </c>
      <c r="I163" s="13">
        <v>42876.372164351851</v>
      </c>
      <c r="J163" s="7">
        <v>0</v>
      </c>
      <c r="K163" s="92" t="str">
        <f t="shared" si="48"/>
        <v>4053/4054</v>
      </c>
      <c r="L163" s="21" t="str">
        <f>VLOOKUP(A163,'Trips&amp;Operators'!$C$1:$G$99999,5,FALSE)</f>
        <v>DAVIDSON DAVID</v>
      </c>
      <c r="M163" s="6">
        <f t="shared" si="49"/>
        <v>8.182870369637385E-3</v>
      </c>
      <c r="N163" s="7">
        <f t="shared" si="67"/>
        <v>11.783333332277834</v>
      </c>
      <c r="O163" s="7"/>
      <c r="P163" s="7"/>
      <c r="Q163" s="22"/>
      <c r="R163" s="190"/>
      <c r="S163" s="196">
        <f t="shared" si="50"/>
        <v>1</v>
      </c>
      <c r="T163" s="190" t="str">
        <f t="shared" si="51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2"/>
        <v>https://d0f6bd738d7f1b3e5a7ca70fe4ff75f0.us-east-1.aws.found.io/app/kibana#/discover/Steve-Slow-Train-Analysis-(2080s-and-2083s)?_g=(refreshInterval:(display:Off,pause:!f,section:0,value:0),time:(from:'2017-05-21T07:26:52-0600',mode:absolute,to:'2017-05-21T09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3" s="192" t="str">
        <f t="shared" si="53"/>
        <v>N</v>
      </c>
      <c r="X163" s="192">
        <f t="shared" ref="X163:X194" si="68">VALUE(LEFT(AD163,4))-VALUE(LEFT(AD162,4))</f>
        <v>1</v>
      </c>
      <c r="Y163" s="192">
        <f t="shared" si="55"/>
        <v>5.8604000000000003</v>
      </c>
      <c r="Z163" s="192">
        <f t="shared" si="56"/>
        <v>6.9099999999999995E-2</v>
      </c>
      <c r="AA163" s="192">
        <f t="shared" si="57"/>
        <v>5.7913000000000006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8"/>
        <v>1806-21</v>
      </c>
      <c r="AE163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63" s="77" t="str">
        <f t="shared" si="60"/>
        <v>"C:\Program Files (x86)\AstroGrep\AstroGrep.exe" /e /r /s /spath="%USERPROFILE%\AppData\Local\Temp\OnboardLogs" /stypes="app*4053*20170521*" /stext=" 14:.+((SYSTEM_STATE.+slice.+state.+changed )|(ment ac)|(multiple cpu faults)|(system.+state.+changed )|(\[timeout)|(PRM\|1\|D)|(kpr)|(kdp)|(train st.+moving)|(\|lc)|(penalty))"</v>
      </c>
      <c r="AG163" s="1" t="str">
        <f t="shared" si="61"/>
        <v>NW</v>
      </c>
      <c r="AH163" s="81" t="str">
        <f t="shared" si="62"/>
        <v>"%USERPROFILE%\Documents\GitHub\eaglep3\Utilities\RefineRTDCRunTimes.py" --tripid 1806-21 --locoid 4053 --swversion DE.1.0.9.0 --startMP 300:58604 --initTime 2017-05-21T08:26:52 --startdatetime 2017-05-21T08:44:08 --delay 1 --endMP 204:691 --enddatetime 2017-05-21T08:55:55 --enforcementcount 0 &gt;&gt;C:\Users\stu\Documents\GitHub\eaglep3-reporting\EC\2017-05-21-refined-times.txt</v>
      </c>
      <c r="AI163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{"issue":{"subject":"","project_id":79,"tracker_id":40,"status_id":1,"priority_id":2,"assigned_to_id":23,"start_date":"2017-05-21","description":"","custom_fields":[{"id":1,"name":"Subdivision","value":"NW"},{"id":4,"name":"Milepost","value":"0.0691"},{"id":17,"name":"Train ID","value":"1806-21"},{"id":16,"name":"Locomotive ID","value":"4053"},{"id":130,"name":"Impact","value":""},{"id":150,"name":"Time of Event (Mountain Time)","value":"08:55:55"},{"id":151,"name":"Denver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4"/>
        <v>start /low /b %USERPROFILE%\Documents\GitHub\eaglep3\Utilities\DownloadLogsFromS3.py --loco 4053 --day 2017-05-21</v>
      </c>
      <c r="AN163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14:55:55"},{"id":29,"name":"Sharepoint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684</v>
      </c>
      <c r="B164" s="7">
        <v>4054</v>
      </c>
      <c r="C164" s="21" t="s">
        <v>206</v>
      </c>
      <c r="D164" s="21" t="s">
        <v>565</v>
      </c>
      <c r="E164" s="13">
        <v>42876.373379629629</v>
      </c>
      <c r="F164" s="13">
        <v>42876.381458333337</v>
      </c>
      <c r="G164" s="7">
        <v>1</v>
      </c>
      <c r="H164" s="21" t="s">
        <v>889</v>
      </c>
      <c r="I164" s="13">
        <v>42876.391493055555</v>
      </c>
      <c r="J164" s="7">
        <v>0</v>
      </c>
      <c r="K164" s="92" t="str">
        <f t="shared" si="48"/>
        <v>4053/4054</v>
      </c>
      <c r="L164" s="21" t="str">
        <f>VLOOKUP(A164,'Trips&amp;Operators'!$C$1:$G$99999,5,FALSE)</f>
        <v>DAVIDSON DAVID</v>
      </c>
      <c r="M164" s="6">
        <f t="shared" si="49"/>
        <v>1.003472221782431E-2</v>
      </c>
      <c r="N164" s="7">
        <f t="shared" si="67"/>
        <v>14.449999993667006</v>
      </c>
      <c r="O164" s="7"/>
      <c r="P164" s="7"/>
      <c r="Q164" s="22"/>
      <c r="R164" s="190"/>
      <c r="S164" s="196">
        <f t="shared" si="50"/>
        <v>1</v>
      </c>
      <c r="T164" s="190" t="str">
        <f t="shared" si="51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2"/>
        <v>https://d0f6bd738d7f1b3e5a7ca70fe4ff75f0.us-east-1.aws.found.io/app/kibana#/discover/Steve-Slow-Train-Analysis-(2080s-and-2083s)?_g=(refreshInterval:(display:Off,pause:!f,section:0,value:0),time:(from:'2017-05-21T07:57:40-0600',mode:absolute,to:'2017-05-21T10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4" s="192" t="str">
        <f t="shared" si="53"/>
        <v>N</v>
      </c>
      <c r="X164" s="192">
        <f t="shared" si="68"/>
        <v>1</v>
      </c>
      <c r="Y164" s="192">
        <f t="shared" si="55"/>
        <v>9.8599999999999993E-2</v>
      </c>
      <c r="Z164" s="192">
        <f t="shared" si="56"/>
        <v>5.8916000000000004</v>
      </c>
      <c r="AA164" s="192">
        <f t="shared" si="57"/>
        <v>5.7930000000000001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8"/>
        <v>1807-21</v>
      </c>
      <c r="AE164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64" s="77" t="str">
        <f t="shared" si="60"/>
        <v>"C:\Program Files (x86)\AstroGrep\AstroGrep.exe" /e /r /s /spath="%USERPROFILE%\AppData\Local\Temp\OnboardLogs" /stypes="app*4054*20170521*" /stext=" 15:.+((SYSTEM_STATE.+slice.+state.+changed )|(ment ac)|(multiple cpu faults)|(system.+state.+changed )|(\[timeout)|(PRM\|1\|D)|(kpr)|(kdp)|(train st.+moving)|(\|lc)|(penalty))"</v>
      </c>
      <c r="AG164" s="1" t="str">
        <f t="shared" si="61"/>
        <v>NW</v>
      </c>
      <c r="AH164" s="81" t="str">
        <f t="shared" si="62"/>
        <v>"%USERPROFILE%\Documents\GitHub\eaglep3\Utilities\RefineRTDCRunTimes.py" --tripid 1807-21 --locoid 4054 --swversion DE.1.0.9.0 --startMP 204:986 --initTime 2017-05-21T08:57:40 --startdatetime 2017-05-21T09:09:18 --delay 1 --endMP 300:58916 --enddatetime 2017-05-21T09:23:45 --enforcementcount 0 &gt;&gt;C:\Users\stu\Documents\GitHub\eaglep3-reporting\EC\2017-05-21-refined-times.txt</v>
      </c>
      <c r="AI164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{"issue":{"subject":"","project_id":79,"tracker_id":40,"status_id":1,"priority_id":2,"assigned_to_id":23,"start_date":"2017-05-21","description":"","custom_fields":[{"id":1,"name":"Subdivision","value":"NW"},{"id":4,"name":"Milepost","value":"5.8916"},{"id":17,"name":"Train ID","value":"1807-21"},{"id":16,"name":"Locomotive ID","value":"4054"},{"id":130,"name":"Impact","value":""},{"id":150,"name":"Time of Event (Mountain Time)","value":"09:23:45"},{"id":151,"name":"Denver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4"/>
        <v>start /low /b %USERPROFILE%\Documents\GitHub\eaglep3\Utilities\DownloadLogsFromS3.py --loco 4054 --day 2017-05-21</v>
      </c>
      <c r="AN164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687</v>
      </c>
      <c r="B165" s="7">
        <v>4053</v>
      </c>
      <c r="C165" s="21" t="s">
        <v>206</v>
      </c>
      <c r="D165" s="21" t="s">
        <v>887</v>
      </c>
      <c r="E165" s="13">
        <v>42876.392569444448</v>
      </c>
      <c r="F165" s="13">
        <v>42876.404953703706</v>
      </c>
      <c r="G165" s="7">
        <v>1</v>
      </c>
      <c r="H165" s="21" t="s">
        <v>890</v>
      </c>
      <c r="I165" s="13">
        <v>42876.414039351854</v>
      </c>
      <c r="J165" s="7">
        <v>0</v>
      </c>
      <c r="K165" s="92" t="str">
        <f t="shared" si="48"/>
        <v>4053/4054</v>
      </c>
      <c r="L165" s="21" t="str">
        <f>VLOOKUP(A165,'Trips&amp;Operators'!$C$1:$G$99999,5,FALSE)</f>
        <v>DAVIDSON DAVID</v>
      </c>
      <c r="M165" s="6">
        <f t="shared" si="49"/>
        <v>9.0856481474475004E-3</v>
      </c>
      <c r="N165" s="7">
        <f t="shared" si="67"/>
        <v>13.083333332324401</v>
      </c>
      <c r="O165" s="7"/>
      <c r="P165" s="7"/>
      <c r="Q165" s="22"/>
      <c r="R165" s="190"/>
      <c r="S165" s="196">
        <f t="shared" si="50"/>
        <v>1</v>
      </c>
      <c r="T165" s="190" t="str">
        <f t="shared" si="51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2"/>
        <v>https://d0f6bd738d7f1b3e5a7ca70fe4ff75f0.us-east-1.aws.found.io/app/kibana#/discover/Steve-Slow-Train-Analysis-(2080s-and-2083s)?_g=(refreshInterval:(display:Off,pause:!f,section:0,value:0),time:(from:'2017-05-21T08:25:18-0600',mode:absolute,to:'2017-05-21T10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5" s="192" t="str">
        <f t="shared" si="53"/>
        <v>N</v>
      </c>
      <c r="X165" s="192">
        <f t="shared" si="68"/>
        <v>1</v>
      </c>
      <c r="Y165" s="192">
        <f t="shared" si="55"/>
        <v>5.8604000000000003</v>
      </c>
      <c r="Z165" s="192">
        <f t="shared" si="56"/>
        <v>6.8699999999999997E-2</v>
      </c>
      <c r="AA165" s="192">
        <f t="shared" si="57"/>
        <v>5.7917000000000005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8"/>
        <v>1808-21</v>
      </c>
      <c r="AE165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65" s="77" t="str">
        <f t="shared" si="60"/>
        <v>"C:\Program Files (x86)\AstroGrep\AstroGrep.exe" /e /r /s /spath="%USERPROFILE%\AppData\Local\Temp\OnboardLogs" /stypes="app*4053*20170521*" /stext=" 15:.+((SYSTEM_STATE.+slice.+state.+changed )|(ment ac)|(multiple cpu faults)|(system.+state.+changed )|(\[timeout)|(PRM\|1\|D)|(kpr)|(kdp)|(train st.+moving)|(\|lc)|(penalty))"</v>
      </c>
      <c r="AG165" s="1" t="str">
        <f t="shared" si="61"/>
        <v>NW</v>
      </c>
      <c r="AH165" s="81" t="str">
        <f t="shared" si="62"/>
        <v>"%USERPROFILE%\Documents\GitHub\eaglep3\Utilities\RefineRTDCRunTimes.py" --tripid 1808-21 --locoid 4053 --swversion DE.1.0.9.0 --startMP 300:58604 --initTime 2017-05-21T09:25:18 --startdatetime 2017-05-21T09:43:08 --delay 1 --endMP 204:687 --enddatetime 2017-05-21T09:56:13 --enforcementcount 0 &gt;&gt;C:\Users\stu\Documents\GitHub\eaglep3-reporting\EC\2017-05-21-refined-times.txt</v>
      </c>
      <c r="AI165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{"issue":{"subject":"","project_id":79,"tracker_id":40,"status_id":1,"priority_id":2,"assigned_to_id":23,"start_date":"2017-05-21","description":"","custom_fields":[{"id":1,"name":"Subdivision","value":"NW"},{"id":4,"name":"Milepost","value":"0.0687"},{"id":17,"name":"Train ID","value":"1808-21"},{"id":16,"name":"Locomotive ID","value":"4053"},{"id":130,"name":"Impact","value":""},{"id":150,"name":"Time of Event (Mountain Time)","value":"09:56:13"},{"id":151,"name":"Denver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4"/>
        <v>start /low /b %USERPROFILE%\Documents\GitHub\eaglep3\Utilities\DownloadLogsFromS3.py --loco 4053 --day 2017-05-21</v>
      </c>
      <c r="AN165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15:56:13"},{"id":29,"name":"Sharepoint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2" t="s">
        <v>692</v>
      </c>
      <c r="B166" s="7">
        <v>4054</v>
      </c>
      <c r="C166" s="21" t="s">
        <v>206</v>
      </c>
      <c r="D166" s="21" t="s">
        <v>891</v>
      </c>
      <c r="E166" s="13">
        <v>42876.417893518519</v>
      </c>
      <c r="F166" s="13">
        <v>42876.423113425924</v>
      </c>
      <c r="G166" s="7">
        <v>1</v>
      </c>
      <c r="H166" s="21" t="s">
        <v>892</v>
      </c>
      <c r="I166" s="13">
        <v>42876.434131944443</v>
      </c>
      <c r="J166" s="7">
        <v>0</v>
      </c>
      <c r="K166" s="92" t="str">
        <f t="shared" si="48"/>
        <v>4053/4054</v>
      </c>
      <c r="L166" s="21" t="str">
        <f>VLOOKUP(A166,'Trips&amp;Operators'!$C$1:$G$99999,5,FALSE)</f>
        <v>DAVIDSON DAVID</v>
      </c>
      <c r="M166" s="6">
        <f t="shared" si="49"/>
        <v>1.1018518518540077E-2</v>
      </c>
      <c r="N166" s="7">
        <f t="shared" si="67"/>
        <v>15.866666666697711</v>
      </c>
      <c r="O166" s="7"/>
      <c r="P166" s="7"/>
      <c r="Q166" s="22"/>
      <c r="R166" s="190"/>
      <c r="S166" s="196">
        <f t="shared" si="50"/>
        <v>1</v>
      </c>
      <c r="T166" s="190" t="str">
        <f t="shared" si="51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2"/>
        <v>https://d0f6bd738d7f1b3e5a7ca70fe4ff75f0.us-east-1.aws.found.io/app/kibana#/discover/Steve-Slow-Train-Analysis-(2080s-and-2083s)?_g=(refreshInterval:(display:Off,pause:!f,section:0,value:0),time:(from:'2017-05-21T09:01:46-0600',mode:absolute,to:'2017-05-21T11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6" s="192" t="str">
        <f t="shared" si="53"/>
        <v>N</v>
      </c>
      <c r="X166" s="192">
        <f t="shared" si="68"/>
        <v>1</v>
      </c>
      <c r="Y166" s="192">
        <f t="shared" si="55"/>
        <v>9.8500000000000004E-2</v>
      </c>
      <c r="Z166" s="192">
        <f t="shared" si="56"/>
        <v>5.8917999999999999</v>
      </c>
      <c r="AA166" s="192">
        <f t="shared" si="57"/>
        <v>5.7933000000000003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8"/>
        <v>1809-21</v>
      </c>
      <c r="AE166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66" s="77" t="str">
        <f t="shared" si="60"/>
        <v>"C:\Program Files (x86)\AstroGrep\AstroGrep.exe" /e /r /s /spath="%USERPROFILE%\AppData\Local\Temp\OnboardLogs" /stypes="app*4054*20170521*" /stext=" 16:.+((SYSTEM_STATE.+slice.+state.+changed )|(ment ac)|(multiple cpu faults)|(system.+state.+changed )|(\[timeout)|(PRM\|1\|D)|(kpr)|(kdp)|(train st.+moving)|(\|lc)|(penalty))"</v>
      </c>
      <c r="AG166" s="1" t="str">
        <f t="shared" si="61"/>
        <v>NW</v>
      </c>
      <c r="AH166" s="81" t="str">
        <f t="shared" si="62"/>
        <v>"%USERPROFILE%\Documents\GitHub\eaglep3\Utilities\RefineRTDCRunTimes.py" --tripid 1809-21 --locoid 4054 --swversion DE.1.0.9.0 --startMP 204:985 --initTime 2017-05-21T10:01:46 --startdatetime 2017-05-21T10:09:17 --delay 1 --endMP 300:58918 --enddatetime 2017-05-21T10:25:09 --enforcementcount 0 &gt;&gt;C:\Users\stu\Documents\GitHub\eaglep3-reporting\EC\2017-05-21-refined-times.txt</v>
      </c>
      <c r="AI166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{"issue":{"subject":"","project_id":79,"tracker_id":40,"status_id":1,"priority_id":2,"assigned_to_id":23,"start_date":"2017-05-21","description":"","custom_fields":[{"id":1,"name":"Subdivision","value":"NW"},{"id":4,"name":"Milepost","value":"5.8918"},{"id":17,"name":"Train ID","value":"1809-21"},{"id":16,"name":"Locomotive ID","value":"4054"},{"id":130,"name":"Impact","value":""},{"id":150,"name":"Time of Event (Mountain Time)","value":"10:25:09"},{"id":151,"name":"Denver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4"/>
        <v>start /low /b %USERPROFILE%\Documents\GitHub\eaglep3\Utilities\DownloadLogsFromS3.py --loco 4054 --day 2017-05-21</v>
      </c>
      <c r="AN166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697</v>
      </c>
      <c r="B167" s="7">
        <v>4053</v>
      </c>
      <c r="C167" s="21" t="s">
        <v>206</v>
      </c>
      <c r="D167" s="21" t="s">
        <v>893</v>
      </c>
      <c r="E167" s="13">
        <v>42876.435277777775</v>
      </c>
      <c r="F167" s="13">
        <v>42876.44672453704</v>
      </c>
      <c r="G167" s="7">
        <v>1</v>
      </c>
      <c r="H167" s="21" t="s">
        <v>569</v>
      </c>
      <c r="I167" s="13">
        <v>42876.455601851849</v>
      </c>
      <c r="J167" s="7">
        <v>0</v>
      </c>
      <c r="K167" s="92" t="str">
        <f t="shared" si="48"/>
        <v>4053/4054</v>
      </c>
      <c r="L167" s="21" t="str">
        <f>VLOOKUP(A167,'Trips&amp;Operators'!$C$1:$G$99999,5,FALSE)</f>
        <v>DAVIDSON DAVID</v>
      </c>
      <c r="M167" s="6">
        <f t="shared" si="49"/>
        <v>8.8773148090695031E-3</v>
      </c>
      <c r="N167" s="7">
        <f t="shared" si="67"/>
        <v>12.783333325060084</v>
      </c>
      <c r="O167" s="7"/>
      <c r="P167" s="7"/>
      <c r="Q167" s="22"/>
      <c r="R167" s="190"/>
      <c r="S167" s="196">
        <f t="shared" si="50"/>
        <v>1</v>
      </c>
      <c r="T167" s="190" t="str">
        <f t="shared" si="51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2"/>
        <v>https://d0f6bd738d7f1b3e5a7ca70fe4ff75f0.us-east-1.aws.found.io/app/kibana#/discover/Steve-Slow-Train-Analysis-(2080s-and-2083s)?_g=(refreshInterval:(display:Off,pause:!f,section:0,value:0),time:(from:'2017-05-21T09:26:48-0600',mode:absolute,to:'2017-05-21T11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7" s="192" t="str">
        <f t="shared" si="53"/>
        <v>N</v>
      </c>
      <c r="X167" s="192">
        <f t="shared" si="68"/>
        <v>1</v>
      </c>
      <c r="Y167" s="192">
        <f t="shared" si="55"/>
        <v>5.8601999999999999</v>
      </c>
      <c r="Z167" s="192">
        <f t="shared" si="56"/>
        <v>7.0300000000000001E-2</v>
      </c>
      <c r="AA167" s="192">
        <f t="shared" si="57"/>
        <v>5.7899000000000003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8"/>
        <v>1810-21</v>
      </c>
      <c r="AE167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67" s="77" t="str">
        <f t="shared" si="60"/>
        <v>"C:\Program Files (x86)\AstroGrep\AstroGrep.exe" /e /r /s /spath="%USERPROFILE%\AppData\Local\Temp\OnboardLogs" /stypes="app*4053*20170521*" /stext=" 16:.+((SYSTEM_STATE.+slice.+state.+changed )|(ment ac)|(multiple cpu faults)|(system.+state.+changed )|(\[timeout)|(PRM\|1\|D)|(kpr)|(kdp)|(train st.+moving)|(\|lc)|(penalty))"</v>
      </c>
      <c r="AG167" s="1" t="str">
        <f t="shared" si="61"/>
        <v>NW</v>
      </c>
      <c r="AH167" s="81" t="str">
        <f t="shared" si="62"/>
        <v>"%USERPROFILE%\Documents\GitHub\eaglep3\Utilities\RefineRTDCRunTimes.py" --tripid 1810-21 --locoid 4053 --swversion DE.1.0.9.0 --startMP 300:58602 --initTime 2017-05-21T10:26:48 --startdatetime 2017-05-21T10:43:17 --delay 1 --endMP 204:703 --enddatetime 2017-05-21T10:56:04 --enforcementcount 0 &gt;&gt;C:\Users\stu\Documents\GitHub\eaglep3-reporting\EC\2017-05-21-refined-times.txt</v>
      </c>
      <c r="AI167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{"issue":{"subject":"","project_id":79,"tracker_id":40,"status_id":1,"priority_id":2,"assigned_to_id":23,"start_date":"2017-05-21","description":"","custom_fields":[{"id":1,"name":"Subdivision","value":"NW"},{"id":4,"name":"Milepost","value":"0.0703"},{"id":17,"name":"Train ID","value":"1810-21"},{"id":16,"name":"Locomotive ID","value":"4053"},{"id":130,"name":"Impact","value":""},{"id":150,"name":"Time of Event (Mountain Time)","value":"10:56:04"},{"id":151,"name":"Denver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4"/>
        <v>start /low /b %USERPROFILE%\Documents\GitHub\eaglep3\Utilities\DownloadLogsFromS3.py --loco 4053 --day 2017-05-21</v>
      </c>
      <c r="AN167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16:56:04"},{"id":29,"name":"Sharepoint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700</v>
      </c>
      <c r="B168" s="7">
        <v>4054</v>
      </c>
      <c r="C168" s="21" t="s">
        <v>206</v>
      </c>
      <c r="D168" s="21" t="s">
        <v>502</v>
      </c>
      <c r="E168" s="13">
        <v>42876.457499999997</v>
      </c>
      <c r="F168" s="13">
        <v>42876.464791666665</v>
      </c>
      <c r="G168" s="7">
        <v>1</v>
      </c>
      <c r="H168" s="21" t="s">
        <v>894</v>
      </c>
      <c r="I168" s="13">
        <v>42876.475092592591</v>
      </c>
      <c r="J168" s="7">
        <v>0</v>
      </c>
      <c r="K168" s="92" t="str">
        <f t="shared" si="48"/>
        <v>4053/4054</v>
      </c>
      <c r="L168" s="21" t="str">
        <f>VLOOKUP(A168,'Trips&amp;Operators'!$C$1:$G$99999,5,FALSE)</f>
        <v>DAVIDSON DAVID</v>
      </c>
      <c r="M168" s="6">
        <f t="shared" si="49"/>
        <v>1.0300925925548654E-2</v>
      </c>
      <c r="N168" s="7">
        <f t="shared" si="67"/>
        <v>14.833333332790062</v>
      </c>
      <c r="O168" s="7"/>
      <c r="P168" s="7"/>
      <c r="Q168" s="22"/>
      <c r="R168" s="190"/>
      <c r="S168" s="196">
        <f t="shared" si="50"/>
        <v>1</v>
      </c>
      <c r="T168" s="190" t="str">
        <f t="shared" si="51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2"/>
        <v>https://d0f6bd738d7f1b3e5a7ca70fe4ff75f0.us-east-1.aws.found.io/app/kibana#/discover/Steve-Slow-Train-Analysis-(2080s-and-2083s)?_g=(refreshInterval:(display:Off,pause:!f,section:0,value:0),time:(from:'2017-05-21T09:58:48-0600',mode:absolute,to:'2017-05-21T12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8" s="192" t="str">
        <f t="shared" si="53"/>
        <v>N</v>
      </c>
      <c r="X168" s="192">
        <f t="shared" si="68"/>
        <v>1</v>
      </c>
      <c r="Y168" s="192">
        <f t="shared" si="55"/>
        <v>9.7900000000000001E-2</v>
      </c>
      <c r="Z168" s="192">
        <f t="shared" si="56"/>
        <v>5.8905000000000003</v>
      </c>
      <c r="AA168" s="192">
        <f t="shared" si="57"/>
        <v>5.7926000000000002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8"/>
        <v>1811-21</v>
      </c>
      <c r="AE168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68" s="77" t="str">
        <f t="shared" si="60"/>
        <v>"C:\Program Files (x86)\AstroGrep\AstroGrep.exe" /e /r /s /spath="%USERPROFILE%\AppData\Local\Temp\OnboardLogs" /stypes="app*4054*20170521*" /stext=" 17:.+((SYSTEM_STATE.+slice.+state.+changed )|(ment ac)|(multiple cpu faults)|(system.+state.+changed )|(\[timeout)|(PRM\|1\|D)|(kpr)|(kdp)|(train st.+moving)|(\|lc)|(penalty))"</v>
      </c>
      <c r="AG168" s="1" t="str">
        <f t="shared" si="61"/>
        <v>NW</v>
      </c>
      <c r="AH168" s="81" t="str">
        <f t="shared" si="62"/>
        <v>"%USERPROFILE%\Documents\GitHub\eaglep3\Utilities\RefineRTDCRunTimes.py" --tripid 1811-21 --locoid 4054 --swversion DE.1.0.9.0 --startMP 204:979 --initTime 2017-05-21T10:58:48 --startdatetime 2017-05-21T11:09:18 --delay 1 --endMP 300:58905 --enddatetime 2017-05-21T11:24:08 --enforcementcount 0 &gt;&gt;C:\Users\stu\Documents\GitHub\eaglep3-reporting\EC\2017-05-21-refined-times.txt</v>
      </c>
      <c r="AI168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{"issue":{"subject":"","project_id":79,"tracker_id":40,"status_id":1,"priority_id":2,"assigned_to_id":23,"start_date":"2017-05-21","description":"","custom_fields":[{"id":1,"name":"Subdivision","value":"NW"},{"id":4,"name":"Milepost","value":"5.8905"},{"id":17,"name":"Train ID","value":"1811-21"},{"id":16,"name":"Locomotive ID","value":"4054"},{"id":130,"name":"Impact","value":""},{"id":150,"name":"Time of Event (Mountain Time)","value":"11:24:08"},{"id":151,"name":"Denver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4"/>
        <v>start /low /b %USERPROFILE%\Documents\GitHub\eaglep3\Utilities\DownloadLogsFromS3.py --loco 4054 --day 2017-05-21</v>
      </c>
      <c r="AN168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704</v>
      </c>
      <c r="B169" s="7">
        <v>4053</v>
      </c>
      <c r="C169" s="21" t="s">
        <v>206</v>
      </c>
      <c r="D169" s="21" t="s">
        <v>895</v>
      </c>
      <c r="E169" s="13">
        <v>42876.476377314815</v>
      </c>
      <c r="F169" s="13">
        <v>42876.488287037035</v>
      </c>
      <c r="G169" s="7">
        <v>1</v>
      </c>
      <c r="H169" s="21" t="s">
        <v>571</v>
      </c>
      <c r="I169" s="13">
        <v>42876.497430555559</v>
      </c>
      <c r="J169" s="7">
        <v>0</v>
      </c>
      <c r="K169" s="92" t="str">
        <f t="shared" si="48"/>
        <v>4053/4054</v>
      </c>
      <c r="L169" s="21" t="str">
        <f>VLOOKUP(A169,'Trips&amp;Operators'!$C$1:$G$99999,5,FALSE)</f>
        <v>DAVIDSON DAVID</v>
      </c>
      <c r="M169" s="6">
        <f t="shared" si="49"/>
        <v>9.1435185240698047E-3</v>
      </c>
      <c r="N169" s="7">
        <f t="shared" si="67"/>
        <v>13.166666674660519</v>
      </c>
      <c r="O169" s="7"/>
      <c r="P169" s="7"/>
      <c r="Q169" s="22"/>
      <c r="R169" s="190"/>
      <c r="S169" s="196">
        <f t="shared" si="50"/>
        <v>1</v>
      </c>
      <c r="T169" s="190" t="str">
        <f t="shared" si="51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2"/>
        <v>https://d0f6bd738d7f1b3e5a7ca70fe4ff75f0.us-east-1.aws.found.io/app/kibana#/discover/Steve-Slow-Train-Analysis-(2080s-and-2083s)?_g=(refreshInterval:(display:Off,pause:!f,section:0,value:0),time:(from:'2017-05-21T10:25:59-0600',mode:absolute,to:'2017-05-21T12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9" s="192" t="str">
        <f t="shared" si="53"/>
        <v>N</v>
      </c>
      <c r="X169" s="192">
        <f t="shared" si="68"/>
        <v>1</v>
      </c>
      <c r="Y169" s="192">
        <f t="shared" si="55"/>
        <v>5.8593999999999999</v>
      </c>
      <c r="Z169" s="192">
        <f t="shared" si="56"/>
        <v>7.0099999999999996E-2</v>
      </c>
      <c r="AA169" s="192">
        <f t="shared" si="57"/>
        <v>5.7892999999999999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8"/>
        <v>1812-21</v>
      </c>
      <c r="AE169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69" s="77" t="str">
        <f t="shared" si="60"/>
        <v>"C:\Program Files (x86)\AstroGrep\AstroGrep.exe" /e /r /s /spath="%USERPROFILE%\AppData\Local\Temp\OnboardLogs" /stypes="app*4053*20170521*" /stext=" 17:.+((SYSTEM_STATE.+slice.+state.+changed )|(ment ac)|(multiple cpu faults)|(system.+state.+changed )|(\[timeout)|(PRM\|1\|D)|(kpr)|(kdp)|(train st.+moving)|(\|lc)|(penalty))"</v>
      </c>
      <c r="AG169" s="1" t="str">
        <f t="shared" si="61"/>
        <v>NW</v>
      </c>
      <c r="AH169" s="81" t="str">
        <f t="shared" si="62"/>
        <v>"%USERPROFILE%\Documents\GitHub\eaglep3\Utilities\RefineRTDCRunTimes.py" --tripid 1812-21 --locoid 4053 --swversion DE.1.0.9.0 --startMP 300:58594 --initTime 2017-05-21T11:25:59 --startdatetime 2017-05-21T11:43:08 --delay 1 --endMP 204:701 --enddatetime 2017-05-21T11:56:18 --enforcementcount 0 &gt;&gt;C:\Users\stu\Documents\GitHub\eaglep3-reporting\EC\2017-05-21-refined-times.txt</v>
      </c>
      <c r="AI169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{"issue":{"subject":"","project_id":79,"tracker_id":40,"status_id":1,"priority_id":2,"assigned_to_id":23,"start_date":"2017-05-21","description":"","custom_fields":[{"id":1,"name":"Subdivision","value":"NW"},{"id":4,"name":"Milepost","value":"0.0701"},{"id":17,"name":"Train ID","value":"1812-21"},{"id":16,"name":"Locomotive ID","value":"4053"},{"id":130,"name":"Impact","value":""},{"id":150,"name":"Time of Event (Mountain Time)","value":"11:56:18"},{"id":151,"name":"Denver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4"/>
        <v>start /low /b %USERPROFILE%\Documents\GitHub\eaglep3\Utilities\DownloadLogsFromS3.py --loco 4053 --day 2017-05-21</v>
      </c>
      <c r="AN169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17:56:18"},{"id":29,"name":"Sharepoint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597</v>
      </c>
      <c r="B170" s="7">
        <v>4054</v>
      </c>
      <c r="C170" s="21" t="s">
        <v>206</v>
      </c>
      <c r="D170" s="21" t="s">
        <v>896</v>
      </c>
      <c r="E170" s="13">
        <v>42876.499351851853</v>
      </c>
      <c r="F170" s="13">
        <v>42876.50644675926</v>
      </c>
      <c r="G170" s="7">
        <v>1</v>
      </c>
      <c r="H170" s="21" t="s">
        <v>892</v>
      </c>
      <c r="I170" s="13">
        <v>42876.516423611109</v>
      </c>
      <c r="J170" s="7">
        <v>0</v>
      </c>
      <c r="K170" s="92" t="str">
        <f t="shared" si="48"/>
        <v>4053/4054</v>
      </c>
      <c r="L170" s="21" t="str">
        <f>VLOOKUP(A170,'Trips&amp;Operators'!$C$1:$G$99999,5,FALSE)</f>
        <v>DAVIDSON DAVID</v>
      </c>
      <c r="M170" s="6">
        <f t="shared" si="49"/>
        <v>9.9768518484779634E-3</v>
      </c>
      <c r="N170" s="7">
        <f t="shared" si="67"/>
        <v>14.366666661808267</v>
      </c>
      <c r="O170" s="7"/>
      <c r="P170" s="7"/>
      <c r="Q170" s="22"/>
      <c r="R170" s="190"/>
      <c r="S170" s="196">
        <f t="shared" si="50"/>
        <v>1</v>
      </c>
      <c r="T170" s="190" t="str">
        <f t="shared" si="51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2"/>
        <v>https://d0f6bd738d7f1b3e5a7ca70fe4ff75f0.us-east-1.aws.found.io/app/kibana#/discover/Steve-Slow-Train-Analysis-(2080s-and-2083s)?_g=(refreshInterval:(display:Off,pause:!f,section:0,value:0),time:(from:'2017-05-21T10:59:04-0600',mode:absolute,to:'2017-05-21T13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0" s="192" t="str">
        <f t="shared" si="53"/>
        <v>N</v>
      </c>
      <c r="X170" s="192">
        <f t="shared" si="68"/>
        <v>1</v>
      </c>
      <c r="Y170" s="192">
        <f t="shared" si="55"/>
        <v>9.7600000000000006E-2</v>
      </c>
      <c r="Z170" s="192">
        <f t="shared" si="56"/>
        <v>5.8917999999999999</v>
      </c>
      <c r="AA170" s="192">
        <f t="shared" si="57"/>
        <v>5.7942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8"/>
        <v>1813-21</v>
      </c>
      <c r="AE170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70" s="77" t="str">
        <f t="shared" si="60"/>
        <v>"C:\Program Files (x86)\AstroGrep\AstroGrep.exe" /e /r /s /spath="%USERPROFILE%\AppData\Local\Temp\OnboardLogs" /stypes="app*4054*20170521*" /stext=" 18:.+((SYSTEM_STATE.+slice.+state.+changed )|(ment ac)|(multiple cpu faults)|(system.+state.+changed )|(\[timeout)|(PRM\|1\|D)|(kpr)|(kdp)|(train st.+moving)|(\|lc)|(penalty))"</v>
      </c>
      <c r="AG170" s="1" t="str">
        <f t="shared" si="61"/>
        <v>NW</v>
      </c>
      <c r="AH170" s="81" t="str">
        <f t="shared" si="62"/>
        <v>"%USERPROFILE%\Documents\GitHub\eaglep3\Utilities\RefineRTDCRunTimes.py" --tripid 1813-21 --locoid 4054 --swversion DE.1.0.9.0 --startMP 204:976 --initTime 2017-05-21T11:59:04 --startdatetime 2017-05-21T12:09:17 --delay 1 --endMP 300:58918 --enddatetime 2017-05-21T12:23:39 --enforcementcount 0 &gt;&gt;C:\Users\stu\Documents\GitHub\eaglep3-reporting\EC\2017-05-21-refined-times.txt</v>
      </c>
      <c r="AI170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{"issue":{"subject":"","project_id":79,"tracker_id":40,"status_id":1,"priority_id":2,"assigned_to_id":23,"start_date":"2017-05-21","description":"","custom_fields":[{"id":1,"name":"Subdivision","value":"NW"},{"id":4,"name":"Milepost","value":"5.8918"},{"id":17,"name":"Train ID","value":"1813-21"},{"id":16,"name":"Locomotive ID","value":"4054"},{"id":130,"name":"Impact","value":""},{"id":150,"name":"Time of Event (Mountain Time)","value":"12:23:39"},{"id":151,"name":"Denver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4"/>
        <v>start /low /b %USERPROFILE%\Documents\GitHub\eaglep3\Utilities\DownloadLogsFromS3.py --loco 4054 --day 2017-05-21</v>
      </c>
      <c r="AN170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717</v>
      </c>
      <c r="B171" s="7">
        <v>4053</v>
      </c>
      <c r="C171" s="21" t="s">
        <v>206</v>
      </c>
      <c r="D171" s="21" t="s">
        <v>897</v>
      </c>
      <c r="E171" s="13">
        <v>42876.518148148149</v>
      </c>
      <c r="F171" s="13">
        <v>42876.529942129629</v>
      </c>
      <c r="G171" s="7">
        <v>1</v>
      </c>
      <c r="H171" s="21" t="s">
        <v>564</v>
      </c>
      <c r="I171" s="13">
        <v>42876.539201388892</v>
      </c>
      <c r="J171" s="7">
        <v>0</v>
      </c>
      <c r="K171" s="92" t="str">
        <f t="shared" si="48"/>
        <v>4053/4054</v>
      </c>
      <c r="L171" s="21" t="str">
        <f>VLOOKUP(A171,'Trips&amp;Operators'!$C$1:$G$99999,5,FALSE)</f>
        <v>DAVIDSON DAVID</v>
      </c>
      <c r="M171" s="6">
        <f t="shared" si="49"/>
        <v>9.2592592627624981E-3</v>
      </c>
      <c r="N171" s="7">
        <f t="shared" si="67"/>
        <v>13.333333338377997</v>
      </c>
      <c r="O171" s="7"/>
      <c r="P171" s="7"/>
      <c r="Q171" s="22"/>
      <c r="R171" s="190"/>
      <c r="S171" s="196">
        <f t="shared" si="50"/>
        <v>1</v>
      </c>
      <c r="T171" s="190" t="str">
        <f t="shared" si="51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2"/>
        <v>https://d0f6bd738d7f1b3e5a7ca70fe4ff75f0.us-east-1.aws.found.io/app/kibana#/discover/Steve-Slow-Train-Analysis-(2080s-and-2083s)?_g=(refreshInterval:(display:Off,pause:!f,section:0,value:0),time:(from:'2017-05-21T11:26:08-0600',mode:absolute,to:'2017-05-21T13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1" s="192" t="str">
        <f t="shared" si="53"/>
        <v>N</v>
      </c>
      <c r="X171" s="192">
        <f t="shared" si="68"/>
        <v>1</v>
      </c>
      <c r="Y171" s="192">
        <f t="shared" si="55"/>
        <v>5.86</v>
      </c>
      <c r="Z171" s="192">
        <f t="shared" si="56"/>
        <v>7.0800000000000002E-2</v>
      </c>
      <c r="AA171" s="192">
        <f t="shared" si="57"/>
        <v>5.7892000000000001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8"/>
        <v>1814-21</v>
      </c>
      <c r="AE171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71" s="77" t="str">
        <f t="shared" si="60"/>
        <v>"C:\Program Files (x86)\AstroGrep\AstroGrep.exe" /e /r /s /spath="%USERPROFILE%\AppData\Local\Temp\OnboardLogs" /stypes="app*4053*20170521*" /stext=" 18:.+((SYSTEM_STATE.+slice.+state.+changed )|(ment ac)|(multiple cpu faults)|(system.+state.+changed )|(\[timeout)|(PRM\|1\|D)|(kpr)|(kdp)|(train st.+moving)|(\|lc)|(penalty))"</v>
      </c>
      <c r="AG171" s="1" t="str">
        <f t="shared" si="61"/>
        <v>NW</v>
      </c>
      <c r="AH171" s="81" t="str">
        <f t="shared" si="62"/>
        <v>"%USERPROFILE%\Documents\GitHub\eaglep3\Utilities\RefineRTDCRunTimes.py" --tripid 1814-21 --locoid 4053 --swversion DE.1.0.9.0 --startMP 300:58600 --initTime 2017-05-21T12:26:08 --startdatetime 2017-05-21T12:43:07 --delay 1 --endMP 204:708 --enddatetime 2017-05-21T12:56:27 --enforcementcount 0 &gt;&gt;C:\Users\stu\Documents\GitHub\eaglep3-reporting\EC\2017-05-21-refined-times.txt</v>
      </c>
      <c r="AI171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{"issue":{"subject":"","project_id":79,"tracker_id":40,"status_id":1,"priority_id":2,"assigned_to_id":23,"start_date":"2017-05-21","description":"","custom_fields":[{"id":1,"name":"Subdivision","value":"NW"},{"id":4,"name":"Milepost","value":"0.0708"},{"id":17,"name":"Train ID","value":"1814-21"},{"id":16,"name":"Locomotive ID","value":"4053"},{"id":130,"name":"Impact","value":""},{"id":150,"name":"Time of Event (Mountain Time)","value":"12:56:27"},{"id":151,"name":"Denver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4"/>
        <v>start /low /b %USERPROFILE%\Documents\GitHub\eaglep3\Utilities\DownloadLogsFromS3.py --loco 4053 --day 2017-05-21</v>
      </c>
      <c r="AN171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18:56:27"},{"id":29,"name":"Sharepoint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723</v>
      </c>
      <c r="B172" s="7">
        <v>4054</v>
      </c>
      <c r="C172" s="21" t="s">
        <v>206</v>
      </c>
      <c r="D172" s="21" t="s">
        <v>891</v>
      </c>
      <c r="E172" s="13">
        <v>42876.540821759256</v>
      </c>
      <c r="F172" s="13">
        <v>42876.548125000001</v>
      </c>
      <c r="G172" s="7">
        <v>1</v>
      </c>
      <c r="H172" s="21" t="s">
        <v>898</v>
      </c>
      <c r="I172" s="13">
        <v>42876.558842592596</v>
      </c>
      <c r="J172" s="7">
        <v>0</v>
      </c>
      <c r="K172" s="92" t="str">
        <f t="shared" si="48"/>
        <v>4053/4054</v>
      </c>
      <c r="L172" s="21" t="str">
        <f>VLOOKUP(A172,'Trips&amp;Operators'!$C$1:$G$99999,5,FALSE)</f>
        <v>DAVIDSON DAVID</v>
      </c>
      <c r="M172" s="6">
        <f t="shared" si="49"/>
        <v>1.0717592595028691E-2</v>
      </c>
      <c r="N172" s="7">
        <f t="shared" si="67"/>
        <v>15.433333336841315</v>
      </c>
      <c r="O172" s="7"/>
      <c r="P172" s="7"/>
      <c r="Q172" s="22"/>
      <c r="R172" s="190"/>
      <c r="S172" s="196">
        <f t="shared" si="50"/>
        <v>1</v>
      </c>
      <c r="T172" s="190" t="str">
        <f t="shared" si="51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2"/>
        <v>https://d0f6bd738d7f1b3e5a7ca70fe4ff75f0.us-east-1.aws.found.io/app/kibana#/discover/Steve-Slow-Train-Analysis-(2080s-and-2083s)?_g=(refreshInterval:(display:Off,pause:!f,section:0,value:0),time:(from:'2017-05-21T11:58:47-0600',mode:absolute,to:'2017-05-21T14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2" s="192" t="str">
        <f t="shared" si="53"/>
        <v>N</v>
      </c>
      <c r="X172" s="192">
        <f t="shared" si="68"/>
        <v>1</v>
      </c>
      <c r="Y172" s="192">
        <f t="shared" si="55"/>
        <v>9.8500000000000004E-2</v>
      </c>
      <c r="Z172" s="192">
        <f t="shared" si="56"/>
        <v>5.8902999999999999</v>
      </c>
      <c r="AA172" s="192">
        <f t="shared" si="57"/>
        <v>5.7918000000000003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8"/>
        <v>1815-21</v>
      </c>
      <c r="AE172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72" s="77" t="str">
        <f t="shared" si="60"/>
        <v>"C:\Program Files (x86)\AstroGrep\AstroGrep.exe" /e /r /s /spath="%USERPROFILE%\AppData\Local\Temp\OnboardLogs" /stypes="app*4054*20170521*" /stext=" 19:.+((SYSTEM_STATE.+slice.+state.+changed )|(ment ac)|(multiple cpu faults)|(system.+state.+changed )|(\[timeout)|(PRM\|1\|D)|(kpr)|(kdp)|(train st.+moving)|(\|lc)|(penalty))"</v>
      </c>
      <c r="AG172" s="1" t="str">
        <f t="shared" si="61"/>
        <v>NW</v>
      </c>
      <c r="AH172" s="81" t="str">
        <f t="shared" si="62"/>
        <v>"%USERPROFILE%\Documents\GitHub\eaglep3\Utilities\RefineRTDCRunTimes.py" --tripid 1815-21 --locoid 4054 --swversion DE.1.0.9.0 --startMP 204:985 --initTime 2017-05-21T12:58:47 --startdatetime 2017-05-21T13:09:18 --delay 1 --endMP 300:58903 --enddatetime 2017-05-21T13:24:44 --enforcementcount 0 &gt;&gt;C:\Users\stu\Documents\GitHub\eaglep3-reporting\EC\2017-05-21-refined-times.txt</v>
      </c>
      <c r="AI172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{"issue":{"subject":"","project_id":79,"tracker_id":40,"status_id":1,"priority_id":2,"assigned_to_id":23,"start_date":"2017-05-21","description":"","custom_fields":[{"id":1,"name":"Subdivision","value":"NW"},{"id":4,"name":"Milepost","value":"5.8903"},{"id":17,"name":"Train ID","value":"1815-21"},{"id":16,"name":"Locomotive ID","value":"4054"},{"id":130,"name":"Impact","value":""},{"id":150,"name":"Time of Event (Mountain Time)","value":"13:24:44"},{"id":151,"name":"Denver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4"/>
        <v>start /low /b %USERPROFILE%\Documents\GitHub\eaglep3\Utilities\DownloadLogsFromS3.py --loco 4054 --day 2017-05-21</v>
      </c>
      <c r="AN172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729</v>
      </c>
      <c r="B173" s="7">
        <v>4053</v>
      </c>
      <c r="C173" s="21" t="s">
        <v>206</v>
      </c>
      <c r="D173" s="21" t="s">
        <v>899</v>
      </c>
      <c r="E173" s="13">
        <v>42876.560300925928</v>
      </c>
      <c r="F173" s="13">
        <v>42876.571527777778</v>
      </c>
      <c r="G173" s="7">
        <v>1</v>
      </c>
      <c r="H173" s="21" t="s">
        <v>568</v>
      </c>
      <c r="I173" s="13">
        <v>42876.581203703703</v>
      </c>
      <c r="J173" s="7">
        <v>0</v>
      </c>
      <c r="K173" s="92" t="str">
        <f t="shared" si="48"/>
        <v>4053/4054</v>
      </c>
      <c r="L173" s="21" t="str">
        <f>VLOOKUP(A173,'Trips&amp;Operators'!$C$1:$G$99999,5,FALSE)</f>
        <v>DAVIDSON DAVID</v>
      </c>
      <c r="M173" s="6">
        <f t="shared" si="49"/>
        <v>9.6759259249665774E-3</v>
      </c>
      <c r="N173" s="7">
        <f t="shared" si="67"/>
        <v>13.933333331951872</v>
      </c>
      <c r="O173" s="7"/>
      <c r="P173" s="7"/>
      <c r="Q173" s="22"/>
      <c r="R173" s="190"/>
      <c r="S173" s="196">
        <f t="shared" si="50"/>
        <v>1</v>
      </c>
      <c r="T173" s="190" t="str">
        <f t="shared" si="51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2"/>
        <v>https://d0f6bd738d7f1b3e5a7ca70fe4ff75f0.us-east-1.aws.found.io/app/kibana#/discover/Steve-Slow-Train-Analysis-(2080s-and-2083s)?_g=(refreshInterval:(display:Off,pause:!f,section:0,value:0),time:(from:'2017-05-21T12:26:50-0600',mode:absolute,to:'2017-05-21T14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3" s="192" t="str">
        <f t="shared" si="53"/>
        <v>N</v>
      </c>
      <c r="X173" s="192">
        <f t="shared" si="68"/>
        <v>1</v>
      </c>
      <c r="Y173" s="192">
        <f t="shared" si="55"/>
        <v>5.8581000000000003</v>
      </c>
      <c r="Z173" s="192">
        <f t="shared" si="56"/>
        <v>6.9400000000000003E-2</v>
      </c>
      <c r="AA173" s="192">
        <f t="shared" si="57"/>
        <v>5.7887000000000004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8"/>
        <v>1816-21</v>
      </c>
      <c r="AE173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73" s="77" t="str">
        <f t="shared" si="60"/>
        <v>"C:\Program Files (x86)\AstroGrep\AstroGrep.exe" /e /r /s /spath="%USERPROFILE%\AppData\Local\Temp\OnboardLogs" /stypes="app*4053*20170521*" /stext=" 19:.+((SYSTEM_STATE.+slice.+state.+changed )|(ment ac)|(multiple cpu faults)|(system.+state.+changed )|(\[timeout)|(PRM\|1\|D)|(kpr)|(kdp)|(train st.+moving)|(\|lc)|(penalty))"</v>
      </c>
      <c r="AG173" s="1" t="str">
        <f t="shared" si="61"/>
        <v>NW</v>
      </c>
      <c r="AH173" s="81" t="str">
        <f t="shared" si="62"/>
        <v>"%USERPROFILE%\Documents\GitHub\eaglep3\Utilities\RefineRTDCRunTimes.py" --tripid 1816-21 --locoid 4053 --swversion DE.1.0.9.0 --startMP 300:58581 --initTime 2017-05-21T13:26:50 --startdatetime 2017-05-21T13:43:00 --delay 1 --endMP 204:694 --enddatetime 2017-05-21T13:56:56 --enforcementcount 0 &gt;&gt;C:\Users\stu\Documents\GitHub\eaglep3-reporting\EC\2017-05-21-refined-times.txt</v>
      </c>
      <c r="AI173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{"issue":{"subject":"","project_id":79,"tracker_id":40,"status_id":1,"priority_id":2,"assigned_to_id":23,"start_date":"2017-05-21","description":"","custom_fields":[{"id":1,"name":"Subdivision","value":"NW"},{"id":4,"name":"Milepost","value":"0.0694"},{"id":17,"name":"Train ID","value":"1816-21"},{"id":16,"name":"Locomotive ID","value":"4053"},{"id":130,"name":"Impact","value":""},{"id":150,"name":"Time of Event (Mountain Time)","value":"13:56:56"},{"id":151,"name":"Denver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4"/>
        <v>start /low /b %USERPROFILE%\Documents\GitHub\eaglep3\Utilities\DownloadLogsFromS3.py --loco 4053 --day 2017-05-21</v>
      </c>
      <c r="AN173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19:56:56"},{"id":29,"name":"Sharepoint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2" t="s">
        <v>733</v>
      </c>
      <c r="B174" s="7">
        <v>4054</v>
      </c>
      <c r="C174" s="21" t="s">
        <v>206</v>
      </c>
      <c r="D174" s="21" t="s">
        <v>574</v>
      </c>
      <c r="E174" s="13">
        <v>42876.584513888891</v>
      </c>
      <c r="F174" s="13">
        <v>42876.589826388888</v>
      </c>
      <c r="G174" s="7">
        <v>1</v>
      </c>
      <c r="H174" s="21" t="s">
        <v>575</v>
      </c>
      <c r="I174" s="13">
        <v>42876.599826388891</v>
      </c>
      <c r="J174" s="7">
        <v>0</v>
      </c>
      <c r="K174" s="92" t="str">
        <f t="shared" si="48"/>
        <v>4053/4054</v>
      </c>
      <c r="L174" s="21" t="str">
        <f>VLOOKUP(A174,'Trips&amp;Operators'!$C$1:$G$99999,5,FALSE)</f>
        <v>HOLCOMB KAMDEN</v>
      </c>
      <c r="M174" s="6">
        <f t="shared" si="49"/>
        <v>1.0000000002037268E-2</v>
      </c>
      <c r="N174" s="7">
        <f t="shared" si="67"/>
        <v>14.400000002933666</v>
      </c>
      <c r="O174" s="7"/>
      <c r="P174" s="7"/>
      <c r="Q174" s="22"/>
      <c r="R174" s="190"/>
      <c r="S174" s="196">
        <f t="shared" si="50"/>
        <v>1</v>
      </c>
      <c r="T174" s="190" t="str">
        <f t="shared" si="51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2"/>
        <v>https://d0f6bd738d7f1b3e5a7ca70fe4ff75f0.us-east-1.aws.found.io/app/kibana#/discover/Steve-Slow-Train-Analysis-(2080s-and-2083s)?_g=(refreshInterval:(display:Off,pause:!f,section:0,value:0),time:(from:'2017-05-21T13:01:42-0600',mode:absolute,to:'2017-05-21T15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4" s="192" t="str">
        <f t="shared" si="53"/>
        <v>N</v>
      </c>
      <c r="X174" s="192">
        <f t="shared" si="68"/>
        <v>1</v>
      </c>
      <c r="Y174" s="192">
        <f t="shared" si="55"/>
        <v>9.8299999999999998E-2</v>
      </c>
      <c r="Z174" s="192">
        <f t="shared" si="56"/>
        <v>5.8949999999999996</v>
      </c>
      <c r="AA174" s="192">
        <f t="shared" si="57"/>
        <v>5.7966999999999995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8"/>
        <v>1817-21</v>
      </c>
      <c r="AE174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74" s="77" t="str">
        <f t="shared" si="60"/>
        <v>"C:\Program Files (x86)\AstroGrep\AstroGrep.exe" /e /r /s /spath="%USERPROFILE%\AppData\Local\Temp\OnboardLogs" /stypes="app*4054*20170521*" /stext=" 20:.+((SYSTEM_STATE.+slice.+state.+changed )|(ment ac)|(multiple cpu faults)|(system.+state.+changed )|(\[timeout)|(PRM\|1\|D)|(kpr)|(kdp)|(train st.+moving)|(\|lc)|(penalty))"</v>
      </c>
      <c r="AG174" s="1" t="str">
        <f t="shared" si="61"/>
        <v>NW</v>
      </c>
      <c r="AH174" s="81" t="str">
        <f t="shared" si="62"/>
        <v>"%USERPROFILE%\Documents\GitHub\eaglep3\Utilities\RefineRTDCRunTimes.py" --tripid 1817-21 --locoid 4054 --swversion DE.1.0.9.0 --startMP 204:983 --initTime 2017-05-21T14:01:42 --startdatetime 2017-05-21T14:09:21 --delay 1 --endMP 300:58950 --enddatetime 2017-05-21T14:23:45 --enforcementcount 0 &gt;&gt;C:\Users\stu\Documents\GitHub\eaglep3-reporting\EC\2017-05-21-refined-times.txt</v>
      </c>
      <c r="AI174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{"issue":{"subject":"","project_id":79,"tracker_id":40,"status_id":1,"priority_id":2,"assigned_to_id":23,"start_date":"2017-05-21","description":"","custom_fields":[{"id":1,"name":"Subdivision","value":"NW"},{"id":4,"name":"Milepost","value":"5.895"},{"id":17,"name":"Train ID","value":"1817-21"},{"id":16,"name":"Locomotive ID","value":"4054"},{"id":130,"name":"Impact","value":""},{"id":150,"name":"Time of Event (Mountain Time)","value":"14:23:45"},{"id":151,"name":"Denver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4"/>
        <v>start /low /b %USERPROFILE%\Documents\GitHub\eaglep3\Utilities\DownloadLogsFromS3.py --loco 4054 --day 2017-05-21</v>
      </c>
      <c r="AN174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740</v>
      </c>
      <c r="B175" s="7">
        <v>4053</v>
      </c>
      <c r="C175" s="21" t="s">
        <v>206</v>
      </c>
      <c r="D175" s="21" t="s">
        <v>900</v>
      </c>
      <c r="E175" s="13">
        <v>42876.600624999999</v>
      </c>
      <c r="F175" s="13">
        <v>42876.613194444442</v>
      </c>
      <c r="G175" s="7">
        <v>1</v>
      </c>
      <c r="H175" s="21" t="s">
        <v>901</v>
      </c>
      <c r="I175" s="13">
        <v>42876.621921296297</v>
      </c>
      <c r="J175" s="7">
        <v>0</v>
      </c>
      <c r="K175" s="92" t="str">
        <f t="shared" si="48"/>
        <v>4053/4054</v>
      </c>
      <c r="L175" s="21" t="str">
        <f>VLOOKUP(A175,'Trips&amp;Operators'!$C$1:$G$99999,5,FALSE)</f>
        <v>HOLCOMB KAMDEN</v>
      </c>
      <c r="M175" s="6">
        <f t="shared" si="49"/>
        <v>8.7268518545897678E-3</v>
      </c>
      <c r="N175" s="7">
        <f t="shared" si="67"/>
        <v>12.566666670609266</v>
      </c>
      <c r="O175" s="7"/>
      <c r="P175" s="7"/>
      <c r="Q175" s="22"/>
      <c r="R175" s="190"/>
      <c r="S175" s="196">
        <f t="shared" si="50"/>
        <v>1</v>
      </c>
      <c r="T175" s="190" t="str">
        <f t="shared" si="51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2"/>
        <v>https://d0f6bd738d7f1b3e5a7ca70fe4ff75f0.us-east-1.aws.found.io/app/kibana#/discover/Steve-Slow-Train-Analysis-(2080s-and-2083s)?_g=(refreshInterval:(display:Off,pause:!f,section:0,value:0),time:(from:'2017-05-21T13:24:54-0600',mode:absolute,to:'2017-05-21T15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5" s="192" t="str">
        <f t="shared" si="53"/>
        <v>N</v>
      </c>
      <c r="X175" s="192">
        <f t="shared" si="68"/>
        <v>1</v>
      </c>
      <c r="Y175" s="192">
        <f t="shared" si="55"/>
        <v>5.8643000000000001</v>
      </c>
      <c r="Z175" s="192">
        <f t="shared" si="56"/>
        <v>7.3099999999999998E-2</v>
      </c>
      <c r="AA175" s="192">
        <f t="shared" si="57"/>
        <v>5.7911999999999999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8"/>
        <v>1818-21</v>
      </c>
      <c r="AE175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75" s="77" t="str">
        <f t="shared" si="60"/>
        <v>"C:\Program Files (x86)\AstroGrep\AstroGrep.exe" /e /r /s /spath="%USERPROFILE%\AppData\Local\Temp\OnboardLogs" /stypes="app*4053*20170521*" /stext=" 20:.+((SYSTEM_STATE.+slice.+state.+changed )|(ment ac)|(multiple cpu faults)|(system.+state.+changed )|(\[timeout)|(PRM\|1\|D)|(kpr)|(kdp)|(train st.+moving)|(\|lc)|(penalty))"</v>
      </c>
      <c r="AG175" s="1" t="str">
        <f t="shared" si="61"/>
        <v>NW</v>
      </c>
      <c r="AH175" s="81" t="str">
        <f t="shared" si="62"/>
        <v>"%USERPROFILE%\Documents\GitHub\eaglep3\Utilities\RefineRTDCRunTimes.py" --tripid 1818-21 --locoid 4053 --swversion DE.1.0.9.0 --startMP 300:58643 --initTime 2017-05-21T14:24:54 --startdatetime 2017-05-21T14:43:00 --delay 1 --endMP 204:731 --enddatetime 2017-05-21T14:55:34 --enforcementcount 0 &gt;&gt;C:\Users\stu\Documents\GitHub\eaglep3-reporting\EC\2017-05-21-refined-times.txt</v>
      </c>
      <c r="AI175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{"issue":{"subject":"","project_id":79,"tracker_id":40,"status_id":1,"priority_id":2,"assigned_to_id":23,"start_date":"2017-05-21","description":"","custom_fields":[{"id":1,"name":"Subdivision","value":"NW"},{"id":4,"name":"Milepost","value":"0.0731"},{"id":17,"name":"Train ID","value":"1818-21"},{"id":16,"name":"Locomotive ID","value":"4053"},{"id":130,"name":"Impact","value":""},{"id":150,"name":"Time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4"/>
        <v>start /low /b %USERPROFILE%\Documents\GitHub\eaglep3\Utilities\DownloadLogsFromS3.py --loco 4053 --day 2017-05-21</v>
      </c>
      <c r="AN175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745</v>
      </c>
      <c r="B176" s="7">
        <v>4054</v>
      </c>
      <c r="C176" s="21" t="s">
        <v>206</v>
      </c>
      <c r="D176" s="21" t="s">
        <v>902</v>
      </c>
      <c r="E176" s="13">
        <v>42876.62872685185</v>
      </c>
      <c r="F176" s="13">
        <v>42876.631666666668</v>
      </c>
      <c r="G176" s="7">
        <v>1</v>
      </c>
      <c r="H176" s="21" t="s">
        <v>903</v>
      </c>
      <c r="I176" s="13">
        <v>42876.641979166663</v>
      </c>
      <c r="J176" s="7">
        <v>0</v>
      </c>
      <c r="K176" s="92" t="str">
        <f t="shared" si="48"/>
        <v>4053/4054</v>
      </c>
      <c r="L176" s="21" t="str">
        <f>VLOOKUP(A176,'Trips&amp;Operators'!$C$1:$G$99999,5,FALSE)</f>
        <v>HOLCOMB KAMDEN</v>
      </c>
      <c r="M176" s="6">
        <f t="shared" si="49"/>
        <v>1.0312499995052349E-2</v>
      </c>
      <c r="N176" s="7">
        <f t="shared" si="67"/>
        <v>14.849999992875382</v>
      </c>
      <c r="O176" s="7"/>
      <c r="P176" s="7"/>
      <c r="Q176" s="22"/>
      <c r="R176" s="190"/>
      <c r="S176" s="196">
        <f t="shared" si="50"/>
        <v>1</v>
      </c>
      <c r="T176" s="190" t="str">
        <f t="shared" si="51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2"/>
        <v>https://d0f6bd738d7f1b3e5a7ca70fe4ff75f0.us-east-1.aws.found.io/app/kibana#/discover/Steve-Slow-Train-Analysis-(2080s-and-2083s)?_g=(refreshInterval:(display:Off,pause:!f,section:0,value:0),time:(from:'2017-05-21T14:05:22-0600',mode:absolute,to:'2017-05-21T16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6" s="192" t="str">
        <f t="shared" si="53"/>
        <v>N</v>
      </c>
      <c r="X176" s="192">
        <f t="shared" si="68"/>
        <v>1</v>
      </c>
      <c r="Y176" s="192">
        <f t="shared" si="55"/>
        <v>0.1016</v>
      </c>
      <c r="Z176" s="192">
        <f t="shared" si="56"/>
        <v>5.8935000000000004</v>
      </c>
      <c r="AA176" s="192">
        <f t="shared" si="57"/>
        <v>5.7919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8"/>
        <v>1819-21</v>
      </c>
      <c r="AE176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76" s="77" t="str">
        <f t="shared" si="60"/>
        <v>"C:\Program Files (x86)\AstroGrep\AstroGrep.exe" /e /r /s /spath="%USERPROFILE%\AppData\Local\Temp\OnboardLogs" /stypes="app*4054*20170521*" /stext=" 21:.+((SYSTEM_STATE.+slice.+state.+changed )|(ment ac)|(multiple cpu faults)|(system.+state.+changed )|(\[timeout)|(PRM\|1\|D)|(kpr)|(kdp)|(train st.+moving)|(\|lc)|(penalty))"</v>
      </c>
      <c r="AG176" s="1" t="str">
        <f t="shared" si="61"/>
        <v>NW</v>
      </c>
      <c r="AH176" s="81" t="str">
        <f t="shared" si="62"/>
        <v>"%USERPROFILE%\Documents\GitHub\eaglep3\Utilities\RefineRTDCRunTimes.py" --tripid 1819-21 --locoid 4054 --swversion DE.1.0.9.0 --startMP 204:1016 --initTime 2017-05-21T15:05:22 --startdatetime 2017-05-21T15:09:36 --delay 1 --endMP 300:58935 --enddatetime 2017-05-21T15:24:27 --enforcementcount 0 &gt;&gt;C:\Users\stu\Documents\GitHub\eaglep3-reporting\EC\2017-05-21-refined-times.txt</v>
      </c>
      <c r="AI176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{"issue":{"subject":"","project_id":79,"tracker_id":40,"status_id":1,"priority_id":2,"assigned_to_id":23,"start_date":"2017-05-21","description":"","custom_fields":[{"id":1,"name":"Subdivision","value":"NW"},{"id":4,"name":"Milepost","value":"5.8935"},{"id":17,"name":"Train ID","value":"1819-21"},{"id":16,"name":"Locomotive ID","value":"4054"},{"id":130,"name":"Impact","value":""},{"id":150,"name":"Time of Event (Mountain Time)","value":"15:24:27"},{"id":151,"name":"Denver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4"/>
        <v>start /low /b %USERPROFILE%\Documents\GitHub\eaglep3\Utilities\DownloadLogsFromS3.py --loco 4054 --day 2017-05-21</v>
      </c>
      <c r="AN176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749</v>
      </c>
      <c r="B177" s="7">
        <v>4053</v>
      </c>
      <c r="C177" s="21" t="s">
        <v>206</v>
      </c>
      <c r="D177" s="21" t="s">
        <v>475</v>
      </c>
      <c r="E177" s="13">
        <v>42876.64271990741</v>
      </c>
      <c r="F177" s="13">
        <v>42876.646261574075</v>
      </c>
      <c r="G177" s="7">
        <v>1</v>
      </c>
      <c r="H177" s="21" t="s">
        <v>571</v>
      </c>
      <c r="I177" s="13">
        <v>42876.663564814815</v>
      </c>
      <c r="J177" s="7">
        <v>0</v>
      </c>
      <c r="K177" s="92" t="str">
        <f t="shared" si="48"/>
        <v>4053/4054</v>
      </c>
      <c r="L177" s="21" t="str">
        <f>VLOOKUP(A177,'Trips&amp;Operators'!$C$1:$G$99999,5,FALSE)</f>
        <v>HOLCOMB KAMDEN</v>
      </c>
      <c r="M177" s="6">
        <f t="shared" si="49"/>
        <v>1.7303240740147885E-2</v>
      </c>
      <c r="N177" s="7">
        <f t="shared" si="67"/>
        <v>24.916666665812954</v>
      </c>
      <c r="O177" s="7"/>
      <c r="P177" s="7"/>
      <c r="Q177" s="22"/>
      <c r="R177" s="190"/>
      <c r="S177" s="196">
        <f t="shared" si="50"/>
        <v>1</v>
      </c>
      <c r="T177" s="190" t="str">
        <f t="shared" si="51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2"/>
        <v>https://d0f6bd738d7f1b3e5a7ca70fe4ff75f0.us-east-1.aws.found.io/app/kibana#/discover/Steve-Slow-Train-Analysis-(2080s-and-2083s)?_g=(refreshInterval:(display:Off,pause:!f,section:0,value:0),time:(from:'2017-05-21T14:25:31-0600',mode:absolute,to:'2017-05-21T16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7" s="192" t="str">
        <f t="shared" si="53"/>
        <v>N</v>
      </c>
      <c r="X177" s="192">
        <f t="shared" si="68"/>
        <v>1</v>
      </c>
      <c r="Y177" s="192">
        <f t="shared" si="55"/>
        <v>5.8624000000000001</v>
      </c>
      <c r="Z177" s="192">
        <f t="shared" si="56"/>
        <v>7.0099999999999996E-2</v>
      </c>
      <c r="AA177" s="192">
        <f t="shared" si="57"/>
        <v>5.7923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8"/>
        <v>1820-21</v>
      </c>
      <c r="AE177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77" s="77" t="str">
        <f t="shared" si="60"/>
        <v>"C:\Program Files (x86)\AstroGrep\AstroGrep.exe" /e /r /s /spath="%USERPROFILE%\AppData\Local\Temp\OnboardLogs" /stypes="app*4053*20170521*" /stext=" 21:.+((SYSTEM_STATE.+slice.+state.+changed )|(ment ac)|(multiple cpu faults)|(system.+state.+changed )|(\[timeout)|(PRM\|1\|D)|(kpr)|(kdp)|(train st.+moving)|(\|lc)|(penalty))"</v>
      </c>
      <c r="AG177" s="1" t="str">
        <f t="shared" si="61"/>
        <v>NW</v>
      </c>
      <c r="AH177" s="81" t="str">
        <f t="shared" si="62"/>
        <v>"%USERPROFILE%\Documents\GitHub\eaglep3\Utilities\RefineRTDCRunTimes.py" --tripid 1820-21 --locoid 4053 --swversion DE.1.0.9.0 --startMP 300:58624 --initTime 2017-05-21T15:25:31 --startdatetime 2017-05-21T15:30:37 --delay 1 --endMP 204:701 --enddatetime 2017-05-21T15:55:32 --enforcementcount 0 &gt;&gt;C:\Users\stu\Documents\GitHub\eaglep3-reporting\EC\2017-05-21-refined-times.txt</v>
      </c>
      <c r="AI177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{"issue":{"subject":"","project_id":79,"tracker_id":40,"status_id":1,"priority_id":2,"assigned_to_id":23,"start_date":"2017-05-21","description":"","custom_fields":[{"id":1,"name":"Subdivision","value":"NW"},{"id":4,"name":"Milepost","value":"0.0701"},{"id":17,"name":"Train ID","value":"1820-21"},{"id":16,"name":"Locomotive ID","value":"4053"},{"id":130,"name":"Impact","value":""},{"id":150,"name":"Time of Event (Mountain Time)","value":"15:55:32"},{"id":151,"name":"Denver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4"/>
        <v>start /low /b %USERPROFILE%\Documents\GitHub\eaglep3\Utilities\DownloadLogsFromS3.py --loco 4053 --day 2017-05-21</v>
      </c>
      <c r="AN177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21:55:32"},{"id":29,"name":"Sharepoint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753</v>
      </c>
      <c r="B178" s="7">
        <v>4054</v>
      </c>
      <c r="C178" s="21" t="s">
        <v>206</v>
      </c>
      <c r="D178" s="21" t="s">
        <v>477</v>
      </c>
      <c r="E178" s="13">
        <v>42876.66578703704</v>
      </c>
      <c r="F178" s="13">
        <v>42876.673113425924</v>
      </c>
      <c r="G178" s="7">
        <v>2</v>
      </c>
      <c r="H178" s="21" t="s">
        <v>573</v>
      </c>
      <c r="I178" s="13">
        <v>42876.683067129627</v>
      </c>
      <c r="J178" s="7">
        <v>0</v>
      </c>
      <c r="K178" s="92" t="str">
        <f t="shared" si="48"/>
        <v>4053/4054</v>
      </c>
      <c r="L178" s="21" t="str">
        <f>VLOOKUP(A178,'Trips&amp;Operators'!$C$1:$G$99999,5,FALSE)</f>
        <v>HOLCOMB KAMDEN</v>
      </c>
      <c r="M178" s="6">
        <f t="shared" si="49"/>
        <v>9.9537037021946162E-3</v>
      </c>
      <c r="N178" s="7">
        <f t="shared" si="67"/>
        <v>14.333333331160247</v>
      </c>
      <c r="O178" s="7"/>
      <c r="P178" s="7"/>
      <c r="Q178" s="22"/>
      <c r="R178" s="190"/>
      <c r="S178" s="196">
        <f t="shared" si="50"/>
        <v>1</v>
      </c>
      <c r="T178" s="190" t="str">
        <f t="shared" si="51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2"/>
        <v>https://d0f6bd738d7f1b3e5a7ca70fe4ff75f0.us-east-1.aws.found.io/app/kibana#/discover/Steve-Slow-Train-Analysis-(2080s-and-2083s)?_g=(refreshInterval:(display:Off,pause:!f,section:0,value:0),time:(from:'2017-05-21T14:58:44-0600',mode:absolute,to:'2017-05-21T17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8" s="192" t="str">
        <f t="shared" si="53"/>
        <v>N</v>
      </c>
      <c r="X178" s="192">
        <f t="shared" si="68"/>
        <v>1</v>
      </c>
      <c r="Y178" s="192">
        <f t="shared" si="55"/>
        <v>9.8100000000000007E-2</v>
      </c>
      <c r="Z178" s="192">
        <f t="shared" si="56"/>
        <v>5.8968999999999996</v>
      </c>
      <c r="AA178" s="192">
        <f t="shared" si="57"/>
        <v>5.7988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8"/>
        <v>1821-21</v>
      </c>
      <c r="AE178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78" s="77" t="str">
        <f t="shared" si="60"/>
        <v>"C:\Program Files (x86)\AstroGrep\AstroGrep.exe" /e /r /s /spath="%USERPROFILE%\AppData\Local\Temp\OnboardLogs" /stypes="app*4054*20170521*" /stext=" 22:.+((SYSTEM_STATE.+slice.+state.+changed )|(ment ac)|(multiple cpu faults)|(system.+state.+changed )|(\[timeout)|(PRM\|1\|D)|(kpr)|(kdp)|(train st.+moving)|(\|lc)|(penalty))"</v>
      </c>
      <c r="AG178" s="1" t="str">
        <f t="shared" si="61"/>
        <v>NW</v>
      </c>
      <c r="AH178" s="81" t="str">
        <f t="shared" si="62"/>
        <v>"%USERPROFILE%\Documents\GitHub\eaglep3\Utilities\RefineRTDCRunTimes.py" --tripid 1821-21 --locoid 4054 --swversion DE.1.0.9.0 --startMP 204:981 --initTime 2017-05-21T15:58:44 --startdatetime 2017-05-21T16:09:17 --delay 2 --endMP 300:58969 --enddatetime 2017-05-21T16:23:37 --enforcementcount 0 &gt;&gt;C:\Users\stu\Documents\GitHub\eaglep3-reporting\EC\2017-05-21-refined-times.txt</v>
      </c>
      <c r="AI178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{"issue":{"subject":"","project_id":79,"tracker_id":40,"status_id":1,"priority_id":2,"assigned_to_id":23,"start_date":"2017-05-21","description":"","custom_fields":[{"id":1,"name":"Subdivision","value":"NW"},{"id":4,"name":"Milepost","value":"5.8969"},{"id":17,"name":"Train ID","value":"1821-21"},{"id":16,"name":"Locomotive ID","value":"4054"},{"id":130,"name":"Impact","value":""},{"id":150,"name":"Time of Event (Mountain Time)","value":"16:23:37"},{"id":151,"name":"Denver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4"/>
        <v>start /low /b %USERPROFILE%\Documents\GitHub\eaglep3\Utilities\DownloadLogsFromS3.py --loco 4054 --day 2017-05-21</v>
      </c>
      <c r="AN178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758</v>
      </c>
      <c r="B179" s="7">
        <v>4053</v>
      </c>
      <c r="C179" s="21" t="s">
        <v>206</v>
      </c>
      <c r="D179" s="21" t="s">
        <v>904</v>
      </c>
      <c r="E179" s="13">
        <v>42876.695023148146</v>
      </c>
      <c r="F179" s="13">
        <v>42876.696770833332</v>
      </c>
      <c r="G179" s="7">
        <v>1</v>
      </c>
      <c r="H179" s="21" t="s">
        <v>905</v>
      </c>
      <c r="I179" s="13">
        <v>42876.706238425926</v>
      </c>
      <c r="J179" s="7">
        <v>0</v>
      </c>
      <c r="K179" s="92" t="str">
        <f t="shared" si="48"/>
        <v>4053/4054</v>
      </c>
      <c r="L179" s="21" t="str">
        <f>VLOOKUP(A179,'Trips&amp;Operators'!$C$1:$G$99999,5,FALSE)</f>
        <v>HOLCOMB KAMDEN</v>
      </c>
      <c r="M179" s="6">
        <f t="shared" si="49"/>
        <v>9.4675925938645378E-3</v>
      </c>
      <c r="N179" s="7">
        <f t="shared" si="67"/>
        <v>13.633333335164934</v>
      </c>
      <c r="O179" s="7"/>
      <c r="P179" s="7"/>
      <c r="Q179" s="22"/>
      <c r="R179" s="190"/>
      <c r="S179" s="196">
        <f t="shared" si="50"/>
        <v>1</v>
      </c>
      <c r="T179" s="190" t="str">
        <f t="shared" si="51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2"/>
        <v>https://d0f6bd738d7f1b3e5a7ca70fe4ff75f0.us-east-1.aws.found.io/app/kibana#/discover/Steve-Slow-Train-Analysis-(2080s-and-2083s)?_g=(refreshInterval:(display:Off,pause:!f,section:0,value:0),time:(from:'2017-05-21T15:40:50-0600',mode:absolute,to:'2017-05-21T17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9" s="192" t="str">
        <f t="shared" si="53"/>
        <v>N</v>
      </c>
      <c r="X179" s="192">
        <f t="shared" si="68"/>
        <v>1</v>
      </c>
      <c r="Y179" s="192">
        <f t="shared" si="55"/>
        <v>5.7327000000000004</v>
      </c>
      <c r="Z179" s="192">
        <f t="shared" si="56"/>
        <v>7.5499999999999998E-2</v>
      </c>
      <c r="AA179" s="192">
        <f t="shared" si="57"/>
        <v>5.6572000000000005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8"/>
        <v>1822-21</v>
      </c>
      <c r="AE179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79" s="77" t="str">
        <f t="shared" si="60"/>
        <v>"C:\Program Files (x86)\AstroGrep\AstroGrep.exe" /e /r /s /spath="%USERPROFILE%\AppData\Local\Temp\OnboardLogs" /stypes="app*4053*20170521*" /stext=" 22:.+((SYSTEM_STATE.+slice.+state.+changed )|(ment ac)|(multiple cpu faults)|(system.+state.+changed )|(\[timeout)|(PRM\|1\|D)|(kpr)|(kdp)|(train st.+moving)|(\|lc)|(penalty))"</v>
      </c>
      <c r="AG179" s="1" t="str">
        <f t="shared" si="61"/>
        <v>NW</v>
      </c>
      <c r="AH179" s="81" t="str">
        <f t="shared" si="62"/>
        <v>"%USERPROFILE%\Documents\GitHub\eaglep3\Utilities\RefineRTDCRunTimes.py" --tripid 1822-21 --locoid 4053 --swversion DE.1.0.9.0 --startMP 300:57327 --initTime 2017-05-21T16:40:50 --startdatetime 2017-05-21T16:43:21 --delay 1 --endMP 204:755 --enddatetime 2017-05-21T16:56:59 --enforcementcount 0 &gt;&gt;C:\Users\stu\Documents\GitHub\eaglep3-reporting\EC\2017-05-21-refined-times.txt</v>
      </c>
      <c r="AI179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{"issue":{"subject":"","project_id":79,"tracker_id":40,"status_id":1,"priority_id":2,"assigned_to_id":23,"start_date":"2017-05-21","description":"","custom_fields":[{"id":1,"name":"Subdivision","value":"NW"},{"id":4,"name":"Milepost","value":"0.0755"},{"id":17,"name":"Train ID","value":"1822-21"},{"id":16,"name":"Locomotive ID","value":"4053"},{"id":130,"name":"Impact","value":""},{"id":150,"name":"Time of Event (Mountain Time)","value":"16:56:59"},{"id":151,"name":"Denver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4"/>
        <v>start /low /b %USERPROFILE%\Documents\GitHub\eaglep3\Utilities\DownloadLogsFromS3.py --loco 4053 --day 2017-05-21</v>
      </c>
      <c r="AN179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22:56:59"},{"id":29,"name":"Sharepoint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763</v>
      </c>
      <c r="B180" s="7">
        <v>4054</v>
      </c>
      <c r="C180" s="21" t="s">
        <v>206</v>
      </c>
      <c r="D180" s="21" t="s">
        <v>906</v>
      </c>
      <c r="E180" s="13">
        <v>42876.711724537039</v>
      </c>
      <c r="F180" s="13">
        <v>42876.714942129627</v>
      </c>
      <c r="G180" s="7">
        <v>1</v>
      </c>
      <c r="H180" s="21" t="s">
        <v>573</v>
      </c>
      <c r="I180" s="13">
        <v>42876.725092592591</v>
      </c>
      <c r="J180" s="7">
        <v>0</v>
      </c>
      <c r="K180" s="92" t="str">
        <f t="shared" si="48"/>
        <v>4053/4054</v>
      </c>
      <c r="L180" s="21" t="str">
        <f>VLOOKUP(A180,'Trips&amp;Operators'!$C$1:$G$99999,5,FALSE)</f>
        <v>HOLCOMB KAMDEN</v>
      </c>
      <c r="M180" s="6">
        <f t="shared" si="49"/>
        <v>1.0150462963792961E-2</v>
      </c>
      <c r="N180" s="7">
        <f t="shared" si="67"/>
        <v>14.616666667861864</v>
      </c>
      <c r="O180" s="7"/>
      <c r="P180" s="7"/>
      <c r="Q180" s="22"/>
      <c r="R180" s="190"/>
      <c r="S180" s="196">
        <f t="shared" si="50"/>
        <v>1</v>
      </c>
      <c r="T180" s="190" t="str">
        <f t="shared" si="51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2"/>
        <v>https://d0f6bd738d7f1b3e5a7ca70fe4ff75f0.us-east-1.aws.found.io/app/kibana#/discover/Steve-Slow-Train-Analysis-(2080s-and-2083s)?_g=(refreshInterval:(display:Off,pause:!f,section:0,value:0),time:(from:'2017-05-21T16:04:53-0600',mode:absolute,to:'2017-05-21T18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0" s="192" t="str">
        <f t="shared" si="53"/>
        <v>N</v>
      </c>
      <c r="X180" s="192">
        <f t="shared" si="68"/>
        <v>1</v>
      </c>
      <c r="Y180" s="192">
        <f t="shared" si="55"/>
        <v>0.10340000000000001</v>
      </c>
      <c r="Z180" s="192">
        <f t="shared" si="56"/>
        <v>5.8968999999999996</v>
      </c>
      <c r="AA180" s="192">
        <f t="shared" si="57"/>
        <v>5.7934999999999999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8"/>
        <v>1823-21</v>
      </c>
      <c r="AE180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80" s="77" t="str">
        <f t="shared" si="60"/>
        <v>"C:\Program Files (x86)\AstroGrep\AstroGrep.exe" /e /r /s /spath="%USERPROFILE%\AppData\Local\Temp\OnboardLogs" /stypes="app*4054*20170521*" /stext=" 23:.+((SYSTEM_STATE.+slice.+state.+changed )|(ment ac)|(multiple cpu faults)|(system.+state.+changed )|(\[timeout)|(PRM\|1\|D)|(kpr)|(kdp)|(train st.+moving)|(\|lc)|(penalty))"</v>
      </c>
      <c r="AG180" s="1" t="str">
        <f t="shared" si="61"/>
        <v>NW</v>
      </c>
      <c r="AH180" s="81" t="str">
        <f t="shared" si="62"/>
        <v>"%USERPROFILE%\Documents\GitHub\eaglep3\Utilities\RefineRTDCRunTimes.py" --tripid 1823-21 --locoid 4054 --swversion DE.1.0.9.0 --startMP 204:1034 --initTime 2017-05-21T17:04:53 --startdatetime 2017-05-21T17:09:31 --delay 1 --endMP 300:58969 --enddatetime 2017-05-21T17:24:08 --enforcementcount 0 &gt;&gt;C:\Users\stu\Documents\GitHub\eaglep3-reporting\EC\2017-05-21-refined-times.txt</v>
      </c>
      <c r="AI180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{"issue":{"subject":"","project_id":79,"tracker_id":40,"status_id":1,"priority_id":2,"assigned_to_id":23,"start_date":"2017-05-21","description":"","custom_fields":[{"id":1,"name":"Subdivision","value":"NW"},{"id":4,"name":"Milepost","value":"5.8969"},{"id":17,"name":"Train ID","value":"1823-21"},{"id":16,"name":"Locomotive ID","value":"4054"},{"id":130,"name":"Impact","value":""},{"id":150,"name":"Time of Event (Mountain Time)","value":"17:24:08"},{"id":151,"name":"Denver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4"/>
        <v>start /low /b %USERPROFILE%\Documents\GitHub\eaglep3\Utilities\DownloadLogsFromS3.py --loco 4054 --day 2017-05-21</v>
      </c>
      <c r="AN180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606</v>
      </c>
      <c r="B181" s="7">
        <v>4053</v>
      </c>
      <c r="C181" s="21" t="s">
        <v>206</v>
      </c>
      <c r="D181" s="21" t="s">
        <v>907</v>
      </c>
      <c r="E181" s="13">
        <v>42876.726064814815</v>
      </c>
      <c r="F181" s="13">
        <v>42876.735578703701</v>
      </c>
      <c r="G181" s="7">
        <v>1</v>
      </c>
      <c r="H181" s="21" t="s">
        <v>908</v>
      </c>
      <c r="I181" s="13">
        <v>42876.740277777775</v>
      </c>
      <c r="J181" s="7">
        <v>0</v>
      </c>
      <c r="K181" s="92" t="str">
        <f t="shared" si="48"/>
        <v>4053/4054</v>
      </c>
      <c r="L181" s="21" t="str">
        <f>VLOOKUP(A181,'Trips&amp;Operators'!$C$1:$G$99999,5,FALSE)</f>
        <v>HOLCOMB KAMDEN</v>
      </c>
      <c r="M181" s="6">
        <f t="shared" si="49"/>
        <v>4.6990740738692693E-3</v>
      </c>
      <c r="N181" s="7"/>
      <c r="O181" s="7"/>
      <c r="P181" s="7">
        <f>24*60*SUM($M181:$M181)</f>
        <v>6.7666666663717479</v>
      </c>
      <c r="Q181" s="22"/>
      <c r="R181" s="190" t="s">
        <v>506</v>
      </c>
      <c r="S181" s="196">
        <f t="shared" si="50"/>
        <v>0</v>
      </c>
      <c r="T181" s="190" t="str">
        <f t="shared" si="51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191" t="str">
        <f t="shared" si="52"/>
        <v>https://d0f6bd738d7f1b3e5a7ca70fe4ff75f0.us-east-1.aws.found.io/app/kibana#/discover/Steve-Slow-Train-Analysis-(2080s-and-2083s)?_g=(refreshInterval:(display:Off,pause:!f,section:0,value:0),time:(from:'2017-05-21T16:25:32-0600',mode:absolute,to:'2017-05-21T18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1" s="192" t="str">
        <f t="shared" si="53"/>
        <v>Y</v>
      </c>
      <c r="X181" s="192">
        <f t="shared" si="68"/>
        <v>1</v>
      </c>
      <c r="Y181" s="192">
        <f t="shared" si="55"/>
        <v>5.8655999999999997</v>
      </c>
      <c r="Z181" s="192">
        <f t="shared" si="56"/>
        <v>4.1849999999999996</v>
      </c>
      <c r="AA181" s="192">
        <f t="shared" si="57"/>
        <v>1.6806000000000001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8"/>
        <v>1824-21</v>
      </c>
      <c r="AE181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81" s="77" t="str">
        <f t="shared" si="60"/>
        <v>"C:\Program Files (x86)\AstroGrep\AstroGrep.exe" /e /r /s /spath="%USERPROFILE%\AppData\Local\Temp\OnboardLogs" /stypes="app*4053*20170521*" /stext=" 23:.+((SYSTEM_STATE.+slice.+state.+changed )|(ment ac)|(multiple cpu faults)|(system.+state.+changed )|(\[timeout)|(PRM\|1\|D)|(kpr)|(kdp)|(train st.+moving)|(\|lc)|(penalty))"</v>
      </c>
      <c r="AG181" s="1" t="str">
        <f t="shared" si="61"/>
        <v>NW</v>
      </c>
      <c r="AH181" s="81" t="str">
        <f t="shared" si="62"/>
        <v>"%USERPROFILE%\Documents\GitHub\eaglep3\Utilities\RefineRTDCRunTimes.py" --tripid 1824-21 --locoid 4053 --swversion DE.1.0.9.0 --startMP 300:58656 --initTime 2017-05-21T17:25:32 --startdatetime 2017-05-21T17:39:14 --delay 1 --endMP 300:41850 --enddatetime 2017-05-21T17:46:00 --enforcementcount 0 &gt;&gt;C:\Users\stu\Documents\GitHub\eaglep3-reporting\EC\2017-05-21-refined-times.txt</v>
      </c>
      <c r="AI181" s="99" t="str">
        <f t="shared" si="63"/>
        <v>echo {"issue":{"subject":"Wi-MAX data drop","project_id":79,"tracker_id":40,"status_id":1,"priority_id":2,"assigned_to_id":23,"start_date":"2017-05-21","description":"","custom_fields":[{"id":1,"name":"Subdivision","value":"NW"},{"id":4,"name":"Milepost","value":"4.185"},{"id":17,"name":"Train ID","value":"1824-21"},{"id":16,"name":"Locomotive ID","value":"4053"},{"id":130,"name":"Impact","value":""},{"id":150,"name":"Time of Event (Mountain Time)","value":"17:46:00"},{"id":151,"name":"Denver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4"/>
        <v>start /low /b %USERPROFILE%\Documents\GitHub\eaglep3\Utilities\DownloadLogsFromS3.py --loco 4053 --day 2017-05-21</v>
      </c>
      <c r="AN181" s="154" t="str">
        <f t="shared" si="65"/>
        <v>echo {"issue":{"subject":"Wi-MAX data drop","project_id":30,"tracker_id":4,"status_id":1,"priority_id":1,"assigned_to_id":10,"start_date":"2017-05-21","description":"","custom_fields":[{"id":30,"name":"Category","value":"Issue"},{"id":3,"name":"Functional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776</v>
      </c>
      <c r="B182" s="7">
        <v>4054</v>
      </c>
      <c r="C182" s="21" t="s">
        <v>206</v>
      </c>
      <c r="D182" s="21" t="s">
        <v>909</v>
      </c>
      <c r="E182" s="13">
        <v>42876.752083333333</v>
      </c>
      <c r="F182" s="13">
        <v>42876.765231481484</v>
      </c>
      <c r="G182" s="7">
        <v>1</v>
      </c>
      <c r="H182" s="21" t="s">
        <v>910</v>
      </c>
      <c r="I182" s="13">
        <v>42876.775312500002</v>
      </c>
      <c r="J182" s="7">
        <v>0</v>
      </c>
      <c r="K182" s="92" t="str">
        <f t="shared" si="48"/>
        <v>4053/4054</v>
      </c>
      <c r="L182" s="21" t="str">
        <f>VLOOKUP(A182,'Trips&amp;Operators'!$C$1:$G$99999,5,FALSE)</f>
        <v>HOLCOMB KAMDEN</v>
      </c>
      <c r="M182" s="6">
        <f t="shared" si="49"/>
        <v>1.0081018517666962E-2</v>
      </c>
      <c r="N182" s="7">
        <f>24*60*SUM($M182:$M182)</f>
        <v>14.516666665440425</v>
      </c>
      <c r="O182" s="7"/>
      <c r="P182" s="7"/>
      <c r="Q182" s="22"/>
      <c r="R182" s="190"/>
      <c r="S182" s="196">
        <f t="shared" si="50"/>
        <v>1</v>
      </c>
      <c r="T182" s="190" t="str">
        <f t="shared" si="51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2"/>
        <v>https://d0f6bd738d7f1b3e5a7ca70fe4ff75f0.us-east-1.aws.found.io/app/kibana#/discover/Steve-Slow-Train-Analysis-(2080s-and-2083s)?_g=(refreshInterval:(display:Off,pause:!f,section:0,value:0),time:(from:'2017-05-21T17:03:00-0600',mode:absolute,to:'2017-05-21T19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2" s="192" t="str">
        <f t="shared" si="53"/>
        <v>N</v>
      </c>
      <c r="X182" s="192">
        <f t="shared" si="68"/>
        <v>1</v>
      </c>
      <c r="Y182" s="192">
        <f t="shared" si="55"/>
        <v>9.6699999999999994E-2</v>
      </c>
      <c r="Z182" s="192">
        <f t="shared" si="56"/>
        <v>5.8948</v>
      </c>
      <c r="AA182" s="192">
        <f t="shared" si="57"/>
        <v>5.7980999999999998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8"/>
        <v>1825-21</v>
      </c>
      <c r="AE182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82" s="77" t="str">
        <f t="shared" si="60"/>
        <v>"C:\Program Files (x86)\AstroGrep\AstroGrep.exe" /e /r /s /spath="%USERPROFILE%\AppData\Local\Temp\OnboardLogs" /stypes="app*4054*20170522*" /stext=" 00:.+((SYSTEM_STATE.+slice.+state.+changed )|(ment ac)|(multiple cpu faults)|(system.+state.+changed )|(\[timeout)|(PRM\|1\|D)|(kpr)|(kdp)|(train st.+moving)|(\|lc)|(penalty))"</v>
      </c>
      <c r="AG182" s="1" t="str">
        <f t="shared" si="61"/>
        <v>NW</v>
      </c>
      <c r="AH182" s="81" t="str">
        <f t="shared" si="62"/>
        <v>"%USERPROFILE%\Documents\GitHub\eaglep3\Utilities\RefineRTDCRunTimes.py" --tripid 1825-21 --locoid 4054 --swversion DE.1.0.9.0 --startMP 204:967 --initTime 2017-05-21T18:03:00 --startdatetime 2017-05-21T18:21:56 --delay 1 --endMP 300:58948 --enddatetime 2017-05-21T18:36:27 --enforcementcount 0 &gt;&gt;C:\Users\stu\Documents\GitHub\eaglep3-reporting\EC\2017-05-21-refined-times.txt</v>
      </c>
      <c r="AI182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{"issue":{"subject":"","project_id":79,"tracker_id":40,"status_id":1,"priority_id":2,"assigned_to_id":23,"start_date":"2017-05-21","description":"","custom_fields":[{"id":1,"name":"Subdivision","value":"NW"},{"id":4,"name":"Milepost","value":"5.8948"},{"id":17,"name":"Train ID","value":"1825-21"},{"id":16,"name":"Locomotive ID","value":"4054"},{"id":130,"name":"Impact","value":""},{"id":150,"name":"Time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4"/>
        <v>start /low /b %USERPROFILE%\Documents\GitHub\eaglep3\Utilities\DownloadLogsFromS3.py --loco 4054 --day 2017-05-21</v>
      </c>
      <c r="AN182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784</v>
      </c>
      <c r="B183" s="7">
        <v>4053</v>
      </c>
      <c r="C183" s="21" t="s">
        <v>206</v>
      </c>
      <c r="D183" s="21" t="s">
        <v>911</v>
      </c>
      <c r="E183" s="13">
        <v>42876.776180555556</v>
      </c>
      <c r="F183" s="13">
        <v>42876.777951388889</v>
      </c>
      <c r="G183" s="7">
        <v>1</v>
      </c>
      <c r="H183" s="21" t="s">
        <v>912</v>
      </c>
      <c r="I183" s="13">
        <v>42876.783680555556</v>
      </c>
      <c r="J183" s="7">
        <v>0</v>
      </c>
      <c r="K183" s="92" t="str">
        <f t="shared" si="48"/>
        <v>4053/4054</v>
      </c>
      <c r="L183" s="21" t="str">
        <f>VLOOKUP(A183,'Trips&amp;Operators'!$C$1:$G$99999,5,FALSE)</f>
        <v>HOLCOMB KAMDEN</v>
      </c>
      <c r="M183" s="6">
        <f t="shared" si="49"/>
        <v>5.7291666671517305E-3</v>
      </c>
      <c r="N183" s="7"/>
      <c r="O183" s="7"/>
      <c r="P183" s="7">
        <f>24*60*SUM($M183:$M183)</f>
        <v>8.2500000006984919</v>
      </c>
      <c r="Q183" s="22"/>
      <c r="R183" s="190" t="s">
        <v>506</v>
      </c>
      <c r="S183" s="196">
        <f t="shared" si="50"/>
        <v>0</v>
      </c>
      <c r="T183" s="190" t="str">
        <f t="shared" si="51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191" t="str">
        <f t="shared" si="52"/>
        <v>https://d0f6bd738d7f1b3e5a7ca70fe4ff75f0.us-east-1.aws.found.io/app/kibana#/discover/Steve-Slow-Train-Analysis-(2080s-and-2083s)?_g=(refreshInterval:(display:Off,pause:!f,section:0,value:0),time:(from:'2017-05-21T17:37:42-0600',mode:absolute,to:'2017-05-21T19:48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3" s="192" t="str">
        <f t="shared" si="53"/>
        <v>Y</v>
      </c>
      <c r="X183" s="192">
        <f t="shared" si="68"/>
        <v>1</v>
      </c>
      <c r="Y183" s="192">
        <f t="shared" si="55"/>
        <v>5.8635999999999999</v>
      </c>
      <c r="Z183" s="192">
        <f t="shared" si="56"/>
        <v>4.2362000000000002</v>
      </c>
      <c r="AA183" s="192">
        <f t="shared" si="57"/>
        <v>1.6273999999999997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8"/>
        <v>1826-21</v>
      </c>
      <c r="AE183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83" s="77" t="str">
        <f t="shared" si="60"/>
        <v>"C:\Program Files (x86)\AstroGrep\AstroGrep.exe" /e /r /s /spath="%USERPROFILE%\AppData\Local\Temp\OnboardLogs" /stypes="app*4053*20170522*" /stext=" 00:.+((SYSTEM_STATE.+slice.+state.+changed )|(ment ac)|(multiple cpu faults)|(system.+state.+changed )|(\[timeout)|(PRM\|1\|D)|(kpr)|(kdp)|(train st.+moving)|(\|lc)|(penalty))"</v>
      </c>
      <c r="AG183" s="1" t="str">
        <f t="shared" si="61"/>
        <v>NW</v>
      </c>
      <c r="AH183" s="81" t="str">
        <f t="shared" si="62"/>
        <v>"%USERPROFILE%\Documents\GitHub\eaglep3\Utilities\RefineRTDCRunTimes.py" --tripid 1826-21 --locoid 4053 --swversion DE.1.0.9.0 --startMP 300:58636 --initTime 2017-05-21T18:37:42 --startdatetime 2017-05-21T18:40:15 --delay 1 --endMP 300:42362 --enddatetime 2017-05-21T18:48:30 --enforcementcount 0 &gt;&gt;C:\Users\stu\Documents\GitHub\eaglep3-reporting\EC\2017-05-21-refined-times.txt</v>
      </c>
      <c r="AI183" s="99" t="str">
        <f t="shared" si="63"/>
        <v>echo {"issue":{"subject":"Wi-MAX data drop","project_id":79,"tracker_id":40,"status_id":1,"priority_id":2,"assigned_to_id":23,"start_date":"2017-05-21","description":"","custom_fields":[{"id":1,"name":"Subdivision","value":"NW"},{"id":4,"name":"Milepost","value":"4.2362"},{"id":17,"name":"Train ID","value":"1826-21"},{"id":16,"name":"Locomotive ID","value":"4053"},{"id":130,"name":"Impact","value":""},{"id":150,"name":"Time of Event (Mountain Time)","value":"18:48:30"},{"id":151,"name":"Denver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4"/>
        <v>start /low /b %USERPROFILE%\Documents\GitHub\eaglep3\Utilities\DownloadLogsFromS3.py --loco 4053 --day 2017-05-21</v>
      </c>
      <c r="AN183" s="154" t="str">
        <f t="shared" si="65"/>
        <v>echo {"issue":{"subject":"Wi-MAX data drop","project_id":30,"tracker_id":4,"status_id":1,"priority_id":1,"assigned_to_id":10,"start_date":"2017-05-22","description":"","custom_fields":[{"id":30,"name":"Category","value":"Issue"},{"id":3,"name":"Functional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00:48:30"},{"id":29,"name":"Sharepoint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789</v>
      </c>
      <c r="B184" s="7">
        <v>4054</v>
      </c>
      <c r="C184" s="21" t="s">
        <v>206</v>
      </c>
      <c r="D184" s="21" t="s">
        <v>566</v>
      </c>
      <c r="E184" s="13">
        <v>42876.805289351854</v>
      </c>
      <c r="F184" s="13">
        <v>42876.809247685182</v>
      </c>
      <c r="G184" s="7">
        <v>1</v>
      </c>
      <c r="H184" s="21" t="s">
        <v>913</v>
      </c>
      <c r="I184" s="13">
        <v>42876.820034722223</v>
      </c>
      <c r="J184" s="7">
        <v>0</v>
      </c>
      <c r="K184" s="92" t="str">
        <f t="shared" si="48"/>
        <v>4053/4054</v>
      </c>
      <c r="L184" s="21" t="str">
        <f>VLOOKUP(A184,'Trips&amp;Operators'!$C$1:$G$99999,5,FALSE)</f>
        <v>HOLCOMB KAMDEN</v>
      </c>
      <c r="M184" s="6">
        <f t="shared" si="49"/>
        <v>1.078703704115469E-2</v>
      </c>
      <c r="N184" s="7">
        <f t="shared" ref="N184:N222" si="69">24*60*SUM($M184:$M184)</f>
        <v>15.533333339262754</v>
      </c>
      <c r="O184" s="7"/>
      <c r="P184" s="7"/>
      <c r="Q184" s="22"/>
      <c r="R184" s="190"/>
      <c r="S184" s="196">
        <f t="shared" si="50"/>
        <v>1</v>
      </c>
      <c r="T184" s="190" t="str">
        <f t="shared" si="51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2"/>
        <v>https://d0f6bd738d7f1b3e5a7ca70fe4ff75f0.us-east-1.aws.found.io/app/kibana#/discover/Steve-Slow-Train-Analysis-(2080s-and-2083s)?_g=(refreshInterval:(display:Off,pause:!f,section:0,value:0),time:(from:'2017-05-21T18:19:37-0600',mode:absolute,to:'2017-05-21T20:40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4" s="192" t="str">
        <f t="shared" si="53"/>
        <v>N</v>
      </c>
      <c r="X184" s="192">
        <f t="shared" si="68"/>
        <v>1</v>
      </c>
      <c r="Y184" s="192">
        <f t="shared" si="55"/>
        <v>9.7199999999999995E-2</v>
      </c>
      <c r="Z184" s="192">
        <f t="shared" si="56"/>
        <v>5.8967000000000001</v>
      </c>
      <c r="AA184" s="192">
        <f t="shared" si="57"/>
        <v>5.7995000000000001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8"/>
        <v>1827-21</v>
      </c>
      <c r="AE184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84" s="77" t="str">
        <f t="shared" si="60"/>
        <v>"C:\Program Files (x86)\AstroGrep\AstroGrep.exe" /e /r /s /spath="%USERPROFILE%\AppData\Local\Temp\OnboardLogs" /stypes="app*4054*20170522*" /stext=" 01:.+((SYSTEM_STATE.+slice.+state.+changed )|(ment ac)|(multiple cpu faults)|(system.+state.+changed )|(\[timeout)|(PRM\|1\|D)|(kpr)|(kdp)|(train st.+moving)|(\|lc)|(penalty))"</v>
      </c>
      <c r="AG184" s="1" t="str">
        <f t="shared" si="61"/>
        <v>NW</v>
      </c>
      <c r="AH184" s="81" t="str">
        <f t="shared" si="62"/>
        <v>"%USERPROFILE%\Documents\GitHub\eaglep3\Utilities\RefineRTDCRunTimes.py" --tripid 1827-21 --locoid 4054 --swversion DE.1.0.9.0 --startMP 204:972 --initTime 2017-05-21T19:19:37 --startdatetime 2017-05-21T19:25:19 --delay 1 --endMP 300:58967 --enddatetime 2017-05-21T19:40:51 --enforcementcount 0 &gt;&gt;C:\Users\stu\Documents\GitHub\eaglep3-reporting\EC\2017-05-21-refined-times.txt</v>
      </c>
      <c r="AI184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{"issue":{"subject":"","project_id":79,"tracker_id":40,"status_id":1,"priority_id":2,"assigned_to_id":23,"start_date":"2017-05-21","description":"","custom_fields":[{"id":1,"name":"Subdivision","value":"NW"},{"id":4,"name":"Milepost","value":"5.8967"},{"id":17,"name":"Train ID","value":"1827-21"},{"id":16,"name":"Locomotive ID","value":"4054"},{"id":130,"name":"Impact","value":""},{"id":150,"name":"Time of Event (Mountain Time)","value":"19:40:51"},{"id":151,"name":"Denver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4"/>
        <v>start /low /b %USERPROFILE%\Documents\GitHub\eaglep3\Utilities\DownloadLogsFromS3.py --loco 4054 --day 2017-05-21</v>
      </c>
      <c r="AN184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01:40:51"},{"id":29,"name":"Sharepoint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791</v>
      </c>
      <c r="B185" s="7">
        <v>4053</v>
      </c>
      <c r="C185" s="21" t="s">
        <v>206</v>
      </c>
      <c r="D185" s="21" t="s">
        <v>914</v>
      </c>
      <c r="E185" s="13">
        <v>42876.83016203704</v>
      </c>
      <c r="F185" s="13">
        <v>42876.831273148149</v>
      </c>
      <c r="G185" s="7">
        <v>0</v>
      </c>
      <c r="H185" s="21" t="s">
        <v>915</v>
      </c>
      <c r="I185" s="13">
        <v>42876.84103009259</v>
      </c>
      <c r="J185" s="7">
        <v>0</v>
      </c>
      <c r="K185" s="92" t="str">
        <f t="shared" si="48"/>
        <v>4053/4054</v>
      </c>
      <c r="L185" s="21" t="str">
        <f>VLOOKUP(A185,'Trips&amp;Operators'!$C$1:$G$99999,5,FALSE)</f>
        <v>HOLCOMB KAMDEN</v>
      </c>
      <c r="M185" s="6">
        <f t="shared" si="49"/>
        <v>9.7569444405962713E-3</v>
      </c>
      <c r="N185" s="7">
        <f t="shared" si="69"/>
        <v>14.049999994458631</v>
      </c>
      <c r="O185" s="7"/>
      <c r="P185" s="7"/>
      <c r="Q185" s="22"/>
      <c r="R185" s="190" t="s">
        <v>1008</v>
      </c>
      <c r="S185" s="196">
        <f t="shared" si="50"/>
        <v>1</v>
      </c>
      <c r="T185" s="190" t="str">
        <f t="shared" si="51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2"/>
        <v>https://d0f6bd738d7f1b3e5a7ca70fe4ff75f0.us-east-1.aws.found.io/app/kibana#/discover/Steve-Slow-Train-Analysis-(2080s-and-2083s)?_g=(refreshInterval:(display:Off,pause:!f,section:0,value:0),time:(from:'2017-05-21T18:55:26-0600',mode:absolute,to:'2017-05-21T21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5" s="192" t="str">
        <f t="shared" si="53"/>
        <v>N</v>
      </c>
      <c r="X185" s="192">
        <f t="shared" si="68"/>
        <v>1</v>
      </c>
      <c r="Y185" s="192">
        <f t="shared" si="55"/>
        <v>5.7335000000000003</v>
      </c>
      <c r="Z185" s="192">
        <f t="shared" si="56"/>
        <v>6.8500000000000005E-2</v>
      </c>
      <c r="AA185" s="192">
        <f t="shared" si="57"/>
        <v>5.665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8"/>
        <v>1828-21</v>
      </c>
      <c r="AE185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85" s="77" t="str">
        <f t="shared" si="60"/>
        <v>"C:\Program Files (x86)\AstroGrep\AstroGrep.exe" /e /r /s /spath="%USERPROFILE%\AppData\Local\Temp\OnboardLogs" /stypes="app*4053*20170522*" /stext=" 02:.+((SYSTEM_STATE.+slice.+state.+changed )|(ment ac)|(multiple cpu faults)|(system.+state.+changed )|(\[timeout)|(PRM\|1\|D)|(kpr)|(kdp)|(train st.+moving)|(\|lc)|(penalty))"</v>
      </c>
      <c r="AG185" s="1" t="str">
        <f t="shared" si="61"/>
        <v>NW</v>
      </c>
      <c r="AH185" s="81" t="str">
        <f t="shared" si="62"/>
        <v>"%USERPROFILE%\Documents\GitHub\eaglep3\Utilities\RefineRTDCRunTimes.py" --tripid 1828-21 --locoid 4053 --swversion DE.1.0.9.0 --startMP 300:57335 --initTime 2017-05-21T19:55:26 --startdatetime 2017-05-21T19:57:02 --delay 0 --endMP 204:685 --enddatetime 2017-05-21T20:11:05 --enforcementcount 0 &gt;&gt;C:\Users\stu\Documents\GitHub\eaglep3-reporting\EC\2017-05-21-refined-times.txt</v>
      </c>
      <c r="AI185" s="99" t="str">
        <f t="shared" si="63"/>
        <v>echo {"issue":{"subject":"Delays initializing due to CCROC/crew/equipment mismatch and Class 2 brake test issues (3 separate incident reports logged for this one event)","project_id":79,"tracker_id":40,"status_id":1,"priority_id":2,"assigned_to_id":23,"start_date":"2017-05-21","description":"","custom_fields":[{"id":1,"name":"Subdivision","value":"NW"},{"id":4,"name":"Milepost","value":"0.0685"},{"id":17,"name":"Train ID","value":"1828-21"},{"id":16,"name":"Locomotive ID","value":"4053"},{"id":130,"name":"Impact","value":""},{"id":150,"name":"Time of Event (Mountain Time)","value":"20:11:05"},{"id":151,"name":"Denver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64"/>
        <v>start /low /b %USERPROFILE%\Documents\GitHub\eaglep3\Utilities\DownloadLogsFromS3.py --loco 4053 --day 2017-05-21</v>
      </c>
      <c r="AN185" s="154" t="str">
        <f t="shared" si="65"/>
        <v>echo {"issue":{"subject":"Delays initializing due to CCROC/crew/equipment mismatch and Class 2 brake test issues (3 separate incident reports logged for this one event)","project_id":30,"tracker_id":4,"status_id":1,"priority_id":1,"assigned_to_id":10,"start_date":"2017-05-22","description":"","custom_fields":[{"id":30,"name":"Category","value":"Issue"},{"id":3,"name":"Functional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02:11:05"},{"id":29,"name":"Sharepoint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794</v>
      </c>
      <c r="B186" s="7">
        <v>4054</v>
      </c>
      <c r="C186" s="21" t="s">
        <v>206</v>
      </c>
      <c r="D186" s="21" t="s">
        <v>502</v>
      </c>
      <c r="E186" s="13">
        <v>42876.849432870367</v>
      </c>
      <c r="F186" s="13">
        <v>42876.852824074071</v>
      </c>
      <c r="G186" s="7">
        <v>3</v>
      </c>
      <c r="H186" s="21" t="s">
        <v>575</v>
      </c>
      <c r="I186" s="13">
        <v>42876.862349537034</v>
      </c>
      <c r="J186" s="7">
        <v>0</v>
      </c>
      <c r="K186" s="92" t="str">
        <f t="shared" si="48"/>
        <v>4053/4054</v>
      </c>
      <c r="L186" s="21" t="str">
        <f>VLOOKUP(A186,'Trips&amp;Operators'!$C$1:$G$99999,5,FALSE)</f>
        <v>HOLCOMB KAMDEN</v>
      </c>
      <c r="M186" s="6">
        <f t="shared" si="49"/>
        <v>9.5254629632108845E-3</v>
      </c>
      <c r="N186" s="7">
        <f t="shared" si="69"/>
        <v>13.716666667023674</v>
      </c>
      <c r="O186" s="7"/>
      <c r="P186" s="7"/>
      <c r="Q186" s="22"/>
      <c r="R186" s="190"/>
      <c r="S186" s="196">
        <f t="shared" si="50"/>
        <v>1</v>
      </c>
      <c r="T186" s="190" t="str">
        <f t="shared" si="51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2"/>
        <v>https://d0f6bd738d7f1b3e5a7ca70fe4ff75f0.us-east-1.aws.found.io/app/kibana#/discover/Steve-Slow-Train-Analysis-(2080s-and-2083s)?_g=(refreshInterval:(display:Off,pause:!f,section:0,value:0),time:(from:'2017-05-21T19:23:11-0600',mode:absolute,to:'2017-05-21T21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6" s="192" t="str">
        <f t="shared" si="53"/>
        <v>N</v>
      </c>
      <c r="X186" s="192">
        <f t="shared" si="68"/>
        <v>1</v>
      </c>
      <c r="Y186" s="192">
        <f t="shared" si="55"/>
        <v>9.7900000000000001E-2</v>
      </c>
      <c r="Z186" s="192">
        <f t="shared" si="56"/>
        <v>5.8949999999999996</v>
      </c>
      <c r="AA186" s="192">
        <f t="shared" si="57"/>
        <v>5.7970999999999995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8"/>
        <v>1829-21</v>
      </c>
      <c r="AE186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86" s="77" t="str">
        <f t="shared" si="60"/>
        <v>"C:\Program Files (x86)\AstroGrep\AstroGrep.exe" /e /r /s /spath="%USERPROFILE%\AppData\Local\Temp\OnboardLogs" /stypes="app*4054*20170522*" /stext=" 02:.+((SYSTEM_STATE.+slice.+state.+changed )|(ment ac)|(multiple cpu faults)|(system.+state.+changed )|(\[timeout)|(PRM\|1\|D)|(kpr)|(kdp)|(train st.+moving)|(\|lc)|(penalty))"</v>
      </c>
      <c r="AG186" s="1" t="str">
        <f t="shared" si="61"/>
        <v>NW</v>
      </c>
      <c r="AH186" s="81" t="str">
        <f t="shared" si="62"/>
        <v>"%USERPROFILE%\Documents\GitHub\eaglep3\Utilities\RefineRTDCRunTimes.py" --tripid 1829-21 --locoid 4054 --swversion DE.1.0.9.0 --startMP 204:979 --initTime 2017-05-21T20:23:11 --startdatetime 2017-05-21T20:28:04 --delay 3 --endMP 300:58950 --enddatetime 2017-05-21T20:41:47 --enforcementcount 0 &gt;&gt;C:\Users\stu\Documents\GitHub\eaglep3-reporting\EC\2017-05-21-refined-times.txt</v>
      </c>
      <c r="AI186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{"issue":{"subject":"","project_id":79,"tracker_id":40,"status_id":1,"priority_id":2,"assigned_to_id":23,"start_date":"2017-05-21","description":"","custom_fields":[{"id":1,"name":"Subdivision","value":"NW"},{"id":4,"name":"Milepost","value":"5.895"},{"id":17,"name":"Train ID","value":"1829-21"},{"id":16,"name":"Locomotive ID","value":"4054"},{"id":130,"name":"Impact","value":""},{"id":150,"name":"Time of Event (Mountain Time)","value":"20:41:47"},{"id":151,"name":"Denver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4"/>
        <v>start /low /b %USERPROFILE%\Documents\GitHub\eaglep3\Utilities\DownloadLogsFromS3.py --loco 4054 --day 2017-05-21</v>
      </c>
      <c r="AN186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02:41:47"},{"id":29,"name":"Sharepoint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797</v>
      </c>
      <c r="B187" s="7">
        <v>4053</v>
      </c>
      <c r="C187" s="21" t="s">
        <v>206</v>
      </c>
      <c r="D187" s="21" t="s">
        <v>917</v>
      </c>
      <c r="E187" s="13">
        <v>42876.86277777778</v>
      </c>
      <c r="F187" s="13">
        <v>42876.864861111113</v>
      </c>
      <c r="G187" s="7">
        <v>1</v>
      </c>
      <c r="H187" s="21" t="s">
        <v>888</v>
      </c>
      <c r="I187" s="13">
        <v>42876.874143518522</v>
      </c>
      <c r="J187" s="7">
        <v>0</v>
      </c>
      <c r="K187" s="92" t="str">
        <f t="shared" si="48"/>
        <v>4053/4054</v>
      </c>
      <c r="L187" s="21" t="str">
        <f>VLOOKUP(A187,'Trips&amp;Operators'!$C$1:$G$99999,5,FALSE)</f>
        <v>HOLCOMB KAMDEN</v>
      </c>
      <c r="M187" s="6">
        <f t="shared" si="49"/>
        <v>9.2824074090458453E-3</v>
      </c>
      <c r="N187" s="7">
        <f t="shared" si="69"/>
        <v>13.366666669026017</v>
      </c>
      <c r="O187" s="7"/>
      <c r="P187" s="7"/>
      <c r="Q187" s="22"/>
      <c r="R187" s="190"/>
      <c r="S187" s="196">
        <f t="shared" si="50"/>
        <v>1</v>
      </c>
      <c r="T187" s="190" t="str">
        <f t="shared" si="51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2"/>
        <v>https://d0f6bd738d7f1b3e5a7ca70fe4ff75f0.us-east-1.aws.found.io/app/kibana#/discover/Steve-Slow-Train-Analysis-(2080s-and-2083s)?_g=(refreshInterval:(display:Off,pause:!f,section:0,value:0),time:(from:'2017-05-21T19:42:24-0600',mode:absolute,to:'2017-05-21T21:58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7" s="192" t="str">
        <f t="shared" si="53"/>
        <v>N</v>
      </c>
      <c r="X187" s="192">
        <f t="shared" si="68"/>
        <v>1</v>
      </c>
      <c r="Y187" s="192">
        <f t="shared" si="55"/>
        <v>5.8638000000000003</v>
      </c>
      <c r="Z187" s="192">
        <f t="shared" si="56"/>
        <v>6.9099999999999995E-2</v>
      </c>
      <c r="AA187" s="192">
        <f t="shared" si="57"/>
        <v>5.7947000000000006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8"/>
        <v>1830-21</v>
      </c>
      <c r="AE187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87" s="77" t="str">
        <f t="shared" si="60"/>
        <v>"C:\Program Files (x86)\AstroGrep\AstroGrep.exe" /e /r /s /spath="%USERPROFILE%\AppData\Local\Temp\OnboardLogs" /stypes="app*4053*20170522*" /stext=" 02:.+((SYSTEM_STATE.+slice.+state.+changed )|(ment ac)|(multiple cpu faults)|(system.+state.+changed )|(\[timeout)|(PRM\|1\|D)|(kpr)|(kdp)|(train st.+moving)|(\|lc)|(penalty))"</v>
      </c>
      <c r="AG187" s="1" t="str">
        <f t="shared" si="61"/>
        <v>NW</v>
      </c>
      <c r="AH187" s="81" t="str">
        <f t="shared" si="62"/>
        <v>"%USERPROFILE%\Documents\GitHub\eaglep3\Utilities\RefineRTDCRunTimes.py" --tripid 1830-21 --locoid 4053 --swversion DE.1.0.9.0 --startMP 300:58638 --initTime 2017-05-21T20:42:24 --startdatetime 2017-05-21T20:45:24 --delay 1 --endMP 204:691 --enddatetime 2017-05-21T20:58:46 --enforcementcount 0 &gt;&gt;C:\Users\stu\Documents\GitHub\eaglep3-reporting\EC\2017-05-21-refined-times.txt</v>
      </c>
      <c r="AI187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{"issue":{"subject":"","project_id":79,"tracker_id":40,"status_id":1,"priority_id":2,"assigned_to_id":23,"start_date":"2017-05-21","description":"","custom_fields":[{"id":1,"name":"Subdivision","value":"NW"},{"id":4,"name":"Milepost","value":"0.0691"},{"id":17,"name":"Train ID","value":"1830-21"},{"id":16,"name":"Locomotive ID","value":"4053"},{"id":130,"name":"Impact","value":""},{"id":150,"name":"Time of Event (Mountain Time)","value":"20:58:46"},{"id":151,"name":"Denver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4"/>
        <v>start /low /b %USERPROFILE%\Documents\GitHub\eaglep3\Utilities\DownloadLogsFromS3.py --loco 4053 --day 2017-05-21</v>
      </c>
      <c r="AN187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02:58:46"},{"id":29,"name":"Sharepoint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800</v>
      </c>
      <c r="B188" s="7">
        <v>4054</v>
      </c>
      <c r="C188" s="21" t="s">
        <v>206</v>
      </c>
      <c r="D188" s="21" t="s">
        <v>563</v>
      </c>
      <c r="E188" s="13">
        <v>42876.889189814814</v>
      </c>
      <c r="F188" s="13">
        <v>42876.890636574077</v>
      </c>
      <c r="G188" s="7">
        <v>1</v>
      </c>
      <c r="H188" s="21" t="s">
        <v>435</v>
      </c>
      <c r="I188" s="13">
        <v>42876.900231481479</v>
      </c>
      <c r="J188" s="7">
        <v>0</v>
      </c>
      <c r="K188" s="92" t="str">
        <f t="shared" si="48"/>
        <v>4053/4054</v>
      </c>
      <c r="L188" s="21" t="str">
        <f>VLOOKUP(A188,'Trips&amp;Operators'!$C$1:$G$99999,5,FALSE)</f>
        <v>HOLCOMB KAMDEN</v>
      </c>
      <c r="M188" s="6">
        <f t="shared" si="49"/>
        <v>9.594907402060926E-3</v>
      </c>
      <c r="N188" s="7">
        <f t="shared" si="69"/>
        <v>13.816666658967733</v>
      </c>
      <c r="O188" s="7"/>
      <c r="P188" s="7"/>
      <c r="Q188" s="22"/>
      <c r="R188" s="190"/>
      <c r="S188" s="196">
        <f t="shared" si="50"/>
        <v>1</v>
      </c>
      <c r="T188" s="190" t="str">
        <f t="shared" si="51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2"/>
        <v>https://d0f6bd738d7f1b3e5a7ca70fe4ff75f0.us-east-1.aws.found.io/app/kibana#/discover/Steve-Slow-Train-Analysis-(2080s-and-2083s)?_g=(refreshInterval:(display:Off,pause:!f,section:0,value:0),time:(from:'2017-05-21T20:20:26-0600',mode:absolute,to:'2017-05-21T22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8" s="192" t="str">
        <f t="shared" si="53"/>
        <v>N</v>
      </c>
      <c r="X188" s="192">
        <f t="shared" si="68"/>
        <v>1</v>
      </c>
      <c r="Y188" s="192">
        <f t="shared" si="55"/>
        <v>9.7100000000000006E-2</v>
      </c>
      <c r="Z188" s="192">
        <f t="shared" si="56"/>
        <v>5.8954000000000004</v>
      </c>
      <c r="AA188" s="192">
        <f t="shared" si="57"/>
        <v>5.7983000000000002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8"/>
        <v>1831-21</v>
      </c>
      <c r="AE188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88" s="77" t="str">
        <f t="shared" si="60"/>
        <v>"C:\Program Files (x86)\AstroGrep\AstroGrep.exe" /e /r /s /spath="%USERPROFILE%\AppData\Local\Temp\OnboardLogs" /stypes="app*4054*20170522*" /stext=" 03:.+((SYSTEM_STATE.+slice.+state.+changed )|(ment ac)|(multiple cpu faults)|(system.+state.+changed )|(\[timeout)|(PRM\|1\|D)|(kpr)|(kdp)|(train st.+moving)|(\|lc)|(penalty))"</v>
      </c>
      <c r="AG188" s="1" t="str">
        <f t="shared" si="61"/>
        <v>NW</v>
      </c>
      <c r="AH188" s="81" t="str">
        <f t="shared" si="62"/>
        <v>"%USERPROFILE%\Documents\GitHub\eaglep3\Utilities\RefineRTDCRunTimes.py" --tripid 1831-21 --locoid 4054 --swversion DE.1.0.9.0 --startMP 204:971 --initTime 2017-05-21T21:20:26 --startdatetime 2017-05-21T21:22:31 --delay 1 --endMP 300:58954 --enddatetime 2017-05-21T21:36:20 --enforcementcount 0 &gt;&gt;C:\Users\stu\Documents\GitHub\eaglep3-reporting\EC\2017-05-21-refined-times.txt</v>
      </c>
      <c r="AI188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{"issue":{"subject":"","project_id":79,"tracker_id":40,"status_id":1,"priority_id":2,"assigned_to_id":23,"start_date":"2017-05-21","description":"","custom_fields":[{"id":1,"name":"Subdivision","value":"NW"},{"id":4,"name":"Milepost","value":"5.8954"},{"id":17,"name":"Train ID","value":"1831-21"},{"id":16,"name":"Locomotive ID","value":"4054"},{"id":130,"name":"Impact","value":""},{"id":150,"name":"Time of Event (Mountain Time)","value":"21:36:20"},{"id":151,"name":"Denver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4"/>
        <v>start /low /b %USERPROFILE%\Documents\GitHub\eaglep3\Utilities\DownloadLogsFromS3.py --loco 4054 --day 2017-05-21</v>
      </c>
      <c r="AN188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613</v>
      </c>
      <c r="B189" s="7">
        <v>4053</v>
      </c>
      <c r="C189" s="21" t="s">
        <v>206</v>
      </c>
      <c r="D189" s="21" t="s">
        <v>572</v>
      </c>
      <c r="E189" s="13">
        <v>42876.902013888888</v>
      </c>
      <c r="F189" s="13">
        <v>42876.903807870367</v>
      </c>
      <c r="G189" s="7">
        <v>1</v>
      </c>
      <c r="H189" s="21" t="s">
        <v>918</v>
      </c>
      <c r="I189" s="13">
        <v>42876.913576388892</v>
      </c>
      <c r="J189" s="7">
        <v>0</v>
      </c>
      <c r="K189" s="92" t="str">
        <f t="shared" si="48"/>
        <v>4053/4054</v>
      </c>
      <c r="L189" s="21" t="str">
        <f>VLOOKUP(A189,'Trips&amp;Operators'!$C$1:$G$99999,5,FALSE)</f>
        <v>HOLCOMB KAMDEN</v>
      </c>
      <c r="M189" s="6">
        <f t="shared" si="49"/>
        <v>9.7685185246518813E-3</v>
      </c>
      <c r="N189" s="7">
        <f t="shared" si="69"/>
        <v>14.066666675498709</v>
      </c>
      <c r="O189" s="7"/>
      <c r="P189" s="7"/>
      <c r="Q189" s="22"/>
      <c r="R189" s="190"/>
      <c r="S189" s="196">
        <f t="shared" si="50"/>
        <v>1</v>
      </c>
      <c r="T189" s="190" t="str">
        <f t="shared" si="51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2"/>
        <v>https://d0f6bd738d7f1b3e5a7ca70fe4ff75f0.us-east-1.aws.found.io/app/kibana#/discover/Steve-Slow-Train-Analysis-(2080s-and-2083s)?_g=(refreshInterval:(display:Off,pause:!f,section:0,value:0),time:(from:'2017-05-21T20:38:54-0600',mode:absolute,to:'2017-05-21T22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9" s="192" t="str">
        <f t="shared" si="53"/>
        <v>N</v>
      </c>
      <c r="X189" s="192">
        <f t="shared" si="68"/>
        <v>1</v>
      </c>
      <c r="Y189" s="192">
        <f t="shared" si="55"/>
        <v>5.8639999999999999</v>
      </c>
      <c r="Z189" s="192">
        <f t="shared" si="56"/>
        <v>6.7799999999999999E-2</v>
      </c>
      <c r="AA189" s="192">
        <f t="shared" si="57"/>
        <v>5.7961999999999998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8"/>
        <v>1832-21</v>
      </c>
      <c r="AE189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89" s="77" t="str">
        <f t="shared" si="60"/>
        <v>"C:\Program Files (x86)\AstroGrep\AstroGrep.exe" /e /r /s /spath="%USERPROFILE%\AppData\Local\Temp\OnboardLogs" /stypes="app*4053*20170522*" /stext=" 03:.+((SYSTEM_STATE.+slice.+state.+changed )|(ment ac)|(multiple cpu faults)|(system.+state.+changed )|(\[timeout)|(PRM\|1\|D)|(kpr)|(kdp)|(train st.+moving)|(\|lc)|(penalty))"</v>
      </c>
      <c r="AG189" s="1" t="str">
        <f t="shared" si="61"/>
        <v>NW</v>
      </c>
      <c r="AH189" s="81" t="str">
        <f t="shared" si="62"/>
        <v>"%USERPROFILE%\Documents\GitHub\eaglep3\Utilities\RefineRTDCRunTimes.py" --tripid 1832-21 --locoid 4053 --swversion DE.1.0.9.0 --startMP 300:58640 --initTime 2017-05-21T21:38:54 --startdatetime 2017-05-21T21:41:29 --delay 1 --endMP 204:678 --enddatetime 2017-05-21T21:55:33 --enforcementcount 0 &gt;&gt;C:\Users\stu\Documents\GitHub\eaglep3-reporting\EC\2017-05-21-refined-times.txt</v>
      </c>
      <c r="AI189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{"issue":{"subject":"","project_id":79,"tracker_id":40,"status_id":1,"priority_id":2,"assigned_to_id":23,"start_date":"2017-05-21","description":"","custom_fields":[{"id":1,"name":"Subdivision","value":"NW"},{"id":4,"name":"Milepost","value":"0.0678"},{"id":17,"name":"Train ID","value":"1832-21"},{"id":16,"name":"Locomotive ID","value":"4053"},{"id":130,"name":"Impact","value":""},{"id":150,"name":"Time of Event (Mountain Time)","value":"21:55:33"},{"id":151,"name":"Denver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4"/>
        <v>start /low /b %USERPROFILE%\Documents\GitHub\eaglep3\Utilities\DownloadLogsFromS3.py --loco 4053 --day 2017-05-21</v>
      </c>
      <c r="AN189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802</v>
      </c>
      <c r="B190" s="7">
        <v>4054</v>
      </c>
      <c r="C190" s="21" t="s">
        <v>206</v>
      </c>
      <c r="D190" s="21" t="s">
        <v>909</v>
      </c>
      <c r="E190" s="13">
        <v>42876.929722222223</v>
      </c>
      <c r="F190" s="13">
        <v>42876.931562500002</v>
      </c>
      <c r="G190" s="7">
        <v>1</v>
      </c>
      <c r="H190" s="21" t="s">
        <v>913</v>
      </c>
      <c r="I190" s="13">
        <v>42876.941192129627</v>
      </c>
      <c r="J190" s="7">
        <v>0</v>
      </c>
      <c r="K190" s="92" t="str">
        <f t="shared" si="48"/>
        <v>4053/4054</v>
      </c>
      <c r="L190" s="21" t="str">
        <f>VLOOKUP(A190,'Trips&amp;Operators'!$C$1:$G$99999,5,FALSE)</f>
        <v>HOLCOMB KAMDEN</v>
      </c>
      <c r="M190" s="6">
        <f t="shared" si="49"/>
        <v>9.6296296251239255E-3</v>
      </c>
      <c r="N190" s="7">
        <f t="shared" si="69"/>
        <v>13.866666660178453</v>
      </c>
      <c r="O190" s="7"/>
      <c r="P190" s="7"/>
      <c r="Q190" s="22"/>
      <c r="R190" s="190"/>
      <c r="S190" s="196">
        <f t="shared" si="50"/>
        <v>1</v>
      </c>
      <c r="T190" s="190" t="str">
        <f t="shared" si="51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2"/>
        <v>https://d0f6bd738d7f1b3e5a7ca70fe4ff75f0.us-east-1.aws.found.io/app/kibana#/discover/Steve-Slow-Train-Analysis-(2080s-and-2083s)?_g=(refreshInterval:(display:Off,pause:!f,section:0,value:0),time:(from:'2017-05-21T21:18:48-0600',mode:absolute,to:'2017-05-21T23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0" s="192" t="str">
        <f t="shared" si="53"/>
        <v>N</v>
      </c>
      <c r="X190" s="192">
        <f t="shared" si="68"/>
        <v>1</v>
      </c>
      <c r="Y190" s="192">
        <f t="shared" si="55"/>
        <v>9.6699999999999994E-2</v>
      </c>
      <c r="Z190" s="192">
        <f t="shared" si="56"/>
        <v>5.8967000000000001</v>
      </c>
      <c r="AA190" s="192">
        <f t="shared" si="57"/>
        <v>5.8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8"/>
        <v>1833-21</v>
      </c>
      <c r="AE190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90" s="77" t="str">
        <f t="shared" si="60"/>
        <v>"C:\Program Files (x86)\AstroGrep\AstroGrep.exe" /e /r /s /spath="%USERPROFILE%\AppData\Local\Temp\OnboardLogs" /stypes="app*4054*20170522*" /stext=" 04:.+((SYSTEM_STATE.+slice.+state.+changed )|(ment ac)|(multiple cpu faults)|(system.+state.+changed )|(\[timeout)|(PRM\|1\|D)|(kpr)|(kdp)|(train st.+moving)|(\|lc)|(penalty))"</v>
      </c>
      <c r="AG190" s="1" t="str">
        <f t="shared" si="61"/>
        <v>NW</v>
      </c>
      <c r="AH190" s="81" t="str">
        <f t="shared" si="62"/>
        <v>"%USERPROFILE%\Documents\GitHub\eaglep3\Utilities\RefineRTDCRunTimes.py" --tripid 1833-21 --locoid 4054 --swversion DE.1.0.9.0 --startMP 204:967 --initTime 2017-05-21T22:18:48 --startdatetime 2017-05-21T22:21:27 --delay 1 --endMP 300:58967 --enddatetime 2017-05-21T22:35:19 --enforcementcount 0 &gt;&gt;C:\Users\stu\Documents\GitHub\eaglep3-reporting\EC\2017-05-21-refined-times.txt</v>
      </c>
      <c r="AI190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{"issue":{"subject":"","project_id":79,"tracker_id":40,"status_id":1,"priority_id":2,"assigned_to_id":23,"start_date":"2017-05-21","description":"","custom_fields":[{"id":1,"name":"Subdivision","value":"NW"},{"id":4,"name":"Milepost","value":"5.8967"},{"id":17,"name":"Train ID","value":"1833-21"},{"id":16,"name":"Locomotive ID","value":"4054"},{"id":130,"name":"Impact","value":""},{"id":150,"name":"Time of Event (Mountain Time)","value":"22:35:19"},{"id":151,"name":"Denver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4"/>
        <v>start /low /b %USERPROFILE%\Documents\GitHub\eaglep3\Utilities\DownloadLogsFromS3.py --loco 4054 --day 2017-05-21</v>
      </c>
      <c r="AN190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04:35:19"},{"id":29,"name":"Sharepoint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805</v>
      </c>
      <c r="B191" s="7">
        <v>4053</v>
      </c>
      <c r="C191" s="21" t="s">
        <v>206</v>
      </c>
      <c r="D191" s="21" t="s">
        <v>570</v>
      </c>
      <c r="E191" s="13">
        <v>42876.94226851852</v>
      </c>
      <c r="F191" s="13">
        <v>42876.943854166668</v>
      </c>
      <c r="G191" s="7">
        <v>1</v>
      </c>
      <c r="H191" s="21" t="s">
        <v>919</v>
      </c>
      <c r="I191" s="13">
        <v>42876.955069444448</v>
      </c>
      <c r="J191" s="7">
        <v>0</v>
      </c>
      <c r="K191" s="92" t="str">
        <f t="shared" si="48"/>
        <v>4053/4054</v>
      </c>
      <c r="L191" s="21" t="str">
        <f>VLOOKUP(A191,'Trips&amp;Operators'!$C$1:$G$99999,5,FALSE)</f>
        <v>HOLCOMB KAMDEN</v>
      </c>
      <c r="M191" s="6">
        <f t="shared" si="49"/>
        <v>1.1215277780138422E-2</v>
      </c>
      <c r="N191" s="7">
        <f t="shared" si="69"/>
        <v>16.150000003399327</v>
      </c>
      <c r="O191" s="7"/>
      <c r="P191" s="7"/>
      <c r="Q191" s="22"/>
      <c r="R191" s="190"/>
      <c r="S191" s="196">
        <f t="shared" si="50"/>
        <v>1</v>
      </c>
      <c r="T191" s="190" t="str">
        <f t="shared" si="51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2"/>
        <v>https://d0f6bd738d7f1b3e5a7ca70fe4ff75f0.us-east-1.aws.found.io/app/kibana#/discover/Steve-Slow-Train-Analysis-(2080s-and-2083s)?_g=(refreshInterval:(display:Off,pause:!f,section:0,value:0),time:(from:'2017-05-21T21:36:52-0600',mode:absolute,to:'2017-05-21T23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1" s="192" t="str">
        <f t="shared" si="53"/>
        <v>N</v>
      </c>
      <c r="X191" s="192">
        <f t="shared" si="68"/>
        <v>1</v>
      </c>
      <c r="Y191" s="192">
        <f t="shared" si="55"/>
        <v>5.8654999999999999</v>
      </c>
      <c r="Z191" s="192">
        <f t="shared" si="56"/>
        <v>6.7699999999999996E-2</v>
      </c>
      <c r="AA191" s="192">
        <f t="shared" si="57"/>
        <v>5.7977999999999996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8"/>
        <v>1834-21</v>
      </c>
      <c r="AE191" s="80" t="str">
        <f t="shared" si="59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191" s="77" t="str">
        <f t="shared" si="60"/>
        <v>"C:\Program Files (x86)\AstroGrep\AstroGrep.exe" /e /r /s /spath="%USERPROFILE%\AppData\Local\Temp\OnboardLogs" /stypes="app*4053*20170522*" /stext=" 04:.+((SYSTEM_STATE.+slice.+state.+changed )|(ment ac)|(multiple cpu faults)|(system.+state.+changed )|(\[timeout)|(PRM\|1\|D)|(kpr)|(kdp)|(train st.+moving)|(\|lc)|(penalty))"</v>
      </c>
      <c r="AG191" s="1" t="str">
        <f t="shared" si="61"/>
        <v>NW</v>
      </c>
      <c r="AH191" s="81" t="str">
        <f t="shared" si="62"/>
        <v>"%USERPROFILE%\Documents\GitHub\eaglep3\Utilities\RefineRTDCRunTimes.py" --tripid 1834-21 --locoid 4053 --swversion DE.1.0.9.0 --startMP 300:58655 --initTime 2017-05-21T22:36:52 --startdatetime 2017-05-21T22:39:09 --delay 1 --endMP 204:677 --enddatetime 2017-05-21T22:55:18 --enforcementcount 0 &gt;&gt;C:\Users\stu\Documents\GitHub\eaglep3-reporting\EC\2017-05-21-refined-times.txt</v>
      </c>
      <c r="AI191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{"issue":{"subject":"","project_id":79,"tracker_id":40,"status_id":1,"priority_id":2,"assigned_to_id":23,"start_date":"2017-05-21","description":"","custom_fields":[{"id":1,"name":"Subdivision","value":"NW"},{"id":4,"name":"Milepost","value":"0.0677"},{"id":17,"name":"Train ID","value":"1834-21"},{"id":16,"name":"Locomotive ID","value":"4053"},{"id":130,"name":"Impact","value":""},{"id":150,"name":"Time of Event (Mountain Time)","value":"22:55:18"},{"id":151,"name":"Denver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4"/>
        <v>start /low /b %USERPROFILE%\Documents\GitHub\eaglep3\Utilities\DownloadLogsFromS3.py --loco 4053 --day 2017-05-21</v>
      </c>
      <c r="AN191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807</v>
      </c>
      <c r="B192" s="7">
        <v>4054</v>
      </c>
      <c r="C192" s="21" t="s">
        <v>206</v>
      </c>
      <c r="D192" s="21" t="s">
        <v>563</v>
      </c>
      <c r="E192" s="13">
        <v>42876.966053240743</v>
      </c>
      <c r="F192" s="13">
        <v>42876.97314814815</v>
      </c>
      <c r="G192" s="7">
        <v>1</v>
      </c>
      <c r="H192" s="21" t="s">
        <v>474</v>
      </c>
      <c r="I192" s="13">
        <v>42876.982476851852</v>
      </c>
      <c r="J192" s="7">
        <v>0</v>
      </c>
      <c r="K192" s="92" t="str">
        <f t="shared" si="48"/>
        <v>4053/4054</v>
      </c>
      <c r="L192" s="21" t="str">
        <f>VLOOKUP(A192,'Trips&amp;Operators'!$C$1:$G$99999,5,FALSE)</f>
        <v>HOLCOMB KAMDEN</v>
      </c>
      <c r="M192" s="6">
        <f t="shared" si="49"/>
        <v>9.3287037016125396E-3</v>
      </c>
      <c r="N192" s="7">
        <f t="shared" si="69"/>
        <v>13.433333330322057</v>
      </c>
      <c r="O192" s="7"/>
      <c r="P192" s="7"/>
      <c r="Q192" s="22"/>
      <c r="R192" s="190"/>
      <c r="S192" s="196">
        <f t="shared" si="50"/>
        <v>1</v>
      </c>
      <c r="T192" s="190" t="str">
        <f t="shared" si="51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2"/>
        <v>https://d0f6bd738d7f1b3e5a7ca70fe4ff75f0.us-east-1.aws.found.io/app/kibana#/discover/Steve-Slow-Train-Analysis-(2080s-and-2083s)?_g=(refreshInterval:(display:Off,pause:!f,section:0,value:0),time:(from:'2017-05-21T22:11:07-0600',mode:absolute,to:'2017-05-22T00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2" s="192" t="str">
        <f t="shared" si="53"/>
        <v>N</v>
      </c>
      <c r="X192" s="192">
        <f t="shared" si="68"/>
        <v>1</v>
      </c>
      <c r="Y192" s="192">
        <f t="shared" si="55"/>
        <v>9.7100000000000006E-2</v>
      </c>
      <c r="Z192" s="192">
        <f t="shared" si="56"/>
        <v>5.8940999999999999</v>
      </c>
      <c r="AA192" s="192">
        <f t="shared" si="57"/>
        <v>5.7969999999999997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8"/>
        <v>1835-21</v>
      </c>
      <c r="AE192" s="80" t="str">
        <f t="shared" si="59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192" s="77" t="str">
        <f t="shared" si="60"/>
        <v>"C:\Program Files (x86)\AstroGrep\AstroGrep.exe" /e /r /s /spath="%USERPROFILE%\AppData\Local\Temp\OnboardLogs" /stypes="app*4054*20170522*" /stext=" 05:.+((SYSTEM_STATE.+slice.+state.+changed )|(ment ac)|(multiple cpu faults)|(system.+state.+changed )|(\[timeout)|(PRM\|1\|D)|(kpr)|(kdp)|(train st.+moving)|(\|lc)|(penalty))"</v>
      </c>
      <c r="AG192" s="1" t="str">
        <f t="shared" si="61"/>
        <v>NW</v>
      </c>
      <c r="AH192" s="81" t="str">
        <f t="shared" si="62"/>
        <v>"%USERPROFILE%\Documents\GitHub\eaglep3\Utilities\RefineRTDCRunTimes.py" --tripid 1835-21 --locoid 4054 --swversion DE.1.0.9.0 --startMP 204:971 --initTime 2017-05-21T23:11:07 --startdatetime 2017-05-21T23:21:20 --delay 1 --endMP 300:58941 --enddatetime 2017-05-21T23:34:46 --enforcementcount 0 &gt;&gt;C:\Users\stu\Documents\GitHub\eaglep3-reporting\EC\2017-05-21-refined-times.txt</v>
      </c>
      <c r="AI192" s="99" t="str">
        <f t="shared" si="63"/>
        <v>echo {"issue":{"subject":"","project_id":79,"tracker_id":40,"status_id":1,"priority_id":2,"assigned_to_id":23,"start_date":"2017-05-21","description":"","custom_fields":[{"id":1,"name":"Subdivision","value":"NW"},{"id":4,"name":"Milepost","value":"5.8941"},{"id":17,"name":"Train ID","value":"1835-21"},{"id":16,"name":"Locomotive ID","value":"4054"},{"id":130,"name":"Impact","value":""},{"id":150,"name":"Time of Event (Mountain Time)","value":"23:34:46"},{"id":151,"name":"Denver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64"/>
        <v>start /low /b %USERPROFILE%\Documents\GitHub\eaglep3\Utilities\DownloadLogsFromS3.py --loco 4054 --day 2017-05-21</v>
      </c>
      <c r="AN192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05:34:46"},{"id":29,"name":"Sharepoint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630</v>
      </c>
      <c r="B193" s="7">
        <v>4029</v>
      </c>
      <c r="C193" s="21" t="s">
        <v>206</v>
      </c>
      <c r="D193" s="21" t="s">
        <v>960</v>
      </c>
      <c r="E193" s="13">
        <v>42876.117708333331</v>
      </c>
      <c r="F193" s="13">
        <v>42876.121759259258</v>
      </c>
      <c r="G193" s="7">
        <v>5</v>
      </c>
      <c r="H193" s="21" t="s">
        <v>418</v>
      </c>
      <c r="I193" s="13">
        <v>42876.126643518517</v>
      </c>
      <c r="J193" s="7">
        <v>0</v>
      </c>
      <c r="K193" s="92" t="str">
        <f t="shared" si="48"/>
        <v>4029/4030</v>
      </c>
      <c r="L193" s="21" t="str">
        <f>VLOOKUP(A193,'Trips&amp;Operators'!$C$1:$G$99999,5,FALSE)</f>
        <v>MAELZER KURT</v>
      </c>
      <c r="M193" s="6">
        <f t="shared" si="49"/>
        <v>4.8842592586879618E-3</v>
      </c>
      <c r="N193" s="7">
        <f t="shared" si="69"/>
        <v>7.0333333325106651</v>
      </c>
      <c r="O193" s="7"/>
      <c r="P193" s="7"/>
      <c r="Q193" s="22"/>
      <c r="R193" s="190"/>
      <c r="S193" s="196">
        <f t="shared" si="50"/>
        <v>1</v>
      </c>
      <c r="T193" s="190" t="str">
        <f t="shared" si="51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2"/>
        <v>https://d0f6bd738d7f1b3e5a7ca70fe4ff75f0.us-east-1.aws.found.io/app/kibana#/discover/Steve-Slow-Train-Analysis-(2080s-and-2083s)?_g=(refreshInterval:(display:Off,pause:!f,section:0,value:0),time:(from:'2017-05-21T01:49:30-0600',mode:absolute,to:'2017-05-21T04:02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192" t="str">
        <f t="shared" si="53"/>
        <v>Y</v>
      </c>
      <c r="X193" s="192">
        <f t="shared" si="68"/>
        <v>-1535</v>
      </c>
      <c r="Y193" s="192">
        <f t="shared" si="55"/>
        <v>1.8718999999999999</v>
      </c>
      <c r="Z193" s="192">
        <f t="shared" si="56"/>
        <v>1.54E-2</v>
      </c>
      <c r="AA193" s="192">
        <f t="shared" si="57"/>
        <v>1.8564999999999998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8"/>
        <v>0300-21</v>
      </c>
      <c r="AE193" s="80" t="str">
        <f t="shared" si="59"/>
        <v>aws s3 cp s3://rtdc.mdm.uploadarchive.raw/RTDC4029/ "%USERPROFILE%\AppData\Local\Temp\OnboardLogs"\RTDC4029\2017-05-21 --exclude "*" --recursive --include "*20170521*" &amp; "%USERPROFILE%\Documents\GitHub\mrs-test-scripts\Headless Mode &amp; Sideloading\WalkAndUnGZ.bat" "%USERPROFILE%\AppData\Local\Temp\OnboardLogs"\RTDC4029\2017-05-21 &amp; 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</v>
      </c>
      <c r="AF193" s="77" t="str">
        <f t="shared" si="60"/>
        <v>"C:\Program Files (x86)\AstroGrep\AstroGrep.exe" /e /r /s /spath="%USERPROFILE%\AppData\Local\Temp\OnboardLogs" /stypes="app*4029*20170521*" /stext=" 09:.+((SYSTEM_STATE.+slice.+state.+changed )|(ment ac)|(multiple cpu faults)|(system.+state.+changed )|(\[timeout)|(PRM\|1\|D)|(kpr)|(kdp)|(train st.+moving)|(\|lc)|(penalty))"</v>
      </c>
      <c r="AG193" s="1" t="str">
        <f t="shared" si="61"/>
        <v>Other</v>
      </c>
      <c r="AH193" s="81" t="str">
        <f t="shared" si="62"/>
        <v>"%USERPROFILE%\Documents\GitHub\eaglep3\Utilities\RefineRTDCRunTimes.py" --tripid 300-21 --locoid 4029 --swversion DE.1.0.9.0 --startMP 300:18719 --initTime 2017-05-21T02:49:30 --startdatetime 2017-05-21T02:55:20 --delay 5 --endMP 204:154 --enddatetime 2017-05-21T03:02:22 --enforcementcount 0 &gt;&gt;C:\Users\stu\Documents\GitHub\eaglep3-reporting\EC\2017-05-21-refined-times.txt</v>
      </c>
      <c r="AI193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{"issue":{"subject":"","project_id":79,"tracker_id":40,"status_id":1,"priority_id":2,"assigned_to_id":23,"start_date":"2017-05-21","description":"","custom_fields":[{"id":1,"name":"Subdivision","value":"Other"},{"id":4,"name":"Milepost","value":"0.0154"},{"id":17,"name":"Train ID","value":"300-21"},{"id":16,"name":"Locomotive ID","value":"4029"},{"id":130,"name":"Impact","value":""},{"id":150,"name":"Time of Event (Mountain Time)","value":"03:02:22"},{"id":151,"name":"Denver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4"/>
        <v>start /low /b %USERPROFILE%\Documents\GitHub\eaglep3\Utilities\DownloadLogsFromS3.py --loco 4029 --day 2017-05-21</v>
      </c>
      <c r="AN193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09:02:22"},{"id":29,"name":"Sharepoint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577</v>
      </c>
      <c r="B194" s="7">
        <v>4001</v>
      </c>
      <c r="C194" s="21" t="s">
        <v>206</v>
      </c>
      <c r="D194" s="21" t="s">
        <v>961</v>
      </c>
      <c r="E194" s="13">
        <v>42876.140844907408</v>
      </c>
      <c r="F194" s="13">
        <v>42876.145601851851</v>
      </c>
      <c r="G194" s="7">
        <v>6</v>
      </c>
      <c r="H194" s="21" t="s">
        <v>198</v>
      </c>
      <c r="I194" s="13">
        <v>42876.150648148148</v>
      </c>
      <c r="J194" s="7">
        <v>0</v>
      </c>
      <c r="K194" s="92" t="str">
        <f t="shared" si="48"/>
        <v>4001/4002</v>
      </c>
      <c r="L194" s="21" t="str">
        <f>VLOOKUP(A194,'Trips&amp;Operators'!$C$1:$G$99999,5,FALSE)</f>
        <v>WILLIAMS DONTE</v>
      </c>
      <c r="M194" s="6">
        <f t="shared" si="49"/>
        <v>5.0462962972233072E-3</v>
      </c>
      <c r="N194" s="7">
        <f t="shared" si="69"/>
        <v>7.2666666680015624</v>
      </c>
      <c r="O194" s="7"/>
      <c r="P194" s="7"/>
      <c r="Q194" s="22"/>
      <c r="R194" s="190"/>
      <c r="S194" s="196">
        <f t="shared" si="50"/>
        <v>1</v>
      </c>
      <c r="T194" s="190" t="str">
        <f t="shared" si="51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2"/>
        <v>https://d0f6bd738d7f1b3e5a7ca70fe4ff75f0.us-east-1.aws.found.io/app/kibana#/discover/Steve-Slow-Train-Analysis-(2080s-and-2083s)?_g=(refreshInterval:(display:Off,pause:!f,section:0,value:0),time:(from:'2017-05-21T02:22:49-0600',mode:absolute,to:'2017-05-21T04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192" t="str">
        <f t="shared" si="53"/>
        <v>Y</v>
      </c>
      <c r="X194" s="192">
        <f t="shared" si="68"/>
        <v>2</v>
      </c>
      <c r="Y194" s="192">
        <f t="shared" si="55"/>
        <v>2.3620000000000001</v>
      </c>
      <c r="Z194" s="192">
        <f t="shared" si="56"/>
        <v>1.5800000000000002E-2</v>
      </c>
      <c r="AA194" s="192">
        <f t="shared" si="57"/>
        <v>2.3462000000000001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8"/>
        <v>0302-21</v>
      </c>
      <c r="AE194" s="80" t="str">
        <f t="shared" si="59"/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AF194" s="77" t="str">
        <f t="shared" si="60"/>
        <v>"C:\Program Files (x86)\AstroGrep\AstroGrep.exe" /e /r /s /spath="%USERPROFILE%\AppData\Local\Temp\OnboardLogs" /stypes="app*4001*20170521*" /stext=" 09:.+((SYSTEM_STATE.+slice.+state.+changed )|(ment ac)|(multiple cpu faults)|(system.+state.+changed )|(\[timeout)|(PRM\|1\|D)|(kpr)|(kdp)|(train st.+moving)|(\|lc)|(penalty))"</v>
      </c>
      <c r="AG194" s="1" t="str">
        <f t="shared" si="61"/>
        <v>Other</v>
      </c>
      <c r="AH194" s="81" t="str">
        <f t="shared" si="62"/>
        <v>"%USERPROFILE%\Documents\GitHub\eaglep3\Utilities\RefineRTDCRunTimes.py" --tripid 302-21 --locoid 4001 --swversion DE.1.0.9.0 --startMP 300:23620 --initTime 2017-05-21T03:22:49 --startdatetime 2017-05-21T03:29:40 --delay 6 --endMP 204:158 --enddatetime 2017-05-21T03:36:56 --enforcementcount 0 &gt;&gt;C:\Users\stu\Documents\GitHub\eaglep3-reporting\EC\2017-05-21-refined-times.txt</v>
      </c>
      <c r="AI194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{"issue":{"subject":"","project_id":79,"tracker_id":40,"status_id":1,"priority_id":2,"assigned_to_id":23,"start_date":"2017-05-21","description":"","custom_fields":[{"id":1,"name":"Subdivision","value":"Other"},{"id":4,"name":"Milepost","value":"0.0158"},{"id":17,"name":"Train ID","value":"302-21"},{"id":16,"name":"Locomotive ID","value":"4001"},{"id":130,"name":"Impact","value":""},{"id":150,"name":"Time of Event (Mountain Time)","value":"03:36:56"},{"id":151,"name":"Denver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4"/>
        <v>start /low /b %USERPROFILE%\Documents\GitHub\eaglep3\Utilities\DownloadLogsFromS3.py --loco 4001 --day 2017-05-21</v>
      </c>
      <c r="AN194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09:36:56"},{"id":29,"name":"Sharepoint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788</v>
      </c>
      <c r="B195" s="7">
        <v>4008</v>
      </c>
      <c r="C195" s="21" t="s">
        <v>206</v>
      </c>
      <c r="D195" s="21" t="s">
        <v>363</v>
      </c>
      <c r="E195" s="13">
        <v>42876.797465277778</v>
      </c>
      <c r="F195" s="13">
        <v>42876.799074074072</v>
      </c>
      <c r="G195" s="7">
        <v>1</v>
      </c>
      <c r="H195" s="21" t="s">
        <v>360</v>
      </c>
      <c r="I195" s="13">
        <v>42876.805277777778</v>
      </c>
      <c r="J195" s="7">
        <v>0</v>
      </c>
      <c r="K195" s="92" t="str">
        <f t="shared" si="48"/>
        <v>4007/4008</v>
      </c>
      <c r="L195" s="21" t="str">
        <f>VLOOKUP(A195,'Trips&amp;Operators'!$C$1:$G$99999,5,FALSE)</f>
        <v>ROMERO CHAD</v>
      </c>
      <c r="M195" s="6">
        <f t="shared" si="49"/>
        <v>6.2037037059781142E-3</v>
      </c>
      <c r="N195" s="7">
        <f t="shared" si="69"/>
        <v>8.9333333366084844</v>
      </c>
      <c r="O195" s="7"/>
      <c r="P195" s="7"/>
      <c r="Q195" s="22"/>
      <c r="R195" s="190"/>
      <c r="S195" s="196">
        <f t="shared" si="50"/>
        <v>1</v>
      </c>
      <c r="T195" s="190" t="str">
        <f t="shared" si="51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2"/>
        <v>https://d0f6bd738d7f1b3e5a7ca70fe4ff75f0.us-east-1.aws.found.io/app/kibana#/discover/Steve-Slow-Train-Analysis-(2080s-and-2083s)?_g=(refreshInterval:(display:Off,pause:!f,section:0,value:0),time:(from:'2017-05-21T18:08:21-0600',mode:absolute,to:'2017-05-21T20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192" t="str">
        <f t="shared" si="53"/>
        <v>Y</v>
      </c>
      <c r="X195" s="192">
        <f t="shared" ref="X195:X222" si="70">VALUE(LEFT(AD195,4))-VALUE(LEFT(AD194,4))</f>
        <v>1</v>
      </c>
      <c r="Y195" s="192">
        <f t="shared" si="55"/>
        <v>4.53E-2</v>
      </c>
      <c r="Z195" s="192">
        <f t="shared" si="56"/>
        <v>2.3346</v>
      </c>
      <c r="AA195" s="192">
        <f t="shared" si="57"/>
        <v>2.2892999999999999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8"/>
        <v>0303-21</v>
      </c>
      <c r="AE195" s="80" t="str">
        <f t="shared" si="59"/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AF195" s="77" t="str">
        <f t="shared" si="60"/>
        <v>"C:\Program Files (x86)\AstroGrep\AstroGrep.exe" /e /r /s /spath="%USERPROFILE%\AppData\Local\Temp\OnboardLogs" /stypes="app*4008*20170522*" /stext=" 01:.+((SYSTEM_STATE.+slice.+state.+changed )|(ment ac)|(multiple cpu faults)|(system.+state.+changed )|(\[timeout)|(PRM\|1\|D)|(kpr)|(kdp)|(train st.+moving)|(\|lc)|(penalty))"</v>
      </c>
      <c r="AG195" s="1" t="str">
        <f t="shared" si="61"/>
        <v>Other</v>
      </c>
      <c r="AH195" s="81" t="str">
        <f t="shared" si="62"/>
        <v>"%USERPROFILE%\Documents\GitHub\eaglep3\Utilities\RefineRTDCRunTimes.py" --tripid 303-21 --locoid 4008 --swversion DE.1.0.9.0 --startMP 204:453 --initTime 2017-05-21T19:08:21 --startdatetime 2017-05-21T19:10:40 --delay 1 --endMP 300:23346 --enddatetime 2017-05-21T19:19:36 --enforcementcount 0 &gt;&gt;C:\Users\stu\Documents\GitHub\eaglep3-reporting\EC\2017-05-21-refined-times.txt</v>
      </c>
      <c r="AI195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{"issue":{"subject":"","project_id":79,"tracker_id":40,"status_id":1,"priority_id":2,"assigned_to_id":23,"start_date":"2017-05-21","description":"","custom_fields":[{"id":1,"name":"Subdivision","value":"Other"},{"id":4,"name":"Milepost","value":"2.3346"},{"id":17,"name":"Train ID","value":"303-21"},{"id":16,"name":"Locomotive ID","value":"4008"},{"id":130,"name":"Impact","value":""},{"id":150,"name":"Time of Event (Mountain Time)","value":"19:19:36"},{"id":151,"name":"Denver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64"/>
        <v>start /low /b %USERPROFILE%\Documents\GitHub\eaglep3\Utilities\DownloadLogsFromS3.py --loco 4008 --day 2017-05-21</v>
      </c>
      <c r="AN195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01:19:36"},{"id":29,"name":"Sharepoint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639</v>
      </c>
      <c r="B196" s="7">
        <v>4039</v>
      </c>
      <c r="C196" s="21" t="s">
        <v>206</v>
      </c>
      <c r="D196" s="21" t="s">
        <v>962</v>
      </c>
      <c r="E196" s="13">
        <v>42876.158067129632</v>
      </c>
      <c r="F196" s="13">
        <v>42876.162569444445</v>
      </c>
      <c r="G196" s="7">
        <v>6</v>
      </c>
      <c r="H196" s="21" t="s">
        <v>198</v>
      </c>
      <c r="I196" s="13">
        <v>42876.168240740742</v>
      </c>
      <c r="J196" s="7">
        <v>0</v>
      </c>
      <c r="K196" s="92" t="str">
        <f t="shared" si="48"/>
        <v>4039/4040</v>
      </c>
      <c r="L196" s="21" t="str">
        <f>VLOOKUP(A196,'Trips&amp;Operators'!$C$1:$G$99999,5,FALSE)</f>
        <v>DAVIS WENDY</v>
      </c>
      <c r="M196" s="6">
        <f t="shared" si="49"/>
        <v>5.6712962978053838E-3</v>
      </c>
      <c r="N196" s="7">
        <f t="shared" si="69"/>
        <v>8.1666666688397527</v>
      </c>
      <c r="O196" s="7"/>
      <c r="P196" s="7"/>
      <c r="Q196" s="22"/>
      <c r="R196" s="190"/>
      <c r="S196" s="196">
        <f t="shared" si="50"/>
        <v>1</v>
      </c>
      <c r="T196" s="190" t="str">
        <f t="shared" si="51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2"/>
        <v>https://d0f6bd738d7f1b3e5a7ca70fe4ff75f0.us-east-1.aws.found.io/app/kibana#/discover/Steve-Slow-Train-Analysis-(2080s-and-2083s)?_g=(refreshInterval:(display:Off,pause:!f,section:0,value:0),time:(from:'2017-05-21T02:47:37-0600',mode:absolute,to:'2017-05-21T05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192" t="str">
        <f t="shared" si="53"/>
        <v>Y</v>
      </c>
      <c r="X196" s="192">
        <f t="shared" si="70"/>
        <v>1</v>
      </c>
      <c r="Y196" s="192">
        <f t="shared" si="55"/>
        <v>2.3302999999999998</v>
      </c>
      <c r="Z196" s="192">
        <f t="shared" si="56"/>
        <v>1.5800000000000002E-2</v>
      </c>
      <c r="AA196" s="192">
        <f t="shared" si="57"/>
        <v>2.3144999999999998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8"/>
        <v>0304-21</v>
      </c>
      <c r="AE196" s="80" t="str">
        <f t="shared" si="59"/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AF196" s="77" t="str">
        <f t="shared" si="60"/>
        <v>"C:\Program Files (x86)\AstroGrep\AstroGrep.exe" /e /r /s /spath="%USERPROFILE%\AppData\Local\Temp\OnboardLogs" /stypes="app*4039*20170521*" /stext=" 10:.+((SYSTEM_STATE.+slice.+state.+changed )|(ment ac)|(multiple cpu faults)|(system.+state.+changed )|(\[timeout)|(PRM\|1\|D)|(kpr)|(kdp)|(train st.+moving)|(\|lc)|(penalty))"</v>
      </c>
      <c r="AG196" s="1" t="str">
        <f t="shared" si="61"/>
        <v>Other</v>
      </c>
      <c r="AH196" s="81" t="str">
        <f t="shared" si="62"/>
        <v>"%USERPROFILE%\Documents\GitHub\eaglep3\Utilities\RefineRTDCRunTimes.py" --tripid 304-21 --locoid 4039 --swversion DE.1.0.9.0 --startMP 300:23303 --initTime 2017-05-21T03:47:37 --startdatetime 2017-05-21T03:54:06 --delay 6 --endMP 204:158 --enddatetime 2017-05-21T04:02:16 --enforcementcount 0 &gt;&gt;C:\Users\stu\Documents\GitHub\eaglep3-reporting\EC\2017-05-21-refined-times.txt</v>
      </c>
      <c r="AI196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{"issue":{"subject":"","project_id":79,"tracker_id":40,"status_id":1,"priority_id":2,"assigned_to_id":23,"start_date":"2017-05-21","description":"","custom_fields":[{"id":1,"name":"Subdivision","value":"Other"},{"id":4,"name":"Milepost","value":"0.0158"},{"id":17,"name":"Train ID","value":"304-21"},{"id":16,"name":"Locomotive ID","value":"4039"},{"id":130,"name":"Impact","value":""},{"id":150,"name":"Time of Event (Mountain Time)","value":"04:02:16"},{"id":151,"name":"Denver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4"/>
        <v>start /low /b %USERPROFILE%\Documents\GitHub\eaglep3\Utilities\DownloadLogsFromS3.py --loco 4039 --day 2017-05-21</v>
      </c>
      <c r="AN196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10:02:16"},{"id":29,"name":"Sharepoint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642</v>
      </c>
      <c r="B197" s="7">
        <v>4041</v>
      </c>
      <c r="C197" s="21" t="s">
        <v>206</v>
      </c>
      <c r="D197" s="21" t="s">
        <v>963</v>
      </c>
      <c r="E197" s="13">
        <v>42876.165856481479</v>
      </c>
      <c r="F197" s="13">
        <v>42876.16851851852</v>
      </c>
      <c r="G197" s="7">
        <v>3</v>
      </c>
      <c r="H197" s="21" t="s">
        <v>197</v>
      </c>
      <c r="I197" s="13">
        <v>42876.173796296294</v>
      </c>
      <c r="J197" s="7">
        <v>0</v>
      </c>
      <c r="K197" s="92" t="str">
        <f t="shared" si="48"/>
        <v>4041/4042</v>
      </c>
      <c r="L197" s="21" t="str">
        <f>VLOOKUP(A197,'Trips&amp;Operators'!$C$1:$G$99999,5,FALSE)</f>
        <v>LALONDE GREGORY</v>
      </c>
      <c r="M197" s="6">
        <f t="shared" si="49"/>
        <v>5.277777774608694E-3</v>
      </c>
      <c r="N197" s="7">
        <f t="shared" si="69"/>
        <v>7.5999999954365194</v>
      </c>
      <c r="O197" s="7"/>
      <c r="P197" s="7"/>
      <c r="Q197" s="22"/>
      <c r="R197" s="190"/>
      <c r="S197" s="196">
        <f t="shared" si="50"/>
        <v>1</v>
      </c>
      <c r="T197" s="190" t="str">
        <f t="shared" si="51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2"/>
        <v>https://d0f6bd738d7f1b3e5a7ca70fe4ff75f0.us-east-1.aws.found.io/app/kibana#/discover/Steve-Slow-Train-Analysis-(2080s-and-2083s)?_g=(refreshInterval:(display:Off,pause:!f,section:0,value:0),time:(from:'2017-05-21T02:58:50-0600',mode:absolute,to:'2017-05-21T05:10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192" t="str">
        <f t="shared" si="53"/>
        <v>Y</v>
      </c>
      <c r="X197" s="192">
        <f t="shared" si="70"/>
        <v>2</v>
      </c>
      <c r="Y197" s="192">
        <f t="shared" si="55"/>
        <v>2.3411</v>
      </c>
      <c r="Z197" s="192">
        <f t="shared" si="56"/>
        <v>1.52E-2</v>
      </c>
      <c r="AA197" s="192">
        <f t="shared" si="57"/>
        <v>2.3258999999999999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8"/>
        <v>0306-21</v>
      </c>
      <c r="AE197" s="80" t="str">
        <f t="shared" si="59"/>
        <v>aws s3 cp s3://rtdc.mdm.uploadarchive.raw/RTDC4041/ "%USERPROFILE%\AppData\Local\Temp\OnboardLogs"\RTDC4041\2017-05-21 --exclude "*" --recursive --include "*20170521*" &amp; "%USERPROFILE%\Documents\GitHub\mrs-test-scripts\Headless Mode &amp; Sideloading\WalkAndUnGZ.bat" "%USERPROFILE%\AppData\Local\Temp\OnboardLogs"\RTDC4041\2017-05-21 &amp; aws s3 cp s3://rtdc.mdm.uploadarchive.raw/RTDC4041/ "%USERPROFILE%\AppData\Local\Temp\OnboardLogs"\RTDC4041\2017-05-22 --exclude "*" --recursive --include "*20170522*" &amp; "%USERPROFILE%\Documents\GitHub\mrs-test-scripts\Headless Mode &amp; Sideloading\WalkAndUnGZ.bat" "%USERPROFILE%\AppData\Local\Temp\OnboardLogs"\RTDC4041\2017-05-22</v>
      </c>
      <c r="AF197" s="77" t="str">
        <f t="shared" si="60"/>
        <v>"C:\Program Files (x86)\AstroGrep\AstroGrep.exe" /e /r /s /spath="%USERPROFILE%\AppData\Local\Temp\OnboardLogs" /stypes="app*4041*20170521*" /stext=" 10:.+((SYSTEM_STATE.+slice.+state.+changed )|(ment ac)|(multiple cpu faults)|(system.+state.+changed )|(\[timeout)|(PRM\|1\|D)|(kpr)|(kdp)|(train st.+moving)|(\|lc)|(penalty))"</v>
      </c>
      <c r="AG197" s="1" t="str">
        <f t="shared" si="61"/>
        <v>Other</v>
      </c>
      <c r="AH197" s="81" t="str">
        <f t="shared" si="62"/>
        <v>"%USERPROFILE%\Documents\GitHub\eaglep3\Utilities\RefineRTDCRunTimes.py" --tripid 306-21 --locoid 4041 --swversion DE.1.0.9.0 --startMP 300:23411 --initTime 2017-05-21T03:58:50 --startdatetime 2017-05-21T04:02:40 --delay 3 --endMP 204:152 --enddatetime 2017-05-21T04:10:16 --enforcementcount 0 &gt;&gt;C:\Users\stu\Documents\GitHub\eaglep3-reporting\EC\2017-05-21-refined-times.txt</v>
      </c>
      <c r="AI197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{"issue":{"subject":"","project_id":79,"tracker_id":40,"status_id":1,"priority_id":2,"assigned_to_id":23,"start_date":"2017-05-21","description":"","custom_fields":[{"id":1,"name":"Subdivision","value":"Other"},{"id":4,"name":"Milepost","value":"0.0152"},{"id":17,"name":"Train ID","value":"306-21"},{"id":16,"name":"Locomotive ID","value":"4041"},{"id":130,"name":"Impact","value":""},{"id":150,"name":"Time of Event (Mountain Time)","value":"04:10:16"},{"id":151,"name":"Denver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4"/>
        <v>start /low /b %USERPROFILE%\Documents\GitHub\eaglep3\Utilities\DownloadLogsFromS3.py --loco 4041 --day 2017-05-21</v>
      </c>
      <c r="AN197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10:10:16"},{"id":29,"name":"Sharepoint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813</v>
      </c>
      <c r="B198" s="7">
        <v>4024</v>
      </c>
      <c r="C198" s="21" t="s">
        <v>206</v>
      </c>
      <c r="D198" s="21" t="s">
        <v>358</v>
      </c>
      <c r="E198" s="13">
        <v>42877.025601851848</v>
      </c>
      <c r="F198" s="13">
        <v>42877.026921296296</v>
      </c>
      <c r="G198" s="7">
        <v>1</v>
      </c>
      <c r="H198" s="21" t="s">
        <v>501</v>
      </c>
      <c r="I198" s="13">
        <v>42877.034826388888</v>
      </c>
      <c r="J198" s="7">
        <v>0</v>
      </c>
      <c r="K198" s="92" t="str">
        <f t="shared" si="48"/>
        <v>4023/4024</v>
      </c>
      <c r="L198" s="21" t="str">
        <f>VLOOKUP(A198,'Trips&amp;Operators'!$C$1:$G$99999,5,FALSE)</f>
        <v>STAMBAUGH JAMES</v>
      </c>
      <c r="M198" s="6">
        <f t="shared" si="49"/>
        <v>7.9050925924093463E-3</v>
      </c>
      <c r="N198" s="7">
        <f t="shared" si="69"/>
        <v>11.383333333069459</v>
      </c>
      <c r="O198" s="7"/>
      <c r="P198" s="7"/>
      <c r="Q198" s="22"/>
      <c r="R198" s="190"/>
      <c r="S198" s="196">
        <f t="shared" si="50"/>
        <v>1</v>
      </c>
      <c r="T198" s="190" t="str">
        <f t="shared" si="51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2"/>
        <v>https://d0f6bd738d7f1b3e5a7ca70fe4ff75f0.us-east-1.aws.found.io/app/kibana#/discover/Steve-Slow-Train-Analysis-(2080s-and-2083s)?_g=(refreshInterval:(display:Off,pause:!f,section:0,value:0),time:(from:'2017-05-21T23:36:52-0600',mode:absolute,to:'2017-05-22T01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8" s="192" t="str">
        <f t="shared" si="53"/>
        <v>Y</v>
      </c>
      <c r="X198" s="192">
        <f t="shared" si="70"/>
        <v>1</v>
      </c>
      <c r="Y198" s="192">
        <f t="shared" si="55"/>
        <v>4.6600000000000003E-2</v>
      </c>
      <c r="Z198" s="192">
        <f t="shared" si="56"/>
        <v>2.3300999999999998</v>
      </c>
      <c r="AA198" s="192">
        <f t="shared" si="57"/>
        <v>2.2834999999999996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8"/>
        <v>0307-21</v>
      </c>
      <c r="AE198" s="80" t="str">
        <f t="shared" si="59"/>
        <v>aws s3 cp s3://rtdc.mdm.uploadarchive.raw/RTDC4024/ "%USERPROFILE%\AppData\Local\Temp\OnboardLogs"\RTDC4024\2017-05-22 --exclude "*" --recursive --include "*20170522*" &amp; "%USERPROFILE%\Documents\GitHub\mrs-test-scripts\Headless Mode &amp; Sideloading\WalkAndUnGZ.bat" "%USERPROFILE%\AppData\Local\Temp\OnboardLogs"\RTDC4024\2017-05-22 &amp; aws s3 cp s3://rtdc.mdm.uploadarchive.raw/RTDC4024/ "%USERPROFILE%\AppData\Local\Temp\OnboardLogs"\RTDC4024\2017-05-23 --exclude "*" --recursive --include "*20170523*" &amp; "%USERPROFILE%\Documents\GitHub\mrs-test-scripts\Headless Mode &amp; Sideloading\WalkAndUnGZ.bat" "%USERPROFILE%\AppData\Local\Temp\OnboardLogs"\RTDC4024\2017-05-23</v>
      </c>
      <c r="AF198" s="77" t="str">
        <f t="shared" si="60"/>
        <v>"C:\Program Files (x86)\AstroGrep\AstroGrep.exe" /e /r /s /spath="%USERPROFILE%\AppData\Local\Temp\OnboardLogs" /stypes="app*4024*20170522*" /stext=" 06:.+((SYSTEM_STATE.+slice.+state.+changed )|(ment ac)|(multiple cpu faults)|(system.+state.+changed )|(\[timeout)|(PRM\|1\|D)|(kpr)|(kdp)|(train st.+moving)|(\|lc)|(penalty))"</v>
      </c>
      <c r="AG198" s="1" t="str">
        <f t="shared" si="61"/>
        <v>Other</v>
      </c>
      <c r="AH198" s="81" t="str">
        <f t="shared" si="62"/>
        <v>"%USERPROFILE%\Documents\GitHub\eaglep3\Utilities\RefineRTDCRunTimes.py" --tripid 307-21 --locoid 4024 --swversion DE.1.0.9.0 --startMP 204:466 --initTime 2017-05-22T00:36:52 --startdatetime 2017-05-22T00:38:46 --delay 1 --endMP 300:23301 --enddatetime 2017-05-22T00:50:09 --enforcementcount 0 &gt;&gt;C:\Users\stu\Documents\GitHub\eaglep3-reporting\EC\2017-05-21-refined-times.txt</v>
      </c>
      <c r="AI198" s="99" t="str">
        <f t="shared" si="63"/>
        <v>echo {"issue":{"subject":"","project_id":79,"tracker_id":40,"status_id":1,"priority_id":2,"assigned_to_id":23,"start_date":"2017-05-22","description":"","custom_fields":[{"id":1,"name":"Subdivision","value":"Other"},{"id":4,"name":"Milepost","value":"2.3301"},{"id":17,"name":"Train ID","value":"307-21"},{"id":16,"name":"Locomotive ID","value":"4024"},{"id":130,"name":"Impact","value":""},{"id":150,"name":"Time of Event (Mountain Time)","value":"00:50:09"},{"id":151,"name":"Denver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4"/>
        <v>start /low /b %USERPROFILE%\Documents\GitHub\eaglep3\Utilities\DownloadLogsFromS3.py --loco 4024 --day 2017-05-22</v>
      </c>
      <c r="AN198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06:50:09"},{"id":29,"name":"Sharepoint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578</v>
      </c>
      <c r="B199" s="7">
        <v>4055</v>
      </c>
      <c r="C199" s="21" t="s">
        <v>206</v>
      </c>
      <c r="D199" s="21" t="s">
        <v>964</v>
      </c>
      <c r="E199" s="13">
        <v>42876.177951388891</v>
      </c>
      <c r="F199" s="13">
        <v>42876.181041666663</v>
      </c>
      <c r="G199" s="7">
        <v>4</v>
      </c>
      <c r="H199" s="21" t="s">
        <v>965</v>
      </c>
      <c r="I199" s="13">
        <v>42876.189305555556</v>
      </c>
      <c r="J199" s="7">
        <v>0</v>
      </c>
      <c r="K199" s="92" t="str">
        <f t="shared" si="48"/>
        <v>4055/4056</v>
      </c>
      <c r="L199" s="21" t="str">
        <f>VLOOKUP(A199,'Trips&amp;Operators'!$C$1:$G$99999,5,FALSE)</f>
        <v>GEBRETEKLE DAGNEW</v>
      </c>
      <c r="M199" s="6">
        <f t="shared" si="49"/>
        <v>8.2638888925430365E-3</v>
      </c>
      <c r="N199" s="7">
        <f t="shared" si="69"/>
        <v>11.900000005261973</v>
      </c>
      <c r="O199" s="7"/>
      <c r="P199" s="7"/>
      <c r="Q199" s="22"/>
      <c r="R199" s="190"/>
      <c r="S199" s="196">
        <f t="shared" si="50"/>
        <v>1</v>
      </c>
      <c r="T199" s="190" t="str">
        <f t="shared" si="51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2"/>
        <v>https://d0f6bd738d7f1b3e5a7ca70fe4ff75f0.us-east-1.aws.found.io/app/kibana#/discover/Steve-Slow-Train-Analysis-(2080s-and-2083s)?_g=(refreshInterval:(display:Off,pause:!f,section:0,value:0),time:(from:'2017-05-21T03:16:15-0600',mode:absolute,to:'2017-05-21T05:32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9" s="192" t="str">
        <f t="shared" si="53"/>
        <v>Y</v>
      </c>
      <c r="X199" s="192">
        <f t="shared" si="70"/>
        <v>1</v>
      </c>
      <c r="Y199" s="192">
        <f t="shared" si="55"/>
        <v>2.3586</v>
      </c>
      <c r="Z199" s="192">
        <f t="shared" si="56"/>
        <v>0.51659999999999995</v>
      </c>
      <c r="AA199" s="192">
        <f t="shared" si="57"/>
        <v>1.8420000000000001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8"/>
        <v>0308-21</v>
      </c>
      <c r="AE199" s="80" t="str">
        <f t="shared" si="59"/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AF199" s="77" t="str">
        <f t="shared" si="60"/>
        <v>"C:\Program Files (x86)\AstroGrep\AstroGrep.exe" /e /r /s /spath="%USERPROFILE%\AppData\Local\Temp\OnboardLogs" /stypes="app*4055*20170521*" /stext=" 10:.+((SYSTEM_STATE.+slice.+state.+changed )|(ment ac)|(multiple cpu faults)|(system.+state.+changed )|(\[timeout)|(PRM\|1\|D)|(kpr)|(kdp)|(train st.+moving)|(\|lc)|(penalty))"</v>
      </c>
      <c r="AG199" s="1" t="str">
        <f t="shared" si="61"/>
        <v>Other</v>
      </c>
      <c r="AH199" s="81" t="str">
        <f t="shared" si="62"/>
        <v>"%USERPROFILE%\Documents\GitHub\eaglep3\Utilities\RefineRTDCRunTimes.py" --tripid 308-21 --locoid 4055 --swversion DE.1.0.9.0 --startMP 300:23586 --initTime 2017-05-21T04:16:15 --startdatetime 2017-05-21T04:20:42 --delay 4 --endMP 300:5166 --enddatetime 2017-05-21T04:32:36 --enforcementcount 0 &gt;&gt;C:\Users\stu\Documents\GitHub\eaglep3-reporting\EC\2017-05-21-refined-times.txt</v>
      </c>
      <c r="AI199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{"issue":{"subject":"","project_id":79,"tracker_id":40,"status_id":1,"priority_id":2,"assigned_to_id":23,"start_date":"2017-05-21","description":"","custom_fields":[{"id":1,"name":"Subdivision","value":"Other"},{"id":4,"name":"Milepost","value":"0.5166"},{"id":17,"name":"Train ID","value":"308-21"},{"id":16,"name":"Locomotive ID","value":"4055"},{"id":130,"name":"Impact","value":""},{"id":150,"name":"Time of Event (Mountain Time)","value":"04:32:36"},{"id":151,"name":"Denver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4"/>
        <v>start /low /b %USERPROFILE%\Documents\GitHub\eaglep3\Utilities\DownloadLogsFromS3.py --loco 4055 --day 2017-05-21</v>
      </c>
      <c r="AN199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10:32:36"},{"id":29,"name":"Sharepoint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815</v>
      </c>
      <c r="B200" s="7">
        <v>4002</v>
      </c>
      <c r="C200" s="21" t="s">
        <v>206</v>
      </c>
      <c r="D200" s="21" t="s">
        <v>354</v>
      </c>
      <c r="E200" s="13">
        <v>42877.04787037037</v>
      </c>
      <c r="F200" s="13">
        <v>42877.049641203703</v>
      </c>
      <c r="G200" s="7">
        <v>1</v>
      </c>
      <c r="H200" s="21" t="s">
        <v>472</v>
      </c>
      <c r="I200" s="13">
        <v>42877.058946759258</v>
      </c>
      <c r="J200" s="7">
        <v>0</v>
      </c>
      <c r="K200" s="92" t="str">
        <f t="shared" si="48"/>
        <v>4001/4002</v>
      </c>
      <c r="L200" s="21" t="str">
        <f>VLOOKUP(A200,'Trips&amp;Operators'!$C$1:$G$99999,5,FALSE)</f>
        <v>SMITH MICHAEL</v>
      </c>
      <c r="M200" s="6">
        <f t="shared" si="49"/>
        <v>9.3055555553291924E-3</v>
      </c>
      <c r="N200" s="7">
        <f t="shared" si="69"/>
        <v>13.399999999674037</v>
      </c>
      <c r="O200" s="7"/>
      <c r="P200" s="7"/>
      <c r="Q200" s="22"/>
      <c r="R200" s="190"/>
      <c r="S200" s="196">
        <f t="shared" si="50"/>
        <v>1</v>
      </c>
      <c r="T200" s="190" t="str">
        <f t="shared" si="51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2"/>
        <v>https://d0f6bd738d7f1b3e5a7ca70fe4ff75f0.us-east-1.aws.found.io/app/kibana#/discover/Steve-Slow-Train-Analysis-(2080s-and-2083s)?_g=(refreshInterval:(display:Off,pause:!f,section:0,value:0),time:(from:'2017-05-22T00:08:56-0600',mode:absolute,to:'2017-05-22T02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0" s="192" t="str">
        <f t="shared" si="53"/>
        <v>Y</v>
      </c>
      <c r="X200" s="192">
        <f t="shared" si="70"/>
        <v>1</v>
      </c>
      <c r="Y200" s="192">
        <f t="shared" si="55"/>
        <v>4.58E-2</v>
      </c>
      <c r="Z200" s="192">
        <f t="shared" si="56"/>
        <v>2.3308</v>
      </c>
      <c r="AA200" s="192">
        <f t="shared" si="57"/>
        <v>2.2850000000000001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8"/>
        <v>0309-21</v>
      </c>
      <c r="AE200" s="80" t="str">
        <f t="shared" si="59"/>
        <v>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 &amp; 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</v>
      </c>
      <c r="AF200" s="77" t="str">
        <f t="shared" si="60"/>
        <v>"C:\Program Files (x86)\AstroGrep\AstroGrep.exe" /e /r /s /spath="%USERPROFILE%\AppData\Local\Temp\OnboardLogs" /stypes="app*4002*20170522*" /stext=" 07:.+((SYSTEM_STATE.+slice.+state.+changed )|(ment ac)|(multiple cpu faults)|(system.+state.+changed )|(\[timeout)|(PRM\|1\|D)|(kpr)|(kdp)|(train st.+moving)|(\|lc)|(penalty))"</v>
      </c>
      <c r="AG200" s="1" t="str">
        <f t="shared" si="61"/>
        <v>Other</v>
      </c>
      <c r="AH200" s="81" t="str">
        <f t="shared" si="62"/>
        <v>"%USERPROFILE%\Documents\GitHub\eaglep3\Utilities\RefineRTDCRunTimes.py" --tripid 309-21 --locoid 4002 --swversion DE.1.0.9.0 --startMP 204:458 --initTime 2017-05-22T01:08:56 --startdatetime 2017-05-22T01:11:29 --delay 1 --endMP 300:23308 --enddatetime 2017-05-22T01:24:53 --enforcementcount 0 &gt;&gt;C:\Users\stu\Documents\GitHub\eaglep3-reporting\EC\2017-05-21-refined-times.txt</v>
      </c>
      <c r="AI200" s="99" t="str">
        <f t="shared" si="63"/>
        <v>echo {"issue":{"subject":"","project_id":79,"tracker_id":40,"status_id":1,"priority_id":2,"assigned_to_id":23,"start_date":"2017-05-22","description":"","custom_fields":[{"id":1,"name":"Subdivision","value":"Other"},{"id":4,"name":"Milepost","value":"2.3308"},{"id":17,"name":"Train ID","value":"309-21"},{"id":16,"name":"Locomotive ID","value":"4002"},{"id":130,"name":"Impact","value":""},{"id":150,"name":"Time of Event (Mountain Time)","value":"01:24:53"},{"id":151,"name":"Denver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4"/>
        <v>start /low /b %USERPROFILE%\Documents\GitHub\eaglep3\Utilities\DownloadLogsFromS3.py --loco 4002 --day 2017-05-22</v>
      </c>
      <c r="AN200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07:24:53"},{"id":29,"name":"Sharepoint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580</v>
      </c>
      <c r="B201" s="7">
        <v>4007</v>
      </c>
      <c r="C201" s="21" t="s">
        <v>206</v>
      </c>
      <c r="D201" s="21" t="s">
        <v>966</v>
      </c>
      <c r="E201" s="13">
        <v>42876.19017361111</v>
      </c>
      <c r="F201" s="13">
        <v>42876.196076388886</v>
      </c>
      <c r="G201" s="7">
        <v>8</v>
      </c>
      <c r="H201" s="21" t="s">
        <v>967</v>
      </c>
      <c r="I201" s="13">
        <v>42876.204351851855</v>
      </c>
      <c r="J201" s="7">
        <v>0</v>
      </c>
      <c r="K201" s="92" t="str">
        <f t="shared" si="48"/>
        <v>4007/4008</v>
      </c>
      <c r="L201" s="21" t="str">
        <f>VLOOKUP(A201,'Trips&amp;Operators'!$C$1:$G$99999,5,FALSE)</f>
        <v>GUZMAN DANNY</v>
      </c>
      <c r="M201" s="6">
        <f t="shared" si="49"/>
        <v>8.2754629693226889E-3</v>
      </c>
      <c r="N201" s="7">
        <f t="shared" si="69"/>
        <v>11.916666675824672</v>
      </c>
      <c r="O201" s="7"/>
      <c r="P201" s="7"/>
      <c r="Q201" s="22"/>
      <c r="R201" s="190"/>
      <c r="S201" s="196">
        <f t="shared" si="50"/>
        <v>1</v>
      </c>
      <c r="T201" s="190" t="str">
        <f t="shared" si="51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2"/>
        <v>https://d0f6bd738d7f1b3e5a7ca70fe4ff75f0.us-east-1.aws.found.io/app/kibana#/discover/Steve-Slow-Train-Analysis-(2080s-and-2083s)?_g=(refreshInterval:(display:Off,pause:!f,section:0,value:0),time:(from:'2017-05-21T03:33:51-0600',mode:absolute,to:'2017-05-21T05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92" t="str">
        <f t="shared" si="53"/>
        <v>Y</v>
      </c>
      <c r="X201" s="192">
        <f t="shared" si="70"/>
        <v>1</v>
      </c>
      <c r="Y201" s="192">
        <f t="shared" si="55"/>
        <v>2.3845000000000001</v>
      </c>
      <c r="Z201" s="192">
        <f t="shared" si="56"/>
        <v>8.0999999999999996E-3</v>
      </c>
      <c r="AA201" s="192">
        <f t="shared" si="57"/>
        <v>2.3763999999999998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8"/>
        <v>0310-21</v>
      </c>
      <c r="AE201" s="80" t="str">
        <f t="shared" si="59"/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AF201" s="77" t="str">
        <f t="shared" si="60"/>
        <v>"C:\Program Files (x86)\AstroGrep\AstroGrep.exe" /e /r /s /spath="%USERPROFILE%\AppData\Local\Temp\OnboardLogs" /stypes="app*4007*20170521*" /stext=" 10:.+((SYSTEM_STATE.+slice.+state.+changed )|(ment ac)|(multiple cpu faults)|(system.+state.+changed )|(\[timeout)|(PRM\|1\|D)|(kpr)|(kdp)|(train st.+moving)|(\|lc)|(penalty))"</v>
      </c>
      <c r="AG201" s="1" t="str">
        <f t="shared" si="61"/>
        <v>Other</v>
      </c>
      <c r="AH201" s="81" t="str">
        <f t="shared" si="62"/>
        <v>"%USERPROFILE%\Documents\GitHub\eaglep3\Utilities\RefineRTDCRunTimes.py" --tripid 310-21 --locoid 4007 --swversion DE.1.0.9.0 --startMP 300:23845 --initTime 2017-05-21T04:33:51 --startdatetime 2017-05-21T04:42:21 --delay 8 --endMP 204:81 --enddatetime 2017-05-21T04:54:16 --enforcementcount 0 &gt;&gt;C:\Users\stu\Documents\GitHub\eaglep3-reporting\EC\2017-05-21-refined-times.txt</v>
      </c>
      <c r="AI201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{"issue":{"subject":"","project_id":79,"tracker_id":40,"status_id":1,"priority_id":2,"assigned_to_id":23,"start_date":"2017-05-21","description":"","custom_fields":[{"id":1,"name":"Subdivision","value":"Other"},{"id":4,"name":"Milepost","value":"0.0081"},{"id":17,"name":"Train ID","value":"310-21"},{"id":16,"name":"Locomotive ID","value":"4007"},{"id":130,"name":"Impact","value":""},{"id":150,"name":"Time of Event (Mountain Time)","value":"04:54:16"},{"id":151,"name":"Denver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4"/>
        <v>start /low /b %USERPROFILE%\Documents\GitHub\eaglep3\Utilities\DownloadLogsFromS3.py --loco 4007 --day 2017-05-21</v>
      </c>
      <c r="AN201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817</v>
      </c>
      <c r="B202" s="7">
        <v>4040</v>
      </c>
      <c r="C202" s="21" t="s">
        <v>206</v>
      </c>
      <c r="D202" s="21" t="s">
        <v>373</v>
      </c>
      <c r="E202" s="13">
        <v>42877.06863425926</v>
      </c>
      <c r="F202" s="13">
        <v>42877.070185185185</v>
      </c>
      <c r="G202" s="7">
        <v>1</v>
      </c>
      <c r="H202" s="21" t="s">
        <v>416</v>
      </c>
      <c r="I202" s="13">
        <v>42877.077673611115</v>
      </c>
      <c r="J202" s="7">
        <v>0</v>
      </c>
      <c r="K202" s="92" t="str">
        <f t="shared" si="48"/>
        <v>4039/4040</v>
      </c>
      <c r="L202" s="21" t="str">
        <f>VLOOKUP(A202,'Trips&amp;Operators'!$C$1:$G$99999,5,FALSE)</f>
        <v>PERKINS DARREN</v>
      </c>
      <c r="M202" s="6">
        <f t="shared" si="49"/>
        <v>7.4884259302052669E-3</v>
      </c>
      <c r="N202" s="7">
        <f t="shared" si="69"/>
        <v>10.783333339495584</v>
      </c>
      <c r="O202" s="7"/>
      <c r="P202" s="7"/>
      <c r="Q202" s="22"/>
      <c r="R202" s="190"/>
      <c r="S202" s="196">
        <f t="shared" si="50"/>
        <v>1</v>
      </c>
      <c r="T202" s="190" t="str">
        <f t="shared" si="51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2"/>
        <v>https://d0f6bd738d7f1b3e5a7ca70fe4ff75f0.us-east-1.aws.found.io/app/kibana#/discover/Steve-Slow-Train-Analysis-(2080s-and-2083s)?_g=(refreshInterval:(display:Off,pause:!f,section:0,value:0),time:(from:'2017-05-22T00:38:50-0600',mode:absolute,to:'2017-05-22T02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2" s="192" t="str">
        <f t="shared" si="53"/>
        <v>Y</v>
      </c>
      <c r="X202" s="192">
        <f t="shared" si="70"/>
        <v>1</v>
      </c>
      <c r="Y202" s="192">
        <f t="shared" si="55"/>
        <v>4.5499999999999999E-2</v>
      </c>
      <c r="Z202" s="192">
        <f t="shared" si="56"/>
        <v>2.3304</v>
      </c>
      <c r="AA202" s="192">
        <f t="shared" si="57"/>
        <v>2.2848999999999999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8"/>
        <v>0311-21</v>
      </c>
      <c r="AE202" s="80" t="str">
        <f t="shared" si="59"/>
        <v>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 &amp; 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</v>
      </c>
      <c r="AF202" s="77" t="str">
        <f t="shared" si="60"/>
        <v>"C:\Program Files (x86)\AstroGrep\AstroGrep.exe" /e /r /s /spath="%USERPROFILE%\AppData\Local\Temp\OnboardLogs" /stypes="app*4040*20170522*" /stext=" 07:.+((SYSTEM_STATE.+slice.+state.+changed )|(ment ac)|(multiple cpu faults)|(system.+state.+changed )|(\[timeout)|(PRM\|1\|D)|(kpr)|(kdp)|(train st.+moving)|(\|lc)|(penalty))"</v>
      </c>
      <c r="AG202" s="1" t="str">
        <f t="shared" si="61"/>
        <v>Other</v>
      </c>
      <c r="AH202" s="81" t="str">
        <f t="shared" si="62"/>
        <v>"%USERPROFILE%\Documents\GitHub\eaglep3\Utilities\RefineRTDCRunTimes.py" --tripid 311-21 --locoid 4040 --swversion DE.1.0.9.0 --startMP 204:455 --initTime 2017-05-22T01:38:50 --startdatetime 2017-05-22T01:41:04 --delay 1 --endMP 300:23304 --enddatetime 2017-05-22T01:51:51 --enforcementcount 0 &gt;&gt;C:\Users\stu\Documents\GitHub\eaglep3-reporting\EC\2017-05-21-refined-times.txt</v>
      </c>
      <c r="AI202" s="99" t="str">
        <f t="shared" si="63"/>
        <v>echo {"issue":{"subject":"","project_id":79,"tracker_id":40,"status_id":1,"priority_id":2,"assigned_to_id":23,"start_date":"2017-05-22","description":"","custom_fields":[{"id":1,"name":"Subdivision","value":"Other"},{"id":4,"name":"Milepost","value":"2.3304"},{"id":17,"name":"Train ID","value":"311-21"},{"id":16,"name":"Locomotive ID","value":"4040"},{"id":130,"name":"Impact","value":""},{"id":150,"name":"Time of Event (Mountain Time)","value":"01:51:51"},{"id":151,"name":"Denver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4"/>
        <v>start /low /b %USERPROFILE%\Documents\GitHub\eaglep3\Utilities\DownloadLogsFromS3.py --loco 4040 --day 2017-05-22</v>
      </c>
      <c r="AN202" s="154" t="str">
        <f t="shared" si="6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07:51:51"},{"id":29,"name":"Sharepoint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651</v>
      </c>
      <c r="B203" s="7">
        <v>4009</v>
      </c>
      <c r="C203" s="21" t="s">
        <v>206</v>
      </c>
      <c r="D203" s="21" t="s">
        <v>968</v>
      </c>
      <c r="E203" s="13">
        <v>42876.22115740741</v>
      </c>
      <c r="F203" s="13">
        <v>42876.223773148151</v>
      </c>
      <c r="G203" s="7">
        <v>3</v>
      </c>
      <c r="H203" s="21" t="s">
        <v>355</v>
      </c>
      <c r="I203" s="13">
        <v>42876.232581018521</v>
      </c>
      <c r="J203" s="7">
        <v>0</v>
      </c>
      <c r="K203" s="92" t="str">
        <f t="shared" si="48"/>
        <v>4009/4010</v>
      </c>
      <c r="L203" s="21" t="str">
        <f>VLOOKUP(A203,'Trips&amp;Operators'!$C$1:$G$99999,5,FALSE)</f>
        <v>MACDONALD THOMAS</v>
      </c>
      <c r="M203" s="6">
        <f t="shared" si="49"/>
        <v>8.8078703702194616E-3</v>
      </c>
      <c r="N203" s="7">
        <f t="shared" si="69"/>
        <v>12.683333333116025</v>
      </c>
      <c r="O203" s="7"/>
      <c r="P203" s="7"/>
      <c r="Q203" s="22"/>
      <c r="R203" s="190"/>
      <c r="S203" s="196">
        <f t="shared" si="50"/>
        <v>1</v>
      </c>
      <c r="T203" s="190" t="str">
        <f t="shared" si="51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2"/>
        <v>https://d0f6bd738d7f1b3e5a7ca70fe4ff75f0.us-east-1.aws.found.io/app/kibana#/discover/Steve-Slow-Train-Analysis-(2080s-and-2083s)?_g=(refreshInterval:(display:Off,pause:!f,section:0,value:0),time:(from:'2017-05-21T04:18:28-0600',mode:absolute,to:'2017-05-21T06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92" t="str">
        <f t="shared" si="53"/>
        <v>Y</v>
      </c>
      <c r="X203" s="192">
        <f t="shared" si="70"/>
        <v>1</v>
      </c>
      <c r="Y203" s="192">
        <f t="shared" si="55"/>
        <v>2.2734000000000001</v>
      </c>
      <c r="Z203" s="192">
        <f t="shared" si="56"/>
        <v>1.4999999999999999E-2</v>
      </c>
      <c r="AA203" s="192">
        <f t="shared" si="57"/>
        <v>2.2584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8"/>
        <v>0312-21</v>
      </c>
      <c r="AE203" s="80" t="str">
        <f t="shared" si="59"/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AF203" s="77" t="str">
        <f t="shared" si="60"/>
        <v>"C:\Program Files (x86)\AstroGrep\AstroGrep.exe" /e /r /s /spath="%USERPROFILE%\AppData\Local\Temp\OnboardLogs" /stypes="app*4009*20170521*" /stext=" 11:.+((SYSTEM_STATE.+slice.+state.+changed )|(ment ac)|(multiple cpu faults)|(system.+state.+changed )|(\[timeout)|(PRM\|1\|D)|(kpr)|(kdp)|(train st.+moving)|(\|lc)|(penalty))"</v>
      </c>
      <c r="AG203" s="1" t="str">
        <f t="shared" si="61"/>
        <v>Other</v>
      </c>
      <c r="AH203" s="81" t="str">
        <f t="shared" si="62"/>
        <v>"%USERPROFILE%\Documents\GitHub\eaglep3\Utilities\RefineRTDCRunTimes.py" --tripid 312-21 --locoid 4009 --swversion DE.1.0.9.0 --startMP 300:22734 --initTime 2017-05-21T05:18:28 --startdatetime 2017-05-21T05:22:14 --delay 3 --endMP 204:150 --enddatetime 2017-05-21T05:34:55 --enforcementcount 0 &gt;&gt;C:\Users\stu\Documents\GitHub\eaglep3-reporting\EC\2017-05-21-refined-times.txt</v>
      </c>
      <c r="AI203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{"issue":{"subject":"","project_id":79,"tracker_id":40,"status_id":1,"priority_id":2,"assigned_to_id":23,"start_date":"2017-05-21","description":"","custom_fields":[{"id":1,"name":"Subdivision","value":"Other"},{"id":4,"name":"Milepost","value":"0.015"},{"id":17,"name":"Train ID","value":"312-21"},{"id":16,"name":"Locomotive ID","value":"4009"},{"id":130,"name":"Impact","value":""},{"id":150,"name":"Time of Event (Mountain Time)","value":"05:34:55"},{"id":151,"name":"Denver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4"/>
        <v>start /low /b %USERPROFILE%\Documents\GitHub\eaglep3\Utilities\DownloadLogsFromS3.py --loco 4009 --day 2017-05-21</v>
      </c>
      <c r="AN203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627</v>
      </c>
      <c r="B204" s="7">
        <v>4022</v>
      </c>
      <c r="C204" s="21" t="s">
        <v>206</v>
      </c>
      <c r="D204" s="21" t="s">
        <v>839</v>
      </c>
      <c r="E204" s="13">
        <v>42876.090451388889</v>
      </c>
      <c r="F204" s="13">
        <v>42876.093090277776</v>
      </c>
      <c r="G204" s="7">
        <v>2</v>
      </c>
      <c r="H204" s="21" t="s">
        <v>360</v>
      </c>
      <c r="I204" s="13">
        <v>42876.102048611108</v>
      </c>
      <c r="J204" s="7">
        <v>0</v>
      </c>
      <c r="K204" s="92" t="str">
        <f t="shared" si="48"/>
        <v>4021/4022</v>
      </c>
      <c r="L204" s="21" t="str">
        <f>VLOOKUP(A204,'Trips&amp;Operators'!$C$1:$G$99999,5,FALSE)</f>
        <v>SWANSON BRYCE</v>
      </c>
      <c r="M204" s="6">
        <f t="shared" si="49"/>
        <v>8.9583333319751546E-3</v>
      </c>
      <c r="N204" s="7">
        <f t="shared" si="69"/>
        <v>12.899999998044223</v>
      </c>
      <c r="O204" s="7"/>
      <c r="P204" s="7"/>
      <c r="Q204" s="22"/>
      <c r="R204" s="190"/>
      <c r="S204" s="196">
        <f t="shared" si="50"/>
        <v>1</v>
      </c>
      <c r="T204" s="190" t="str">
        <f t="shared" si="51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2"/>
        <v>https://d0f6bd738d7f1b3e5a7ca70fe4ff75f0.us-east-1.aws.found.io/app/kibana#/discover/Steve-Slow-Train-Analysis-(2080s-and-2083s)?_g=(refreshInterval:(display:Off,pause:!f,section:0,value:0),time:(from:'2017-05-21T01:10:15-0600',mode:absolute,to:'2017-05-21T03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92" t="str">
        <f t="shared" si="53"/>
        <v>Y</v>
      </c>
      <c r="X204" s="192">
        <f t="shared" si="70"/>
        <v>1</v>
      </c>
      <c r="Y204" s="192">
        <f t="shared" si="55"/>
        <v>4.6699999999999998E-2</v>
      </c>
      <c r="Z204" s="192">
        <f t="shared" si="56"/>
        <v>2.3346</v>
      </c>
      <c r="AA204" s="192">
        <f t="shared" si="57"/>
        <v>2.2879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8"/>
        <v>0313-20</v>
      </c>
      <c r="AE204" s="80" t="str">
        <f t="shared" si="59"/>
        <v>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 &amp; aws s3 cp s3://rtdc.mdm.uploadarchive.raw/RTDC4022/ "%USERPROFILE%\AppData\Local\Temp\OnboardLogs"\RTDC4022\2017-05-22 --exclude "*" --recursive --include "*20170522*" &amp; "%USERPROFILE%\Documents\GitHub\mrs-test-scripts\Headless Mode &amp; Sideloading\WalkAndUnGZ.bat" "%USERPROFILE%\AppData\Local\Temp\OnboardLogs"\RTDC4022\2017-05-22</v>
      </c>
      <c r="AF204" s="77" t="str">
        <f t="shared" si="60"/>
        <v>"C:\Program Files (x86)\AstroGrep\AstroGrep.exe" /e /r /s /spath="%USERPROFILE%\AppData\Local\Temp\OnboardLogs" /stypes="app*4022*20170521*" /stext=" 08:.+((SYSTEM_STATE.+slice.+state.+changed )|(ment ac)|(multiple cpu faults)|(system.+state.+changed )|(\[timeout)|(PRM\|1\|D)|(kpr)|(kdp)|(train st.+moving)|(\|lc)|(penalty))"</v>
      </c>
      <c r="AG204" s="1" t="str">
        <f t="shared" si="61"/>
        <v>Other</v>
      </c>
      <c r="AH204" s="81" t="str">
        <f t="shared" si="62"/>
        <v>"%USERPROFILE%\Documents\GitHub\eaglep3\Utilities\RefineRTDCRunTimes.py" --tripid 313-20 --locoid 4022 --swversion DE.1.0.9.0 --startMP 204:467 --initTime 2017-05-21T02:10:15 --startdatetime 2017-05-21T02:14:03 --delay 2 --endMP 300:23346 --enddatetime 2017-05-21T02:26:57 --enforcementcount 0 &gt;&gt;C:\Users\stu\Documents\GitHub\eaglep3-reporting\EC\2017-05-21-refined-times.txt</v>
      </c>
      <c r="AI204" s="99" t="str">
        <f t="shared" si="63"/>
        <v>echo {"issue":{"subject":"","project_id":79,"tracker_id":40,"status_id":1,"priority_id":2,"assigned_to_id":23,"start_date":"2017-05-21","description":"","custom_fields":[{"id":1,"name":"Subdivision","value":"Other"},{"id":4,"name":"Milepost","value":"2.3346"},{"id":17,"name":"Train ID","value":"313-20"},{"id":16,"name":"Locomotive ID","value":"4022"},{"id":130,"name":"Impact","value":""},{"id":150,"name":"Time of Event (Mountain Time)","value":"02:26:57"},{"id":151,"name":"Denver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4"/>
        <v>start /low /b %USERPROFILE%\Documents\GitHub\eaglep3\Utilities\DownloadLogsFromS3.py --loco 4022 --day 2017-05-21</v>
      </c>
      <c r="AN204" s="154" t="str">
        <f t="shared" si="6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818</v>
      </c>
      <c r="B205" s="7">
        <v>4042</v>
      </c>
      <c r="C205" s="21" t="s">
        <v>206</v>
      </c>
      <c r="D205" s="21" t="s">
        <v>354</v>
      </c>
      <c r="E205" s="13">
        <v>42877.089953703704</v>
      </c>
      <c r="F205" s="13">
        <v>42877.091157407405</v>
      </c>
      <c r="G205" s="7">
        <v>1</v>
      </c>
      <c r="H205" s="21" t="s">
        <v>360</v>
      </c>
      <c r="I205" s="13">
        <v>42877.099340277775</v>
      </c>
      <c r="J205" s="7">
        <v>0</v>
      </c>
      <c r="K205" s="92" t="str">
        <f t="shared" ref="K205:K222" si="71">IF(ISEVEN(B205),(B205-1)&amp;"/"&amp;B205,B205&amp;"/"&amp;(B205+1))</f>
        <v>4041/4042</v>
      </c>
      <c r="L205" s="21" t="str">
        <f>VLOOKUP(A205,'Trips&amp;Operators'!$C$1:$G$99999,5,FALSE)</f>
        <v>MAGEE KENYA</v>
      </c>
      <c r="M205" s="6">
        <f t="shared" ref="M205:M222" si="72">I205-F205</f>
        <v>8.182870369637385E-3</v>
      </c>
      <c r="N205" s="7">
        <f t="shared" si="69"/>
        <v>11.783333332277834</v>
      </c>
      <c r="O205" s="7"/>
      <c r="P205" s="7"/>
      <c r="Q205" s="22"/>
      <c r="R205" s="190"/>
      <c r="S205" s="196">
        <f t="shared" ref="S205:S222" si="73">SUM(U205:U205)/IF(AG205="EC",12,1)</f>
        <v>1</v>
      </c>
      <c r="T205" s="190" t="str">
        <f t="shared" ref="T205:T222" si="74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22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-22T01:09:32-0600',mode:absolute,to:'2017-05-22T03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192" t="str">
        <f t="shared" ref="W205:W222" si="76">IF(AA205&lt;IF(AG205="EC",23,5.65),"Y","N")</f>
        <v>Y</v>
      </c>
      <c r="X205" s="192">
        <f t="shared" si="70"/>
        <v>0</v>
      </c>
      <c r="Y205" s="192">
        <f t="shared" ref="Y205:Y222" si="77">RIGHT(D205,LEN(D205)-4)/10000</f>
        <v>4.58E-2</v>
      </c>
      <c r="Z205" s="192">
        <f t="shared" ref="Z205:Z222" si="78">RIGHT(H205,LEN(H205)-4)/10000</f>
        <v>2.3346</v>
      </c>
      <c r="AA205" s="192">
        <f t="shared" ref="AA205:AA222" si="79">ABS(Z205-Y205)</f>
        <v>2.2888000000000002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22" si="80">IF(LEN(A205)=6,"0"&amp;A205,A205)</f>
        <v>0313-21</v>
      </c>
      <c r="AE205" s="80" t="str">
        <f t="shared" ref="AE205:AE222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 &amp; 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</v>
      </c>
      <c r="AF205" s="77" t="str">
        <f t="shared" ref="AF205:AF222" si="8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/stypes="app*4042*20170522*" /stext=" 08:.+((SYSTEM_STATE.+slice.+state.+changed )|(ment ac)|(multiple cpu faults)|(system.+state.+changed )|(\[timeout)|(PRM\|1\|D)|(kpr)|(kdp)|(train st.+moving)|(\|lc)|(penalty))"</v>
      </c>
      <c r="AG205" s="1" t="str">
        <f t="shared" ref="AG205:AG222" si="83">IFERROR(IF(VALUE(LEFT(AD205,2))&lt;=2,"EC",IF(OR(VALUE(LEFT(AD205,2))=8,VALUE(LEFT(AD205,2))=18),"NW","Other")),"Other")</f>
        <v>Other</v>
      </c>
      <c r="AH205" s="81" t="str">
        <f t="shared" ref="AH205:AH222" si="8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313-21 --locoid 4042 --swversion DE.1.0.9.0 --startMP 204:458 --initTime 2017-05-22T02:09:32 --startdatetime 2017-05-22T02:11:16 --delay 1 --endMP 300:23346 --enddatetime 2017-05-22T02:23:03 --enforcementcount 0 &gt;&gt;C:\Users\stu\Documents\GitHub\eaglep3-reporting\EC\2017-05-21-refined-times.txt</v>
      </c>
      <c r="AI205" s="99" t="str">
        <f t="shared" ref="AI205:AI222" si="8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{"issue":{"subject":"","project_id":79,"tracker_id":40,"status_id":1,"priority_id":2,"assigned_to_id":23,"start_date":"2017-05-22","description":"","custom_fields":[{"id":1,"name":"Subdivision","value":"Other"},{"id":4,"name":"Milepost","value":"2.3346"},{"id":17,"name":"Train ID","value":"313-21"},{"id":16,"name":"Locomotive ID","value":"4042"},{"id":130,"name":"Impact","value":""},{"id":150,"name":"Time of Event (Mountain Time)","value":"02:23:03"},{"id":151,"name":"Denver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22" si="86">"start /low /b "&amp;dls3logs&amp;" --loco "&amp;B205&amp;" --day "&amp;TEXT(F205,"YYYY-MM-DD")</f>
        <v>start /low /b %USERPROFILE%\Documents\GitHub\eaglep3\Utilities\DownloadLogsFromS3.py --loco 4042 --day 2017-05-22</v>
      </c>
      <c r="AN205" s="154" t="str">
        <f t="shared" ref="AN205:AN222" si="87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08:23:03"},{"id":29,"name":"Sharepoint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629</v>
      </c>
      <c r="B206" s="7">
        <v>4014</v>
      </c>
      <c r="C206" s="21" t="s">
        <v>206</v>
      </c>
      <c r="D206" s="21" t="s">
        <v>359</v>
      </c>
      <c r="E206" s="13">
        <v>42876.109976851854</v>
      </c>
      <c r="F206" s="13">
        <v>42876.111493055556</v>
      </c>
      <c r="G206" s="7">
        <v>1</v>
      </c>
      <c r="H206" s="21" t="s">
        <v>360</v>
      </c>
      <c r="I206" s="13">
        <v>42876.120451388888</v>
      </c>
      <c r="J206" s="7">
        <v>0</v>
      </c>
      <c r="K206" s="92" t="str">
        <f t="shared" si="71"/>
        <v>4013/4014</v>
      </c>
      <c r="L206" s="21" t="str">
        <f>VLOOKUP(A206,'Trips&amp;Operators'!$C$1:$G$99999,5,FALSE)</f>
        <v>BROWN JACOB</v>
      </c>
      <c r="M206" s="6">
        <f t="shared" si="72"/>
        <v>8.9583333319751546E-3</v>
      </c>
      <c r="N206" s="7">
        <f t="shared" si="69"/>
        <v>12.899999998044223</v>
      </c>
      <c r="O206" s="7"/>
      <c r="P206" s="7"/>
      <c r="Q206" s="22"/>
      <c r="R206" s="190"/>
      <c r="S206" s="196">
        <f t="shared" si="73"/>
        <v>1</v>
      </c>
      <c r="T206" s="190" t="str">
        <f t="shared" si="74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75"/>
        <v>https://d0f6bd738d7f1b3e5a7ca70fe4ff75f0.us-east-1.aws.found.io/app/kibana#/discover/Steve-Slow-Train-Analysis-(2080s-and-2083s)?_g=(refreshInterval:(display:Off,pause:!f,section:0,value:0),time:(from:'2017-05-21T01:38:22-0600',mode:absolute,to:'2017-05-21T03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6" s="192" t="str">
        <f t="shared" si="76"/>
        <v>Y</v>
      </c>
      <c r="X206" s="192">
        <f t="shared" si="70"/>
        <v>2</v>
      </c>
      <c r="Y206" s="192">
        <f t="shared" si="77"/>
        <v>4.5100000000000001E-2</v>
      </c>
      <c r="Z206" s="192">
        <f t="shared" si="78"/>
        <v>2.3346</v>
      </c>
      <c r="AA206" s="192">
        <f t="shared" si="79"/>
        <v>2.2894999999999999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0"/>
        <v>0315-20</v>
      </c>
      <c r="AE206" s="80" t="str">
        <f t="shared" si="81"/>
        <v>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 &amp; 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</v>
      </c>
      <c r="AF206" s="77" t="str">
        <f t="shared" si="82"/>
        <v>"C:\Program Files (x86)\AstroGrep\AstroGrep.exe" /e /r /s /spath="%USERPROFILE%\AppData\Local\Temp\OnboardLogs" /stypes="app*4014*20170521*" /stext=" 08:.+((SYSTEM_STATE.+slice.+state.+changed )|(ment ac)|(multiple cpu faults)|(system.+state.+changed )|(\[timeout)|(PRM\|1\|D)|(kpr)|(kdp)|(train st.+moving)|(\|lc)|(penalty))"</v>
      </c>
      <c r="AG206" s="1" t="str">
        <f t="shared" si="83"/>
        <v>Other</v>
      </c>
      <c r="AH206" s="81" t="str">
        <f t="shared" si="84"/>
        <v>"%USERPROFILE%\Documents\GitHub\eaglep3\Utilities\RefineRTDCRunTimes.py" --tripid 315-20 --locoid 4014 --swversion DE.1.0.9.0 --startMP 204:451 --initTime 2017-05-21T02:38:22 --startdatetime 2017-05-21T02:40:33 --delay 1 --endMP 300:23346 --enddatetime 2017-05-21T02:53:27 --enforcementcount 0 &gt;&gt;C:\Users\stu\Documents\GitHub\eaglep3-reporting\EC\2017-05-21-refined-times.txt</v>
      </c>
      <c r="AI206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{"issue":{"subject":"","project_id":79,"tracker_id":40,"status_id":1,"priority_id":2,"assigned_to_id":23,"start_date":"2017-05-21","description":"","custom_fields":[{"id":1,"name":"Subdivision","value":"Other"},{"id":4,"name":"Milepost","value":"2.3346"},{"id":17,"name":"Train ID","value":"315-20"},{"id":16,"name":"Locomotive ID","value":"4014"},{"id":130,"name":"Impact","value":""},{"id":150,"name":"Time of Event (Mountain Time)","value":"02:53:27"},{"id":151,"name":"Denver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86"/>
        <v>start /low /b %USERPROFILE%\Documents\GitHub\eaglep3\Utilities\DownloadLogsFromS3.py --loco 4014 --day 2017-05-21</v>
      </c>
      <c r="AN206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652</v>
      </c>
      <c r="B207" s="7">
        <v>4054</v>
      </c>
      <c r="C207" s="21" t="s">
        <v>206</v>
      </c>
      <c r="D207" s="21" t="s">
        <v>926</v>
      </c>
      <c r="E207" s="13">
        <v>42876.229780092595</v>
      </c>
      <c r="F207" s="13">
        <v>42876.231354166666</v>
      </c>
      <c r="G207" s="7">
        <v>1</v>
      </c>
      <c r="H207" s="21" t="s">
        <v>503</v>
      </c>
      <c r="I207" s="13">
        <v>42876.23715277778</v>
      </c>
      <c r="J207" s="7">
        <v>0</v>
      </c>
      <c r="K207" s="92" t="str">
        <f t="shared" si="71"/>
        <v>4053/4054</v>
      </c>
      <c r="L207" s="21" t="str">
        <f>VLOOKUP(A207,'Trips&amp;Operators'!$C$1:$G$99999,5,FALSE)</f>
        <v>DAVIDSON DAVID</v>
      </c>
      <c r="M207" s="6">
        <f t="shared" si="72"/>
        <v>5.7986111132777296E-3</v>
      </c>
      <c r="N207" s="7">
        <f t="shared" si="69"/>
        <v>8.3500000031199306</v>
      </c>
      <c r="O207" s="7"/>
      <c r="P207" s="7"/>
      <c r="Q207" s="22"/>
      <c r="R207" s="190"/>
      <c r="S207" s="196">
        <f t="shared" si="73"/>
        <v>0</v>
      </c>
      <c r="T207" s="190" t="str">
        <f t="shared" si="74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75"/>
        <v>https://d0f6bd738d7f1b3e5a7ca70fe4ff75f0.us-east-1.aws.found.io/app/kibana#/discover/Steve-Slow-Train-Analysis-(2080s-and-2083s)?_g=(refreshInterval:(display:Off,pause:!f,section:0,value:0),time:(from:'2017-05-21T04:30:53-0600',mode:absolute,to:'2017-05-21T06:41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92" t="str">
        <f t="shared" si="76"/>
        <v>Y</v>
      </c>
      <c r="X207" s="192">
        <f t="shared" si="70"/>
        <v>1586</v>
      </c>
      <c r="Y207" s="192">
        <f t="shared" si="77"/>
        <v>3.0472000000000001</v>
      </c>
      <c r="Z207" s="192">
        <f t="shared" si="78"/>
        <v>5.8936999999999999</v>
      </c>
      <c r="AA207" s="192">
        <f t="shared" si="79"/>
        <v>2.8464999999999998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0"/>
        <v>1901-21</v>
      </c>
      <c r="AE207" s="80" t="str">
        <f t="shared" si="81"/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AF207" s="77" t="str">
        <f t="shared" si="82"/>
        <v>"C:\Program Files (x86)\AstroGrep\AstroGrep.exe" /e /r /s /spath="%USERPROFILE%\AppData\Local\Temp\OnboardLogs" /stypes="app*4054*20170521*" /stext=" 11:.+((SYSTEM_STATE.+slice.+state.+changed )|(ment ac)|(multiple cpu faults)|(system.+state.+changed )|(\[timeout)|(PRM\|1\|D)|(kpr)|(kdp)|(train st.+moving)|(\|lc)|(penalty))"</v>
      </c>
      <c r="AG207" s="1" t="str">
        <f t="shared" si="83"/>
        <v>Other</v>
      </c>
      <c r="AH207" s="81" t="str">
        <f t="shared" si="84"/>
        <v>"%USERPROFILE%\Documents\GitHub\eaglep3\Utilities\RefineRTDCRunTimes.py" --tripid 1901-21 --locoid 4054 --swversion DE.1.0.9.0 --startMP 300:30472 --initTime 2017-05-21T05:30:53 --startdatetime 2017-05-21T05:33:09 --delay 1 --endMP 300:58937 --enddatetime 2017-05-21T05:41:30 --enforcementcount 0 &gt;&gt;C:\Users\stu\Documents\GitHub\eaglep3-reporting\EC\2017-05-21-refined-times.txt</v>
      </c>
      <c r="AI207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{"issue":{"subject":"","project_id":79,"tracker_id":40,"status_id":1,"priority_id":2,"assigned_to_id":23,"start_date":"2017-05-21","description":"","custom_fields":[{"id":1,"name":"Subdivision","value":"Other"},{"id":4,"name":"Milepost","value":"5.8937"},{"id":17,"name":"Train ID","value":"1901-21"},{"id":16,"name":"Locomotive ID","value":"4054"},{"id":130,"name":"Impact","value":""},{"id":150,"name":"Time of Event (Mountain Time)","value":"05:41:30"},{"id":151,"name":"Denver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86"/>
        <v>start /low /b %USERPROFILE%\Documents\GitHub\eaglep3\Utilities\DownloadLogsFromS3.py --loco 4054 --day 2017-05-21</v>
      </c>
      <c r="AN207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11:41:30"},{"id":29,"name":"Sharepoint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809</v>
      </c>
      <c r="B208" s="7">
        <v>4053</v>
      </c>
      <c r="C208" s="21" t="s">
        <v>206</v>
      </c>
      <c r="D208" s="21" t="s">
        <v>567</v>
      </c>
      <c r="E208" s="13">
        <v>42876.983298611114</v>
      </c>
      <c r="F208" s="13">
        <v>42876.992534722223</v>
      </c>
      <c r="G208" s="7">
        <v>0</v>
      </c>
      <c r="H208" s="21" t="s">
        <v>927</v>
      </c>
      <c r="I208" s="13">
        <v>42877.063148148147</v>
      </c>
      <c r="J208" s="7">
        <v>0</v>
      </c>
      <c r="K208" s="92" t="str">
        <f t="shared" si="71"/>
        <v>4053/4054</v>
      </c>
      <c r="L208" s="21" t="str">
        <f>VLOOKUP(A208,'Trips&amp;Operators'!$C$1:$G$99999,5,FALSE)</f>
        <v>HOLCOMB KAMDEN</v>
      </c>
      <c r="M208" s="6">
        <f t="shared" si="72"/>
        <v>7.0613425923511386E-2</v>
      </c>
      <c r="N208" s="7">
        <f t="shared" si="69"/>
        <v>101.6833333298564</v>
      </c>
      <c r="O208" s="7"/>
      <c r="P208" s="7"/>
      <c r="Q208" s="22"/>
      <c r="R208" s="190"/>
      <c r="S208" s="196">
        <f t="shared" si="73"/>
        <v>0</v>
      </c>
      <c r="T208" s="190" t="str">
        <f t="shared" si="74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75"/>
        <v>https://d0f6bd738d7f1b3e5a7ca70fe4ff75f0.us-east-1.aws.found.io/app/kibana#/discover/Steve-Slow-Train-Analysis-(2080s-and-2083s)?_g=(refreshInterval:(display:Off,pause:!f,section:0,value:0),time:(from:'2017-05-21T22:35:57-0600',mode:absolute,to:'2017-05-22T02:30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8" s="192" t="str">
        <f t="shared" si="76"/>
        <v>Y</v>
      </c>
      <c r="X208" s="192">
        <f t="shared" si="70"/>
        <v>1</v>
      </c>
      <c r="Y208" s="192">
        <f t="shared" si="77"/>
        <v>5.8630000000000004</v>
      </c>
      <c r="Z208" s="192">
        <f t="shared" si="78"/>
        <v>2.1718999999999999</v>
      </c>
      <c r="AA208" s="192">
        <f t="shared" si="79"/>
        <v>3.6911000000000005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0"/>
        <v>1902-21</v>
      </c>
      <c r="AE208" s="80" t="str">
        <f t="shared" si="81"/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AF208" s="77" t="str">
        <f t="shared" si="82"/>
        <v>"C:\Program Files (x86)\AstroGrep\AstroGrep.exe" /e /r /s /spath="%USERPROFILE%\AppData\Local\Temp\OnboardLogs" /stypes="app*4053*20170522*" /stext=" 07:.+((SYSTEM_STATE.+slice.+state.+changed )|(ment ac)|(multiple cpu faults)|(system.+state.+changed )|(\[timeout)|(PRM\|1\|D)|(kpr)|(kdp)|(train st.+moving)|(\|lc)|(penalty))"</v>
      </c>
      <c r="AG208" s="1" t="str">
        <f t="shared" si="83"/>
        <v>Other</v>
      </c>
      <c r="AH208" s="81" t="str">
        <f t="shared" si="84"/>
        <v>"%USERPROFILE%\Documents\GitHub\eaglep3\Utilities\RefineRTDCRunTimes.py" --tripid 1902-21 --locoid 4053 --swversion DE.1.0.9.0 --startMP 300:58630 --initTime 2017-05-21T23:35:57 --startdatetime 2017-05-21T23:49:15 --delay 0 --endMP 300:21719 --enddatetime 2017-05-22T01:30:56 --enforcementcount 0 &gt;&gt;C:\Users\stu\Documents\GitHub\eaglep3-reporting\EC\2017-05-21-refined-times.txt</v>
      </c>
      <c r="AI208" s="99" t="str">
        <f t="shared" si="85"/>
        <v>echo {"issue":{"subject":"","project_id":79,"tracker_id":40,"status_id":1,"priority_id":2,"assigned_to_id":23,"start_date":"2017-05-22","description":"","custom_fields":[{"id":1,"name":"Subdivision","value":"Other"},{"id":4,"name":"Milepost","value":"2.1719"},{"id":17,"name":"Train ID","value":"1902-21"},{"id":16,"name":"Locomotive ID","value":"4053"},{"id":130,"name":"Impact","value":""},{"id":150,"name":"Time of Event (Mountain Time)","value":"01:30:56"},{"id":151,"name":"Denver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86"/>
        <v>start /low /b %USERPROFILE%\Documents\GitHub\eaglep3\Utilities\DownloadLogsFromS3.py --loco 4053 --day 2017-05-21</v>
      </c>
      <c r="AN208" s="154" t="str">
        <f t="shared" si="87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07:30:56"},{"id":29,"name":"Sharepoint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607</v>
      </c>
      <c r="B209" s="7">
        <v>4055</v>
      </c>
      <c r="C209" s="21" t="s">
        <v>206</v>
      </c>
      <c r="D209" s="21" t="s">
        <v>969</v>
      </c>
      <c r="E209" s="13">
        <v>42876.73778935185</v>
      </c>
      <c r="F209" s="13">
        <v>42876.775625000002</v>
      </c>
      <c r="G209" s="7">
        <v>11</v>
      </c>
      <c r="H209" s="21" t="s">
        <v>970</v>
      </c>
      <c r="I209" s="13">
        <v>42876.784050925926</v>
      </c>
      <c r="J209" s="7">
        <v>0</v>
      </c>
      <c r="K209" s="92" t="str">
        <f t="shared" si="71"/>
        <v>4055/4056</v>
      </c>
      <c r="L209" s="21" t="str">
        <f>VLOOKUP(A209,'Trips&amp;Operators'!$C$1:$G$99999,5,FALSE)</f>
        <v>LOPES KIMBERLY</v>
      </c>
      <c r="M209" s="6">
        <f t="shared" si="72"/>
        <v>8.4259259238024242E-3</v>
      </c>
      <c r="N209" s="7">
        <f t="shared" si="69"/>
        <v>12.133333330275491</v>
      </c>
      <c r="O209" s="7"/>
      <c r="P209" s="7"/>
      <c r="Q209" s="22"/>
      <c r="R209" s="190"/>
      <c r="S209" s="196">
        <f t="shared" si="73"/>
        <v>0</v>
      </c>
      <c r="T209" s="190" t="e">
        <f t="shared" si="74"/>
        <v>#VALUE!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 t="shared" si="75"/>
        <v>https://d0f6bd738d7f1b3e5a7ca70fe4ff75f0.us-east-1.aws.found.io/app/kibana#/discover/Steve-Slow-Train-Analysis-(2080s-and-2083s)?_g=(refreshInterval:(display:Off,pause:!f,section:0,value:0),time:(from:'2017-05-21T16:42:25-0600',mode:absolute,to:'2017-05-21T19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9" s="192" t="str">
        <f t="shared" si="76"/>
        <v>Y</v>
      </c>
      <c r="X209" s="192" t="e">
        <f t="shared" si="70"/>
        <v>#VALUE!</v>
      </c>
      <c r="Y209" s="192">
        <f t="shared" si="77"/>
        <v>2.2342</v>
      </c>
      <c r="Z209" s="192">
        <f t="shared" si="78"/>
        <v>9.11E-2</v>
      </c>
      <c r="AA209" s="192">
        <f t="shared" si="79"/>
        <v>2.1431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0"/>
        <v>50-21</v>
      </c>
      <c r="AE209" s="80" t="str">
        <f t="shared" si="81"/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AF209" s="77" t="str">
        <f t="shared" si="82"/>
        <v>"C:\Program Files (x86)\AstroGrep\AstroGrep.exe" /e /r /s /spath="%USERPROFILE%\AppData\Local\Temp\OnboardLogs" /stypes="app*4055*20170522*" /stext=" 00:.+((SYSTEM_STATE.+slice.+state.+changed )|(ment ac)|(multiple cpu faults)|(system.+state.+changed )|(\[timeout)|(PRM\|1\|D)|(kpr)|(kdp)|(train st.+moving)|(\|lc)|(penalty))"</v>
      </c>
      <c r="AG209" s="1" t="str">
        <f t="shared" si="83"/>
        <v>Other</v>
      </c>
      <c r="AH209" s="81" t="str">
        <f t="shared" si="84"/>
        <v>"%USERPROFILE%\Documents\GitHub\eaglep3\Utilities\RefineRTDCRunTimes.py" --tripid 50-21 --locoid 4055 --swversion DE.1.0.9.0 --startMP 300:22342 --initTime 2017-05-21T17:42:25 --startdatetime 2017-05-21T18:36:54 --delay 11 --endMP 204:911 --enddatetime 2017-05-21T18:49:02 --enforcementcount 0 &gt;&gt;C:\Users\stu\Documents\GitHub\eaglep3-reporting\EC\2017-05-21-refined-times.txt</v>
      </c>
      <c r="AI209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{"issue":{"subject":"","project_id":79,"tracker_id":40,"status_id":1,"priority_id":2,"assigned_to_id":23,"start_date":"2017-05-21","description":"","custom_fields":[{"id":1,"name":"Subdivision","value":"Other"},{"id":4,"name":"Milepost","value":"0.0911"},{"id":17,"name":"Train ID","value":"50-21"},{"id":16,"name":"Locomotive ID","value":"4055"},{"id":130,"name":"Impact","value":""},{"id":150,"name":"Time of Event (Mountain Time)","value":"18:49:02"},{"id":151,"name":"Denver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86"/>
        <v>start /low /b %USERPROFILE%\Documents\GitHub\eaglep3\Utilities\DownloadLogsFromS3.py --loco 4055 --day 2017-05-21</v>
      </c>
      <c r="AN209" s="154" t="str">
        <f t="shared" si="87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607</v>
      </c>
      <c r="B210" s="7">
        <v>4055</v>
      </c>
      <c r="C210" s="21" t="s">
        <v>206</v>
      </c>
      <c r="D210" s="21" t="s">
        <v>971</v>
      </c>
      <c r="E210" s="13">
        <v>42876.73778935185</v>
      </c>
      <c r="F210" s="13">
        <v>42876.775625000002</v>
      </c>
      <c r="G210" s="7">
        <v>11</v>
      </c>
      <c r="H210" s="21" t="s">
        <v>970</v>
      </c>
      <c r="I210" s="13">
        <v>42876.784050925926</v>
      </c>
      <c r="J210" s="7">
        <v>0</v>
      </c>
      <c r="K210" s="92" t="str">
        <f t="shared" si="71"/>
        <v>4055/4056</v>
      </c>
      <c r="L210" s="21" t="str">
        <f>VLOOKUP(A210,'Trips&amp;Operators'!$C$1:$G$99999,5,FALSE)</f>
        <v>LOPES KIMBERLY</v>
      </c>
      <c r="M210" s="6">
        <f t="shared" si="72"/>
        <v>8.4259259238024242E-3</v>
      </c>
      <c r="N210" s="7">
        <f t="shared" si="69"/>
        <v>12.133333330275491</v>
      </c>
      <c r="O210" s="7"/>
      <c r="P210" s="7"/>
      <c r="Q210" s="22"/>
      <c r="R210" s="190"/>
      <c r="S210" s="196">
        <f t="shared" si="73"/>
        <v>0</v>
      </c>
      <c r="T210" s="190" t="e">
        <f t="shared" si="74"/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75"/>
        <v>https://d0f6bd738d7f1b3e5a7ca70fe4ff75f0.us-east-1.aws.found.io/app/kibana#/discover/Steve-Slow-Train-Analysis-(2080s-and-2083s)?_g=(refreshInterval:(display:Off,pause:!f,section:0,value:0),time:(from:'2017-05-21T16:42:25-0600',mode:absolute,to:'2017-05-21T19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0" s="192" t="str">
        <f t="shared" si="76"/>
        <v>Y</v>
      </c>
      <c r="X210" s="192" t="e">
        <f t="shared" si="70"/>
        <v>#VALUE!</v>
      </c>
      <c r="Y210" s="192">
        <f t="shared" si="77"/>
        <v>2.3029000000000002</v>
      </c>
      <c r="Z210" s="192">
        <f t="shared" si="78"/>
        <v>9.11E-2</v>
      </c>
      <c r="AA210" s="192">
        <f t="shared" si="79"/>
        <v>2.2118000000000002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0"/>
        <v>50-21</v>
      </c>
      <c r="AE210" s="80" t="str">
        <f t="shared" si="81"/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AF210" s="77" t="str">
        <f t="shared" si="82"/>
        <v>"C:\Program Files (x86)\AstroGrep\AstroGrep.exe" /e /r /s /spath="%USERPROFILE%\AppData\Local\Temp\OnboardLogs" /stypes="app*4055*20170522*" /stext=" 00:.+((SYSTEM_STATE.+slice.+state.+changed )|(ment ac)|(multiple cpu faults)|(system.+state.+changed )|(\[timeout)|(PRM\|1\|D)|(kpr)|(kdp)|(train st.+moving)|(\|lc)|(penalty))"</v>
      </c>
      <c r="AG210" s="1" t="str">
        <f t="shared" si="83"/>
        <v>Other</v>
      </c>
      <c r="AH210" s="81" t="str">
        <f t="shared" si="84"/>
        <v>"%USERPROFILE%\Documents\GitHub\eaglep3\Utilities\RefineRTDCRunTimes.py" --tripid 50-21 --locoid 4055 --swversion DE.1.0.9.0 --startMP 300:23029 --initTime 2017-05-21T17:42:25 --startdatetime 2017-05-21T18:36:54 --delay 11 --endMP 204:911 --enddatetime 2017-05-21T18:49:02 --enforcementcount 0 &gt;&gt;C:\Users\stu\Documents\GitHub\eaglep3-reporting\EC\2017-05-21-refined-times.txt</v>
      </c>
      <c r="AI210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{"issue":{"subject":"","project_id":79,"tracker_id":40,"status_id":1,"priority_id":2,"assigned_to_id":23,"start_date":"2017-05-21","description":"","custom_fields":[{"id":1,"name":"Subdivision","value":"Other"},{"id":4,"name":"Milepost","value":"0.0911"},{"id":17,"name":"Train ID","value":"50-21"},{"id":16,"name":"Locomotive ID","value":"4055"},{"id":130,"name":"Impact","value":""},{"id":150,"name":"Time of Event (Mountain Time)","value":"18:49:02"},{"id":151,"name":"Denver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86"/>
        <v>start /low /b %USERPROFILE%\Documents\GitHub\eaglep3\Utilities\DownloadLogsFromS3.py --loco 4055 --day 2017-05-21</v>
      </c>
      <c r="AN210" s="154" t="str">
        <f t="shared" si="87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607</v>
      </c>
      <c r="B211" s="7">
        <v>4055</v>
      </c>
      <c r="C211" s="21" t="s">
        <v>206</v>
      </c>
      <c r="D211" s="21" t="s">
        <v>504</v>
      </c>
      <c r="E211" s="13">
        <v>42876.771493055552</v>
      </c>
      <c r="F211" s="13">
        <v>42876.786446759259</v>
      </c>
      <c r="G211" s="7">
        <v>1</v>
      </c>
      <c r="H211" s="21" t="s">
        <v>972</v>
      </c>
      <c r="I211" s="13">
        <v>42876.790497685186</v>
      </c>
      <c r="J211" s="7">
        <v>0</v>
      </c>
      <c r="K211" s="92" t="str">
        <f t="shared" si="71"/>
        <v>4055/4056</v>
      </c>
      <c r="L211" s="21" t="str">
        <f>VLOOKUP(A211,'Trips&amp;Operators'!$C$1:$G$99999,5,FALSE)</f>
        <v>LOPES KIMBERLY</v>
      </c>
      <c r="M211" s="6">
        <f t="shared" si="72"/>
        <v>4.0509259270038456E-3</v>
      </c>
      <c r="N211" s="7">
        <f t="shared" si="69"/>
        <v>5.8333333348855376</v>
      </c>
      <c r="O211" s="7"/>
      <c r="P211" s="7"/>
      <c r="Q211" s="22"/>
      <c r="R211" s="190"/>
      <c r="S211" s="196">
        <f t="shared" si="73"/>
        <v>0</v>
      </c>
      <c r="T211" s="190" t="e">
        <f t="shared" si="74"/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75"/>
        <v>https://d0f6bd738d7f1b3e5a7ca70fe4ff75f0.us-east-1.aws.found.io/app/kibana#/discover/Steve-Slow-Train-Analysis-(2080s-and-2083s)?_g=(refreshInterval:(display:Off,pause:!f,section:0,value:0),time:(from:'2017-05-21T17:30:57-0600',mode:absolute,to:'2017-05-21T19:58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1" s="192" t="str">
        <f t="shared" si="76"/>
        <v>Y</v>
      </c>
      <c r="X211" s="192" t="e">
        <f t="shared" si="70"/>
        <v>#VALUE!</v>
      </c>
      <c r="Y211" s="192">
        <f t="shared" si="77"/>
        <v>5.8623000000000003</v>
      </c>
      <c r="Z211" s="192">
        <f t="shared" si="78"/>
        <v>2.1456</v>
      </c>
      <c r="AA211" s="192">
        <f t="shared" si="79"/>
        <v>3.7167000000000003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0"/>
        <v>50-21</v>
      </c>
      <c r="AE211" s="80" t="str">
        <f t="shared" si="81"/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AF211" s="77" t="str">
        <f t="shared" si="82"/>
        <v>"C:\Program Files (x86)\AstroGrep\AstroGrep.exe" /e /r /s /spath="%USERPROFILE%\AppData\Local\Temp\OnboardLogs" /stypes="app*4055*20170522*" /stext=" 00:.+((SYSTEM_STATE.+slice.+state.+changed )|(ment ac)|(multiple cpu faults)|(system.+state.+changed )|(\[timeout)|(PRM\|1\|D)|(kpr)|(kdp)|(train st.+moving)|(\|lc)|(penalty))"</v>
      </c>
      <c r="AG211" s="1" t="str">
        <f t="shared" si="83"/>
        <v>Other</v>
      </c>
      <c r="AH211" s="81" t="str">
        <f t="shared" si="84"/>
        <v>"%USERPROFILE%\Documents\GitHub\eaglep3\Utilities\RefineRTDCRunTimes.py" --tripid 50-21 --locoid 4055 --swversion DE.1.0.9.0 --startMP 300:58623 --initTime 2017-05-21T18:30:57 --startdatetime 2017-05-21T18:52:29 --delay 1 --endMP 300:21456 --enddatetime 2017-05-21T18:58:19 --enforcementcount 0 &gt;&gt;C:\Users\stu\Documents\GitHub\eaglep3-reporting\EC\2017-05-21-refined-times.txt</v>
      </c>
      <c r="AI211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{"issue":{"subject":"","project_id":79,"tracker_id":40,"status_id":1,"priority_id":2,"assigned_to_id":23,"start_date":"2017-05-21","description":"","custom_fields":[{"id":1,"name":"Subdivision","value":"Other"},{"id":4,"name":"Milepost","value":"2.1456"},{"id":17,"name":"Train ID","value":"50-21"},{"id":16,"name":"Locomotive ID","value":"4055"},{"id":130,"name":"Impact","value":""},{"id":150,"name":"Time of Event (Mountain Time)","value":"18:58:19"},{"id":151,"name":"Denver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86"/>
        <v>start /low /b %USERPROFILE%\Documents\GitHub\eaglep3\Utilities\DownloadLogsFromS3.py --loco 4055 --day 2017-05-21</v>
      </c>
      <c r="AN211" s="154" t="str">
        <f t="shared" si="87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00:58:19"},{"id":29,"name":"Sharepoint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607</v>
      </c>
      <c r="B212" s="7">
        <v>4056</v>
      </c>
      <c r="C212" s="21" t="s">
        <v>206</v>
      </c>
      <c r="D212" s="21" t="s">
        <v>973</v>
      </c>
      <c r="E212" s="13">
        <v>42876.753761574073</v>
      </c>
      <c r="F212" s="13">
        <v>42876.786446759259</v>
      </c>
      <c r="G212" s="7">
        <v>1</v>
      </c>
      <c r="H212" s="21" t="s">
        <v>476</v>
      </c>
      <c r="I212" s="13">
        <v>42876.790497685186</v>
      </c>
      <c r="J212" s="7">
        <v>0</v>
      </c>
      <c r="K212" s="92" t="str">
        <f t="shared" si="71"/>
        <v>4055/4056</v>
      </c>
      <c r="L212" s="21" t="str">
        <f>VLOOKUP(A212,'Trips&amp;Operators'!$C$1:$G$99999,5,FALSE)</f>
        <v>LOPES KIMBERLY</v>
      </c>
      <c r="M212" s="6">
        <f t="shared" si="72"/>
        <v>4.0509259270038456E-3</v>
      </c>
      <c r="N212" s="7">
        <f t="shared" si="69"/>
        <v>5.8333333348855376</v>
      </c>
      <c r="O212" s="7"/>
      <c r="P212" s="7"/>
      <c r="Q212" s="22"/>
      <c r="R212" s="190"/>
      <c r="S212" s="196">
        <f t="shared" si="73"/>
        <v>0</v>
      </c>
      <c r="T212" s="190" t="e">
        <f t="shared" si="74"/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75"/>
        <v>https://d0f6bd738d7f1b3e5a7ca70fe4ff75f0.us-east-1.aws.found.io/app/kibana#/discover/Steve-Slow-Train-Analysis-(2080s-and-2083s)?_g=(refreshInterval:(display:Off,pause:!f,section:0,value:0),time:(from:'2017-05-21T17:05:25-0600',mode:absolute,to:'2017-05-21T19:58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2" s="192" t="str">
        <f t="shared" si="76"/>
        <v>N</v>
      </c>
      <c r="X212" s="192" t="e">
        <f t="shared" si="70"/>
        <v>#VALUE!</v>
      </c>
      <c r="Y212" s="192">
        <f t="shared" si="77"/>
        <v>0.1173</v>
      </c>
      <c r="Z212" s="192">
        <f t="shared" si="78"/>
        <v>5.8943000000000003</v>
      </c>
      <c r="AA212" s="192">
        <f t="shared" si="79"/>
        <v>5.7770000000000001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0"/>
        <v>50-21</v>
      </c>
      <c r="AE212" s="80" t="str">
        <f t="shared" si="81"/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AF212" s="77" t="str">
        <f t="shared" si="82"/>
        <v>"C:\Program Files (x86)\AstroGrep\AstroGrep.exe" /e /r /s /spath="%USERPROFILE%\AppData\Local\Temp\OnboardLogs" /stypes="app*4056*20170522*" /stext=" 00:.+((SYSTEM_STATE.+slice.+state.+changed )|(ment ac)|(multiple cpu faults)|(system.+state.+changed )|(\[timeout)|(PRM\|1\|D)|(kpr)|(kdp)|(train st.+moving)|(\|lc)|(penalty))"</v>
      </c>
      <c r="AG212" s="1" t="str">
        <f t="shared" si="83"/>
        <v>Other</v>
      </c>
      <c r="AH212" s="81" t="str">
        <f t="shared" si="84"/>
        <v>"%USERPROFILE%\Documents\GitHub\eaglep3\Utilities\RefineRTDCRunTimes.py" --tripid 50-21 --locoid 4056 --swversion DE.1.0.9.0 --startMP 204:1173 --initTime 2017-05-21T18:05:25 --startdatetime 2017-05-21T18:52:29 --delay 1 --endMP 300:58943 --enddatetime 2017-05-21T18:58:19 --enforcementcount 0 &gt;&gt;C:\Users\stu\Documents\GitHub\eaglep3-reporting\EC\2017-05-21-refined-times.txt</v>
      </c>
      <c r="AI212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{"issue":{"subject":"","project_id":79,"tracker_id":40,"status_id":1,"priority_id":2,"assigned_to_id":23,"start_date":"2017-05-21","description":"","custom_fields":[{"id":1,"name":"Subdivision","value":"Other"},{"id":4,"name":"Milepost","value":"5.8943"},{"id":17,"name":"Train ID","value":"50-21"},{"id":16,"name":"Locomotive ID","value":"4056"},{"id":130,"name":"Impact","value":""},{"id":150,"name":"Time of Event (Mountain Time)","value":"18:58:19"},{"id":151,"name":"Denver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86"/>
        <v>start /low /b %USERPROFILE%\Documents\GitHub\eaglep3\Utilities\DownloadLogsFromS3.py --loco 4056 --day 2017-05-21</v>
      </c>
      <c r="AN212" s="154" t="str">
        <f t="shared" si="87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00:58:19"},{"id":29,"name":"Sharepoint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607</v>
      </c>
      <c r="B213" s="7">
        <v>4056</v>
      </c>
      <c r="C213" s="21" t="s">
        <v>206</v>
      </c>
      <c r="D213" s="21" t="s">
        <v>974</v>
      </c>
      <c r="E213" s="13">
        <v>42876.785034722219</v>
      </c>
      <c r="F213" s="13">
        <v>42876.786446759259</v>
      </c>
      <c r="G213" s="7">
        <v>0</v>
      </c>
      <c r="H213" s="21" t="s">
        <v>975</v>
      </c>
      <c r="I213" s="13">
        <v>42876.790497685186</v>
      </c>
      <c r="J213" s="7">
        <v>0</v>
      </c>
      <c r="K213" s="92" t="str">
        <f t="shared" si="71"/>
        <v>4055/4056</v>
      </c>
      <c r="L213" s="21" t="str">
        <f>VLOOKUP(A213,'Trips&amp;Operators'!$C$1:$G$99999,5,FALSE)</f>
        <v>LOPES KIMBERLY</v>
      </c>
      <c r="M213" s="6">
        <f t="shared" si="72"/>
        <v>4.0509259270038456E-3</v>
      </c>
      <c r="N213" s="7">
        <f t="shared" si="69"/>
        <v>5.8333333348855376</v>
      </c>
      <c r="O213" s="7"/>
      <c r="P213" s="7"/>
      <c r="Q213" s="22"/>
      <c r="R213" s="190"/>
      <c r="S213" s="196">
        <f t="shared" si="73"/>
        <v>0</v>
      </c>
      <c r="T213" s="190" t="e">
        <f t="shared" si="74"/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75"/>
        <v>https://d0f6bd738d7f1b3e5a7ca70fe4ff75f0.us-east-1.aws.found.io/app/kibana#/discover/Steve-Slow-Train-Analysis-(2080s-and-2083s)?_g=(refreshInterval:(display:Off,pause:!f,section:0,value:0),time:(from:'2017-05-21T17:50:27-0600',mode:absolute,to:'2017-05-21T19:58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3" s="192" t="str">
        <f t="shared" si="76"/>
        <v>Y</v>
      </c>
      <c r="X213" s="192" t="e">
        <f t="shared" si="70"/>
        <v>#VALUE!</v>
      </c>
      <c r="Y213" s="192">
        <f t="shared" si="77"/>
        <v>2.1779999999999999</v>
      </c>
      <c r="Z213" s="192">
        <f t="shared" si="78"/>
        <v>2.3311999999999999</v>
      </c>
      <c r="AA213" s="192">
        <f t="shared" si="79"/>
        <v>0.1532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0"/>
        <v>50-21</v>
      </c>
      <c r="AE213" s="80" t="str">
        <f t="shared" si="81"/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AF213" s="77" t="str">
        <f t="shared" si="82"/>
        <v>"C:\Program Files (x86)\AstroGrep\AstroGrep.exe" /e /r /s /spath="%USERPROFILE%\AppData\Local\Temp\OnboardLogs" /stypes="app*4056*20170522*" /stext=" 00:.+((SYSTEM_STATE.+slice.+state.+changed )|(ment ac)|(multiple cpu faults)|(system.+state.+changed )|(\[timeout)|(PRM\|1\|D)|(kpr)|(kdp)|(train st.+moving)|(\|lc)|(penalty))"</v>
      </c>
      <c r="AG213" s="1" t="str">
        <f t="shared" si="83"/>
        <v>Other</v>
      </c>
      <c r="AH213" s="81" t="str">
        <f t="shared" si="84"/>
        <v>"%USERPROFILE%\Documents\GitHub\eaglep3\Utilities\RefineRTDCRunTimes.py" --tripid 50-21 --locoid 4056 --swversion DE.1.0.9.0 --startMP 300:21780 --initTime 2017-05-21T18:50:27 --startdatetime 2017-05-21T18:52:29 --delay 0 --endMP 300:23312 --enddatetime 2017-05-21T18:58:19 --enforcementcount 0 &gt;&gt;C:\Users\stu\Documents\GitHub\eaglep3-reporting\EC\2017-05-21-refined-times.txt</v>
      </c>
      <c r="AI213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{"issue":{"subject":"","project_id":79,"tracker_id":40,"status_id":1,"priority_id":2,"assigned_to_id":23,"start_date":"2017-05-21","description":"","custom_fields":[{"id":1,"name":"Subdivision","value":"Other"},{"id":4,"name":"Milepost","value":"2.3312"},{"id":17,"name":"Train ID","value":"50-21"},{"id":16,"name":"Locomotive ID","value":"4056"},{"id":130,"name":"Impact","value":""},{"id":150,"name":"Time of Event (Mountain Time)","value":"18:58:19"},{"id":151,"name":"Denver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86"/>
        <v>start /low /b %USERPROFILE%\Documents\GitHub\eaglep3\Utilities\DownloadLogsFromS3.py --loco 4056 --day 2017-05-21</v>
      </c>
      <c r="AN213" s="154" t="str">
        <f t="shared" si="87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00:58:19"},{"id":29,"name":"Sharepoint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s="20" customFormat="1" x14ac:dyDescent="0.25">
      <c r="A214" s="32" t="s">
        <v>634</v>
      </c>
      <c r="B214" s="7">
        <v>4030</v>
      </c>
      <c r="C214" s="21" t="s">
        <v>206</v>
      </c>
      <c r="D214" s="21" t="s">
        <v>347</v>
      </c>
      <c r="E214" s="13">
        <v>42876.131157407406</v>
      </c>
      <c r="F214" s="13">
        <v>42876.138159722221</v>
      </c>
      <c r="G214" s="7">
        <v>3</v>
      </c>
      <c r="H214" s="21" t="s">
        <v>976</v>
      </c>
      <c r="I214" s="13">
        <v>42876.139293981483</v>
      </c>
      <c r="J214" s="7">
        <v>0</v>
      </c>
      <c r="K214" s="92" t="str">
        <f t="shared" si="71"/>
        <v>4029/4030</v>
      </c>
      <c r="L214" s="21" t="str">
        <f>VLOOKUP(A214,'Trips&amp;Operators'!$C$1:$G$99999,5,FALSE)</f>
        <v>DE LA ROSA ALEX</v>
      </c>
      <c r="M214" s="6">
        <f t="shared" si="72"/>
        <v>1.1342592624714598E-3</v>
      </c>
      <c r="N214" s="7">
        <f t="shared" si="69"/>
        <v>1.6333333379589021</v>
      </c>
      <c r="O214" s="7"/>
      <c r="P214" s="7"/>
      <c r="Q214" s="22"/>
      <c r="R214" s="190"/>
      <c r="S214" s="196">
        <f t="shared" si="73"/>
        <v>0</v>
      </c>
      <c r="T214" s="190" t="e">
        <f t="shared" si="74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75"/>
        <v>https://d0f6bd738d7f1b3e5a7ca70fe4ff75f0.us-east-1.aws.found.io/app/kibana#/discover/Steve-Slow-Train-Analysis-(2080s-and-2083s)?_g=(refreshInterval:(display:Off,pause:!f,section:0,value:0),time:(from:'2017-05-21T02:08:52-0600',mode:absolute,to:'2017-05-21T04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192" t="str">
        <f t="shared" si="76"/>
        <v>Y</v>
      </c>
      <c r="X214" s="192" t="e">
        <f t="shared" si="70"/>
        <v>#VALUE!</v>
      </c>
      <c r="Y214" s="192">
        <f t="shared" si="77"/>
        <v>4.4900000000000002E-2</v>
      </c>
      <c r="Z214" s="192">
        <f t="shared" si="78"/>
        <v>0.35560000000000003</v>
      </c>
      <c r="AA214" s="192">
        <f t="shared" si="79"/>
        <v>0.31070000000000003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0"/>
        <v>51-21</v>
      </c>
      <c r="AE214" s="80" t="str">
        <f t="shared" si="81"/>
        <v>aws s3 cp s3://rtdc.mdm.uploadarchive.raw/RTDC4030/ "%USERPROFILE%\AppData\Local\Temp\OnboardLogs"\RTDC4030\2017-05-21 --exclude "*" --recursive --include "*20170521*" &amp; "%USERPROFILE%\Documents\GitHub\mrs-test-scripts\Headless Mode &amp; Sideloading\WalkAndUnGZ.bat" "%USERPROFILE%\AppData\Local\Temp\OnboardLogs"\RTDC4030\2017-05-21 &amp; 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</v>
      </c>
      <c r="AF214" s="77" t="str">
        <f t="shared" si="82"/>
        <v>"C:\Program Files (x86)\AstroGrep\AstroGrep.exe" /e /r /s /spath="%USERPROFILE%\AppData\Local\Temp\OnboardLogs" /stypes="app*4030*20170521*" /stext=" 09:.+((SYSTEM_STATE.+slice.+state.+changed )|(ment ac)|(multiple cpu faults)|(system.+state.+changed )|(\[timeout)|(PRM\|1\|D)|(kpr)|(kdp)|(train st.+moving)|(\|lc)|(penalty))"</v>
      </c>
      <c r="AG214" s="1" t="str">
        <f t="shared" si="83"/>
        <v>Other</v>
      </c>
      <c r="AH214" s="81" t="str">
        <f t="shared" si="84"/>
        <v>"%USERPROFILE%\Documents\GitHub\eaglep3\Utilities\RefineRTDCRunTimes.py" --tripid 51-21 --locoid 4030 --swversion DE.1.0.9.0 --startMP 204:449 --initTime 2017-05-21T03:08:52 --startdatetime 2017-05-21T03:18:57 --delay 3 --endMP 204:3556 --enddatetime 2017-05-21T03:20:35 --enforcementcount 0 &gt;&gt;C:\Users\stu\Documents\GitHub\eaglep3-reporting\EC\2017-05-21-refined-times.txt</v>
      </c>
      <c r="AI214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{"issue":{"subject":"","project_id":79,"tracker_id":40,"status_id":1,"priority_id":2,"assigned_to_id":23,"start_date":"2017-05-21","description":"","custom_fields":[{"id":1,"name":"Subdivision","value":"Other"},{"id":4,"name":"Milepost","value":"0.3556"},{"id":17,"name":"Train ID","value":"51-21"},{"id":16,"name":"Locomotive ID","value":"4030"},{"id":130,"name":"Impact","value":""},{"id":150,"name":"Time of Event (Mountain Time)","value":"03:20:35"},{"id":151,"name":"Denver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5" t="str">
        <f t="shared" si="86"/>
        <v>start /low /b %USERPROFILE%\Documents\GitHub\eaglep3\Utilities\DownloadLogsFromS3.py --loco 4030 --day 2017-05-21</v>
      </c>
      <c r="AN214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09:20:35"},{"id":29,"name":"Sharepoint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637</v>
      </c>
      <c r="B215" s="7">
        <v>4029</v>
      </c>
      <c r="C215" s="21" t="s">
        <v>206</v>
      </c>
      <c r="D215" s="21" t="s">
        <v>977</v>
      </c>
      <c r="E215" s="13">
        <v>42876.14</v>
      </c>
      <c r="F215" s="13">
        <v>42876.141435185185</v>
      </c>
      <c r="G215" s="7">
        <v>1</v>
      </c>
      <c r="H215" s="21" t="s">
        <v>978</v>
      </c>
      <c r="I215" s="13">
        <v>42876.142685185187</v>
      </c>
      <c r="J215" s="7">
        <v>0</v>
      </c>
      <c r="K215" s="92" t="str">
        <f t="shared" si="71"/>
        <v>4029/4030</v>
      </c>
      <c r="L215" s="21" t="str">
        <f>VLOOKUP(A215,'Trips&amp;Operators'!$C$1:$G$99999,5,FALSE)</f>
        <v>DE LA ROSA ALEX</v>
      </c>
      <c r="M215" s="6">
        <f t="shared" si="72"/>
        <v>1.2500000011641532E-3</v>
      </c>
      <c r="N215" s="7">
        <f t="shared" si="69"/>
        <v>1.8000000016763806</v>
      </c>
      <c r="O215" s="7"/>
      <c r="P215" s="7"/>
      <c r="Q215" s="22"/>
      <c r="R215" s="190"/>
      <c r="S215" s="196">
        <f t="shared" si="73"/>
        <v>0</v>
      </c>
      <c r="T215" s="190" t="e">
        <f t="shared" si="74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75"/>
        <v>https://d0f6bd738d7f1b3e5a7ca70fe4ff75f0.us-east-1.aws.found.io/app/kibana#/discover/Steve-Slow-Train-Analysis-(2080s-and-2083s)?_g=(refreshInterval:(display:Off,pause:!f,section:0,value:0),time:(from:'2017-05-21T02:21:36-0600',mode:absolute,to:'2017-05-21T04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5" s="192" t="str">
        <f t="shared" si="76"/>
        <v>Y</v>
      </c>
      <c r="X215" s="192" t="e">
        <f t="shared" si="70"/>
        <v>#VALUE!</v>
      </c>
      <c r="Y215" s="192">
        <f t="shared" si="77"/>
        <v>0.32329999999999998</v>
      </c>
      <c r="Z215" s="192">
        <f t="shared" si="78"/>
        <v>0.1198</v>
      </c>
      <c r="AA215" s="192">
        <f t="shared" si="79"/>
        <v>0.20349999999999996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0"/>
        <v>52-21</v>
      </c>
      <c r="AE215" s="80" t="str">
        <f t="shared" si="81"/>
        <v>aws s3 cp s3://rtdc.mdm.uploadarchive.raw/RTDC4029/ "%USERPROFILE%\AppData\Local\Temp\OnboardLogs"\RTDC4029\2017-05-21 --exclude "*" --recursive --include "*20170521*" &amp; "%USERPROFILE%\Documents\GitHub\mrs-test-scripts\Headless Mode &amp; Sideloading\WalkAndUnGZ.bat" "%USERPROFILE%\AppData\Local\Temp\OnboardLogs"\RTDC4029\2017-05-21 &amp; 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</v>
      </c>
      <c r="AF215" s="77" t="str">
        <f t="shared" si="82"/>
        <v>"C:\Program Files (x86)\AstroGrep\AstroGrep.exe" /e /r /s /spath="%USERPROFILE%\AppData\Local\Temp\OnboardLogs" /stypes="app*4029*20170521*" /stext=" 09:.+((SYSTEM_STATE.+slice.+state.+changed )|(ment ac)|(multiple cpu faults)|(system.+state.+changed )|(\[timeout)|(PRM\|1\|D)|(kpr)|(kdp)|(train st.+moving)|(\|lc)|(penalty))"</v>
      </c>
      <c r="AG215" s="1" t="str">
        <f t="shared" si="83"/>
        <v>Other</v>
      </c>
      <c r="AH215" s="81" t="str">
        <f t="shared" si="84"/>
        <v>"%USERPROFILE%\Documents\GitHub\eaglep3\Utilities\RefineRTDCRunTimes.py" --tripid 52-21 --locoid 4029 --swversion DE.1.0.9.0 --startMP 204:3233 --initTime 2017-05-21T03:21:36 --startdatetime 2017-05-21T03:23:40 --delay 1 --endMP 204:1198 --enddatetime 2017-05-21T03:25:28 --enforcementcount 0 &gt;&gt;C:\Users\stu\Documents\GitHub\eaglep3-reporting\EC\2017-05-21-refined-times.txt</v>
      </c>
      <c r="AI215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{"issue":{"subject":"","project_id":79,"tracker_id":40,"status_id":1,"priority_id":2,"assigned_to_id":23,"start_date":"2017-05-21","description":"","custom_fields":[{"id":1,"name":"Subdivision","value":"Other"},{"id":4,"name":"Milepost","value":"0.1198"},{"id":17,"name":"Train ID","value":"52-21"},{"id":16,"name":"Locomotive ID","value":"4029"},{"id":130,"name":"Impact","value":""},{"id":150,"name":"Time of Event (Mountain Time)","value":"03:25:28"},{"id":151,"name":"Denver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86"/>
        <v>start /low /b %USERPROFILE%\Documents\GitHub\eaglep3\Utilities\DownloadLogsFromS3.py --loco 4029 --day 2017-05-21</v>
      </c>
      <c r="AN215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09:25:28"},{"id":29,"name":"Sharepoint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595</v>
      </c>
      <c r="B216" s="7">
        <v>4030</v>
      </c>
      <c r="C216" s="21" t="s">
        <v>206</v>
      </c>
      <c r="D216" s="21" t="s">
        <v>979</v>
      </c>
      <c r="E216" s="13">
        <v>42876.467731481483</v>
      </c>
      <c r="F216" s="13">
        <v>42876.529340277775</v>
      </c>
      <c r="G216" s="7">
        <v>2</v>
      </c>
      <c r="H216" s="21" t="s">
        <v>980</v>
      </c>
      <c r="I216" s="13">
        <v>42876.55541666667</v>
      </c>
      <c r="J216" s="7">
        <v>0</v>
      </c>
      <c r="K216" s="92" t="str">
        <f t="shared" si="71"/>
        <v>4029/4030</v>
      </c>
      <c r="L216" s="21" t="str">
        <f>VLOOKUP(A216,'Trips&amp;Operators'!$C$1:$G$99999,5,FALSE)</f>
        <v>DE LA ROSA ALEX</v>
      </c>
      <c r="M216" s="6">
        <f t="shared" si="72"/>
        <v>2.6076388894580305E-2</v>
      </c>
      <c r="N216" s="7">
        <f t="shared" si="69"/>
        <v>37.550000008195639</v>
      </c>
      <c r="O216" s="7"/>
      <c r="P216" s="7"/>
      <c r="Q216" s="22"/>
      <c r="R216" s="190"/>
      <c r="S216" s="196">
        <f t="shared" si="73"/>
        <v>0</v>
      </c>
      <c r="T216" s="190" t="e">
        <f t="shared" si="74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75"/>
        <v>https://d0f6bd738d7f1b3e5a7ca70fe4ff75f0.us-east-1.aws.found.io/app/kibana#/discover/Steve-Slow-Train-Analysis-(2080s-and-2083s)?_g=(refreshInterval:(display:Off,pause:!f,section:0,value:0),time:(from:'2017-05-21T10:13:32-0600',mode:absolute,to:'2017-05-21T14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6" s="192" t="str">
        <f t="shared" si="76"/>
        <v>Y</v>
      </c>
      <c r="X216" s="192" t="e">
        <f t="shared" si="70"/>
        <v>#VALUE!</v>
      </c>
      <c r="Y216" s="192">
        <f t="shared" si="77"/>
        <v>0.15129999999999999</v>
      </c>
      <c r="Z216" s="192">
        <f t="shared" si="78"/>
        <v>0.19520000000000001</v>
      </c>
      <c r="AA216" s="192">
        <f t="shared" si="79"/>
        <v>4.3900000000000022E-2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0"/>
        <v>53-21</v>
      </c>
      <c r="AE216" s="80" t="str">
        <f t="shared" si="81"/>
        <v>aws s3 cp s3://rtdc.mdm.uploadarchive.raw/RTDC4030/ "%USERPROFILE%\AppData\Local\Temp\OnboardLogs"\RTDC4030\2017-05-21 --exclude "*" --recursive --include "*20170521*" &amp; "%USERPROFILE%\Documents\GitHub\mrs-test-scripts\Headless Mode &amp; Sideloading\WalkAndUnGZ.bat" "%USERPROFILE%\AppData\Local\Temp\OnboardLogs"\RTDC4030\2017-05-21 &amp; 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</v>
      </c>
      <c r="AF216" s="77" t="str">
        <f t="shared" si="82"/>
        <v>"C:\Program Files (x86)\AstroGrep\AstroGrep.exe" /e /r /s /spath="%USERPROFILE%\AppData\Local\Temp\OnboardLogs" /stypes="app*4030*20170521*" /stext=" 19:.+((SYSTEM_STATE.+slice.+state.+changed )|(ment ac)|(multiple cpu faults)|(system.+state.+changed )|(\[timeout)|(PRM\|1\|D)|(kpr)|(kdp)|(train st.+moving)|(\|lc)|(penalty))"</v>
      </c>
      <c r="AG216" s="1" t="str">
        <f t="shared" si="83"/>
        <v>Other</v>
      </c>
      <c r="AH216" s="81" t="str">
        <f t="shared" si="84"/>
        <v>"%USERPROFILE%\Documents\GitHub\eaglep3\Utilities\RefineRTDCRunTimes.py" --tripid 53-21 --locoid 4030 --swversion DE.1.0.9.0 --startMP 204:1513 --initTime 2017-05-21T11:13:32 --startdatetime 2017-05-21T12:42:15 --delay 2 --endMP 204:1952 --enddatetime 2017-05-21T13:19:48 --enforcementcount 0 &gt;&gt;C:\Users\stu\Documents\GitHub\eaglep3-reporting\EC\2017-05-21-refined-times.txt</v>
      </c>
      <c r="AI216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{"issue":{"subject":"","project_id":79,"tracker_id":40,"status_id":1,"priority_id":2,"assigned_to_id":23,"start_date":"2017-05-21","description":"","custom_fields":[{"id":1,"name":"Subdivision","value":"Other"},{"id":4,"name":"Milepost","value":"0.1952"},{"id":17,"name":"Train ID","value":"53-21"},{"id":16,"name":"Locomotive ID","value":"4030"},{"id":130,"name":"Impact","value":""},{"id":150,"name":"Time of Event (Mountain Time)","value":"13:19:48"},{"id":151,"name":"Denver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86"/>
        <v>start /low /b %USERPROFILE%\Documents\GitHub\eaglep3\Utilities\DownloadLogsFromS3.py --loco 4030 --day 2017-05-21</v>
      </c>
      <c r="AN216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608</v>
      </c>
      <c r="B217" s="7">
        <v>4011</v>
      </c>
      <c r="C217" s="21" t="s">
        <v>206</v>
      </c>
      <c r="D217" s="21" t="s">
        <v>981</v>
      </c>
      <c r="E217" s="13">
        <v>42876.746377314812</v>
      </c>
      <c r="F217" s="13">
        <v>42876.749016203707</v>
      </c>
      <c r="G217" s="7">
        <v>3</v>
      </c>
      <c r="H217" s="21" t="s">
        <v>982</v>
      </c>
      <c r="I217" s="13">
        <v>42876.7580787037</v>
      </c>
      <c r="J217" s="7">
        <v>0</v>
      </c>
      <c r="K217" s="92" t="str">
        <f t="shared" si="71"/>
        <v>4011/4012</v>
      </c>
      <c r="L217" s="21" t="str">
        <f>VLOOKUP(A217,'Trips&amp;Operators'!$C$1:$G$99999,5,FALSE)</f>
        <v>DUNCAN SHEILA</v>
      </c>
      <c r="M217" s="6">
        <f t="shared" si="72"/>
        <v>9.0624999938881956E-3</v>
      </c>
      <c r="N217" s="7">
        <f t="shared" si="69"/>
        <v>13.049999991199002</v>
      </c>
      <c r="O217" s="7"/>
      <c r="P217" s="7"/>
      <c r="Q217" s="22"/>
      <c r="R217" s="190"/>
      <c r="S217" s="196">
        <f t="shared" si="73"/>
        <v>0</v>
      </c>
      <c r="T217" s="190" t="e">
        <f t="shared" si="74"/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75"/>
        <v>https://d0f6bd738d7f1b3e5a7ca70fe4ff75f0.us-east-1.aws.found.io/app/kibana#/discover/Steve-Slow-Train-Analysis-(2080s-and-2083s)?_g=(refreshInterval:(display:Off,pause:!f,section:0,value:0),time:(from:'2017-05-21T16:54:47-0600',mode:absolute,to:'2017-05-21T19:11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192" t="str">
        <f t="shared" si="76"/>
        <v>Y</v>
      </c>
      <c r="X217" s="192" t="e">
        <f t="shared" si="70"/>
        <v>#VALUE!</v>
      </c>
      <c r="Y217" s="192">
        <f t="shared" si="77"/>
        <v>2.3502000000000001</v>
      </c>
      <c r="Z217" s="192">
        <f t="shared" si="78"/>
        <v>0.10299999999999999</v>
      </c>
      <c r="AA217" s="192">
        <f t="shared" si="79"/>
        <v>2.2471999999999999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0"/>
        <v>54-21</v>
      </c>
      <c r="AE217" s="80" t="str">
        <f t="shared" si="81"/>
        <v>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 &amp; aws s3 cp s3://rtdc.mdm.uploadarchive.raw/RTDC4011/ "%USERPROFILE%\AppData\Local\Temp\OnboardLogs"\RTDC4011\2017-05-22 --exclude "*" --recursive --include "*20170522*" &amp; "%USERPROFILE%\Documents\GitHub\mrs-test-scripts\Headless Mode &amp; Sideloading\WalkAndUnGZ.bat" "%USERPROFILE%\AppData\Local\Temp\OnboardLogs"\RTDC4011\2017-05-22</v>
      </c>
      <c r="AF217" s="77" t="str">
        <f t="shared" si="82"/>
        <v>"C:\Program Files (x86)\AstroGrep\AstroGrep.exe" /e /r /s /spath="%USERPROFILE%\AppData\Local\Temp\OnboardLogs" /stypes="app*4011*20170522*" /stext=" 00:.+((SYSTEM_STATE.+slice.+state.+changed )|(ment ac)|(multiple cpu faults)|(system.+state.+changed )|(\[timeout)|(PRM\|1\|D)|(kpr)|(kdp)|(train st.+moving)|(\|lc)|(penalty))"</v>
      </c>
      <c r="AG217" s="1" t="str">
        <f t="shared" si="83"/>
        <v>Other</v>
      </c>
      <c r="AH217" s="81" t="str">
        <f t="shared" si="84"/>
        <v>"%USERPROFILE%\Documents\GitHub\eaglep3\Utilities\RefineRTDCRunTimes.py" --tripid 54-21 --locoid 4011 --swversion DE.1.0.9.0 --startMP 300:23502 --initTime 2017-05-21T17:54:47 --startdatetime 2017-05-21T17:58:35 --delay 3 --endMP 204:1030 --enddatetime 2017-05-21T18:11:38 --enforcementcount 0 &gt;&gt;C:\Users\stu\Documents\GitHub\eaglep3-reporting\EC\2017-05-21-refined-times.txt</v>
      </c>
      <c r="AI217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{"issue":{"subject":"","project_id":79,"tracker_id":40,"status_id":1,"priority_id":2,"assigned_to_id":23,"start_date":"2017-05-21","description":"","custom_fields":[{"id":1,"name":"Subdivision","value":"Other"},{"id":4,"name":"Milepost","value":"0.103"},{"id":17,"name":"Train ID","value":"54-21"},{"id":16,"name":"Locomotive ID","value":"4011"},{"id":130,"name":"Impact","value":""},{"id":150,"name":"Time of Event (Mountain Time)","value":"18:11:38"},{"id":151,"name":"Denver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86"/>
        <v>start /low /b %USERPROFILE%\Documents\GitHub\eaglep3\Utilities\DownloadLogsFromS3.py --loco 4011 --day 2017-05-21</v>
      </c>
      <c r="AN217" s="154" t="str">
        <f t="shared" si="87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00:11:38"},{"id":29,"name":"Sharepoint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711</v>
      </c>
      <c r="B218" s="7">
        <v>4015</v>
      </c>
      <c r="C218" s="21" t="s">
        <v>206</v>
      </c>
      <c r="D218" s="21" t="s">
        <v>983</v>
      </c>
      <c r="E218" s="13">
        <v>42876.540972222225</v>
      </c>
      <c r="F218" s="13">
        <v>42876.542928240742</v>
      </c>
      <c r="G218" s="7">
        <v>1</v>
      </c>
      <c r="H218" s="21" t="s">
        <v>984</v>
      </c>
      <c r="I218" s="13">
        <v>42876.550428240742</v>
      </c>
      <c r="J218" s="7">
        <v>0</v>
      </c>
      <c r="K218" s="92" t="str">
        <f t="shared" si="71"/>
        <v>4015/4016</v>
      </c>
      <c r="L218" s="21" t="str">
        <f>VLOOKUP(A218,'Trips&amp;Operators'!$C$1:$G$99999,5,FALSE)</f>
        <v>BADERTSCHER DIANE</v>
      </c>
      <c r="M218" s="6">
        <f t="shared" si="72"/>
        <v>7.4999999997089617E-3</v>
      </c>
      <c r="N218" s="7">
        <f t="shared" si="69"/>
        <v>10.799999999580905</v>
      </c>
      <c r="O218" s="7"/>
      <c r="P218" s="7"/>
      <c r="Q218" s="22"/>
      <c r="R218" s="190"/>
      <c r="S218" s="196">
        <f t="shared" si="73"/>
        <v>0</v>
      </c>
      <c r="T218" s="190" t="e">
        <f t="shared" si="74"/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75"/>
        <v>https://d0f6bd738d7f1b3e5a7ca70fe4ff75f0.us-east-1.aws.found.io/app/kibana#/discover/Steve-Slow-Train-Analysis-(2080s-and-2083s)?_g=(refreshInterval:(display:Off,pause:!f,section:0,value:0),time:(from:'2017-05-21T11:59:00-0600',mode:absolute,to:'2017-05-21T14:12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8" s="192" t="str">
        <f t="shared" si="76"/>
        <v>Y</v>
      </c>
      <c r="X218" s="192" t="e">
        <f t="shared" si="70"/>
        <v>#VALUE!</v>
      </c>
      <c r="Y218" s="192">
        <f t="shared" si="77"/>
        <v>3.0636999999999999</v>
      </c>
      <c r="Z218" s="192">
        <f t="shared" si="78"/>
        <v>0.1196</v>
      </c>
      <c r="AA218" s="192">
        <f t="shared" si="79"/>
        <v>2.9440999999999997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0"/>
        <v>55-21</v>
      </c>
      <c r="AE218" s="80" t="str">
        <f t="shared" si="81"/>
        <v>aws s3 cp s3://rtdc.mdm.uploadarchive.raw/RTDC4015/ "%USERPROFILE%\AppData\Local\Temp\OnboardLogs"\RTDC4015\2017-05-21 --exclude "*" --recursive --include "*20170521*" &amp; "%USERPROFILE%\Documents\GitHub\mrs-test-scripts\Headless Mode &amp; Sideloading\WalkAndUnGZ.bat" "%USERPROFILE%\AppData\Local\Temp\OnboardLogs"\RTDC4015\2017-05-21 &amp; 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</v>
      </c>
      <c r="AF218" s="77" t="str">
        <f t="shared" si="82"/>
        <v>"C:\Program Files (x86)\AstroGrep\AstroGrep.exe" /e /r /s /spath="%USERPROFILE%\AppData\Local\Temp\OnboardLogs" /stypes="app*4015*20170521*" /stext=" 19:.+((SYSTEM_STATE.+slice.+state.+changed )|(ment ac)|(multiple cpu faults)|(system.+state.+changed )|(\[timeout)|(PRM\|1\|D)|(kpr)|(kdp)|(train st.+moving)|(\|lc)|(penalty))"</v>
      </c>
      <c r="AG218" s="1" t="str">
        <f t="shared" si="83"/>
        <v>Other</v>
      </c>
      <c r="AH218" s="81" t="str">
        <f t="shared" si="84"/>
        <v>"%USERPROFILE%\Documents\GitHub\eaglep3\Utilities\RefineRTDCRunTimes.py" --tripid 55-21 --locoid 4015 --swversion DE.1.0.9.0 --startMP 300:30637 --initTime 2017-05-21T12:59:00 --startdatetime 2017-05-21T13:01:49 --delay 1 --endMP 204:1196 --enddatetime 2017-05-21T13:12:37 --enforcementcount 0 &gt;&gt;C:\Users\stu\Documents\GitHub\eaglep3-reporting\EC\2017-05-21-refined-times.txt</v>
      </c>
      <c r="AI218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{"issue":{"subject":"","project_id":79,"tracker_id":40,"status_id":1,"priority_id":2,"assigned_to_id":23,"start_date":"2017-05-21","description":"","custom_fields":[{"id":1,"name":"Subdivision","value":"Other"},{"id":4,"name":"Milepost","value":"0.1196"},{"id":17,"name":"Train ID","value":"55-21"},{"id":16,"name":"Locomotive ID","value":"4015"},{"id":130,"name":"Impact","value":""},{"id":150,"name":"Time of Event (Mountain Time)","value":"13:12:37"},{"id":151,"name":"Denver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86"/>
        <v>start /low /b %USERPROFILE%\Documents\GitHub\eaglep3\Utilities\DownloadLogsFromS3.py --loco 4015 --day 2017-05-21</v>
      </c>
      <c r="AN218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19:12:37"},{"id":29,"name":"Sharepoint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711</v>
      </c>
      <c r="B219" s="7">
        <v>4056</v>
      </c>
      <c r="C219" s="21" t="s">
        <v>206</v>
      </c>
      <c r="D219" s="21" t="s">
        <v>985</v>
      </c>
      <c r="E219" s="13">
        <v>42876.504189814812</v>
      </c>
      <c r="F219" s="13">
        <v>25568.708333333332</v>
      </c>
      <c r="G219" s="7">
        <v>1</v>
      </c>
      <c r="H219" s="21" t="s">
        <v>360</v>
      </c>
      <c r="I219" s="13">
        <v>25568.708333333332</v>
      </c>
      <c r="J219" s="7">
        <v>0</v>
      </c>
      <c r="K219" s="92" t="str">
        <f t="shared" si="71"/>
        <v>4055/4056</v>
      </c>
      <c r="L219" s="21" t="str">
        <f>VLOOKUP(A219,'Trips&amp;Operators'!$C$1:$G$99999,5,FALSE)</f>
        <v>BADERTSCHER DIANE</v>
      </c>
      <c r="M219" s="6">
        <f t="shared" si="72"/>
        <v>0</v>
      </c>
      <c r="N219" s="7">
        <f t="shared" si="69"/>
        <v>0</v>
      </c>
      <c r="O219" s="7"/>
      <c r="P219" s="7"/>
      <c r="Q219" s="22"/>
      <c r="R219" s="190"/>
      <c r="S219" s="196">
        <f t="shared" si="73"/>
        <v>0</v>
      </c>
      <c r="T219" s="190" t="e">
        <f t="shared" si="74"/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75"/>
        <v>https://d0f6bd738d7f1b3e5a7ca70fe4ff75f0.us-east-1.aws.found.io/app/kibana#/discover/Steve-Slow-Train-Analysis-(2080s-and-2083s)?_g=(refreshInterval:(display:Off,pause:!f,section:0,value:0),time:(from:'2017-05-21T11:06:02-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9" s="192" t="str">
        <f t="shared" si="76"/>
        <v>Y</v>
      </c>
      <c r="X219" s="192" t="e">
        <f t="shared" si="70"/>
        <v>#VALUE!</v>
      </c>
      <c r="Y219" s="192">
        <f t="shared" si="77"/>
        <v>0.11940000000000001</v>
      </c>
      <c r="Z219" s="192">
        <f t="shared" si="78"/>
        <v>2.3346</v>
      </c>
      <c r="AA219" s="192">
        <f t="shared" si="79"/>
        <v>2.2151999999999998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0"/>
        <v>55-21</v>
      </c>
      <c r="AE219" s="80" t="str">
        <f t="shared" si="81"/>
        <v>aws s3 cp s3://rtdc.mdm.uploadarchive.raw/RTDC4056/ "%USERPROFILE%\AppData\Local\Temp\OnboardLogs"\RTDC4056\1969-12-31 --exclude "*" --recursive --include "*19691231*" &amp; "%USERPROFILE%\Documents\GitHub\mrs-test-scripts\Headless Mode &amp; Sideloading\WalkAndUnGZ.bat" "%USERPROFILE%\AppData\Local\Temp\OnboardLogs"\RTDC4056\1969-12-31 &amp; aws s3 cp s3://rtdc.mdm.uploadarchive.raw/RTDC4056/ "%USERPROFILE%\AppData\Local\Temp\OnboardLogs"\RTDC4056\1970-01-01 --exclude "*" --recursive --include "*19700101*" &amp; "%USERPROFILE%\Documents\GitHub\mrs-test-scripts\Headless Mode &amp; Sideloading\WalkAndUnGZ.bat" "%USERPROFILE%\AppData\Local\Temp\OnboardLogs"\RTDC4056\1970-01-01</v>
      </c>
      <c r="AF219" s="77" t="str">
        <f t="shared" si="82"/>
        <v>"C:\Program Files (x86)\AstroGrep\AstroGrep.exe" /e /r /s /spath="%USERPROFILE%\AppData\Local\Temp\OnboardLogs" /stypes="app*4056*19691231*" /stext=" 23:.+((SYSTEM_STATE.+slice.+state.+changed )|(ment ac)|(multiple cpu faults)|(system.+state.+changed )|(\[timeout)|(PRM\|1\|D)|(kpr)|(kdp)|(train st.+moving)|(\|lc)|(penalty))"</v>
      </c>
      <c r="AG219" s="1" t="str">
        <f t="shared" si="83"/>
        <v>Other</v>
      </c>
      <c r="AH219" s="81" t="str">
        <f t="shared" si="84"/>
        <v>"%USERPROFILE%\Documents\GitHub\eaglep3\Utilities\RefineRTDCRunTimes.py" --tripid 55-21 --locoid 4056 --swversion DE.1.0.9.0 --startMP 204:1194 --initTime 2017-05-21T12:06:02 --startdatetime 1969-12-31T17:00:00 --delay 1 --endMP 300:23346 --enddatetime 1969-12-31T17:00:00 --enforcementcount 0 &gt;&gt;C:\Users\stu\Documents\GitHub\eaglep3-reporting\EC\2017-05-21-refined-times.txt</v>
      </c>
      <c r="AI219" s="9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ID","value":"55-21"},{"id":16,"name":"Locomotive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86"/>
        <v>start /low /b %USERPROFILE%\Documents\GitHub\eaglep3\Utilities\DownloadLogsFromS3.py --loco 4056 --day 1969-12-31</v>
      </c>
      <c r="AN219" s="154" t="str">
        <f t="shared" si="8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765</v>
      </c>
      <c r="B220" s="7">
        <v>4018</v>
      </c>
      <c r="C220" s="21" t="s">
        <v>206</v>
      </c>
      <c r="D220" s="21" t="s">
        <v>576</v>
      </c>
      <c r="E220" s="13">
        <v>42876.720625000002</v>
      </c>
      <c r="F220" s="13">
        <v>42876.725127314814</v>
      </c>
      <c r="G220" s="7">
        <v>3</v>
      </c>
      <c r="H220" s="21" t="s">
        <v>416</v>
      </c>
      <c r="I220" s="13">
        <v>42876.734375</v>
      </c>
      <c r="J220" s="7">
        <v>0</v>
      </c>
      <c r="K220" s="92" t="str">
        <f t="shared" si="71"/>
        <v>4017/4018</v>
      </c>
      <c r="L220" s="21" t="str">
        <f>VLOOKUP(A220,'Trips&amp;Operators'!$C$1:$G$99999,5,FALSE)</f>
        <v>STORY SAMANTHA</v>
      </c>
      <c r="M220" s="6">
        <f t="shared" si="72"/>
        <v>9.2476851859828457E-3</v>
      </c>
      <c r="N220" s="7">
        <f t="shared" si="69"/>
        <v>13.316666667815298</v>
      </c>
      <c r="O220" s="7"/>
      <c r="P220" s="7"/>
      <c r="Q220" s="22"/>
      <c r="R220" s="190"/>
      <c r="S220" s="196">
        <f t="shared" si="73"/>
        <v>0</v>
      </c>
      <c r="T220" s="190" t="e">
        <f t="shared" si="74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75"/>
        <v>https://d0f6bd738d7f1b3e5a7ca70fe4ff75f0.us-east-1.aws.found.io/app/kibana#/discover/Steve-Slow-Train-Analysis-(2080s-and-2083s)?_g=(refreshInterval:(display:Off,pause:!f,section:0,value:0),time:(from:'2017-05-21T16:17:42-0600',mode:absolute,to:'2017-05-21T18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192" t="str">
        <f t="shared" si="76"/>
        <v>Y</v>
      </c>
      <c r="X220" s="192" t="e">
        <f t="shared" si="70"/>
        <v>#VALUE!</v>
      </c>
      <c r="Y220" s="192">
        <f t="shared" si="77"/>
        <v>0.11899999999999999</v>
      </c>
      <c r="Z220" s="192">
        <f t="shared" si="78"/>
        <v>2.3304</v>
      </c>
      <c r="AA220" s="192">
        <f t="shared" si="79"/>
        <v>2.2114000000000003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0"/>
        <v>67-21</v>
      </c>
      <c r="AE220" s="80" t="str">
        <f t="shared" si="81"/>
        <v>aws s3 cp s3://rtdc.mdm.uploadarchive.raw/RTDC4018/ "%USERPROFILE%\AppData\Local\Temp\OnboardLogs"\RTDC4018\2017-05-21 --exclude "*" --recursive --include "*20170521*" &amp; "%USERPROFILE%\Documents\GitHub\mrs-test-scripts\Headless Mode &amp; Sideloading\WalkAndUnGZ.bat" "%USERPROFILE%\AppData\Local\Temp\OnboardLogs"\RTDC4018\2017-05-21 &amp; 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</v>
      </c>
      <c r="AF220" s="77" t="str">
        <f t="shared" si="82"/>
        <v>"C:\Program Files (x86)\AstroGrep\AstroGrep.exe" /e /r /s /spath="%USERPROFILE%\AppData\Local\Temp\OnboardLogs" /stypes="app*4018*20170521*" /stext=" 23:.+((SYSTEM_STATE.+slice.+state.+changed )|(ment ac)|(multiple cpu faults)|(system.+state.+changed )|(\[timeout)|(PRM\|1\|D)|(kpr)|(kdp)|(train st.+moving)|(\|lc)|(penalty))"</v>
      </c>
      <c r="AG220" s="1" t="str">
        <f t="shared" si="83"/>
        <v>Other</v>
      </c>
      <c r="AH220" s="81" t="str">
        <f t="shared" si="84"/>
        <v>"%USERPROFILE%\Documents\GitHub\eaglep3\Utilities\RefineRTDCRunTimes.py" --tripid 67-21 --locoid 4018 --swversion DE.1.0.9.0 --startMP 204:1190 --initTime 2017-05-21T17:17:42 --startdatetime 2017-05-21T17:24:11 --delay 3 --endMP 300:23304 --enddatetime 2017-05-21T17:37:30 --enforcementcount 0 &gt;&gt;C:\Users\stu\Documents\GitHub\eaglep3-reporting\EC\2017-05-21-refined-times.txt</v>
      </c>
      <c r="AI220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{"issue":{"subject":"","project_id":79,"tracker_id":40,"status_id":1,"priority_id":2,"assigned_to_id":23,"start_date":"2017-05-21","description":"","custom_fields":[{"id":1,"name":"Subdivision","value":"Other"},{"id":4,"name":"Milepost","value":"2.3304"},{"id":17,"name":"Train ID","value":"67-21"},{"id":16,"name":"Locomotive ID","value":"4018"},{"id":130,"name":"Impact","value":""},{"id":150,"name":"Time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86"/>
        <v>start /low /b %USERPROFILE%\Documents\GitHub\eaglep3\Utilities\DownloadLogsFromS3.py --loco 4018 --day 2017-05-21</v>
      </c>
      <c r="AN220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764</v>
      </c>
      <c r="B221" s="7">
        <v>4016</v>
      </c>
      <c r="C221" s="21" t="s">
        <v>206</v>
      </c>
      <c r="D221" s="21" t="s">
        <v>986</v>
      </c>
      <c r="E221" s="13">
        <v>42876.720381944448</v>
      </c>
      <c r="F221" s="13">
        <v>42876.722731481481</v>
      </c>
      <c r="G221" s="7">
        <v>2</v>
      </c>
      <c r="H221" s="21" t="s">
        <v>975</v>
      </c>
      <c r="I221" s="13">
        <v>42876.728368055556</v>
      </c>
      <c r="J221" s="7">
        <v>0</v>
      </c>
      <c r="K221" s="92" t="str">
        <f t="shared" si="71"/>
        <v>4015/4016</v>
      </c>
      <c r="L221" s="21" t="str">
        <f>VLOOKUP(A221,'Trips&amp;Operators'!$C$1:$G$99999,5,FALSE)</f>
        <v>ROBINSON KADDIBA</v>
      </c>
      <c r="M221" s="6">
        <f t="shared" si="72"/>
        <v>5.6365740747423843E-3</v>
      </c>
      <c r="N221" s="7">
        <f t="shared" si="69"/>
        <v>8.1166666676290333</v>
      </c>
      <c r="O221" s="7"/>
      <c r="P221" s="7"/>
      <c r="Q221" s="22"/>
      <c r="R221" s="190"/>
      <c r="S221" s="196">
        <f t="shared" si="73"/>
        <v>0</v>
      </c>
      <c r="T221" s="190" t="e">
        <f t="shared" si="74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75"/>
        <v>https://d0f6bd738d7f1b3e5a7ca70fe4ff75f0.us-east-1.aws.found.io/app/kibana#/discover/Steve-Slow-Train-Analysis-(2080s-and-2083s)?_g=(refreshInterval:(display:Off,pause:!f,section:0,value:0),time:(from:'2017-05-21T16:17:21-0600',mode:absolute,to:'2017-05-21T18:28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192" t="str">
        <f t="shared" si="76"/>
        <v>Y</v>
      </c>
      <c r="X221" s="192" t="e">
        <f t="shared" si="70"/>
        <v>#VALUE!</v>
      </c>
      <c r="Y221" s="192">
        <f t="shared" si="77"/>
        <v>0.15240000000000001</v>
      </c>
      <c r="Z221" s="192">
        <f t="shared" si="78"/>
        <v>2.3311999999999999</v>
      </c>
      <c r="AA221" s="192">
        <f t="shared" si="79"/>
        <v>2.1787999999999998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0"/>
        <v>69-21</v>
      </c>
      <c r="AE221" s="80" t="str">
        <f t="shared" si="81"/>
        <v>aws s3 cp s3://rtdc.mdm.uploadarchive.raw/RTDC4016/ "%USERPROFILE%\AppData\Local\Temp\OnboardLogs"\RTDC4016\2017-05-21 --exclude "*" --recursive --include "*20170521*" &amp; "%USERPROFILE%\Documents\GitHub\mrs-test-scripts\Headless Mode &amp; Sideloading\WalkAndUnGZ.bat" "%USERPROFILE%\AppData\Local\Temp\OnboardLogs"\RTDC4016\2017-05-21 &amp; 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</v>
      </c>
      <c r="AF221" s="77" t="str">
        <f t="shared" si="82"/>
        <v>"C:\Program Files (x86)\AstroGrep\AstroGrep.exe" /e /r /s /spath="%USERPROFILE%\AppData\Local\Temp\OnboardLogs" /stypes="app*4016*20170521*" /stext=" 23:.+((SYSTEM_STATE.+slice.+state.+changed )|(ment ac)|(multiple cpu faults)|(system.+state.+changed )|(\[timeout)|(PRM\|1\|D)|(kpr)|(kdp)|(train st.+moving)|(\|lc)|(penalty))"</v>
      </c>
      <c r="AG221" s="1" t="str">
        <f t="shared" si="83"/>
        <v>Other</v>
      </c>
      <c r="AH221" s="81" t="str">
        <f t="shared" si="84"/>
        <v>"%USERPROFILE%\Documents\GitHub\eaglep3\Utilities\RefineRTDCRunTimes.py" --tripid 69-21 --locoid 4016 --swversion DE.1.0.9.0 --startMP 204:1524 --initTime 2017-05-21T17:17:21 --startdatetime 2017-05-21T17:20:44 --delay 2 --endMP 300:23312 --enddatetime 2017-05-21T17:28:51 --enforcementcount 0 &gt;&gt;C:\Users\stu\Documents\GitHub\eaglep3-reporting\EC\2017-05-21-refined-times.txt</v>
      </c>
      <c r="AI221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{"issue":{"subject":"","project_id":79,"tracker_id":40,"status_id":1,"priority_id":2,"assigned_to_id":23,"start_date":"2017-05-21","description":"","custom_fields":[{"id":1,"name":"Subdivision","value":"Other"},{"id":4,"name":"Milepost","value":"2.3312"},{"id":17,"name":"Train ID","value":"69-21"},{"id":16,"name":"Locomotive ID","value":"4016"},{"id":130,"name":"Impact","value":""},{"id":150,"name":"Time of Event (Mountain Time)","value":"17:28:51"},{"id":151,"name":"Denver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86"/>
        <v>start /low /b %USERPROFILE%\Documents\GitHub\eaglep3\Utilities\DownloadLogsFromS3.py --loco 4016 --day 2017-05-21</v>
      </c>
      <c r="AN221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23:28:51"},{"id":29,"name":"Sharepoint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628</v>
      </c>
      <c r="B222" s="7">
        <v>4062</v>
      </c>
      <c r="C222" s="21" t="s">
        <v>206</v>
      </c>
      <c r="D222" s="21" t="s">
        <v>432</v>
      </c>
      <c r="E222" s="13">
        <v>42876.094907407409</v>
      </c>
      <c r="F222" s="13">
        <v>42876.096215277779</v>
      </c>
      <c r="G222" s="7">
        <v>0</v>
      </c>
      <c r="H222" s="21" t="s">
        <v>360</v>
      </c>
      <c r="I222" s="13">
        <v>42876.104259259257</v>
      </c>
      <c r="J222" s="7">
        <v>0</v>
      </c>
      <c r="K222" s="92" t="str">
        <f t="shared" si="71"/>
        <v>4061/4062</v>
      </c>
      <c r="L222" s="21" t="str">
        <f>VLOOKUP(A222,'Trips&amp;Operators'!$C$1:$G$99999,5,FALSE)</f>
        <v>SULLIVAN BRANDON</v>
      </c>
      <c r="M222" s="6">
        <f t="shared" si="72"/>
        <v>8.0439814773853868E-3</v>
      </c>
      <c r="N222" s="7">
        <f t="shared" si="69"/>
        <v>11.583333327434957</v>
      </c>
      <c r="O222" s="7"/>
      <c r="P222" s="7"/>
      <c r="Q222" s="22"/>
      <c r="R222" s="190"/>
      <c r="S222" s="196">
        <f t="shared" si="73"/>
        <v>0</v>
      </c>
      <c r="T222" s="190" t="e">
        <f t="shared" si="74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75"/>
        <v>https://d0f6bd738d7f1b3e5a7ca70fe4ff75f0.us-east-1.aws.found.io/app/kibana#/discover/Steve-Slow-Train-Analysis-(2080s-and-2083s)?_g=(refreshInterval:(display:Off,pause:!f,section:0,value:0),time:(from:'2017-05-21T01:16:40-0600',mode:absolute,to:'2017-05-21T03:30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2" s="192" t="str">
        <f t="shared" si="76"/>
        <v>Y</v>
      </c>
      <c r="X222" s="192" t="e">
        <f t="shared" si="70"/>
        <v>#VALUE!</v>
      </c>
      <c r="Y222" s="192">
        <f t="shared" si="77"/>
        <v>4.6899999999999997E-2</v>
      </c>
      <c r="Z222" s="192">
        <f t="shared" si="78"/>
        <v>2.3346</v>
      </c>
      <c r="AA222" s="192">
        <f t="shared" si="79"/>
        <v>2.2877000000000001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0"/>
        <v>81-20</v>
      </c>
      <c r="AE222" s="80" t="str">
        <f t="shared" si="81"/>
        <v>aws s3 cp s3://rtdc.mdm.uploadarchive.raw/RTDC4062/ "%USERPROFILE%\AppData\Local\Temp\OnboardLogs"\RTDC4062\2017-05-21 --exclude "*" --recursive --include "*20170521*" &amp; "%USERPROFILE%\Documents\GitHub\mrs-test-scripts\Headless Mode &amp; Sideloading\WalkAndUnGZ.bat" "%USERPROFILE%\AppData\Local\Temp\OnboardLogs"\RTDC4062\2017-05-21 &amp; aws s3 cp s3://rtdc.mdm.uploadarchive.raw/RTDC4062/ "%USERPROFILE%\AppData\Local\Temp\OnboardLogs"\RTDC4062\2017-05-22 --exclude "*" --recursive --include "*20170522*" &amp; "%USERPROFILE%\Documents\GitHub\mrs-test-scripts\Headless Mode &amp; Sideloading\WalkAndUnGZ.bat" "%USERPROFILE%\AppData\Local\Temp\OnboardLogs"\RTDC4062\2017-05-22</v>
      </c>
      <c r="AF222" s="77" t="str">
        <f t="shared" si="82"/>
        <v>"C:\Program Files (x86)\AstroGrep\AstroGrep.exe" /e /r /s /spath="%USERPROFILE%\AppData\Local\Temp\OnboardLogs" /stypes="app*4062*20170521*" /stext=" 08:.+((SYSTEM_STATE.+slice.+state.+changed )|(ment ac)|(multiple cpu faults)|(system.+state.+changed )|(\[timeout)|(PRM\|1\|D)|(kpr)|(kdp)|(train st.+moving)|(\|lc)|(penalty))"</v>
      </c>
      <c r="AG222" s="1" t="str">
        <f t="shared" si="83"/>
        <v>Other</v>
      </c>
      <c r="AH222" s="81" t="str">
        <f t="shared" si="84"/>
        <v>"%USERPROFILE%\Documents\GitHub\eaglep3\Utilities\RefineRTDCRunTimes.py" --tripid 81-20 --locoid 4062 --swversion DE.1.0.9.0 --startMP 204:469 --initTime 2017-05-21T02:16:40 --startdatetime 2017-05-21T02:18:33 --delay 0 --endMP 300:23346 --enddatetime 2017-05-21T02:30:08 --enforcementcount 0 &gt;&gt;C:\Users\stu\Documents\GitHub\eaglep3-reporting\EC\2017-05-21-refined-times.txt</v>
      </c>
      <c r="AI222" s="99" t="str">
        <f t="shared" si="85"/>
        <v>echo {"issue":{"subject":"","project_id":79,"tracker_id":40,"status_id":1,"priority_id":2,"assigned_to_id":23,"start_date":"2017-05-21","description":"","custom_fields":[{"id":1,"name":"Subdivision","value":"Other"},{"id":4,"name":"Milepost","value":"2.3346"},{"id":17,"name":"Train ID","value":"81-20"},{"id":16,"name":"Locomotive ID","value":"4062"},{"id":130,"name":"Impact","value":""},{"id":150,"name":"Time of Event (Mountain Time)","value":"02:30:08"},{"id":151,"name":"Denver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86"/>
        <v>start /low /b %USERPROFILE%\Documents\GitHub\eaglep3\Utilities\DownloadLogsFromS3.py --loco 4062 --day 2017-05-21</v>
      </c>
      <c r="AN222" s="154" t="str">
        <f t="shared" si="87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08:30:08"},{"id":29,"name":"Sharepoint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40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</sheetData>
  <autoFilter ref="A12:AG267">
    <sortState ref="A13:AG268">
      <sortCondition ref="AG13:AG223"/>
      <sortCondition ref="AD13:AD223"/>
    </sortState>
  </autoFilter>
  <sortState ref="A13:AH200">
    <sortCondition ref="AG13:AG200"/>
    <sortCondition ref="AD13:AD200"/>
  </sortState>
  <mergeCells count="1">
    <mergeCell ref="A11:P11"/>
  </mergeCells>
  <conditionalFormatting sqref="W11:W12 W268:X1048576 W13:X222">
    <cfRule type="cellIs" dxfId="10" priority="401" operator="equal">
      <formula>"Y"</formula>
    </cfRule>
  </conditionalFormatting>
  <conditionalFormatting sqref="X268:X1048576 X13:X222">
    <cfRule type="cellIs" dxfId="9" priority="384" operator="greaterThan">
      <formula>1</formula>
    </cfRule>
  </conditionalFormatting>
  <conditionalFormatting sqref="X268:X1048576 X12:X222">
    <cfRule type="cellIs" dxfId="8" priority="381" operator="equal">
      <formula>0</formula>
    </cfRule>
  </conditionalFormatting>
  <conditionalFormatting sqref="A13:S222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abSelected="1" topLeftCell="A2" zoomScaleNormal="100" workbookViewId="0">
      <selection activeCell="N18" sqref="N1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COUNTIF($O$7:$O$284,"=Y")</f>
        <v>9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COUNTA($O$7:$O$284)-O2</f>
        <v>41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- 2017-05-21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42876.328402777777</v>
      </c>
      <c r="B7" s="30" t="s">
        <v>482</v>
      </c>
      <c r="C7" s="30" t="s">
        <v>586</v>
      </c>
      <c r="D7" s="30" t="s">
        <v>98</v>
      </c>
      <c r="E7" s="30" t="s">
        <v>587</v>
      </c>
      <c r="F7" s="42">
        <v>790</v>
      </c>
      <c r="G7" s="42">
        <v>854</v>
      </c>
      <c r="H7" s="42">
        <v>73944</v>
      </c>
      <c r="I7" s="42">
        <v>69888</v>
      </c>
      <c r="J7" s="30" t="s">
        <v>205</v>
      </c>
      <c r="K7" s="42">
        <v>103864</v>
      </c>
      <c r="L7" s="134" t="s">
        <v>51</v>
      </c>
      <c r="M7" s="135">
        <f t="shared" ref="M7:M38" si="0">CONVERT((I7-K7)/10000,"mi","ft")*IF(L7="Increasing Mileposts (1)",-1,1)</f>
        <v>-17939.328000000001</v>
      </c>
      <c r="N7" s="136" t="str">
        <f>VLOOKUP(C7,'Trips&amp;Operators'!$C$1:$G$99999,5,FALSE)</f>
        <v>GEBRETEKLE DAGNEW</v>
      </c>
      <c r="O7" s="207" t="s">
        <v>184</v>
      </c>
      <c r="P7" s="137" t="s">
        <v>1007</v>
      </c>
      <c r="Q7" s="30"/>
      <c r="R7" s="84" t="str">
        <f>IF(VLOOKUP(C7,'Train Runs'!$A$13:$AE$9926,1,1)=C7,VLOOKUP(C7,'Train Runs'!$A$13:$AE$9926,31,1),NA())</f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S7" s="87" t="str">
        <f>VLOOKUP(C7,'Train Runs'!$A$13:$AE$9926,22,0)</f>
        <v>https://d0f6bd738d7f1b3e5a7ca70fe4ff75f0.us-east-1.aws.found.io/app/kibana#/discover/Steve-Slow-Train-Analysis-(2080s-and-2083s)?_g=(refreshInterval:(display:Off,pause:!f,section:0,value:0),time:(from:'2017-05-21T06:20:23-0600',mode:absolute,to:'2017-05-21T09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/stypes="*4055*201705211*" /stext=" 13:.+((SYSTEM_STATE.+slice.+state.+changed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4055</v>
      </c>
      <c r="V7" s="31">
        <f t="shared" ref="V7:V38" si="3">A7-utc_offset/24</f>
        <v>42876.578402777777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{"issue":{"subject":"Faulty speed sensor","project_id":79,"tracker_id":40,"status_id":1,"priority_id":2,"assigned_to_id":23,"start_date":"2017-05-21","description":"","custom_fields":[{"id":1,"name":"Subdivision","value":"EC"},{"id":4,"name":"Milepost","value":"10.3864"},{"id":17,"name":"Train ID","value":"124-21"},{"id":16,"name":"Locomotive ID","value":"4055"},{"id":130,"name":"Impact","value":""},{"id":150,"name":"Time of Event (Mountain Time)","value":"07:52:54"},{"id":151,"name":"Denver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/cygdrive/c/Users/stu/AppData/Local/Temp/OnboardLogs/RTDC4055 --include="*4055*201705211*"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"%USERPROFILE%\AppData\Local\Temp\OnboardLogs"\RTDC4055\*4055*201705211* &gt;&gt; 2017-05-21-SliceDisagreementCheck.txt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4055 --day 2017-05-21</v>
      </c>
    </row>
    <row r="8" spans="1:32" s="1" customFormat="1" x14ac:dyDescent="0.25">
      <c r="A8" s="31">
        <v>42876.46980324074</v>
      </c>
      <c r="B8" s="30" t="s">
        <v>482</v>
      </c>
      <c r="C8" s="30" t="s">
        <v>594</v>
      </c>
      <c r="D8" s="30" t="s">
        <v>98</v>
      </c>
      <c r="E8" s="30" t="s">
        <v>587</v>
      </c>
      <c r="F8" s="42">
        <v>790</v>
      </c>
      <c r="G8" s="42">
        <v>844</v>
      </c>
      <c r="H8" s="42">
        <v>97157</v>
      </c>
      <c r="I8" s="42">
        <v>93109</v>
      </c>
      <c r="J8" s="30" t="s">
        <v>205</v>
      </c>
      <c r="K8" s="42">
        <v>126678</v>
      </c>
      <c r="L8" s="134" t="s">
        <v>51</v>
      </c>
      <c r="M8" s="135">
        <f t="shared" si="0"/>
        <v>-17724.432000000001</v>
      </c>
      <c r="N8" s="136" t="str">
        <f>VLOOKUP(C8,'Trips&amp;Operators'!$C$1:$G$99999,5,FALSE)</f>
        <v>GEBRETEKLE DAGNEW</v>
      </c>
      <c r="O8" s="207" t="s">
        <v>184</v>
      </c>
      <c r="P8" s="137" t="s">
        <v>1007</v>
      </c>
      <c r="Q8" s="30"/>
      <c r="R8" s="84" t="str">
        <f>IF(VLOOKUP(C8,'Train Runs'!$A$13:$AE$9926,1,1)=C8,VLOOKUP(C8,'Train Runs'!$A$13:$AE$9926,31,1),NA())</f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S8" s="87" t="str">
        <f>VLOOKUP(C8,'Train Runs'!$A$13:$AE$9926,22,0)</f>
        <v>https://d0f6bd738d7f1b3e5a7ca70fe4ff75f0.us-east-1.aws.found.io/app/kibana#/discover/Steve-Slow-Train-Analysis-(2080s-and-2083s)?_g=(refreshInterval:(display:Off,pause:!f,section:0,value:0),time:(from:'2017-05-21T09:46:24-0600',mode:absolute,to:'2017-05-21T12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8" s="89" t="str">
        <f t="shared" si="1"/>
        <v>"C:\Program Files (x86)\AstroGrep\AstroGrep.exe" /e /r /s /spath="%USERPROFILE%\AppData\Local\Temp\OnboardLogs" /stypes="*4055*201705211*"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4055</v>
      </c>
      <c r="V8" s="31">
        <f t="shared" si="3"/>
        <v>42876.71980324074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{"issue":{"subject":"Faulty speed sensor","project_id":79,"tracker_id":40,"status_id":1,"priority_id":2,"assigned_to_id":23,"start_date":"2017-05-21","description":"","custom_fields":[{"id":1,"name":"Subdivision","value":"EC"},{"id":4,"name":"Milepost","value":"12.6678"},{"id":17,"name":"Train ID","value":"152-21"},{"id":16,"name":"Locomotive ID","value":"4055"},{"id":130,"name":"Impact","value":""},{"id":150,"name":"Time of Event (Mountain Time)","value":"11:16:31"},{"id":151,"name":"Denver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/cygdrive/c/Users/stu/AppData/Local/Temp/OnboardLogs/RTDC4055 --include="*4055*201705211*"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"%USERPROFILE%\AppData\Local\Temp\OnboardLogs"\RTDC4055\*4055*201705211* &gt;&gt; 2017-05-21-SliceDisagreementCheck.txt</v>
      </c>
      <c r="AE8" s="148" t="str">
        <f t="shared" ref="AE8:AE56" si="9">"start /low /b "&amp;dls3logs&amp;" --loco "&amp;U8&amp;" --day "&amp;TEXT(V8,"YYYY-MM-DD")</f>
        <v>start /low /b %USERPROFILE%\Documents\GitHub\eaglep3\Utilities\DownloadLogsFromS3.py --loco 4055 --day 2017-05-21</v>
      </c>
    </row>
    <row r="9" spans="1:32" s="1" customFormat="1" x14ac:dyDescent="0.25">
      <c r="A9" s="31">
        <v>42876.459699074076</v>
      </c>
      <c r="B9" s="30" t="s">
        <v>482</v>
      </c>
      <c r="C9" s="30" t="s">
        <v>594</v>
      </c>
      <c r="D9" s="30" t="s">
        <v>98</v>
      </c>
      <c r="E9" s="30" t="s">
        <v>587</v>
      </c>
      <c r="F9" s="42">
        <v>790</v>
      </c>
      <c r="G9" s="42">
        <v>848</v>
      </c>
      <c r="H9" s="42">
        <v>204700</v>
      </c>
      <c r="I9" s="42">
        <v>200446</v>
      </c>
      <c r="J9" s="30" t="s">
        <v>205</v>
      </c>
      <c r="K9" s="42">
        <v>233491</v>
      </c>
      <c r="L9" s="134" t="s">
        <v>51</v>
      </c>
      <c r="M9" s="135">
        <f t="shared" si="0"/>
        <v>-17447.759999999998</v>
      </c>
      <c r="N9" s="136" t="str">
        <f>VLOOKUP(C9,'Trips&amp;Operators'!$C$1:$G$99999,5,FALSE)</f>
        <v>GEBRETEKLE DAGNEW</v>
      </c>
      <c r="O9" s="207" t="s">
        <v>184</v>
      </c>
      <c r="P9" s="137" t="s">
        <v>1007</v>
      </c>
      <c r="Q9" s="30"/>
      <c r="R9" s="84" t="str">
        <f>IF(VLOOKUP(C9,'Train Runs'!$A$13:$AE$9926,1,1)=C9,VLOOKUP(C9,'Train Runs'!$A$13:$AE$9926,31,1),NA())</f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S9" s="87" t="str">
        <f>VLOOKUP(C9,'Train Runs'!$A$13:$AE$9926,22,0)</f>
        <v>https://d0f6bd738d7f1b3e5a7ca70fe4ff75f0.us-east-1.aws.found.io/app/kibana#/discover/Steve-Slow-Train-Analysis-(2080s-and-2083s)?_g=(refreshInterval:(display:Off,pause:!f,section:0,value:0),time:(from:'2017-05-21T09:46:24-0600',mode:absolute,to:'2017-05-21T12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9" s="89" t="str">
        <f t="shared" si="1"/>
        <v>"C:\Program Files (x86)\AstroGrep\AstroGrep.exe" /e /r /s /spath="%USERPROFILE%\AppData\Local\Temp\OnboardLogs" /stypes="*4055*201705211*"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4055</v>
      </c>
      <c r="V9" s="31">
        <f t="shared" si="3"/>
        <v>42876.709699074076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{"issue":{"subject":"Faulty speed sensor","project_id":79,"tracker_id":40,"status_id":1,"priority_id":2,"assigned_to_id":23,"start_date":"2017-05-21","description":"","custom_fields":[{"id":1,"name":"Subdivision","value":"EC"},{"id":4,"name":"Milepost","value":"23.3491"},{"id":17,"name":"Train ID","value":"152-21"},{"id":16,"name":"Locomotive ID","value":"4055"},{"id":130,"name":"Impact","value":""},{"id":150,"name":"Time of Event (Mountain Time)","value":"11:01:58"},{"id":151,"name":"Denver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/cygdrive/c/Users/stu/AppData/Local/Temp/OnboardLogs/RTDC4055 --include="*4055*201705211*"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"%USERPROFILE%\AppData\Local\Temp\OnboardLogs"\RTDC4055\*4055*201705211* &gt;&gt; 2017-05-21-SliceDisagreementCheck.txt</v>
      </c>
      <c r="AE9" s="148" t="str">
        <f t="shared" si="9"/>
        <v>start /low /b %USERPROFILE%\Documents\GitHub\eaglep3\Utilities\DownloadLogsFromS3.py --loco 4055 --day 2017-05-21</v>
      </c>
    </row>
    <row r="10" spans="1:32" s="1" customFormat="1" x14ac:dyDescent="0.25">
      <c r="A10" s="31">
        <v>42877.004328703704</v>
      </c>
      <c r="B10" s="30" t="s">
        <v>386</v>
      </c>
      <c r="C10" s="30" t="s">
        <v>618</v>
      </c>
      <c r="D10" s="30" t="s">
        <v>49</v>
      </c>
      <c r="E10" s="30" t="s">
        <v>191</v>
      </c>
      <c r="F10" s="42">
        <v>0</v>
      </c>
      <c r="G10" s="42">
        <v>231</v>
      </c>
      <c r="H10" s="42">
        <v>26916</v>
      </c>
      <c r="I10" s="42">
        <v>27234</v>
      </c>
      <c r="J10" s="30" t="s">
        <v>192</v>
      </c>
      <c r="K10" s="42">
        <v>27053</v>
      </c>
      <c r="L10" s="134" t="s">
        <v>50</v>
      </c>
      <c r="M10" s="135">
        <f t="shared" si="0"/>
        <v>-95.567999999999998</v>
      </c>
      <c r="N10" s="136" t="str">
        <f>VLOOKUP(C10,'Trips&amp;Operators'!$C$1:$G$99999,5,FALSE)</f>
        <v>PERKINS DARREN</v>
      </c>
      <c r="O10" s="207" t="s">
        <v>184</v>
      </c>
      <c r="P10" s="137" t="s">
        <v>419</v>
      </c>
      <c r="Q10" s="30"/>
      <c r="R10" s="84" t="e">
        <f>IF(VLOOKUP(C10,'Train Runs'!$A$13:$AE$9926,1,1)=C10,VLOOKUP(C10,'Train Runs'!$A$13:$AE$9926,31,1),NA())</f>
        <v>#N/A</v>
      </c>
      <c r="S10" s="87" t="str">
        <f>VLOOKUP(C10,'Train Runs'!$A$13:$AE$9926,22,0)</f>
        <v>https://d0f6bd738d7f1b3e5a7ca70fe4ff75f0.us-east-1.aws.found.io/app/kibana#/discover/Steve-Slow-Train-Analysis-(2080s-and-2083s)?_g=(refreshInterval:(display:Off,pause:!f,section:0,value:0),time:(from:'2017-05-21T22:47:50-0600',mode:absolute,to:'2017-05-22T01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0" s="89" t="str">
        <f t="shared" si="1"/>
        <v>"C:\Program Files (x86)\AstroGrep\AstroGrep.exe" /e /r /s /spath="%USERPROFILE%\AppData\Local\Temp\OnboardLogs" /stypes="*4040*201705220*"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4040</v>
      </c>
      <c r="V10" s="31">
        <f t="shared" si="3"/>
        <v>42877.254328703704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arrival","project_id":79,"tracker_id":40,"status_id":1,"priority_id":2,"assigned_to_id":23,"start_date":"2017-05-22","description":"","custom_fields":[{"id":1,"name":"Subdivision","value":"EC"},{"id":4,"name":"Milepost","value":"2.7053"},{"id":17,"name":"Train ID","value":"241-21"},{"id":16,"name":"Locomotive ID","value":"4040"},{"id":130,"name":"Impact","value":""},{"id":150,"name":"Time of Event (Mountain Time)","value":"00:06:14"},{"id":151,"name":"Denver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/cygdrive/c/Users/stu/AppData/Local/Temp/OnboardLogs/RTDC4040 --include="*4040*201705220*"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"%USERPROFILE%\AppData\Local\Temp\OnboardLogs"\RTDC4040\*4040*201705220* &gt;&gt; 2017-05-21-SliceDisagreementCheck.txt</v>
      </c>
      <c r="AE10" s="148" t="str">
        <f t="shared" si="9"/>
        <v>start /low /b %USERPROFILE%\Documents\GitHub\eaglep3\Utilities\DownloadLogsFromS3.py --loco 4040 --day 2017-05-22</v>
      </c>
    </row>
    <row r="11" spans="1:32" s="1" customFormat="1" x14ac:dyDescent="0.25">
      <c r="A11" s="31">
        <v>42876.821597222224</v>
      </c>
      <c r="B11" s="30" t="s">
        <v>383</v>
      </c>
      <c r="C11" s="30" t="s">
        <v>609</v>
      </c>
      <c r="D11" s="30" t="s">
        <v>98</v>
      </c>
      <c r="E11" s="30" t="s">
        <v>191</v>
      </c>
      <c r="F11" s="42">
        <v>0</v>
      </c>
      <c r="G11" s="42">
        <v>81</v>
      </c>
      <c r="H11" s="42">
        <v>27333</v>
      </c>
      <c r="I11" s="42">
        <v>27258</v>
      </c>
      <c r="J11" s="30" t="s">
        <v>192</v>
      </c>
      <c r="K11" s="42">
        <v>27350</v>
      </c>
      <c r="L11" s="134" t="s">
        <v>51</v>
      </c>
      <c r="M11" s="135">
        <f t="shared" si="0"/>
        <v>-48.576000000000001</v>
      </c>
      <c r="N11" s="136" t="str">
        <f>VLOOKUP(C11,'Trips&amp;Operators'!$C$1:$G$99999,5,FALSE)</f>
        <v>PERKINS DARREN</v>
      </c>
      <c r="O11" s="207" t="s">
        <v>184</v>
      </c>
      <c r="P11" s="137" t="s">
        <v>419</v>
      </c>
      <c r="Q11" s="30"/>
      <c r="R11" s="84" t="e">
        <f>IF(VLOOKUP(C11,'Train Runs'!$A$13:$AE$9926,1,1)=C11,VLOOKUP(C11,'Train Runs'!$A$13:$AE$9926,31,1),NA())</f>
        <v>#N/A</v>
      </c>
      <c r="S11" s="87" t="str">
        <f>VLOOKUP(C11,'Train Runs'!$A$13:$AE$9926,22,0)</f>
        <v>https://d0f6bd738d7f1b3e5a7ca70fe4ff75f0.us-east-1.aws.found.io/app/kibana#/discover/Steve-Slow-Train-Analysis-(2080s-and-2083s)?_g=(refreshInterval:(display:Off,pause:!f,section:0,value:0),time:(from:'2017-05-21T18:01:58-0600',mode:absolute,to:'2017-05-21T20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89" t="str">
        <f t="shared" si="1"/>
        <v>"C:\Program Files (x86)\AstroGrep\AstroGrep.exe" /e /r /s /spath="%USERPROFILE%\AppData\Local\Temp\OnboardLogs" /stypes="*4039*201705220*" /stext=" 01:.+((SYSTEM_STATE.+slice.+state.+changed )|(ment ac)|(multiple cpu faults)|(system.+state.+changed )|(\[timeout)|(PRM\|1\|D)|(kpr)|(kdp)|(train st.+moving)|(\|lc)|(penalty))"</v>
      </c>
      <c r="U11" s="9" t="str">
        <f t="shared" si="2"/>
        <v>4039</v>
      </c>
      <c r="V11" s="31">
        <f t="shared" si="3"/>
        <v>42877.071597222224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arrival","project_id":79,"tracker_id":40,"status_id":1,"priority_id":2,"assigned_to_id":23,"start_date":"2017-05-21","description":"","custom_fields":[{"id":1,"name":"Subdivision","value":"EC"},{"id":4,"name":"Milepost","value":"2.735"},{"id":17,"name":"Train ID","value":"218-21"},{"id":16,"name":"Locomotive ID","value":"4039"},{"id":130,"name":"Impact","value":""},{"id":150,"name":"Time of Event (Mountain Time)","value":"19:43:06"},{"id":151,"name":"Denver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/cygdrive/c/Users/stu/AppData/Local/Temp/OnboardLogs/RTDC4039 --include="*4039*201705220*"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"%USERPROFILE%\AppData\Local\Temp\OnboardLogs"\RTDC4039\*4039*201705220* &gt;&gt; 2017-05-21-SliceDisagreementCheck.txt</v>
      </c>
      <c r="AE11" s="148" t="str">
        <f t="shared" si="9"/>
        <v>start /low /b %USERPROFILE%\Documents\GitHub\eaglep3\Utilities\DownloadLogsFromS3.py --loco 4039 --day 2017-05-22</v>
      </c>
    </row>
    <row r="12" spans="1:32" s="1" customFormat="1" x14ac:dyDescent="0.25">
      <c r="A12" s="31">
        <v>42876.915590277778</v>
      </c>
      <c r="B12" s="30" t="s">
        <v>610</v>
      </c>
      <c r="C12" s="30" t="s">
        <v>614</v>
      </c>
      <c r="D12" s="30" t="s">
        <v>98</v>
      </c>
      <c r="E12" s="30" t="s">
        <v>191</v>
      </c>
      <c r="F12" s="42">
        <v>190</v>
      </c>
      <c r="G12" s="42">
        <v>254</v>
      </c>
      <c r="H12" s="42">
        <v>27010</v>
      </c>
      <c r="I12" s="42">
        <v>26547</v>
      </c>
      <c r="J12" s="30" t="s">
        <v>192</v>
      </c>
      <c r="K12" s="42">
        <v>27350</v>
      </c>
      <c r="L12" s="134" t="s">
        <v>51</v>
      </c>
      <c r="M12" s="135">
        <f t="shared" si="0"/>
        <v>-423.98399999999998</v>
      </c>
      <c r="N12" s="136" t="str">
        <f>VLOOKUP(C12,'Trips&amp;Operators'!$C$1:$G$99999,5,FALSE)</f>
        <v>MAGEE KENYA</v>
      </c>
      <c r="O12" s="207" t="s">
        <v>184</v>
      </c>
      <c r="P12" s="137" t="s">
        <v>419</v>
      </c>
      <c r="Q12" s="30"/>
      <c r="R12" s="84" t="e">
        <f>IF(VLOOKUP(C12,'Train Runs'!$A$13:$AE$9926,1,1)=C12,VLOOKUP(C12,'Train Runs'!$A$13:$AE$9926,31,1),NA())</f>
        <v>#N/A</v>
      </c>
      <c r="S12" s="87" t="str">
        <f>VLOOKUP(C12,'Train Runs'!$A$13:$AE$9926,22,0)</f>
        <v>https://d0f6bd738d7f1b3e5a7ca70fe4ff75f0.us-east-1.aws.found.io/app/kibana#/discover/Steve-Slow-Train-Analysis-(2080s-and-2083s)?_g=(refreshInterval:(display:Off,pause:!f,section:0,value:0),time:(from:'2017-05-21T20:21:39-0600',mode:absolute,to:'2017-05-21T23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9" t="str">
        <f t="shared" si="1"/>
        <v>"C:\Program Files (x86)\AstroGrep\AstroGrep.exe" /e /r /s /spath="%USERPROFILE%\AppData\Local\Temp\OnboardLogs" /stypes="*4041*201705220*" /stext=" 03:.+((SYSTEM_STATE.+slice.+state.+changed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42877.165590277778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arrival","project_id":79,"tracker_id":40,"status_id":1,"priority_id":2,"assigned_to_id":23,"start_date":"2017-05-21","description":"","custom_fields":[{"id":1,"name":"Subdivision","value":"EC"},{"id":4,"name":"Milepost","value":"2.735"},{"id":17,"name":"Train ID","value":"228-21"},{"id":16,"name":"Locomotive ID","value":"4041"},{"id":130,"name":"Impact","value":""},{"id":150,"name":"Time of Event (Mountain Time)","value":"21:58:27"},{"id":151,"name":"Denver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/cygdrive/c/Users/stu/AppData/Local/Temp/OnboardLogs/RTDC4041 --include="*4041*201705220*"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"%USERPROFILE%\AppData\Local\Temp\OnboardLogs"\RTDC4041\*4041*201705220* &gt;&gt; 2017-05-21-SliceDisagreementCheck.txt</v>
      </c>
      <c r="AE12" s="148" t="str">
        <f t="shared" si="9"/>
        <v>start /low /b %USERPROFILE%\Documents\GitHub\eaglep3\Utilities\DownloadLogsFromS3.py --loco 4041 --day 2017-05-22</v>
      </c>
    </row>
    <row r="13" spans="1:32" s="1" customFormat="1" x14ac:dyDescent="0.25">
      <c r="A13" s="31">
        <v>42876.724479166667</v>
      </c>
      <c r="B13" s="30" t="s">
        <v>481</v>
      </c>
      <c r="C13" s="30" t="s">
        <v>605</v>
      </c>
      <c r="D13" s="30" t="s">
        <v>98</v>
      </c>
      <c r="E13" s="30" t="s">
        <v>191</v>
      </c>
      <c r="F13" s="42">
        <v>180</v>
      </c>
      <c r="G13" s="42">
        <v>232</v>
      </c>
      <c r="H13" s="42">
        <v>30997</v>
      </c>
      <c r="I13" s="42">
        <v>31526</v>
      </c>
      <c r="J13" s="30" t="s">
        <v>192</v>
      </c>
      <c r="K13" s="42">
        <v>30830</v>
      </c>
      <c r="L13" s="134" t="s">
        <v>50</v>
      </c>
      <c r="M13" s="135">
        <f t="shared" si="0"/>
        <v>-367.488</v>
      </c>
      <c r="N13" s="136" t="str">
        <f>VLOOKUP(C13,'Trips&amp;Operators'!$C$1:$G$99999,5,FALSE)</f>
        <v>STAMBAUGH JAMES</v>
      </c>
      <c r="O13" s="207" t="s">
        <v>184</v>
      </c>
      <c r="P13" s="137" t="s">
        <v>419</v>
      </c>
      <c r="Q13" s="30"/>
      <c r="R13" s="84" t="e">
        <f>IF(VLOOKUP(C13,'Train Runs'!$A$13:$AE$9926,1,1)=C13,VLOOKUP(C13,'Train Runs'!$A$13:$AE$9926,31,1),NA())</f>
        <v>#N/A</v>
      </c>
      <c r="S13" s="87" t="str">
        <f>VLOOKUP(C13,'Train Runs'!$A$13:$AE$9926,22,0)</f>
        <v>https://d0f6bd738d7f1b3e5a7ca70fe4ff75f0.us-east-1.aws.found.io/app/kibana#/discover/Steve-Slow-Train-Analysis-(2080s-and-2083s)?_g=(refreshInterval:(display:Off,pause:!f,section:0,value:0),time:(from:'2017-05-21T16:06:57-0600',mode:absolute,to:'2017-05-21T18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3" s="89" t="str">
        <f t="shared" si="1"/>
        <v>"C:\Program Files (x86)\AstroGrep\AstroGrep.exe" /e /r /s /spath="%USERPROFILE%\AppData\Local\Temp\OnboardLogs" /stypes="*4024*201705212*"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4024</v>
      </c>
      <c r="V13" s="31">
        <f t="shared" si="3"/>
        <v>42876.974479166667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arrival","project_id":79,"tracker_id":40,"status_id":1,"priority_id":2,"assigned_to_id":23,"start_date":"2017-05-21","description":"","custom_fields":[{"id":1,"name":"Subdivision","value":"EC"},{"id":4,"name":"Milepost","value":"3.083"},{"id":17,"name":"Train ID","value":"209-21"},{"id":16,"name":"Locomotive ID","value":"4024"},{"id":130,"name":"Impact","value":""},{"id":150,"name":"Time of Event (Mountain Time)","value":"17:23:15"},{"id":151,"name":"Denver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/cygdrive/c/Users/stu/AppData/Local/Temp/OnboardLogs/RTDC4024 --include="*4024*201705212*"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"%USERPROFILE%\AppData\Local\Temp\OnboardLogs"\RTDC4024\*4024*201705212* &gt;&gt; 2017-05-21-SliceDisagreementCheck.txt</v>
      </c>
      <c r="AE13" s="148" t="str">
        <f t="shared" si="9"/>
        <v>start /low /b %USERPROFILE%\Documents\GitHub\eaglep3\Utilities\DownloadLogsFromS3.py --loco 4024 --day 2017-05-21</v>
      </c>
    </row>
    <row r="14" spans="1:32" x14ac:dyDescent="0.25">
      <c r="A14" s="31">
        <v>42876.37222222222</v>
      </c>
      <c r="B14" s="30" t="s">
        <v>436</v>
      </c>
      <c r="C14" s="30" t="s">
        <v>589</v>
      </c>
      <c r="D14" s="30" t="s">
        <v>98</v>
      </c>
      <c r="E14" s="30" t="s">
        <v>191</v>
      </c>
      <c r="F14" s="42">
        <v>440</v>
      </c>
      <c r="G14" s="42">
        <v>492</v>
      </c>
      <c r="H14" s="42">
        <v>33303</v>
      </c>
      <c r="I14" s="42">
        <v>34956</v>
      </c>
      <c r="J14" s="30" t="s">
        <v>192</v>
      </c>
      <c r="K14" s="42">
        <v>33137</v>
      </c>
      <c r="L14" s="134" t="s">
        <v>50</v>
      </c>
      <c r="M14" s="135">
        <f t="shared" si="0"/>
        <v>-960.43200000000002</v>
      </c>
      <c r="N14" s="136" t="str">
        <f>VLOOKUP(C14,'Trips&amp;Operators'!$C$1:$G$99999,5,FALSE)</f>
        <v>GUZMAN DANNY</v>
      </c>
      <c r="O14" s="207" t="s">
        <v>184</v>
      </c>
      <c r="P14" s="137" t="s">
        <v>419</v>
      </c>
      <c r="Q14" s="30"/>
      <c r="R14" s="84" t="str">
        <f>IF(VLOOKUP(C14,'Train Runs'!$A$13:$AE$9926,1,1)=C14,VLOOKUP(C14,'Train Runs'!$A$13:$AE$9926,31,1),NA())</f>
        <v>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 &amp; 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</v>
      </c>
      <c r="S14" s="87" t="str">
        <f>VLOOKUP(C14,'Train Runs'!$A$13:$AE$9926,22,0)</f>
        <v>https://d0f6bd738d7f1b3e5a7ca70fe4ff75f0.us-east-1.aws.found.io/app/kibana#/discover/Steve-Slow-Train-Analysis-(2080s-and-2083s)?_g=(refreshInterval:(display:Off,pause:!f,section:0,value:0),time:(from:'2017-05-21T07:40:14-0600',mode:absolute,to:'2017-05-21T10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89" t="str">
        <f t="shared" si="1"/>
        <v>"C:\Program Files (x86)\AstroGrep\AstroGrep.exe" /e /r /s /spath="%USERPROFILE%\AppData\Local\Temp\OnboardLogs" /stypes="*4008*201705211*"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4008</v>
      </c>
      <c r="V14" s="31">
        <f t="shared" si="3"/>
        <v>42876.62222222222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arrival","project_id":79,"tracker_id":40,"status_id":1,"priority_id":2,"assigned_to_id":23,"start_date":"2017-05-21","description":"","custom_fields":[{"id":1,"name":"Subdivision","value":"EC"},{"id":4,"name":"Milepost","value":"3.3137"},{"id":17,"name":"Train ID","value":"141-21"},{"id":16,"name":"Locomotive ID","value":"4008"},{"id":130,"name":"Impact","value":""},{"id":150,"name":"Time of Event (Mountain Time)","value":"08:56:00"},{"id":151,"name":"Denver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/cygdrive/c/Users/stu/AppData/Local/Temp/OnboardLogs/RTDC4008 --include="*4008*201705211*"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"%USERPROFILE%\AppData\Local\Temp\OnboardLogs"\RTDC4008\*4008*201705211* &gt;&gt; 2017-05-21-SliceDisagreementCheck.txt</v>
      </c>
      <c r="AE14" s="148" t="str">
        <f t="shared" si="9"/>
        <v>start /low /b %USERPROFILE%\Documents\GitHub\eaglep3\Utilities\DownloadLogsFromS3.py --loco 4008 --day 2017-05-21</v>
      </c>
      <c r="AF14" s="1"/>
    </row>
    <row r="15" spans="1:32" x14ac:dyDescent="0.25">
      <c r="A15" s="31">
        <v>42876.344351851854</v>
      </c>
      <c r="B15" s="30" t="s">
        <v>488</v>
      </c>
      <c r="C15" s="30" t="s">
        <v>588</v>
      </c>
      <c r="D15" s="30" t="s">
        <v>49</v>
      </c>
      <c r="E15" s="30" t="s">
        <v>191</v>
      </c>
      <c r="F15" s="42">
        <v>0</v>
      </c>
      <c r="G15" s="42">
        <v>227</v>
      </c>
      <c r="H15" s="42">
        <v>33319</v>
      </c>
      <c r="I15" s="42">
        <v>33085</v>
      </c>
      <c r="J15" s="30" t="s">
        <v>192</v>
      </c>
      <c r="K15" s="42">
        <v>33257</v>
      </c>
      <c r="L15" s="134" t="s">
        <v>51</v>
      </c>
      <c r="M15" s="135">
        <f t="shared" si="0"/>
        <v>-90.816000000000003</v>
      </c>
      <c r="N15" s="136" t="str">
        <f>VLOOKUP(C15,'Trips&amp;Operators'!$C$1:$G$99999,5,FALSE)</f>
        <v>MAELZER KURT</v>
      </c>
      <c r="O15" s="207" t="s">
        <v>184</v>
      </c>
      <c r="P15" s="137" t="s">
        <v>419</v>
      </c>
      <c r="Q15" s="30"/>
      <c r="R15" s="84" t="str">
        <f>IF(VLOOKUP(C15,'Train Runs'!$A$13:$AE$9926,1,1)=C15,VLOOKUP(C15,'Train Runs'!$A$13:$AE$9926,31,1),NA())</f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S15" s="87" t="str">
        <f>VLOOKUP(C15,'Train Runs'!$A$13:$AE$9926,22,0)</f>
        <v>https://d0f6bd738d7f1b3e5a7ca70fe4ff75f0.us-east-1.aws.found.io/app/kibana#/discover/Steve-Slow-Train-Analysis-(2080s-and-2083s)?_g=(refreshInterval:(display:Off,pause:!f,section:0,value:0),time:(from:'2017-05-21T06:31:25-0600',mode:absolute,to:'2017-05-21T09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89" t="str">
        <f t="shared" si="1"/>
        <v>"C:\Program Files (x86)\AstroGrep\AstroGrep.exe" /e /r /s /spath="%USERPROFILE%\AppData\Local\Temp\OnboardLogs" /stypes="*4023*201705211*"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4023</v>
      </c>
      <c r="V15" s="31">
        <f t="shared" si="3"/>
        <v>42876.594351851854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arrival","project_id":79,"tracker_id":40,"status_id":1,"priority_id":2,"assigned_to_id":23,"start_date":"2017-05-21","description":"","custom_fields":[{"id":1,"name":"Subdivision","value":"EC"},{"id":4,"name":"Milepost","value":"3.3257"},{"id":17,"name":"Train ID","value":"126-21"},{"id":16,"name":"Locomotive ID","value":"4023"},{"id":130,"name":"Impact","value":""},{"id":150,"name":"Time of Event (Mountain Time)","value":"08:15:52"},{"id":151,"name":"Denver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/cygdrive/c/Users/stu/AppData/Local/Temp/OnboardLogs/RTDC4023 --include="*4023*201705211*"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"%USERPROFILE%\AppData\Local\Temp\OnboardLogs"\RTDC4023\*4023*201705211* &gt;&gt; 2017-05-21-SliceDisagreementCheck.txt</v>
      </c>
      <c r="AE15" s="148" t="str">
        <f t="shared" si="9"/>
        <v>start /low /b %USERPROFILE%\Documents\GitHub\eaglep3\Utilities\DownloadLogsFromS3.py --loco 4023 --day 2017-05-21</v>
      </c>
      <c r="AF15" s="1"/>
    </row>
    <row r="16" spans="1:32" x14ac:dyDescent="0.25">
      <c r="A16" s="31">
        <v>42876.827615740738</v>
      </c>
      <c r="B16" s="30" t="s">
        <v>610</v>
      </c>
      <c r="C16" s="30" t="s">
        <v>611</v>
      </c>
      <c r="D16" s="30" t="s">
        <v>49</v>
      </c>
      <c r="E16" s="30" t="s">
        <v>191</v>
      </c>
      <c r="F16" s="42">
        <v>300</v>
      </c>
      <c r="G16" s="42">
        <v>351</v>
      </c>
      <c r="H16" s="42">
        <v>58915</v>
      </c>
      <c r="I16" s="42">
        <v>58203</v>
      </c>
      <c r="J16" s="30" t="s">
        <v>192</v>
      </c>
      <c r="K16" s="42">
        <v>58301</v>
      </c>
      <c r="L16" s="134" t="s">
        <v>51</v>
      </c>
      <c r="M16" s="135">
        <f t="shared" si="0"/>
        <v>-51.744</v>
      </c>
      <c r="N16" s="136" t="str">
        <f>VLOOKUP(C16,'Trips&amp;Operators'!$C$1:$G$99999,5,FALSE)</f>
        <v>MAGEE KENYA</v>
      </c>
      <c r="O16" s="207" t="s">
        <v>184</v>
      </c>
      <c r="P16" s="137" t="s">
        <v>419</v>
      </c>
      <c r="Q16" s="30"/>
      <c r="R16" s="84" t="e">
        <f>IF(VLOOKUP(C16,'Train Runs'!$A$13:$AE$9926,1,1)=C16,VLOOKUP(C16,'Train Runs'!$A$13:$AE$9926,31,1),NA())</f>
        <v>#N/A</v>
      </c>
      <c r="S16" s="87" t="str">
        <f>VLOOKUP(C16,'Train Runs'!$A$13:$AE$9926,22,0)</f>
        <v>https://d0f6bd738d7f1b3e5a7ca70fe4ff75f0.us-east-1.aws.found.io/app/kibana#/discover/Steve-Slow-Train-Analysis-(2080s-and-2083s)?_g=(refreshInterval:(display:Off,pause:!f,section:0,value:0),time:(from:'2017-05-21T18:25:10-0600',mode:absolute,to:'2017-05-21T21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9" t="str">
        <f t="shared" si="1"/>
        <v>"C:\Program Files (x86)\AstroGrep\AstroGrep.exe" /e /r /s /spath="%USERPROFILE%\AppData\Local\Temp\OnboardLogs" /stypes="*4041*201705220*"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4041</v>
      </c>
      <c r="V16" s="31">
        <f t="shared" si="3"/>
        <v>42877.077615740738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arrival","project_id":79,"tracker_id":40,"status_id":1,"priority_id":2,"assigned_to_id":23,"start_date":"2017-05-21","description":"","custom_fields":[{"id":1,"name":"Subdivision","value":"EC"},{"id":4,"name":"Milepost","value":"5.8301"},{"id":17,"name":"Train ID","value":"220-21"},{"id":16,"name":"Locomotive ID","value":"4041"},{"id":130,"name":"Impact","value":""},{"id":150,"name":"Time of Event (Mountain Time)","value":"19:51:46"},{"id":151,"name":"Denver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/cygdrive/c/Users/stu/AppData/Local/Temp/OnboardLogs/RTDC4041 --include="*4041*201705220*"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"%USERPROFILE%\AppData\Local\Temp\OnboardLogs"\RTDC4041\*4041*201705220* &gt;&gt; 2017-05-21-SliceDisagreementCheck.txt</v>
      </c>
      <c r="AE16" s="148" t="str">
        <f t="shared" si="9"/>
        <v>start /low /b %USERPROFILE%\Documents\GitHub\eaglep3\Utilities\DownloadLogsFromS3.py --loco 4041 --day 2017-05-22</v>
      </c>
      <c r="AF16" s="1"/>
    </row>
    <row r="17" spans="1:32" x14ac:dyDescent="0.25">
      <c r="A17" s="31">
        <v>42876.296435185184</v>
      </c>
      <c r="B17" s="30" t="s">
        <v>508</v>
      </c>
      <c r="C17" s="30" t="s">
        <v>585</v>
      </c>
      <c r="D17" s="30" t="s">
        <v>98</v>
      </c>
      <c r="E17" s="30" t="s">
        <v>191</v>
      </c>
      <c r="F17" s="42">
        <v>0</v>
      </c>
      <c r="G17" s="42">
        <v>88</v>
      </c>
      <c r="H17" s="42">
        <v>63303</v>
      </c>
      <c r="I17" s="42">
        <v>63200</v>
      </c>
      <c r="J17" s="30" t="s">
        <v>192</v>
      </c>
      <c r="K17" s="42">
        <v>63309</v>
      </c>
      <c r="L17" s="134" t="s">
        <v>51</v>
      </c>
      <c r="M17" s="135">
        <f t="shared" si="0"/>
        <v>-57.552</v>
      </c>
      <c r="N17" s="136" t="str">
        <f>VLOOKUP(C17,'Trips&amp;Operators'!$C$1:$G$99999,5,FALSE)</f>
        <v>MACDONALD THOMAS</v>
      </c>
      <c r="O17" s="207" t="s">
        <v>184</v>
      </c>
      <c r="P17" s="137" t="s">
        <v>419</v>
      </c>
      <c r="Q17" s="30"/>
      <c r="R17" s="84" t="str">
        <f>IF(VLOOKUP(C17,'Train Runs'!$A$13:$AE$9926,1,1)=C17,VLOOKUP(C17,'Train Runs'!$A$13:$AE$9926,31,1),NA())</f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S17" s="87" t="str">
        <f>VLOOKUP(C17,'Train Runs'!$A$13:$AE$9926,22,0)</f>
        <v>https://d0f6bd738d7f1b3e5a7ca70fe4ff75f0.us-east-1.aws.found.io/app/kibana#/discover/Steve-Slow-Train-Analysis-(2080s-and-2083s)?_g=(refreshInterval:(display:Off,pause:!f,section:0,value:0),time:(from:'2017-05-21T05:34:00-0600',mode:absolute,to:'2017-05-21T08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89" t="str">
        <f t="shared" si="1"/>
        <v>"C:\Program Files (x86)\AstroGrep\AstroGrep.exe" /e /r /s /spath="%USERPROFILE%\AppData\Local\Temp\OnboardLogs" /stypes="*4009*201705211*"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4009</v>
      </c>
      <c r="V17" s="31">
        <f t="shared" si="3"/>
        <v>42876.546435185184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arrival","project_id":79,"tracker_id":40,"status_id":1,"priority_id":2,"assigned_to_id":23,"start_date":"2017-05-21","description":"","custom_fields":[{"id":1,"name":"Subdivision","value":"EC"},{"id":4,"name":"Milepost","value":"6.3309"},{"id":17,"name":"Train ID","value":"118-21"},{"id":16,"name":"Locomotive ID","value":"4009"},{"id":130,"name":"Impact","value":""},{"id":150,"name":"Time of Event (Mountain Time)","value":"07:06:52"},{"id":151,"name":"Denver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/cygdrive/c/Users/stu/AppData/Local/Temp/OnboardLogs/RTDC4009 --include="*4009*201705211*"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"%USERPROFILE%\AppData\Local\Temp\OnboardLogs"\RTDC4009\*4009*201705211* &gt;&gt; 2017-05-21-SliceDisagreementCheck.txt</v>
      </c>
      <c r="AE17" s="148" t="str">
        <f t="shared" si="9"/>
        <v>start /low /b %USERPROFILE%\Documents\GitHub\eaglep3\Utilities\DownloadLogsFromS3.py --loco 4009 --day 2017-05-21</v>
      </c>
      <c r="AF17" s="1"/>
    </row>
    <row r="18" spans="1:32" x14ac:dyDescent="0.25">
      <c r="A18" s="31">
        <v>42876.968587962961</v>
      </c>
      <c r="B18" s="30" t="s">
        <v>383</v>
      </c>
      <c r="C18" s="30" t="s">
        <v>616</v>
      </c>
      <c r="D18" s="30" t="s">
        <v>49</v>
      </c>
      <c r="E18" s="30" t="s">
        <v>191</v>
      </c>
      <c r="F18" s="42">
        <v>350</v>
      </c>
      <c r="G18" s="42">
        <v>402</v>
      </c>
      <c r="H18" s="42">
        <v>110086</v>
      </c>
      <c r="I18" s="42">
        <v>108988</v>
      </c>
      <c r="J18" s="30" t="s">
        <v>192</v>
      </c>
      <c r="K18" s="42">
        <v>109135</v>
      </c>
      <c r="L18" s="134" t="s">
        <v>51</v>
      </c>
      <c r="M18" s="135">
        <f t="shared" si="0"/>
        <v>-77.616</v>
      </c>
      <c r="N18" s="136" t="str">
        <f>VLOOKUP(C18,'Trips&amp;Operators'!$C$1:$G$99999,5,FALSE)</f>
        <v>PERKINS DARREN</v>
      </c>
      <c r="O18" s="207" t="s">
        <v>184</v>
      </c>
      <c r="P18" s="137" t="s">
        <v>419</v>
      </c>
      <c r="Q18" s="30"/>
      <c r="R18" s="84" t="e">
        <f>IF(VLOOKUP(C18,'Train Runs'!$A$13:$AE$9926,1,1)=C18,VLOOKUP(C18,'Train Runs'!$A$13:$AE$9926,31,1),NA())</f>
        <v>#N/A</v>
      </c>
      <c r="S18" s="87" t="str">
        <f>VLOOKUP(C18,'Train Runs'!$A$13:$AE$9926,22,0)</f>
        <v>https://d0f6bd738d7f1b3e5a7ca70fe4ff75f0.us-east-1.aws.found.io/app/kibana#/discover/Steve-Slow-Train-Analysis-(2080s-and-2083s)?_g=(refreshInterval:(display:Off,pause:!f,section:0,value:0),time:(from:'2017-05-21T21:40:48-0600',mode:absolute,to:'2017-05-22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89" t="str">
        <f t="shared" si="1"/>
        <v>"C:\Program Files (x86)\AstroGrep\AstroGrep.exe" /e /r /s /spath="%USERPROFILE%\AppData\Local\Temp\OnboardLogs" /stypes="*4039*201705220*" /stext=" 05:.+((SYSTEM_STATE.+slice.+state.+changed )|(ment ac)|(multiple cpu faults)|(system.+state.+changed )|(\[timeout)|(PRM\|1\|D)|(kpr)|(kdp)|(train st.+moving)|(\|lc)|(penalty))"</v>
      </c>
      <c r="U18" s="9" t="str">
        <f t="shared" si="2"/>
        <v>4039</v>
      </c>
      <c r="V18" s="31">
        <f t="shared" si="3"/>
        <v>42877.218587962961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arrival","project_id":79,"tracker_id":40,"status_id":1,"priority_id":2,"assigned_to_id":23,"start_date":"2017-05-21","description":"","custom_fields":[{"id":1,"name":"Subdivision","value":"EC"},{"id":4,"name":"Milepost","value":"10.9135"},{"id":17,"name":"Train ID","value":"234-21"},{"id":16,"name":"Locomotive ID","value":"4039"},{"id":130,"name":"Impact","value":""},{"id":150,"name":"Time of Event (Mountain Time)","value":"23:14:46"},{"id":151,"name":"Denver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/cygdrive/c/Users/stu/AppData/Local/Temp/OnboardLogs/RTDC4039 --include="*4039*201705220*"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"%USERPROFILE%\AppData\Local\Temp\OnboardLogs"\RTDC4039\*4039*201705220* &gt;&gt; 2017-05-21-SliceDisagreementCheck.txt</v>
      </c>
      <c r="AE18" s="148" t="str">
        <f t="shared" si="9"/>
        <v>start /low /b %USERPROFILE%\Documents\GitHub\eaglep3\Utilities\DownloadLogsFromS3.py --loco 4039 --day 2017-05-22</v>
      </c>
      <c r="AF18" s="1"/>
    </row>
    <row r="19" spans="1:32" x14ac:dyDescent="0.25">
      <c r="A19" s="31">
        <v>42876.43712962963</v>
      </c>
      <c r="B19" s="30" t="s">
        <v>508</v>
      </c>
      <c r="C19" s="30" t="s">
        <v>593</v>
      </c>
      <c r="D19" s="30" t="s">
        <v>98</v>
      </c>
      <c r="E19" s="30" t="s">
        <v>191</v>
      </c>
      <c r="F19" s="42">
        <v>450</v>
      </c>
      <c r="G19" s="42">
        <v>501</v>
      </c>
      <c r="H19" s="42">
        <v>108927</v>
      </c>
      <c r="I19" s="42">
        <v>107078</v>
      </c>
      <c r="J19" s="30" t="s">
        <v>192</v>
      </c>
      <c r="K19" s="42">
        <v>109135</v>
      </c>
      <c r="L19" s="134" t="s">
        <v>51</v>
      </c>
      <c r="M19" s="135">
        <f t="shared" si="0"/>
        <v>-1086.096</v>
      </c>
      <c r="N19" s="136" t="str">
        <f>VLOOKUP(C19,'Trips&amp;Operators'!$C$1:$G$99999,5,FALSE)</f>
        <v>MACDONALD THOMAS</v>
      </c>
      <c r="O19" s="207" t="s">
        <v>184</v>
      </c>
      <c r="P19" s="137" t="s">
        <v>419</v>
      </c>
      <c r="Q19" s="30"/>
      <c r="R19" s="84" t="str">
        <f>IF(VLOOKUP(C19,'Train Runs'!$A$13:$AE$9926,1,1)=C19,VLOOKUP(C19,'Train Runs'!$A$13:$AE$9926,31,1),NA())</f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S19" s="87" t="str">
        <f>VLOOKUP(C19,'Train Runs'!$A$13:$AE$9926,22,0)</f>
        <v>https://d0f6bd738d7f1b3e5a7ca70fe4ff75f0.us-east-1.aws.found.io/app/kibana#/discover/Steve-Slow-Train-Analysis-(2080s-and-2083s)?_g=(refreshInterval:(display:Off,pause:!f,section:0,value:0),time:(from:'2017-05-21T09:09:04-0600',mode:absolute,to:'2017-05-21T11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9" t="str">
        <f t="shared" si="1"/>
        <v>"C:\Program Files (x86)\AstroGrep\AstroGrep.exe" /e /r /s /spath="%USERPROFILE%\AppData\Local\Temp\OnboardLogs" /stypes="*4009*201705211*"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4009</v>
      </c>
      <c r="V19" s="31">
        <f t="shared" si="3"/>
        <v>42876.68712962963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arrival","project_id":79,"tracker_id":40,"status_id":1,"priority_id":2,"assigned_to_id":23,"start_date":"2017-05-21","description":"","custom_fields":[{"id":1,"name":"Subdivision","value":"EC"},{"id":4,"name":"Milepost","value":"10.9135"},{"id":17,"name":"Train ID","value":"146-21"},{"id":16,"name":"Locomotive ID","value":"4009"},{"id":130,"name":"Impact","value":""},{"id":150,"name":"Time of Event (Mountain Time)","value":"10:29:28"},{"id":151,"name":"Denver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/cygdrive/c/Users/stu/AppData/Local/Temp/OnboardLogs/RTDC4009 --include="*4009*201705211*"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"%USERPROFILE%\AppData\Local\Temp\OnboardLogs"\RTDC4009\*4009*201705211* &gt;&gt; 2017-05-21-SliceDisagreementCheck.txt</v>
      </c>
      <c r="AE19" s="148" t="str">
        <f t="shared" si="9"/>
        <v>start /low /b %USERPROFILE%\Documents\GitHub\eaglep3\Utilities\DownloadLogsFromS3.py --loco 4009 --day 2017-05-21</v>
      </c>
      <c r="AF19" s="1"/>
    </row>
    <row r="20" spans="1:32" x14ac:dyDescent="0.25">
      <c r="A20" s="31">
        <v>42876.719710648147</v>
      </c>
      <c r="B20" s="30" t="s">
        <v>437</v>
      </c>
      <c r="C20" s="30" t="s">
        <v>604</v>
      </c>
      <c r="D20" s="30" t="s">
        <v>49</v>
      </c>
      <c r="E20" s="30" t="s">
        <v>204</v>
      </c>
      <c r="F20" s="42">
        <v>200</v>
      </c>
      <c r="G20" s="42">
        <v>339</v>
      </c>
      <c r="H20" s="42">
        <v>7053</v>
      </c>
      <c r="I20" s="42">
        <v>6204</v>
      </c>
      <c r="J20" s="30" t="s">
        <v>205</v>
      </c>
      <c r="K20" s="42">
        <v>5439</v>
      </c>
      <c r="L20" s="134" t="s">
        <v>51</v>
      </c>
      <c r="M20" s="135">
        <f t="shared" si="0"/>
        <v>403.92</v>
      </c>
      <c r="N20" s="136" t="str">
        <f>VLOOKUP(C20,'Trips&amp;Operators'!$C$1:$G$99999,5,FALSE)</f>
        <v>ROMERO CHAD</v>
      </c>
      <c r="O20" s="207" t="s">
        <v>184</v>
      </c>
      <c r="P20" s="137"/>
      <c r="Q20" s="30"/>
      <c r="R20" s="84" t="e">
        <f>IF(VLOOKUP(C20,'Train Runs'!$A$13:$AE$9926,1,1)=C20,VLOOKUP(C20,'Train Runs'!$A$13:$AE$9926,31,1),NA())</f>
        <v>#N/A</v>
      </c>
      <c r="S20" s="87" t="str">
        <f>VLOOKUP(C20,'Train Runs'!$A$13:$AE$9926,22,0)</f>
        <v>https://d0f6bd738d7f1b3e5a7ca70fe4ff75f0.us-east-1.aws.found.io/app/kibana#/discover/Steve-Slow-Train-Analysis-(2080s-and-2083s)?_g=(refreshInterval:(display:Off,pause:!f,section:0,value:0),time:(from:'2017-05-21T15:27:41-0600',mode:absolute,to:'2017-05-21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0" s="89" t="str">
        <f t="shared" si="1"/>
        <v>"C:\Program Files (x86)\AstroGrep\AstroGrep.exe" /e /r /s /spath="%USERPROFILE%\AppData\Local\Temp\OnboardLogs" /stypes="*4007*201705212*"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4007</v>
      </c>
      <c r="V20" s="31">
        <f t="shared" si="3"/>
        <v>42876.969710648147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{"issue":{"subject":"","project_id":79,"tracker_id":40,"status_id":1,"priority_id":2,"assigned_to_id":23,"start_date":"2017-05-21","description":"","custom_fields":[{"id":1,"name":"Subdivision","value":"EC"},{"id":4,"name":"Milepost","value":"0.5439"},{"id":17,"name":"Train ID","value":"198-21"},{"id":16,"name":"Locomotive ID","value":"4007"},{"id":130,"name":"Impact","value":""},{"id":150,"name":"Time of Event (Mountain Time)","value":"17:16:23"},{"id":151,"name":"Denver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/cygdrive/c/Users/stu/AppData/Local/Temp/OnboardLogs/RTDC4007 --include="*4007*201705212*"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"%USERPROFILE%\AppData\Local\Temp\OnboardLogs"\RTDC4007\*4007*201705212* &gt;&gt; 2017-05-21-SliceDisagreementCheck.txt</v>
      </c>
      <c r="AE20" s="148" t="str">
        <f t="shared" si="9"/>
        <v>start /low /b %USERPROFILE%\Documents\GitHub\eaglep3\Utilities\DownloadLogsFromS3.py --loco 4007 --day 2017-05-21</v>
      </c>
      <c r="AF20" s="1"/>
    </row>
    <row r="21" spans="1:32" x14ac:dyDescent="0.25">
      <c r="A21" s="31">
        <v>42877.000324074077</v>
      </c>
      <c r="B21" s="30" t="s">
        <v>610</v>
      </c>
      <c r="C21" s="30" t="s">
        <v>617</v>
      </c>
      <c r="D21" s="30" t="s">
        <v>49</v>
      </c>
      <c r="E21" s="30" t="s">
        <v>204</v>
      </c>
      <c r="F21" s="42">
        <v>300</v>
      </c>
      <c r="G21" s="42">
        <v>364</v>
      </c>
      <c r="H21" s="42">
        <v>22818</v>
      </c>
      <c r="I21" s="42">
        <v>21765</v>
      </c>
      <c r="J21" s="30" t="s">
        <v>205</v>
      </c>
      <c r="K21" s="42">
        <v>21848</v>
      </c>
      <c r="L21" s="134" t="s">
        <v>51</v>
      </c>
      <c r="M21" s="135">
        <f t="shared" si="0"/>
        <v>-43.823999999999998</v>
      </c>
      <c r="N21" s="136" t="str">
        <f>VLOOKUP(C21,'Trips&amp;Operators'!$C$1:$G$99999,5,FALSE)</f>
        <v>MAGEE KENYA</v>
      </c>
      <c r="O21" s="207" t="s">
        <v>184</v>
      </c>
      <c r="P21" s="137"/>
      <c r="Q21" s="30"/>
      <c r="R21" s="84" t="e">
        <f>IF(VLOOKUP(C21,'Train Runs'!$A$13:$AE$9926,1,1)=C21,VLOOKUP(C21,'Train Runs'!$A$13:$AE$9926,31,1),NA())</f>
        <v>#N/A</v>
      </c>
      <c r="S21" s="87" t="str">
        <f>VLOOKUP(C21,'Train Runs'!$A$13:$AE$9926,22,0)</f>
        <v>https://d0f6bd738d7f1b3e5a7ca70fe4ff75f0.us-east-1.aws.found.io/app/kibana#/discover/Steve-Slow-Train-Analysis-(2080s-and-2083s)?_g=(refreshInterval:(display:Off,pause:!f,section:0,value:0),time:(from:'2017-05-21T22:22:03-0600',mode:absolute,to:'2017-05-22T01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9" t="str">
        <f t="shared" si="1"/>
        <v>"C:\Program Files (x86)\AstroGrep\AstroGrep.exe" /e /r /s /spath="%USERPROFILE%\AppData\Local\Temp\OnboardLogs" /stypes="*4041*201705220*" /stext=" 06:.+((SYSTEM_STATE.+slice.+state.+changed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42877.250324074077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{"issue":{"subject":"","project_id":79,"tracker_id":40,"status_id":1,"priority_id":2,"assigned_to_id":23,"start_date":"2017-05-22","description":"","custom_fields":[{"id":1,"name":"Subdivision","value":"EC"},{"id":4,"name":"Milepost","value":"2.1848"},{"id":17,"name":"Train ID","value":"236-21"},{"id":16,"name":"Locomotive ID","value":"4041"},{"id":130,"name":"Impact","value":""},{"id":150,"name":"Time of Event (Mountain Time)","value":"00:00:28"},{"id":151,"name":"Denver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/cygdrive/c/Users/stu/AppData/Local/Temp/OnboardLogs/RTDC4041 --include="*4041*201705220*"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"%USERPROFILE%\AppData\Local\Temp\OnboardLogs"\RTDC4041\*4041*201705220* &gt;&gt; 2017-05-21-SliceDisagreementCheck.txt</v>
      </c>
      <c r="AE21" s="148" t="str">
        <f t="shared" si="9"/>
        <v>start /low /b %USERPROFILE%\Documents\GitHub\eaglep3\Utilities\DownloadLogsFromS3.py --loco 4041 --day 2017-05-22</v>
      </c>
      <c r="AF21" s="1"/>
    </row>
    <row r="22" spans="1:32" x14ac:dyDescent="0.25">
      <c r="A22" s="31">
        <v>42876.271018518521</v>
      </c>
      <c r="B22" s="30" t="s">
        <v>386</v>
      </c>
      <c r="C22" s="30" t="s">
        <v>584</v>
      </c>
      <c r="D22" s="30" t="s">
        <v>98</v>
      </c>
      <c r="E22" s="30" t="s">
        <v>204</v>
      </c>
      <c r="F22" s="42">
        <v>600</v>
      </c>
      <c r="G22" s="42">
        <v>651</v>
      </c>
      <c r="H22" s="42">
        <v>186645</v>
      </c>
      <c r="I22" s="42">
        <v>189664</v>
      </c>
      <c r="J22" s="30" t="s">
        <v>205</v>
      </c>
      <c r="K22" s="42">
        <v>183829</v>
      </c>
      <c r="L22" s="134" t="s">
        <v>50</v>
      </c>
      <c r="M22" s="135">
        <f t="shared" si="0"/>
        <v>-3080.88</v>
      </c>
      <c r="N22" s="136" t="str">
        <f>VLOOKUP(C22,'Trips&amp;Operators'!$C$1:$G$99999,5,FALSE)</f>
        <v>DAVIS WENDY</v>
      </c>
      <c r="O22" s="207" t="s">
        <v>184</v>
      </c>
      <c r="P22" s="137"/>
      <c r="Q22" s="30"/>
      <c r="R22" s="84" t="str">
        <f>IF(VLOOKUP(C22,'Train Runs'!$A$13:$AE$9926,1,1)=C22,VLOOKUP(C22,'Train Runs'!$A$13:$AE$9926,31,1),NA())</f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S22" s="87" t="str">
        <f>VLOOKUP(C22,'Train Runs'!$A$13:$AE$9926,22,0)</f>
        <v>https://d0f6bd738d7f1b3e5a7ca70fe4ff75f0.us-east-1.aws.found.io/app/kibana#/discover/Steve-Slow-Train-Analysis-(2080s-and-2083s)?_g=(refreshInterval:(display:Off,pause:!f,section:0,value:0),time:(from:'2017-05-21T04:54:00-0600',mode:absolute,to:'2017-05-21T07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2" s="89" t="str">
        <f t="shared" si="1"/>
        <v>"C:\Program Files (x86)\AstroGrep\AstroGrep.exe" /e /r /s /spath="%USERPROFILE%\AppData\Local\Temp\OnboardLogs" /stypes="*4040*201705211*" /stext=" 12:.+((SYSTEM_STATE.+slice.+state.+changed )|(ment ac)|(multiple cpu faults)|(system.+state.+changed )|(\[timeout)|(PRM\|1\|D)|(kpr)|(kdp)|(train st.+moving)|(\|lc)|(penalty))"</v>
      </c>
      <c r="U22" s="9" t="str">
        <f t="shared" si="2"/>
        <v>4040</v>
      </c>
      <c r="V22" s="31">
        <f t="shared" si="3"/>
        <v>42876.521018518521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{"issue":{"subject":"","project_id":79,"tracker_id":40,"status_id":1,"priority_id":2,"assigned_to_id":23,"start_date":"2017-05-21","description":"","custom_fields":[{"id":1,"name":"Subdivision","value":"EC"},{"id":4,"name":"Milepost","value":"18.3829"},{"id":17,"name":"Train ID","value":"119-21"},{"id":16,"name":"Locomotive ID","value":"4040"},{"id":130,"name":"Impact","value":""},{"id":150,"name":"Time of Event (Mountain Time)","value":"06:30:16"},{"id":151,"name":"Denver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/cygdrive/c/Users/stu/AppData/Local/Temp/OnboardLogs/RTDC4040 --include="*4040*201705211*"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"%USERPROFILE%\AppData\Local\Temp\OnboardLogs"\RTDC4040\*4040*201705211* &gt;&gt; 2017-05-21-SliceDisagreementCheck.txt</v>
      </c>
      <c r="AE22" s="148" t="str">
        <f t="shared" si="9"/>
        <v>start /low /b %USERPROFILE%\Documents\GitHub\eaglep3\Utilities\DownloadLogsFromS3.py --loco 4040 --day 2017-05-21</v>
      </c>
      <c r="AF22" s="1"/>
    </row>
    <row r="23" spans="1:32" x14ac:dyDescent="0.25">
      <c r="A23" s="31">
        <v>42876.417175925926</v>
      </c>
      <c r="B23" s="30" t="s">
        <v>386</v>
      </c>
      <c r="C23" s="30" t="s">
        <v>592</v>
      </c>
      <c r="D23" s="30" t="s">
        <v>98</v>
      </c>
      <c r="E23" s="30" t="s">
        <v>204</v>
      </c>
      <c r="F23" s="42">
        <v>600</v>
      </c>
      <c r="G23" s="42">
        <v>651</v>
      </c>
      <c r="H23" s="42">
        <v>186620</v>
      </c>
      <c r="I23" s="42">
        <v>189380</v>
      </c>
      <c r="J23" s="30" t="s">
        <v>205</v>
      </c>
      <c r="K23" s="42">
        <v>183829</v>
      </c>
      <c r="L23" s="134" t="s">
        <v>50</v>
      </c>
      <c r="M23" s="135">
        <f t="shared" si="0"/>
        <v>-2930.9279999999999</v>
      </c>
      <c r="N23" s="136" t="str">
        <f>VLOOKUP(C23,'Trips&amp;Operators'!$C$1:$G$99999,5,FALSE)</f>
        <v>DAVIS WENDY</v>
      </c>
      <c r="O23" s="207" t="s">
        <v>184</v>
      </c>
      <c r="P23" s="137"/>
      <c r="Q23" s="30"/>
      <c r="R23" s="84" t="str">
        <f>IF(VLOOKUP(C23,'Train Runs'!$A$13:$AE$9926,1,1)=C23,VLOOKUP(C23,'Train Runs'!$A$13:$AE$9926,31,1),NA())</f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S23" s="87" t="str">
        <f>VLOOKUP(C23,'Train Runs'!$A$13:$AE$9926,22,0)</f>
        <v>https://d0f6bd738d7f1b3e5a7ca70fe4ff75f0.us-east-1.aws.found.io/app/kibana#/discover/Steve-Slow-Train-Analysis-(2080s-and-2083s)?_g=(refreshInterval:(display:Off,pause:!f,section:0,value:0),time:(from:'2017-05-21T08:24:02-0600',mode:absolute,to:'2017-05-21T11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3" s="89" t="str">
        <f t="shared" si="1"/>
        <v>"C:\Program Files (x86)\AstroGrep\AstroGrep.exe" /e /r /s /spath="%USERPROFILE%\AppData\Local\Temp\OnboardLogs" /stypes="*4040*201705211*"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4040</v>
      </c>
      <c r="V23" s="31">
        <f t="shared" si="3"/>
        <v>42876.667175925926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{"issue":{"subject":"","project_id":79,"tracker_id":40,"status_id":1,"priority_id":2,"assigned_to_id":23,"start_date":"2017-05-21","description":"","custom_fields":[{"id":1,"name":"Subdivision","value":"EC"},{"id":4,"name":"Milepost","value":"18.3829"},{"id":17,"name":"Train ID","value":"147-21"},{"id":16,"name":"Locomotive ID","value":"4040"},{"id":130,"name":"Impact","value":""},{"id":150,"name":"Time of Event (Mountain Time)","value":"10:00:44"},{"id":151,"name":"Denver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/cygdrive/c/Users/stu/AppData/Local/Temp/OnboardLogs/RTDC4040 --include="*4040*201705211*"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"%USERPROFILE%\AppData\Local\Temp\OnboardLogs"\RTDC4040\*4040*201705211* &gt;&gt; 2017-05-21-SliceDisagreementCheck.txt</v>
      </c>
      <c r="AE23" s="148" t="str">
        <f t="shared" si="9"/>
        <v>start /low /b %USERPROFILE%\Documents\GitHub\eaglep3\Utilities\DownloadLogsFromS3.py --loco 4040 --day 2017-05-21</v>
      </c>
      <c r="AF23" s="1"/>
    </row>
    <row r="24" spans="1:32" x14ac:dyDescent="0.25">
      <c r="A24" s="31">
        <v>42876.31590277778</v>
      </c>
      <c r="B24" s="30" t="s">
        <v>482</v>
      </c>
      <c r="C24" s="30" t="s">
        <v>586</v>
      </c>
      <c r="D24" s="30" t="s">
        <v>98</v>
      </c>
      <c r="E24" s="30" t="s">
        <v>204</v>
      </c>
      <c r="F24" s="42">
        <v>700</v>
      </c>
      <c r="G24" s="42">
        <v>772</v>
      </c>
      <c r="H24" s="42">
        <v>176608</v>
      </c>
      <c r="I24" s="42">
        <v>173612</v>
      </c>
      <c r="J24" s="30" t="s">
        <v>205</v>
      </c>
      <c r="K24" s="42">
        <v>183829</v>
      </c>
      <c r="L24" s="134" t="s">
        <v>51</v>
      </c>
      <c r="M24" s="135">
        <f t="shared" si="0"/>
        <v>-5394.576</v>
      </c>
      <c r="N24" s="136" t="str">
        <f>VLOOKUP(C24,'Trips&amp;Operators'!$C$1:$G$99999,5,FALSE)</f>
        <v>GEBRETEKLE DAGNEW</v>
      </c>
      <c r="O24" s="207" t="s">
        <v>184</v>
      </c>
      <c r="P24" s="137"/>
      <c r="Q24" s="30"/>
      <c r="R24" s="84" t="str">
        <f>IF(VLOOKUP(C24,'Train Runs'!$A$13:$AE$9926,1,1)=C24,VLOOKUP(C24,'Train Runs'!$A$13:$AE$9926,31,1),NA())</f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S24" s="87" t="str">
        <f>VLOOKUP(C24,'Train Runs'!$A$13:$AE$9926,22,0)</f>
        <v>https://d0f6bd738d7f1b3e5a7ca70fe4ff75f0.us-east-1.aws.found.io/app/kibana#/discover/Steve-Slow-Train-Analysis-(2080s-and-2083s)?_g=(refreshInterval:(display:Off,pause:!f,section:0,value:0),time:(from:'2017-05-21T06:20:23-0600',mode:absolute,to:'2017-05-21T09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4" s="89" t="str">
        <f t="shared" si="1"/>
        <v>"C:\Program Files (x86)\AstroGrep\AstroGrep.exe" /e /r /s /spath="%USERPROFILE%\AppData\Local\Temp\OnboardLogs" /stypes="*4055*201705211*"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4055</v>
      </c>
      <c r="V24" s="31">
        <f t="shared" si="3"/>
        <v>42876.56590277778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{"issue":{"subject":"","project_id":79,"tracker_id":40,"status_id":1,"priority_id":2,"assigned_to_id":23,"start_date":"2017-05-21","description":"","custom_fields":[{"id":1,"name":"Subdivision","value":"EC"},{"id":4,"name":"Milepost","value":"18.3829"},{"id":17,"name":"Train ID","value":"124-21"},{"id":16,"name":"Locomotive ID","value":"4055"},{"id":130,"name":"Impact","value":""},{"id":150,"name":"Time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/cygdrive/c/Users/stu/AppData/Local/Temp/OnboardLogs/RTDC4055 --include="*4055*201705211*"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"%USERPROFILE%\AppData\Local\Temp\OnboardLogs"\RTDC4055\*4055*201705211* &gt;&gt; 2017-05-21-SliceDisagreementCheck.txt</v>
      </c>
      <c r="AE24" s="148" t="str">
        <f t="shared" si="9"/>
        <v>start /low /b %USERPROFILE%\Documents\GitHub\eaglep3\Utilities\DownloadLogsFromS3.py --loco 4055 --day 2017-05-21</v>
      </c>
      <c r="AF24" s="1"/>
    </row>
    <row r="25" spans="1:32" x14ac:dyDescent="0.25">
      <c r="A25" s="31">
        <v>42876.389143518521</v>
      </c>
      <c r="B25" s="30" t="s">
        <v>482</v>
      </c>
      <c r="C25" s="30" t="s">
        <v>590</v>
      </c>
      <c r="D25" s="30" t="s">
        <v>98</v>
      </c>
      <c r="E25" s="30" t="s">
        <v>204</v>
      </c>
      <c r="F25" s="42">
        <v>700</v>
      </c>
      <c r="G25" s="42">
        <v>764</v>
      </c>
      <c r="H25" s="42">
        <v>170195</v>
      </c>
      <c r="I25" s="42">
        <v>0</v>
      </c>
      <c r="J25" s="30" t="s">
        <v>205</v>
      </c>
      <c r="K25" s="42">
        <v>183829</v>
      </c>
      <c r="L25" s="134" t="s">
        <v>51</v>
      </c>
      <c r="M25" s="135">
        <f t="shared" si="0"/>
        <v>-97061.712</v>
      </c>
      <c r="N25" s="136" t="str">
        <f>VLOOKUP(C25,'Trips&amp;Operators'!$C$1:$G$99999,5,FALSE)</f>
        <v>GEBRETEKLE DAGNEW</v>
      </c>
      <c r="O25" s="207" t="s">
        <v>184</v>
      </c>
      <c r="P25" s="137"/>
      <c r="Q25" s="30"/>
      <c r="R25" s="84" t="str">
        <f>IF(VLOOKUP(C25,'Train Runs'!$A$13:$AE$9926,1,1)=C25,VLOOKUP(C25,'Train Runs'!$A$13:$AE$9926,31,1),NA())</f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S25" s="87" t="str">
        <f>VLOOKUP(C25,'Train Runs'!$A$13:$AE$9926,22,0)</f>
        <v>https://d0f6bd738d7f1b3e5a7ca70fe4ff75f0.us-east-1.aws.found.io/app/kibana#/discover/Steve-Slow-Train-Analysis-(2080s-and-2083s)?_g=(refreshInterval:(display:Off,pause:!f,section:0,value:0),time:(from:'2017-05-21T08:05:04-0600',mode:absolute,to:'2017-05-21T10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5" s="89" t="str">
        <f t="shared" si="1"/>
        <v>"C:\Program Files (x86)\AstroGrep\AstroGrep.exe" /e /r /s /spath="%USERPROFILE%\AppData\Local\Temp\OnboardLogs" /stypes="*4055*201705211*" /stext=" 15:.+((SYSTEM_STATE.+slice.+state.+changed )|(ment ac)|(multiple cpu faults)|(system.+state.+changed )|(\[timeout)|(PRM\|1\|D)|(kpr)|(kdp)|(train st.+moving)|(\|lc)|(penalty))"</v>
      </c>
      <c r="U25" s="9" t="str">
        <f t="shared" si="2"/>
        <v>4055</v>
      </c>
      <c r="V25" s="31">
        <f t="shared" si="3"/>
        <v>42876.639143518521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{"issue":{"subject":"","project_id":79,"tracker_id":40,"status_id":1,"priority_id":2,"assigned_to_id":23,"start_date":"2017-05-21","description":"","custom_fields":[{"id":1,"name":"Subdivision","value":"EC"},{"id":4,"name":"Milepost","value":"18.3829"},{"id":17,"name":"Train ID","value":"138-21"},{"id":16,"name":"Locomotive ID","value":"4055"},{"id":130,"name":"Impact","value":""},{"id":150,"name":"Time of Event (Mountain Time)","value":"09:20:22"},{"id":151,"name":"Denver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/cygdrive/c/Users/stu/AppData/Local/Temp/OnboardLogs/RTDC4055 --include="*4055*201705211*"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"%USERPROFILE%\AppData\Local\Temp\OnboardLogs"\RTDC4055\*4055*201705211* &gt;&gt; 2017-05-21-SliceDisagreementCheck.txt</v>
      </c>
      <c r="AE25" s="148" t="str">
        <f t="shared" si="9"/>
        <v>start /low /b %USERPROFILE%\Documents\GitHub\eaglep3\Utilities\DownloadLogsFromS3.py --loco 4055 --day 2017-05-21</v>
      </c>
      <c r="AF25" s="1"/>
    </row>
    <row r="26" spans="1:32" x14ac:dyDescent="0.25">
      <c r="A26" s="31">
        <v>42876.528182870374</v>
      </c>
      <c r="B26" s="30" t="s">
        <v>383</v>
      </c>
      <c r="C26" s="30" t="s">
        <v>598</v>
      </c>
      <c r="D26" s="30" t="s">
        <v>49</v>
      </c>
      <c r="E26" s="30" t="s">
        <v>371</v>
      </c>
      <c r="F26" s="42">
        <v>0</v>
      </c>
      <c r="G26" s="42">
        <v>477</v>
      </c>
      <c r="H26" s="42">
        <v>40994</v>
      </c>
      <c r="I26" s="42">
        <v>39405</v>
      </c>
      <c r="J26" s="30" t="s">
        <v>372</v>
      </c>
      <c r="K26" s="42">
        <v>38656</v>
      </c>
      <c r="L26" s="134" t="s">
        <v>51</v>
      </c>
      <c r="M26" s="135">
        <f t="shared" si="0"/>
        <v>395.47199999999998</v>
      </c>
      <c r="N26" s="136" t="str">
        <f>VLOOKUP(C26,'Trips&amp;Operators'!$C$1:$G$99999,5,FALSE)</f>
        <v>DAVIS MICHAEL</v>
      </c>
      <c r="O26" s="207" t="s">
        <v>483</v>
      </c>
      <c r="P26" s="137" t="s">
        <v>506</v>
      </c>
      <c r="Q26" s="30"/>
      <c r="R26" s="84" t="str">
        <f>IF(VLOOKUP(C26,'Train Runs'!$A$13:$AE$9926,1,1)=C26,VLOOKUP(C26,'Train Runs'!$A$13:$AE$9926,31,1),NA())</f>
        <v>aws s3 cp s3://rtdc.mdm.uploadarchive.raw/RTDC4039/ "%USERPROFILE%\AppData\Local\Temp\OnboardLogs"\RTDC4039\2017-05-21 --exclude "*" --recursive --include "*20170521*" &amp; "%USERPROFILE%\Documents\GitHub\mrs-test-scripts\Headless Mode &amp; Sideloading\WalkAndUnGZ.bat" "%USERPROFILE%\AppData\Local\Temp\OnboardLogs"\RTDC4039\2017-05-21 &amp; aws s3 cp s3://rtdc.mdm.uploadarchive.raw/RTDC4039/ "%USERPROFILE%\AppData\Local\Temp\OnboardLogs"\RTDC4039\2017-05-22 --exclude "*" --recursive --include "*20170522*" &amp; "%USERPROFILE%\Documents\GitHub\mrs-test-scripts\Headless Mode &amp; Sideloading\WalkAndUnGZ.bat" "%USERPROFILE%\AppData\Local\Temp\OnboardLogs"\RTDC4039\2017-05-22</v>
      </c>
      <c r="S26" s="87" t="str">
        <f>VLOOKUP(C26,'Train Runs'!$A$13:$AE$9926,22,0)</f>
        <v>https://d0f6bd738d7f1b3e5a7ca70fe4ff75f0.us-east-1.aws.found.io/app/kibana#/discover/Steve-Slow-Train-Analysis-(2080s-and-2083s)?_g=(refreshInterval:(display:Off,pause:!f,section:0,value:0),time:(from:'2017-05-21T11:09:08-0600',mode:absolute,to:'2017-05-21T13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6" s="89" t="str">
        <f t="shared" si="1"/>
        <v>"C:\Program Files (x86)\AstroGrep\AstroGrep.exe" /e /r /s /spath="%USERPROFILE%\AppData\Local\Temp\OnboardLogs" /stypes="*4039*201705211*"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4039</v>
      </c>
      <c r="V26" s="31">
        <f t="shared" si="3"/>
        <v>42876.778182870374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drop","project_id":79,"tracker_id":40,"status_id":1,"priority_id":2,"assigned_to_id":23,"start_date":"2017-05-21","description":"","custom_fields":[{"id":1,"name":"Subdivision","value":"EC"},{"id":4,"name":"Milepost","value":"3.8656"},{"id":17,"name":"Train ID","value":"162-21"},{"id":16,"name":"Locomotive ID","value":"4039"},{"id":130,"name":"Impact","value":""},{"id":150,"name":"Time of Event (Mountain Time)","value":"12:40:35"},{"id":151,"name":"Denver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/cygdrive/c/Users/stu/AppData/Local/Temp/OnboardLogs/RTDC4039 --include="*4039*201705211*"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"%USERPROFILE%\AppData\Local\Temp\OnboardLogs"\RTDC4039\*4039*201705211* &gt;&gt; 2017-05-21-SliceDisagreementCheck.txt</v>
      </c>
      <c r="AE26" s="148" t="str">
        <f t="shared" si="9"/>
        <v>start /low /b %USERPROFILE%\Documents\GitHub\eaglep3\Utilities\DownloadLogsFromS3.py --loco 4039 --day 2017-05-21</v>
      </c>
      <c r="AF26" s="1"/>
    </row>
    <row r="27" spans="1:32" x14ac:dyDescent="0.25">
      <c r="A27" s="31">
        <v>42876.848217592589</v>
      </c>
      <c r="B27" s="30" t="s">
        <v>386</v>
      </c>
      <c r="C27" s="30" t="s">
        <v>612</v>
      </c>
      <c r="D27" s="30" t="s">
        <v>49</v>
      </c>
      <c r="E27" s="30" t="s">
        <v>371</v>
      </c>
      <c r="F27" s="42">
        <v>0</v>
      </c>
      <c r="G27" s="42">
        <v>278</v>
      </c>
      <c r="H27" s="42">
        <v>117525</v>
      </c>
      <c r="I27" s="42">
        <v>118024</v>
      </c>
      <c r="J27" s="30" t="s">
        <v>372</v>
      </c>
      <c r="K27" s="42">
        <v>118739</v>
      </c>
      <c r="L27" s="134" t="s">
        <v>50</v>
      </c>
      <c r="M27" s="135">
        <f t="shared" si="0"/>
        <v>377.52</v>
      </c>
      <c r="N27" s="136" t="str">
        <f>VLOOKUP(C27,'Trips&amp;Operators'!$C$1:$G$99999,5,FALSE)</f>
        <v>PERKINS DARREN</v>
      </c>
      <c r="O27" s="207" t="s">
        <v>483</v>
      </c>
      <c r="P27" s="137" t="s">
        <v>506</v>
      </c>
      <c r="Q27" s="30"/>
      <c r="R27" s="84" t="e">
        <f>IF(VLOOKUP(C27,'Train Runs'!$A$13:$AE$9926,1,1)=C27,VLOOKUP(C27,'Train Runs'!$A$13:$AE$9926,31,1),NA())</f>
        <v>#N/A</v>
      </c>
      <c r="S27" s="87" t="str">
        <f>VLOOKUP(C27,'Train Runs'!$A$13:$AE$9926,22,0)</f>
        <v>https://d0f6bd738d7f1b3e5a7ca70fe4ff75f0.us-east-1.aws.found.io/app/kibana#/discover/Steve-Slow-Train-Analysis-(2080s-and-2083s)?_g=(refreshInterval:(display:Off,pause:!f,section:0,value:0),time:(from:'2017-05-21T18:52:45-0600',mode:absolute,to:'2017-05-21T21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89" t="str">
        <f t="shared" si="1"/>
        <v>"C:\Program Files (x86)\AstroGrep\AstroGrep.exe" /e /r /s /spath="%USERPROFILE%\AppData\Local\Temp\OnboardLogs" /stypes="*4040*201705220*"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4040</v>
      </c>
      <c r="V27" s="31">
        <f t="shared" si="3"/>
        <v>42877.098217592589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{"issue":{"subject":"Wi-MAX data drop","project_id":79,"tracker_id":40,"status_id":1,"priority_id":2,"assigned_to_id":23,"start_date":"2017-05-21","description":"","custom_fields":[{"id":1,"name":"Subdivision","value":"EC"},{"id":4,"name":"Milepost","value":"11.8739"},{"id":17,"name":"Train ID","value":"225-21"},{"id":16,"name":"Locomotive ID","value":"4040"},{"id":130,"name":"Impact","value":""},{"id":150,"name":"Time of Event (Mountain Time)","value":"20:21:26"},{"id":151,"name":"Denver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/cygdrive/c/Users/stu/AppData/Local/Temp/OnboardLogs/RTDC4040 --include="*4040*201705220*"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"%USERPROFILE%\AppData\Local\Temp\OnboardLogs"\RTDC4040\*4040*201705220* &gt;&gt; 2017-05-21-SliceDisagreementCheck.txt</v>
      </c>
      <c r="AE27" s="148" t="str">
        <f t="shared" si="9"/>
        <v>start /low /b %USERPROFILE%\Documents\GitHub\eaglep3\Utilities\DownloadLogsFromS3.py --loco 4040 --day 2017-05-22</v>
      </c>
      <c r="AF27" s="1"/>
    </row>
    <row r="28" spans="1:32" x14ac:dyDescent="0.25">
      <c r="A28" s="31">
        <v>42876.934560185182</v>
      </c>
      <c r="B28" s="30" t="s">
        <v>386</v>
      </c>
      <c r="C28" s="30" t="s">
        <v>615</v>
      </c>
      <c r="D28" s="30" t="s">
        <v>49</v>
      </c>
      <c r="E28" s="30" t="s">
        <v>371</v>
      </c>
      <c r="F28" s="42">
        <v>0</v>
      </c>
      <c r="G28" s="42">
        <v>786</v>
      </c>
      <c r="H28" s="42">
        <v>143517</v>
      </c>
      <c r="I28" s="42">
        <v>147916</v>
      </c>
      <c r="J28" s="30" t="s">
        <v>372</v>
      </c>
      <c r="K28" s="42">
        <v>144300</v>
      </c>
      <c r="L28" s="134" t="s">
        <v>50</v>
      </c>
      <c r="M28" s="135">
        <f t="shared" si="0"/>
        <v>-1909.248</v>
      </c>
      <c r="N28" s="136" t="str">
        <f>VLOOKUP(C28,'Trips&amp;Operators'!$C$1:$G$99999,5,FALSE)</f>
        <v>PERKINS DARREN</v>
      </c>
      <c r="O28" s="207" t="s">
        <v>483</v>
      </c>
      <c r="P28" s="137" t="s">
        <v>506</v>
      </c>
      <c r="Q28" s="30"/>
      <c r="R28" s="84" t="e">
        <f>IF(VLOOKUP(C28,'Train Runs'!$A$13:$AE$9926,1,1)=C28,VLOOKUP(C28,'Train Runs'!$A$13:$AE$9926,31,1),NA())</f>
        <v>#N/A</v>
      </c>
      <c r="S28" s="87" t="str">
        <f>VLOOKUP(C28,'Train Runs'!$A$13:$AE$9926,22,0)</f>
        <v>https://d0f6bd738d7f1b3e5a7ca70fe4ff75f0.us-east-1.aws.found.io/app/kibana#/discover/Steve-Slow-Train-Analysis-(2080s-and-2083s)?_g=(refreshInterval:(display:Off,pause:!f,section:0,value:0),time:(from:'2017-05-21T20:40:37-0600',mode:absolute,to:'2017-05-21T23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89" t="str">
        <f t="shared" si="1"/>
        <v>"C:\Program Files (x86)\AstroGrep\AstroGrep.exe" /e /r /s /spath="%USERPROFILE%\AppData\Local\Temp\OnboardLogs" /stypes="*4040*201705220*" /stext=" 04:.+((SYSTEM_STATE.+slice.+state.+changed )|(ment ac)|(multiple cpu faults)|(system.+state.+changed )|(\[timeout)|(PRM\|1\|D)|(kpr)|(kdp)|(train st.+moving)|(\|lc)|(penalty))"</v>
      </c>
      <c r="U28" s="9" t="str">
        <f t="shared" si="2"/>
        <v>4040</v>
      </c>
      <c r="V28" s="31">
        <f t="shared" si="3"/>
        <v>42877.184560185182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{"issue":{"subject":"Wi-MAX data drop","project_id":79,"tracker_id":40,"status_id":1,"priority_id":2,"assigned_to_id":23,"start_date":"2017-05-21","description":"","custom_fields":[{"id":1,"name":"Subdivision","value":"EC"},{"id":4,"name":"Milepost","value":"14.43"},{"id":17,"name":"Train ID","value":"233-21"},{"id":16,"name":"Locomotive ID","value":"4040"},{"id":130,"name":"Impact","value":""},{"id":150,"name":"Time of Event (Mountain Time)","value":"22:25:46"},{"id":151,"name":"Denver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/cygdrive/c/Users/stu/AppData/Local/Temp/OnboardLogs/RTDC4040 --include="*4040*201705220*"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"%USERPROFILE%\AppData\Local\Temp\OnboardLogs"\RTDC4040\*4040*201705220* &gt;&gt; 2017-05-21-SliceDisagreementCheck.txt</v>
      </c>
      <c r="AE28" s="148" t="str">
        <f t="shared" si="9"/>
        <v>start /low /b %USERPROFILE%\Documents\GitHub\eaglep3\Utilities\DownloadLogsFromS3.py --loco 4040 --day 2017-05-22</v>
      </c>
      <c r="AF28" s="1"/>
    </row>
    <row r="29" spans="1:32" x14ac:dyDescent="0.25">
      <c r="A29" s="31">
        <v>42876.553032407406</v>
      </c>
      <c r="B29" s="30" t="s">
        <v>437</v>
      </c>
      <c r="C29" s="30" t="s">
        <v>600</v>
      </c>
      <c r="D29" s="30" t="s">
        <v>49</v>
      </c>
      <c r="E29" s="30" t="s">
        <v>371</v>
      </c>
      <c r="F29" s="42">
        <v>0</v>
      </c>
      <c r="G29" s="42">
        <v>655</v>
      </c>
      <c r="H29" s="42">
        <v>204171</v>
      </c>
      <c r="I29" s="42">
        <v>200875</v>
      </c>
      <c r="J29" s="30" t="s">
        <v>372</v>
      </c>
      <c r="K29" s="42">
        <v>198256</v>
      </c>
      <c r="L29" s="134" t="s">
        <v>51</v>
      </c>
      <c r="M29" s="135">
        <f t="shared" si="0"/>
        <v>1382.8320000000001</v>
      </c>
      <c r="N29" s="136" t="str">
        <f>VLOOKUP(C29,'Trips&amp;Operators'!$C$1:$G$99999,5,FALSE)</f>
        <v>ROMERO CHAD</v>
      </c>
      <c r="O29" s="207" t="s">
        <v>483</v>
      </c>
      <c r="P29" s="137" t="s">
        <v>506</v>
      </c>
      <c r="Q29" s="30"/>
      <c r="R29" s="84" t="str">
        <f>IF(VLOOKUP(C29,'Train Runs'!$A$13:$AE$9926,1,1)=C29,VLOOKUP(C29,'Train Runs'!$A$13:$AE$9926,31,1),NA())</f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S29" s="87" t="str">
        <f>VLOOKUP(C29,'Train Runs'!$A$13:$AE$9926,22,0)</f>
        <v>https://d0f6bd738d7f1b3e5a7ca70fe4ff75f0.us-east-1.aws.found.io/app/kibana#/discover/Steve-Slow-Train-Analysis-(2080s-and-2083s)?_g=(refreshInterval:(display:Off,pause:!f,section:0,value:0),time:(from:'2017-05-21T11:58:02-0600',mode:absolute,to:'2017-05-21T14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9" s="89" t="str">
        <f t="shared" si="1"/>
        <v>"C:\Program Files (x86)\AstroGrep\AstroGrep.exe" /e /r /s /spath="%USERPROFILE%\AppData\Local\Temp\OnboardLogs" /stypes="*4007*201705211*"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4007</v>
      </c>
      <c r="V29" s="31">
        <f t="shared" si="3"/>
        <v>42876.803032407406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{"issue":{"subject":"Wi-MAX data drop","project_id":79,"tracker_id":40,"status_id":1,"priority_id":2,"assigned_to_id":23,"start_date":"2017-05-21","description":"","custom_fields":[{"id":1,"name":"Subdivision","value":"EC"},{"id":4,"name":"Milepost","value":"19.8256"},{"id":17,"name":"Train ID","value":"170-21"},{"id":16,"name":"Locomotive ID","value":"4007"},{"id":130,"name":"Impact","value":""},{"id":150,"name":"Time of Event (Mountain Time)","value":"13:16:22"},{"id":151,"name":"Denver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/cygdrive/c/Users/stu/AppData/Local/Temp/OnboardLogs/RTDC4007 --include="*4007*201705211*"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"%USERPROFILE%\AppData\Local\Temp\OnboardLogs"\RTDC4007\*4007*201705211* &gt;&gt; 2017-05-21-SliceDisagreementCheck.txt</v>
      </c>
      <c r="AE29" s="148" t="str">
        <f t="shared" si="9"/>
        <v>start /low /b %USERPROFILE%\Documents\GitHub\eaglep3\Utilities\DownloadLogsFromS3.py --loco 4007 --day 2017-05-21</v>
      </c>
      <c r="AF29" s="1"/>
    </row>
    <row r="30" spans="1:32" x14ac:dyDescent="0.25">
      <c r="A30" s="31">
        <v>42876.543136574073</v>
      </c>
      <c r="B30" s="30" t="s">
        <v>488</v>
      </c>
      <c r="C30" s="30" t="s">
        <v>599</v>
      </c>
      <c r="D30" s="30" t="s">
        <v>49</v>
      </c>
      <c r="E30" s="30" t="s">
        <v>371</v>
      </c>
      <c r="F30" s="42">
        <v>0</v>
      </c>
      <c r="G30" s="42">
        <v>577</v>
      </c>
      <c r="H30" s="42">
        <v>206039</v>
      </c>
      <c r="I30" s="42">
        <v>203498</v>
      </c>
      <c r="J30" s="30" t="s">
        <v>372</v>
      </c>
      <c r="K30" s="42">
        <v>204340</v>
      </c>
      <c r="L30" s="134" t="s">
        <v>51</v>
      </c>
      <c r="M30" s="135">
        <f t="shared" si="0"/>
        <v>-444.57600000000002</v>
      </c>
      <c r="N30" s="136" t="str">
        <f>VLOOKUP(C30,'Trips&amp;Operators'!$C$1:$G$99999,5,FALSE)</f>
        <v>WHITED DUSTIN</v>
      </c>
      <c r="O30" s="207" t="s">
        <v>483</v>
      </c>
      <c r="P30" s="137" t="s">
        <v>506</v>
      </c>
      <c r="Q30" s="30"/>
      <c r="R30" s="84" t="str">
        <f>IF(VLOOKUP(C30,'Train Runs'!$A$13:$AE$9926,1,1)=C30,VLOOKUP(C30,'Train Runs'!$A$13:$AE$9926,31,1),NA())</f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S30" s="87" t="str">
        <f>VLOOKUP(C30,'Train Runs'!$A$13:$AE$9926,22,0)</f>
        <v>https://d0f6bd738d7f1b3e5a7ca70fe4ff75f0.us-east-1.aws.found.io/app/kibana#/discover/Steve-Slow-Train-Analysis-(2080s-and-2083s)?_g=(refreshInterval:(display:Off,pause:!f,section:0,value:0),time:(from:'2017-05-21T11:47:41-0600',mode:absolute,to:'2017-05-21T14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0" s="89" t="str">
        <f t="shared" si="1"/>
        <v>"C:\Program Files (x86)\AstroGrep\AstroGrep.exe" /e /r /s /spath="%USERPROFILE%\AppData\Local\Temp\OnboardLogs" /stypes="*4023*201705211*" /stext=" 19:.+((SYSTEM_STATE.+slice.+state.+changed )|(ment ac)|(multiple cpu faults)|(system.+state.+changed )|(\[timeout)|(PRM\|1\|D)|(kpr)|(kdp)|(train st.+moving)|(\|lc)|(penalty))"</v>
      </c>
      <c r="U30" s="9" t="str">
        <f t="shared" si="2"/>
        <v>4023</v>
      </c>
      <c r="V30" s="31">
        <f t="shared" si="3"/>
        <v>42876.793136574073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{"issue":{"subject":"Wi-MAX data drop","project_id":79,"tracker_id":40,"status_id":1,"priority_id":2,"assigned_to_id":23,"start_date":"2017-05-21","description":"","custom_fields":[{"id":1,"name":"Subdivision","value":"EC"},{"id":4,"name":"Milepost","value":"20.434"},{"id":17,"name":"Train ID","value":"168-21"},{"id":16,"name":"Locomotive ID","value":"4023"},{"id":130,"name":"Impact","value":""},{"id":150,"name":"Time of Event (Mountain Time)","value":"13:02:07"},{"id":151,"name":"Denver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/cygdrive/c/Users/stu/AppData/Local/Temp/OnboardLogs/RTDC4023 --include="*4023*201705211*"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"%USERPROFILE%\AppData\Local\Temp\OnboardLogs"\RTDC4023\*4023*201705211* &gt;&gt; 2017-05-21-SliceDisagreementCheck.txt</v>
      </c>
      <c r="AE30" s="148" t="str">
        <f t="shared" si="9"/>
        <v>start /low /b %USERPROFILE%\Documents\GitHub\eaglep3\Utilities\DownloadLogsFromS3.py --loco 4023 --day 2017-05-21</v>
      </c>
      <c r="AF30" s="1"/>
    </row>
    <row r="31" spans="1:32" x14ac:dyDescent="0.25">
      <c r="A31" s="31">
        <v>42876.220949074072</v>
      </c>
      <c r="B31" s="30" t="s">
        <v>479</v>
      </c>
      <c r="C31" s="30" t="s">
        <v>581</v>
      </c>
      <c r="D31" s="30" t="s">
        <v>49</v>
      </c>
      <c r="E31" s="30" t="s">
        <v>582</v>
      </c>
      <c r="F31" s="42">
        <v>0</v>
      </c>
      <c r="G31" s="42">
        <v>444</v>
      </c>
      <c r="H31" s="42">
        <v>215311</v>
      </c>
      <c r="I31" s="42">
        <v>216878</v>
      </c>
      <c r="J31" s="30" t="s">
        <v>507</v>
      </c>
      <c r="K31" s="42">
        <v>217106</v>
      </c>
      <c r="L31" s="134" t="s">
        <v>50</v>
      </c>
      <c r="M31" s="135">
        <f t="shared" si="0"/>
        <v>120.384</v>
      </c>
      <c r="N31" s="136" t="str">
        <f>VLOOKUP(C31,'Trips&amp;Operators'!$C$1:$G$99999,5,FALSE)</f>
        <v>GEBRETEKLE DAGNEW</v>
      </c>
      <c r="O31" s="207" t="s">
        <v>483</v>
      </c>
      <c r="P31" s="137" t="s">
        <v>1006</v>
      </c>
      <c r="Q31" s="30"/>
      <c r="R31" s="84" t="str">
        <f>IF(VLOOKUP(C31,'Train Runs'!$A$13:$AE$9926,1,1)=C31,VLOOKUP(C31,'Train Runs'!$A$13:$AE$9926,31,1),NA())</f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S31" s="87" t="str">
        <f>VLOOKUP(C31,'Train Runs'!$A$13:$AE$9926,22,0)</f>
        <v>https://d0f6bd738d7f1b3e5a7ca70fe4ff75f0.us-east-1.aws.found.io/app/kibana#/discover/Steve-Slow-Train-Analysis-(2080s-and-2083s)?_g=(refreshInterval:(display:Off,pause:!f,section:0,value:0),time:(from:'2017-05-21T03:40:06-0600',mode:absolute,to:'2017-05-21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1" s="89" t="str">
        <f t="shared" si="1"/>
        <v>"C:\Program Files (x86)\AstroGrep\AstroGrep.exe" /e /r /s /spath="%USERPROFILE%\AppData\Local\Temp\OnboardLogs" /stypes="*4056*201705211*" /stext=" 11:.+((SYSTEM_STATE.+slice.+state.+changed )|(ment ac)|(multiple cpu faults)|(system.+state.+changed )|(\[timeout)|(PRM\|1\|D)|(kpr)|(kdp)|(train st.+moving)|(\|lc)|(penalty))"</v>
      </c>
      <c r="U31" s="9" t="str">
        <f t="shared" si="2"/>
        <v>4056</v>
      </c>
      <c r="V31" s="31">
        <f t="shared" si="3"/>
        <v>42876.470949074072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{"issue":{"subject":"Wi-MAX data drop (78th radio down)","project_id":79,"tracker_id":40,"status_id":1,"priority_id":2,"assigned_to_id":23,"start_date":"2017-05-21","description":"","custom_fields":[{"id":1,"name":"Subdivision","value":"EC"},{"id":4,"name":"Milepost","value":"21.7106"},{"id":17,"name":"Train ID","value":"109-21"},{"id":16,"name":"Locomotive ID","value":"4056"},{"id":130,"name":"Impact","value":""},{"id":150,"name":"Time of Event (Mountain Time)","value":"05:18:10"},{"id":151,"name":"Denver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/cygdrive/c/Users/stu/AppData/Local/Temp/OnboardLogs/RTDC4056 --include="*4056*201705211*"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"%USERPROFILE%\AppData\Local\Temp\OnboardLogs"\RTDC4056\*4056*201705211* &gt;&gt; 2017-05-21-SliceDisagreementCheck.txt</v>
      </c>
      <c r="AE31" s="148" t="str">
        <f t="shared" si="9"/>
        <v>start /low /b %USERPROFILE%\Documents\GitHub\eaglep3\Utilities\DownloadLogsFromS3.py --loco 4056 --day 2017-05-21</v>
      </c>
      <c r="AF31" s="1"/>
    </row>
    <row r="32" spans="1:32" x14ac:dyDescent="0.25">
      <c r="A32" s="31">
        <v>42876.262465277781</v>
      </c>
      <c r="B32" s="30" t="s">
        <v>509</v>
      </c>
      <c r="C32" s="30" t="s">
        <v>583</v>
      </c>
      <c r="D32" s="30" t="s">
        <v>98</v>
      </c>
      <c r="E32" s="30" t="s">
        <v>582</v>
      </c>
      <c r="F32" s="42">
        <v>0</v>
      </c>
      <c r="G32" s="42">
        <v>399</v>
      </c>
      <c r="H32" s="42">
        <v>217691</v>
      </c>
      <c r="I32" s="42">
        <v>219010</v>
      </c>
      <c r="J32" s="30" t="s">
        <v>507</v>
      </c>
      <c r="K32" s="42">
        <v>217106</v>
      </c>
      <c r="L32" s="134" t="s">
        <v>50</v>
      </c>
      <c r="M32" s="135">
        <f t="shared" si="0"/>
        <v>-1005.312</v>
      </c>
      <c r="N32" s="136" t="str">
        <f>VLOOKUP(C32,'Trips&amp;Operators'!$C$1:$G$99999,5,FALSE)</f>
        <v>MACDONALD THOMAS</v>
      </c>
      <c r="O32" s="207" t="s">
        <v>483</v>
      </c>
      <c r="P32" s="137" t="s">
        <v>1006</v>
      </c>
      <c r="Q32" s="30"/>
      <c r="R32" s="84" t="str">
        <f>IF(VLOOKUP(C32,'Train Runs'!$A$13:$AE$9926,1,1)=C32,VLOOKUP(C32,'Train Runs'!$A$13:$AE$9926,31,1),NA())</f>
        <v>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 &amp; 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</v>
      </c>
      <c r="S32" s="87" t="str">
        <f>VLOOKUP(C32,'Train Runs'!$A$13:$AE$9926,22,0)</f>
        <v>https://d0f6bd738d7f1b3e5a7ca70fe4ff75f0.us-east-1.aws.found.io/app/kibana#/discover/Steve-Slow-Train-Analysis-(2080s-and-2083s)?_g=(refreshInterval:(display:Off,pause:!f,section:0,value:0),time:(from:'2017-05-21T04:43:11-0600',mode:absolute,to:'2017-05-21T07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2" s="89" t="str">
        <f t="shared" si="1"/>
        <v>"C:\Program Files (x86)\AstroGrep\AstroGrep.exe" /e /r /s /spath="%USERPROFILE%\AppData\Local\Temp\OnboardLogs" /stypes="*4010*201705211*"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4010</v>
      </c>
      <c r="V32" s="31">
        <f t="shared" si="3"/>
        <v>42876.512465277781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{"issue":{"subject":"Wi-MAX data drop (78th radio down)","project_id":79,"tracker_id":40,"status_id":1,"priority_id":2,"assigned_to_id":23,"start_date":"2017-05-21","description":"","custom_fields":[{"id":1,"name":"Subdivision","value":"EC"},{"id":4,"name":"Milepost","value":"21.7106"},{"id":17,"name":"Train ID","value":"117-21"},{"id":16,"name":"Locomotive ID","value":"4010"},{"id":130,"name":"Impact","value":""},{"id":150,"name":"Time of Event (Mountain Time)","value":"06:17:57"},{"id":151,"name":"Denver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/cygdrive/c/Users/stu/AppData/Local/Temp/OnboardLogs/RTDC4010 --include="*4010*201705211*"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"%USERPROFILE%\AppData\Local\Temp\OnboardLogs"\RTDC4010\*4010*201705211* &gt;&gt; 2017-05-21-SliceDisagreementCheck.txt</v>
      </c>
      <c r="AE32" s="148" t="str">
        <f t="shared" si="9"/>
        <v>start /low /b %USERPROFILE%\Documents\GitHub\eaglep3\Utilities\DownloadLogsFromS3.py --loco 4010 --day 2017-05-21</v>
      </c>
      <c r="AF32" s="1"/>
    </row>
    <row r="33" spans="1:32" x14ac:dyDescent="0.25">
      <c r="A33" s="31">
        <v>42876.273333333331</v>
      </c>
      <c r="B33" s="30" t="s">
        <v>386</v>
      </c>
      <c r="C33" s="30" t="s">
        <v>584</v>
      </c>
      <c r="D33" s="30" t="s">
        <v>49</v>
      </c>
      <c r="E33" s="30" t="s">
        <v>582</v>
      </c>
      <c r="F33" s="42">
        <v>0</v>
      </c>
      <c r="G33" s="42">
        <v>633</v>
      </c>
      <c r="H33" s="42">
        <v>216390</v>
      </c>
      <c r="I33" s="42">
        <v>218686</v>
      </c>
      <c r="J33" s="30" t="s">
        <v>507</v>
      </c>
      <c r="K33" s="42">
        <v>217106</v>
      </c>
      <c r="L33" s="134" t="s">
        <v>50</v>
      </c>
      <c r="M33" s="135">
        <f t="shared" si="0"/>
        <v>-834.24</v>
      </c>
      <c r="N33" s="136" t="str">
        <f>VLOOKUP(C33,'Trips&amp;Operators'!$C$1:$G$99999,5,FALSE)</f>
        <v>DAVIS WENDY</v>
      </c>
      <c r="O33" s="207" t="s">
        <v>483</v>
      </c>
      <c r="P33" s="137" t="s">
        <v>1006</v>
      </c>
      <c r="Q33" s="30"/>
      <c r="R33" s="84" t="str">
        <f>IF(VLOOKUP(C33,'Train Runs'!$A$13:$AE$9926,1,1)=C33,VLOOKUP(C33,'Train Runs'!$A$13:$AE$9926,31,1),NA())</f>
        <v>aws s3 cp s3://rtdc.mdm.uploadarchive.raw/RTDC4040/ "%USERPROFILE%\AppData\Local\Temp\OnboardLogs"\RTDC4040\2017-05-21 --exclude "*" --recursive --include "*20170521*" &amp; "%USERPROFILE%\Documents\GitHub\mrs-test-scripts\Headless Mode &amp; Sideloading\WalkAndUnGZ.bat" "%USERPROFILE%\AppData\Local\Temp\OnboardLogs"\RTDC4040\2017-05-21 &amp; aws s3 cp s3://rtdc.mdm.uploadarchive.raw/RTDC4040/ "%USERPROFILE%\AppData\Local\Temp\OnboardLogs"\RTDC4040\2017-05-22 --exclude "*" --recursive --include "*20170522*" &amp; "%USERPROFILE%\Documents\GitHub\mrs-test-scripts\Headless Mode &amp; Sideloading\WalkAndUnGZ.bat" "%USERPROFILE%\AppData\Local\Temp\OnboardLogs"\RTDC4040\2017-05-22</v>
      </c>
      <c r="S33" s="87" t="str">
        <f>VLOOKUP(C33,'Train Runs'!$A$13:$AE$9926,22,0)</f>
        <v>https://d0f6bd738d7f1b3e5a7ca70fe4ff75f0.us-east-1.aws.found.io/app/kibana#/discover/Steve-Slow-Train-Analysis-(2080s-and-2083s)?_g=(refreshInterval:(display:Off,pause:!f,section:0,value:0),time:(from:'2017-05-21T04:54:00-0600',mode:absolute,to:'2017-05-21T07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3" s="89" t="str">
        <f t="shared" si="1"/>
        <v>"C:\Program Files (x86)\AstroGrep\AstroGrep.exe" /e /r /s /spath="%USERPROFILE%\AppData\Local\Temp\OnboardLogs" /stypes="*4040*201705211*" /stext=" 12:.+((SYSTEM_STATE.+slice.+state.+changed )|(ment ac)|(multiple cpu faults)|(system.+state.+changed )|(\[timeout)|(PRM\|1\|D)|(kpr)|(kdp)|(train st.+moving)|(\|lc)|(penalty))"</v>
      </c>
      <c r="U33" s="9" t="str">
        <f t="shared" si="2"/>
        <v>4040</v>
      </c>
      <c r="V33" s="31">
        <f t="shared" si="3"/>
        <v>42876.523333333331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{"issue":{"subject":"Wi-MAX data drop (78th radio down)","project_id":79,"tracker_id":40,"status_id":1,"priority_id":2,"assigned_to_id":23,"start_date":"2017-05-21","description":"","custom_fields":[{"id":1,"name":"Subdivision","value":"EC"},{"id":4,"name":"Milepost","value":"21.7106"},{"id":17,"name":"Train ID","value":"119-21"},{"id":16,"name":"Locomotive ID","value":"4040"},{"id":130,"name":"Impact","value":""},{"id":150,"name":"Time of Event (Mountain Time)","value":"06:33:36"},{"id":151,"name":"Denver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/cygdrive/c/Users/stu/AppData/Local/Temp/OnboardLogs/RTDC4040 --include="*4040*201705211*"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"%USERPROFILE%\AppData\Local\Temp\OnboardLogs"\RTDC4040\*4040*201705211* &gt;&gt; 2017-05-21-SliceDisagreementCheck.txt</v>
      </c>
      <c r="AE33" s="148" t="str">
        <f t="shared" si="9"/>
        <v>start /low /b %USERPROFILE%\Documents\GitHub\eaglep3\Utilities\DownloadLogsFromS3.py --loco 4040 --day 2017-05-21</v>
      </c>
      <c r="AF33" s="1"/>
    </row>
    <row r="34" spans="1:32" x14ac:dyDescent="0.25">
      <c r="A34" s="31">
        <v>42876.340324074074</v>
      </c>
      <c r="B34" s="30" t="s">
        <v>482</v>
      </c>
      <c r="C34" s="30" t="s">
        <v>586</v>
      </c>
      <c r="D34" s="30" t="s">
        <v>49</v>
      </c>
      <c r="E34" s="30" t="s">
        <v>185</v>
      </c>
      <c r="F34" s="42">
        <v>0</v>
      </c>
      <c r="G34" s="42">
        <v>76</v>
      </c>
      <c r="H34" s="42">
        <v>278</v>
      </c>
      <c r="I34" s="42">
        <v>207</v>
      </c>
      <c r="J34" s="30" t="s">
        <v>186</v>
      </c>
      <c r="K34" s="42">
        <v>1</v>
      </c>
      <c r="L34" s="134" t="s">
        <v>51</v>
      </c>
      <c r="M34" s="135">
        <f t="shared" si="0"/>
        <v>108.768</v>
      </c>
      <c r="N34" s="136" t="str">
        <f>VLOOKUP(C34,'Trips&amp;Operators'!$C$1:$G$99999,5,FALSE)</f>
        <v>GEBRETEKLE DAGNEW</v>
      </c>
      <c r="O34" s="207" t="s">
        <v>184</v>
      </c>
      <c r="P34" s="137"/>
      <c r="Q34" s="30"/>
      <c r="R34" s="84" t="str">
        <f>IF(VLOOKUP(C34,'Train Runs'!$A$13:$AE$9926,1,1)=C34,VLOOKUP(C34,'Train Runs'!$A$13:$AE$9926,31,1),NA())</f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S34" s="87" t="str">
        <f>VLOOKUP(C34,'Train Runs'!$A$13:$AE$9926,22,0)</f>
        <v>https://d0f6bd738d7f1b3e5a7ca70fe4ff75f0.us-east-1.aws.found.io/app/kibana#/discover/Steve-Slow-Train-Analysis-(2080s-and-2083s)?_g=(refreshInterval:(display:Off,pause:!f,section:0,value:0),time:(from:'2017-05-21T06:20:23-0600',mode:absolute,to:'2017-05-21T09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4" s="89" t="str">
        <f t="shared" si="1"/>
        <v>"C:\Program Files (x86)\AstroGrep\AstroGrep.exe" /e /r /s /spath="%USERPROFILE%\AppData\Local\Temp\OnboardLogs" /stypes="*4055*201705211*" /stext=" 14:.+((SYSTEM_STATE.+slice.+state.+changed )|(ment ac)|(multiple cpu faults)|(system.+state.+changed )|(\[timeout)|(PRM\|1\|D)|(kpr)|(kdp)|(train st.+moving)|(\|lc)|(penalty))"</v>
      </c>
      <c r="U34" s="9" t="str">
        <f t="shared" si="2"/>
        <v>4055</v>
      </c>
      <c r="V34" s="31">
        <f t="shared" si="3"/>
        <v>42876.590324074074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{"issue":{"subject":"","project_id":79,"tracker_id":40,"status_id":1,"priority_id":2,"assigned_to_id":23,"start_date":"2017-05-21","description":"","custom_fields":[{"id":1,"name":"Subdivision","value":"EC"},{"id":4,"name":"Milepost","value":"0.0001"},{"id":17,"name":"Train ID","value":"124-21"},{"id":16,"name":"Locomotive ID","value":"4055"},{"id":130,"name":"Impact","value":""},{"id":150,"name":"Time of Event (Mountain Time)","value":"08:10:04"},{"id":151,"name":"Denver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/cygdrive/c/Users/stu/AppData/Local/Temp/OnboardLogs/RTDC4055 --include="*4055*201705211*"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"%USERPROFILE%\AppData\Local\Temp\OnboardLogs"\RTDC4055\*4055*201705211* &gt;&gt; 2017-05-21-SliceDisagreementCheck.txt</v>
      </c>
      <c r="AE34" s="148" t="str">
        <f t="shared" si="9"/>
        <v>start /low /b %USERPROFILE%\Documents\GitHub\eaglep3\Utilities\DownloadLogsFromS3.py --loco 4055 --day 2017-05-21</v>
      </c>
      <c r="AF34" s="1"/>
    </row>
    <row r="35" spans="1:32" x14ac:dyDescent="0.25">
      <c r="A35" s="31">
        <v>42876.350810185184</v>
      </c>
      <c r="B35" s="30" t="s">
        <v>488</v>
      </c>
      <c r="C35" s="30" t="s">
        <v>588</v>
      </c>
      <c r="D35" s="30" t="s">
        <v>49</v>
      </c>
      <c r="E35" s="30" t="s">
        <v>185</v>
      </c>
      <c r="F35" s="42">
        <v>0</v>
      </c>
      <c r="G35" s="42">
        <v>43</v>
      </c>
      <c r="H35" s="42">
        <v>156</v>
      </c>
      <c r="I35" s="42">
        <v>119</v>
      </c>
      <c r="J35" s="30" t="s">
        <v>186</v>
      </c>
      <c r="K35" s="42">
        <v>1</v>
      </c>
      <c r="L35" s="134" t="s">
        <v>51</v>
      </c>
      <c r="M35" s="135">
        <f t="shared" si="0"/>
        <v>62.304000000000002</v>
      </c>
      <c r="N35" s="136" t="str">
        <f>VLOOKUP(C35,'Trips&amp;Operators'!$C$1:$G$99999,5,FALSE)</f>
        <v>MAELZER KURT</v>
      </c>
      <c r="O35" s="207" t="s">
        <v>184</v>
      </c>
      <c r="P35" s="137"/>
      <c r="Q35" s="30"/>
      <c r="R35" s="84" t="str">
        <f>IF(VLOOKUP(C35,'Train Runs'!$A$13:$AE$9926,1,1)=C35,VLOOKUP(C35,'Train Runs'!$A$13:$AE$9926,31,1),NA())</f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S35" s="87" t="str">
        <f>VLOOKUP(C35,'Train Runs'!$A$13:$AE$9926,22,0)</f>
        <v>https://d0f6bd738d7f1b3e5a7ca70fe4ff75f0.us-east-1.aws.found.io/app/kibana#/discover/Steve-Slow-Train-Analysis-(2080s-and-2083s)?_g=(refreshInterval:(display:Off,pause:!f,section:0,value:0),time:(from:'2017-05-21T06:31:25-0600',mode:absolute,to:'2017-05-21T09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5" s="89" t="str">
        <f t="shared" si="1"/>
        <v>"C:\Program Files (x86)\AstroGrep\AstroGrep.exe" /e /r /s /spath="%USERPROFILE%\AppData\Local\Temp\OnboardLogs" /stypes="*4023*201705211*" /stext=" 14:.+((SYSTEM_STATE.+slice.+state.+changed )|(ment ac)|(multiple cpu faults)|(system.+state.+changed )|(\[timeout)|(PRM\|1\|D)|(kpr)|(kdp)|(train st.+moving)|(\|lc)|(penalty))"</v>
      </c>
      <c r="U35" s="9" t="str">
        <f t="shared" si="2"/>
        <v>4023</v>
      </c>
      <c r="V35" s="31">
        <f t="shared" si="3"/>
        <v>42876.600810185184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{"issue":{"subject":"","project_id":79,"tracker_id":40,"status_id":1,"priority_id":2,"assigned_to_id":23,"start_date":"2017-05-21","description":"","custom_fields":[{"id":1,"name":"Subdivision","value":"EC"},{"id":4,"name":"Milepost","value":"0.0001"},{"id":17,"name":"Train ID","value":"126-21"},{"id":16,"name":"Locomotive ID","value":"4023"},{"id":130,"name":"Impact","value":""},{"id":150,"name":"Time of Event (Mountain Time)","value":"08:25:10"},{"id":151,"name":"Denver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/cygdrive/c/Users/stu/AppData/Local/Temp/OnboardLogs/RTDC4023 --include="*4023*201705211*"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"%USERPROFILE%\AppData\Local\Temp\OnboardLogs"\RTDC4023\*4023*201705211* &gt;&gt; 2017-05-21-SliceDisagreementCheck.txt</v>
      </c>
      <c r="AE35" s="148" t="str">
        <f t="shared" si="9"/>
        <v>start /low /b %USERPROFILE%\Documents\GitHub\eaglep3\Utilities\DownloadLogsFromS3.py --loco 4023 --day 2017-05-21</v>
      </c>
      <c r="AF35" s="1"/>
    </row>
    <row r="36" spans="1:32" x14ac:dyDescent="0.25">
      <c r="A36" s="31">
        <v>42876.451620370368</v>
      </c>
      <c r="B36" s="30" t="s">
        <v>508</v>
      </c>
      <c r="C36" s="30" t="s">
        <v>593</v>
      </c>
      <c r="D36" s="30" t="s">
        <v>49</v>
      </c>
      <c r="E36" s="30" t="s">
        <v>185</v>
      </c>
      <c r="F36" s="42">
        <v>0</v>
      </c>
      <c r="G36" s="42">
        <v>88</v>
      </c>
      <c r="H36" s="42">
        <v>314</v>
      </c>
      <c r="I36" s="42">
        <v>227</v>
      </c>
      <c r="J36" s="30" t="s">
        <v>186</v>
      </c>
      <c r="K36" s="42">
        <v>1</v>
      </c>
      <c r="L36" s="134" t="s">
        <v>51</v>
      </c>
      <c r="M36" s="135">
        <f t="shared" si="0"/>
        <v>119.328</v>
      </c>
      <c r="N36" s="136" t="str">
        <f>VLOOKUP(C36,'Trips&amp;Operators'!$C$1:$G$99999,5,FALSE)</f>
        <v>MACDONALD THOMAS</v>
      </c>
      <c r="O36" s="207" t="s">
        <v>184</v>
      </c>
      <c r="P36" s="137"/>
      <c r="Q36" s="30"/>
      <c r="R36" s="84" t="str">
        <f>IF(VLOOKUP(C36,'Train Runs'!$A$13:$AE$9926,1,1)=C36,VLOOKUP(C36,'Train Runs'!$A$13:$AE$9926,31,1),NA())</f>
        <v>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 &amp; 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</v>
      </c>
      <c r="S36" s="87" t="str">
        <f>VLOOKUP(C36,'Train Runs'!$A$13:$AE$9926,22,0)</f>
        <v>https://d0f6bd738d7f1b3e5a7ca70fe4ff75f0.us-east-1.aws.found.io/app/kibana#/discover/Steve-Slow-Train-Analysis-(2080s-and-2083s)?_g=(refreshInterval:(display:Off,pause:!f,section:0,value:0),time:(from:'2017-05-21T09:09:04-0600',mode:absolute,to:'2017-05-21T11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6" s="89" t="str">
        <f t="shared" si="1"/>
        <v>"C:\Program Files (x86)\AstroGrep\AstroGrep.exe" /e /r /s /spath="%USERPROFILE%\AppData\Local\Temp\OnboardLogs" /stypes="*4009*201705211*" /stext=" 16:.+((SYSTEM_STATE.+slice.+state.+changed )|(ment ac)|(multiple cpu faults)|(system.+state.+changed )|(\[timeout)|(PRM\|1\|D)|(kpr)|(kdp)|(train st.+moving)|(\|lc)|(penalty))"</v>
      </c>
      <c r="U36" s="9" t="str">
        <f t="shared" si="2"/>
        <v>4009</v>
      </c>
      <c r="V36" s="31">
        <f t="shared" si="3"/>
        <v>42876.701620370368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{"issue":{"subject":"","project_id":79,"tracker_id":40,"status_id":1,"priority_id":2,"assigned_to_id":23,"start_date":"2017-05-21","description":"","custom_fields":[{"id":1,"name":"Subdivision","value":"EC"},{"id":4,"name":"Milepost","value":"0.0001"},{"id":17,"name":"Train ID","value":"146-21"},{"id":16,"name":"Locomotive ID","value":"4009"},{"id":130,"name":"Impact","value":""},{"id":150,"name":"Time of Event (Mountain Time)","value":"10:50:20"},{"id":151,"name":"Denver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/cygdrive/c/Users/stu/AppData/Local/Temp/OnboardLogs/RTDC4009 --include="*4009*201705211*"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"%USERPROFILE%\AppData\Local\Temp\OnboardLogs"\RTDC4009\*4009*201705211* &gt;&gt; 2017-05-21-SliceDisagreementCheck.txt</v>
      </c>
      <c r="AE36" s="148" t="str">
        <f t="shared" si="9"/>
        <v>start /low /b %USERPROFILE%\Documents\GitHub\eaglep3\Utilities\DownloadLogsFromS3.py --loco 4009 --day 2017-05-21</v>
      </c>
      <c r="AF36" s="1"/>
    </row>
    <row r="37" spans="1:32" x14ac:dyDescent="0.25">
      <c r="A37" s="31">
        <v>42876.492442129631</v>
      </c>
      <c r="B37" s="30" t="s">
        <v>488</v>
      </c>
      <c r="C37" s="30" t="s">
        <v>596</v>
      </c>
      <c r="D37" s="30" t="s">
        <v>49</v>
      </c>
      <c r="E37" s="30" t="s">
        <v>185</v>
      </c>
      <c r="F37" s="42">
        <v>0</v>
      </c>
      <c r="G37" s="42">
        <v>138</v>
      </c>
      <c r="H37" s="42">
        <v>980</v>
      </c>
      <c r="I37" s="42">
        <v>741</v>
      </c>
      <c r="J37" s="30" t="s">
        <v>186</v>
      </c>
      <c r="K37" s="42">
        <v>1</v>
      </c>
      <c r="L37" s="134" t="s">
        <v>51</v>
      </c>
      <c r="M37" s="135">
        <f t="shared" si="0"/>
        <v>390.72</v>
      </c>
      <c r="N37" s="136" t="str">
        <f>VLOOKUP(C37,'Trips&amp;Operators'!$C$1:$G$99999,5,FALSE)</f>
        <v>WHITED DUSTIN</v>
      </c>
      <c r="O37" s="207" t="s">
        <v>184</v>
      </c>
      <c r="P37" s="137"/>
      <c r="Q37" s="30"/>
      <c r="R37" s="84" t="str">
        <f>IF(VLOOKUP(C37,'Train Runs'!$A$13:$AE$9926,1,1)=C37,VLOOKUP(C37,'Train Runs'!$A$13:$AE$9926,31,1),NA())</f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S37" s="87" t="str">
        <f>VLOOKUP(C37,'Train Runs'!$A$13:$AE$9926,22,0)</f>
        <v>https://d0f6bd738d7f1b3e5a7ca70fe4ff75f0.us-east-1.aws.found.io/app/kibana#/discover/Steve-Slow-Train-Analysis-(2080s-and-2083s)?_g=(refreshInterval:(display:Off,pause:!f,section:0,value:0),time:(from:'2017-05-21T10:03:50-0600',mode:absolute,to:'2017-05-21T12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7" s="89" t="str">
        <f t="shared" si="1"/>
        <v>"C:\Program Files (x86)\AstroGrep\AstroGrep.exe" /e /r /s /spath="%USERPROFILE%\AppData\Local\Temp\OnboardLogs" /stypes="*4023*201705211*" /stext=" 17:.+((SYSTEM_STATE.+slice.+state.+changed )|(ment ac)|(multiple cpu faults)|(system.+state.+changed )|(\[timeout)|(PRM\|1\|D)|(kpr)|(kdp)|(train st.+moving)|(\|lc)|(penalty))"</v>
      </c>
      <c r="U37" s="9" t="str">
        <f t="shared" si="2"/>
        <v>4023</v>
      </c>
      <c r="V37" s="31">
        <f t="shared" si="3"/>
        <v>42876.742442129631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{"issue":{"subject":"","project_id":79,"tracker_id":40,"status_id":1,"priority_id":2,"assigned_to_id":23,"start_date":"2017-05-21","description":"","custom_fields":[{"id":1,"name":"Subdivision","value":"EC"},{"id":4,"name":"Milepost","value":"0.0001"},{"id":17,"name":"Train ID","value":"154-21"},{"id":16,"name":"Locomotive ID","value":"4023"},{"id":130,"name":"Impact","value":""},{"id":150,"name":"Time of Event (Mountain Time)","value":"11:49:07"},{"id":151,"name":"Denver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/cygdrive/c/Users/stu/AppData/Local/Temp/OnboardLogs/RTDC4023 --include="*4023*201705211*"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"%USERPROFILE%\AppData\Local\Temp\OnboardLogs"\RTDC4023\*4023*201705211* &gt;&gt; 2017-05-21-SliceDisagreementCheck.txt</v>
      </c>
      <c r="AE37" s="148" t="str">
        <f t="shared" si="9"/>
        <v>start /low /b %USERPROFILE%\Documents\GitHub\eaglep3\Utilities\DownloadLogsFromS3.py --loco 4023 --day 2017-05-21</v>
      </c>
      <c r="AF37" s="1"/>
    </row>
    <row r="38" spans="1:32" x14ac:dyDescent="0.25">
      <c r="A38" s="31">
        <v>42876.492974537039</v>
      </c>
      <c r="B38" s="30" t="s">
        <v>488</v>
      </c>
      <c r="C38" s="30" t="s">
        <v>596</v>
      </c>
      <c r="D38" s="30" t="s">
        <v>49</v>
      </c>
      <c r="E38" s="30" t="s">
        <v>185</v>
      </c>
      <c r="F38" s="42">
        <v>0</v>
      </c>
      <c r="G38" s="42">
        <v>89</v>
      </c>
      <c r="H38" s="42">
        <v>444</v>
      </c>
      <c r="I38" s="42">
        <v>364</v>
      </c>
      <c r="J38" s="30" t="s">
        <v>186</v>
      </c>
      <c r="K38" s="42">
        <v>1</v>
      </c>
      <c r="L38" s="134" t="s">
        <v>51</v>
      </c>
      <c r="M38" s="135">
        <f t="shared" si="0"/>
        <v>191.66399999999999</v>
      </c>
      <c r="N38" s="136" t="str">
        <f>VLOOKUP(C38,'Trips&amp;Operators'!$C$1:$G$99999,5,FALSE)</f>
        <v>WHITED DUSTIN</v>
      </c>
      <c r="O38" s="207" t="s">
        <v>184</v>
      </c>
      <c r="P38" s="137"/>
      <c r="Q38" s="30"/>
      <c r="R38" s="84" t="str">
        <f>IF(VLOOKUP(C38,'Train Runs'!$A$13:$AE$9926,1,1)=C38,VLOOKUP(C38,'Train Runs'!$A$13:$AE$9926,31,1),NA())</f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S38" s="87" t="str">
        <f>VLOOKUP(C38,'Train Runs'!$A$13:$AE$9926,22,0)</f>
        <v>https://d0f6bd738d7f1b3e5a7ca70fe4ff75f0.us-east-1.aws.found.io/app/kibana#/discover/Steve-Slow-Train-Analysis-(2080s-and-2083s)?_g=(refreshInterval:(display:Off,pause:!f,section:0,value:0),time:(from:'2017-05-21T10:03:50-0600',mode:absolute,to:'2017-05-21T12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8" s="89" t="str">
        <f t="shared" si="1"/>
        <v>"C:\Program Files (x86)\AstroGrep\AstroGrep.exe" /e /r /s /spath="%USERPROFILE%\AppData\Local\Temp\OnboardLogs" /stypes="*4023*201705211*" /stext=" 17:.+((SYSTEM_STATE.+slice.+state.+changed )|(ment ac)|(multiple cpu faults)|(system.+state.+changed )|(\[timeout)|(PRM\|1\|D)|(kpr)|(kdp)|(train st.+moving)|(\|lc)|(penalty))"</v>
      </c>
      <c r="U38" s="9" t="str">
        <f t="shared" si="2"/>
        <v>4023</v>
      </c>
      <c r="V38" s="31">
        <f t="shared" si="3"/>
        <v>42876.742974537039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{"issue":{"subject":"","project_id":79,"tracker_id":40,"status_id":1,"priority_id":2,"assigned_to_id":23,"start_date":"2017-05-21","description":"","custom_fields":[{"id":1,"name":"Subdivision","value":"EC"},{"id":4,"name":"Milepost","value":"0.0001"},{"id":17,"name":"Train ID","value":"154-21"},{"id":16,"name":"Locomotive ID","value":"4023"},{"id":130,"name":"Impact","value":""},{"id":150,"name":"Time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/cygdrive/c/Users/stu/AppData/Local/Temp/OnboardLogs/RTDC4023 --include="*4023*201705211*"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"%USERPROFILE%\AppData\Local\Temp\OnboardLogs"\RTDC4023\*4023*201705211* &gt;&gt; 2017-05-21-SliceDisagreementCheck.txt</v>
      </c>
      <c r="AE38" s="148" t="str">
        <f t="shared" si="9"/>
        <v>start /low /b %USERPROFILE%\Documents\GitHub\eaglep3\Utilities\DownloadLogsFromS3.py --loco 4023 --day 2017-05-21</v>
      </c>
      <c r="AF38" s="1"/>
    </row>
    <row r="39" spans="1:32" x14ac:dyDescent="0.25">
      <c r="A39" s="31">
        <v>42876.493356481478</v>
      </c>
      <c r="B39" s="30" t="s">
        <v>488</v>
      </c>
      <c r="C39" s="30" t="s">
        <v>596</v>
      </c>
      <c r="D39" s="30" t="s">
        <v>49</v>
      </c>
      <c r="E39" s="30" t="s">
        <v>185</v>
      </c>
      <c r="F39" s="42">
        <v>0</v>
      </c>
      <c r="G39" s="42">
        <v>42</v>
      </c>
      <c r="H39" s="42">
        <v>307</v>
      </c>
      <c r="I39" s="42">
        <v>289</v>
      </c>
      <c r="J39" s="30" t="s">
        <v>186</v>
      </c>
      <c r="K39" s="42">
        <v>1</v>
      </c>
      <c r="L39" s="134" t="s">
        <v>51</v>
      </c>
      <c r="M39" s="135">
        <f t="shared" ref="M39:M56" si="10">CONVERT((I39-K39)/10000,"mi","ft")*IF(L39="Increasing Mileposts (1)",-1,1)</f>
        <v>152.06399999999999</v>
      </c>
      <c r="N39" s="136" t="str">
        <f>VLOOKUP(C39,'Trips&amp;Operators'!$C$1:$G$99999,5,FALSE)</f>
        <v>WHITED DUSTIN</v>
      </c>
      <c r="O39" s="207" t="s">
        <v>184</v>
      </c>
      <c r="P39" s="137"/>
      <c r="Q39" s="30"/>
      <c r="R39" s="84" t="str">
        <f>IF(VLOOKUP(C39,'Train Runs'!$A$13:$AE$9926,1,1)=C39,VLOOKUP(C39,'Train Runs'!$A$13:$AE$9926,31,1),NA())</f>
        <v>aws s3 cp s3://rtdc.mdm.uploadarchive.raw/RTDC4023/ "%USERPROFILE%\AppData\Local\Temp\OnboardLogs"\RTDC4023\2017-05-21 --exclude "*" --recursive --include "*20170521*" &amp; "%USERPROFILE%\Documents\GitHub\mrs-test-scripts\Headless Mode &amp; Sideloading\WalkAndUnGZ.bat" "%USERPROFILE%\AppData\Local\Temp\OnboardLogs"\RTDC4023\2017-05-21 &amp; aws s3 cp s3://rtdc.mdm.uploadarchive.raw/RTDC4023/ "%USERPROFILE%\AppData\Local\Temp\OnboardLogs"\RTDC4023\2017-05-22 --exclude "*" --recursive --include "*20170522*" &amp; "%USERPROFILE%\Documents\GitHub\mrs-test-scripts\Headless Mode &amp; Sideloading\WalkAndUnGZ.bat" "%USERPROFILE%\AppData\Local\Temp\OnboardLogs"\RTDC4023\2017-05-22</v>
      </c>
      <c r="S39" s="87" t="str">
        <f>VLOOKUP(C39,'Train Runs'!$A$13:$AE$9926,22,0)</f>
        <v>https://d0f6bd738d7f1b3e5a7ca70fe4ff75f0.us-east-1.aws.found.io/app/kibana#/discover/Steve-Slow-Train-Analysis-(2080s-and-2083s)?_g=(refreshInterval:(display:Off,pause:!f,section:0,value:0),time:(from:'2017-05-21T10:03:50-0600',mode:absolute,to:'2017-05-21T12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9" s="89" t="str">
        <f t="shared" ref="T39:T56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/stypes="*4023*201705211*" /stext=" 17:.+((SYSTEM_STATE.+slice.+state.+changed )|(ment ac)|(multiple cpu faults)|(system.+state.+changed )|(\[timeout)|(PRM\|1\|D)|(kpr)|(kdp)|(train st.+moving)|(\|lc)|(penalty))"</v>
      </c>
      <c r="U39" s="9" t="str">
        <f t="shared" ref="U39:U56" si="12">MID(B39,13,4)</f>
        <v>4023</v>
      </c>
      <c r="V39" s="31">
        <f t="shared" ref="V39:V56" si="13">A39-utc_offset/24</f>
        <v>42876.743356481478</v>
      </c>
      <c r="W39" s="45" t="str">
        <f t="shared" ref="W39:W56" si="14">IFERROR(IF(VALUE(LEFT(IF(LEN(C39)=6,"0"&amp;C39,C39),2))&lt;=2,"EC",IF(OR(VALUE(LEFT(IF(LEN(C39)=6,"0"&amp;C39,C39),2))=8,VALUE(LEFT(IF(LEN(C39)=6,"0"&amp;C39,C39),2))=18),"NW","Other")),"Other")</f>
        <v>EC</v>
      </c>
      <c r="X39" s="45" t="str">
        <f t="shared" ref="X39:X56" si="15">IF(AND(E39="TRACK WARRANT AUTHORITY",G39&lt;10),"OMIT","KEEP")</f>
        <v>KEEP</v>
      </c>
      <c r="Y39" s="99" t="str">
        <f t="shared" ref="Y39:Y56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{"issue":{"subject":"","project_id":79,"tracker_id":40,"status_id":1,"priority_id":2,"assigned_to_id":23,"start_date":"2017-05-21","description":"","custom_fields":[{"id":1,"name":"Subdivision","value":"EC"},{"id":4,"name":"Milepost","value":"0.0001"},{"id":17,"name":"Train ID","value":"154-21"},{"id":16,"name":"Locomotive ID","value":"4023"},{"id":130,"name":"Impact","value":""},{"id":150,"name":"Time of Event (Mountain Time)","value":"11:50:26"},{"id":151,"name":"Denver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56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/cygdrive/c/Users/stu/AppData/Local/Temp/OnboardLogs/RTDC4023 --include="*4023*201705211*"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"%USERPROFILE%\AppData\Local\Temp\OnboardLogs"\RTDC4023\*4023*201705211* &gt;&gt; 2017-05-21-SliceDisagreementCheck.txt</v>
      </c>
      <c r="AE39" s="148" t="str">
        <f t="shared" si="9"/>
        <v>start /low /b %USERPROFILE%\Documents\GitHub\eaglep3\Utilities\DownloadLogsFromS3.py --loco 4023 --day 2017-05-21</v>
      </c>
      <c r="AF39" s="1"/>
    </row>
    <row r="40" spans="1:32" x14ac:dyDescent="0.25">
      <c r="A40" s="31">
        <v>42876.66978009259</v>
      </c>
      <c r="B40" s="30" t="s">
        <v>508</v>
      </c>
      <c r="C40" s="30" t="s">
        <v>602</v>
      </c>
      <c r="D40" s="30" t="s">
        <v>49</v>
      </c>
      <c r="E40" s="30" t="s">
        <v>185</v>
      </c>
      <c r="F40" s="42">
        <v>0</v>
      </c>
      <c r="G40" s="42">
        <v>92</v>
      </c>
      <c r="H40" s="42">
        <v>327</v>
      </c>
      <c r="I40" s="42">
        <v>225</v>
      </c>
      <c r="J40" s="30" t="s">
        <v>186</v>
      </c>
      <c r="K40" s="42">
        <v>1</v>
      </c>
      <c r="L40" s="134" t="s">
        <v>51</v>
      </c>
      <c r="M40" s="135">
        <f t="shared" si="10"/>
        <v>118.27200000000001</v>
      </c>
      <c r="N40" s="136" t="str">
        <f>VLOOKUP(C40,'Trips&amp;Operators'!$C$1:$G$99999,5,FALSE)</f>
        <v>MCREYNOLDS KYLE</v>
      </c>
      <c r="O40" s="207" t="s">
        <v>184</v>
      </c>
      <c r="P40" s="137"/>
      <c r="Q40" s="30"/>
      <c r="R40" s="84" t="e">
        <f>IF(VLOOKUP(C40,'Train Runs'!$A$13:$AE$9926,1,1)=C40,VLOOKUP(C40,'Train Runs'!$A$13:$AE$9926,31,1),NA())</f>
        <v>#N/A</v>
      </c>
      <c r="S40" s="87" t="str">
        <f>VLOOKUP(C40,'Train Runs'!$A$13:$AE$9926,22,0)</f>
        <v>https://d0f6bd738d7f1b3e5a7ca70fe4ff75f0.us-east-1.aws.found.io/app/kibana#/discover/Steve-Slow-Train-Analysis-(2080s-and-2083s)?_g=(refreshInterval:(display:Off,pause:!f,section:0,value:0),time:(from:'2017-05-21T14:17:53-0600',mode:absolute,to:'2017-05-21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0" s="89" t="str">
        <f t="shared" si="11"/>
        <v>"C:\Program Files (x86)\AstroGrep\AstroGrep.exe" /e /r /s /spath="%USERPROFILE%\AppData\Local\Temp\OnboardLogs" /stypes="*4009*201705212*" /stext=" 22:.+((SYSTEM_STATE.+slice.+state.+changed )|(ment ac)|(multiple cpu faults)|(system.+state.+changed )|(\[timeout)|(PRM\|1\|D)|(kpr)|(kdp)|(train st.+moving)|(\|lc)|(penalty))"</v>
      </c>
      <c r="U40" s="9" t="str">
        <f t="shared" si="12"/>
        <v>4009</v>
      </c>
      <c r="V40" s="31">
        <f t="shared" si="13"/>
        <v>42876.91978009259</v>
      </c>
      <c r="W40" s="45" t="str">
        <f t="shared" si="14"/>
        <v>EC</v>
      </c>
      <c r="X40" s="45" t="str">
        <f t="shared" si="15"/>
        <v>KEEP</v>
      </c>
      <c r="Y40" s="99" t="str">
        <f t="shared" si="16"/>
        <v>echo {"issue":{"subject":"","project_id":79,"tracker_id":40,"status_id":1,"priority_id":2,"assigned_to_id":23,"start_date":"2017-05-21","description":"","custom_fields":[{"id":1,"name":"Subdivision","value":"EC"},{"id":4,"name":"Milepost","value":"0.0001"},{"id":17,"name":"Train ID","value":"188-21"},{"id":16,"name":"Locomotive ID","value":"4009"},{"id":130,"name":"Impact","value":""},{"id":150,"name":"Time of Event (Mountain Time)","value":"16:04:29"},{"id":151,"name":"Denver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/cygdrive/c/Users/stu/AppData/Local/Temp/OnboardLogs/RTDC4009 --include="*4009*201705212*"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"%USERPROFILE%\AppData\Local\Temp\OnboardLogs"\RTDC4009\*4009*201705212* &gt;&gt; 2017-05-21-SliceDisagreementCheck.txt</v>
      </c>
      <c r="AE40" s="148" t="str">
        <f t="shared" si="9"/>
        <v>start /low /b %USERPROFILE%\Documents\GitHub\eaglep3\Utilities\DownloadLogsFromS3.py --loco 4009 --day 2017-05-21</v>
      </c>
      <c r="AF40" s="1"/>
    </row>
    <row r="41" spans="1:32" x14ac:dyDescent="0.25">
      <c r="A41" s="31">
        <v>42876.983865740738</v>
      </c>
      <c r="B41" s="30" t="s">
        <v>383</v>
      </c>
      <c r="C41" s="30" t="s">
        <v>616</v>
      </c>
      <c r="D41" s="30" t="s">
        <v>49</v>
      </c>
      <c r="E41" s="30" t="s">
        <v>185</v>
      </c>
      <c r="F41" s="42">
        <v>0</v>
      </c>
      <c r="G41" s="42">
        <v>92</v>
      </c>
      <c r="H41" s="42">
        <v>336</v>
      </c>
      <c r="I41" s="42">
        <v>223</v>
      </c>
      <c r="J41" s="30" t="s">
        <v>186</v>
      </c>
      <c r="K41" s="42">
        <v>1</v>
      </c>
      <c r="L41" s="134" t="s">
        <v>51</v>
      </c>
      <c r="M41" s="135">
        <f t="shared" si="10"/>
        <v>117.21599999999999</v>
      </c>
      <c r="N41" s="136" t="str">
        <f>VLOOKUP(C41,'Trips&amp;Operators'!$C$1:$G$99999,5,FALSE)</f>
        <v>PERKINS DARREN</v>
      </c>
      <c r="O41" s="207" t="s">
        <v>184</v>
      </c>
      <c r="P41" s="137"/>
      <c r="Q41" s="30"/>
      <c r="R41" s="84" t="e">
        <f>IF(VLOOKUP(C41,'Train Runs'!$A$13:$AE$9926,1,1)=C41,VLOOKUP(C41,'Train Runs'!$A$13:$AE$9926,31,1),NA())</f>
        <v>#N/A</v>
      </c>
      <c r="S41" s="87" t="str">
        <f>VLOOKUP(C41,'Train Runs'!$A$13:$AE$9926,22,0)</f>
        <v>https://d0f6bd738d7f1b3e5a7ca70fe4ff75f0.us-east-1.aws.found.io/app/kibana#/discover/Steve-Slow-Train-Analysis-(2080s-and-2083s)?_g=(refreshInterval:(display:Off,pause:!f,section:0,value:0),time:(from:'2017-05-21T21:40:48-0600',mode:absolute,to:'2017-05-22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1" s="89" t="str">
        <f t="shared" si="11"/>
        <v>"C:\Program Files (x86)\AstroGrep\AstroGrep.exe" /e /r /s /spath="%USERPROFILE%\AppData\Local\Temp\OnboardLogs" /stypes="*4039*201705220*" /stext=" 05:.+((SYSTEM_STATE.+slice.+state.+changed )|(ment ac)|(multiple cpu faults)|(system.+state.+changed )|(\[timeout)|(PRM\|1\|D)|(kpr)|(kdp)|(train st.+moving)|(\|lc)|(penalty))"</v>
      </c>
      <c r="U41" s="9" t="str">
        <f t="shared" si="12"/>
        <v>4039</v>
      </c>
      <c r="V41" s="31">
        <f t="shared" si="13"/>
        <v>42877.233865740738</v>
      </c>
      <c r="W41" s="45" t="str">
        <f t="shared" si="14"/>
        <v>EC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{"issue":{"subject":"","project_id":79,"tracker_id":40,"status_id":1,"priority_id":2,"assigned_to_id":23,"start_date":"2017-05-21","description":"","custom_fields":[{"id":1,"name":"Subdivision","value":"EC"},{"id":4,"name":"Milepost","value":"0.0001"},{"id":17,"name":"Train ID","value":"234-21"},{"id":16,"name":"Locomotive ID","value":"4039"},{"id":130,"name":"Impact","value":""},{"id":150,"name":"Time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/cygdrive/c/Users/stu/AppData/Local/Temp/OnboardLogs/RTDC4039 --include="*4039*201705220*"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"%USERPROFILE%\AppData\Local\Temp\OnboardLogs"\RTDC4039\*4039*201705220* &gt;&gt; 2017-05-21-SliceDisagreementCheck.txt</v>
      </c>
      <c r="AE41" s="148" t="str">
        <f t="shared" si="9"/>
        <v>start /low /b %USERPROFILE%\Documents\GitHub\eaglep3\Utilities\DownloadLogsFromS3.py --loco 4039 --day 2017-05-22</v>
      </c>
      <c r="AF41" s="1"/>
    </row>
    <row r="42" spans="1:32" x14ac:dyDescent="0.25">
      <c r="A42" s="31">
        <v>42876.400578703702</v>
      </c>
      <c r="B42" s="30" t="s">
        <v>417</v>
      </c>
      <c r="C42" s="30" t="s">
        <v>591</v>
      </c>
      <c r="D42" s="30" t="s">
        <v>49</v>
      </c>
      <c r="E42" s="30" t="s">
        <v>185</v>
      </c>
      <c r="F42" s="42">
        <v>0</v>
      </c>
      <c r="G42" s="42">
        <v>47</v>
      </c>
      <c r="H42" s="42">
        <v>233314</v>
      </c>
      <c r="I42" s="42">
        <v>233343</v>
      </c>
      <c r="J42" s="30" t="s">
        <v>186</v>
      </c>
      <c r="K42" s="42">
        <v>233491</v>
      </c>
      <c r="L42" s="134" t="s">
        <v>50</v>
      </c>
      <c r="M42" s="135">
        <f t="shared" si="10"/>
        <v>78.144000000000005</v>
      </c>
      <c r="N42" s="136" t="str">
        <f>VLOOKUP(C42,'Trips&amp;Operators'!$C$1:$G$99999,5,FALSE)</f>
        <v>WILLIAMS DONTE</v>
      </c>
      <c r="O42" s="207" t="s">
        <v>184</v>
      </c>
      <c r="P42" s="137"/>
      <c r="Q42" s="30"/>
      <c r="R42" s="84" t="str">
        <f>IF(VLOOKUP(C42,'Train Runs'!$A$13:$AE$9926,1,1)=C42,VLOOKUP(C42,'Train Runs'!$A$13:$AE$9926,31,1),NA())</f>
        <v>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 &amp; aws s3 cp s3://rtdc.mdm.uploadarchive.raw/RTDC4002/ "%USERPROFILE%\AppData\Local\Temp\OnboardLogs"\RTDC4002\2017-05-22 --exclude "*" --recursive --include "*20170522*" &amp; "%USERPROFILE%\Documents\GitHub\mrs-test-scripts\Headless Mode &amp; Sideloading\WalkAndUnGZ.bat" "%USERPROFILE%\AppData\Local\Temp\OnboardLogs"\RTDC4002\2017-05-22</v>
      </c>
      <c r="S42" s="87" t="str">
        <f>VLOOKUP(C42,'Train Runs'!$A$13:$AE$9926,22,0)</f>
        <v>https://d0f6bd738d7f1b3e5a7ca70fe4ff75f0.us-east-1.aws.found.io/app/kibana#/discover/Steve-Slow-Train-Analysis-(2080s-and-2083s)?_g=(refreshInterval:(display:Off,pause:!f,section:0,value:0),time:(from:'2017-05-21T07:58:43-0600',mode:absolute,to:'2017-05-21T10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2" s="89" t="str">
        <f t="shared" si="11"/>
        <v>"C:\Program Files (x86)\AstroGrep\AstroGrep.exe" /e /r /s /spath="%USERPROFILE%\AppData\Local\Temp\OnboardLogs" /stypes="*4002*201705211*" /stext=" 15:.+((SYSTEM_STATE.+slice.+state.+changed )|(ment ac)|(multiple cpu faults)|(system.+state.+changed )|(\[timeout)|(PRM\|1\|D)|(kpr)|(kdp)|(train st.+moving)|(\|lc)|(penalty))"</v>
      </c>
      <c r="U42" s="9" t="str">
        <f t="shared" si="12"/>
        <v>4002</v>
      </c>
      <c r="V42" s="31">
        <f t="shared" si="13"/>
        <v>42876.650578703702</v>
      </c>
      <c r="W42" s="45" t="str">
        <f t="shared" si="14"/>
        <v>EC</v>
      </c>
      <c r="X42" s="45" t="str">
        <f t="shared" si="15"/>
        <v>KEEP</v>
      </c>
      <c r="Y42" s="99" t="str">
        <f t="shared" si="16"/>
        <v>echo {"issue":{"subject":"","project_id":79,"tracker_id":40,"status_id":1,"priority_id":2,"assigned_to_id":23,"start_date":"2017-05-21","description":"","custom_fields":[{"id":1,"name":"Subdivision","value":"EC"},{"id":4,"name":"Milepost","value":"23.3491"},{"id":17,"name":"Train ID","value":"143-21"},{"id":16,"name":"Locomotive ID","value":"4002"},{"id":130,"name":"Impact","value":""},{"id":150,"name":"Time of Event (Mountain Time)","value":"09:36:50"},{"id":151,"name":"Denver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/cygdrive/c/Users/stu/AppData/Local/Temp/OnboardLogs/RTDC4002 --include="*4002*201705211*"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"%USERPROFILE%\AppData\Local\Temp\OnboardLogs"\RTDC4002\*4002*201705211* &gt;&gt; 2017-05-21-SliceDisagreementCheck.txt</v>
      </c>
      <c r="AE42" s="148" t="str">
        <f t="shared" si="9"/>
        <v>start /low /b %USERPROFILE%\Documents\GitHub\eaglep3\Utilities\DownloadLogsFromS3.py --loco 4002 --day 2017-05-21</v>
      </c>
      <c r="AF42" s="1"/>
    </row>
    <row r="43" spans="1:32" x14ac:dyDescent="0.25">
      <c r="A43" s="31">
        <v>42876.608368055553</v>
      </c>
      <c r="B43" s="30" t="s">
        <v>436</v>
      </c>
      <c r="C43" s="30" t="s">
        <v>601</v>
      </c>
      <c r="D43" s="30" t="s">
        <v>49</v>
      </c>
      <c r="E43" s="30" t="s">
        <v>185</v>
      </c>
      <c r="F43" s="42">
        <v>0</v>
      </c>
      <c r="G43" s="42">
        <v>43</v>
      </c>
      <c r="H43" s="42">
        <v>233435</v>
      </c>
      <c r="I43" s="42">
        <v>233470</v>
      </c>
      <c r="J43" s="30" t="s">
        <v>186</v>
      </c>
      <c r="K43" s="42">
        <v>233491</v>
      </c>
      <c r="L43" s="134" t="s">
        <v>50</v>
      </c>
      <c r="M43" s="135">
        <f t="shared" si="10"/>
        <v>11.087999999999999</v>
      </c>
      <c r="N43" s="136" t="str">
        <f>VLOOKUP(C43,'Trips&amp;Operators'!$C$1:$G$99999,5,FALSE)</f>
        <v>ROMERO CHAD</v>
      </c>
      <c r="O43" s="207" t="s">
        <v>184</v>
      </c>
      <c r="P43" s="137"/>
      <c r="Q43" s="30"/>
      <c r="R43" s="84" t="e">
        <f>IF(VLOOKUP(C43,'Train Runs'!$A$13:$AE$9926,1,1)=C43,VLOOKUP(C43,'Train Runs'!$A$13:$AE$9926,31,1),NA())</f>
        <v>#N/A</v>
      </c>
      <c r="S43" s="87" t="str">
        <f>VLOOKUP(C43,'Train Runs'!$A$13:$AE$9926,22,0)</f>
        <v>https://d0f6bd738d7f1b3e5a7ca70fe4ff75f0.us-east-1.aws.found.io/app/kibana#/discover/Steve-Slow-Train-Analysis-(2080s-and-2083s)?_g=(refreshInterval:(display:Off,pause:!f,section:0,value:0),time:(from:'2017-05-21T12:53:14-0600',mode:absolute,to:'2017-05-21T15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3" s="89" t="str">
        <f t="shared" si="11"/>
        <v>"C:\Program Files (x86)\AstroGrep\AstroGrep.exe" /e /r /s /spath="%USERPROFILE%\AppData\Local\Temp\OnboardLogs" /stypes="*4008*201705212*" /stext=" 20:.+((SYSTEM_STATE.+slice.+state.+changed )|(ment ac)|(multiple cpu faults)|(system.+state.+changed )|(\[timeout)|(PRM\|1\|D)|(kpr)|(kdp)|(train st.+moving)|(\|lc)|(penalty))"</v>
      </c>
      <c r="U43" s="9" t="str">
        <f t="shared" si="12"/>
        <v>4008</v>
      </c>
      <c r="V43" s="31">
        <f t="shared" si="13"/>
        <v>42876.858368055553</v>
      </c>
      <c r="W43" s="45" t="str">
        <f t="shared" si="14"/>
        <v>EC</v>
      </c>
      <c r="X43" s="45" t="str">
        <f t="shared" si="15"/>
        <v>KEEP</v>
      </c>
      <c r="Y43" s="99" t="str">
        <f t="shared" si="16"/>
        <v>echo {"issue":{"subject":"","project_id":79,"tracker_id":40,"status_id":1,"priority_id":2,"assigned_to_id":23,"start_date":"2017-05-21","description":"","custom_fields":[{"id":1,"name":"Subdivision","value":"EC"},{"id":4,"name":"Milepost","value":"23.3491"},{"id":17,"name":"Train ID","value":"183-21"},{"id":16,"name":"Locomotive ID","value":"4008"},{"id":130,"name":"Impact","value":""},{"id":150,"name":"Time of Event (Mountain Time)","value":"14:36:03"},{"id":151,"name":"Denver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/cygdrive/c/Users/stu/AppData/Local/Temp/OnboardLogs/RTDC4008 --include="*4008*201705212*"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"%USERPROFILE%\AppData\Local\Temp\OnboardLogs"\RTDC4008\*4008*201705212* &gt;&gt; 2017-05-21-SliceDisagreementCheck.txt</v>
      </c>
      <c r="AE43" s="148" t="str">
        <f t="shared" si="9"/>
        <v>start /low /b %USERPROFILE%\Documents\GitHub\eaglep3\Utilities\DownloadLogsFromS3.py --loco 4008 --day 2017-05-21</v>
      </c>
      <c r="AF43" s="1"/>
    </row>
    <row r="44" spans="1:32" x14ac:dyDescent="0.25">
      <c r="A44" s="31">
        <v>42876.680810185186</v>
      </c>
      <c r="B44" s="30" t="s">
        <v>436</v>
      </c>
      <c r="C44" s="30" t="s">
        <v>603</v>
      </c>
      <c r="D44" s="30" t="s">
        <v>49</v>
      </c>
      <c r="E44" s="30" t="s">
        <v>185</v>
      </c>
      <c r="F44" s="42">
        <v>0</v>
      </c>
      <c r="G44" s="42">
        <v>48</v>
      </c>
      <c r="H44" s="42">
        <v>233408</v>
      </c>
      <c r="I44" s="42">
        <v>233432</v>
      </c>
      <c r="J44" s="30" t="s">
        <v>186</v>
      </c>
      <c r="K44" s="42">
        <v>233491</v>
      </c>
      <c r="L44" s="134" t="s">
        <v>50</v>
      </c>
      <c r="M44" s="135">
        <f t="shared" si="10"/>
        <v>31.152000000000001</v>
      </c>
      <c r="N44" s="136" t="str">
        <f>VLOOKUP(C44,'Trips&amp;Operators'!$C$1:$G$99999,5,FALSE)</f>
        <v>ROMERO CHAD</v>
      </c>
      <c r="O44" s="207" t="s">
        <v>184</v>
      </c>
      <c r="P44" s="137"/>
      <c r="Q44" s="30"/>
      <c r="R44" s="84" t="e">
        <f>IF(VLOOKUP(C44,'Train Runs'!$A$13:$AE$9926,1,1)=C44,VLOOKUP(C44,'Train Runs'!$A$13:$AE$9926,31,1),NA())</f>
        <v>#N/A</v>
      </c>
      <c r="S44" s="87" t="str">
        <f>VLOOKUP(C44,'Train Runs'!$A$13:$AE$9926,22,0)</f>
        <v>https://d0f6bd738d7f1b3e5a7ca70fe4ff75f0.us-east-1.aws.found.io/app/kibana#/discover/Steve-Slow-Train-Analysis-(2080s-and-2083s)?_g=(refreshInterval:(display:Off,pause:!f,section:0,value:0),time:(from:'2017-05-21T14:37:19-0600',mode:absolute,to:'2017-05-21T17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89" t="str">
        <f t="shared" si="11"/>
        <v>"C:\Program Files (x86)\AstroGrep\AstroGrep.exe" /e /r /s /spath="%USERPROFILE%\AppData\Local\Temp\OnboardLogs" /stypes="*4008*201705212*" /stext=" 22:.+((SYSTEM_STATE.+slice.+state.+changed )|(ment ac)|(multiple cpu faults)|(system.+state.+changed )|(\[timeout)|(PRM\|1\|D)|(kpr)|(kdp)|(train st.+moving)|(\|lc)|(penalty))"</v>
      </c>
      <c r="U44" s="9" t="str">
        <f t="shared" si="12"/>
        <v>4008</v>
      </c>
      <c r="V44" s="31">
        <f t="shared" si="13"/>
        <v>42876.930810185186</v>
      </c>
      <c r="W44" s="45" t="str">
        <f t="shared" si="14"/>
        <v>EC</v>
      </c>
      <c r="X44" s="45" t="str">
        <f t="shared" si="15"/>
        <v>KEEP</v>
      </c>
      <c r="Y44" s="99" t="str">
        <f t="shared" si="16"/>
        <v>echo {"issue":{"subject":"","project_id":79,"tracker_id":40,"status_id":1,"priority_id":2,"assigned_to_id":23,"start_date":"2017-05-21","description":"","custom_fields":[{"id":1,"name":"Subdivision","value":"EC"},{"id":4,"name":"Milepost","value":"23.3491"},{"id":17,"name":"Train ID","value":"197-21"},{"id":16,"name":"Locomotive ID","value":"4008"},{"id":130,"name":"Impact","value":""},{"id":150,"name":"Time of Event (Mountain Time)","value":"16:20:22"},{"id":151,"name":"Denver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/cygdrive/c/Users/stu/AppData/Local/Temp/OnboardLogs/RTDC4008 --include="*4008*201705212*"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"%USERPROFILE%\AppData\Local\Temp\OnboardLogs"\RTDC4008\*4008*201705212* &gt;&gt; 2017-05-21-SliceDisagreementCheck.txt</v>
      </c>
      <c r="AE44" s="148" t="str">
        <f t="shared" si="9"/>
        <v>start /low /b %USERPROFILE%\Documents\GitHub\eaglep3\Utilities\DownloadLogsFromS3.py --loco 4008 --day 2017-05-21</v>
      </c>
      <c r="AF44" s="1"/>
    </row>
    <row r="45" spans="1:32" x14ac:dyDescent="0.25">
      <c r="A45" s="31">
        <v>42876.740277777775</v>
      </c>
      <c r="B45" s="30" t="s">
        <v>439</v>
      </c>
      <c r="C45" s="30" t="s">
        <v>606</v>
      </c>
      <c r="D45" s="30" t="s">
        <v>49</v>
      </c>
      <c r="E45" s="30" t="s">
        <v>582</v>
      </c>
      <c r="F45" s="42">
        <v>0</v>
      </c>
      <c r="G45" s="42">
        <v>317</v>
      </c>
      <c r="H45" s="42">
        <v>42413</v>
      </c>
      <c r="I45" s="42">
        <v>41864</v>
      </c>
      <c r="J45" s="30" t="s">
        <v>507</v>
      </c>
      <c r="K45" s="42">
        <v>41769</v>
      </c>
      <c r="L45" s="134" t="s">
        <v>51</v>
      </c>
      <c r="M45" s="135">
        <f t="shared" si="10"/>
        <v>50.16</v>
      </c>
      <c r="N45" s="136" t="str">
        <f>VLOOKUP(C45,'Trips&amp;Operators'!$C$1:$G$99999,5,FALSE)</f>
        <v>HOLCOMB KAMDEN</v>
      </c>
      <c r="O45" s="207" t="s">
        <v>483</v>
      </c>
      <c r="P45" s="137" t="s">
        <v>506</v>
      </c>
      <c r="Q45" s="30"/>
      <c r="R45" s="84" t="str">
        <f>IF(VLOOKUP(C45,'Train Runs'!$A$13:$AE$9926,1,1)=C45,VLOOKUP(C45,'Train Runs'!$A$13:$AE$9926,31,1),NA())</f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S45" s="87" t="str">
        <f>VLOOKUP(C45,'Train Runs'!$A$13:$AE$9926,22,0)</f>
        <v>https://d0f6bd738d7f1b3e5a7ca70fe4ff75f0.us-east-1.aws.found.io/app/kibana#/discover/Steve-Slow-Train-Analysis-(2080s-and-2083s)?_g=(refreshInterval:(display:Off,pause:!f,section:0,value:0),time:(from:'2017-05-21T16:25:32-0600',mode:absolute,to:'2017-05-21T18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5" s="89" t="str">
        <f t="shared" si="11"/>
        <v>"C:\Program Files (x86)\AstroGrep\AstroGrep.exe" /e /r /s /spath="%USERPROFILE%\AppData\Local\Temp\OnboardLogs" /stypes="*4053*201705212*" /stext=" 23:.+((SYSTEM_STATE.+slice.+state.+changed )|(ment ac)|(multiple cpu faults)|(system.+state.+changed )|(\[timeout)|(PRM\|1\|D)|(kpr)|(kdp)|(train st.+moving)|(\|lc)|(penalty))"</v>
      </c>
      <c r="U45" s="9" t="str">
        <f t="shared" si="12"/>
        <v>4053</v>
      </c>
      <c r="V45" s="31">
        <f t="shared" si="13"/>
        <v>42876.990277777775</v>
      </c>
      <c r="W45" s="45" t="str">
        <f t="shared" si="14"/>
        <v>NW</v>
      </c>
      <c r="X45" s="45" t="str">
        <f t="shared" si="15"/>
        <v>KEEP</v>
      </c>
      <c r="Y45" s="99" t="str">
        <f t="shared" si="16"/>
        <v>echo {"issue":{"subject":"Wi-MAX data drop","project_id":79,"tracker_id":40,"status_id":1,"priority_id":2,"assigned_to_id":23,"start_date":"2017-05-21","description":"","custom_fields":[{"id":1,"name":"Subdivision","value":"NW"},{"id":4,"name":"Milepost","value":"4.1769"},{"id":17,"name":"Train ID","value":"1824-21"},{"id":16,"name":"Locomotive ID","value":"4053"},{"id":130,"name":"Impact","value":""},{"id":150,"name":"Time of Event (Mountain Time)","value":"17:46:00"},{"id":151,"name":"Denver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/cygdrive/c/Users/stu/AppData/Local/Temp/OnboardLogs/RTDC4053 --include="*4053*201705212*"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"%USERPROFILE%\AppData\Local\Temp\OnboardLogs"\RTDC4053\*4053*201705212* &gt;&gt; 2017-05-21-SliceDisagreementCheck.txt</v>
      </c>
      <c r="AE45" s="148" t="str">
        <f t="shared" si="9"/>
        <v>start /low /b %USERPROFILE%\Documents\GitHub\eaglep3\Utilities\DownloadLogsFromS3.py --loco 4053 --day 2017-05-21</v>
      </c>
      <c r="AF45" s="1"/>
    </row>
    <row r="46" spans="1:32" x14ac:dyDescent="0.25">
      <c r="A46" s="31">
        <v>42876.913576388892</v>
      </c>
      <c r="B46" s="30" t="s">
        <v>439</v>
      </c>
      <c r="C46" s="30" t="s">
        <v>613</v>
      </c>
      <c r="D46" s="30" t="s">
        <v>49</v>
      </c>
      <c r="E46" s="30" t="s">
        <v>185</v>
      </c>
      <c r="F46" s="42">
        <v>0</v>
      </c>
      <c r="G46" s="42">
        <v>27</v>
      </c>
      <c r="H46" s="42">
        <v>670</v>
      </c>
      <c r="I46" s="42">
        <v>654</v>
      </c>
      <c r="J46" s="30" t="s">
        <v>186</v>
      </c>
      <c r="K46" s="42">
        <v>575</v>
      </c>
      <c r="L46" s="134" t="s">
        <v>51</v>
      </c>
      <c r="M46" s="135">
        <f t="shared" si="10"/>
        <v>41.712000000000003</v>
      </c>
      <c r="N46" s="136" t="str">
        <f>VLOOKUP(C46,'Trips&amp;Operators'!$C$1:$G$99999,5,FALSE)</f>
        <v>HOLCOMB KAMDEN</v>
      </c>
      <c r="O46" s="207" t="s">
        <v>184</v>
      </c>
      <c r="P46" s="137"/>
      <c r="Q46" s="30"/>
      <c r="R46" s="84" t="str">
        <f>IF(VLOOKUP(C46,'Train Runs'!$A$13:$AE$9926,1,1)=C46,VLOOKUP(C46,'Train Runs'!$A$13:$AE$9926,31,1),NA())</f>
        <v>aws s3 cp s3://rtdc.mdm.uploadarchive.raw/RTDC4053/ "%USERPROFILE%\AppData\Local\Temp\OnboardLogs"\RTDC4053\2017-05-21 --exclude "*" --recursive --include "*20170521*" &amp; "%USERPROFILE%\Documents\GitHub\mrs-test-scripts\Headless Mode &amp; Sideloading\WalkAndUnGZ.bat" "%USERPROFILE%\AppData\Local\Temp\OnboardLogs"\RTDC4053\2017-05-21 &amp; 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</v>
      </c>
      <c r="S46" s="87" t="str">
        <f>VLOOKUP(C46,'Train Runs'!$A$13:$AE$9926,22,0)</f>
        <v>https://d0f6bd738d7f1b3e5a7ca70fe4ff75f0.us-east-1.aws.found.io/app/kibana#/discover/Steve-Slow-Train-Analysis-(2080s-and-2083s)?_g=(refreshInterval:(display:Off,pause:!f,section:0,value:0),time:(from:'2017-05-21T20:38:54-0600',mode:absolute,to:'2017-05-21T22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6" s="89" t="str">
        <f t="shared" si="11"/>
        <v>"C:\Program Files (x86)\AstroGrep\AstroGrep.exe" /e /r /s /spath="%USERPROFILE%\AppData\Local\Temp\OnboardLogs" /stypes="*4053*201705220*" /stext=" 03:.+((SYSTEM_STATE.+slice.+state.+changed )|(ment ac)|(multiple cpu faults)|(system.+state.+changed )|(\[timeout)|(PRM\|1\|D)|(kpr)|(kdp)|(train st.+moving)|(\|lc)|(penalty))"</v>
      </c>
      <c r="U46" s="9" t="str">
        <f t="shared" si="12"/>
        <v>4053</v>
      </c>
      <c r="V46" s="31">
        <f t="shared" si="13"/>
        <v>42877.163576388892</v>
      </c>
      <c r="W46" s="45" t="str">
        <f t="shared" si="14"/>
        <v>NW</v>
      </c>
      <c r="X46" s="45" t="str">
        <f t="shared" si="15"/>
        <v>KEEP</v>
      </c>
      <c r="Y46" s="99" t="str">
        <f t="shared" si="16"/>
        <v>echo {"issue":{"subject":"","project_id":79,"tracker_id":40,"status_id":1,"priority_id":2,"assigned_to_id":23,"start_date":"2017-05-21","description":"","custom_fields":[{"id":1,"name":"Subdivision","value":"NW"},{"id":4,"name":"Milepost","value":"0.0575"},{"id":17,"name":"Train ID","value":"1832-21"},{"id":16,"name":"Locomotive ID","value":"4053"},{"id":130,"name":"Impact","value":""},{"id":150,"name":"Time of Event (Mountain Time)","value":"21:55:33"},{"id":151,"name":"Denver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/cygdrive/c/Users/stu/AppData/Local/Temp/OnboardLogs/RTDC4053 --include="*4053*201705220*"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"%USERPROFILE%\AppData\Local\Temp\OnboardLogs"\RTDC4053\*4053*201705220* &gt;&gt; 2017-05-21-SliceDisagreementCheck.txt</v>
      </c>
      <c r="AE46" s="148" t="str">
        <f t="shared" si="9"/>
        <v>start /low /b %USERPROFILE%\Documents\GitHub\eaglep3\Utilities\DownloadLogsFromS3.py --loco 4053 --day 2017-05-22</v>
      </c>
      <c r="AF46" s="1"/>
    </row>
    <row r="47" spans="1:32" x14ac:dyDescent="0.25">
      <c r="A47" s="31">
        <v>42876.516423611109</v>
      </c>
      <c r="B47" s="30" t="s">
        <v>440</v>
      </c>
      <c r="C47" s="30" t="s">
        <v>597</v>
      </c>
      <c r="D47" s="30" t="s">
        <v>49</v>
      </c>
      <c r="E47" s="30" t="s">
        <v>185</v>
      </c>
      <c r="F47" s="42">
        <v>0</v>
      </c>
      <c r="G47" s="42">
        <v>129</v>
      </c>
      <c r="H47" s="42">
        <v>58483</v>
      </c>
      <c r="I47" s="42">
        <v>58653</v>
      </c>
      <c r="J47" s="30" t="s">
        <v>186</v>
      </c>
      <c r="K47" s="42">
        <v>59048</v>
      </c>
      <c r="L47" s="134" t="s">
        <v>50</v>
      </c>
      <c r="M47" s="135">
        <f t="shared" si="10"/>
        <v>208.56</v>
      </c>
      <c r="N47" s="136" t="str">
        <f>VLOOKUP(C47,'Trips&amp;Operators'!$C$1:$G$99999,5,FALSE)</f>
        <v>DAVIDSON DAVID</v>
      </c>
      <c r="O47" s="207" t="s">
        <v>184</v>
      </c>
      <c r="P47" s="137"/>
      <c r="Q47" s="30"/>
      <c r="R47" s="84" t="str">
        <f>IF(VLOOKUP(C47,'Train Runs'!$A$13:$AE$9926,1,1)=C47,VLOOKUP(C47,'Train Runs'!$A$13:$AE$9926,31,1),NA())</f>
        <v>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 &amp; aws s3 cp s3://rtdc.mdm.uploadarchive.raw/RTDC4054/ "%USERPROFILE%\AppData\Local\Temp\OnboardLogs"\RTDC4054\2017-05-22 --exclude "*" --recursive --include "*20170522*" &amp; "%USERPROFILE%\Documents\GitHub\mrs-test-scripts\Headless Mode &amp; Sideloading\WalkAndUnGZ.bat" "%USERPROFILE%\AppData\Local\Temp\OnboardLogs"\RTDC4054\2017-05-22</v>
      </c>
      <c r="S47" s="87" t="str">
        <f>VLOOKUP(C47,'Train Runs'!$A$13:$AE$9926,22,0)</f>
        <v>https://d0f6bd738d7f1b3e5a7ca70fe4ff75f0.us-east-1.aws.found.io/app/kibana#/discover/Steve-Slow-Train-Analysis-(2080s-and-2083s)?_g=(refreshInterval:(display:Off,pause:!f,section:0,value:0),time:(from:'2017-05-21T10:59:04-0600',mode:absolute,to:'2017-05-21T13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7" s="89" t="str">
        <f t="shared" si="11"/>
        <v>"C:\Program Files (x86)\AstroGrep\AstroGrep.exe" /e /r /s /spath="%USERPROFILE%\AppData\Local\Temp\OnboardLogs" /stypes="*4054*201705211*" /stext=" 18:.+((SYSTEM_STATE.+slice.+state.+changed )|(ment ac)|(multiple cpu faults)|(system.+state.+changed )|(\[timeout)|(PRM\|1\|D)|(kpr)|(kdp)|(train st.+moving)|(\|lc)|(penalty))"</v>
      </c>
      <c r="U47" s="9" t="str">
        <f t="shared" si="12"/>
        <v>4054</v>
      </c>
      <c r="V47" s="31">
        <f t="shared" si="13"/>
        <v>42876.766423611109</v>
      </c>
      <c r="W47" s="45" t="str">
        <f t="shared" si="14"/>
        <v>NW</v>
      </c>
      <c r="X47" s="45" t="str">
        <f t="shared" si="15"/>
        <v>KEEP</v>
      </c>
      <c r="Y47" s="99" t="str">
        <f t="shared" si="16"/>
        <v>echo {"issue":{"subject":"","project_id":79,"tracker_id":40,"status_id":1,"priority_id":2,"assigned_to_id":23,"start_date":"2017-05-21","description":"","custom_fields":[{"id":1,"name":"Subdivision","value":"NW"},{"id":4,"name":"Milepost","value":"5.9048"},{"id":17,"name":"Train ID","value":"1813-21"},{"id":16,"name":"Locomotive ID","value":"4054"},{"id":130,"name":"Impact","value":""},{"id":150,"name":"Time of Event (Mountain Time)","value":"12:23:39"},{"id":151,"name":"Denver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/cygdrive/c/Users/stu/AppData/Local/Temp/OnboardLogs/RTDC4054 --include="*4054*201705211*"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"%USERPROFILE%\AppData\Local\Temp\OnboardLogs"\RTDC4054\*4054*201705211* &gt;&gt; 2017-05-21-SliceDisagreementCheck.txt</v>
      </c>
      <c r="AE47" s="148" t="str">
        <f t="shared" si="9"/>
        <v>start /low /b %USERPROFILE%\Documents\GitHub\eaglep3\Utilities\DownloadLogsFromS3.py --loco 4054 --day 2017-05-21</v>
      </c>
      <c r="AF47" s="1"/>
    </row>
    <row r="48" spans="1:32" x14ac:dyDescent="0.25">
      <c r="A48" s="31">
        <v>42876.779560185183</v>
      </c>
      <c r="B48" s="30" t="s">
        <v>482</v>
      </c>
      <c r="C48" s="30" t="s">
        <v>607</v>
      </c>
      <c r="D48" s="30" t="s">
        <v>98</v>
      </c>
      <c r="E48" s="30" t="s">
        <v>204</v>
      </c>
      <c r="F48" s="42">
        <v>600</v>
      </c>
      <c r="G48" s="42">
        <v>661</v>
      </c>
      <c r="H48" s="42">
        <v>32591</v>
      </c>
      <c r="I48" s="42">
        <v>29542</v>
      </c>
      <c r="J48" s="30" t="s">
        <v>205</v>
      </c>
      <c r="K48" s="42">
        <v>36535</v>
      </c>
      <c r="L48" s="134" t="s">
        <v>51</v>
      </c>
      <c r="M48" s="135">
        <f t="shared" si="10"/>
        <v>-3692.3040000000001</v>
      </c>
      <c r="N48" s="136" t="str">
        <f>VLOOKUP(C48,'Trips&amp;Operators'!$C$1:$G$99999,5,FALSE)</f>
        <v>LOPES KIMBERLY</v>
      </c>
      <c r="O48" s="207" t="s">
        <v>184</v>
      </c>
      <c r="P48" s="137"/>
      <c r="Q48" s="30"/>
      <c r="R48" s="84" t="str">
        <f>IF(VLOOKUP(C48,'Train Runs'!$A$13:$AE$9926,1,1)=C48,VLOOKUP(C48,'Train Runs'!$A$13:$AE$9926,31,1),NA())</f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S48" s="87" t="str">
        <f>VLOOKUP(C48,'Train Runs'!$A$13:$AE$9926,22,0)</f>
        <v>https://d0f6bd738d7f1b3e5a7ca70fe4ff75f0.us-east-1.aws.found.io/app/kibana#/discover/Steve-Slow-Train-Analysis-(2080s-and-2083s)?_g=(refreshInterval:(display:Off,pause:!f,section:0,value:0),time:(from:'2017-05-21T16:42:25-0600',mode:absolute,to:'2017-05-21T19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8" s="89" t="str">
        <f t="shared" si="11"/>
        <v>"C:\Program Files (x86)\AstroGrep\AstroGrep.exe" /e /r /s /spath="%USERPROFILE%\AppData\Local\Temp\OnboardLogs" /stypes="*4055*201705220*" /stext=" 00:.+((SYSTEM_STATE.+slice.+state.+changed )|(ment ac)|(multiple cpu faults)|(system.+state.+changed )|(\[timeout)|(PRM\|1\|D)|(kpr)|(kdp)|(train st.+moving)|(\|lc)|(penalty))"</v>
      </c>
      <c r="U48" s="9" t="str">
        <f t="shared" si="12"/>
        <v>4055</v>
      </c>
      <c r="V48" s="31">
        <f t="shared" si="13"/>
        <v>42877.029560185183</v>
      </c>
      <c r="W48" s="45" t="str">
        <f t="shared" si="14"/>
        <v>Other</v>
      </c>
      <c r="X48" s="45" t="str">
        <f t="shared" si="15"/>
        <v>KEEP</v>
      </c>
      <c r="Y48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{"issue":{"subject":"","project_id":79,"tracker_id":40,"status_id":1,"priority_id":2,"assigned_to_id":23,"start_date":"2017-05-21","description":"","custom_fields":[{"id":1,"name":"Subdivision","value":"Other"},{"id":4,"name":"Milepost","value":"3.6535"},{"id":17,"name":"Train ID","value":"50-21"},{"id":16,"name":"Locomotive ID","value":"4055"},{"id":130,"name":"Impact","value":""},{"id":150,"name":"Time of Event (Mountain Time)","value":"18:42:34"},{"id":151,"name":"Denver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/cygdrive/c/Users/stu/AppData/Local/Temp/OnboardLogs/RTDC4055 --include="*4055*201705220*"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"%USERPROFILE%\AppData\Local\Temp\OnboardLogs"\RTDC4055\*4055*201705220* &gt;&gt; 2017-05-21-SliceDisagreementCheck.txt</v>
      </c>
      <c r="AE48" s="148" t="str">
        <f t="shared" si="9"/>
        <v>start /low /b %USERPROFILE%\Documents\GitHub\eaglep3\Utilities\DownloadLogsFromS3.py --loco 4055 --day 2017-05-22</v>
      </c>
      <c r="AF48" s="1"/>
    </row>
    <row r="49" spans="1:32" x14ac:dyDescent="0.25">
      <c r="A49" s="31">
        <v>42876.47215277778</v>
      </c>
      <c r="B49" s="30" t="s">
        <v>427</v>
      </c>
      <c r="C49" s="30" t="s">
        <v>595</v>
      </c>
      <c r="D49" s="30" t="s">
        <v>98</v>
      </c>
      <c r="E49" s="30" t="s">
        <v>371</v>
      </c>
      <c r="F49" s="42">
        <v>0</v>
      </c>
      <c r="G49" s="42">
        <v>72</v>
      </c>
      <c r="H49" s="42">
        <v>1819</v>
      </c>
      <c r="I49" s="42">
        <v>1941</v>
      </c>
      <c r="J49" s="30" t="s">
        <v>372</v>
      </c>
      <c r="K49" s="42">
        <v>1692</v>
      </c>
      <c r="L49" s="134" t="s">
        <v>50</v>
      </c>
      <c r="M49" s="135">
        <f t="shared" si="10"/>
        <v>-131.47200000000001</v>
      </c>
      <c r="N49" s="136" t="str">
        <f>VLOOKUP(C49,'Trips&amp;Operators'!$C$1:$G$99999,5,FALSE)</f>
        <v>DE LA ROSA ALEX</v>
      </c>
      <c r="O49" s="207" t="s">
        <v>184</v>
      </c>
      <c r="P49" s="137"/>
      <c r="Q49" s="30"/>
      <c r="R49" s="84" t="str">
        <f>IF(VLOOKUP(C49,'Train Runs'!$A$13:$AE$9926,1,1)=C49,VLOOKUP(C49,'Train Runs'!$A$13:$AE$9926,31,1),NA())</f>
        <v>aws s3 cp s3://rtdc.mdm.uploadarchive.raw/RTDC4030/ "%USERPROFILE%\AppData\Local\Temp\OnboardLogs"\RTDC4030\2017-05-21 --exclude "*" --recursive --include "*20170521*" &amp; "%USERPROFILE%\Documents\GitHub\mrs-test-scripts\Headless Mode &amp; Sideloading\WalkAndUnGZ.bat" "%USERPROFILE%\AppData\Local\Temp\OnboardLogs"\RTDC4030\2017-05-21 &amp; 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</v>
      </c>
      <c r="S49" s="87" t="str">
        <f>VLOOKUP(C49,'Train Runs'!$A$13:$AE$9926,22,0)</f>
        <v>https://d0f6bd738d7f1b3e5a7ca70fe4ff75f0.us-east-1.aws.found.io/app/kibana#/discover/Steve-Slow-Train-Analysis-(2080s-and-2083s)?_g=(refreshInterval:(display:Off,pause:!f,section:0,value:0),time:(from:'2017-05-21T10:13:32-0600',mode:absolute,to:'2017-05-21T14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9" s="89" t="str">
        <f t="shared" si="11"/>
        <v>"C:\Program Files (x86)\AstroGrep\AstroGrep.exe" /e /r /s /spath="%USERPROFILE%\AppData\Local\Temp\OnboardLogs" /stypes="*4030*201705211*" /stext=" 17:.+((SYSTEM_STATE.+slice.+state.+changed )|(ment ac)|(multiple cpu faults)|(system.+state.+changed )|(\[timeout)|(PRM\|1\|D)|(kpr)|(kdp)|(train st.+moving)|(\|lc)|(penalty))"</v>
      </c>
      <c r="U49" s="9" t="str">
        <f t="shared" si="12"/>
        <v>4030</v>
      </c>
      <c r="V49" s="31">
        <f t="shared" si="13"/>
        <v>42876.72215277778</v>
      </c>
      <c r="W49" s="45" t="str">
        <f t="shared" si="14"/>
        <v>Other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{"issue":{"subject":"","project_id":79,"tracker_id":40,"status_id":1,"priority_id":2,"assigned_to_id":23,"start_date":"2017-05-21","description":"","custom_fields":[{"id":1,"name":"Subdivision","value":"Other"},{"id":4,"name":"Milepost","value":"0.1692"},{"id":17,"name":"Train ID","value":"53-21"},{"id":16,"name":"Locomotive ID","value":"4030"},{"id":130,"name":"Impact","value":""},{"id":150,"name":"Time of Event (Mountain Time)","value":"11:19:54"},{"id":151,"name":"Denver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/cygdrive/c/Users/stu/AppData/Local/Temp/OnboardLogs/RTDC4030 --include="*4030*201705211*"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"%USERPROFILE%\AppData\Local\Temp\OnboardLogs"\RTDC4030\*4030*201705211* &gt;&gt; 2017-05-21-SliceDisagreementCheck.txt</v>
      </c>
      <c r="AE49" s="148" t="str">
        <f t="shared" si="9"/>
        <v>start /low /b %USERPROFILE%\Documents\GitHub\eaglep3\Utilities\DownloadLogsFromS3.py --loco 4030 --day 2017-05-21</v>
      </c>
      <c r="AF49" s="1"/>
    </row>
    <row r="50" spans="1:32" x14ac:dyDescent="0.25">
      <c r="A50" s="31">
        <v>42876.472488425927</v>
      </c>
      <c r="B50" s="30" t="s">
        <v>427</v>
      </c>
      <c r="C50" s="30" t="s">
        <v>595</v>
      </c>
      <c r="D50" s="30" t="s">
        <v>98</v>
      </c>
      <c r="E50" s="30" t="s">
        <v>371</v>
      </c>
      <c r="F50" s="42">
        <v>0</v>
      </c>
      <c r="G50" s="42">
        <v>3</v>
      </c>
      <c r="H50" s="42">
        <v>1939</v>
      </c>
      <c r="I50" s="42">
        <v>1982</v>
      </c>
      <c r="J50" s="30" t="s">
        <v>372</v>
      </c>
      <c r="K50" s="42">
        <v>1692</v>
      </c>
      <c r="L50" s="134" t="s">
        <v>50</v>
      </c>
      <c r="M50" s="135">
        <f t="shared" si="10"/>
        <v>-153.12</v>
      </c>
      <c r="N50" s="136" t="str">
        <f>VLOOKUP(C50,'Trips&amp;Operators'!$C$1:$G$99999,5,FALSE)</f>
        <v>DE LA ROSA ALEX</v>
      </c>
      <c r="O50" s="207" t="s">
        <v>184</v>
      </c>
      <c r="P50" s="137"/>
      <c r="Q50" s="30"/>
      <c r="R50" s="84" t="str">
        <f>IF(VLOOKUP(C50,'Train Runs'!$A$13:$AE$9926,1,1)=C50,VLOOKUP(C50,'Train Runs'!$A$13:$AE$9926,31,1),NA())</f>
        <v>aws s3 cp s3://rtdc.mdm.uploadarchive.raw/RTDC4030/ "%USERPROFILE%\AppData\Local\Temp\OnboardLogs"\RTDC4030\2017-05-21 --exclude "*" --recursive --include "*20170521*" &amp; "%USERPROFILE%\Documents\GitHub\mrs-test-scripts\Headless Mode &amp; Sideloading\WalkAndUnGZ.bat" "%USERPROFILE%\AppData\Local\Temp\OnboardLogs"\RTDC4030\2017-05-21 &amp; 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</v>
      </c>
      <c r="S50" s="87" t="str">
        <f>VLOOKUP(C50,'Train Runs'!$A$13:$AE$9926,22,0)</f>
        <v>https://d0f6bd738d7f1b3e5a7ca70fe4ff75f0.us-east-1.aws.found.io/app/kibana#/discover/Steve-Slow-Train-Analysis-(2080s-and-2083s)?_g=(refreshInterval:(display:Off,pause:!f,section:0,value:0),time:(from:'2017-05-21T10:13:32-0600',mode:absolute,to:'2017-05-21T14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50" s="89" t="str">
        <f t="shared" si="11"/>
        <v>"C:\Program Files (x86)\AstroGrep\AstroGrep.exe" /e /r /s /spath="%USERPROFILE%\AppData\Local\Temp\OnboardLogs" /stypes="*4030*201705211*" /stext=" 17:.+((SYSTEM_STATE.+slice.+state.+changed )|(ment ac)|(multiple cpu faults)|(system.+state.+changed )|(\[timeout)|(PRM\|1\|D)|(kpr)|(kdp)|(train st.+moving)|(\|lc)|(penalty))"</v>
      </c>
      <c r="U50" s="9" t="str">
        <f t="shared" si="12"/>
        <v>4030</v>
      </c>
      <c r="V50" s="31">
        <f t="shared" si="13"/>
        <v>42876.722488425927</v>
      </c>
      <c r="W50" s="45" t="str">
        <f t="shared" si="14"/>
        <v>Other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{"issue":{"subject":"","project_id":79,"tracker_id":40,"status_id":1,"priority_id":2,"assigned_to_id":23,"start_date":"2017-05-21","description":"","custom_fields":[{"id":1,"name":"Subdivision","value":"Other"},{"id":4,"name":"Milepost","value":"0.1692"},{"id":17,"name":"Train ID","value":"53-21"},{"id":16,"name":"Locomotive ID","value":"4030"},{"id":130,"name":"Impact","value":""},{"id":150,"name":"Time of Event (Mountain Time)","value":"11:20:23"},{"id":151,"name":"Denver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/cygdrive/c/Users/stu/AppData/Local/Temp/OnboardLogs/RTDC4030 --include="*4030*201705211*"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"%USERPROFILE%\AppData\Local\Temp\OnboardLogs"\RTDC4030\*4030*201705211* &gt;&gt; 2017-05-21-SliceDisagreementCheck.txt</v>
      </c>
      <c r="AE50" s="148" t="str">
        <f t="shared" si="9"/>
        <v>start /low /b %USERPROFILE%\Documents\GitHub\eaglep3\Utilities\DownloadLogsFromS3.py --loco 4030 --day 2017-05-21</v>
      </c>
      <c r="AF50" s="1"/>
    </row>
    <row r="51" spans="1:32" x14ac:dyDescent="0.25">
      <c r="A51" s="31">
        <v>42876.746111111112</v>
      </c>
      <c r="B51" s="30" t="s">
        <v>482</v>
      </c>
      <c r="C51" s="30" t="s">
        <v>607</v>
      </c>
      <c r="D51" s="30" t="s">
        <v>98</v>
      </c>
      <c r="E51" s="30" t="s">
        <v>371</v>
      </c>
      <c r="F51" s="42">
        <v>0</v>
      </c>
      <c r="G51" s="42">
        <v>88</v>
      </c>
      <c r="H51" s="42">
        <v>21983</v>
      </c>
      <c r="I51" s="42">
        <v>21820</v>
      </c>
      <c r="J51" s="30" t="s">
        <v>372</v>
      </c>
      <c r="K51" s="42">
        <v>24161</v>
      </c>
      <c r="L51" s="134" t="s">
        <v>51</v>
      </c>
      <c r="M51" s="135">
        <f t="shared" si="10"/>
        <v>-1236.048</v>
      </c>
      <c r="N51" s="136" t="str">
        <f>VLOOKUP(C51,'Trips&amp;Operators'!$C$1:$G$99999,5,FALSE)</f>
        <v>LOPES KIMBERLY</v>
      </c>
      <c r="O51" s="207" t="s">
        <v>184</v>
      </c>
      <c r="P51" s="137"/>
      <c r="Q51" s="30"/>
      <c r="R51" s="84" t="str">
        <f>IF(VLOOKUP(C51,'Train Runs'!$A$13:$AE$9926,1,1)=C51,VLOOKUP(C51,'Train Runs'!$A$13:$AE$9926,31,1),NA())</f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S51" s="87" t="str">
        <f>VLOOKUP(C51,'Train Runs'!$A$13:$AE$9926,22,0)</f>
        <v>https://d0f6bd738d7f1b3e5a7ca70fe4ff75f0.us-east-1.aws.found.io/app/kibana#/discover/Steve-Slow-Train-Analysis-(2080s-and-2083s)?_g=(refreshInterval:(display:Off,pause:!f,section:0,value:0),time:(from:'2017-05-21T16:42:25-0600',mode:absolute,to:'2017-05-21T19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1" s="89" t="str">
        <f t="shared" si="11"/>
        <v>"C:\Program Files (x86)\AstroGrep\AstroGrep.exe" /e /r /s /spath="%USERPROFILE%\AppData\Local\Temp\OnboardLogs" /stypes="*4055*201705212*" /stext=" 23:.+((SYSTEM_STATE.+slice.+state.+changed )|(ment ac)|(multiple cpu faults)|(system.+state.+changed )|(\[timeout)|(PRM\|1\|D)|(kpr)|(kdp)|(train st.+moving)|(\|lc)|(penalty))"</v>
      </c>
      <c r="U51" s="9" t="str">
        <f t="shared" si="12"/>
        <v>4055</v>
      </c>
      <c r="V51" s="31">
        <f t="shared" si="13"/>
        <v>42876.996111111112</v>
      </c>
      <c r="W51" s="45" t="str">
        <f t="shared" si="14"/>
        <v>Other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{"issue":{"subject":"","project_id":79,"tracker_id":40,"status_id":1,"priority_id":2,"assigned_to_id":23,"start_date":"2017-05-21","description":"","custom_fields":[{"id":1,"name":"Subdivision","value":"Other"},{"id":4,"name":"Milepost","value":"2.4161"},{"id":17,"name":"Train ID","value":"50-21"},{"id":16,"name":"Locomotive ID","value":"4055"},{"id":130,"name":"Impact","value":""},{"id":150,"name":"Time of Event (Mountain Time)","value":"17:54:24"},{"id":151,"name":"Denver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/cygdrive/c/Users/stu/AppData/Local/Temp/OnboardLogs/RTDC4055 --include="*4055*201705212*"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"%USERPROFILE%\AppData\Local\Temp\OnboardLogs"\RTDC4055\*4055*201705212* &gt;&gt; 2017-05-21-SliceDisagreementCheck.txt</v>
      </c>
      <c r="AE51" s="148" t="str">
        <f t="shared" si="9"/>
        <v>start /low /b %USERPROFILE%\Documents\GitHub\eaglep3\Utilities\DownloadLogsFromS3.py --loco 4055 --day 2017-05-21</v>
      </c>
      <c r="AF51" s="1"/>
    </row>
    <row r="52" spans="1:32" x14ac:dyDescent="0.25">
      <c r="A52" s="31">
        <v>42876.151342592595</v>
      </c>
      <c r="B52" s="30" t="s">
        <v>411</v>
      </c>
      <c r="C52" s="30" t="s">
        <v>577</v>
      </c>
      <c r="D52" s="30" t="s">
        <v>49</v>
      </c>
      <c r="E52" s="30" t="s">
        <v>185</v>
      </c>
      <c r="F52" s="42">
        <v>0</v>
      </c>
      <c r="G52" s="42">
        <v>50</v>
      </c>
      <c r="H52" s="42">
        <v>174</v>
      </c>
      <c r="I52" s="42">
        <v>134</v>
      </c>
      <c r="J52" s="30" t="s">
        <v>186</v>
      </c>
      <c r="K52" s="42">
        <v>1</v>
      </c>
      <c r="L52" s="134" t="s">
        <v>51</v>
      </c>
      <c r="M52" s="135">
        <f t="shared" si="10"/>
        <v>70.224000000000004</v>
      </c>
      <c r="N52" s="136" t="str">
        <f>VLOOKUP(C52,'Trips&amp;Operators'!$C$1:$G$99999,5,FALSE)</f>
        <v>WILLIAMS DONTE</v>
      </c>
      <c r="O52" s="207" t="s">
        <v>184</v>
      </c>
      <c r="P52" s="137"/>
      <c r="Q52" s="30"/>
      <c r="R52" s="84" t="str">
        <f>IF(VLOOKUP(C52,'Train Runs'!$A$13:$AE$9926,1,1)=C52,VLOOKUP(C52,'Train Runs'!$A$13:$AE$9926,31,1),NA())</f>
        <v>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 &amp; aws s3 cp s3://rtdc.mdm.uploadarchive.raw/RTDC4001/ "%USERPROFILE%\AppData\Local\Temp\OnboardLogs"\RTDC4001\2017-05-22 --exclude "*" --recursive --include "*20170522*" &amp; "%USERPROFILE%\Documents\GitHub\mrs-test-scripts\Headless Mode &amp; Sideloading\WalkAndUnGZ.bat" "%USERPROFILE%\AppData\Local\Temp\OnboardLogs"\RTDC4001\2017-05-22</v>
      </c>
      <c r="S52" s="87" t="str">
        <f>VLOOKUP(C52,'Train Runs'!$A$13:$AE$9926,22,0)</f>
        <v>https://d0f6bd738d7f1b3e5a7ca70fe4ff75f0.us-east-1.aws.found.io/app/kibana#/discover/Steve-Slow-Train-Analysis-(2080s-and-2083s)?_g=(refreshInterval:(display:Off,pause:!f,section:0,value:0),time:(from:'2017-05-21T02:22:49-0600',mode:absolute,to:'2017-05-21T04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52" s="89" t="str">
        <f t="shared" si="11"/>
        <v>"C:\Program Files (x86)\AstroGrep\AstroGrep.exe" /e /r /s /spath="%USERPROFILE%\AppData\Local\Temp\OnboardLogs" /stypes="*4001*201705210*" /stext=" 09:.+((SYSTEM_STATE.+slice.+state.+changed )|(ment ac)|(multiple cpu faults)|(system.+state.+changed )|(\[timeout)|(PRM\|1\|D)|(kpr)|(kdp)|(train st.+moving)|(\|lc)|(penalty))"</v>
      </c>
      <c r="U52" s="9" t="str">
        <f t="shared" si="12"/>
        <v>4001</v>
      </c>
      <c r="V52" s="31">
        <f t="shared" si="13"/>
        <v>42876.401342592595</v>
      </c>
      <c r="W52" s="45" t="str">
        <f t="shared" si="14"/>
        <v>Other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{"issue":{"subject":"","project_id":79,"tracker_id":40,"status_id":1,"priority_id":2,"assigned_to_id":23,"start_date":"2017-05-21","description":"","custom_fields":[{"id":1,"name":"Subdivision","value":"Other"},{"id":4,"name":"Milepost","value":"0.0001"},{"id":17,"name":"Train ID","value":"302-21"},{"id":16,"name":"Locomotive ID","value":"4001"},{"id":130,"name":"Impact","value":""},{"id":150,"name":"Time of Event (Mountain Time)","value":"03:37:56"},{"id":151,"name":"Denver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/cygdrive/c/Users/stu/AppData/Local/Temp/OnboardLogs/RTDC4001 --include="*4001*201705210*"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"%USERPROFILE%\AppData\Local\Temp\OnboardLogs"\RTDC4001\*4001*201705210* &gt;&gt; 2017-05-21-SliceDisagreementCheck.txt</v>
      </c>
      <c r="AE52" s="148" t="str">
        <f t="shared" si="9"/>
        <v>start /low /b %USERPROFILE%\Documents\GitHub\eaglep3\Utilities\DownloadLogsFromS3.py --loco 4001 --day 2017-05-21</v>
      </c>
      <c r="AF52" s="1"/>
    </row>
    <row r="53" spans="1:32" x14ac:dyDescent="0.25">
      <c r="A53" s="31">
        <v>42876.204351851855</v>
      </c>
      <c r="B53" s="30" t="s">
        <v>437</v>
      </c>
      <c r="C53" s="30" t="s">
        <v>580</v>
      </c>
      <c r="D53" s="30" t="s">
        <v>49</v>
      </c>
      <c r="E53" s="30" t="s">
        <v>185</v>
      </c>
      <c r="F53" s="42">
        <v>0</v>
      </c>
      <c r="G53" s="42">
        <v>23</v>
      </c>
      <c r="H53" s="42">
        <v>48</v>
      </c>
      <c r="I53" s="42">
        <v>34</v>
      </c>
      <c r="J53" s="30" t="s">
        <v>186</v>
      </c>
      <c r="K53" s="42">
        <v>1</v>
      </c>
      <c r="L53" s="134" t="s">
        <v>51</v>
      </c>
      <c r="M53" s="135">
        <f t="shared" si="10"/>
        <v>17.423999999999999</v>
      </c>
      <c r="N53" s="136" t="str">
        <f>VLOOKUP(C53,'Trips&amp;Operators'!$C$1:$G$99999,5,FALSE)</f>
        <v>GUZMAN DANNY</v>
      </c>
      <c r="O53" s="207" t="s">
        <v>184</v>
      </c>
      <c r="P53" s="137"/>
      <c r="Q53" s="30"/>
      <c r="R53" s="84" t="str">
        <f>IF(VLOOKUP(C53,'Train Runs'!$A$13:$AE$9926,1,1)=C53,VLOOKUP(C53,'Train Runs'!$A$13:$AE$9926,31,1),NA())</f>
        <v>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 &amp; 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</v>
      </c>
      <c r="S53" s="87" t="str">
        <f>VLOOKUP(C53,'Train Runs'!$A$13:$AE$9926,22,0)</f>
        <v>https://d0f6bd738d7f1b3e5a7ca70fe4ff75f0.us-east-1.aws.found.io/app/kibana#/discover/Steve-Slow-Train-Analysis-(2080s-and-2083s)?_g=(refreshInterval:(display:Off,pause:!f,section:0,value:0),time:(from:'2017-05-21T03:33:51-0600',mode:absolute,to:'2017-05-21T05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3" s="89" t="str">
        <f t="shared" si="11"/>
        <v>"C:\Program Files (x86)\AstroGrep\AstroGrep.exe" /e /r /s /spath="%USERPROFILE%\AppData\Local\Temp\OnboardLogs" /stypes="*4007*201705211*" /stext=" 10:.+((SYSTEM_STATE.+slice.+state.+changed )|(ment ac)|(multiple cpu faults)|(system.+state.+changed )|(\[timeout)|(PRM\|1\|D)|(kpr)|(kdp)|(train st.+moving)|(\|lc)|(penalty))"</v>
      </c>
      <c r="U53" s="9" t="str">
        <f t="shared" si="12"/>
        <v>4007</v>
      </c>
      <c r="V53" s="31">
        <f t="shared" si="13"/>
        <v>42876.454351851855</v>
      </c>
      <c r="W53" s="45" t="str">
        <f t="shared" si="14"/>
        <v>Other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{"issue":{"subject":"","project_id":79,"tracker_id":40,"status_id":1,"priority_id":2,"assigned_to_id":23,"start_date":"2017-05-21","description":"","custom_fields":[{"id":1,"name":"Subdivision","value":"Other"},{"id":4,"name":"Milepost","value":"0.0001"},{"id":17,"name":"Train ID","value":"310-21"},{"id":16,"name":"Locomotive ID","value":"4007"},{"id":130,"name":"Impact","value":""},{"id":150,"name":"Time of Event (Mountain Time)","value":"04:54:16"},{"id":151,"name":"Denver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/cygdrive/c/Users/stu/AppData/Local/Temp/OnboardLogs/RTDC4007 --include="*4007*201705211*"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"%USERPROFILE%\AppData\Local\Temp\OnboardLogs"\RTDC4007\*4007*201705211* &gt;&gt; 2017-05-21-SliceDisagreementCheck.txt</v>
      </c>
      <c r="AE53" s="148" t="str">
        <f t="shared" si="9"/>
        <v>start /low /b %USERPROFILE%\Documents\GitHub\eaglep3\Utilities\DownloadLogsFromS3.py --loco 4007 --day 2017-05-21</v>
      </c>
      <c r="AF53" s="1"/>
    </row>
    <row r="54" spans="1:32" x14ac:dyDescent="0.25">
      <c r="A54" s="31">
        <v>42876.189340277779</v>
      </c>
      <c r="B54" s="30" t="s">
        <v>482</v>
      </c>
      <c r="C54" s="30" t="s">
        <v>578</v>
      </c>
      <c r="D54" s="30" t="s">
        <v>49</v>
      </c>
      <c r="E54" s="30" t="s">
        <v>185</v>
      </c>
      <c r="F54" s="42">
        <v>0</v>
      </c>
      <c r="G54" s="42">
        <v>42</v>
      </c>
      <c r="H54" s="42">
        <v>5157</v>
      </c>
      <c r="I54" s="42">
        <v>5100</v>
      </c>
      <c r="J54" s="30" t="s">
        <v>186</v>
      </c>
      <c r="K54" s="42">
        <v>575</v>
      </c>
      <c r="L54" s="134" t="s">
        <v>579</v>
      </c>
      <c r="M54" s="135">
        <f t="shared" si="10"/>
        <v>2389.1999999999998</v>
      </c>
      <c r="N54" s="136" t="str">
        <f>VLOOKUP(C54,'Trips&amp;Operators'!$C$1:$G$99999,5,FALSE)</f>
        <v>GEBRETEKLE DAGNEW</v>
      </c>
      <c r="O54" s="207" t="s">
        <v>184</v>
      </c>
      <c r="P54" s="137"/>
      <c r="Q54" s="30"/>
      <c r="R54" s="84" t="str">
        <f>IF(VLOOKUP(C54,'Train Runs'!$A$13:$AE$9926,1,1)=C54,VLOOKUP(C54,'Train Runs'!$A$13:$AE$9926,31,1),NA())</f>
        <v>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 &amp; 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</v>
      </c>
      <c r="S54" s="87" t="str">
        <f>VLOOKUP(C54,'Train Runs'!$A$13:$AE$9926,22,0)</f>
        <v>https://d0f6bd738d7f1b3e5a7ca70fe4ff75f0.us-east-1.aws.found.io/app/kibana#/discover/Steve-Slow-Train-Analysis-(2080s-and-2083s)?_g=(refreshInterval:(display:Off,pause:!f,section:0,value:0),time:(from:'2017-05-21T03:16:15-0600',mode:absolute,to:'2017-05-21T05:32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4" s="89" t="str">
        <f t="shared" si="11"/>
        <v>"C:\Program Files (x86)\AstroGrep\AstroGrep.exe" /e /r /s /spath="%USERPROFILE%\AppData\Local\Temp\OnboardLogs" /stypes="*4055*201705211*" /stext=" 10:.+((SYSTEM_STATE.+slice.+state.+changed )|(ment ac)|(multiple cpu faults)|(system.+state.+changed )|(\[timeout)|(PRM\|1\|D)|(kpr)|(kdp)|(train st.+moving)|(\|lc)|(penalty))"</v>
      </c>
      <c r="U54" s="9" t="str">
        <f t="shared" si="12"/>
        <v>4055</v>
      </c>
      <c r="V54" s="31">
        <f t="shared" si="13"/>
        <v>42876.439340277779</v>
      </c>
      <c r="W54" s="45" t="str">
        <f t="shared" si="14"/>
        <v>Other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{"issue":{"subject":"","project_id":79,"tracker_id":40,"status_id":1,"priority_id":2,"assigned_to_id":23,"start_date":"2017-05-21","description":"","custom_fields":[{"id":1,"name":"Subdivision","value":"Other"},{"id":4,"name":"Milepost","value":"0.0575"},{"id":17,"name":"Train ID","value":"308-21"},{"id":16,"name":"Locomotive ID","value":"4055"},{"id":130,"name":"Impact","value":""},{"id":150,"name":"Time of Event (Mountain Time)","value":"04:32:39"},{"id":151,"name":"Denver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/cygdrive/c/Users/stu/AppData/Local/Temp/OnboardLogs/RTDC4055 --include="*4055*201705211*"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"%USERPROFILE%\AppData\Local\Temp\OnboardLogs"\RTDC4055\*4055*201705211* &gt;&gt; 2017-05-21-SliceDisagreementCheck.txt</v>
      </c>
      <c r="AE54" s="148" t="str">
        <f t="shared" si="9"/>
        <v>start /low /b %USERPROFILE%\Documents\GitHub\eaglep3\Utilities\DownloadLogsFromS3.py --loco 4055 --day 2017-05-21</v>
      </c>
      <c r="AF54" s="1"/>
    </row>
    <row r="55" spans="1:32" x14ac:dyDescent="0.25">
      <c r="A55" s="31">
        <v>42876.751851851855</v>
      </c>
      <c r="B55" s="30" t="s">
        <v>482</v>
      </c>
      <c r="C55" s="30" t="s">
        <v>607</v>
      </c>
      <c r="D55" s="30" t="s">
        <v>98</v>
      </c>
      <c r="E55" s="30" t="s">
        <v>185</v>
      </c>
      <c r="F55" s="42">
        <v>0</v>
      </c>
      <c r="G55" s="42">
        <v>10</v>
      </c>
      <c r="H55" s="42">
        <v>826</v>
      </c>
      <c r="I55" s="42">
        <v>0</v>
      </c>
      <c r="J55" s="30" t="s">
        <v>186</v>
      </c>
      <c r="K55" s="42">
        <v>826</v>
      </c>
      <c r="L55" s="134" t="s">
        <v>51</v>
      </c>
      <c r="M55" s="135">
        <f t="shared" si="10"/>
        <v>-436.12799999999999</v>
      </c>
      <c r="N55" s="136" t="str">
        <f>VLOOKUP(C55,'Trips&amp;Operators'!$C$1:$G$99999,5,FALSE)</f>
        <v>LOPES KIMBERLY</v>
      </c>
      <c r="O55" s="207" t="s">
        <v>184</v>
      </c>
      <c r="P55" s="137"/>
      <c r="Q55" s="30"/>
      <c r="R55" s="84" t="str">
        <f>IF(VLOOKUP(C55,'Train Runs'!$A$13:$AE$9926,1,1)=C55,VLOOKUP(C55,'Train Runs'!$A$13:$AE$9926,31,1),NA())</f>
        <v>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 &amp; 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</v>
      </c>
      <c r="S55" s="87" t="str">
        <f>VLOOKUP(C55,'Train Runs'!$A$13:$AE$9926,22,0)</f>
        <v>https://d0f6bd738d7f1b3e5a7ca70fe4ff75f0.us-east-1.aws.found.io/app/kibana#/discover/Steve-Slow-Train-Analysis-(2080s-and-2083s)?_g=(refreshInterval:(display:Off,pause:!f,section:0,value:0),time:(from:'2017-05-21T16:42:25-0600',mode:absolute,to:'2017-05-21T19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5" s="89" t="str">
        <f t="shared" si="11"/>
        <v>"C:\Program Files (x86)\AstroGrep\AstroGrep.exe" /e /r /s /spath="%USERPROFILE%\AppData\Local\Temp\OnboardLogs" /stypes="*4055*201705220*" /stext=" 00:.+((SYSTEM_STATE.+slice.+state.+changed )|(ment ac)|(multiple cpu faults)|(system.+state.+changed )|(\[timeout)|(PRM\|1\|D)|(kpr)|(kdp)|(train st.+moving)|(\|lc)|(penalty))"</v>
      </c>
      <c r="U55" s="9" t="str">
        <f t="shared" si="12"/>
        <v>4055</v>
      </c>
      <c r="V55" s="31">
        <f t="shared" si="13"/>
        <v>42877.001851851855</v>
      </c>
      <c r="W55" s="45" t="str">
        <f t="shared" si="14"/>
        <v>Other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{"issue":{"subject":"","project_id":79,"tracker_id":40,"status_id":1,"priority_id":2,"assigned_to_id":23,"start_date":"2017-05-21","description":"","custom_fields":[{"id":1,"name":"Subdivision","value":"Other"},{"id":4,"name":"Milepost","value":"0.0826"},{"id":17,"name":"Train ID","value":"50-21"},{"id":16,"name":"Locomotive ID","value":"4055"},{"id":130,"name":"Impact","value":""},{"id":150,"name":"Time of Event (Mountain Time)","value":"18:02:40"},{"id":151,"name":"Denver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/cygdrive/c/Users/stu/AppData/Local/Temp/OnboardLogs/RTDC4055 --include="*4055*201705220*"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"%USERPROFILE%\AppData\Local\Temp\OnboardLogs"\RTDC4055\*4055*201705220* &gt;&gt; 2017-05-21-SliceDisagreementCheck.txt</v>
      </c>
      <c r="AE55" s="148" t="str">
        <f t="shared" si="9"/>
        <v>start /low /b %USERPROFILE%\Documents\GitHub\eaglep3\Utilities\DownloadLogsFromS3.py --loco 4055 --day 2017-05-22</v>
      </c>
      <c r="AF55" s="1"/>
    </row>
    <row r="56" spans="1:32" x14ac:dyDescent="0.25">
      <c r="A56" s="31">
        <v>42876.7580787037</v>
      </c>
      <c r="B56" s="30" t="s">
        <v>445</v>
      </c>
      <c r="C56" s="30" t="s">
        <v>608</v>
      </c>
      <c r="D56" s="30" t="s">
        <v>49</v>
      </c>
      <c r="E56" s="30" t="s">
        <v>185</v>
      </c>
      <c r="F56" s="42">
        <v>0</v>
      </c>
      <c r="G56" s="42">
        <v>54</v>
      </c>
      <c r="H56" s="42">
        <v>1065</v>
      </c>
      <c r="I56" s="42">
        <v>998</v>
      </c>
      <c r="J56" s="30" t="s">
        <v>186</v>
      </c>
      <c r="K56" s="42">
        <v>839</v>
      </c>
      <c r="L56" s="134" t="s">
        <v>51</v>
      </c>
      <c r="M56" s="135">
        <f t="shared" si="10"/>
        <v>83.951999999999998</v>
      </c>
      <c r="N56" s="136" t="str">
        <f>VLOOKUP(C56,'Trips&amp;Operators'!$C$1:$G$99999,5,FALSE)</f>
        <v>DUNCAN SHEILA</v>
      </c>
      <c r="O56" s="207" t="s">
        <v>184</v>
      </c>
      <c r="P56" s="137"/>
      <c r="Q56" s="30"/>
      <c r="R56" s="84" t="str">
        <f>IF(VLOOKUP(C56,'Train Runs'!$A$13:$AE$9926,1,1)=C56,VLOOKUP(C56,'Train Runs'!$A$13:$AE$9926,31,1),NA())</f>
        <v>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 &amp; aws s3 cp s3://rtdc.mdm.uploadarchive.raw/RTDC4011/ "%USERPROFILE%\AppData\Local\Temp\OnboardLogs"\RTDC4011\2017-05-22 --exclude "*" --recursive --include "*20170522*" &amp; "%USERPROFILE%\Documents\GitHub\mrs-test-scripts\Headless Mode &amp; Sideloading\WalkAndUnGZ.bat" "%USERPROFILE%\AppData\Local\Temp\OnboardLogs"\RTDC4011\2017-05-22</v>
      </c>
      <c r="S56" s="87" t="str">
        <f>VLOOKUP(C56,'Train Runs'!$A$13:$AE$9926,22,0)</f>
        <v>https://d0f6bd738d7f1b3e5a7ca70fe4ff75f0.us-east-1.aws.found.io/app/kibana#/discover/Steve-Slow-Train-Analysis-(2080s-and-2083s)?_g=(refreshInterval:(display:Off,pause:!f,section:0,value:0),time:(from:'2017-05-21T16:54:47-0600',mode:absolute,to:'2017-05-21T19:11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56" s="89" t="str">
        <f t="shared" si="11"/>
        <v>"C:\Program Files (x86)\AstroGrep\AstroGrep.exe" /e /r /s /spath="%USERPROFILE%\AppData\Local\Temp\OnboardLogs" /stypes="*4011*201705220*" /stext=" 00:.+((SYSTEM_STATE.+slice.+state.+changed )|(ment ac)|(multiple cpu faults)|(system.+state.+changed )|(\[timeout)|(PRM\|1\|D)|(kpr)|(kdp)|(train st.+moving)|(\|lc)|(penalty))"</v>
      </c>
      <c r="U56" s="9" t="str">
        <f t="shared" si="12"/>
        <v>4011</v>
      </c>
      <c r="V56" s="31">
        <f t="shared" si="13"/>
        <v>42877.0080787037</v>
      </c>
      <c r="W56" s="45" t="str">
        <f t="shared" si="14"/>
        <v>Other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{"issue":{"subject":"","project_id":79,"tracker_id":40,"status_id":1,"priority_id":2,"assigned_to_id":23,"start_date":"2017-05-21","description":"","custom_fields":[{"id":1,"name":"Subdivision","value":"Other"},{"id":4,"name":"Milepost","value":"0.0839"},{"id":17,"name":"Train ID","value":"54-21"},{"id":16,"name":"Locomotive ID","value":"4011"},{"id":130,"name":"Impact","value":""},{"id":150,"name":"Time of Event (Mountain Time)","value":"18:11:38"},{"id":151,"name":"Denver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/cygdrive/c/Users/stu/AppData/Local/Temp/OnboardLogs/RTDC4011 --include="*4011*201705220*"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"%USERPROFILE%\AppData\Local\Temp\OnboardLogs"\RTDC4011\*4011*201705220* &gt;&gt; 2017-05-21-SliceDisagreementCheck.txt</v>
      </c>
      <c r="AE56" s="148" t="str">
        <f t="shared" si="9"/>
        <v>start /low /b %USERPROFILE%\Documents\GitHub\eaglep3\Utilities\DownloadLogsFromS3.py --loco 4011 --day 2017-05-22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56">
    <sortState ref="A7:AC60">
      <sortCondition ref="W7:W60"/>
      <sortCondition ref="E7:E60"/>
      <sortCondition ref="K7:K60"/>
      <sortCondition ref="F7:F6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4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2017-05-21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-21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" s="30" t="e">
        <f>VLOOKUP(B3,'Train Runs'!$A$13:$A$99923,1,FALSE)</f>
        <v>#N/A</v>
      </c>
    </row>
    <row r="4" spans="1:10" x14ac:dyDescent="0.25">
      <c r="A4" s="190"/>
      <c r="B4" s="42" t="str">
        <f>A4&amp;"-"&amp;IF(DAY(Variables!$A$2)&lt;10,0,"")&amp;DAY(Variables!$A$2)</f>
        <v>-21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Runs'!$A$13:$A$99923,1,FALSE)</f>
        <v>#N/A</v>
      </c>
    </row>
    <row r="5" spans="1:10" x14ac:dyDescent="0.25">
      <c r="A5" s="190"/>
      <c r="B5" s="42" t="str">
        <f>A5&amp;"-"&amp;IF(DAY(Variables!$A$2)&lt;10,0,"")&amp;DAY(Variables!$A$2)</f>
        <v>-21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Runs'!$A$13:$A$99923,1,FALSE)</f>
        <v>#N/A</v>
      </c>
    </row>
    <row r="6" spans="1:10" x14ac:dyDescent="0.25">
      <c r="A6" s="190"/>
      <c r="B6" s="42" t="str">
        <f>A6&amp;"-"&amp;IF(DAY(Variables!$A$2)&lt;10,0,"")&amp;DAY(Variables!$A$2)</f>
        <v>-21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ref="I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Runs'!$A$13:$A$99923,1,FALSE)</f>
        <v>#N/A</v>
      </c>
    </row>
    <row r="7" spans="1:10" x14ac:dyDescent="0.25">
      <c r="A7" s="190"/>
      <c r="B7" s="42" t="str">
        <f>A7&amp;"-"&amp;IF(DAY(Variables!$A$2)&lt;10,0,"")&amp;DAY(Variables!$A$2)</f>
        <v>-21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Runs'!$A$13:$A$99923,1,FALSE)</f>
        <v>#N/A</v>
      </c>
    </row>
    <row r="8" spans="1:10" x14ac:dyDescent="0.25">
      <c r="A8" s="190"/>
      <c r="B8" s="42" t="str">
        <f>A8&amp;"-"&amp;IF(DAY(Variables!$A$2)&lt;10,0,"")&amp;DAY(Variables!$A$2)</f>
        <v>-21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Runs'!$A$13:$A$99923,1,FALSE)</f>
        <v>#N/A</v>
      </c>
    </row>
    <row r="9" spans="1:10" x14ac:dyDescent="0.25">
      <c r="A9" s="190"/>
      <c r="B9" s="42" t="str">
        <f>A9&amp;"-"&amp;IF(DAY(Variables!$A$2)&lt;10,0,"")&amp;DAY(Variables!$A$2)</f>
        <v>-21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Runs'!$A$13:$A$99923,1,FALSE)</f>
        <v>#N/A</v>
      </c>
    </row>
    <row r="10" spans="1:10" x14ac:dyDescent="0.25">
      <c r="A10" s="190"/>
      <c r="B10" s="42" t="str">
        <f>A10&amp;"-"&amp;IF(DAY(Variables!$A$2)&lt;10,0,"")&amp;DAY(Variables!$A$2)</f>
        <v>-21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Runs'!$A$13:$A$99923,1,FALSE)</f>
        <v>#N/A</v>
      </c>
    </row>
    <row r="11" spans="1:10" x14ac:dyDescent="0.25">
      <c r="A11" s="190"/>
      <c r="B11" s="42" t="str">
        <f>A11&amp;"-"&amp;IF(DAY(Variables!$A$2)&lt;10,0,"")&amp;DAY(Variables!$A$2)</f>
        <v>-21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Runs'!$A$13:$A$99923,1,FALSE)</f>
        <v>#N/A</v>
      </c>
    </row>
    <row r="12" spans="1:10" x14ac:dyDescent="0.25">
      <c r="A12" s="190"/>
      <c r="B12" s="42" t="str">
        <f>A12&amp;"-"&amp;IF(DAY(Variables!$A$2)&lt;10,0,"")&amp;DAY(Variables!$A$2)</f>
        <v>-21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Runs'!$A$13:$A$99923,1,FALSE)</f>
        <v>#N/A</v>
      </c>
    </row>
    <row r="13" spans="1:10" x14ac:dyDescent="0.25">
      <c r="A13" s="190"/>
      <c r="B13" s="42" t="str">
        <f>A13&amp;"-"&amp;IF(DAY(Variables!$A$2)&lt;10,0,"")&amp;DAY(Variables!$A$2)</f>
        <v>-21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Runs'!$A$13:$A$99923,1,FALSE)</f>
        <v>#N/A</v>
      </c>
    </row>
    <row r="14" spans="1:10" x14ac:dyDescent="0.25">
      <c r="A14" s="190"/>
      <c r="B14" s="42" t="str">
        <f>A14&amp;"-"&amp;IF(DAY(Variables!$A$2)&lt;10,0,"")&amp;DAY(Variables!$A$2)</f>
        <v>-21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Runs'!$A$13:$A$99923,1,FALSE)</f>
        <v>#N/A</v>
      </c>
    </row>
    <row r="15" spans="1:10" x14ac:dyDescent="0.25">
      <c r="A15" s="190"/>
      <c r="B15" s="42" t="str">
        <f>A15&amp;"-"&amp;IF(DAY(Variables!$A$2)&lt;10,0,"")&amp;DAY(Variables!$A$2)</f>
        <v>-21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Runs'!$A$13:$A$99923,1,FALSE)</f>
        <v>#N/A</v>
      </c>
    </row>
    <row r="16" spans="1:10" x14ac:dyDescent="0.25">
      <c r="A16" s="190"/>
      <c r="B16" s="42" t="str">
        <f>A16&amp;"-"&amp;IF(DAY(Variables!$A$2)&lt;10,0,"")&amp;DAY(Variables!$A$2)</f>
        <v>-21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Runs'!$A$13:$A$99923,1,FALSE)</f>
        <v>#N/A</v>
      </c>
    </row>
    <row r="17" spans="1:10" x14ac:dyDescent="0.25">
      <c r="A17" s="190"/>
      <c r="B17" s="42" t="str">
        <f>A17&amp;"-"&amp;IF(DAY(Variables!$A$2)&lt;10,0,"")&amp;DAY(Variables!$A$2)</f>
        <v>-21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Runs'!$A$13:$A$99923,1,FALSE)</f>
        <v>#N/A</v>
      </c>
    </row>
    <row r="18" spans="1:10" x14ac:dyDescent="0.25">
      <c r="A18" s="190"/>
      <c r="B18" s="42" t="str">
        <f>A18&amp;"-"&amp;IF(DAY(Variables!$A$2)&lt;10,0,"")&amp;DAY(Variables!$A$2)</f>
        <v>-21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Runs'!$A$13:$A$99923,1,FALSE)</f>
        <v>#N/A</v>
      </c>
    </row>
    <row r="19" spans="1:10" x14ac:dyDescent="0.25">
      <c r="A19" s="190"/>
      <c r="B19" s="42" t="str">
        <f>A19&amp;"-"&amp;IF(DAY(Variables!$A$2)&lt;10,0,"")&amp;DAY(Variables!$A$2)</f>
        <v>-21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0" t="e">
        <f>VLOOKUP(B19,'Train Runs'!$A$13:$A$99923,1,FALSE)</f>
        <v>#N/A</v>
      </c>
    </row>
    <row r="20" spans="1:10" x14ac:dyDescent="0.25">
      <c r="A20" s="190"/>
      <c r="B20" s="42" t="str">
        <f>A20&amp;"-"&amp;IF(DAY(Variables!$A$2)&lt;10,0,"")&amp;DAY(Variables!$A$2)</f>
        <v>-21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0" t="e">
        <f>VLOOKUP(B20,'Train Runs'!$A$13:$A$99923,1,FALSE)</f>
        <v>#N/A</v>
      </c>
    </row>
    <row r="21" spans="1:10" x14ac:dyDescent="0.25">
      <c r="A21" s="190"/>
      <c r="B21" s="42" t="str">
        <f>A21&amp;"-"&amp;IF(DAY(Variables!$A$2)&lt;10,0,"")&amp;DAY(Variables!$A$2)</f>
        <v>-21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0" t="e">
        <f>VLOOKUP(B21,'Train Runs'!$A$13:$A$99923,1,FALSE)</f>
        <v>#N/A</v>
      </c>
    </row>
    <row r="22" spans="1:10" x14ac:dyDescent="0.25">
      <c r="A22" s="190"/>
      <c r="B22" s="42" t="str">
        <f>A22&amp;"-"&amp;IF(DAY(Variables!$A$2)&lt;10,0,"")&amp;DAY(Variables!$A$2)</f>
        <v>-21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0" t="e">
        <f>VLOOKUP(B22,'Train Runs'!$A$13:$A$99923,1,FALSE)</f>
        <v>#N/A</v>
      </c>
    </row>
    <row r="23" spans="1:10" x14ac:dyDescent="0.25">
      <c r="A23" s="190"/>
      <c r="B23" s="42" t="str">
        <f>A23&amp;"-"&amp;IF(DAY(Variables!$A$2)&lt;10,0,"")&amp;DAY(Variables!$A$2)</f>
        <v>-21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0" t="e">
        <f>VLOOKUP(B23,'Train Runs'!$A$13:$A$99923,1,FALSE)</f>
        <v>#N/A</v>
      </c>
    </row>
    <row r="24" spans="1:10" x14ac:dyDescent="0.25">
      <c r="A24" s="190"/>
      <c r="B24" s="42" t="str">
        <f>A24&amp;"-"&amp;IF(DAY(Variables!$A$2)&lt;10,0,"")&amp;DAY(Variables!$A$2)</f>
        <v>-21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0" t="e">
        <f>VLOOKUP(B24,'Train Runs'!$A$13:$A$99923,1,FALSE)</f>
        <v>#N/A</v>
      </c>
    </row>
    <row r="25" spans="1:10" x14ac:dyDescent="0.25">
      <c r="A25" s="190"/>
      <c r="B25" s="42" t="str">
        <f>A25&amp;"-"&amp;IF(DAY(Variables!$A$2)&lt;10,0,"")&amp;DAY(Variables!$A$2)</f>
        <v>-21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0" t="e">
        <f>VLOOKUP(B25,'Train Runs'!$A$13:$A$99923,1,FALSE)</f>
        <v>#N/A</v>
      </c>
    </row>
    <row r="26" spans="1:10" x14ac:dyDescent="0.25">
      <c r="A26" s="190"/>
      <c r="B26" s="42" t="str">
        <f>A26&amp;"-"&amp;IF(DAY(Variables!$A$2)&lt;10,0,"")&amp;DAY(Variables!$A$2)</f>
        <v>-21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6" s="30" t="e">
        <f>VLOOKUP(B26,'Train Runs'!$A$13:$A$99923,1,FALSE)</f>
        <v>#N/A</v>
      </c>
    </row>
    <row r="27" spans="1:10" x14ac:dyDescent="0.25">
      <c r="A27" s="190"/>
      <c r="B27" s="42" t="str">
        <f>A27&amp;"-"&amp;IF(DAY(Variables!$A$2)&lt;10,0,"")&amp;DAY(Variables!$A$2)</f>
        <v>-21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7" s="30" t="e">
        <f>VLOOKUP(B27,'Train Runs'!$A$13:$A$99923,1,FALSE)</f>
        <v>#N/A</v>
      </c>
    </row>
    <row r="28" spans="1:10" x14ac:dyDescent="0.25">
      <c r="A28" s="190"/>
      <c r="B28" s="42" t="str">
        <f>A28&amp;"-"&amp;IF(DAY(Variables!$A$2)&lt;10,0,"")&amp;DAY(Variables!$A$2)</f>
        <v>-21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8" s="30" t="e">
        <f>VLOOKUP(B28,'Train Runs'!$A$13:$A$99923,1,FALSE)</f>
        <v>#N/A</v>
      </c>
    </row>
    <row r="29" spans="1:10" x14ac:dyDescent="0.25">
      <c r="A29" s="190"/>
      <c r="B29" s="42" t="str">
        <f>A29&amp;"-"&amp;IF(DAY(Variables!$A$2)&lt;10,0,"")&amp;DAY(Variables!$A$2)</f>
        <v>-21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9" s="30" t="e">
        <f>VLOOKUP(B29,'Train Runs'!$A$13:$A$99923,1,FALSE)</f>
        <v>#N/A</v>
      </c>
    </row>
    <row r="30" spans="1:10" x14ac:dyDescent="0.25">
      <c r="A30" s="190"/>
      <c r="B30" s="42" t="str">
        <f>A30&amp;"-"&amp;IF(DAY(Variables!$A$2)&lt;10,0,"")&amp;DAY(Variables!$A$2)</f>
        <v>-21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0" s="30" t="e">
        <f>VLOOKUP(B30,'Train Runs'!$A$13:$A$99923,1,FALSE)</f>
        <v>#N/A</v>
      </c>
    </row>
    <row r="31" spans="1:10" x14ac:dyDescent="0.25">
      <c r="A31" s="190"/>
      <c r="B31" s="42" t="str">
        <f>A31&amp;"-"&amp;IF(DAY(Variables!$A$2)&lt;10,0,"")&amp;DAY(Variables!$A$2)</f>
        <v>-21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1" s="30" t="e">
        <f>VLOOKUP(B31,'Train Runs'!$A$13:$A$99923,1,FALSE)</f>
        <v>#N/A</v>
      </c>
    </row>
    <row r="32" spans="1:10" x14ac:dyDescent="0.25">
      <c r="A32" s="190"/>
      <c r="B32" s="42" t="str">
        <f>A32&amp;"-"&amp;IF(DAY(Variables!$A$2)&lt;10,0,"")&amp;DAY(Variables!$A$2)</f>
        <v>-21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2" s="30" t="e">
        <f>VLOOKUP(B32,'Train Runs'!$A$13:$A$99923,1,FALSE)</f>
        <v>#N/A</v>
      </c>
    </row>
    <row r="33" spans="1:10" x14ac:dyDescent="0.25">
      <c r="A33" s="190"/>
      <c r="B33" s="42" t="str">
        <f>A33&amp;"-"&amp;IF(DAY(Variables!$A$2)&lt;10,0,"")&amp;DAY(Variables!$A$2)</f>
        <v>-21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3" s="30" t="e">
        <f>VLOOKUP(B33,'Train Runs'!$A$13:$A$99923,1,FALSE)</f>
        <v>#N/A</v>
      </c>
    </row>
    <row r="34" spans="1:10" x14ac:dyDescent="0.25">
      <c r="A34" s="190"/>
      <c r="B34" s="42" t="str">
        <f>A34&amp;"-"&amp;IF(DAY(Variables!$A$2)&lt;10,0,"")&amp;DAY(Variables!$A$2)</f>
        <v>-21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4" s="30" t="e">
        <f>VLOOKUP(B34,'Train Runs'!$A$13:$A$99923,1,FALSE)</f>
        <v>#N/A</v>
      </c>
    </row>
    <row r="35" spans="1:10" x14ac:dyDescent="0.25">
      <c r="A35" s="190"/>
      <c r="B35" s="42" t="str">
        <f>A35&amp;"-"&amp;IF(DAY(Variables!$A$2)&lt;10,0,"")&amp;DAY(Variables!$A$2)</f>
        <v>-21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5" s="30" t="e">
        <f>VLOOKUP(B35,'Train Runs'!$A$13:$A$99923,1,FALSE)</f>
        <v>#N/A</v>
      </c>
    </row>
    <row r="36" spans="1:10" x14ac:dyDescent="0.25">
      <c r="A36" s="190"/>
      <c r="B36" s="42" t="str">
        <f>A36&amp;"-"&amp;IF(DAY(Variables!$A$2)&lt;10,0,"")&amp;DAY(Variables!$A$2)</f>
        <v>-21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6" s="30" t="e">
        <f>VLOOKUP(B36,'Train Runs'!$A$13:$A$99923,1,FALSE)</f>
        <v>#N/A</v>
      </c>
    </row>
    <row r="37" spans="1:10" x14ac:dyDescent="0.25">
      <c r="A37" s="190"/>
      <c r="B37" s="42" t="str">
        <f>A37&amp;"-"&amp;IF(DAY(Variables!$A$2)&lt;10,0,"")&amp;DAY(Variables!$A$2)</f>
        <v>-21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7" s="30" t="e">
        <f>VLOOKUP(B37,'Train Runs'!$A$13:$A$99923,1,FALSE)</f>
        <v>#N/A</v>
      </c>
    </row>
    <row r="38" spans="1:10" x14ac:dyDescent="0.25">
      <c r="A38" s="190"/>
      <c r="B38" s="42" t="str">
        <f>A38&amp;"-"&amp;IF(DAY(Variables!$A$2)&lt;10,0,"")&amp;DAY(Variables!$A$2)</f>
        <v>-21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8" s="30" t="e">
        <f>VLOOKUP(B38,'Train Runs'!$A$13:$A$99923,1,FALSE)</f>
        <v>#N/A</v>
      </c>
    </row>
    <row r="39" spans="1:10" x14ac:dyDescent="0.25">
      <c r="A39" s="190"/>
      <c r="B39" s="42" t="str">
        <f>A39&amp;"-"&amp;IF(DAY(Variables!$A$2)&lt;10,0,"")&amp;DAY(Variables!$A$2)</f>
        <v>-21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9" s="30" t="e">
        <f>VLOOKUP(B39,'Train Runs'!$A$13:$A$99923,1,FALSE)</f>
        <v>#N/A</v>
      </c>
    </row>
    <row r="40" spans="1:10" x14ac:dyDescent="0.25">
      <c r="A40" s="190"/>
      <c r="B40" s="42" t="str">
        <f>A40&amp;"-"&amp;IF(DAY(Variables!$A$2)&lt;10,0,"")&amp;DAY(Variables!$A$2)</f>
        <v>-21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0" s="30" t="e">
        <f>VLOOKUP(B40,'Train Runs'!$A$13:$A$99923,1,FALSE)</f>
        <v>#N/A</v>
      </c>
    </row>
    <row r="41" spans="1:10" x14ac:dyDescent="0.25">
      <c r="A41" s="190"/>
      <c r="B41" s="42" t="str">
        <f>A41&amp;"-"&amp;IF(DAY(Variables!$A$2)&lt;10,0,"")&amp;DAY(Variables!$A$2)</f>
        <v>-21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1" s="30" t="e">
        <f>VLOOKUP(B41,'Train Runs'!$A$13:$A$99923,1,FALSE)</f>
        <v>#N/A</v>
      </c>
    </row>
    <row r="42" spans="1:10" x14ac:dyDescent="0.25">
      <c r="A42" s="190"/>
      <c r="B42" s="42" t="str">
        <f>A42&amp;"-"&amp;IF(DAY(Variables!$A$2)&lt;10,0,"")&amp;DAY(Variables!$A$2)</f>
        <v>-21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2" s="30" t="e">
        <f>VLOOKUP(B42,'Train Runs'!$A$13:$A$99923,1,FALSE)</f>
        <v>#N/A</v>
      </c>
    </row>
    <row r="43" spans="1:10" x14ac:dyDescent="0.25">
      <c r="A43" s="190"/>
      <c r="B43" s="42" t="str">
        <f>A43&amp;"-"&amp;IF(DAY(Variables!$A$2)&lt;10,0,"")&amp;DAY(Variables!$A$2)</f>
        <v>-21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3" s="30" t="e">
        <f>VLOOKUP(B43,'Train Runs'!$A$13:$A$99923,1,FALSE)</f>
        <v>#N/A</v>
      </c>
    </row>
    <row r="44" spans="1:10" x14ac:dyDescent="0.25">
      <c r="A44" s="190"/>
      <c r="B44" s="42" t="str">
        <f>A44&amp;"-"&amp;IF(DAY(Variables!$A$2)&lt;10,0,"")&amp;DAY(Variables!$A$2)</f>
        <v>-21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4" s="30" t="e">
        <f>VLOOKUP(B44,'Train Runs'!$A$13:$A$99923,1,FALSE)</f>
        <v>#N/A</v>
      </c>
    </row>
    <row r="45" spans="1:10" x14ac:dyDescent="0.25">
      <c r="A45" s="190"/>
      <c r="B45" s="42" t="str">
        <f>A45&amp;"-"&amp;IF(DAY(Variables!$A$2)&lt;10,0,"")&amp;DAY(Variables!$A$2)</f>
        <v>-21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5" s="30" t="e">
        <f>VLOOKUP(B45,'Train Runs'!$A$13:$A$99923,1,FALSE)</f>
        <v>#N/A</v>
      </c>
    </row>
    <row r="46" spans="1:10" x14ac:dyDescent="0.25">
      <c r="A46" s="190"/>
      <c r="B46" s="42" t="str">
        <f>A46&amp;"-"&amp;IF(DAY(Variables!$A$2)&lt;10,0,"")&amp;DAY(Variables!$A$2)</f>
        <v>-21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6" s="30" t="e">
        <f>VLOOKUP(B46,'Train Runs'!$A$13:$A$99923,1,FALSE)</f>
        <v>#N/A</v>
      </c>
    </row>
    <row r="47" spans="1:10" x14ac:dyDescent="0.25">
      <c r="A47" s="190"/>
      <c r="B47" s="42" t="str">
        <f>A47&amp;"-"&amp;IF(DAY(Variables!$A$2)&lt;10,0,"")&amp;DAY(Variables!$A$2)</f>
        <v>-21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7" s="30" t="e">
        <f>VLOOKUP(B47,'Train Runs'!$A$13:$A$99923,1,FALSE)</f>
        <v>#N/A</v>
      </c>
    </row>
    <row r="48" spans="1:10" x14ac:dyDescent="0.25">
      <c r="A48" s="190"/>
      <c r="B48" s="42" t="str">
        <f>A48&amp;"-"&amp;IF(DAY(Variables!$A$2)&lt;10,0,"")&amp;DAY(Variables!$A$2)</f>
        <v>-21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ref="I48:I6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8" s="30" t="e">
        <f>VLOOKUP(B48,'Train Runs'!$A$13:$A$99923,1,FALSE)</f>
        <v>#N/A</v>
      </c>
    </row>
    <row r="49" spans="1:10" x14ac:dyDescent="0.25">
      <c r="A49" s="190"/>
      <c r="B49" s="42" t="str">
        <f>A49&amp;"-"&amp;IF(DAY(Variables!$A$2)&lt;10,0,"")&amp;DAY(Variables!$A$2)</f>
        <v>-21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9" s="30" t="e">
        <f>VLOOKUP(B49,'Train Runs'!$A$13:$A$99923,1,FALSE)</f>
        <v>#N/A</v>
      </c>
    </row>
    <row r="50" spans="1:10" x14ac:dyDescent="0.25">
      <c r="A50" s="190"/>
      <c r="B50" s="42" t="str">
        <f>A50&amp;"-"&amp;IF(DAY(Variables!$A$2)&lt;10,0,"")&amp;DAY(Variables!$A$2)</f>
        <v>-21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0" s="30" t="e">
        <f>VLOOKUP(B50,'Train Runs'!$A$13:$A$99923,1,FALSE)</f>
        <v>#N/A</v>
      </c>
    </row>
    <row r="51" spans="1:10" x14ac:dyDescent="0.25">
      <c r="A51" s="190"/>
      <c r="B51" s="42" t="str">
        <f>A51&amp;"-"&amp;IF(DAY(Variables!$A$2)&lt;10,0,"")&amp;DAY(Variables!$A$2)</f>
        <v>-21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1" s="30" t="e">
        <f>VLOOKUP(B51,'Train Runs'!$A$13:$A$99923,1,FALSE)</f>
        <v>#N/A</v>
      </c>
    </row>
    <row r="52" spans="1:10" x14ac:dyDescent="0.25">
      <c r="A52" s="190"/>
      <c r="B52" s="42" t="str">
        <f>A52&amp;"-"&amp;IF(DAY(Variables!$A$2)&lt;10,0,"")&amp;DAY(Variables!$A$2)</f>
        <v>-21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2" s="30" t="e">
        <f>VLOOKUP(B52,'Train Runs'!$A$13:$A$99923,1,FALSE)</f>
        <v>#N/A</v>
      </c>
    </row>
    <row r="53" spans="1:10" x14ac:dyDescent="0.25">
      <c r="A53" s="190"/>
      <c r="B53" s="42" t="str">
        <f>A53&amp;"-"&amp;IF(DAY(Variables!$A$2)&lt;10,0,"")&amp;DAY(Variables!$A$2)</f>
        <v>-21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3" s="30" t="e">
        <f>VLOOKUP(B53,'Train Runs'!$A$13:$A$99923,1,FALSE)</f>
        <v>#N/A</v>
      </c>
    </row>
    <row r="54" spans="1:10" x14ac:dyDescent="0.25">
      <c r="A54" s="190"/>
      <c r="B54" s="42" t="str">
        <f>A54&amp;"-"&amp;IF(DAY(Variables!$A$2)&lt;10,0,"")&amp;DAY(Variables!$A$2)</f>
        <v>-21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4" s="30" t="e">
        <f>VLOOKUP(B54,'Train Runs'!$A$13:$A$99923,1,FALSE)</f>
        <v>#N/A</v>
      </c>
    </row>
    <row r="55" spans="1:10" x14ac:dyDescent="0.25">
      <c r="A55" s="190"/>
      <c r="B55" s="42" t="str">
        <f>A55&amp;"-"&amp;IF(DAY(Variables!$A$2)&lt;10,0,"")&amp;DAY(Variables!$A$2)</f>
        <v>-21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5" s="30" t="e">
        <f>VLOOKUP(B55,'Train Runs'!$A$13:$A$99923,1,FALSE)</f>
        <v>#N/A</v>
      </c>
    </row>
    <row r="56" spans="1:10" x14ac:dyDescent="0.25">
      <c r="A56" s="190"/>
      <c r="B56" s="42" t="str">
        <f>A56&amp;"-"&amp;IF(DAY(Variables!$A$2)&lt;10,0,"")&amp;DAY(Variables!$A$2)</f>
        <v>-21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6" s="30" t="e">
        <f>VLOOKUP(B56,'Train Runs'!$A$13:$A$99923,1,FALSE)</f>
        <v>#N/A</v>
      </c>
    </row>
    <row r="57" spans="1:10" x14ac:dyDescent="0.25">
      <c r="A57" s="190"/>
      <c r="B57" s="42" t="str">
        <f>A57&amp;"-"&amp;IF(DAY(Variables!$A$2)&lt;10,0,"")&amp;DAY(Variables!$A$2)</f>
        <v>-21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7" s="30" t="e">
        <f>VLOOKUP(B57,'Train Runs'!$A$13:$A$99923,1,FALSE)</f>
        <v>#N/A</v>
      </c>
    </row>
    <row r="58" spans="1:10" x14ac:dyDescent="0.25">
      <c r="A58" s="190"/>
      <c r="B58" s="42" t="str">
        <f>A58&amp;"-"&amp;IF(DAY(Variables!$A$2)&lt;10,0,"")&amp;DAY(Variables!$A$2)</f>
        <v>-21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8" s="30" t="e">
        <f>VLOOKUP(B58,'Train Runs'!$A$13:$A$99923,1,FALSE)</f>
        <v>#N/A</v>
      </c>
    </row>
    <row r="59" spans="1:10" x14ac:dyDescent="0.25">
      <c r="A59" s="190"/>
      <c r="B59" s="42" t="str">
        <f>A59&amp;"-"&amp;IF(DAY(Variables!$A$2)&lt;10,0,"")&amp;DAY(Variables!$A$2)</f>
        <v>-21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9" s="30" t="e">
        <f>VLOOKUP(B59,'Train Runs'!$A$13:$A$99923,1,FALSE)</f>
        <v>#N/A</v>
      </c>
    </row>
    <row r="60" spans="1:10" x14ac:dyDescent="0.25">
      <c r="A60" s="190"/>
      <c r="B60" s="42" t="str">
        <f>A60&amp;"-"&amp;IF(DAY(Variables!$A$2)&lt;10,0,"")&amp;DAY(Variables!$A$2)</f>
        <v>-21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0" s="30" t="e">
        <f>VLOOKUP(B60,'Train Runs'!$A$13:$A$99923,1,FALSE)</f>
        <v>#N/A</v>
      </c>
    </row>
    <row r="61" spans="1:10" x14ac:dyDescent="0.25">
      <c r="A61" s="190"/>
      <c r="B61" s="42" t="str">
        <f>A61&amp;"-"&amp;IF(DAY(Variables!$A$2)&lt;10,0,"")&amp;DAY(Variables!$A$2)</f>
        <v>-21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1" s="30" t="e">
        <f>VLOOKUP(B61,'Train Runs'!$A$13:$A$99923,1,FALSE)</f>
        <v>#N/A</v>
      </c>
    </row>
    <row r="62" spans="1:10" x14ac:dyDescent="0.25">
      <c r="A62" s="190"/>
      <c r="B62" s="42" t="str">
        <f>A62&amp;"-"&amp;IF(DAY(Variables!$A$2)&lt;10,0,"")&amp;DAY(Variables!$A$2)</f>
        <v>-21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2" s="30" t="e">
        <f>VLOOKUP(B62,'Train Runs'!$A$13:$A$99923,1,FALSE)</f>
        <v>#N/A</v>
      </c>
    </row>
    <row r="63" spans="1:10" x14ac:dyDescent="0.25">
      <c r="A63" s="190"/>
      <c r="B63" s="42" t="str">
        <f>A63&amp;"-"&amp;IF(DAY(Variables!$A$2)&lt;10,0,"")&amp;DAY(Variables!$A$2)</f>
        <v>-21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3" s="30" t="e">
        <f>VLOOKUP(B63,'Train Runs'!$A$13:$A$99923,1,FALSE)</f>
        <v>#N/A</v>
      </c>
    </row>
    <row r="64" spans="1:10" x14ac:dyDescent="0.25">
      <c r="A64" s="190"/>
      <c r="B64" s="42" t="str">
        <f>A64&amp;"-"&amp;IF(DAY(Variables!$A$2)&lt;10,0,"")&amp;DAY(Variables!$A$2)</f>
        <v>-21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4" s="30" t="e">
        <f>VLOOKUP(B64,'Train Runs'!$A$13:$A$99923,1,FALSE)</f>
        <v>#N/A</v>
      </c>
    </row>
    <row r="65" spans="1:10" x14ac:dyDescent="0.25">
      <c r="A65" s="190"/>
      <c r="B65" s="42" t="str">
        <f>A65&amp;"-"&amp;IF(DAY(Variables!$A$2)&lt;10,0,"")&amp;DAY(Variables!$A$2)</f>
        <v>-21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5" s="30" t="e">
        <f>VLOOKUP(B65,'Train Runs'!$A$13:$A$99923,1,FALSE)</f>
        <v>#N/A</v>
      </c>
    </row>
    <row r="66" spans="1:10" x14ac:dyDescent="0.25">
      <c r="A66" s="190"/>
      <c r="B66" s="42" t="str">
        <f>A66&amp;"-"&amp;IF(DAY(Variables!$A$2)&lt;10,0,"")&amp;DAY(Variables!$A$2)</f>
        <v>-21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6" s="30" t="e">
        <f>VLOOKUP(B66,'Train Runs'!$A$13:$A$99923,1,FALSE)</f>
        <v>#N/A</v>
      </c>
    </row>
    <row r="67" spans="1:10" x14ac:dyDescent="0.25">
      <c r="A67" s="190"/>
      <c r="B67" s="42" t="str">
        <f>A67&amp;"-"&amp;IF(DAY(Variables!$A$2)&lt;10,0,"")&amp;DAY(Variables!$A$2)</f>
        <v>-21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7" s="30" t="e">
        <f>VLOOKUP(B67,'Train Runs'!$A$13:$A$99923,1,FALSE)</f>
        <v>#N/A</v>
      </c>
    </row>
    <row r="68" spans="1:10" x14ac:dyDescent="0.25">
      <c r="A68" s="190"/>
      <c r="B68" s="42" t="str">
        <f>A68&amp;"-"&amp;IF(DAY(Variables!$A$2)&lt;10,0,"")&amp;DAY(Variables!$A$2)</f>
        <v>-21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8" s="30" t="e">
        <f>VLOOKUP(B68,'Train Runs'!$A$13:$A$99923,1,FALSE)</f>
        <v>#N/A</v>
      </c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</sheetData>
  <autoFilter ref="A2:J7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42876.03702546296</v>
      </c>
      <c r="B2" s="20" t="s">
        <v>445</v>
      </c>
      <c r="C2" s="20" t="s">
        <v>619</v>
      </c>
      <c r="D2" s="141">
        <v>2000000</v>
      </c>
      <c r="E2" s="20" t="s">
        <v>620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42876.037638888891</v>
      </c>
      <c r="B3" s="20" t="s">
        <v>388</v>
      </c>
      <c r="C3" s="20" t="s">
        <v>621</v>
      </c>
      <c r="D3" s="141">
        <v>2270000</v>
      </c>
      <c r="E3" s="20" t="s">
        <v>412</v>
      </c>
      <c r="F3" s="20" t="s">
        <v>413</v>
      </c>
      <c r="G3" s="8" t="str">
        <f t="shared" ref="G3:G66" si="0">E3&amp;" "&amp;F3</f>
        <v>BROWN JACOB</v>
      </c>
    </row>
    <row r="4" spans="1:7" x14ac:dyDescent="0.25">
      <c r="A4" s="8">
        <v>42876.048032407409</v>
      </c>
      <c r="B4" s="20" t="s">
        <v>516</v>
      </c>
      <c r="C4" s="20" t="s">
        <v>622</v>
      </c>
      <c r="D4" s="141">
        <v>2230000</v>
      </c>
      <c r="E4" s="20" t="s">
        <v>346</v>
      </c>
      <c r="F4" s="20" t="s">
        <v>196</v>
      </c>
      <c r="G4" s="8" t="str">
        <f t="shared" si="0"/>
        <v>SMITH MICHAEL</v>
      </c>
    </row>
    <row r="5" spans="1:7" x14ac:dyDescent="0.25">
      <c r="A5" s="8">
        <v>42876.058425925927</v>
      </c>
      <c r="B5" s="20" t="s">
        <v>377</v>
      </c>
      <c r="C5" s="20" t="s">
        <v>623</v>
      </c>
      <c r="D5" s="141">
        <v>2150000</v>
      </c>
      <c r="E5" s="20" t="s">
        <v>409</v>
      </c>
      <c r="F5" s="20" t="s">
        <v>410</v>
      </c>
      <c r="G5" s="8" t="str">
        <f t="shared" si="0"/>
        <v>SWANSON BRYCE</v>
      </c>
    </row>
    <row r="6" spans="1:7" x14ac:dyDescent="0.25">
      <c r="A6" s="8">
        <v>42876.061319444445</v>
      </c>
      <c r="B6" s="20" t="s">
        <v>529</v>
      </c>
      <c r="C6" s="20" t="s">
        <v>624</v>
      </c>
      <c r="D6" s="141">
        <v>3010000</v>
      </c>
      <c r="E6" s="20" t="s">
        <v>414</v>
      </c>
      <c r="F6" s="20" t="s">
        <v>415</v>
      </c>
      <c r="G6" s="8" t="str">
        <f t="shared" si="0"/>
        <v>SULLIVAN BRANDON</v>
      </c>
    </row>
    <row r="7" spans="1:7" x14ac:dyDescent="0.25">
      <c r="A7" s="8">
        <v>42876.067233796297</v>
      </c>
      <c r="B7" s="20" t="s">
        <v>444</v>
      </c>
      <c r="C7" s="20" t="s">
        <v>625</v>
      </c>
      <c r="D7" s="141">
        <v>2000000</v>
      </c>
      <c r="E7" s="20" t="s">
        <v>620</v>
      </c>
      <c r="F7" s="20" t="s">
        <v>193</v>
      </c>
      <c r="G7" s="8" t="str">
        <f t="shared" si="0"/>
        <v>STAMBAUGH JAMES</v>
      </c>
    </row>
    <row r="8" spans="1:7" x14ac:dyDescent="0.25">
      <c r="A8" s="8">
        <v>42876.076782407406</v>
      </c>
      <c r="B8" s="20" t="s">
        <v>382</v>
      </c>
      <c r="C8" s="20" t="s">
        <v>626</v>
      </c>
      <c r="D8" s="141">
        <v>2270000</v>
      </c>
      <c r="E8" s="20" t="s">
        <v>412</v>
      </c>
      <c r="F8" s="20" t="s">
        <v>413</v>
      </c>
      <c r="G8" s="8" t="str">
        <f t="shared" si="0"/>
        <v>BROWN JACOB</v>
      </c>
    </row>
    <row r="9" spans="1:7" ht="15.75" thickBot="1" x14ac:dyDescent="0.3">
      <c r="A9" s="24">
        <v>42876.091805555552</v>
      </c>
      <c r="B9" s="20" t="s">
        <v>345</v>
      </c>
      <c r="C9" s="20" t="s">
        <v>627</v>
      </c>
      <c r="D9" s="141">
        <v>2150000</v>
      </c>
      <c r="E9" s="20" t="s">
        <v>409</v>
      </c>
      <c r="F9" s="20" t="s">
        <v>410</v>
      </c>
      <c r="G9" s="8" t="str">
        <f t="shared" si="0"/>
        <v>SWANSON BRYCE</v>
      </c>
    </row>
    <row r="10" spans="1:7" x14ac:dyDescent="0.25">
      <c r="A10" s="8">
        <v>42876.095277777778</v>
      </c>
      <c r="B10" s="20" t="s">
        <v>511</v>
      </c>
      <c r="C10" s="20" t="s">
        <v>628</v>
      </c>
      <c r="D10" s="141">
        <v>3010000</v>
      </c>
      <c r="E10" s="20" t="s">
        <v>414</v>
      </c>
      <c r="F10" s="20" t="s">
        <v>415</v>
      </c>
      <c r="G10" s="8" t="str">
        <f t="shared" si="0"/>
        <v>SULLIVAN BRANDON</v>
      </c>
    </row>
    <row r="11" spans="1:7" x14ac:dyDescent="0.25">
      <c r="A11" s="8">
        <v>42876.110393518517</v>
      </c>
      <c r="B11" s="20" t="s">
        <v>388</v>
      </c>
      <c r="C11" s="20" t="s">
        <v>629</v>
      </c>
      <c r="D11" s="141">
        <v>2270000</v>
      </c>
      <c r="E11" s="20" t="s">
        <v>412</v>
      </c>
      <c r="F11" s="20" t="s">
        <v>413</v>
      </c>
      <c r="G11" s="8" t="str">
        <f t="shared" si="0"/>
        <v>BROWN JACOB</v>
      </c>
    </row>
    <row r="12" spans="1:7" x14ac:dyDescent="0.25">
      <c r="A12" s="8">
        <v>42876.118206018517</v>
      </c>
      <c r="B12" s="20" t="s">
        <v>480</v>
      </c>
      <c r="C12" s="20" t="s">
        <v>630</v>
      </c>
      <c r="D12" s="141">
        <v>2010000</v>
      </c>
      <c r="E12" s="20" t="s">
        <v>631</v>
      </c>
      <c r="F12" s="20" t="s">
        <v>632</v>
      </c>
      <c r="G12" s="8" t="str">
        <f t="shared" si="0"/>
        <v>MAELZER KURT</v>
      </c>
    </row>
    <row r="13" spans="1:7" x14ac:dyDescent="0.25">
      <c r="A13" s="8">
        <v>42876.130671296298</v>
      </c>
      <c r="B13" s="20" t="s">
        <v>481</v>
      </c>
      <c r="C13" s="20" t="s">
        <v>633</v>
      </c>
      <c r="D13" s="141">
        <v>2010000</v>
      </c>
      <c r="E13" s="20" t="s">
        <v>631</v>
      </c>
      <c r="F13" s="20" t="s">
        <v>632</v>
      </c>
      <c r="G13" s="8" t="str">
        <f t="shared" si="0"/>
        <v>MAELZER KURT</v>
      </c>
    </row>
    <row r="14" spans="1:7" x14ac:dyDescent="0.25">
      <c r="A14" s="8">
        <v>42876.133449074077</v>
      </c>
      <c r="B14" s="20" t="s">
        <v>427</v>
      </c>
      <c r="C14" s="20" t="s">
        <v>634</v>
      </c>
      <c r="D14" s="141">
        <v>1780000</v>
      </c>
      <c r="E14" s="20" t="s">
        <v>635</v>
      </c>
      <c r="F14" s="20" t="s">
        <v>636</v>
      </c>
      <c r="G14" s="8" t="str">
        <f t="shared" si="0"/>
        <v>DE LA ROSA ALEX</v>
      </c>
    </row>
    <row r="15" spans="1:7" x14ac:dyDescent="0.25">
      <c r="A15" s="8">
        <v>42876.140520833331</v>
      </c>
      <c r="B15" s="20" t="s">
        <v>480</v>
      </c>
      <c r="C15" s="20" t="s">
        <v>637</v>
      </c>
      <c r="D15" s="141">
        <v>1780000</v>
      </c>
      <c r="E15" s="20" t="s">
        <v>635</v>
      </c>
      <c r="F15" s="20" t="s">
        <v>636</v>
      </c>
      <c r="G15" s="8" t="str">
        <f t="shared" si="0"/>
        <v>DE LA ROSA ALEX</v>
      </c>
    </row>
    <row r="16" spans="1:7" x14ac:dyDescent="0.25">
      <c r="A16" s="8">
        <v>42876.14298611111</v>
      </c>
      <c r="B16" s="20" t="s">
        <v>411</v>
      </c>
      <c r="C16" s="20" t="s">
        <v>577</v>
      </c>
      <c r="D16" s="141">
        <v>3040000</v>
      </c>
      <c r="E16" s="20" t="s">
        <v>396</v>
      </c>
      <c r="F16" s="20" t="s">
        <v>397</v>
      </c>
      <c r="G16" s="8" t="str">
        <f t="shared" si="0"/>
        <v>WILLIAMS DONTE</v>
      </c>
    </row>
    <row r="17" spans="1:7" x14ac:dyDescent="0.25">
      <c r="A17" s="8">
        <v>42876.154224537036</v>
      </c>
      <c r="B17" s="20" t="s">
        <v>417</v>
      </c>
      <c r="C17" s="20" t="s">
        <v>638</v>
      </c>
      <c r="D17" s="141">
        <v>3040000</v>
      </c>
      <c r="E17" s="20" t="s">
        <v>396</v>
      </c>
      <c r="F17" s="20" t="s">
        <v>397</v>
      </c>
      <c r="G17" s="8" t="str">
        <f t="shared" si="0"/>
        <v>WILLIAMS DONTE</v>
      </c>
    </row>
    <row r="18" spans="1:7" x14ac:dyDescent="0.25">
      <c r="A18" s="8">
        <v>42876.15898148148</v>
      </c>
      <c r="B18" s="20" t="s">
        <v>383</v>
      </c>
      <c r="C18" s="20" t="s">
        <v>639</v>
      </c>
      <c r="D18" s="141">
        <v>1990000</v>
      </c>
      <c r="E18" s="20" t="s">
        <v>640</v>
      </c>
      <c r="F18" s="20" t="s">
        <v>641</v>
      </c>
      <c r="G18" s="8" t="str">
        <f t="shared" si="0"/>
        <v>DAVIS WENDY</v>
      </c>
    </row>
    <row r="19" spans="1:7" x14ac:dyDescent="0.25">
      <c r="A19" s="8">
        <v>42876.166331018518</v>
      </c>
      <c r="B19" s="20" t="s">
        <v>610</v>
      </c>
      <c r="C19" s="20" t="s">
        <v>642</v>
      </c>
      <c r="D19" s="141">
        <v>2530000</v>
      </c>
      <c r="E19" s="20" t="s">
        <v>521</v>
      </c>
      <c r="F19" s="20" t="s">
        <v>522</v>
      </c>
      <c r="G19" s="8" t="str">
        <f t="shared" si="0"/>
        <v>LALONDE GREGORY</v>
      </c>
    </row>
    <row r="20" spans="1:7" x14ac:dyDescent="0.25">
      <c r="A20" s="8">
        <v>42876.167037037034</v>
      </c>
      <c r="B20" s="20" t="s">
        <v>488</v>
      </c>
      <c r="C20" s="20" t="s">
        <v>643</v>
      </c>
      <c r="D20" s="141">
        <v>2010000</v>
      </c>
      <c r="E20" s="20" t="s">
        <v>631</v>
      </c>
      <c r="F20" s="20" t="s">
        <v>632</v>
      </c>
      <c r="G20" s="8" t="str">
        <f t="shared" si="0"/>
        <v>MAELZER KURT</v>
      </c>
    </row>
    <row r="21" spans="1:7" x14ac:dyDescent="0.25">
      <c r="A21" s="8">
        <v>42876.171064814815</v>
      </c>
      <c r="B21" s="20" t="s">
        <v>386</v>
      </c>
      <c r="C21" s="20" t="s">
        <v>644</v>
      </c>
      <c r="D21" s="141">
        <v>1990000</v>
      </c>
      <c r="E21" s="20" t="s">
        <v>640</v>
      </c>
      <c r="F21" s="20" t="s">
        <v>641</v>
      </c>
      <c r="G21" s="8" t="str">
        <f t="shared" si="0"/>
        <v>DAVIS WENDY</v>
      </c>
    </row>
    <row r="22" spans="1:7" x14ac:dyDescent="0.25">
      <c r="A22" s="26">
        <v>42876.178831018522</v>
      </c>
      <c r="B22" s="20" t="s">
        <v>482</v>
      </c>
      <c r="C22" s="20" t="s">
        <v>578</v>
      </c>
      <c r="D22" s="141">
        <v>1100000</v>
      </c>
      <c r="E22" s="20" t="s">
        <v>486</v>
      </c>
      <c r="F22" s="20" t="s">
        <v>487</v>
      </c>
      <c r="G22" s="8" t="str">
        <f t="shared" si="0"/>
        <v>GEBRETEKLE DAGNEW</v>
      </c>
    </row>
    <row r="23" spans="1:7" x14ac:dyDescent="0.25">
      <c r="A23" s="8">
        <v>42876.179224537038</v>
      </c>
      <c r="B23" s="20" t="s">
        <v>367</v>
      </c>
      <c r="C23" s="20" t="s">
        <v>645</v>
      </c>
      <c r="D23" s="141">
        <v>2530000</v>
      </c>
      <c r="E23" s="20" t="s">
        <v>521</v>
      </c>
      <c r="F23" s="20" t="s">
        <v>522</v>
      </c>
      <c r="G23" s="8" t="str">
        <f t="shared" si="0"/>
        <v>LALONDE GREGORY</v>
      </c>
    </row>
    <row r="24" spans="1:7" x14ac:dyDescent="0.25">
      <c r="A24" s="8">
        <v>42876.185636574075</v>
      </c>
      <c r="B24" s="20" t="s">
        <v>411</v>
      </c>
      <c r="C24" s="20" t="s">
        <v>646</v>
      </c>
      <c r="D24" s="141">
        <v>3040000</v>
      </c>
      <c r="E24" s="20" t="s">
        <v>396</v>
      </c>
      <c r="F24" s="20" t="s">
        <v>397</v>
      </c>
      <c r="G24" s="8" t="str">
        <f t="shared" si="0"/>
        <v>WILLIAMS DONTE</v>
      </c>
    </row>
    <row r="25" spans="1:7" x14ac:dyDescent="0.25">
      <c r="A25" s="8">
        <v>42876.191840277781</v>
      </c>
      <c r="B25" s="20" t="s">
        <v>437</v>
      </c>
      <c r="C25" s="20" t="s">
        <v>580</v>
      </c>
      <c r="D25" s="141">
        <v>2970000</v>
      </c>
      <c r="E25" s="20" t="s">
        <v>393</v>
      </c>
      <c r="F25" s="20" t="s">
        <v>394</v>
      </c>
      <c r="G25" s="8" t="str">
        <f t="shared" si="0"/>
        <v>GUZMAN DANNY</v>
      </c>
    </row>
    <row r="26" spans="1:7" x14ac:dyDescent="0.25">
      <c r="A26" s="8">
        <v>42876.195069444446</v>
      </c>
      <c r="B26" s="20" t="s">
        <v>479</v>
      </c>
      <c r="C26" s="20" t="s">
        <v>581</v>
      </c>
      <c r="D26" s="141">
        <v>1100000</v>
      </c>
      <c r="E26" s="20" t="s">
        <v>486</v>
      </c>
      <c r="F26" s="20" t="s">
        <v>487</v>
      </c>
      <c r="G26" s="8" t="str">
        <f t="shared" si="0"/>
        <v>GEBRETEKLE DAGNEW</v>
      </c>
    </row>
    <row r="27" spans="1:7" x14ac:dyDescent="0.25">
      <c r="A27" s="8">
        <v>42876.204467592594</v>
      </c>
      <c r="B27" s="20" t="s">
        <v>481</v>
      </c>
      <c r="C27" s="20" t="s">
        <v>647</v>
      </c>
      <c r="D27" s="141">
        <v>2010000</v>
      </c>
      <c r="E27" s="20" t="s">
        <v>631</v>
      </c>
      <c r="F27" s="20" t="s">
        <v>632</v>
      </c>
      <c r="G27" s="8" t="str">
        <f t="shared" si="0"/>
        <v>MAELZER KURT</v>
      </c>
    </row>
    <row r="28" spans="1:7" x14ac:dyDescent="0.25">
      <c r="A28" s="8">
        <v>42876.208460648151</v>
      </c>
      <c r="B28" s="20" t="s">
        <v>436</v>
      </c>
      <c r="C28" s="20" t="s">
        <v>648</v>
      </c>
      <c r="D28" s="141">
        <v>2970000</v>
      </c>
      <c r="E28" s="20" t="s">
        <v>393</v>
      </c>
      <c r="F28" s="20" t="s">
        <v>394</v>
      </c>
      <c r="G28" s="8" t="str">
        <f t="shared" si="0"/>
        <v>GUZMAN DANNY</v>
      </c>
    </row>
    <row r="29" spans="1:7" x14ac:dyDescent="0.25">
      <c r="A29" s="8">
        <v>42876.214259259257</v>
      </c>
      <c r="B29" s="20" t="s">
        <v>383</v>
      </c>
      <c r="C29" s="20" t="s">
        <v>649</v>
      </c>
      <c r="D29" s="141">
        <v>1990000</v>
      </c>
      <c r="E29" s="20" t="s">
        <v>640</v>
      </c>
      <c r="F29" s="20" t="s">
        <v>641</v>
      </c>
      <c r="G29" s="8" t="str">
        <f t="shared" si="0"/>
        <v>DAVIS WENDY</v>
      </c>
    </row>
    <row r="30" spans="1:7" x14ac:dyDescent="0.25">
      <c r="A30" s="8">
        <v>42876.214571759258</v>
      </c>
      <c r="B30" s="20" t="s">
        <v>610</v>
      </c>
      <c r="C30" s="20" t="s">
        <v>650</v>
      </c>
      <c r="D30" s="141">
        <v>2530000</v>
      </c>
      <c r="E30" s="20" t="s">
        <v>521</v>
      </c>
      <c r="F30" s="20" t="s">
        <v>522</v>
      </c>
      <c r="G30" s="8" t="str">
        <f t="shared" si="0"/>
        <v>LALONDE GREGORY</v>
      </c>
    </row>
    <row r="31" spans="1:7" x14ac:dyDescent="0.25">
      <c r="A31" s="8">
        <v>42876.221585648149</v>
      </c>
      <c r="B31" s="20" t="s">
        <v>508</v>
      </c>
      <c r="C31" s="20" t="s">
        <v>651</v>
      </c>
      <c r="D31" s="141">
        <v>2560000</v>
      </c>
      <c r="E31" s="20" t="s">
        <v>515</v>
      </c>
      <c r="F31" s="20" t="s">
        <v>378</v>
      </c>
      <c r="G31" s="8" t="str">
        <f t="shared" si="0"/>
        <v>MACDONALD THOMAS</v>
      </c>
    </row>
    <row r="32" spans="1:7" x14ac:dyDescent="0.25">
      <c r="A32" s="8">
        <v>42876.221967592595</v>
      </c>
      <c r="B32" s="20" t="s">
        <v>440</v>
      </c>
      <c r="C32" s="20" t="s">
        <v>652</v>
      </c>
      <c r="D32" s="141">
        <v>2600000</v>
      </c>
      <c r="E32" s="20" t="s">
        <v>653</v>
      </c>
      <c r="F32" s="20" t="s">
        <v>654</v>
      </c>
      <c r="G32" s="8" t="str">
        <f t="shared" si="0"/>
        <v>DAVIDSON DAVID</v>
      </c>
    </row>
    <row r="33" spans="1:7" x14ac:dyDescent="0.25">
      <c r="A33" s="8">
        <v>42876.22388888889</v>
      </c>
      <c r="B33" s="20" t="s">
        <v>440</v>
      </c>
      <c r="C33" s="20" t="s">
        <v>652</v>
      </c>
      <c r="D33" s="141">
        <v>2600000</v>
      </c>
      <c r="E33" s="20" t="s">
        <v>653</v>
      </c>
      <c r="F33" s="20" t="s">
        <v>654</v>
      </c>
      <c r="G33" s="8" t="str">
        <f t="shared" si="0"/>
        <v>DAVIDSON DAVID</v>
      </c>
    </row>
    <row r="34" spans="1:7" x14ac:dyDescent="0.25">
      <c r="A34" s="8">
        <v>42876.226597222223</v>
      </c>
      <c r="B34" s="20" t="s">
        <v>417</v>
      </c>
      <c r="C34" s="20" t="s">
        <v>655</v>
      </c>
      <c r="D34" s="141">
        <v>3040000</v>
      </c>
      <c r="E34" s="20" t="s">
        <v>396</v>
      </c>
      <c r="F34" s="20" t="s">
        <v>397</v>
      </c>
      <c r="G34" s="8" t="str">
        <f t="shared" si="0"/>
        <v>WILLIAMS DONTE</v>
      </c>
    </row>
    <row r="35" spans="1:7" x14ac:dyDescent="0.25">
      <c r="A35" s="8">
        <v>42876.230104166665</v>
      </c>
      <c r="B35" s="20" t="s">
        <v>440</v>
      </c>
      <c r="C35" s="20" t="s">
        <v>652</v>
      </c>
      <c r="D35" s="141">
        <v>2600000</v>
      </c>
      <c r="E35" s="20" t="s">
        <v>653</v>
      </c>
      <c r="F35" s="20" t="s">
        <v>654</v>
      </c>
      <c r="G35" s="8" t="str">
        <f t="shared" si="0"/>
        <v>DAVIDSON DAVID</v>
      </c>
    </row>
    <row r="36" spans="1:7" x14ac:dyDescent="0.25">
      <c r="A36" s="8">
        <v>42876.233344907407</v>
      </c>
      <c r="B36" s="20" t="s">
        <v>482</v>
      </c>
      <c r="C36" s="20" t="s">
        <v>656</v>
      </c>
      <c r="D36" s="141">
        <v>1100000</v>
      </c>
      <c r="E36" s="20" t="s">
        <v>486</v>
      </c>
      <c r="F36" s="20" t="s">
        <v>487</v>
      </c>
      <c r="G36" s="8" t="str">
        <f t="shared" si="0"/>
        <v>GEBRETEKLE DAGNEW</v>
      </c>
    </row>
    <row r="37" spans="1:7" x14ac:dyDescent="0.25">
      <c r="A37" s="8">
        <v>42876.236388888887</v>
      </c>
      <c r="B37" s="20" t="s">
        <v>509</v>
      </c>
      <c r="C37" s="20" t="s">
        <v>583</v>
      </c>
      <c r="D37" s="141">
        <v>2560000</v>
      </c>
      <c r="E37" s="20" t="s">
        <v>515</v>
      </c>
      <c r="F37" s="20" t="s">
        <v>378</v>
      </c>
      <c r="G37" s="8" t="str">
        <f t="shared" si="0"/>
        <v>MACDONALD THOMAS</v>
      </c>
    </row>
    <row r="38" spans="1:7" x14ac:dyDescent="0.25">
      <c r="A38" s="8">
        <v>42876.237407407411</v>
      </c>
      <c r="B38" s="20" t="s">
        <v>509</v>
      </c>
      <c r="C38" s="20" t="s">
        <v>583</v>
      </c>
      <c r="D38" s="141">
        <v>2560000</v>
      </c>
      <c r="E38" s="20" t="s">
        <v>515</v>
      </c>
      <c r="F38" s="20" t="s">
        <v>378</v>
      </c>
      <c r="G38" s="8" t="str">
        <f t="shared" si="0"/>
        <v>MACDONALD THOMAS</v>
      </c>
    </row>
    <row r="39" spans="1:7" x14ac:dyDescent="0.25">
      <c r="A39" s="8">
        <v>42876.238587962966</v>
      </c>
      <c r="B39" s="20" t="s">
        <v>509</v>
      </c>
      <c r="C39" s="20" t="s">
        <v>583</v>
      </c>
      <c r="D39" s="141">
        <v>2560000</v>
      </c>
      <c r="E39" s="20" t="s">
        <v>515</v>
      </c>
      <c r="F39" s="20" t="s">
        <v>378</v>
      </c>
      <c r="G39" s="8" t="str">
        <f t="shared" si="0"/>
        <v>MACDONALD THOMAS</v>
      </c>
    </row>
    <row r="40" spans="1:7" x14ac:dyDescent="0.25">
      <c r="A40" s="8">
        <v>42876.238611111112</v>
      </c>
      <c r="B40" s="25" t="s">
        <v>439</v>
      </c>
      <c r="C40" s="20" t="s">
        <v>657</v>
      </c>
      <c r="D40" s="141">
        <v>2600000</v>
      </c>
      <c r="E40" s="20" t="s">
        <v>653</v>
      </c>
      <c r="F40" s="20" t="s">
        <v>654</v>
      </c>
      <c r="G40" s="8" t="str">
        <f t="shared" si="0"/>
        <v>DAVIDSON DAVID</v>
      </c>
    </row>
    <row r="41" spans="1:7" x14ac:dyDescent="0.25">
      <c r="A41" s="8">
        <v>42876.241296296299</v>
      </c>
      <c r="B41" s="20" t="s">
        <v>488</v>
      </c>
      <c r="C41" s="20" t="s">
        <v>658</v>
      </c>
      <c r="D41" s="141">
        <v>2010000</v>
      </c>
      <c r="E41" s="20" t="s">
        <v>631</v>
      </c>
      <c r="F41" s="20" t="s">
        <v>632</v>
      </c>
      <c r="G41" s="8" t="str">
        <f t="shared" si="0"/>
        <v>MAELZER KURT</v>
      </c>
    </row>
    <row r="42" spans="1:7" x14ac:dyDescent="0.25">
      <c r="A42" s="8">
        <v>42876.246134259258</v>
      </c>
      <c r="B42" s="20" t="s">
        <v>386</v>
      </c>
      <c r="C42" s="20" t="s">
        <v>584</v>
      </c>
      <c r="D42" s="141">
        <v>1990000</v>
      </c>
      <c r="E42" s="20" t="s">
        <v>640</v>
      </c>
      <c r="F42" s="20" t="s">
        <v>641</v>
      </c>
      <c r="G42" s="8" t="str">
        <f t="shared" si="0"/>
        <v>DAVIS WENDY</v>
      </c>
    </row>
    <row r="43" spans="1:7" x14ac:dyDescent="0.25">
      <c r="A43" s="8">
        <v>42876.248923611114</v>
      </c>
      <c r="B43" s="20" t="s">
        <v>437</v>
      </c>
      <c r="C43" s="20" t="s">
        <v>659</v>
      </c>
      <c r="D43" s="141">
        <v>2970000</v>
      </c>
      <c r="E43" s="20" t="s">
        <v>393</v>
      </c>
      <c r="F43" s="20" t="s">
        <v>394</v>
      </c>
      <c r="G43" s="8" t="str">
        <f t="shared" si="0"/>
        <v>GUZMAN DANNY</v>
      </c>
    </row>
    <row r="44" spans="1:7" x14ac:dyDescent="0.25">
      <c r="A44" s="8">
        <v>42876.251967592594</v>
      </c>
      <c r="B44" s="20" t="s">
        <v>440</v>
      </c>
      <c r="C44" s="20" t="s">
        <v>660</v>
      </c>
      <c r="D44" s="141">
        <v>2600000</v>
      </c>
      <c r="E44" s="20" t="s">
        <v>653</v>
      </c>
      <c r="F44" s="20" t="s">
        <v>654</v>
      </c>
      <c r="G44" s="8" t="str">
        <f t="shared" si="0"/>
        <v>DAVIDSON DAVID</v>
      </c>
    </row>
    <row r="45" spans="1:7" x14ac:dyDescent="0.25">
      <c r="A45" s="8">
        <v>42876.255069444444</v>
      </c>
      <c r="B45" s="20" t="s">
        <v>367</v>
      </c>
      <c r="C45" s="20" t="s">
        <v>661</v>
      </c>
      <c r="D45" s="141">
        <v>1810000</v>
      </c>
      <c r="E45" s="20" t="s">
        <v>379</v>
      </c>
      <c r="F45" s="20" t="s">
        <v>193</v>
      </c>
      <c r="G45" s="8" t="str">
        <f t="shared" si="0"/>
        <v>NEWELL JAMES</v>
      </c>
    </row>
    <row r="46" spans="1:7" x14ac:dyDescent="0.25">
      <c r="A46" s="8">
        <v>42876.258460648147</v>
      </c>
      <c r="B46" s="20" t="s">
        <v>411</v>
      </c>
      <c r="C46" s="20" t="s">
        <v>662</v>
      </c>
      <c r="D46" s="141">
        <v>3040000</v>
      </c>
      <c r="E46" s="20" t="s">
        <v>396</v>
      </c>
      <c r="F46" s="20" t="s">
        <v>397</v>
      </c>
      <c r="G46" s="8" t="str">
        <f t="shared" si="0"/>
        <v>WILLIAMS DONTE</v>
      </c>
    </row>
    <row r="47" spans="1:7" x14ac:dyDescent="0.25">
      <c r="A47" s="8">
        <v>42876.266828703701</v>
      </c>
      <c r="B47" s="20" t="s">
        <v>479</v>
      </c>
      <c r="C47" s="20" t="s">
        <v>663</v>
      </c>
      <c r="D47" s="141">
        <v>1100000</v>
      </c>
      <c r="E47" s="20" t="s">
        <v>486</v>
      </c>
      <c r="F47" s="20" t="s">
        <v>487</v>
      </c>
      <c r="G47" s="8" t="str">
        <f t="shared" si="0"/>
        <v>GEBRETEKLE DAGNEW</v>
      </c>
    </row>
    <row r="48" spans="1:7" x14ac:dyDescent="0.25">
      <c r="A48" s="8">
        <v>42876.267928240741</v>
      </c>
      <c r="B48" s="20" t="s">
        <v>439</v>
      </c>
      <c r="C48" s="20" t="s">
        <v>664</v>
      </c>
      <c r="D48" s="141">
        <v>2600000</v>
      </c>
      <c r="E48" s="20" t="s">
        <v>653</v>
      </c>
      <c r="F48" s="20" t="s">
        <v>654</v>
      </c>
      <c r="G48" s="8" t="str">
        <f t="shared" si="0"/>
        <v>DAVIDSON DAVID</v>
      </c>
    </row>
    <row r="49" spans="1:7" x14ac:dyDescent="0.25">
      <c r="A49" s="8">
        <v>42876.273969907408</v>
      </c>
      <c r="B49" s="20" t="s">
        <v>508</v>
      </c>
      <c r="C49" s="20" t="s">
        <v>585</v>
      </c>
      <c r="D49" s="141">
        <v>2560000</v>
      </c>
      <c r="E49" s="20" t="s">
        <v>515</v>
      </c>
      <c r="F49" s="20" t="s">
        <v>378</v>
      </c>
      <c r="G49" s="8" t="str">
        <f t="shared" si="0"/>
        <v>MACDONALD THOMAS</v>
      </c>
    </row>
    <row r="50" spans="1:7" x14ac:dyDescent="0.25">
      <c r="A50" s="8">
        <v>42876.27715277778</v>
      </c>
      <c r="B50" s="20" t="s">
        <v>481</v>
      </c>
      <c r="C50" s="20" t="s">
        <v>665</v>
      </c>
      <c r="D50" s="141">
        <v>2010000</v>
      </c>
      <c r="E50" s="20" t="s">
        <v>631</v>
      </c>
      <c r="F50" s="20" t="s">
        <v>632</v>
      </c>
      <c r="G50" s="8" t="str">
        <f t="shared" si="0"/>
        <v>MAELZER KURT</v>
      </c>
    </row>
    <row r="51" spans="1:7" x14ac:dyDescent="0.25">
      <c r="A51" s="8">
        <v>42876.287673611114</v>
      </c>
      <c r="B51" s="20" t="s">
        <v>383</v>
      </c>
      <c r="C51" s="20" t="s">
        <v>666</v>
      </c>
      <c r="D51" s="141">
        <v>1990000</v>
      </c>
      <c r="E51" s="20" t="s">
        <v>640</v>
      </c>
      <c r="F51" s="20" t="s">
        <v>641</v>
      </c>
      <c r="G51" s="8" t="str">
        <f t="shared" si="0"/>
        <v>DAVIS WENDY</v>
      </c>
    </row>
    <row r="52" spans="1:7" x14ac:dyDescent="0.25">
      <c r="A52" s="8">
        <v>42876.287951388891</v>
      </c>
      <c r="B52" s="20" t="s">
        <v>436</v>
      </c>
      <c r="C52" s="20" t="s">
        <v>667</v>
      </c>
      <c r="D52" s="141">
        <v>2970000</v>
      </c>
      <c r="E52" s="20" t="s">
        <v>393</v>
      </c>
      <c r="F52" s="20" t="s">
        <v>394</v>
      </c>
      <c r="G52" s="8" t="str">
        <f t="shared" si="0"/>
        <v>GUZMAN DANNY</v>
      </c>
    </row>
    <row r="53" spans="1:7" x14ac:dyDescent="0.25">
      <c r="A53" s="8">
        <v>42876.292222222219</v>
      </c>
      <c r="B53" s="20" t="s">
        <v>440</v>
      </c>
      <c r="C53" s="20" t="s">
        <v>668</v>
      </c>
      <c r="D53" s="141">
        <v>2600000</v>
      </c>
      <c r="E53" s="20" t="s">
        <v>653</v>
      </c>
      <c r="F53" s="20" t="s">
        <v>654</v>
      </c>
      <c r="G53" s="8" t="str">
        <f t="shared" si="0"/>
        <v>DAVIDSON DAVID</v>
      </c>
    </row>
    <row r="54" spans="1:7" x14ac:dyDescent="0.25">
      <c r="A54" s="8">
        <v>42876.294652777775</v>
      </c>
      <c r="B54" s="20" t="s">
        <v>610</v>
      </c>
      <c r="C54" s="20" t="s">
        <v>669</v>
      </c>
      <c r="D54" s="141">
        <v>1810000</v>
      </c>
      <c r="E54" s="20" t="s">
        <v>379</v>
      </c>
      <c r="F54" s="20" t="s">
        <v>193</v>
      </c>
      <c r="G54" s="8" t="str">
        <f t="shared" si="0"/>
        <v>NEWELL JAMES</v>
      </c>
    </row>
    <row r="55" spans="1:7" x14ac:dyDescent="0.25">
      <c r="A55" s="8">
        <v>42876.299849537034</v>
      </c>
      <c r="B55" s="20" t="s">
        <v>417</v>
      </c>
      <c r="C55" s="20" t="s">
        <v>670</v>
      </c>
      <c r="D55" s="141">
        <v>3040000</v>
      </c>
      <c r="E55" s="20" t="s">
        <v>396</v>
      </c>
      <c r="F55" s="20" t="s">
        <v>397</v>
      </c>
      <c r="G55" s="8" t="str">
        <f t="shared" si="0"/>
        <v>WILLIAMS DONTE</v>
      </c>
    </row>
    <row r="56" spans="1:7" x14ac:dyDescent="0.25">
      <c r="A56" s="8">
        <v>42876.30609953704</v>
      </c>
      <c r="B56" s="20" t="s">
        <v>482</v>
      </c>
      <c r="C56" s="20" t="s">
        <v>586</v>
      </c>
      <c r="D56" s="141">
        <v>1100000</v>
      </c>
      <c r="E56" s="20" t="s">
        <v>486</v>
      </c>
      <c r="F56" s="20" t="s">
        <v>487</v>
      </c>
      <c r="G56" s="8" t="str">
        <f t="shared" si="0"/>
        <v>GEBRETEKLE DAGNEW</v>
      </c>
    </row>
    <row r="57" spans="1:7" x14ac:dyDescent="0.25">
      <c r="A57" s="8">
        <v>42876.308611111112</v>
      </c>
      <c r="B57" s="20" t="s">
        <v>509</v>
      </c>
      <c r="C57" s="20" t="s">
        <v>671</v>
      </c>
      <c r="D57" s="141">
        <v>2560000</v>
      </c>
      <c r="E57" s="20" t="s">
        <v>515</v>
      </c>
      <c r="F57" s="20" t="s">
        <v>378</v>
      </c>
      <c r="G57" s="8" t="str">
        <f t="shared" si="0"/>
        <v>MACDONALD THOMAS</v>
      </c>
    </row>
    <row r="58" spans="1:7" x14ac:dyDescent="0.25">
      <c r="A58" s="8">
        <v>42876.310034722221</v>
      </c>
      <c r="B58" s="20" t="s">
        <v>439</v>
      </c>
      <c r="C58" s="20" t="s">
        <v>672</v>
      </c>
      <c r="D58" s="141">
        <v>2600000</v>
      </c>
      <c r="E58" s="20" t="s">
        <v>653</v>
      </c>
      <c r="F58" s="20" t="s">
        <v>654</v>
      </c>
      <c r="G58" s="8" t="str">
        <f t="shared" si="0"/>
        <v>DAVIDSON DAVID</v>
      </c>
    </row>
    <row r="59" spans="1:7" x14ac:dyDescent="0.25">
      <c r="A59" s="8">
        <v>42876.314502314817</v>
      </c>
      <c r="B59" s="20" t="s">
        <v>488</v>
      </c>
      <c r="C59" s="20" t="s">
        <v>588</v>
      </c>
      <c r="D59" s="141">
        <v>2010000</v>
      </c>
      <c r="E59" s="20" t="s">
        <v>631</v>
      </c>
      <c r="F59" s="20" t="s">
        <v>632</v>
      </c>
      <c r="G59" s="8" t="str">
        <f t="shared" si="0"/>
        <v>MAELZER KURT</v>
      </c>
    </row>
    <row r="60" spans="1:7" x14ac:dyDescent="0.25">
      <c r="A60" s="8">
        <v>42876.319768518515</v>
      </c>
      <c r="B60" s="20" t="s">
        <v>437</v>
      </c>
      <c r="C60" s="20" t="s">
        <v>673</v>
      </c>
      <c r="D60" s="141">
        <v>2970000</v>
      </c>
      <c r="E60" s="20" t="s">
        <v>393</v>
      </c>
      <c r="F60" s="20" t="s">
        <v>394</v>
      </c>
      <c r="G60" s="8" t="str">
        <f t="shared" si="0"/>
        <v>GUZMAN DANNY</v>
      </c>
    </row>
    <row r="61" spans="1:7" x14ac:dyDescent="0.25">
      <c r="A61" s="8">
        <v>42876.321076388886</v>
      </c>
      <c r="B61" s="20" t="s">
        <v>386</v>
      </c>
      <c r="C61" s="20" t="s">
        <v>674</v>
      </c>
      <c r="D61" s="141">
        <v>1990000</v>
      </c>
      <c r="E61" s="20" t="s">
        <v>640</v>
      </c>
      <c r="F61" s="20" t="s">
        <v>641</v>
      </c>
      <c r="G61" s="8" t="str">
        <f t="shared" si="0"/>
        <v>DAVIS WENDY</v>
      </c>
    </row>
    <row r="62" spans="1:7" x14ac:dyDescent="0.25">
      <c r="A62" s="8">
        <v>42876.329733796294</v>
      </c>
      <c r="B62" s="20" t="s">
        <v>367</v>
      </c>
      <c r="C62" s="20" t="s">
        <v>675</v>
      </c>
      <c r="D62" s="141">
        <v>2530000</v>
      </c>
      <c r="E62" s="20" t="s">
        <v>521</v>
      </c>
      <c r="F62" s="20" t="s">
        <v>522</v>
      </c>
      <c r="G62" s="8" t="str">
        <f t="shared" si="0"/>
        <v>LALONDE GREGORY</v>
      </c>
    </row>
    <row r="63" spans="1:7" x14ac:dyDescent="0.25">
      <c r="A63" s="8">
        <v>42876.332442129627</v>
      </c>
      <c r="B63" s="20" t="s">
        <v>440</v>
      </c>
      <c r="C63" s="20" t="s">
        <v>676</v>
      </c>
      <c r="D63" s="141">
        <v>2600000</v>
      </c>
      <c r="E63" s="20" t="s">
        <v>653</v>
      </c>
      <c r="F63" s="20" t="s">
        <v>654</v>
      </c>
      <c r="G63" s="8" t="str">
        <f t="shared" si="0"/>
        <v>DAVIDSON DAVID</v>
      </c>
    </row>
    <row r="64" spans="1:7" x14ac:dyDescent="0.25">
      <c r="A64" s="26">
        <v>42876.334618055553</v>
      </c>
      <c r="B64" s="20" t="s">
        <v>411</v>
      </c>
      <c r="C64" s="20" t="s">
        <v>677</v>
      </c>
      <c r="D64" s="141">
        <v>3040000</v>
      </c>
      <c r="E64" s="20" t="s">
        <v>396</v>
      </c>
      <c r="F64" s="20" t="s">
        <v>397</v>
      </c>
      <c r="G64" s="8" t="str">
        <f t="shared" si="0"/>
        <v>WILLIAMS DONTE</v>
      </c>
    </row>
    <row r="65" spans="1:7" x14ac:dyDescent="0.25">
      <c r="A65" s="8">
        <v>42876.34202546296</v>
      </c>
      <c r="B65" s="20" t="s">
        <v>479</v>
      </c>
      <c r="C65" s="20" t="s">
        <v>678</v>
      </c>
      <c r="D65" s="141">
        <v>1100000</v>
      </c>
      <c r="E65" s="20" t="s">
        <v>486</v>
      </c>
      <c r="F65" s="20" t="s">
        <v>487</v>
      </c>
      <c r="G65" s="8" t="str">
        <f t="shared" si="0"/>
        <v>GEBRETEKLE DAGNEW</v>
      </c>
    </row>
    <row r="66" spans="1:7" x14ac:dyDescent="0.25">
      <c r="A66" s="8">
        <v>42876.349374999998</v>
      </c>
      <c r="B66" s="20" t="s">
        <v>508</v>
      </c>
      <c r="C66" s="20" t="s">
        <v>679</v>
      </c>
      <c r="D66" s="141">
        <v>2560000</v>
      </c>
      <c r="E66" s="20" t="s">
        <v>515</v>
      </c>
      <c r="F66" s="20" t="s">
        <v>378</v>
      </c>
      <c r="G66" s="8" t="str">
        <f t="shared" si="0"/>
        <v>MACDONALD THOMAS</v>
      </c>
    </row>
    <row r="67" spans="1:7" x14ac:dyDescent="0.25">
      <c r="A67" s="8">
        <v>42876.352407407408</v>
      </c>
      <c r="B67" s="20" t="s">
        <v>439</v>
      </c>
      <c r="C67" s="20" t="s">
        <v>680</v>
      </c>
      <c r="D67" s="141">
        <v>2600000</v>
      </c>
      <c r="E67" s="20" t="s">
        <v>653</v>
      </c>
      <c r="F67" s="20" t="s">
        <v>654</v>
      </c>
      <c r="G67" s="8" t="str">
        <f t="shared" ref="G67:G130" si="1">E67&amp;" "&amp;F67</f>
        <v>DAVIDSON DAVID</v>
      </c>
    </row>
    <row r="68" spans="1:7" x14ac:dyDescent="0.25">
      <c r="A68" s="8">
        <v>42876.352870370371</v>
      </c>
      <c r="B68" s="20" t="s">
        <v>481</v>
      </c>
      <c r="C68" s="20" t="s">
        <v>681</v>
      </c>
      <c r="D68" s="141">
        <v>2010000</v>
      </c>
      <c r="E68" s="20" t="s">
        <v>631</v>
      </c>
      <c r="F68" s="20" t="s">
        <v>632</v>
      </c>
      <c r="G68" s="8" t="str">
        <f t="shared" si="1"/>
        <v>MAELZER KURT</v>
      </c>
    </row>
    <row r="69" spans="1:7" x14ac:dyDescent="0.25">
      <c r="A69" s="8">
        <v>42876.357638888891</v>
      </c>
      <c r="B69" s="20" t="s">
        <v>383</v>
      </c>
      <c r="C69" s="20" t="s">
        <v>682</v>
      </c>
      <c r="D69" s="141">
        <v>1990000</v>
      </c>
      <c r="E69" s="20" t="s">
        <v>640</v>
      </c>
      <c r="F69" s="20" t="s">
        <v>641</v>
      </c>
      <c r="G69" s="8" t="str">
        <f t="shared" si="1"/>
        <v>DAVIS WENDY</v>
      </c>
    </row>
    <row r="70" spans="1:7" x14ac:dyDescent="0.25">
      <c r="A70" s="8">
        <v>42876.359895833331</v>
      </c>
      <c r="B70" s="20" t="s">
        <v>610</v>
      </c>
      <c r="C70" s="20" t="s">
        <v>683</v>
      </c>
      <c r="D70" s="141">
        <v>2530000</v>
      </c>
      <c r="E70" s="20" t="s">
        <v>521</v>
      </c>
      <c r="F70" s="20" t="s">
        <v>522</v>
      </c>
      <c r="G70" s="8" t="str">
        <f t="shared" si="1"/>
        <v>LALONDE GREGORY</v>
      </c>
    </row>
    <row r="71" spans="1:7" x14ac:dyDescent="0.25">
      <c r="A71" s="8">
        <v>42876.361678240741</v>
      </c>
      <c r="B71" s="20" t="s">
        <v>436</v>
      </c>
      <c r="C71" s="20" t="s">
        <v>589</v>
      </c>
      <c r="D71" s="141">
        <v>2970000</v>
      </c>
      <c r="E71" s="20" t="s">
        <v>393</v>
      </c>
      <c r="F71" s="20" t="s">
        <v>394</v>
      </c>
      <c r="G71" s="8" t="str">
        <f t="shared" si="1"/>
        <v>GUZMAN DANNY</v>
      </c>
    </row>
    <row r="72" spans="1:7" x14ac:dyDescent="0.25">
      <c r="A72" s="8">
        <v>42876.373796296299</v>
      </c>
      <c r="B72" s="20" t="s">
        <v>440</v>
      </c>
      <c r="C72" s="20" t="s">
        <v>684</v>
      </c>
      <c r="D72" s="141">
        <v>2600000</v>
      </c>
      <c r="E72" s="20" t="s">
        <v>653</v>
      </c>
      <c r="F72" s="20" t="s">
        <v>654</v>
      </c>
      <c r="G72" s="8" t="str">
        <f t="shared" si="1"/>
        <v>DAVIDSON DAVID</v>
      </c>
    </row>
    <row r="73" spans="1:7" x14ac:dyDescent="0.25">
      <c r="A73" s="8">
        <v>42876.374675925923</v>
      </c>
      <c r="B73" s="20" t="s">
        <v>417</v>
      </c>
      <c r="C73" s="20" t="s">
        <v>591</v>
      </c>
      <c r="D73" s="141">
        <v>3040000</v>
      </c>
      <c r="E73" s="20" t="s">
        <v>396</v>
      </c>
      <c r="F73" s="20" t="s">
        <v>397</v>
      </c>
      <c r="G73" s="8" t="str">
        <f t="shared" si="1"/>
        <v>WILLIAMS DONTE</v>
      </c>
    </row>
    <row r="74" spans="1:7" x14ac:dyDescent="0.25">
      <c r="A74" s="8">
        <v>42876.378831018519</v>
      </c>
      <c r="B74" s="20" t="s">
        <v>482</v>
      </c>
      <c r="C74" s="20" t="s">
        <v>590</v>
      </c>
      <c r="D74" s="141">
        <v>1100000</v>
      </c>
      <c r="E74" s="20" t="s">
        <v>486</v>
      </c>
      <c r="F74" s="20" t="s">
        <v>487</v>
      </c>
      <c r="G74" s="8" t="str">
        <f t="shared" si="1"/>
        <v>GEBRETEKLE DAGNEW</v>
      </c>
    </row>
    <row r="75" spans="1:7" x14ac:dyDescent="0.25">
      <c r="A75" s="8">
        <v>42876.383796296293</v>
      </c>
      <c r="B75" s="20" t="s">
        <v>509</v>
      </c>
      <c r="C75" s="20" t="s">
        <v>685</v>
      </c>
      <c r="D75" s="141">
        <v>2560000</v>
      </c>
      <c r="E75" s="20" t="s">
        <v>515</v>
      </c>
      <c r="F75" s="20" t="s">
        <v>378</v>
      </c>
      <c r="G75" s="8" t="str">
        <f t="shared" si="1"/>
        <v>MACDONALD THOMAS</v>
      </c>
    </row>
    <row r="76" spans="1:7" x14ac:dyDescent="0.25">
      <c r="A76" s="8">
        <v>42876.387604166666</v>
      </c>
      <c r="B76" s="20" t="s">
        <v>488</v>
      </c>
      <c r="C76" s="20" t="s">
        <v>686</v>
      </c>
      <c r="D76" s="141">
        <v>2010000</v>
      </c>
      <c r="E76" s="20" t="s">
        <v>631</v>
      </c>
      <c r="F76" s="20" t="s">
        <v>632</v>
      </c>
      <c r="G76" s="8" t="str">
        <f t="shared" si="1"/>
        <v>MAELZER KURT</v>
      </c>
    </row>
    <row r="77" spans="1:7" x14ac:dyDescent="0.25">
      <c r="A77" s="8">
        <v>42876.392118055555</v>
      </c>
      <c r="B77" s="20" t="s">
        <v>386</v>
      </c>
      <c r="C77" s="20" t="s">
        <v>592</v>
      </c>
      <c r="D77" s="141">
        <v>1990000</v>
      </c>
      <c r="E77" s="20" t="s">
        <v>640</v>
      </c>
      <c r="F77" s="20" t="s">
        <v>641</v>
      </c>
      <c r="G77" s="8" t="str">
        <f t="shared" si="1"/>
        <v>DAVIS WENDY</v>
      </c>
    </row>
    <row r="78" spans="1:7" x14ac:dyDescent="0.25">
      <c r="A78" s="8">
        <v>42876.393055555556</v>
      </c>
      <c r="B78" s="20" t="s">
        <v>439</v>
      </c>
      <c r="C78" s="20" t="s">
        <v>687</v>
      </c>
      <c r="D78" s="141">
        <v>2600000</v>
      </c>
      <c r="E78" s="20" t="s">
        <v>653</v>
      </c>
      <c r="F78" s="20" t="s">
        <v>654</v>
      </c>
      <c r="G78" s="8" t="str">
        <f t="shared" si="1"/>
        <v>DAVIDSON DAVID</v>
      </c>
    </row>
    <row r="79" spans="1:7" x14ac:dyDescent="0.25">
      <c r="A79" s="8">
        <v>42876.394189814811</v>
      </c>
      <c r="B79" s="20" t="s">
        <v>427</v>
      </c>
      <c r="C79" s="20" t="s">
        <v>595</v>
      </c>
      <c r="D79" s="141">
        <v>1780000</v>
      </c>
      <c r="E79" s="20" t="s">
        <v>635</v>
      </c>
      <c r="F79" s="20" t="s">
        <v>636</v>
      </c>
      <c r="G79" s="8" t="str">
        <f t="shared" si="1"/>
        <v>DE LA ROSA ALEX</v>
      </c>
    </row>
    <row r="80" spans="1:7" x14ac:dyDescent="0.25">
      <c r="A80" s="8">
        <v>42876.396585648145</v>
      </c>
      <c r="B80" s="20" t="s">
        <v>437</v>
      </c>
      <c r="C80" s="20" t="s">
        <v>688</v>
      </c>
      <c r="D80" s="141">
        <v>2970000</v>
      </c>
      <c r="E80" s="20" t="s">
        <v>393</v>
      </c>
      <c r="F80" s="20" t="s">
        <v>394</v>
      </c>
      <c r="G80" s="8" t="str">
        <f t="shared" si="1"/>
        <v>GUZMAN DANNY</v>
      </c>
    </row>
    <row r="81" spans="1:7" x14ac:dyDescent="0.25">
      <c r="A81" s="8">
        <v>42876.400960648149</v>
      </c>
      <c r="B81" s="20" t="s">
        <v>367</v>
      </c>
      <c r="C81" s="20" t="s">
        <v>689</v>
      </c>
      <c r="D81" s="141">
        <v>2530000</v>
      </c>
      <c r="E81" s="20" t="s">
        <v>521</v>
      </c>
      <c r="F81" s="20" t="s">
        <v>522</v>
      </c>
      <c r="G81" s="8" t="str">
        <f t="shared" si="1"/>
        <v>LALONDE GREGORY</v>
      </c>
    </row>
    <row r="82" spans="1:7" x14ac:dyDescent="0.25">
      <c r="A82" s="8">
        <v>42876.415208333332</v>
      </c>
      <c r="B82" s="20" t="s">
        <v>411</v>
      </c>
      <c r="C82" s="20" t="s">
        <v>690</v>
      </c>
      <c r="D82" s="141">
        <v>3040000</v>
      </c>
      <c r="E82" s="20" t="s">
        <v>396</v>
      </c>
      <c r="F82" s="20" t="s">
        <v>397</v>
      </c>
      <c r="G82" s="8" t="str">
        <f t="shared" si="1"/>
        <v>WILLIAMS DONTE</v>
      </c>
    </row>
    <row r="83" spans="1:7" x14ac:dyDescent="0.25">
      <c r="A83" s="8">
        <v>42876.415416666663</v>
      </c>
      <c r="B83" s="20" t="s">
        <v>479</v>
      </c>
      <c r="C83" s="20" t="s">
        <v>691</v>
      </c>
      <c r="D83" s="141">
        <v>1100000</v>
      </c>
      <c r="E83" s="20" t="s">
        <v>486</v>
      </c>
      <c r="F83" s="20" t="s">
        <v>487</v>
      </c>
      <c r="G83" s="8" t="str">
        <f t="shared" si="1"/>
        <v>GEBRETEKLE DAGNEW</v>
      </c>
    </row>
    <row r="84" spans="1:7" x14ac:dyDescent="0.25">
      <c r="A84" s="8">
        <v>42876.416296296295</v>
      </c>
      <c r="B84" s="20" t="s">
        <v>479</v>
      </c>
      <c r="C84" s="20" t="s">
        <v>691</v>
      </c>
      <c r="D84" s="141">
        <v>1100000</v>
      </c>
      <c r="E84" s="20" t="s">
        <v>486</v>
      </c>
      <c r="F84" s="20" t="s">
        <v>487</v>
      </c>
      <c r="G84" s="8" t="str">
        <f t="shared" si="1"/>
        <v>GEBRETEKLE DAGNEW</v>
      </c>
    </row>
    <row r="85" spans="1:7" x14ac:dyDescent="0.25">
      <c r="A85" s="8">
        <v>42876.418425925927</v>
      </c>
      <c r="B85" s="20" t="s">
        <v>440</v>
      </c>
      <c r="C85" s="20" t="s">
        <v>692</v>
      </c>
      <c r="D85" s="141">
        <v>2600000</v>
      </c>
      <c r="E85" s="20" t="s">
        <v>653</v>
      </c>
      <c r="F85" s="20" t="s">
        <v>654</v>
      </c>
      <c r="G85" s="8" t="str">
        <f t="shared" si="1"/>
        <v>DAVIDSON DAVID</v>
      </c>
    </row>
    <row r="86" spans="1:7" x14ac:dyDescent="0.25">
      <c r="A86" s="8">
        <v>42876.423587962963</v>
      </c>
      <c r="B86" s="20" t="s">
        <v>508</v>
      </c>
      <c r="C86" s="20" t="s">
        <v>593</v>
      </c>
      <c r="D86" s="141">
        <v>2560000</v>
      </c>
      <c r="E86" s="20" t="s">
        <v>515</v>
      </c>
      <c r="F86" s="20" t="s">
        <v>378</v>
      </c>
      <c r="G86" s="8" t="str">
        <f t="shared" si="1"/>
        <v>MACDONALD THOMAS</v>
      </c>
    </row>
    <row r="87" spans="1:7" x14ac:dyDescent="0.25">
      <c r="A87" s="8">
        <v>42876.423715277779</v>
      </c>
      <c r="B87" s="20" t="s">
        <v>481</v>
      </c>
      <c r="C87" s="20" t="s">
        <v>693</v>
      </c>
      <c r="D87" s="141">
        <v>2480000</v>
      </c>
      <c r="E87" s="20" t="s">
        <v>523</v>
      </c>
      <c r="F87" s="20" t="s">
        <v>524</v>
      </c>
      <c r="G87" s="8" t="str">
        <f t="shared" si="1"/>
        <v>WHITED DUSTIN</v>
      </c>
    </row>
    <row r="88" spans="1:7" x14ac:dyDescent="0.25">
      <c r="A88" s="8">
        <v>42876.433009259257</v>
      </c>
      <c r="B88" s="20" t="s">
        <v>383</v>
      </c>
      <c r="C88" s="20" t="s">
        <v>694</v>
      </c>
      <c r="D88" s="141">
        <v>1990000</v>
      </c>
      <c r="E88" s="20" t="s">
        <v>640</v>
      </c>
      <c r="F88" s="20" t="s">
        <v>641</v>
      </c>
      <c r="G88" s="8" t="str">
        <f t="shared" si="1"/>
        <v>DAVIS WENDY</v>
      </c>
    </row>
    <row r="89" spans="1:7" x14ac:dyDescent="0.25">
      <c r="A89" s="8">
        <v>42876.433009259257</v>
      </c>
      <c r="B89" s="20" t="s">
        <v>610</v>
      </c>
      <c r="C89" s="20" t="s">
        <v>695</v>
      </c>
      <c r="D89" s="141">
        <v>2530000</v>
      </c>
      <c r="E89" s="20" t="s">
        <v>521</v>
      </c>
      <c r="F89" s="20" t="s">
        <v>522</v>
      </c>
      <c r="G89" s="8" t="str">
        <f t="shared" si="1"/>
        <v>LALONDE GREGORY</v>
      </c>
    </row>
    <row r="90" spans="1:7" x14ac:dyDescent="0.25">
      <c r="A90" s="8">
        <v>42876.43414351852</v>
      </c>
      <c r="B90" s="20" t="s">
        <v>436</v>
      </c>
      <c r="C90" s="20" t="s">
        <v>696</v>
      </c>
      <c r="D90" s="141">
        <v>2970000</v>
      </c>
      <c r="E90" s="20" t="s">
        <v>393</v>
      </c>
      <c r="F90" s="20" t="s">
        <v>394</v>
      </c>
      <c r="G90" s="8" t="str">
        <f t="shared" si="1"/>
        <v>GUZMAN DANNY</v>
      </c>
    </row>
    <row r="91" spans="1:7" x14ac:dyDescent="0.25">
      <c r="A91" s="8">
        <v>42876.435671296298</v>
      </c>
      <c r="B91" s="20" t="s">
        <v>439</v>
      </c>
      <c r="C91" s="20" t="s">
        <v>697</v>
      </c>
      <c r="D91" s="141">
        <v>2600000</v>
      </c>
      <c r="E91" s="20" t="s">
        <v>653</v>
      </c>
      <c r="F91" s="20" t="s">
        <v>654</v>
      </c>
      <c r="G91" s="8" t="str">
        <f t="shared" si="1"/>
        <v>DAVIDSON DAVID</v>
      </c>
    </row>
    <row r="92" spans="1:7" x14ac:dyDescent="0.25">
      <c r="A92" s="8">
        <v>42876.445937500001</v>
      </c>
      <c r="B92" s="20" t="s">
        <v>417</v>
      </c>
      <c r="C92" s="20" t="s">
        <v>698</v>
      </c>
      <c r="D92" s="141">
        <v>930000</v>
      </c>
      <c r="E92" s="20" t="s">
        <v>430</v>
      </c>
      <c r="F92" s="20" t="s">
        <v>431</v>
      </c>
      <c r="G92" s="8" t="str">
        <f t="shared" si="1"/>
        <v>CLARK KATHLEEN</v>
      </c>
    </row>
    <row r="93" spans="1:7" x14ac:dyDescent="0.25">
      <c r="A93" s="8">
        <v>42876.449432870373</v>
      </c>
      <c r="B93" s="20" t="s">
        <v>482</v>
      </c>
      <c r="C93" s="20" t="s">
        <v>594</v>
      </c>
      <c r="D93" s="141">
        <v>1100000</v>
      </c>
      <c r="E93" s="20" t="s">
        <v>486</v>
      </c>
      <c r="F93" s="20" t="s">
        <v>487</v>
      </c>
      <c r="G93" s="8" t="str">
        <f t="shared" si="1"/>
        <v>GEBRETEKLE DAGNEW</v>
      </c>
    </row>
    <row r="94" spans="1:7" x14ac:dyDescent="0.25">
      <c r="A94" s="8">
        <v>42876.456458333334</v>
      </c>
      <c r="B94" s="20" t="s">
        <v>509</v>
      </c>
      <c r="C94" s="20" t="s">
        <v>699</v>
      </c>
      <c r="D94" s="141">
        <v>2560000</v>
      </c>
      <c r="E94" s="20" t="s">
        <v>515</v>
      </c>
      <c r="F94" s="20" t="s">
        <v>378</v>
      </c>
      <c r="G94" s="8" t="str">
        <f t="shared" si="1"/>
        <v>MACDONALD THOMAS</v>
      </c>
    </row>
    <row r="95" spans="1:7" x14ac:dyDescent="0.25">
      <c r="A95" s="8">
        <v>42876.457974537036</v>
      </c>
      <c r="B95" s="20" t="s">
        <v>440</v>
      </c>
      <c r="C95" s="20" t="s">
        <v>700</v>
      </c>
      <c r="D95" s="141">
        <v>2600000</v>
      </c>
      <c r="E95" s="20" t="s">
        <v>653</v>
      </c>
      <c r="F95" s="20" t="s">
        <v>654</v>
      </c>
      <c r="G95" s="8" t="str">
        <f t="shared" si="1"/>
        <v>DAVIDSON DAVID</v>
      </c>
    </row>
    <row r="96" spans="1:7" x14ac:dyDescent="0.25">
      <c r="A96" s="8">
        <v>42876.461550925924</v>
      </c>
      <c r="B96" s="20" t="s">
        <v>488</v>
      </c>
      <c r="C96" s="20" t="s">
        <v>596</v>
      </c>
      <c r="D96" s="141">
        <v>2480000</v>
      </c>
      <c r="E96" s="20" t="s">
        <v>523</v>
      </c>
      <c r="F96" s="20" t="s">
        <v>524</v>
      </c>
      <c r="G96" s="8" t="str">
        <f t="shared" si="1"/>
        <v>WHITED DUSTIN</v>
      </c>
    </row>
    <row r="97" spans="1:7" x14ac:dyDescent="0.25">
      <c r="A97" s="8">
        <v>42876.466967592591</v>
      </c>
      <c r="B97" s="20" t="s">
        <v>386</v>
      </c>
      <c r="C97" s="20" t="s">
        <v>701</v>
      </c>
      <c r="D97" s="141">
        <v>920000</v>
      </c>
      <c r="E97" s="20" t="s">
        <v>640</v>
      </c>
      <c r="F97" s="20" t="s">
        <v>196</v>
      </c>
      <c r="G97" s="8" t="str">
        <f t="shared" si="1"/>
        <v>DAVIS MICHAEL</v>
      </c>
    </row>
    <row r="98" spans="1:7" x14ac:dyDescent="0.25">
      <c r="A98" s="8">
        <v>42876.467361111114</v>
      </c>
      <c r="B98" s="20" t="s">
        <v>437</v>
      </c>
      <c r="C98" s="20" t="s">
        <v>702</v>
      </c>
      <c r="D98" s="141">
        <v>2970000</v>
      </c>
      <c r="E98" s="20" t="s">
        <v>393</v>
      </c>
      <c r="F98" s="20" t="s">
        <v>394</v>
      </c>
      <c r="G98" s="8" t="str">
        <f t="shared" si="1"/>
        <v>GUZMAN DANNY</v>
      </c>
    </row>
    <row r="99" spans="1:7" x14ac:dyDescent="0.25">
      <c r="A99" s="8">
        <v>42876.468564814815</v>
      </c>
      <c r="B99" s="20" t="s">
        <v>427</v>
      </c>
      <c r="C99" s="20" t="s">
        <v>595</v>
      </c>
      <c r="D99" s="141">
        <v>2140000</v>
      </c>
      <c r="E99" s="20" t="s">
        <v>513</v>
      </c>
      <c r="F99" s="20" t="s">
        <v>514</v>
      </c>
      <c r="G99" s="8" t="str">
        <f t="shared" si="1"/>
        <v>ROBINSON KADDIBA</v>
      </c>
    </row>
    <row r="100" spans="1:7" x14ac:dyDescent="0.25">
      <c r="A100" s="8">
        <v>42876.474918981483</v>
      </c>
      <c r="B100" s="20" t="s">
        <v>480</v>
      </c>
      <c r="C100" s="20" t="s">
        <v>595</v>
      </c>
      <c r="D100" s="141">
        <v>2140000</v>
      </c>
      <c r="E100" s="20" t="s">
        <v>513</v>
      </c>
      <c r="F100" s="20" t="s">
        <v>514</v>
      </c>
      <c r="G100" s="8" t="str">
        <f t="shared" si="1"/>
        <v>ROBINSON KADDIBA</v>
      </c>
    </row>
    <row r="101" spans="1:7" x14ac:dyDescent="0.25">
      <c r="A101" s="8">
        <v>42876.475624999999</v>
      </c>
      <c r="B101" s="20" t="s">
        <v>367</v>
      </c>
      <c r="C101" s="20" t="s">
        <v>703</v>
      </c>
      <c r="D101" s="141">
        <v>2260000</v>
      </c>
      <c r="E101" s="20" t="s">
        <v>517</v>
      </c>
      <c r="F101" s="20" t="s">
        <v>518</v>
      </c>
      <c r="G101" s="8" t="str">
        <f t="shared" si="1"/>
        <v>ARVIDSON DANIEL</v>
      </c>
    </row>
    <row r="102" spans="1:7" x14ac:dyDescent="0.25">
      <c r="A102" s="8">
        <v>42876.476817129631</v>
      </c>
      <c r="B102" s="20" t="s">
        <v>439</v>
      </c>
      <c r="C102" s="20" t="s">
        <v>704</v>
      </c>
      <c r="D102" s="141">
        <v>2600000</v>
      </c>
      <c r="E102" s="20" t="s">
        <v>653</v>
      </c>
      <c r="F102" s="20" t="s">
        <v>654</v>
      </c>
      <c r="G102" s="8" t="str">
        <f t="shared" si="1"/>
        <v>DAVIDSON DAVID</v>
      </c>
    </row>
    <row r="103" spans="1:7" x14ac:dyDescent="0.25">
      <c r="A103" s="8">
        <v>42876.482199074075</v>
      </c>
      <c r="B103" s="20" t="s">
        <v>411</v>
      </c>
      <c r="C103" s="20" t="s">
        <v>705</v>
      </c>
      <c r="D103" s="141">
        <v>930000</v>
      </c>
      <c r="E103" s="20" t="s">
        <v>430</v>
      </c>
      <c r="F103" s="20" t="s">
        <v>431</v>
      </c>
      <c r="G103" s="8" t="str">
        <f t="shared" si="1"/>
        <v>CLARK KATHLEEN</v>
      </c>
    </row>
    <row r="104" spans="1:7" x14ac:dyDescent="0.25">
      <c r="A104" s="8">
        <v>42876.484560185185</v>
      </c>
      <c r="B104" s="20" t="s">
        <v>427</v>
      </c>
      <c r="C104" s="20" t="s">
        <v>706</v>
      </c>
      <c r="D104" s="141">
        <v>1770000</v>
      </c>
      <c r="E104" s="20" t="s">
        <v>707</v>
      </c>
      <c r="F104" s="20" t="s">
        <v>708</v>
      </c>
      <c r="G104" s="8" t="str">
        <f t="shared" si="1"/>
        <v>BRUDER RICHARD</v>
      </c>
    </row>
    <row r="105" spans="1:7" x14ac:dyDescent="0.25">
      <c r="A105" s="8">
        <v>42876.496736111112</v>
      </c>
      <c r="B105" s="20" t="s">
        <v>481</v>
      </c>
      <c r="C105" s="20" t="s">
        <v>709</v>
      </c>
      <c r="D105" s="141">
        <v>2480000</v>
      </c>
      <c r="E105" s="20" t="s">
        <v>523</v>
      </c>
      <c r="F105" s="20" t="s">
        <v>524</v>
      </c>
      <c r="G105" s="8" t="str">
        <f t="shared" si="1"/>
        <v>WHITED DUSTIN</v>
      </c>
    </row>
    <row r="106" spans="1:7" x14ac:dyDescent="0.25">
      <c r="A106" s="8">
        <v>42876.496817129628</v>
      </c>
      <c r="B106" s="20" t="s">
        <v>508</v>
      </c>
      <c r="C106" s="20" t="s">
        <v>710</v>
      </c>
      <c r="D106" s="141">
        <v>2560000</v>
      </c>
      <c r="E106" s="20" t="s">
        <v>515</v>
      </c>
      <c r="F106" s="20" t="s">
        <v>378</v>
      </c>
      <c r="G106" s="8" t="str">
        <f t="shared" si="1"/>
        <v>MACDONALD THOMAS</v>
      </c>
    </row>
    <row r="107" spans="1:7" x14ac:dyDescent="0.25">
      <c r="A107" s="8">
        <v>42876.499803240738</v>
      </c>
      <c r="B107" s="20" t="s">
        <v>440</v>
      </c>
      <c r="C107" s="20" t="s">
        <v>597</v>
      </c>
      <c r="D107" s="141">
        <v>2600000</v>
      </c>
      <c r="E107" s="20" t="s">
        <v>653</v>
      </c>
      <c r="F107" s="20" t="s">
        <v>654</v>
      </c>
      <c r="G107" s="8" t="str">
        <f t="shared" si="1"/>
        <v>DAVIDSON DAVID</v>
      </c>
    </row>
    <row r="108" spans="1:7" x14ac:dyDescent="0.25">
      <c r="A108" s="8">
        <v>42876.502546296295</v>
      </c>
      <c r="B108" s="20" t="s">
        <v>479</v>
      </c>
      <c r="C108" s="20" t="s">
        <v>595</v>
      </c>
      <c r="D108" s="141">
        <v>2550000</v>
      </c>
      <c r="E108" s="20" t="s">
        <v>484</v>
      </c>
      <c r="F108" s="20" t="s">
        <v>485</v>
      </c>
      <c r="G108" s="8" t="str">
        <f t="shared" si="1"/>
        <v>BADERTSCHER DIANE</v>
      </c>
    </row>
    <row r="109" spans="1:7" x14ac:dyDescent="0.25">
      <c r="A109" s="8">
        <v>42876.503587962965</v>
      </c>
      <c r="B109" s="20" t="s">
        <v>479</v>
      </c>
      <c r="C109" s="20" t="s">
        <v>595</v>
      </c>
      <c r="D109" s="141">
        <v>2550000</v>
      </c>
      <c r="E109" s="20" t="s">
        <v>484</v>
      </c>
      <c r="F109" s="20" t="s">
        <v>485</v>
      </c>
      <c r="G109" s="8" t="str">
        <f t="shared" si="1"/>
        <v>BADERTSCHER DIANE</v>
      </c>
    </row>
    <row r="110" spans="1:7" x14ac:dyDescent="0.25">
      <c r="A110" s="8">
        <v>42876.504479166666</v>
      </c>
      <c r="B110" s="20" t="s">
        <v>479</v>
      </c>
      <c r="C110" s="20" t="s">
        <v>711</v>
      </c>
      <c r="D110" s="141">
        <v>2550000</v>
      </c>
      <c r="E110" s="20" t="s">
        <v>484</v>
      </c>
      <c r="F110" s="20" t="s">
        <v>485</v>
      </c>
      <c r="G110" s="8" t="str">
        <f t="shared" si="1"/>
        <v>BADERTSCHER DIANE</v>
      </c>
    </row>
    <row r="111" spans="1:7" x14ac:dyDescent="0.25">
      <c r="A111" s="8">
        <v>42876.506909722222</v>
      </c>
      <c r="B111" s="20" t="s">
        <v>436</v>
      </c>
      <c r="C111" s="20" t="s">
        <v>712</v>
      </c>
      <c r="D111" s="141">
        <v>2470000</v>
      </c>
      <c r="E111" s="20" t="s">
        <v>713</v>
      </c>
      <c r="F111" s="20" t="s">
        <v>714</v>
      </c>
      <c r="G111" s="8" t="str">
        <f t="shared" si="1"/>
        <v>ROMERO CHAD</v>
      </c>
    </row>
    <row r="112" spans="1:7" x14ac:dyDescent="0.25">
      <c r="A112" s="8">
        <v>42876.507175925923</v>
      </c>
      <c r="B112" s="20" t="s">
        <v>383</v>
      </c>
      <c r="C112" s="20" t="s">
        <v>598</v>
      </c>
      <c r="D112" s="141">
        <v>920000</v>
      </c>
      <c r="E112" s="20" t="s">
        <v>640</v>
      </c>
      <c r="F112" s="20" t="s">
        <v>196</v>
      </c>
      <c r="G112" s="8" t="str">
        <f t="shared" si="1"/>
        <v>DAVIS MICHAEL</v>
      </c>
    </row>
    <row r="113" spans="1:7" x14ac:dyDescent="0.25">
      <c r="A113" s="8">
        <v>42876.515949074077</v>
      </c>
      <c r="B113" s="20" t="s">
        <v>610</v>
      </c>
      <c r="C113" s="20" t="s">
        <v>715</v>
      </c>
      <c r="D113" s="141">
        <v>2260000</v>
      </c>
      <c r="E113" s="20" t="s">
        <v>517</v>
      </c>
      <c r="F113" s="20" t="s">
        <v>518</v>
      </c>
      <c r="G113" s="8" t="str">
        <f t="shared" si="1"/>
        <v>ARVIDSON DANIEL</v>
      </c>
    </row>
    <row r="114" spans="1:7" x14ac:dyDescent="0.25">
      <c r="A114" s="8">
        <v>42876.517175925925</v>
      </c>
      <c r="B114" s="20" t="s">
        <v>417</v>
      </c>
      <c r="C114" s="20" t="s">
        <v>716</v>
      </c>
      <c r="D114" s="141">
        <v>930000</v>
      </c>
      <c r="E114" s="20" t="s">
        <v>430</v>
      </c>
      <c r="F114" s="20" t="s">
        <v>431</v>
      </c>
      <c r="G114" s="8" t="str">
        <f t="shared" si="1"/>
        <v>CLARK KATHLEEN</v>
      </c>
    </row>
    <row r="115" spans="1:7" x14ac:dyDescent="0.25">
      <c r="A115" s="8">
        <v>42876.518657407411</v>
      </c>
      <c r="B115" s="20" t="s">
        <v>439</v>
      </c>
      <c r="C115" s="20" t="s">
        <v>717</v>
      </c>
      <c r="D115" s="141">
        <v>2600000</v>
      </c>
      <c r="E115" s="20" t="s">
        <v>653</v>
      </c>
      <c r="F115" s="20" t="s">
        <v>654</v>
      </c>
      <c r="G115" s="8" t="str">
        <f t="shared" si="1"/>
        <v>DAVIDSON DAVID</v>
      </c>
    </row>
    <row r="116" spans="1:7" x14ac:dyDescent="0.25">
      <c r="A116" s="8">
        <v>42876.525937500002</v>
      </c>
      <c r="B116" s="20" t="s">
        <v>480</v>
      </c>
      <c r="C116" s="20" t="s">
        <v>718</v>
      </c>
      <c r="D116" s="141">
        <v>1770000</v>
      </c>
      <c r="E116" s="20" t="s">
        <v>707</v>
      </c>
      <c r="F116" s="20" t="s">
        <v>708</v>
      </c>
      <c r="G116" s="8" t="str">
        <f t="shared" si="1"/>
        <v>BRUDER RICHARD</v>
      </c>
    </row>
    <row r="117" spans="1:7" x14ac:dyDescent="0.25">
      <c r="A117" s="8">
        <v>42876.525983796295</v>
      </c>
      <c r="B117" s="20" t="s">
        <v>509</v>
      </c>
      <c r="C117" s="20" t="s">
        <v>719</v>
      </c>
      <c r="D117" s="141">
        <v>2540000</v>
      </c>
      <c r="E117" s="20" t="s">
        <v>720</v>
      </c>
      <c r="F117" s="20" t="s">
        <v>721</v>
      </c>
      <c r="G117" s="8" t="str">
        <f t="shared" si="1"/>
        <v>MCREYNOLDS KYLE</v>
      </c>
    </row>
    <row r="118" spans="1:7" x14ac:dyDescent="0.25">
      <c r="A118" s="8">
        <v>42876.526585648149</v>
      </c>
      <c r="B118" s="20" t="s">
        <v>722</v>
      </c>
      <c r="C118" s="20" t="s">
        <v>711</v>
      </c>
      <c r="D118" s="141">
        <v>2550000</v>
      </c>
      <c r="E118" s="20" t="s">
        <v>484</v>
      </c>
      <c r="F118" s="20" t="s">
        <v>485</v>
      </c>
      <c r="G118" s="8" t="str">
        <f t="shared" si="1"/>
        <v>BADERTSCHER DIANE</v>
      </c>
    </row>
    <row r="119" spans="1:7" x14ac:dyDescent="0.25">
      <c r="A119" s="8">
        <v>42876.529386574075</v>
      </c>
      <c r="B119" s="20" t="s">
        <v>722</v>
      </c>
      <c r="C119" s="20" t="s">
        <v>711</v>
      </c>
      <c r="D119" s="141">
        <v>2550000</v>
      </c>
      <c r="E119" s="20" t="s">
        <v>484</v>
      </c>
      <c r="F119" s="20" t="s">
        <v>485</v>
      </c>
      <c r="G119" s="8" t="str">
        <f t="shared" si="1"/>
        <v>BADERTSCHER DIANE</v>
      </c>
    </row>
    <row r="120" spans="1:7" x14ac:dyDescent="0.25">
      <c r="A120" s="8">
        <v>42876.531180555554</v>
      </c>
      <c r="B120" s="20" t="s">
        <v>722</v>
      </c>
      <c r="C120" s="20" t="s">
        <v>711</v>
      </c>
      <c r="D120" s="141">
        <v>2550000</v>
      </c>
      <c r="E120" s="20" t="s">
        <v>484</v>
      </c>
      <c r="F120" s="20" t="s">
        <v>485</v>
      </c>
      <c r="G120" s="8" t="str">
        <f t="shared" si="1"/>
        <v>BADERTSCHER DIANE</v>
      </c>
    </row>
    <row r="121" spans="1:7" x14ac:dyDescent="0.25">
      <c r="A121" s="8">
        <v>42876.533599537041</v>
      </c>
      <c r="B121" s="20" t="s">
        <v>488</v>
      </c>
      <c r="C121" s="20" t="s">
        <v>599</v>
      </c>
      <c r="D121" s="141">
        <v>2480000</v>
      </c>
      <c r="E121" s="20" t="s">
        <v>523</v>
      </c>
      <c r="F121" s="20" t="s">
        <v>524</v>
      </c>
      <c r="G121" s="8" t="str">
        <f t="shared" si="1"/>
        <v>WHITED DUSTIN</v>
      </c>
    </row>
    <row r="122" spans="1:7" x14ac:dyDescent="0.25">
      <c r="A122" s="8">
        <v>42876.541041666664</v>
      </c>
      <c r="B122" s="25" t="s">
        <v>437</v>
      </c>
      <c r="C122" s="20" t="s">
        <v>600</v>
      </c>
      <c r="D122" s="141">
        <v>2470000</v>
      </c>
      <c r="E122" s="20" t="s">
        <v>713</v>
      </c>
      <c r="F122" s="20" t="s">
        <v>714</v>
      </c>
      <c r="G122" s="8" t="str">
        <f t="shared" si="1"/>
        <v>ROMERO CHAD</v>
      </c>
    </row>
    <row r="123" spans="1:7" x14ac:dyDescent="0.25">
      <c r="A123" s="8">
        <v>42876.541365740741</v>
      </c>
      <c r="B123" s="20" t="s">
        <v>440</v>
      </c>
      <c r="C123" s="20" t="s">
        <v>723</v>
      </c>
      <c r="D123" s="141">
        <v>2600000</v>
      </c>
      <c r="E123" s="20" t="s">
        <v>653</v>
      </c>
      <c r="F123" s="20" t="s">
        <v>654</v>
      </c>
      <c r="G123" s="8" t="str">
        <f t="shared" si="1"/>
        <v>DAVIDSON DAVID</v>
      </c>
    </row>
    <row r="124" spans="1:7" x14ac:dyDescent="0.25">
      <c r="A124" s="8">
        <v>42876.541527777779</v>
      </c>
      <c r="B124" s="20" t="s">
        <v>724</v>
      </c>
      <c r="C124" s="20" t="s">
        <v>711</v>
      </c>
      <c r="D124" s="141">
        <v>2550000</v>
      </c>
      <c r="E124" s="20" t="s">
        <v>484</v>
      </c>
      <c r="F124" s="20" t="s">
        <v>485</v>
      </c>
      <c r="G124" s="8" t="str">
        <f t="shared" si="1"/>
        <v>BADERTSCHER DIANE</v>
      </c>
    </row>
    <row r="125" spans="1:7" x14ac:dyDescent="0.25">
      <c r="A125" s="8">
        <v>42876.542048611111</v>
      </c>
      <c r="B125" s="20" t="s">
        <v>386</v>
      </c>
      <c r="C125" s="20" t="s">
        <v>725</v>
      </c>
      <c r="D125" s="141">
        <v>920000</v>
      </c>
      <c r="E125" s="20" t="s">
        <v>640</v>
      </c>
      <c r="F125" s="20" t="s">
        <v>196</v>
      </c>
      <c r="G125" s="8" t="str">
        <f t="shared" si="1"/>
        <v>DAVIS MICHAEL</v>
      </c>
    </row>
    <row r="126" spans="1:7" x14ac:dyDescent="0.25">
      <c r="A126" s="8">
        <v>42876.549479166664</v>
      </c>
      <c r="B126" s="20" t="s">
        <v>367</v>
      </c>
      <c r="C126" s="20" t="s">
        <v>726</v>
      </c>
      <c r="D126" s="141">
        <v>2260000</v>
      </c>
      <c r="E126" s="20" t="s">
        <v>517</v>
      </c>
      <c r="F126" s="20" t="s">
        <v>518</v>
      </c>
      <c r="G126" s="8" t="str">
        <f t="shared" si="1"/>
        <v>ARVIDSON DANIEL</v>
      </c>
    </row>
    <row r="127" spans="1:7" x14ac:dyDescent="0.25">
      <c r="A127" s="8">
        <v>42876.556006944447</v>
      </c>
      <c r="B127" s="20" t="s">
        <v>411</v>
      </c>
      <c r="C127" s="20" t="s">
        <v>727</v>
      </c>
      <c r="D127" s="141">
        <v>930000</v>
      </c>
      <c r="E127" s="20" t="s">
        <v>430</v>
      </c>
      <c r="F127" s="20" t="s">
        <v>431</v>
      </c>
      <c r="G127" s="8" t="str">
        <f t="shared" si="1"/>
        <v>CLARK KATHLEEN</v>
      </c>
    </row>
    <row r="128" spans="1:7" x14ac:dyDescent="0.25">
      <c r="A128" s="8">
        <v>42876.55878472222</v>
      </c>
      <c r="B128" s="20" t="s">
        <v>427</v>
      </c>
      <c r="C128" s="20" t="s">
        <v>728</v>
      </c>
      <c r="D128" s="141">
        <v>1770000</v>
      </c>
      <c r="E128" s="20" t="s">
        <v>707</v>
      </c>
      <c r="F128" s="20" t="s">
        <v>708</v>
      </c>
      <c r="G128" s="8" t="str">
        <f t="shared" si="1"/>
        <v>BRUDER RICHARD</v>
      </c>
    </row>
    <row r="129" spans="1:7" x14ac:dyDescent="0.25">
      <c r="A129" s="8">
        <v>42876.560717592591</v>
      </c>
      <c r="B129" s="20" t="s">
        <v>439</v>
      </c>
      <c r="C129" s="20" t="s">
        <v>729</v>
      </c>
      <c r="D129" s="141">
        <v>2600000</v>
      </c>
      <c r="E129" s="20" t="s">
        <v>653</v>
      </c>
      <c r="F129" s="20" t="s">
        <v>654</v>
      </c>
      <c r="G129" s="8" t="str">
        <f t="shared" si="1"/>
        <v>DAVIDSON DAVID</v>
      </c>
    </row>
    <row r="130" spans="1:7" x14ac:dyDescent="0.25">
      <c r="A130" s="8">
        <v>42876.560798611114</v>
      </c>
      <c r="B130" s="20" t="s">
        <v>508</v>
      </c>
      <c r="C130" s="20" t="s">
        <v>730</v>
      </c>
      <c r="D130" s="141">
        <v>2540000</v>
      </c>
      <c r="E130" s="20" t="s">
        <v>720</v>
      </c>
      <c r="F130" s="20" t="s">
        <v>721</v>
      </c>
      <c r="G130" s="8" t="str">
        <f t="shared" si="1"/>
        <v>MCREYNOLDS KYLE</v>
      </c>
    </row>
    <row r="131" spans="1:7" x14ac:dyDescent="0.25">
      <c r="A131" s="8">
        <v>42876.568530092591</v>
      </c>
      <c r="B131" s="20" t="s">
        <v>481</v>
      </c>
      <c r="C131" s="20" t="s">
        <v>731</v>
      </c>
      <c r="D131" s="141">
        <v>2480000</v>
      </c>
      <c r="E131" s="20" t="s">
        <v>523</v>
      </c>
      <c r="F131" s="20" t="s">
        <v>524</v>
      </c>
      <c r="G131" s="8" t="str">
        <f t="shared" ref="G131:G194" si="2">E131&amp;" "&amp;F131</f>
        <v>WHITED DUSTIN</v>
      </c>
    </row>
    <row r="132" spans="1:7" x14ac:dyDescent="0.25">
      <c r="A132" s="8">
        <v>42876.579236111109</v>
      </c>
      <c r="B132" s="20" t="s">
        <v>383</v>
      </c>
      <c r="C132" s="20" t="s">
        <v>732</v>
      </c>
      <c r="D132" s="141">
        <v>920000</v>
      </c>
      <c r="E132" s="20" t="s">
        <v>640</v>
      </c>
      <c r="F132" s="20" t="s">
        <v>196</v>
      </c>
      <c r="G132" s="8" t="str">
        <f t="shared" si="2"/>
        <v>DAVIS MICHAEL</v>
      </c>
    </row>
    <row r="133" spans="1:7" x14ac:dyDescent="0.25">
      <c r="A133" s="8">
        <v>42876.579247685186</v>
      </c>
      <c r="B133" s="20" t="s">
        <v>436</v>
      </c>
      <c r="C133" s="20" t="s">
        <v>601</v>
      </c>
      <c r="D133" s="141">
        <v>2470000</v>
      </c>
      <c r="E133" s="20" t="s">
        <v>713</v>
      </c>
      <c r="F133" s="20" t="s">
        <v>714</v>
      </c>
      <c r="G133" s="8" t="str">
        <f t="shared" si="2"/>
        <v>ROMERO CHAD</v>
      </c>
    </row>
    <row r="134" spans="1:7" x14ac:dyDescent="0.25">
      <c r="A134" s="8">
        <v>42876.584918981483</v>
      </c>
      <c r="B134" s="20" t="s">
        <v>440</v>
      </c>
      <c r="C134" s="20" t="s">
        <v>733</v>
      </c>
      <c r="D134" s="141">
        <v>2420000</v>
      </c>
      <c r="E134" s="20" t="s">
        <v>734</v>
      </c>
      <c r="F134" s="20" t="s">
        <v>735</v>
      </c>
      <c r="G134" s="8" t="str">
        <f t="shared" si="2"/>
        <v>HOLCOMB KAMDEN</v>
      </c>
    </row>
    <row r="135" spans="1:7" x14ac:dyDescent="0.25">
      <c r="A135" s="8">
        <v>42876.589398148149</v>
      </c>
      <c r="B135" s="20" t="s">
        <v>610</v>
      </c>
      <c r="C135" s="20" t="s">
        <v>736</v>
      </c>
      <c r="D135" s="141">
        <v>2260000</v>
      </c>
      <c r="E135" s="20" t="s">
        <v>517</v>
      </c>
      <c r="F135" s="20" t="s">
        <v>518</v>
      </c>
      <c r="G135" s="8" t="str">
        <f t="shared" si="2"/>
        <v>ARVIDSON DANIEL</v>
      </c>
    </row>
    <row r="136" spans="1:7" x14ac:dyDescent="0.25">
      <c r="A136" s="8">
        <v>42876.590995370374</v>
      </c>
      <c r="B136" s="20" t="s">
        <v>417</v>
      </c>
      <c r="C136" s="20" t="s">
        <v>737</v>
      </c>
      <c r="D136" s="141">
        <v>930000</v>
      </c>
      <c r="E136" s="20" t="s">
        <v>430</v>
      </c>
      <c r="F136" s="20" t="s">
        <v>431</v>
      </c>
      <c r="G136" s="8" t="str">
        <f t="shared" si="2"/>
        <v>CLARK KATHLEEN</v>
      </c>
    </row>
    <row r="137" spans="1:7" x14ac:dyDescent="0.25">
      <c r="A137" s="8">
        <v>42876.598333333335</v>
      </c>
      <c r="B137" s="20" t="s">
        <v>480</v>
      </c>
      <c r="C137" s="20" t="s">
        <v>738</v>
      </c>
      <c r="D137" s="141">
        <v>1770000</v>
      </c>
      <c r="E137" s="20" t="s">
        <v>707</v>
      </c>
      <c r="F137" s="20" t="s">
        <v>708</v>
      </c>
      <c r="G137" s="8" t="str">
        <f t="shared" si="2"/>
        <v>BRUDER RICHARD</v>
      </c>
    </row>
    <row r="138" spans="1:7" x14ac:dyDescent="0.25">
      <c r="A138" s="8">
        <v>42876.600069444445</v>
      </c>
      <c r="B138" s="20" t="s">
        <v>509</v>
      </c>
      <c r="C138" s="20" t="s">
        <v>739</v>
      </c>
      <c r="D138" s="141">
        <v>2540000</v>
      </c>
      <c r="E138" s="20" t="s">
        <v>720</v>
      </c>
      <c r="F138" s="20" t="s">
        <v>721</v>
      </c>
      <c r="G138" s="8" t="str">
        <f t="shared" si="2"/>
        <v>MCREYNOLDS KYLE</v>
      </c>
    </row>
    <row r="139" spans="1:7" x14ac:dyDescent="0.25">
      <c r="A139" s="8">
        <v>42876.601076388892</v>
      </c>
      <c r="B139" s="20" t="s">
        <v>439</v>
      </c>
      <c r="C139" s="20" t="s">
        <v>740</v>
      </c>
      <c r="D139" s="141">
        <v>2420000</v>
      </c>
      <c r="E139" s="20" t="s">
        <v>734</v>
      </c>
      <c r="F139" s="20" t="s">
        <v>735</v>
      </c>
      <c r="G139" s="8" t="str">
        <f t="shared" si="2"/>
        <v>HOLCOMB KAMDEN</v>
      </c>
    </row>
    <row r="140" spans="1:7" x14ac:dyDescent="0.25">
      <c r="A140" s="8">
        <v>42876.605046296296</v>
      </c>
      <c r="B140" s="20" t="s">
        <v>488</v>
      </c>
      <c r="C140" s="20" t="s">
        <v>741</v>
      </c>
      <c r="D140" s="141">
        <v>2480000</v>
      </c>
      <c r="E140" s="20" t="s">
        <v>523</v>
      </c>
      <c r="F140" s="20" t="s">
        <v>524</v>
      </c>
      <c r="G140" s="8" t="str">
        <f t="shared" si="2"/>
        <v>WHITED DUSTIN</v>
      </c>
    </row>
    <row r="141" spans="1:7" x14ac:dyDescent="0.25">
      <c r="A141" s="8">
        <v>42876.610127314816</v>
      </c>
      <c r="B141" s="20" t="s">
        <v>437</v>
      </c>
      <c r="C141" s="20" t="s">
        <v>742</v>
      </c>
      <c r="D141" s="141">
        <v>2470000</v>
      </c>
      <c r="E141" s="20" t="s">
        <v>713</v>
      </c>
      <c r="F141" s="20" t="s">
        <v>714</v>
      </c>
      <c r="G141" s="8" t="str">
        <f t="shared" si="2"/>
        <v>ROMERO CHAD</v>
      </c>
    </row>
    <row r="142" spans="1:7" x14ac:dyDescent="0.25">
      <c r="A142" s="8">
        <v>42876.612361111111</v>
      </c>
      <c r="B142" s="20" t="s">
        <v>386</v>
      </c>
      <c r="C142" s="20" t="s">
        <v>743</v>
      </c>
      <c r="D142" s="141">
        <v>920000</v>
      </c>
      <c r="E142" s="20" t="s">
        <v>640</v>
      </c>
      <c r="F142" s="20" t="s">
        <v>196</v>
      </c>
      <c r="G142" s="8" t="str">
        <f t="shared" si="2"/>
        <v>DAVIS MICHAEL</v>
      </c>
    </row>
    <row r="143" spans="1:7" x14ac:dyDescent="0.25">
      <c r="A143" s="8">
        <v>42876.62327546296</v>
      </c>
      <c r="B143" s="20" t="s">
        <v>367</v>
      </c>
      <c r="C143" s="20" t="s">
        <v>744</v>
      </c>
      <c r="D143" s="141">
        <v>2260000</v>
      </c>
      <c r="E143" s="20" t="s">
        <v>517</v>
      </c>
      <c r="F143" s="20" t="s">
        <v>518</v>
      </c>
      <c r="G143" s="8" t="str">
        <f t="shared" si="2"/>
        <v>ARVIDSON DANIEL</v>
      </c>
    </row>
    <row r="144" spans="1:7" x14ac:dyDescent="0.25">
      <c r="A144" s="8">
        <v>42876.629178240742</v>
      </c>
      <c r="B144" s="20" t="s">
        <v>440</v>
      </c>
      <c r="C144" s="20" t="s">
        <v>745</v>
      </c>
      <c r="D144" s="141">
        <v>2420000</v>
      </c>
      <c r="E144" s="20" t="s">
        <v>734</v>
      </c>
      <c r="F144" s="20" t="s">
        <v>735</v>
      </c>
      <c r="G144" s="8" t="str">
        <f t="shared" si="2"/>
        <v>HOLCOMB KAMDEN</v>
      </c>
    </row>
    <row r="145" spans="1:7" x14ac:dyDescent="0.25">
      <c r="A145" s="8">
        <v>42876.629236111112</v>
      </c>
      <c r="B145" s="20" t="s">
        <v>411</v>
      </c>
      <c r="C145" s="20" t="s">
        <v>746</v>
      </c>
      <c r="D145" s="141">
        <v>930000</v>
      </c>
      <c r="E145" s="20" t="s">
        <v>430</v>
      </c>
      <c r="F145" s="20" t="s">
        <v>431</v>
      </c>
      <c r="G145" s="8" t="str">
        <f t="shared" si="2"/>
        <v>CLARK KATHLEEN</v>
      </c>
    </row>
    <row r="146" spans="1:7" x14ac:dyDescent="0.25">
      <c r="A146" s="8">
        <v>42876.630787037036</v>
      </c>
      <c r="B146" s="20" t="s">
        <v>427</v>
      </c>
      <c r="C146" s="20" t="s">
        <v>747</v>
      </c>
      <c r="D146" s="141">
        <v>1770000</v>
      </c>
      <c r="E146" s="20" t="s">
        <v>707</v>
      </c>
      <c r="F146" s="20" t="s">
        <v>708</v>
      </c>
      <c r="G146" s="8" t="str">
        <f t="shared" si="2"/>
        <v>BRUDER RICHARD</v>
      </c>
    </row>
    <row r="147" spans="1:7" x14ac:dyDescent="0.25">
      <c r="A147" s="8">
        <v>42876.637766203705</v>
      </c>
      <c r="B147" s="20" t="s">
        <v>508</v>
      </c>
      <c r="C147" s="20" t="s">
        <v>602</v>
      </c>
      <c r="D147" s="141">
        <v>2540000</v>
      </c>
      <c r="E147" s="20" t="s">
        <v>720</v>
      </c>
      <c r="F147" s="20" t="s">
        <v>721</v>
      </c>
      <c r="G147" s="8" t="str">
        <f t="shared" si="2"/>
        <v>MCREYNOLDS KYLE</v>
      </c>
    </row>
    <row r="148" spans="1:7" x14ac:dyDescent="0.25">
      <c r="A148" s="8">
        <v>42876.642476851855</v>
      </c>
      <c r="B148" s="20" t="s">
        <v>481</v>
      </c>
      <c r="C148" s="20" t="s">
        <v>748</v>
      </c>
      <c r="D148" s="141">
        <v>2480000</v>
      </c>
      <c r="E148" s="20" t="s">
        <v>523</v>
      </c>
      <c r="F148" s="20" t="s">
        <v>524</v>
      </c>
      <c r="G148" s="8" t="str">
        <f t="shared" si="2"/>
        <v>WHITED DUSTIN</v>
      </c>
    </row>
    <row r="149" spans="1:7" x14ac:dyDescent="0.25">
      <c r="A149" s="8">
        <v>42876.643101851849</v>
      </c>
      <c r="B149" s="20" t="s">
        <v>439</v>
      </c>
      <c r="C149" s="20" t="s">
        <v>749</v>
      </c>
      <c r="D149" s="141">
        <v>2420000</v>
      </c>
      <c r="E149" s="20" t="s">
        <v>734</v>
      </c>
      <c r="F149" s="20" t="s">
        <v>735</v>
      </c>
      <c r="G149" s="8" t="str">
        <f t="shared" si="2"/>
        <v>HOLCOMB KAMDEN</v>
      </c>
    </row>
    <row r="150" spans="1:7" x14ac:dyDescent="0.25">
      <c r="A150" s="8">
        <v>42876.651643518519</v>
      </c>
      <c r="B150" s="20" t="s">
        <v>436</v>
      </c>
      <c r="C150" s="20" t="s">
        <v>603</v>
      </c>
      <c r="D150" s="141">
        <v>2470000</v>
      </c>
      <c r="E150" s="20" t="s">
        <v>713</v>
      </c>
      <c r="F150" s="20" t="s">
        <v>714</v>
      </c>
      <c r="G150" s="8" t="str">
        <f t="shared" si="2"/>
        <v>ROMERO CHAD</v>
      </c>
    </row>
    <row r="151" spans="1:7" x14ac:dyDescent="0.25">
      <c r="A151" s="8">
        <v>42876.652407407404</v>
      </c>
      <c r="B151" s="20" t="s">
        <v>383</v>
      </c>
      <c r="C151" s="20" t="s">
        <v>750</v>
      </c>
      <c r="D151" s="141">
        <v>920000</v>
      </c>
      <c r="E151" s="20" t="s">
        <v>640</v>
      </c>
      <c r="F151" s="20" t="s">
        <v>196</v>
      </c>
      <c r="G151" s="8" t="str">
        <f t="shared" si="2"/>
        <v>DAVIS MICHAEL</v>
      </c>
    </row>
    <row r="152" spans="1:7" x14ac:dyDescent="0.25">
      <c r="A152" s="8">
        <v>42876.661469907405</v>
      </c>
      <c r="B152" s="20" t="s">
        <v>610</v>
      </c>
      <c r="C152" s="20" t="s">
        <v>751</v>
      </c>
      <c r="D152" s="141">
        <v>2260000</v>
      </c>
      <c r="E152" s="20" t="s">
        <v>517</v>
      </c>
      <c r="F152" s="20" t="s">
        <v>518</v>
      </c>
      <c r="G152" s="8" t="str">
        <f t="shared" si="2"/>
        <v>ARVIDSON DANIEL</v>
      </c>
    </row>
    <row r="153" spans="1:7" x14ac:dyDescent="0.25">
      <c r="A153" s="8">
        <v>42876.663275462961</v>
      </c>
      <c r="B153" s="20" t="s">
        <v>417</v>
      </c>
      <c r="C153" s="20" t="s">
        <v>752</v>
      </c>
      <c r="D153" s="141">
        <v>930000</v>
      </c>
      <c r="E153" s="20" t="s">
        <v>430</v>
      </c>
      <c r="F153" s="20" t="s">
        <v>431</v>
      </c>
      <c r="G153" s="8" t="str">
        <f t="shared" si="2"/>
        <v>CLARK KATHLEEN</v>
      </c>
    </row>
    <row r="154" spans="1:7" x14ac:dyDescent="0.25">
      <c r="A154" s="8">
        <v>42876.666585648149</v>
      </c>
      <c r="B154" s="20" t="s">
        <v>440</v>
      </c>
      <c r="C154" s="20" t="s">
        <v>753</v>
      </c>
      <c r="D154" s="141">
        <v>2420000</v>
      </c>
      <c r="E154" s="20" t="s">
        <v>734</v>
      </c>
      <c r="F154" s="20" t="s">
        <v>735</v>
      </c>
      <c r="G154" s="8" t="str">
        <f t="shared" si="2"/>
        <v>HOLCOMB KAMDEN</v>
      </c>
    </row>
    <row r="155" spans="1:7" x14ac:dyDescent="0.25">
      <c r="A155" s="8">
        <v>42876.670891203707</v>
      </c>
      <c r="B155" s="20" t="s">
        <v>480</v>
      </c>
      <c r="C155" s="20" t="s">
        <v>754</v>
      </c>
      <c r="D155" s="141">
        <v>1770000</v>
      </c>
      <c r="E155" s="20" t="s">
        <v>707</v>
      </c>
      <c r="F155" s="20" t="s">
        <v>708</v>
      </c>
      <c r="G155" s="8" t="str">
        <f t="shared" si="2"/>
        <v>BRUDER RICHARD</v>
      </c>
    </row>
    <row r="156" spans="1:7" x14ac:dyDescent="0.25">
      <c r="A156" s="8">
        <v>42876.672893518517</v>
      </c>
      <c r="B156" s="20" t="s">
        <v>509</v>
      </c>
      <c r="C156" s="20" t="s">
        <v>755</v>
      </c>
      <c r="D156" s="141">
        <v>2540000</v>
      </c>
      <c r="E156" s="20" t="s">
        <v>720</v>
      </c>
      <c r="F156" s="20" t="s">
        <v>721</v>
      </c>
      <c r="G156" s="8" t="str">
        <f t="shared" si="2"/>
        <v>MCREYNOLDS KYLE</v>
      </c>
    </row>
    <row r="157" spans="1:7" x14ac:dyDescent="0.25">
      <c r="A157" s="8">
        <v>42876.681446759256</v>
      </c>
      <c r="B157" s="20" t="s">
        <v>488</v>
      </c>
      <c r="C157" s="20" t="s">
        <v>756</v>
      </c>
      <c r="D157" s="141">
        <v>2480000</v>
      </c>
      <c r="E157" s="20" t="s">
        <v>523</v>
      </c>
      <c r="F157" s="20" t="s">
        <v>524</v>
      </c>
      <c r="G157" s="8" t="str">
        <f t="shared" si="2"/>
        <v>WHITED DUSTIN</v>
      </c>
    </row>
    <row r="158" spans="1:7" x14ac:dyDescent="0.25">
      <c r="A158" s="8">
        <v>42876.685567129629</v>
      </c>
      <c r="B158" s="20" t="s">
        <v>386</v>
      </c>
      <c r="C158" s="20" t="s">
        <v>757</v>
      </c>
      <c r="D158" s="141">
        <v>920000</v>
      </c>
      <c r="E158" s="20" t="s">
        <v>640</v>
      </c>
      <c r="F158" s="20" t="s">
        <v>196</v>
      </c>
      <c r="G158" s="8" t="str">
        <f t="shared" si="2"/>
        <v>DAVIS MICHAEL</v>
      </c>
    </row>
    <row r="159" spans="1:7" x14ac:dyDescent="0.25">
      <c r="A159" s="8">
        <v>42876.686365740738</v>
      </c>
      <c r="B159" s="20" t="s">
        <v>437</v>
      </c>
      <c r="C159" s="20" t="s">
        <v>604</v>
      </c>
      <c r="D159" s="141">
        <v>2470000</v>
      </c>
      <c r="E159" s="20" t="s">
        <v>713</v>
      </c>
      <c r="F159" s="20" t="s">
        <v>714</v>
      </c>
      <c r="G159" s="8" t="str">
        <f t="shared" si="2"/>
        <v>ROMERO CHAD</v>
      </c>
    </row>
    <row r="160" spans="1:7" x14ac:dyDescent="0.25">
      <c r="A160" s="8">
        <v>42876.6953587963</v>
      </c>
      <c r="B160" s="20" t="s">
        <v>439</v>
      </c>
      <c r="C160" s="20" t="s">
        <v>758</v>
      </c>
      <c r="D160" s="141">
        <v>2420000</v>
      </c>
      <c r="E160" s="20" t="s">
        <v>734</v>
      </c>
      <c r="F160" s="20" t="s">
        <v>735</v>
      </c>
      <c r="G160" s="8" t="str">
        <f t="shared" si="2"/>
        <v>HOLCOMB KAMDEN</v>
      </c>
    </row>
    <row r="161" spans="1:7" x14ac:dyDescent="0.25">
      <c r="A161" s="8">
        <v>42876.695902777778</v>
      </c>
      <c r="B161" s="20" t="s">
        <v>367</v>
      </c>
      <c r="C161" s="20" t="s">
        <v>759</v>
      </c>
      <c r="D161" s="141">
        <v>2260000</v>
      </c>
      <c r="E161" s="20" t="s">
        <v>517</v>
      </c>
      <c r="F161" s="20" t="s">
        <v>518</v>
      </c>
      <c r="G161" s="8" t="str">
        <f t="shared" si="2"/>
        <v>ARVIDSON DANIEL</v>
      </c>
    </row>
    <row r="162" spans="1:7" x14ac:dyDescent="0.25">
      <c r="A162" s="8">
        <v>42876.703622685185</v>
      </c>
      <c r="B162" s="20" t="s">
        <v>427</v>
      </c>
      <c r="C162" s="20" t="s">
        <v>760</v>
      </c>
      <c r="D162" s="141">
        <v>1770000</v>
      </c>
      <c r="E162" s="20" t="s">
        <v>707</v>
      </c>
      <c r="F162" s="20" t="s">
        <v>708</v>
      </c>
      <c r="G162" s="8" t="str">
        <f t="shared" si="2"/>
        <v>BRUDER RICHARD</v>
      </c>
    </row>
    <row r="163" spans="1:7" x14ac:dyDescent="0.25">
      <c r="A163" s="8">
        <v>42876.703645833331</v>
      </c>
      <c r="B163" s="20" t="s">
        <v>411</v>
      </c>
      <c r="C163" s="20" t="s">
        <v>761</v>
      </c>
      <c r="D163" s="141">
        <v>930000</v>
      </c>
      <c r="E163" s="20" t="s">
        <v>430</v>
      </c>
      <c r="F163" s="20" t="s">
        <v>431</v>
      </c>
      <c r="G163" s="8" t="str">
        <f t="shared" si="2"/>
        <v>CLARK KATHLEEN</v>
      </c>
    </row>
    <row r="164" spans="1:7" x14ac:dyDescent="0.25">
      <c r="A164" s="8">
        <v>42876.708518518521</v>
      </c>
      <c r="B164" s="20" t="s">
        <v>508</v>
      </c>
      <c r="C164" s="20" t="s">
        <v>762</v>
      </c>
      <c r="D164" s="141">
        <v>2540000</v>
      </c>
      <c r="E164" s="20" t="s">
        <v>720</v>
      </c>
      <c r="F164" s="20" t="s">
        <v>721</v>
      </c>
      <c r="G164" s="8" t="str">
        <f t="shared" si="2"/>
        <v>MCREYNOLDS KYLE</v>
      </c>
    </row>
    <row r="165" spans="1:7" x14ac:dyDescent="0.25">
      <c r="A165" s="8">
        <v>42876.712118055555</v>
      </c>
      <c r="B165" s="20" t="s">
        <v>440</v>
      </c>
      <c r="C165" s="20" t="s">
        <v>763</v>
      </c>
      <c r="D165" s="141">
        <v>2420000</v>
      </c>
      <c r="E165" s="20" t="s">
        <v>734</v>
      </c>
      <c r="F165" s="20" t="s">
        <v>735</v>
      </c>
      <c r="G165" s="8" t="str">
        <f t="shared" si="2"/>
        <v>HOLCOMB KAMDEN</v>
      </c>
    </row>
    <row r="166" spans="1:7" x14ac:dyDescent="0.25">
      <c r="A166" s="8">
        <v>42876.714791666665</v>
      </c>
      <c r="B166" s="20" t="s">
        <v>481</v>
      </c>
      <c r="C166" s="20" t="s">
        <v>605</v>
      </c>
      <c r="D166" s="141">
        <v>2000000</v>
      </c>
      <c r="E166" s="20" t="s">
        <v>620</v>
      </c>
      <c r="F166" s="20" t="s">
        <v>193</v>
      </c>
      <c r="G166" s="8" t="str">
        <f t="shared" si="2"/>
        <v>STAMBAUGH JAMES</v>
      </c>
    </row>
    <row r="167" spans="1:7" x14ac:dyDescent="0.25">
      <c r="A167" s="8">
        <v>42876.721296296295</v>
      </c>
      <c r="B167" s="20" t="s">
        <v>722</v>
      </c>
      <c r="C167" s="20" t="s">
        <v>764</v>
      </c>
      <c r="D167" s="141">
        <v>2140000</v>
      </c>
      <c r="E167" s="20" t="s">
        <v>513</v>
      </c>
      <c r="F167" s="20" t="s">
        <v>514</v>
      </c>
      <c r="G167" s="8" t="str">
        <f t="shared" si="2"/>
        <v>ROBINSON KADDIBA</v>
      </c>
    </row>
    <row r="168" spans="1:7" x14ac:dyDescent="0.25">
      <c r="A168" s="8">
        <v>42876.721655092595</v>
      </c>
      <c r="B168" s="20" t="s">
        <v>438</v>
      </c>
      <c r="C168" s="20" t="s">
        <v>765</v>
      </c>
      <c r="D168" s="141">
        <v>1740000</v>
      </c>
      <c r="E168" s="20" t="s">
        <v>766</v>
      </c>
      <c r="F168" s="20" t="s">
        <v>767</v>
      </c>
      <c r="G168" s="8" t="str">
        <f t="shared" si="2"/>
        <v>STORY SAMANTHA</v>
      </c>
    </row>
    <row r="169" spans="1:7" x14ac:dyDescent="0.25">
      <c r="A169" s="8">
        <v>42876.725729166668</v>
      </c>
      <c r="B169" s="20" t="s">
        <v>383</v>
      </c>
      <c r="C169" s="20" t="s">
        <v>768</v>
      </c>
      <c r="D169" s="141">
        <v>920000</v>
      </c>
      <c r="E169" s="20" t="s">
        <v>640</v>
      </c>
      <c r="F169" s="20" t="s">
        <v>196</v>
      </c>
      <c r="G169" s="8" t="str">
        <f t="shared" si="2"/>
        <v>DAVIS MICHAEL</v>
      </c>
    </row>
    <row r="170" spans="1:7" x14ac:dyDescent="0.25">
      <c r="A170" s="8">
        <v>42876.726724537039</v>
      </c>
      <c r="B170" s="20" t="s">
        <v>436</v>
      </c>
      <c r="C170" s="20" t="s">
        <v>769</v>
      </c>
      <c r="D170" s="141">
        <v>2470000</v>
      </c>
      <c r="E170" s="20" t="s">
        <v>713</v>
      </c>
      <c r="F170" s="20" t="s">
        <v>714</v>
      </c>
      <c r="G170" s="8" t="str">
        <f t="shared" si="2"/>
        <v>ROMERO CHAD</v>
      </c>
    </row>
    <row r="171" spans="1:7" x14ac:dyDescent="0.25">
      <c r="A171" s="8">
        <v>42876.726886574077</v>
      </c>
      <c r="B171" s="20" t="s">
        <v>439</v>
      </c>
      <c r="C171" s="20" t="s">
        <v>606</v>
      </c>
      <c r="D171" s="141">
        <v>2420000</v>
      </c>
      <c r="E171" s="20" t="s">
        <v>734</v>
      </c>
      <c r="F171" s="20" t="s">
        <v>735</v>
      </c>
      <c r="G171" s="8" t="str">
        <f t="shared" si="2"/>
        <v>HOLCOMB KAMDEN</v>
      </c>
    </row>
    <row r="172" spans="1:7" x14ac:dyDescent="0.25">
      <c r="A172" s="8">
        <v>42876.7343287037</v>
      </c>
      <c r="B172" s="20" t="s">
        <v>610</v>
      </c>
      <c r="C172" s="20" t="s">
        <v>770</v>
      </c>
      <c r="D172" s="141">
        <v>2260000</v>
      </c>
      <c r="E172" s="20" t="s">
        <v>517</v>
      </c>
      <c r="F172" s="20" t="s">
        <v>518</v>
      </c>
      <c r="G172" s="8" t="str">
        <f t="shared" si="2"/>
        <v>ARVIDSON DANIEL</v>
      </c>
    </row>
    <row r="173" spans="1:7" x14ac:dyDescent="0.25">
      <c r="A173" s="8">
        <v>42876.737268518518</v>
      </c>
      <c r="B173" s="20" t="s">
        <v>417</v>
      </c>
      <c r="C173" s="20" t="s">
        <v>771</v>
      </c>
      <c r="D173" s="141">
        <v>2230000</v>
      </c>
      <c r="E173" s="20" t="s">
        <v>346</v>
      </c>
      <c r="F173" s="20" t="s">
        <v>196</v>
      </c>
      <c r="G173" s="8" t="str">
        <f t="shared" si="2"/>
        <v>SMITH MICHAEL</v>
      </c>
    </row>
    <row r="174" spans="1:7" x14ac:dyDescent="0.25">
      <c r="A174" s="8">
        <v>42876.738391203704</v>
      </c>
      <c r="B174" s="20" t="s">
        <v>482</v>
      </c>
      <c r="C174" s="20" t="s">
        <v>607</v>
      </c>
      <c r="D174" s="141">
        <v>2440000</v>
      </c>
      <c r="E174" s="20" t="s">
        <v>519</v>
      </c>
      <c r="F174" s="20" t="s">
        <v>520</v>
      </c>
      <c r="G174" s="8" t="str">
        <f t="shared" si="2"/>
        <v>LOPES KIMBERLY</v>
      </c>
    </row>
    <row r="175" spans="1:7" x14ac:dyDescent="0.25">
      <c r="A175" s="8">
        <v>42876.743379629632</v>
      </c>
      <c r="B175" s="20" t="s">
        <v>480</v>
      </c>
      <c r="C175" s="20" t="s">
        <v>772</v>
      </c>
      <c r="D175" s="141">
        <v>1770000</v>
      </c>
      <c r="E175" s="20" t="s">
        <v>707</v>
      </c>
      <c r="F175" s="20" t="s">
        <v>708</v>
      </c>
      <c r="G175" s="8" t="str">
        <f t="shared" si="2"/>
        <v>BRUDER RICHARD</v>
      </c>
    </row>
    <row r="176" spans="1:7" x14ac:dyDescent="0.25">
      <c r="A176" s="8">
        <v>42876.745104166665</v>
      </c>
      <c r="B176" s="20" t="s">
        <v>509</v>
      </c>
      <c r="C176" s="20" t="s">
        <v>773</v>
      </c>
      <c r="D176" s="141">
        <v>2540000</v>
      </c>
      <c r="E176" s="20" t="s">
        <v>720</v>
      </c>
      <c r="F176" s="20" t="s">
        <v>721</v>
      </c>
      <c r="G176" s="8" t="str">
        <f t="shared" si="2"/>
        <v>MCREYNOLDS KYLE</v>
      </c>
    </row>
    <row r="177" spans="1:7" x14ac:dyDescent="0.25">
      <c r="A177" s="8">
        <v>42876.746979166666</v>
      </c>
      <c r="B177" s="20" t="s">
        <v>445</v>
      </c>
      <c r="C177" s="20" t="s">
        <v>608</v>
      </c>
      <c r="D177" s="141">
        <v>2680000</v>
      </c>
      <c r="E177" s="20" t="s">
        <v>774</v>
      </c>
      <c r="F177" s="20" t="s">
        <v>775</v>
      </c>
      <c r="G177" s="8" t="str">
        <f t="shared" si="2"/>
        <v>DUNCAN SHEILA</v>
      </c>
    </row>
    <row r="178" spans="1:7" x14ac:dyDescent="0.25">
      <c r="A178" s="8">
        <v>42876.752662037034</v>
      </c>
      <c r="B178" s="20" t="s">
        <v>440</v>
      </c>
      <c r="C178" s="20" t="s">
        <v>776</v>
      </c>
      <c r="D178" s="141">
        <v>2420000</v>
      </c>
      <c r="E178" s="20" t="s">
        <v>734</v>
      </c>
      <c r="F178" s="20" t="s">
        <v>735</v>
      </c>
      <c r="G178" s="8" t="str">
        <f t="shared" si="2"/>
        <v>HOLCOMB KAMDEN</v>
      </c>
    </row>
    <row r="179" spans="1:7" x14ac:dyDescent="0.25">
      <c r="A179" s="8">
        <v>42876.753275462965</v>
      </c>
      <c r="B179" s="20" t="s">
        <v>479</v>
      </c>
      <c r="C179" s="20" t="s">
        <v>607</v>
      </c>
      <c r="D179" s="141">
        <v>2440000</v>
      </c>
      <c r="E179" s="20" t="s">
        <v>519</v>
      </c>
      <c r="F179" s="20" t="s">
        <v>520</v>
      </c>
      <c r="G179" s="8" t="str">
        <f t="shared" si="2"/>
        <v>LOPES KIMBERLY</v>
      </c>
    </row>
    <row r="180" spans="1:7" x14ac:dyDescent="0.25">
      <c r="A180" s="8">
        <v>42876.753541666665</v>
      </c>
      <c r="B180" s="20" t="s">
        <v>488</v>
      </c>
      <c r="C180" s="20" t="s">
        <v>777</v>
      </c>
      <c r="D180" s="141">
        <v>2000000</v>
      </c>
      <c r="E180" s="20" t="s">
        <v>620</v>
      </c>
      <c r="F180" s="20" t="s">
        <v>193</v>
      </c>
      <c r="G180" s="8" t="str">
        <f t="shared" si="2"/>
        <v>STAMBAUGH JAMES</v>
      </c>
    </row>
    <row r="181" spans="1:7" x14ac:dyDescent="0.25">
      <c r="A181" s="8">
        <v>42876.754351851851</v>
      </c>
      <c r="B181" s="20" t="s">
        <v>479</v>
      </c>
      <c r="C181" s="20" t="s">
        <v>607</v>
      </c>
      <c r="D181" s="141">
        <v>2440000</v>
      </c>
      <c r="E181" s="20" t="s">
        <v>519</v>
      </c>
      <c r="F181" s="20" t="s">
        <v>520</v>
      </c>
      <c r="G181" s="8" t="str">
        <f t="shared" si="2"/>
        <v>LOPES KIMBERLY</v>
      </c>
    </row>
    <row r="182" spans="1:7" x14ac:dyDescent="0.25">
      <c r="A182" s="8">
        <v>42876.757731481484</v>
      </c>
      <c r="B182" s="20" t="s">
        <v>386</v>
      </c>
      <c r="C182" s="20" t="s">
        <v>778</v>
      </c>
      <c r="D182" s="141">
        <v>2620000</v>
      </c>
      <c r="E182" s="20" t="s">
        <v>527</v>
      </c>
      <c r="F182" s="20" t="s">
        <v>528</v>
      </c>
      <c r="G182" s="8" t="str">
        <f t="shared" si="2"/>
        <v>PERKINS DARREN</v>
      </c>
    </row>
    <row r="183" spans="1:7" x14ac:dyDescent="0.25">
      <c r="A183" s="8">
        <v>42876.759328703702</v>
      </c>
      <c r="B183" s="20" t="s">
        <v>437</v>
      </c>
      <c r="C183" s="20" t="s">
        <v>779</v>
      </c>
      <c r="D183" s="141">
        <v>2470000</v>
      </c>
      <c r="E183" s="20" t="s">
        <v>713</v>
      </c>
      <c r="F183" s="20" t="s">
        <v>714</v>
      </c>
      <c r="G183" s="8" t="str">
        <f t="shared" si="2"/>
        <v>ROMERO CHAD</v>
      </c>
    </row>
    <row r="184" spans="1:7" x14ac:dyDescent="0.25">
      <c r="A184" s="8">
        <v>42876.768159722225</v>
      </c>
      <c r="B184" s="20" t="s">
        <v>367</v>
      </c>
      <c r="C184" s="20" t="s">
        <v>780</v>
      </c>
      <c r="D184" s="141">
        <v>2610000</v>
      </c>
      <c r="E184" s="20" t="s">
        <v>781</v>
      </c>
      <c r="F184" s="20" t="s">
        <v>782</v>
      </c>
      <c r="G184" s="8" t="str">
        <f t="shared" si="2"/>
        <v>MAGEE KENYA</v>
      </c>
    </row>
    <row r="185" spans="1:7" x14ac:dyDescent="0.25">
      <c r="A185" s="8">
        <v>42876.770752314813</v>
      </c>
      <c r="B185" s="20" t="s">
        <v>482</v>
      </c>
      <c r="C185" s="20" t="s">
        <v>607</v>
      </c>
      <c r="D185" s="141">
        <v>2440000</v>
      </c>
      <c r="E185" s="20" t="s">
        <v>519</v>
      </c>
      <c r="F185" s="20" t="s">
        <v>520</v>
      </c>
      <c r="G185" s="8" t="str">
        <f t="shared" si="2"/>
        <v>LOPES KIMBERLY</v>
      </c>
    </row>
    <row r="186" spans="1:7" x14ac:dyDescent="0.25">
      <c r="A186" s="8">
        <v>42876.771874999999</v>
      </c>
      <c r="B186" s="20" t="s">
        <v>482</v>
      </c>
      <c r="C186" s="20" t="s">
        <v>607</v>
      </c>
      <c r="D186" s="141">
        <v>2440000</v>
      </c>
      <c r="E186" s="20" t="s">
        <v>519</v>
      </c>
      <c r="F186" s="20" t="s">
        <v>520</v>
      </c>
      <c r="G186" s="8" t="str">
        <f t="shared" si="2"/>
        <v>LOPES KIMBERLY</v>
      </c>
    </row>
    <row r="187" spans="1:7" x14ac:dyDescent="0.25">
      <c r="A187" s="8">
        <v>42876.774895833332</v>
      </c>
      <c r="B187" s="20" t="s">
        <v>411</v>
      </c>
      <c r="C187" s="20" t="s">
        <v>783</v>
      </c>
      <c r="D187" s="141">
        <v>2230000</v>
      </c>
      <c r="E187" s="20" t="s">
        <v>346</v>
      </c>
      <c r="F187" s="20" t="s">
        <v>196</v>
      </c>
      <c r="G187" s="8" t="str">
        <f t="shared" si="2"/>
        <v>SMITH MICHAEL</v>
      </c>
    </row>
    <row r="188" spans="1:7" x14ac:dyDescent="0.25">
      <c r="A188" s="8">
        <v>42876.776747685188</v>
      </c>
      <c r="B188" s="20" t="s">
        <v>439</v>
      </c>
      <c r="C188" s="20" t="s">
        <v>784</v>
      </c>
      <c r="D188" s="141">
        <v>2420000</v>
      </c>
      <c r="E188" s="20" t="s">
        <v>734</v>
      </c>
      <c r="F188" s="20" t="s">
        <v>735</v>
      </c>
      <c r="G188" s="8" t="str">
        <f t="shared" si="2"/>
        <v>HOLCOMB KAMDEN</v>
      </c>
    </row>
    <row r="189" spans="1:7" x14ac:dyDescent="0.25">
      <c r="A189" s="8">
        <v>42876.776875000003</v>
      </c>
      <c r="B189" s="20" t="s">
        <v>427</v>
      </c>
      <c r="C189" s="20" t="s">
        <v>785</v>
      </c>
      <c r="D189" s="141">
        <v>1770000</v>
      </c>
      <c r="E189" s="20" t="s">
        <v>707</v>
      </c>
      <c r="F189" s="20" t="s">
        <v>708</v>
      </c>
      <c r="G189" s="8" t="str">
        <f t="shared" si="2"/>
        <v>BRUDER RICHARD</v>
      </c>
    </row>
    <row r="190" spans="1:7" x14ac:dyDescent="0.25">
      <c r="A190" s="8">
        <v>42876.784490740742</v>
      </c>
      <c r="B190" s="20" t="s">
        <v>508</v>
      </c>
      <c r="C190" s="20" t="s">
        <v>786</v>
      </c>
      <c r="D190" s="141">
        <v>2540000</v>
      </c>
      <c r="E190" s="20" t="s">
        <v>720</v>
      </c>
      <c r="F190" s="20" t="s">
        <v>721</v>
      </c>
      <c r="G190" s="8" t="str">
        <f t="shared" si="2"/>
        <v>MCREYNOLDS KYLE</v>
      </c>
    </row>
    <row r="191" spans="1:7" x14ac:dyDescent="0.25">
      <c r="A191" s="8">
        <v>42876.785312499997</v>
      </c>
      <c r="B191" s="20" t="s">
        <v>479</v>
      </c>
      <c r="C191" s="20" t="s">
        <v>607</v>
      </c>
      <c r="D191" s="141">
        <v>2440000</v>
      </c>
      <c r="E191" s="20" t="s">
        <v>519</v>
      </c>
      <c r="F191" s="20" t="s">
        <v>520</v>
      </c>
      <c r="G191" s="8" t="str">
        <f t="shared" si="2"/>
        <v>LOPES KIMBERLY</v>
      </c>
    </row>
    <row r="192" spans="1:7" x14ac:dyDescent="0.25">
      <c r="A192" s="8">
        <v>42876.789293981485</v>
      </c>
      <c r="B192" s="20" t="s">
        <v>481</v>
      </c>
      <c r="C192" s="20" t="s">
        <v>787</v>
      </c>
      <c r="D192" s="141">
        <v>2000000</v>
      </c>
      <c r="E192" s="20" t="s">
        <v>620</v>
      </c>
      <c r="F192" s="20" t="s">
        <v>193</v>
      </c>
      <c r="G192" s="8" t="str">
        <f t="shared" si="2"/>
        <v>STAMBAUGH JAMES</v>
      </c>
    </row>
    <row r="193" spans="1:7" x14ac:dyDescent="0.25">
      <c r="A193" s="8">
        <v>42876.793611111112</v>
      </c>
      <c r="B193" s="20" t="s">
        <v>383</v>
      </c>
      <c r="C193" s="20" t="s">
        <v>609</v>
      </c>
      <c r="D193" s="141">
        <v>2620000</v>
      </c>
      <c r="E193" s="20" t="s">
        <v>527</v>
      </c>
      <c r="F193" s="20" t="s">
        <v>528</v>
      </c>
      <c r="G193" s="8" t="str">
        <f t="shared" si="2"/>
        <v>PERKINS DARREN</v>
      </c>
    </row>
    <row r="194" spans="1:7" x14ac:dyDescent="0.25">
      <c r="A194" s="8">
        <v>42876.797800925924</v>
      </c>
      <c r="B194" s="20" t="s">
        <v>436</v>
      </c>
      <c r="C194" s="20" t="s">
        <v>788</v>
      </c>
      <c r="D194" s="141">
        <v>2470000</v>
      </c>
      <c r="E194" s="20" t="s">
        <v>713</v>
      </c>
      <c r="F194" s="20" t="s">
        <v>714</v>
      </c>
      <c r="G194" s="8" t="str">
        <f t="shared" si="2"/>
        <v>ROMERO CHAD</v>
      </c>
    </row>
    <row r="195" spans="1:7" x14ac:dyDescent="0.25">
      <c r="A195" s="8">
        <v>42876.805960648147</v>
      </c>
      <c r="B195" s="20" t="s">
        <v>440</v>
      </c>
      <c r="C195" s="20" t="s">
        <v>789</v>
      </c>
      <c r="D195" s="141">
        <v>2420000</v>
      </c>
      <c r="E195" s="20" t="s">
        <v>734</v>
      </c>
      <c r="F195" s="20" t="s">
        <v>735</v>
      </c>
      <c r="G195" s="8" t="str">
        <f t="shared" ref="G195:G258" si="3">E195&amp;" "&amp;F195</f>
        <v>HOLCOMB KAMDEN</v>
      </c>
    </row>
    <row r="196" spans="1:7" x14ac:dyDescent="0.25">
      <c r="A196" s="8">
        <v>42876.808368055557</v>
      </c>
      <c r="B196" s="20" t="s">
        <v>417</v>
      </c>
      <c r="C196" s="20" t="s">
        <v>790</v>
      </c>
      <c r="D196" s="141">
        <v>2230000</v>
      </c>
      <c r="E196" s="20" t="s">
        <v>346</v>
      </c>
      <c r="F196" s="20" t="s">
        <v>196</v>
      </c>
      <c r="G196" s="8" t="str">
        <f t="shared" si="3"/>
        <v>SMITH MICHAEL</v>
      </c>
    </row>
    <row r="197" spans="1:7" x14ac:dyDescent="0.25">
      <c r="A197" s="8">
        <v>42876.809710648151</v>
      </c>
      <c r="B197" s="20" t="s">
        <v>610</v>
      </c>
      <c r="C197" s="20" t="s">
        <v>611</v>
      </c>
      <c r="D197" s="141">
        <v>2610000</v>
      </c>
      <c r="E197" s="20" t="s">
        <v>781</v>
      </c>
      <c r="F197" s="20" t="s">
        <v>782</v>
      </c>
      <c r="G197" s="8" t="str">
        <f t="shared" si="3"/>
        <v>MAGEE KENYA</v>
      </c>
    </row>
    <row r="198" spans="1:7" x14ac:dyDescent="0.25">
      <c r="A198" s="8">
        <v>42876.821168981478</v>
      </c>
      <c r="B198" s="20" t="s">
        <v>439</v>
      </c>
      <c r="C198" s="20" t="s">
        <v>791</v>
      </c>
      <c r="D198" s="141">
        <v>2420000</v>
      </c>
      <c r="E198" s="20" t="s">
        <v>734</v>
      </c>
      <c r="F198" s="20" t="s">
        <v>735</v>
      </c>
      <c r="G198" s="8" t="str">
        <f t="shared" si="3"/>
        <v>HOLCOMB KAMDEN</v>
      </c>
    </row>
    <row r="199" spans="1:7" x14ac:dyDescent="0.25">
      <c r="A199" s="8">
        <v>42876.823379629626</v>
      </c>
      <c r="B199" s="20" t="s">
        <v>439</v>
      </c>
      <c r="C199" s="20" t="s">
        <v>791</v>
      </c>
      <c r="D199" s="141">
        <v>2420000</v>
      </c>
      <c r="E199" s="20" t="s">
        <v>734</v>
      </c>
      <c r="F199" s="20" t="s">
        <v>735</v>
      </c>
      <c r="G199" s="8" t="str">
        <f t="shared" si="3"/>
        <v>HOLCOMB KAMDEN</v>
      </c>
    </row>
    <row r="200" spans="1:7" x14ac:dyDescent="0.25">
      <c r="A200" s="8">
        <v>42876.824918981481</v>
      </c>
      <c r="B200" s="20" t="s">
        <v>439</v>
      </c>
      <c r="C200" s="20" t="s">
        <v>791</v>
      </c>
      <c r="D200" s="141">
        <v>2420000</v>
      </c>
      <c r="E200" s="20" t="s">
        <v>734</v>
      </c>
      <c r="F200" s="20" t="s">
        <v>735</v>
      </c>
      <c r="G200" s="8" t="str">
        <f t="shared" si="3"/>
        <v>HOLCOMB KAMDEN</v>
      </c>
    </row>
    <row r="201" spans="1:7" x14ac:dyDescent="0.25">
      <c r="A201" s="8">
        <v>42876.825671296298</v>
      </c>
      <c r="B201" s="20" t="s">
        <v>439</v>
      </c>
      <c r="C201" s="20" t="s">
        <v>791</v>
      </c>
      <c r="D201" s="141">
        <v>2420000</v>
      </c>
      <c r="E201" s="20" t="s">
        <v>734</v>
      </c>
      <c r="F201" s="20" t="s">
        <v>735</v>
      </c>
      <c r="G201" s="8" t="str">
        <f t="shared" si="3"/>
        <v>HOLCOMB KAMDEN</v>
      </c>
    </row>
    <row r="202" spans="1:7" x14ac:dyDescent="0.25">
      <c r="A202" s="26">
        <v>42876.828645833331</v>
      </c>
      <c r="B202" s="20" t="s">
        <v>488</v>
      </c>
      <c r="C202" s="20" t="s">
        <v>792</v>
      </c>
      <c r="D202" s="141">
        <v>2000000</v>
      </c>
      <c r="E202" s="20" t="s">
        <v>620</v>
      </c>
      <c r="F202" s="20" t="s">
        <v>193</v>
      </c>
      <c r="G202" s="8" t="str">
        <f t="shared" si="3"/>
        <v>STAMBAUGH JAMES</v>
      </c>
    </row>
    <row r="203" spans="1:7" x14ac:dyDescent="0.25">
      <c r="A203" s="8">
        <v>42876.828645833331</v>
      </c>
      <c r="B203" s="20" t="s">
        <v>386</v>
      </c>
      <c r="C203" s="20" t="s">
        <v>612</v>
      </c>
      <c r="D203" s="141">
        <v>2620000</v>
      </c>
      <c r="E203" s="20" t="s">
        <v>527</v>
      </c>
      <c r="F203" s="20" t="s">
        <v>528</v>
      </c>
      <c r="G203" s="8" t="str">
        <f t="shared" si="3"/>
        <v>PERKINS DARREN</v>
      </c>
    </row>
    <row r="204" spans="1:7" x14ac:dyDescent="0.25">
      <c r="A204" s="8">
        <v>42876.830335648148</v>
      </c>
      <c r="B204" s="20" t="s">
        <v>439</v>
      </c>
      <c r="C204" s="20" t="s">
        <v>791</v>
      </c>
      <c r="D204" s="141">
        <v>2420000</v>
      </c>
      <c r="E204" s="20" t="s">
        <v>734</v>
      </c>
      <c r="F204" s="20" t="s">
        <v>735</v>
      </c>
      <c r="G204" s="8" t="str">
        <f t="shared" si="3"/>
        <v>HOLCOMB KAMDEN</v>
      </c>
    </row>
    <row r="205" spans="1:7" x14ac:dyDescent="0.25">
      <c r="A205" s="8">
        <v>42876.843726851854</v>
      </c>
      <c r="B205" s="20" t="s">
        <v>411</v>
      </c>
      <c r="C205" s="20" t="s">
        <v>793</v>
      </c>
      <c r="D205" s="141">
        <v>2230000</v>
      </c>
      <c r="E205" s="20" t="s">
        <v>346</v>
      </c>
      <c r="F205" s="20" t="s">
        <v>196</v>
      </c>
      <c r="G205" s="8" t="str">
        <f t="shared" si="3"/>
        <v>SMITH MICHAEL</v>
      </c>
    </row>
    <row r="206" spans="1:7" x14ac:dyDescent="0.25">
      <c r="A206" s="8">
        <v>42876.848356481481</v>
      </c>
      <c r="B206" s="20" t="s">
        <v>440</v>
      </c>
      <c r="C206" s="20" t="s">
        <v>794</v>
      </c>
      <c r="D206" s="141">
        <v>2420000</v>
      </c>
      <c r="E206" s="20" t="s">
        <v>734</v>
      </c>
      <c r="F206" s="20" t="s">
        <v>735</v>
      </c>
      <c r="G206" s="8" t="str">
        <f t="shared" si="3"/>
        <v>HOLCOMB KAMDEN</v>
      </c>
    </row>
    <row r="207" spans="1:7" x14ac:dyDescent="0.25">
      <c r="A207" s="8">
        <v>42876.849849537037</v>
      </c>
      <c r="B207" s="20" t="s">
        <v>440</v>
      </c>
      <c r="C207" s="20" t="s">
        <v>794</v>
      </c>
      <c r="D207" s="141">
        <v>2420000</v>
      </c>
      <c r="E207" s="20" t="s">
        <v>734</v>
      </c>
      <c r="F207" s="20" t="s">
        <v>735</v>
      </c>
      <c r="G207" s="8" t="str">
        <f t="shared" si="3"/>
        <v>HOLCOMB KAMDEN</v>
      </c>
    </row>
    <row r="208" spans="1:7" x14ac:dyDescent="0.25">
      <c r="A208" s="8">
        <v>42876.85050925926</v>
      </c>
      <c r="B208" s="20" t="s">
        <v>440</v>
      </c>
      <c r="C208" s="20" t="s">
        <v>794</v>
      </c>
      <c r="D208" s="141">
        <v>2420000</v>
      </c>
      <c r="E208" s="20" t="s">
        <v>734</v>
      </c>
      <c r="F208" s="20" t="s">
        <v>735</v>
      </c>
      <c r="G208" s="8" t="str">
        <f t="shared" si="3"/>
        <v>HOLCOMB KAMDEN</v>
      </c>
    </row>
    <row r="209" spans="1:7" x14ac:dyDescent="0.25">
      <c r="A209" s="8">
        <v>42876.851446759261</v>
      </c>
      <c r="B209" s="20" t="s">
        <v>367</v>
      </c>
      <c r="C209" s="20" t="s">
        <v>795</v>
      </c>
      <c r="D209" s="141">
        <v>2610000</v>
      </c>
      <c r="E209" s="20" t="s">
        <v>781</v>
      </c>
      <c r="F209" s="20" t="s">
        <v>782</v>
      </c>
      <c r="G209" s="8" t="str">
        <f t="shared" si="3"/>
        <v>MAGEE KENYA</v>
      </c>
    </row>
    <row r="210" spans="1:7" x14ac:dyDescent="0.25">
      <c r="A210" s="8">
        <v>42876.860300925924</v>
      </c>
      <c r="B210" s="20" t="s">
        <v>481</v>
      </c>
      <c r="C210" s="20" t="s">
        <v>796</v>
      </c>
      <c r="D210" s="141">
        <v>2000000</v>
      </c>
      <c r="E210" s="20" t="s">
        <v>620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42876.863206018519</v>
      </c>
      <c r="B211" s="20" t="s">
        <v>439</v>
      </c>
      <c r="C211" s="20" t="s">
        <v>797</v>
      </c>
      <c r="D211" s="141">
        <v>2420000</v>
      </c>
      <c r="E211" s="20" t="s">
        <v>734</v>
      </c>
      <c r="F211" s="20" t="s">
        <v>735</v>
      </c>
      <c r="G211" s="8" t="str">
        <f t="shared" si="3"/>
        <v>HOLCOMB KAMDEN</v>
      </c>
    </row>
    <row r="212" spans="1:7" x14ac:dyDescent="0.25">
      <c r="A212" s="8">
        <v>42876.866944444446</v>
      </c>
      <c r="B212" s="20" t="s">
        <v>383</v>
      </c>
      <c r="C212" s="20" t="s">
        <v>798</v>
      </c>
      <c r="D212" s="141">
        <v>2620000</v>
      </c>
      <c r="E212" s="20" t="s">
        <v>527</v>
      </c>
      <c r="F212" s="20" t="s">
        <v>528</v>
      </c>
      <c r="G212" s="8" t="str">
        <f t="shared" si="3"/>
        <v>PERKINS DARREN</v>
      </c>
    </row>
    <row r="213" spans="1:7" x14ac:dyDescent="0.25">
      <c r="A213" s="8">
        <v>42876.884976851848</v>
      </c>
      <c r="B213" s="20" t="s">
        <v>417</v>
      </c>
      <c r="C213" s="20" t="s">
        <v>799</v>
      </c>
      <c r="D213" s="141">
        <v>2230000</v>
      </c>
      <c r="E213" s="20" t="s">
        <v>346</v>
      </c>
      <c r="F213" s="20" t="s">
        <v>196</v>
      </c>
      <c r="G213" s="8" t="str">
        <f t="shared" si="3"/>
        <v>SMITH MICHAEL</v>
      </c>
    </row>
    <row r="214" spans="1:7" x14ac:dyDescent="0.25">
      <c r="A214" s="8">
        <v>42876.889513888891</v>
      </c>
      <c r="B214" s="20" t="s">
        <v>440</v>
      </c>
      <c r="C214" s="20" t="s">
        <v>800</v>
      </c>
      <c r="D214" s="141">
        <v>2420000</v>
      </c>
      <c r="E214" s="20" t="s">
        <v>734</v>
      </c>
      <c r="F214" s="20" t="s">
        <v>735</v>
      </c>
      <c r="G214" s="8" t="str">
        <f t="shared" si="3"/>
        <v>HOLCOMB KAMDEN</v>
      </c>
    </row>
    <row r="215" spans="1:7" x14ac:dyDescent="0.25">
      <c r="A215" s="8">
        <v>42876.890509259261</v>
      </c>
      <c r="B215" s="20" t="s">
        <v>610</v>
      </c>
      <c r="C215" s="20" t="s">
        <v>614</v>
      </c>
      <c r="D215" s="141">
        <v>2610000</v>
      </c>
      <c r="E215" s="20" t="s">
        <v>781</v>
      </c>
      <c r="F215" s="20" t="s">
        <v>782</v>
      </c>
      <c r="G215" s="8" t="str">
        <f t="shared" si="3"/>
        <v>MAGEE KENYA</v>
      </c>
    </row>
    <row r="216" spans="1:7" x14ac:dyDescent="0.25">
      <c r="A216" s="8">
        <v>42876.902430555558</v>
      </c>
      <c r="B216" s="20" t="s">
        <v>439</v>
      </c>
      <c r="C216" s="20" t="s">
        <v>613</v>
      </c>
      <c r="D216" s="141">
        <v>2420000</v>
      </c>
      <c r="E216" s="20" t="s">
        <v>734</v>
      </c>
      <c r="F216" s="20" t="s">
        <v>735</v>
      </c>
      <c r="G216" s="8" t="str">
        <f t="shared" si="3"/>
        <v>HOLCOMB KAMDEN</v>
      </c>
    </row>
    <row r="217" spans="1:7" x14ac:dyDescent="0.25">
      <c r="A217" s="8">
        <v>42876.90357638889</v>
      </c>
      <c r="B217" s="20" t="s">
        <v>386</v>
      </c>
      <c r="C217" s="20" t="s">
        <v>615</v>
      </c>
      <c r="D217" s="141">
        <v>2620000</v>
      </c>
      <c r="E217" s="20" t="s">
        <v>527</v>
      </c>
      <c r="F217" s="20" t="s">
        <v>528</v>
      </c>
      <c r="G217" s="8" t="str">
        <f t="shared" si="3"/>
        <v>PERKINS DARREN</v>
      </c>
    </row>
    <row r="218" spans="1:7" x14ac:dyDescent="0.25">
      <c r="A218" s="8">
        <v>42876.910949074074</v>
      </c>
      <c r="B218" s="20" t="s">
        <v>488</v>
      </c>
      <c r="C218" s="20" t="s">
        <v>801</v>
      </c>
      <c r="D218" s="141">
        <v>2000000</v>
      </c>
      <c r="E218" s="20" t="s">
        <v>620</v>
      </c>
      <c r="F218" s="20" t="s">
        <v>193</v>
      </c>
      <c r="G218" s="8" t="str">
        <f t="shared" si="3"/>
        <v>STAMBAUGH JAMES</v>
      </c>
    </row>
    <row r="219" spans="1:7" x14ac:dyDescent="0.25">
      <c r="A219" s="8">
        <v>42876.930162037039</v>
      </c>
      <c r="B219" s="20" t="s">
        <v>440</v>
      </c>
      <c r="C219" s="20" t="s">
        <v>802</v>
      </c>
      <c r="D219" s="141">
        <v>2420000</v>
      </c>
      <c r="E219" s="20" t="s">
        <v>734</v>
      </c>
      <c r="F219" s="20" t="s">
        <v>735</v>
      </c>
      <c r="G219" s="8" t="str">
        <f t="shared" si="3"/>
        <v>HOLCOMB KAMDEN</v>
      </c>
    </row>
    <row r="220" spans="1:7" x14ac:dyDescent="0.25">
      <c r="A220" s="8">
        <v>42876.931423611109</v>
      </c>
      <c r="B220" s="20" t="s">
        <v>411</v>
      </c>
      <c r="C220" s="20" t="s">
        <v>803</v>
      </c>
      <c r="D220" s="141">
        <v>2230000</v>
      </c>
      <c r="E220" s="20" t="s">
        <v>346</v>
      </c>
      <c r="F220" s="20" t="s">
        <v>196</v>
      </c>
      <c r="G220" s="8" t="str">
        <f t="shared" si="3"/>
        <v>SMITH MICHAEL</v>
      </c>
    </row>
    <row r="221" spans="1:7" x14ac:dyDescent="0.25">
      <c r="A221" s="8">
        <v>42876.934594907405</v>
      </c>
      <c r="B221" s="20" t="s">
        <v>367</v>
      </c>
      <c r="C221" s="20" t="s">
        <v>804</v>
      </c>
      <c r="D221" s="141">
        <v>2610000</v>
      </c>
      <c r="E221" s="20" t="s">
        <v>781</v>
      </c>
      <c r="F221" s="20" t="s">
        <v>782</v>
      </c>
      <c r="G221" s="8" t="str">
        <f t="shared" si="3"/>
        <v>MAGEE KENYA</v>
      </c>
    </row>
    <row r="222" spans="1:7" x14ac:dyDescent="0.25">
      <c r="A222" s="8">
        <v>42876.942800925928</v>
      </c>
      <c r="B222" s="20" t="s">
        <v>439</v>
      </c>
      <c r="C222" s="20" t="s">
        <v>805</v>
      </c>
      <c r="D222" s="141">
        <v>2420000</v>
      </c>
      <c r="E222" s="20" t="s">
        <v>734</v>
      </c>
      <c r="F222" s="20" t="s">
        <v>735</v>
      </c>
      <c r="G222" s="8" t="str">
        <f t="shared" si="3"/>
        <v>HOLCOMB KAMDEN</v>
      </c>
    </row>
    <row r="223" spans="1:7" x14ac:dyDescent="0.25">
      <c r="A223" s="8">
        <v>42876.943784722222</v>
      </c>
      <c r="B223" s="20" t="s">
        <v>481</v>
      </c>
      <c r="C223" s="20" t="s">
        <v>806</v>
      </c>
      <c r="D223" s="141">
        <v>2000000</v>
      </c>
      <c r="E223" s="20" t="s">
        <v>620</v>
      </c>
      <c r="F223" s="20" t="s">
        <v>193</v>
      </c>
      <c r="G223" s="8" t="str">
        <f t="shared" si="3"/>
        <v>STAMBAUGH JAMES</v>
      </c>
    </row>
    <row r="224" spans="1:7" x14ac:dyDescent="0.25">
      <c r="A224" s="8">
        <v>42876.945335648146</v>
      </c>
      <c r="B224" t="s">
        <v>383</v>
      </c>
      <c r="C224" t="s">
        <v>616</v>
      </c>
      <c r="D224" s="141">
        <v>2620000</v>
      </c>
      <c r="E224" t="s">
        <v>527</v>
      </c>
      <c r="F224" s="20" t="s">
        <v>528</v>
      </c>
      <c r="G224" s="8" t="str">
        <f t="shared" si="3"/>
        <v>PERKINS DARREN</v>
      </c>
    </row>
    <row r="225" spans="1:7" x14ac:dyDescent="0.25">
      <c r="A225" s="8">
        <v>42876.966446759259</v>
      </c>
      <c r="B225" t="s">
        <v>440</v>
      </c>
      <c r="C225" t="s">
        <v>807</v>
      </c>
      <c r="D225" s="141">
        <v>2420000</v>
      </c>
      <c r="E225" t="s">
        <v>734</v>
      </c>
      <c r="F225" s="20" t="s">
        <v>735</v>
      </c>
      <c r="G225" s="8" t="str">
        <f t="shared" si="3"/>
        <v>HOLCOMB KAMDEN</v>
      </c>
    </row>
    <row r="226" spans="1:7" x14ac:dyDescent="0.25">
      <c r="A226" s="8">
        <v>42876.967222222222</v>
      </c>
      <c r="B226" t="s">
        <v>417</v>
      </c>
      <c r="C226" t="s">
        <v>808</v>
      </c>
      <c r="D226" s="141">
        <v>2230000</v>
      </c>
      <c r="E226" t="s">
        <v>346</v>
      </c>
      <c r="F226" s="20" t="s">
        <v>196</v>
      </c>
      <c r="G226" s="8" t="str">
        <f t="shared" si="3"/>
        <v>SMITH MICHAEL</v>
      </c>
    </row>
    <row r="227" spans="1:7" x14ac:dyDescent="0.25">
      <c r="A227" s="8">
        <v>42876.973240740743</v>
      </c>
      <c r="B227" t="s">
        <v>610</v>
      </c>
      <c r="C227" t="s">
        <v>617</v>
      </c>
      <c r="D227" s="141">
        <v>2610000</v>
      </c>
      <c r="E227" t="s">
        <v>781</v>
      </c>
      <c r="F227" s="20" t="s">
        <v>782</v>
      </c>
      <c r="G227" s="8" t="str">
        <f t="shared" si="3"/>
        <v>MAGEE KENYA</v>
      </c>
    </row>
    <row r="228" spans="1:7" x14ac:dyDescent="0.25">
      <c r="A228" s="8">
        <v>42876.974004629628</v>
      </c>
      <c r="B228" t="s">
        <v>610</v>
      </c>
      <c r="C228" t="s">
        <v>617</v>
      </c>
      <c r="D228" s="141">
        <v>2610000</v>
      </c>
      <c r="E228" t="s">
        <v>781</v>
      </c>
      <c r="F228" s="20" t="s">
        <v>782</v>
      </c>
      <c r="G228" s="8" t="str">
        <f t="shared" si="3"/>
        <v>MAGEE KENYA</v>
      </c>
    </row>
    <row r="229" spans="1:7" x14ac:dyDescent="0.25">
      <c r="A229" s="8">
        <v>42876.983599537038</v>
      </c>
      <c r="B229" t="s">
        <v>439</v>
      </c>
      <c r="C229" t="s">
        <v>809</v>
      </c>
      <c r="D229" s="141">
        <v>2420000</v>
      </c>
      <c r="E229" t="s">
        <v>734</v>
      </c>
      <c r="F229" s="20" t="s">
        <v>735</v>
      </c>
      <c r="G229" s="8" t="str">
        <f t="shared" si="3"/>
        <v>HOLCOMB KAMDEN</v>
      </c>
    </row>
    <row r="230" spans="1:7" x14ac:dyDescent="0.25">
      <c r="A230" s="8">
        <v>42876.990636574075</v>
      </c>
      <c r="B230" t="s">
        <v>440</v>
      </c>
      <c r="C230" t="s">
        <v>809</v>
      </c>
      <c r="D230" s="141">
        <v>2420000</v>
      </c>
      <c r="E230" t="s">
        <v>734</v>
      </c>
      <c r="F230" s="20" t="s">
        <v>735</v>
      </c>
      <c r="G230" s="8" t="str">
        <f t="shared" si="3"/>
        <v>HOLCOMB KAMDEN</v>
      </c>
    </row>
    <row r="231" spans="1:7" x14ac:dyDescent="0.25">
      <c r="A231" s="8">
        <v>42876.991516203707</v>
      </c>
      <c r="B231" t="s">
        <v>440</v>
      </c>
      <c r="C231" t="s">
        <v>809</v>
      </c>
      <c r="D231" s="141">
        <v>2420000</v>
      </c>
      <c r="E231" t="s">
        <v>734</v>
      </c>
      <c r="F231" s="20" t="s">
        <v>735</v>
      </c>
      <c r="G231" s="8" t="str">
        <f t="shared" si="3"/>
        <v>HOLCOMB KAMDEN</v>
      </c>
    </row>
    <row r="232" spans="1:7" x14ac:dyDescent="0.25">
      <c r="A232" s="8">
        <v>42876.992037037038</v>
      </c>
      <c r="B232" t="s">
        <v>386</v>
      </c>
      <c r="C232" t="s">
        <v>618</v>
      </c>
      <c r="D232" s="141">
        <v>2620000</v>
      </c>
      <c r="E232" t="s">
        <v>527</v>
      </c>
      <c r="F232" s="20" t="s">
        <v>528</v>
      </c>
      <c r="G232" s="8" t="str">
        <f t="shared" si="3"/>
        <v>PERKINS DARREN</v>
      </c>
    </row>
    <row r="233" spans="1:7" x14ac:dyDescent="0.25">
      <c r="A233" s="8">
        <v>42876.995567129627</v>
      </c>
      <c r="B233" t="s">
        <v>488</v>
      </c>
      <c r="C233" t="s">
        <v>810</v>
      </c>
      <c r="D233" s="141">
        <v>2000000</v>
      </c>
      <c r="E233" t="s">
        <v>620</v>
      </c>
      <c r="F233" s="20" t="s">
        <v>193</v>
      </c>
      <c r="G233" s="8" t="str">
        <f t="shared" si="3"/>
        <v>STAMBAUGH JAMES</v>
      </c>
    </row>
    <row r="234" spans="1:7" x14ac:dyDescent="0.25">
      <c r="A234" s="8">
        <v>42877.011099537034</v>
      </c>
      <c r="B234" t="s">
        <v>411</v>
      </c>
      <c r="C234" t="s">
        <v>811</v>
      </c>
      <c r="D234" s="141">
        <v>2230000</v>
      </c>
      <c r="E234" t="s">
        <v>346</v>
      </c>
      <c r="F234" s="20" t="s">
        <v>196</v>
      </c>
      <c r="G234" s="8" t="str">
        <f t="shared" si="3"/>
        <v>SMITH MICHAEL</v>
      </c>
    </row>
    <row r="235" spans="1:7" x14ac:dyDescent="0.25">
      <c r="A235" s="8">
        <v>42877.018900462965</v>
      </c>
      <c r="B235" t="s">
        <v>367</v>
      </c>
      <c r="C235" t="s">
        <v>812</v>
      </c>
      <c r="D235" s="141">
        <v>2610000</v>
      </c>
      <c r="E235" t="s">
        <v>781</v>
      </c>
      <c r="F235" s="20" t="s">
        <v>782</v>
      </c>
      <c r="G235" s="8" t="str">
        <f t="shared" si="3"/>
        <v>MAGEE KENYA</v>
      </c>
    </row>
    <row r="236" spans="1:7" x14ac:dyDescent="0.25">
      <c r="A236" s="8">
        <v>42877.025960648149</v>
      </c>
      <c r="B236" t="s">
        <v>481</v>
      </c>
      <c r="C236" t="s">
        <v>813</v>
      </c>
      <c r="D236" s="141">
        <v>2000000</v>
      </c>
      <c r="E236" t="s">
        <v>620</v>
      </c>
      <c r="F236" s="20" t="s">
        <v>193</v>
      </c>
      <c r="G236" s="8" t="str">
        <f t="shared" si="3"/>
        <v>STAMBAUGH JAMES</v>
      </c>
    </row>
    <row r="237" spans="1:7" x14ac:dyDescent="0.25">
      <c r="A237" s="8">
        <v>42877.031261574077</v>
      </c>
      <c r="B237" t="s">
        <v>383</v>
      </c>
      <c r="C237" t="s">
        <v>814</v>
      </c>
      <c r="D237" s="141">
        <v>2620000</v>
      </c>
      <c r="E237" t="s">
        <v>527</v>
      </c>
      <c r="F237" s="20" t="s">
        <v>528</v>
      </c>
      <c r="G237" s="8" t="str">
        <f t="shared" si="3"/>
        <v>PERKINS DARREN</v>
      </c>
    </row>
    <row r="238" spans="1:7" x14ac:dyDescent="0.25">
      <c r="A238" s="8">
        <v>42877.04855324074</v>
      </c>
      <c r="B238" t="s">
        <v>417</v>
      </c>
      <c r="C238" t="s">
        <v>815</v>
      </c>
      <c r="D238" s="141">
        <v>2230000</v>
      </c>
      <c r="E238" t="s">
        <v>346</v>
      </c>
      <c r="F238" s="20" t="s">
        <v>196</v>
      </c>
      <c r="G238" s="8" t="str">
        <f t="shared" si="3"/>
        <v>SMITH MICHAEL</v>
      </c>
    </row>
    <row r="239" spans="1:7" x14ac:dyDescent="0.25">
      <c r="A239" s="8">
        <v>42877.059270833335</v>
      </c>
      <c r="B239" t="s">
        <v>610</v>
      </c>
      <c r="C239" t="s">
        <v>816</v>
      </c>
      <c r="D239" s="141">
        <v>2610000</v>
      </c>
      <c r="E239" t="s">
        <v>781</v>
      </c>
      <c r="F239" s="20" t="s">
        <v>782</v>
      </c>
      <c r="G239" s="8" t="str">
        <f t="shared" si="3"/>
        <v>MAGEE KENYA</v>
      </c>
    </row>
    <row r="240" spans="1:7" x14ac:dyDescent="0.25">
      <c r="A240" s="8">
        <v>42877.06894675926</v>
      </c>
      <c r="B240" t="s">
        <v>386</v>
      </c>
      <c r="C240" t="s">
        <v>817</v>
      </c>
      <c r="D240" s="141">
        <v>2620000</v>
      </c>
      <c r="E240" t="s">
        <v>527</v>
      </c>
      <c r="F240" s="20" t="s">
        <v>528</v>
      </c>
      <c r="G240" s="8" t="str">
        <f t="shared" si="3"/>
        <v>PERKINS DARREN</v>
      </c>
    </row>
    <row r="241" spans="1:7" x14ac:dyDescent="0.25">
      <c r="A241" s="8">
        <v>42877.090266203704</v>
      </c>
      <c r="B241" t="s">
        <v>367</v>
      </c>
      <c r="C241" t="s">
        <v>818</v>
      </c>
      <c r="D241" s="141">
        <v>2610000</v>
      </c>
      <c r="E241" t="s">
        <v>781</v>
      </c>
      <c r="F241" s="20" t="s">
        <v>782</v>
      </c>
      <c r="G241" s="8" t="str">
        <f t="shared" si="3"/>
        <v>MAGEE KENYA</v>
      </c>
    </row>
    <row r="242" spans="1:7" x14ac:dyDescent="0.25">
      <c r="A242" s="8">
        <v>42873.964791666665</v>
      </c>
      <c r="B242" t="s">
        <v>382</v>
      </c>
      <c r="C242" t="s">
        <v>530</v>
      </c>
      <c r="D242" s="141">
        <v>2150000</v>
      </c>
      <c r="E242" t="s">
        <v>409</v>
      </c>
      <c r="F242" s="20" t="s">
        <v>410</v>
      </c>
      <c r="G242" s="8" t="str">
        <f t="shared" si="3"/>
        <v>SWANSON BRYCE</v>
      </c>
    </row>
    <row r="243" spans="1:7" x14ac:dyDescent="0.25">
      <c r="A243" s="8">
        <v>42873.972928240742</v>
      </c>
      <c r="B243" t="s">
        <v>440</v>
      </c>
      <c r="C243" t="s">
        <v>531</v>
      </c>
      <c r="D243" s="141">
        <v>2730000</v>
      </c>
      <c r="E243" t="s">
        <v>525</v>
      </c>
      <c r="F243" s="20" t="s">
        <v>526</v>
      </c>
      <c r="G243" s="8" t="str">
        <f t="shared" si="3"/>
        <v>YANG JAN</v>
      </c>
    </row>
    <row r="244" spans="1:7" x14ac:dyDescent="0.25">
      <c r="A244" s="8">
        <v>42873.992025462961</v>
      </c>
      <c r="B244" t="s">
        <v>479</v>
      </c>
      <c r="C244" t="s">
        <v>510</v>
      </c>
      <c r="D244" s="141">
        <v>2270000</v>
      </c>
      <c r="E244" t="s">
        <v>412</v>
      </c>
      <c r="F244" s="20" t="s">
        <v>413</v>
      </c>
      <c r="G244" s="8" t="str">
        <f t="shared" si="3"/>
        <v>BROWN JACOB</v>
      </c>
    </row>
    <row r="245" spans="1:7" x14ac:dyDescent="0.25">
      <c r="A245" s="8">
        <v>42873.992789351854</v>
      </c>
      <c r="B245" t="s">
        <v>437</v>
      </c>
      <c r="C245" t="s">
        <v>512</v>
      </c>
      <c r="D245" s="141">
        <v>1800000</v>
      </c>
      <c r="E245" t="s">
        <v>391</v>
      </c>
      <c r="F245" s="20" t="s">
        <v>392</v>
      </c>
      <c r="G245" s="8" t="str">
        <f t="shared" si="3"/>
        <v>CHANDLER KELVIN</v>
      </c>
    </row>
    <row r="246" spans="1:7" x14ac:dyDescent="0.25">
      <c r="A246" s="8">
        <v>42874.006307870368</v>
      </c>
      <c r="B246" t="s">
        <v>388</v>
      </c>
      <c r="C246" t="s">
        <v>532</v>
      </c>
      <c r="D246" s="141">
        <v>2150000</v>
      </c>
      <c r="E246" t="s">
        <v>409</v>
      </c>
      <c r="F246" s="20" t="s">
        <v>410</v>
      </c>
      <c r="G246" s="8" t="str">
        <f t="shared" si="3"/>
        <v>SWANSON BRYCE</v>
      </c>
    </row>
    <row r="247" spans="1:7" x14ac:dyDescent="0.25">
      <c r="A247" s="8">
        <v>42874.013333333336</v>
      </c>
      <c r="B247" t="s">
        <v>439</v>
      </c>
      <c r="C247" t="s">
        <v>533</v>
      </c>
      <c r="D247" s="141">
        <v>2730000</v>
      </c>
      <c r="E247" t="s">
        <v>525</v>
      </c>
      <c r="F247" s="20" t="s">
        <v>526</v>
      </c>
      <c r="G247" s="8" t="str">
        <f t="shared" si="3"/>
        <v>YANG JAN</v>
      </c>
    </row>
    <row r="248" spans="1:7" x14ac:dyDescent="0.25">
      <c r="A248" s="8">
        <v>42874.026747685188</v>
      </c>
      <c r="B248" t="s">
        <v>529</v>
      </c>
      <c r="C248" t="s">
        <v>534</v>
      </c>
      <c r="D248" s="141">
        <v>3040000</v>
      </c>
      <c r="E248" t="s">
        <v>396</v>
      </c>
      <c r="F248" s="20" t="s">
        <v>397</v>
      </c>
      <c r="G248" s="8" t="str">
        <f t="shared" si="3"/>
        <v>WILLIAMS DONTE</v>
      </c>
    </row>
    <row r="249" spans="1:7" x14ac:dyDescent="0.25">
      <c r="A249" s="8">
        <v>42874.028668981482</v>
      </c>
      <c r="B249" t="s">
        <v>436</v>
      </c>
      <c r="C249" t="s">
        <v>535</v>
      </c>
      <c r="D249" s="141">
        <v>1800000</v>
      </c>
      <c r="E249" t="s">
        <v>391</v>
      </c>
      <c r="F249" s="20" t="s">
        <v>392</v>
      </c>
      <c r="G249" s="8" t="str">
        <f t="shared" si="3"/>
        <v>CHANDLER KELVIN</v>
      </c>
    </row>
    <row r="250" spans="1:7" x14ac:dyDescent="0.25">
      <c r="A250" s="8">
        <v>42874.034699074073</v>
      </c>
      <c r="B250" t="s">
        <v>482</v>
      </c>
      <c r="C250" t="s">
        <v>536</v>
      </c>
      <c r="D250" s="141">
        <v>2270000</v>
      </c>
      <c r="E250" t="s">
        <v>412</v>
      </c>
      <c r="F250" s="20" t="s">
        <v>413</v>
      </c>
      <c r="G250" s="8" t="str">
        <f t="shared" si="3"/>
        <v>BROWN JACOB</v>
      </c>
    </row>
    <row r="251" spans="1:7" x14ac:dyDescent="0.25">
      <c r="A251" s="8">
        <v>42874.048750000002</v>
      </c>
      <c r="B251" t="s">
        <v>440</v>
      </c>
      <c r="C251" t="s">
        <v>537</v>
      </c>
      <c r="D251" s="141">
        <v>2730000</v>
      </c>
      <c r="E251" t="s">
        <v>525</v>
      </c>
      <c r="F251" s="20" t="s">
        <v>526</v>
      </c>
      <c r="G251" s="8" t="str">
        <f t="shared" si="3"/>
        <v>YANG JAN</v>
      </c>
    </row>
    <row r="252" spans="1:7" x14ac:dyDescent="0.25">
      <c r="A252" s="8">
        <v>42874.057627314818</v>
      </c>
      <c r="B252" t="s">
        <v>382</v>
      </c>
      <c r="C252" t="s">
        <v>538</v>
      </c>
      <c r="D252" s="141">
        <v>2150000</v>
      </c>
      <c r="E252" t="s">
        <v>409</v>
      </c>
      <c r="F252" s="20" t="s">
        <v>410</v>
      </c>
      <c r="G252" s="8" t="str">
        <f t="shared" si="3"/>
        <v>SWANSON BRYCE</v>
      </c>
    </row>
    <row r="253" spans="1:7" x14ac:dyDescent="0.25">
      <c r="A253" s="8">
        <v>42874.060324074075</v>
      </c>
      <c r="B253" t="s">
        <v>529</v>
      </c>
      <c r="C253" t="s">
        <v>534</v>
      </c>
      <c r="D253" s="141">
        <v>3040000</v>
      </c>
      <c r="E253" t="s">
        <v>396</v>
      </c>
      <c r="F253" s="20" t="s">
        <v>397</v>
      </c>
      <c r="G253" s="8" t="str">
        <f t="shared" si="3"/>
        <v>WILLIAMS DONTE</v>
      </c>
    </row>
    <row r="254" spans="1:7" x14ac:dyDescent="0.25">
      <c r="A254" s="8">
        <v>42874.068240740744</v>
      </c>
      <c r="B254" t="s">
        <v>511</v>
      </c>
      <c r="C254" t="s">
        <v>539</v>
      </c>
      <c r="D254" s="141">
        <v>3040000</v>
      </c>
      <c r="E254" t="s">
        <v>396</v>
      </c>
      <c r="F254" s="20" t="s">
        <v>397</v>
      </c>
      <c r="G254" s="8" t="str">
        <f t="shared" si="3"/>
        <v>WILLIAMS DONTE</v>
      </c>
    </row>
    <row r="255" spans="1:7" x14ac:dyDescent="0.25">
      <c r="A255" s="8">
        <v>42874.069108796299</v>
      </c>
      <c r="B255" t="s">
        <v>479</v>
      </c>
      <c r="C255" t="s">
        <v>540</v>
      </c>
      <c r="D255" s="141">
        <v>2270000</v>
      </c>
      <c r="E255" t="s">
        <v>412</v>
      </c>
      <c r="F255" s="20" t="s">
        <v>413</v>
      </c>
      <c r="G255" s="8" t="str">
        <f t="shared" si="3"/>
        <v>BROWN JACOB</v>
      </c>
    </row>
    <row r="256" spans="1:7" x14ac:dyDescent="0.25">
      <c r="A256" s="8">
        <v>42874.109375</v>
      </c>
      <c r="B256" t="s">
        <v>388</v>
      </c>
      <c r="C256" t="s">
        <v>541</v>
      </c>
      <c r="D256" s="141">
        <v>1090000</v>
      </c>
      <c r="E256" t="s">
        <v>429</v>
      </c>
      <c r="F256" s="20" t="s">
        <v>196</v>
      </c>
      <c r="G256" s="8" t="str">
        <f t="shared" si="3"/>
        <v>SPECTOR MICHAEL</v>
      </c>
    </row>
    <row r="257" spans="1:7" x14ac:dyDescent="0.25">
      <c r="A257" s="8">
        <v>42871.949490740742</v>
      </c>
      <c r="B257" t="s">
        <v>438</v>
      </c>
      <c r="C257" t="s">
        <v>450</v>
      </c>
      <c r="D257" s="141">
        <v>2150000</v>
      </c>
      <c r="E257" t="s">
        <v>409</v>
      </c>
      <c r="F257" s="20" t="s">
        <v>410</v>
      </c>
      <c r="G257" s="8" t="str">
        <f t="shared" si="3"/>
        <v>SWANSON BRYCE</v>
      </c>
    </row>
    <row r="258" spans="1:7" x14ac:dyDescent="0.25">
      <c r="A258" s="8">
        <v>42871.953217592592</v>
      </c>
      <c r="B258" t="s">
        <v>437</v>
      </c>
      <c r="C258" t="s">
        <v>451</v>
      </c>
      <c r="D258" s="141">
        <v>3030000</v>
      </c>
      <c r="E258" t="s">
        <v>395</v>
      </c>
      <c r="F258" s="20" t="s">
        <v>378</v>
      </c>
      <c r="G258" s="8" t="str">
        <f t="shared" si="3"/>
        <v>BIRENBAUM THOMAS</v>
      </c>
    </row>
    <row r="259" spans="1:7" x14ac:dyDescent="0.25">
      <c r="A259" s="8">
        <v>42871.953240740739</v>
      </c>
      <c r="B259" t="s">
        <v>417</v>
      </c>
      <c r="C259" t="s">
        <v>452</v>
      </c>
      <c r="D259" s="141">
        <v>1800000</v>
      </c>
      <c r="E259" t="s">
        <v>391</v>
      </c>
      <c r="F259" s="20" t="s">
        <v>392</v>
      </c>
      <c r="G259" s="8" t="str">
        <f t="shared" ref="G259:G322" si="4">E259&amp;" "&amp;F259</f>
        <v>CHANDLER KELVIN</v>
      </c>
    </row>
    <row r="260" spans="1:7" x14ac:dyDescent="0.25">
      <c r="A260" s="8">
        <v>42871.953981481478</v>
      </c>
      <c r="B260" t="s">
        <v>428</v>
      </c>
      <c r="C260" t="s">
        <v>449</v>
      </c>
      <c r="D260" s="141">
        <v>3010000</v>
      </c>
      <c r="E260" t="s">
        <v>414</v>
      </c>
      <c r="F260" s="20" t="s">
        <v>415</v>
      </c>
      <c r="G260" s="8" t="str">
        <f t="shared" si="4"/>
        <v>SULLIVAN BRANDON</v>
      </c>
    </row>
    <row r="261" spans="1:7" x14ac:dyDescent="0.25">
      <c r="A261" s="8">
        <v>42871.962569444448</v>
      </c>
      <c r="B261" t="s">
        <v>441</v>
      </c>
      <c r="C261" t="s">
        <v>448</v>
      </c>
      <c r="D261" s="141">
        <v>2970000</v>
      </c>
      <c r="E261" t="s">
        <v>393</v>
      </c>
      <c r="F261" s="20" t="s">
        <v>394</v>
      </c>
      <c r="G261" s="8" t="str">
        <f t="shared" si="4"/>
        <v>GUZMAN DANNY</v>
      </c>
    </row>
    <row r="262" spans="1:7" x14ac:dyDescent="0.25">
      <c r="A262" s="8">
        <v>42871.964386574073</v>
      </c>
      <c r="B262" t="s">
        <v>441</v>
      </c>
      <c r="C262" t="s">
        <v>442</v>
      </c>
      <c r="D262" s="141">
        <v>2970000</v>
      </c>
      <c r="E262" t="s">
        <v>393</v>
      </c>
      <c r="F262" s="20" t="s">
        <v>394</v>
      </c>
      <c r="G262" s="8" t="str">
        <f t="shared" si="4"/>
        <v>GUZMAN DANNY</v>
      </c>
    </row>
    <row r="263" spans="1:7" x14ac:dyDescent="0.25">
      <c r="A263" s="8">
        <v>42871.96947916667</v>
      </c>
      <c r="B263" t="s">
        <v>344</v>
      </c>
      <c r="C263" t="s">
        <v>453</v>
      </c>
      <c r="D263" s="141">
        <v>3090000</v>
      </c>
      <c r="E263" t="s">
        <v>389</v>
      </c>
      <c r="F263" s="20" t="s">
        <v>390</v>
      </c>
      <c r="G263" s="8" t="str">
        <f t="shared" si="4"/>
        <v>LAMAR NEKESHA</v>
      </c>
    </row>
    <row r="264" spans="1:7" x14ac:dyDescent="0.25">
      <c r="A264" s="8">
        <v>42871.973587962966</v>
      </c>
      <c r="B264" t="s">
        <v>426</v>
      </c>
      <c r="C264" t="s">
        <v>446</v>
      </c>
      <c r="D264" s="141">
        <v>3010000</v>
      </c>
      <c r="E264" t="s">
        <v>414</v>
      </c>
      <c r="F264" s="20" t="s">
        <v>415</v>
      </c>
      <c r="G264" s="8" t="str">
        <f t="shared" si="4"/>
        <v>SULLIVAN BRANDON</v>
      </c>
    </row>
    <row r="265" spans="1:7" x14ac:dyDescent="0.25">
      <c r="A265" s="8">
        <v>42871.975798611114</v>
      </c>
      <c r="B265" t="s">
        <v>440</v>
      </c>
      <c r="C265" t="s">
        <v>454</v>
      </c>
      <c r="D265" s="141">
        <v>1810000</v>
      </c>
      <c r="E265" t="s">
        <v>379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42871.992731481485</v>
      </c>
      <c r="B266" t="s">
        <v>447</v>
      </c>
      <c r="C266" t="s">
        <v>448</v>
      </c>
      <c r="D266" s="141">
        <v>2970000</v>
      </c>
      <c r="E266" t="s">
        <v>393</v>
      </c>
      <c r="F266" s="20" t="s">
        <v>394</v>
      </c>
      <c r="G266" s="8" t="str">
        <f t="shared" si="4"/>
        <v>GUZMAN DANNY</v>
      </c>
    </row>
    <row r="267" spans="1:7" x14ac:dyDescent="0.25">
      <c r="A267" s="8">
        <v>42871.995324074072</v>
      </c>
      <c r="B267" t="s">
        <v>436</v>
      </c>
      <c r="C267" t="s">
        <v>455</v>
      </c>
      <c r="D267" s="141">
        <v>3030000</v>
      </c>
      <c r="E267" t="s">
        <v>395</v>
      </c>
      <c r="F267" s="20" t="s">
        <v>378</v>
      </c>
      <c r="G267" s="8" t="str">
        <f t="shared" si="4"/>
        <v>BIRENBAUM THOMAS</v>
      </c>
    </row>
    <row r="268" spans="1:7" x14ac:dyDescent="0.25">
      <c r="A268" s="8">
        <v>42871.995393518519</v>
      </c>
      <c r="B268" t="s">
        <v>411</v>
      </c>
      <c r="C268" t="s">
        <v>456</v>
      </c>
      <c r="D268" s="141">
        <v>1800000</v>
      </c>
      <c r="E268" t="s">
        <v>391</v>
      </c>
      <c r="F268" s="20" t="s">
        <v>392</v>
      </c>
      <c r="G268" s="8" t="str">
        <f t="shared" si="4"/>
        <v>CHANDLER KELVIN</v>
      </c>
    </row>
    <row r="269" spans="1:7" x14ac:dyDescent="0.25">
      <c r="A269" s="8">
        <v>42872.004918981482</v>
      </c>
      <c r="B269" t="s">
        <v>343</v>
      </c>
      <c r="C269" t="s">
        <v>443</v>
      </c>
      <c r="D269" s="141">
        <v>3090000</v>
      </c>
      <c r="E269" t="s">
        <v>389</v>
      </c>
      <c r="F269" s="20" t="s">
        <v>390</v>
      </c>
      <c r="G269" s="8" t="str">
        <f t="shared" si="4"/>
        <v>LAMAR NEKESHA</v>
      </c>
    </row>
    <row r="270" spans="1:7" x14ac:dyDescent="0.25">
      <c r="A270" s="8">
        <v>42872.006157407406</v>
      </c>
      <c r="B270" t="s">
        <v>439</v>
      </c>
      <c r="C270" t="s">
        <v>457</v>
      </c>
      <c r="D270" s="141">
        <v>1810000</v>
      </c>
      <c r="E270" t="s">
        <v>379</v>
      </c>
      <c r="F270" s="20" t="s">
        <v>193</v>
      </c>
      <c r="G270" s="8" t="str">
        <f t="shared" si="4"/>
        <v>NEWELL JAMES</v>
      </c>
    </row>
    <row r="271" spans="1:7" x14ac:dyDescent="0.25">
      <c r="A271" s="8">
        <v>42872.014236111114</v>
      </c>
      <c r="B271" t="s">
        <v>441</v>
      </c>
      <c r="C271" t="s">
        <v>442</v>
      </c>
      <c r="D271" s="141">
        <v>2970000</v>
      </c>
      <c r="E271" t="s">
        <v>393</v>
      </c>
      <c r="F271" s="20" t="s">
        <v>394</v>
      </c>
      <c r="G271" s="8" t="str">
        <f t="shared" si="4"/>
        <v>GUZMAN DANNY</v>
      </c>
    </row>
    <row r="272" spans="1:7" x14ac:dyDescent="0.25">
      <c r="A272" s="8">
        <v>42872.015636574077</v>
      </c>
      <c r="B272" t="s">
        <v>428</v>
      </c>
      <c r="C272" t="s">
        <v>446</v>
      </c>
      <c r="D272" s="141">
        <v>3010000</v>
      </c>
      <c r="E272" t="s">
        <v>414</v>
      </c>
      <c r="F272" s="20" t="s">
        <v>415</v>
      </c>
      <c r="G272" s="8" t="str">
        <f t="shared" si="4"/>
        <v>SULLIVAN BRANDON</v>
      </c>
    </row>
    <row r="273" spans="1:7" x14ac:dyDescent="0.25">
      <c r="A273" s="8">
        <v>42872.026469907411</v>
      </c>
      <c r="B273" t="s">
        <v>447</v>
      </c>
      <c r="C273" t="s">
        <v>448</v>
      </c>
      <c r="D273" s="141">
        <v>2970000</v>
      </c>
      <c r="E273" t="s">
        <v>393</v>
      </c>
      <c r="F273" s="20" t="s">
        <v>394</v>
      </c>
      <c r="G273" s="8" t="str">
        <f t="shared" si="4"/>
        <v>GUZMAN DANNY</v>
      </c>
    </row>
    <row r="274" spans="1:7" x14ac:dyDescent="0.25">
      <c r="A274" s="8">
        <v>42872.028356481482</v>
      </c>
      <c r="B274" t="s">
        <v>417</v>
      </c>
      <c r="C274" t="s">
        <v>458</v>
      </c>
      <c r="D274" s="141">
        <v>1800000</v>
      </c>
      <c r="E274" t="s">
        <v>391</v>
      </c>
      <c r="F274" s="20" t="s">
        <v>392</v>
      </c>
      <c r="G274" s="8" t="str">
        <f t="shared" si="4"/>
        <v>CHANDLER KELVIN</v>
      </c>
    </row>
    <row r="275" spans="1:7" x14ac:dyDescent="0.25">
      <c r="A275" s="8">
        <v>42872.035462962966</v>
      </c>
      <c r="B275" t="s">
        <v>437</v>
      </c>
      <c r="C275" t="s">
        <v>459</v>
      </c>
      <c r="D275" s="141">
        <v>3030000</v>
      </c>
      <c r="E275" t="s">
        <v>395</v>
      </c>
      <c r="F275" s="20" t="s">
        <v>378</v>
      </c>
      <c r="G275" s="8" t="str">
        <f t="shared" si="4"/>
        <v>BIRENBAUM THOMAS</v>
      </c>
    </row>
    <row r="276" spans="1:7" x14ac:dyDescent="0.25">
      <c r="A276" s="8">
        <v>42872.036921296298</v>
      </c>
      <c r="B276" t="s">
        <v>426</v>
      </c>
      <c r="C276" t="s">
        <v>446</v>
      </c>
      <c r="D276" s="141">
        <v>3010000</v>
      </c>
      <c r="E276" t="s">
        <v>414</v>
      </c>
      <c r="F276" s="20" t="s">
        <v>415</v>
      </c>
      <c r="G276" s="8" t="str">
        <f t="shared" si="4"/>
        <v>SULLIVAN BRANDON</v>
      </c>
    </row>
    <row r="277" spans="1:7" x14ac:dyDescent="0.25">
      <c r="A277" s="8">
        <v>42872.037488425929</v>
      </c>
      <c r="B277" t="s">
        <v>426</v>
      </c>
      <c r="C277" t="s">
        <v>446</v>
      </c>
      <c r="D277" s="141">
        <v>3010000</v>
      </c>
      <c r="E277" t="s">
        <v>414</v>
      </c>
      <c r="F277" s="20" t="s">
        <v>415</v>
      </c>
      <c r="G277" s="8" t="str">
        <f t="shared" si="4"/>
        <v>SULLIVAN BRANDON</v>
      </c>
    </row>
    <row r="278" spans="1:7" x14ac:dyDescent="0.25">
      <c r="A278" s="8">
        <v>42872.041689814818</v>
      </c>
      <c r="B278" t="s">
        <v>441</v>
      </c>
      <c r="C278" t="s">
        <v>442</v>
      </c>
      <c r="D278" s="141">
        <v>2970000</v>
      </c>
      <c r="E278" t="s">
        <v>393</v>
      </c>
      <c r="F278" s="20" t="s">
        <v>394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440</v>
      </c>
      <c r="C279" t="s">
        <v>460</v>
      </c>
      <c r="D279" s="141">
        <v>1810000</v>
      </c>
      <c r="E279" t="s">
        <v>379</v>
      </c>
      <c r="F279" s="20" t="s">
        <v>193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344</v>
      </c>
      <c r="C280" t="s">
        <v>461</v>
      </c>
      <c r="D280" s="141">
        <v>3090000</v>
      </c>
      <c r="E280" t="s">
        <v>389</v>
      </c>
      <c r="F280" s="20" t="s">
        <v>390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428</v>
      </c>
      <c r="C281" t="s">
        <v>446</v>
      </c>
      <c r="D281" s="141">
        <v>3010000</v>
      </c>
      <c r="E281" t="s">
        <v>414</v>
      </c>
      <c r="F281" s="20" t="s">
        <v>415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447</v>
      </c>
      <c r="C282" t="s">
        <v>448</v>
      </c>
      <c r="D282" s="141">
        <v>2970000</v>
      </c>
      <c r="E282" t="s">
        <v>393</v>
      </c>
      <c r="F282" s="20" t="s">
        <v>394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426</v>
      </c>
      <c r="C283" t="s">
        <v>446</v>
      </c>
      <c r="D283" s="141">
        <v>3010000</v>
      </c>
      <c r="E283" t="s">
        <v>414</v>
      </c>
      <c r="F283" s="20" t="s">
        <v>415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436</v>
      </c>
      <c r="C284" t="s">
        <v>462</v>
      </c>
      <c r="D284" s="141">
        <v>3030000</v>
      </c>
      <c r="E284" t="s">
        <v>395</v>
      </c>
      <c r="F284" s="20" t="s">
        <v>378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426</v>
      </c>
      <c r="C285" t="s">
        <v>446</v>
      </c>
      <c r="D285" s="141">
        <v>3010000</v>
      </c>
      <c r="E285" t="s">
        <v>414</v>
      </c>
      <c r="F285" s="20" t="s">
        <v>415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441</v>
      </c>
      <c r="C286" t="s">
        <v>442</v>
      </c>
      <c r="D286" s="141">
        <v>2970000</v>
      </c>
      <c r="E286" t="s">
        <v>393</v>
      </c>
      <c r="F286" s="20" t="s">
        <v>394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447</v>
      </c>
      <c r="C287" t="s">
        <v>448</v>
      </c>
      <c r="D287" s="141">
        <v>2970000</v>
      </c>
      <c r="E287" t="s">
        <v>393</v>
      </c>
      <c r="F287" s="20" t="s">
        <v>394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343</v>
      </c>
      <c r="C288" t="s">
        <v>463</v>
      </c>
      <c r="D288" s="141">
        <v>3090000</v>
      </c>
      <c r="E288" t="s">
        <v>389</v>
      </c>
      <c r="F288" s="20" t="s">
        <v>390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441</v>
      </c>
      <c r="C289" t="s">
        <v>442</v>
      </c>
      <c r="D289" s="141">
        <v>2970000</v>
      </c>
      <c r="E289" t="s">
        <v>393</v>
      </c>
      <c r="F289" s="20" t="s">
        <v>394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428</v>
      </c>
      <c r="C290" t="s">
        <v>446</v>
      </c>
      <c r="D290" s="141">
        <v>3010000</v>
      </c>
      <c r="E290" t="s">
        <v>414</v>
      </c>
      <c r="F290" s="20" t="s">
        <v>415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428</v>
      </c>
      <c r="C291" t="s">
        <v>446</v>
      </c>
      <c r="D291" s="141">
        <v>3010000</v>
      </c>
      <c r="E291" t="s">
        <v>414</v>
      </c>
      <c r="F291" s="20" t="s">
        <v>415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428</v>
      </c>
      <c r="C292" t="s">
        <v>446</v>
      </c>
      <c r="D292" s="141">
        <v>3010000</v>
      </c>
      <c r="E292" t="s">
        <v>414</v>
      </c>
      <c r="F292" s="20" t="s">
        <v>415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428</v>
      </c>
      <c r="C293" t="s">
        <v>446</v>
      </c>
      <c r="D293" s="141">
        <v>3010000</v>
      </c>
      <c r="E293" t="s">
        <v>414</v>
      </c>
      <c r="F293" s="20" t="s">
        <v>415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447</v>
      </c>
      <c r="C294" t="s">
        <v>448</v>
      </c>
      <c r="D294" s="141">
        <v>2970000</v>
      </c>
      <c r="E294" t="s">
        <v>393</v>
      </c>
      <c r="F294" s="20" t="s">
        <v>394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343</v>
      </c>
      <c r="C295" t="s">
        <v>400</v>
      </c>
      <c r="D295" s="141">
        <v>1800000</v>
      </c>
      <c r="E295" t="s">
        <v>391</v>
      </c>
      <c r="F295" s="20" t="s">
        <v>392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377</v>
      </c>
      <c r="C296" t="s">
        <v>401</v>
      </c>
      <c r="D296" s="141">
        <v>3030000</v>
      </c>
      <c r="E296" t="s">
        <v>395</v>
      </c>
      <c r="F296" s="20" t="s">
        <v>378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388</v>
      </c>
      <c r="C297" t="s">
        <v>384</v>
      </c>
      <c r="D297" s="141">
        <v>2970000</v>
      </c>
      <c r="E297" t="s">
        <v>393</v>
      </c>
      <c r="F297" s="20" t="s">
        <v>394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367</v>
      </c>
      <c r="C298" t="s">
        <v>402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382</v>
      </c>
      <c r="C299" t="s">
        <v>384</v>
      </c>
      <c r="D299" s="141">
        <v>2970000</v>
      </c>
      <c r="E299" t="s">
        <v>393</v>
      </c>
      <c r="F299" s="20" t="s">
        <v>394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383</v>
      </c>
      <c r="C300" t="s">
        <v>387</v>
      </c>
      <c r="D300" s="141">
        <v>3130000</v>
      </c>
      <c r="E300" t="s">
        <v>398</v>
      </c>
      <c r="F300" s="20" t="s">
        <v>399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382</v>
      </c>
      <c r="C301" t="s">
        <v>384</v>
      </c>
      <c r="D301" s="141">
        <v>2970000</v>
      </c>
      <c r="E301" t="s">
        <v>393</v>
      </c>
      <c r="F301" s="20" t="s">
        <v>394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374</v>
      </c>
      <c r="C302" t="s">
        <v>385</v>
      </c>
      <c r="D302" s="141">
        <v>3040000</v>
      </c>
      <c r="E302" t="s">
        <v>396</v>
      </c>
      <c r="F302" s="20" t="s">
        <v>397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374</v>
      </c>
      <c r="C303" t="s">
        <v>385</v>
      </c>
      <c r="D303" s="141">
        <v>3040000</v>
      </c>
      <c r="E303" t="s">
        <v>396</v>
      </c>
      <c r="F303" s="20" t="s">
        <v>397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403</v>
      </c>
      <c r="D304" s="141">
        <v>3030000</v>
      </c>
      <c r="E304" t="s">
        <v>395</v>
      </c>
      <c r="F304" s="20" t="s">
        <v>378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388</v>
      </c>
      <c r="C305" t="s">
        <v>384</v>
      </c>
      <c r="D305" s="141">
        <v>2970000</v>
      </c>
      <c r="E305" t="s">
        <v>393</v>
      </c>
      <c r="F305" s="20" t="s">
        <v>394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382</v>
      </c>
      <c r="C306" t="s">
        <v>384</v>
      </c>
      <c r="D306" s="141">
        <v>2970000</v>
      </c>
      <c r="E306" t="s">
        <v>393</v>
      </c>
      <c r="F306" s="20" t="s">
        <v>394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375</v>
      </c>
      <c r="C307" t="s">
        <v>385</v>
      </c>
      <c r="D307" s="141">
        <v>3040000</v>
      </c>
      <c r="E307" t="s">
        <v>396</v>
      </c>
      <c r="F307" s="20" t="s">
        <v>397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386</v>
      </c>
      <c r="C308" t="s">
        <v>404</v>
      </c>
      <c r="D308" s="141">
        <v>3130000</v>
      </c>
      <c r="E308" t="s">
        <v>398</v>
      </c>
      <c r="F308" s="20" t="s">
        <v>399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374</v>
      </c>
      <c r="C309" t="s">
        <v>385</v>
      </c>
      <c r="D309" s="141">
        <v>3040000</v>
      </c>
      <c r="E309" t="s">
        <v>396</v>
      </c>
      <c r="F309" s="20" t="s">
        <v>397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388</v>
      </c>
      <c r="C310" t="s">
        <v>384</v>
      </c>
      <c r="D310" s="141">
        <v>2970000</v>
      </c>
      <c r="E310" t="s">
        <v>393</v>
      </c>
      <c r="F310" s="20" t="s">
        <v>394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382</v>
      </c>
      <c r="C311" t="s">
        <v>384</v>
      </c>
      <c r="D311" s="141">
        <v>2970000</v>
      </c>
      <c r="E311" t="s">
        <v>393</v>
      </c>
      <c r="F311" s="20" t="s">
        <v>394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A2" sqref="A2:K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380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47.18</v>
      </c>
      <c r="B2" s="168">
        <v>0.63</v>
      </c>
      <c r="C2" s="168">
        <v>35.409999999999997</v>
      </c>
      <c r="D2" s="8">
        <v>42876</v>
      </c>
      <c r="E2" s="168">
        <v>0.63</v>
      </c>
      <c r="F2" s="168" t="s">
        <v>819</v>
      </c>
      <c r="G2" s="168">
        <v>346.13</v>
      </c>
      <c r="H2" s="168">
        <v>0</v>
      </c>
      <c r="I2" s="168">
        <v>0</v>
      </c>
      <c r="J2" s="168"/>
      <c r="K2" s="168">
        <v>1020.46</v>
      </c>
      <c r="L2" s="168" t="s">
        <v>820</v>
      </c>
      <c r="M2" s="168">
        <v>47.18</v>
      </c>
      <c r="N2" s="168">
        <v>1495346400</v>
      </c>
      <c r="O2" s="168">
        <v>1.66</v>
      </c>
      <c r="P2" s="168">
        <v>184</v>
      </c>
      <c r="Q2" s="168">
        <v>2.82</v>
      </c>
      <c r="R2"/>
    </row>
    <row r="3" spans="1:18" x14ac:dyDescent="0.25">
      <c r="A3" s="168">
        <v>44.84</v>
      </c>
      <c r="B3" s="168">
        <v>0.68</v>
      </c>
      <c r="C3" s="168">
        <v>35.67</v>
      </c>
      <c r="D3" s="8">
        <v>42876.041666666664</v>
      </c>
      <c r="E3" s="168">
        <v>0.67</v>
      </c>
      <c r="F3" s="168" t="s">
        <v>819</v>
      </c>
      <c r="G3" s="168">
        <v>348.1</v>
      </c>
      <c r="H3" s="168">
        <v>0</v>
      </c>
      <c r="I3" s="168">
        <v>0</v>
      </c>
      <c r="J3" s="168"/>
      <c r="K3" s="168">
        <v>1020.92</v>
      </c>
      <c r="L3" s="168" t="s">
        <v>820</v>
      </c>
      <c r="M3" s="168">
        <v>45.98</v>
      </c>
      <c r="N3" s="168">
        <v>1495350000</v>
      </c>
      <c r="O3" s="168">
        <v>1.7</v>
      </c>
      <c r="P3" s="168">
        <v>169</v>
      </c>
      <c r="Q3" s="168">
        <v>3.3</v>
      </c>
      <c r="R3"/>
    </row>
    <row r="4" spans="1:18" x14ac:dyDescent="0.25">
      <c r="A4" s="168">
        <v>43.28</v>
      </c>
      <c r="B4" s="168">
        <v>0.74</v>
      </c>
      <c r="C4" s="168">
        <v>35.22</v>
      </c>
      <c r="D4" s="8">
        <v>42876.083333333336</v>
      </c>
      <c r="E4" s="168">
        <v>0.7</v>
      </c>
      <c r="F4" s="168" t="s">
        <v>819</v>
      </c>
      <c r="G4" s="168">
        <v>350.07</v>
      </c>
      <c r="H4" s="168">
        <v>0</v>
      </c>
      <c r="I4" s="168">
        <v>0</v>
      </c>
      <c r="J4" s="168"/>
      <c r="K4" s="168">
        <v>1021.35</v>
      </c>
      <c r="L4" s="168" t="s">
        <v>820</v>
      </c>
      <c r="M4" s="168">
        <v>44.43</v>
      </c>
      <c r="N4" s="168">
        <v>1495353600</v>
      </c>
      <c r="O4" s="168">
        <v>1.65</v>
      </c>
      <c r="P4" s="168">
        <v>189</v>
      </c>
      <c r="Q4" s="168">
        <v>3.09</v>
      </c>
      <c r="R4"/>
    </row>
    <row r="5" spans="1:18" x14ac:dyDescent="0.25">
      <c r="A5" s="168">
        <v>40.82</v>
      </c>
      <c r="B5" s="168">
        <v>0.79</v>
      </c>
      <c r="C5" s="168">
        <v>34.119999999999997</v>
      </c>
      <c r="D5" s="8">
        <v>42876.125</v>
      </c>
      <c r="E5" s="168">
        <v>0.72</v>
      </c>
      <c r="F5" s="168" t="s">
        <v>821</v>
      </c>
      <c r="G5" s="168">
        <v>352.04</v>
      </c>
      <c r="H5" s="168">
        <v>0</v>
      </c>
      <c r="I5" s="168">
        <v>0</v>
      </c>
      <c r="J5" s="168"/>
      <c r="K5" s="168">
        <v>1021.75</v>
      </c>
      <c r="L5" s="168" t="s">
        <v>822</v>
      </c>
      <c r="M5" s="168">
        <v>42.58</v>
      </c>
      <c r="N5" s="168">
        <v>1495357200</v>
      </c>
      <c r="O5" s="168">
        <v>9.9</v>
      </c>
      <c r="P5" s="168">
        <v>181</v>
      </c>
      <c r="Q5" s="168">
        <v>3.44</v>
      </c>
      <c r="R5"/>
    </row>
    <row r="6" spans="1:18" x14ac:dyDescent="0.25">
      <c r="A6" s="168">
        <v>41.63</v>
      </c>
      <c r="B6" s="168">
        <v>0.73</v>
      </c>
      <c r="C6" s="168">
        <v>33.14</v>
      </c>
      <c r="D6" s="8">
        <v>42876.166666666664</v>
      </c>
      <c r="E6" s="168">
        <v>0.72</v>
      </c>
      <c r="F6" s="168" t="s">
        <v>819</v>
      </c>
      <c r="G6" s="168">
        <v>353.54</v>
      </c>
      <c r="H6" s="168">
        <v>0</v>
      </c>
      <c r="I6" s="168">
        <v>0</v>
      </c>
      <c r="J6" s="168"/>
      <c r="K6" s="168">
        <v>1021.86</v>
      </c>
      <c r="L6" s="168" t="s">
        <v>820</v>
      </c>
      <c r="M6" s="168">
        <v>41.63</v>
      </c>
      <c r="N6" s="168">
        <v>1495360800</v>
      </c>
      <c r="O6" s="168">
        <v>1.8</v>
      </c>
      <c r="P6" s="168">
        <v>181</v>
      </c>
      <c r="Q6" s="168">
        <v>2.67</v>
      </c>
      <c r="R6"/>
    </row>
    <row r="7" spans="1:18" x14ac:dyDescent="0.25">
      <c r="A7" s="168">
        <v>39.880000000000003</v>
      </c>
      <c r="B7" s="168">
        <v>0.54</v>
      </c>
      <c r="C7" s="168">
        <v>32.24</v>
      </c>
      <c r="D7" s="8">
        <v>42876.208333333336</v>
      </c>
      <c r="E7" s="168">
        <v>0.74</v>
      </c>
      <c r="F7" s="168" t="s">
        <v>821</v>
      </c>
      <c r="G7" s="168">
        <v>354.79</v>
      </c>
      <c r="H7" s="168">
        <v>0</v>
      </c>
      <c r="I7" s="168">
        <v>0</v>
      </c>
      <c r="J7" s="168"/>
      <c r="K7" s="168">
        <v>1021.78</v>
      </c>
      <c r="L7" s="168" t="s">
        <v>823</v>
      </c>
      <c r="M7" s="168">
        <v>39.880000000000003</v>
      </c>
      <c r="N7" s="168">
        <v>1495364400</v>
      </c>
      <c r="O7" s="168">
        <v>2.11</v>
      </c>
      <c r="P7" s="168">
        <v>189</v>
      </c>
      <c r="Q7" s="168">
        <v>2.6</v>
      </c>
      <c r="R7"/>
    </row>
    <row r="8" spans="1:18" x14ac:dyDescent="0.25">
      <c r="A8" s="168">
        <v>40.090000000000003</v>
      </c>
      <c r="B8" s="168">
        <v>0.34</v>
      </c>
      <c r="C8" s="168">
        <v>32.1</v>
      </c>
      <c r="D8" s="8">
        <v>42876.25</v>
      </c>
      <c r="E8" s="168">
        <v>0.73</v>
      </c>
      <c r="F8" s="168" t="s">
        <v>819</v>
      </c>
      <c r="G8" s="168">
        <v>355.7</v>
      </c>
      <c r="H8" s="168">
        <v>0</v>
      </c>
      <c r="I8" s="168">
        <v>0</v>
      </c>
      <c r="J8" s="168"/>
      <c r="K8" s="168">
        <v>1021.57</v>
      </c>
      <c r="L8" s="168" t="s">
        <v>820</v>
      </c>
      <c r="M8" s="168">
        <v>40.090000000000003</v>
      </c>
      <c r="N8" s="168">
        <v>1495368000</v>
      </c>
      <c r="O8" s="168">
        <v>1.65</v>
      </c>
      <c r="P8" s="168">
        <v>193</v>
      </c>
      <c r="Q8" s="168">
        <v>2.87</v>
      </c>
      <c r="R8"/>
    </row>
    <row r="9" spans="1:18" x14ac:dyDescent="0.25">
      <c r="A9" s="168">
        <v>44</v>
      </c>
      <c r="B9" s="168">
        <v>0.33</v>
      </c>
      <c r="C9" s="168">
        <v>33.51</v>
      </c>
      <c r="D9" s="8">
        <v>42876.291666666664</v>
      </c>
      <c r="E9" s="168">
        <v>0.66</v>
      </c>
      <c r="F9" s="168" t="s">
        <v>824</v>
      </c>
      <c r="G9" s="168">
        <v>356.22</v>
      </c>
      <c r="H9" s="168">
        <v>0</v>
      </c>
      <c r="I9" s="168">
        <v>0</v>
      </c>
      <c r="J9" s="168"/>
      <c r="K9" s="168">
        <v>1021.14</v>
      </c>
      <c r="L9" s="168" t="s">
        <v>823</v>
      </c>
      <c r="M9" s="168">
        <v>44</v>
      </c>
      <c r="N9" s="168">
        <v>1495371600</v>
      </c>
      <c r="O9" s="168">
        <v>9.92</v>
      </c>
      <c r="P9" s="168">
        <v>231</v>
      </c>
      <c r="Q9" s="168">
        <v>2.68</v>
      </c>
      <c r="R9"/>
    </row>
    <row r="10" spans="1:18" x14ac:dyDescent="0.25">
      <c r="A10" s="168">
        <v>50.7</v>
      </c>
      <c r="B10" s="168">
        <v>0.24</v>
      </c>
      <c r="C10" s="168">
        <v>34.590000000000003</v>
      </c>
      <c r="D10" s="8">
        <v>42876.333333333336</v>
      </c>
      <c r="E10" s="168">
        <v>0.54</v>
      </c>
      <c r="F10" s="168" t="s">
        <v>819</v>
      </c>
      <c r="G10" s="168">
        <v>356.4</v>
      </c>
      <c r="H10" s="168">
        <v>0</v>
      </c>
      <c r="I10" s="168">
        <v>0</v>
      </c>
      <c r="J10" s="168"/>
      <c r="K10" s="168">
        <v>1020.57</v>
      </c>
      <c r="L10" s="168" t="s">
        <v>820</v>
      </c>
      <c r="M10" s="168">
        <v>50.7</v>
      </c>
      <c r="N10" s="168">
        <v>1495375200</v>
      </c>
      <c r="O10" s="168">
        <v>1.45</v>
      </c>
      <c r="P10" s="168">
        <v>206</v>
      </c>
      <c r="Q10" s="168">
        <v>1.1100000000000001</v>
      </c>
      <c r="R10"/>
    </row>
    <row r="11" spans="1:18" x14ac:dyDescent="0.25">
      <c r="A11" s="168">
        <v>55.34</v>
      </c>
      <c r="B11" s="168">
        <v>0.23</v>
      </c>
      <c r="C11" s="168">
        <v>34.47</v>
      </c>
      <c r="D11" s="8">
        <v>42876.375</v>
      </c>
      <c r="E11" s="168">
        <v>0.45</v>
      </c>
      <c r="F11" s="168" t="s">
        <v>819</v>
      </c>
      <c r="G11" s="168">
        <v>356.33</v>
      </c>
      <c r="H11" s="168">
        <v>0</v>
      </c>
      <c r="I11" s="168">
        <v>0</v>
      </c>
      <c r="J11" s="168"/>
      <c r="K11" s="168">
        <v>1019.97</v>
      </c>
      <c r="L11" s="168" t="s">
        <v>820</v>
      </c>
      <c r="M11" s="168">
        <v>55.34</v>
      </c>
      <c r="N11" s="168">
        <v>1495378800</v>
      </c>
      <c r="O11" s="168">
        <v>1.42</v>
      </c>
      <c r="P11" s="168">
        <v>346</v>
      </c>
      <c r="Q11" s="168">
        <v>1.26</v>
      </c>
      <c r="R11"/>
    </row>
    <row r="12" spans="1:18" x14ac:dyDescent="0.25">
      <c r="A12" s="168">
        <v>59.5</v>
      </c>
      <c r="B12" s="168">
        <v>0.28000000000000003</v>
      </c>
      <c r="C12" s="168">
        <v>34.75</v>
      </c>
      <c r="D12" s="8">
        <v>42876.416666666664</v>
      </c>
      <c r="E12" s="168">
        <v>0.39</v>
      </c>
      <c r="F12" s="168" t="s">
        <v>819</v>
      </c>
      <c r="G12" s="168">
        <v>355.86</v>
      </c>
      <c r="H12" s="168">
        <v>0</v>
      </c>
      <c r="I12" s="168">
        <v>0</v>
      </c>
      <c r="J12" s="168"/>
      <c r="K12" s="168">
        <v>1019.44</v>
      </c>
      <c r="L12" s="168" t="s">
        <v>820</v>
      </c>
      <c r="M12" s="168">
        <v>59.5</v>
      </c>
      <c r="N12" s="168">
        <v>1495382400</v>
      </c>
      <c r="O12" s="168">
        <v>1.43</v>
      </c>
      <c r="P12" s="168">
        <v>61</v>
      </c>
      <c r="Q12" s="168">
        <v>1.5</v>
      </c>
      <c r="R12"/>
    </row>
    <row r="13" spans="1:18" x14ac:dyDescent="0.25">
      <c r="A13" s="168">
        <v>62.68</v>
      </c>
      <c r="B13" s="168">
        <v>0.28000000000000003</v>
      </c>
      <c r="C13" s="168">
        <v>34.119999999999997</v>
      </c>
      <c r="D13" s="8">
        <v>42876.458333333336</v>
      </c>
      <c r="E13" s="168">
        <v>0.34</v>
      </c>
      <c r="F13" s="168" t="s">
        <v>819</v>
      </c>
      <c r="G13" s="168">
        <v>355.15</v>
      </c>
      <c r="H13" s="168">
        <v>0</v>
      </c>
      <c r="I13" s="168">
        <v>0</v>
      </c>
      <c r="J13" s="168"/>
      <c r="K13" s="168">
        <v>1018.91</v>
      </c>
      <c r="L13" s="168" t="s">
        <v>820</v>
      </c>
      <c r="M13" s="168">
        <v>62.68</v>
      </c>
      <c r="N13" s="168">
        <v>1495386000</v>
      </c>
      <c r="O13" s="168">
        <v>1.43</v>
      </c>
      <c r="P13" s="168">
        <v>75</v>
      </c>
      <c r="Q13" s="168">
        <v>2.4300000000000002</v>
      </c>
      <c r="R13"/>
    </row>
    <row r="14" spans="1:18" x14ac:dyDescent="0.25">
      <c r="A14" s="168">
        <v>65.02</v>
      </c>
      <c r="B14" s="168">
        <v>0.36</v>
      </c>
      <c r="C14" s="168">
        <v>34.58</v>
      </c>
      <c r="D14" s="8">
        <v>42876.5</v>
      </c>
      <c r="E14" s="168">
        <v>0.32</v>
      </c>
      <c r="F14" s="168" t="s">
        <v>819</v>
      </c>
      <c r="G14" s="168">
        <v>354.74</v>
      </c>
      <c r="H14" s="168">
        <v>0</v>
      </c>
      <c r="I14" s="168">
        <v>0</v>
      </c>
      <c r="J14" s="168"/>
      <c r="K14" s="168">
        <v>1018.36</v>
      </c>
      <c r="L14" s="168" t="s">
        <v>820</v>
      </c>
      <c r="M14" s="168">
        <v>65.02</v>
      </c>
      <c r="N14" s="168">
        <v>1495389600</v>
      </c>
      <c r="O14" s="168">
        <v>1.46</v>
      </c>
      <c r="P14" s="168">
        <v>83</v>
      </c>
      <c r="Q14" s="168">
        <v>3.34</v>
      </c>
      <c r="R14"/>
    </row>
    <row r="15" spans="1:18" x14ac:dyDescent="0.25">
      <c r="A15" s="168">
        <v>66.36</v>
      </c>
      <c r="B15" s="168">
        <v>0.43</v>
      </c>
      <c r="C15" s="168">
        <v>34.18</v>
      </c>
      <c r="D15" s="8">
        <v>42876.541666666664</v>
      </c>
      <c r="E15" s="168">
        <v>0.3</v>
      </c>
      <c r="F15" s="168" t="s">
        <v>819</v>
      </c>
      <c r="G15" s="168">
        <v>355.18</v>
      </c>
      <c r="H15" s="168">
        <v>0</v>
      </c>
      <c r="I15" s="168">
        <v>0</v>
      </c>
      <c r="J15" s="168"/>
      <c r="K15" s="168">
        <v>1017.71</v>
      </c>
      <c r="L15" s="168" t="s">
        <v>820</v>
      </c>
      <c r="M15" s="168">
        <v>66.36</v>
      </c>
      <c r="N15" s="168">
        <v>1495393200</v>
      </c>
      <c r="O15" s="168">
        <v>1.45</v>
      </c>
      <c r="P15" s="168">
        <v>85</v>
      </c>
      <c r="Q15" s="168">
        <v>1.99</v>
      </c>
      <c r="R15"/>
    </row>
    <row r="16" spans="1:18" x14ac:dyDescent="0.25">
      <c r="A16" s="168">
        <v>67.48</v>
      </c>
      <c r="B16" s="168">
        <v>0.52</v>
      </c>
      <c r="C16" s="168">
        <v>34.35</v>
      </c>
      <c r="D16" s="8">
        <v>42876.583333333336</v>
      </c>
      <c r="E16" s="168">
        <v>0.28999999999999998</v>
      </c>
      <c r="F16" s="168" t="s">
        <v>819</v>
      </c>
      <c r="G16" s="168">
        <v>355.92</v>
      </c>
      <c r="H16" s="168">
        <v>0</v>
      </c>
      <c r="I16" s="168">
        <v>0</v>
      </c>
      <c r="J16" s="168"/>
      <c r="K16" s="168">
        <v>1016.92</v>
      </c>
      <c r="L16" s="168" t="s">
        <v>820</v>
      </c>
      <c r="M16" s="168">
        <v>67.48</v>
      </c>
      <c r="N16" s="168">
        <v>1495396800</v>
      </c>
      <c r="O16" s="168">
        <v>1.45</v>
      </c>
      <c r="P16" s="168">
        <v>74</v>
      </c>
      <c r="Q16" s="168">
        <v>2.27</v>
      </c>
      <c r="R16"/>
    </row>
    <row r="17" spans="1:18" x14ac:dyDescent="0.25">
      <c r="A17" s="168">
        <v>66.42</v>
      </c>
      <c r="B17" s="168">
        <v>0.44</v>
      </c>
      <c r="C17" s="168">
        <v>36.090000000000003</v>
      </c>
      <c r="D17" s="8">
        <v>42876.625</v>
      </c>
      <c r="E17" s="168">
        <v>0.33</v>
      </c>
      <c r="F17" s="168" t="s">
        <v>824</v>
      </c>
      <c r="G17" s="168">
        <v>355.93</v>
      </c>
      <c r="H17" s="168">
        <v>0</v>
      </c>
      <c r="I17" s="168">
        <v>0</v>
      </c>
      <c r="J17" s="168"/>
      <c r="K17" s="168">
        <v>1016.45</v>
      </c>
      <c r="L17" s="168" t="s">
        <v>823</v>
      </c>
      <c r="M17" s="168">
        <v>66.42</v>
      </c>
      <c r="N17" s="168">
        <v>1495400400</v>
      </c>
      <c r="O17" s="168">
        <v>4.8099999999999996</v>
      </c>
      <c r="P17" s="168">
        <v>71</v>
      </c>
      <c r="Q17" s="168">
        <v>2.21</v>
      </c>
      <c r="R17"/>
    </row>
    <row r="18" spans="1:18" x14ac:dyDescent="0.25">
      <c r="A18" s="168">
        <v>66.08</v>
      </c>
      <c r="B18" s="168">
        <v>0.54</v>
      </c>
      <c r="C18" s="168">
        <v>35.44</v>
      </c>
      <c r="D18" s="8">
        <v>42876.666666666664</v>
      </c>
      <c r="E18" s="168">
        <v>0.32</v>
      </c>
      <c r="F18" s="168" t="s">
        <v>824</v>
      </c>
      <c r="G18" s="168">
        <v>354.45</v>
      </c>
      <c r="H18" s="168">
        <v>8.0000000000000004E-4</v>
      </c>
      <c r="I18" s="168">
        <v>0.01</v>
      </c>
      <c r="J18" s="168" t="s">
        <v>381</v>
      </c>
      <c r="K18" s="168">
        <v>1016.69</v>
      </c>
      <c r="L18" s="168" t="s">
        <v>823</v>
      </c>
      <c r="M18" s="168">
        <v>66.08</v>
      </c>
      <c r="N18" s="168">
        <v>1495404000</v>
      </c>
      <c r="O18" s="168">
        <v>3.39</v>
      </c>
      <c r="P18" s="168">
        <v>40</v>
      </c>
      <c r="Q18" s="168">
        <v>1.64</v>
      </c>
      <c r="R18"/>
    </row>
    <row r="19" spans="1:18" x14ac:dyDescent="0.25">
      <c r="A19" s="168">
        <v>62.75</v>
      </c>
      <c r="B19" s="168">
        <v>0.67</v>
      </c>
      <c r="C19" s="168">
        <v>39.18</v>
      </c>
      <c r="D19" s="8">
        <v>42876.708333333336</v>
      </c>
      <c r="E19" s="168">
        <v>0.42</v>
      </c>
      <c r="F19" s="168" t="s">
        <v>824</v>
      </c>
      <c r="G19" s="168">
        <v>352.24</v>
      </c>
      <c r="H19" s="168">
        <v>1.1000000000000001E-3</v>
      </c>
      <c r="I19" s="168">
        <v>0.02</v>
      </c>
      <c r="J19" s="168" t="s">
        <v>381</v>
      </c>
      <c r="K19" s="168">
        <v>1017.26</v>
      </c>
      <c r="L19" s="168" t="s">
        <v>822</v>
      </c>
      <c r="M19" s="168">
        <v>62.75</v>
      </c>
      <c r="N19" s="168">
        <v>1495407600</v>
      </c>
      <c r="O19" s="168">
        <v>3.41</v>
      </c>
      <c r="P19" s="168">
        <v>7</v>
      </c>
      <c r="Q19" s="168">
        <v>4.63</v>
      </c>
      <c r="R19"/>
    </row>
    <row r="20" spans="1:18" x14ac:dyDescent="0.25">
      <c r="A20" s="168">
        <v>59.44</v>
      </c>
      <c r="B20" s="168">
        <v>0.77</v>
      </c>
      <c r="C20" s="168">
        <v>40.92</v>
      </c>
      <c r="D20" s="8">
        <v>42876.75</v>
      </c>
      <c r="E20" s="168">
        <v>0.5</v>
      </c>
      <c r="F20" s="168" t="s">
        <v>824</v>
      </c>
      <c r="G20" s="168">
        <v>350.58</v>
      </c>
      <c r="H20" s="168">
        <v>2.3999999999999998E-3</v>
      </c>
      <c r="I20" s="168">
        <v>7.0000000000000007E-2</v>
      </c>
      <c r="J20" s="168" t="s">
        <v>381</v>
      </c>
      <c r="K20" s="168">
        <v>1017.95</v>
      </c>
      <c r="L20" s="168" t="s">
        <v>822</v>
      </c>
      <c r="M20" s="168">
        <v>59.44</v>
      </c>
      <c r="N20" s="168">
        <v>1495411200</v>
      </c>
      <c r="O20" s="168">
        <v>10</v>
      </c>
      <c r="P20" s="168">
        <v>3</v>
      </c>
      <c r="Q20" s="168">
        <v>7.31</v>
      </c>
      <c r="R20"/>
    </row>
    <row r="21" spans="1:18" x14ac:dyDescent="0.25">
      <c r="A21" s="168">
        <v>57.89</v>
      </c>
      <c r="B21" s="168">
        <v>0.73</v>
      </c>
      <c r="C21" s="168">
        <v>40.950000000000003</v>
      </c>
      <c r="D21" s="8">
        <v>42876.791666666664</v>
      </c>
      <c r="E21" s="168">
        <v>0.53</v>
      </c>
      <c r="F21" s="168" t="s">
        <v>381</v>
      </c>
      <c r="G21" s="168">
        <v>349.99</v>
      </c>
      <c r="H21" s="168">
        <v>9.4000000000000004E-3</v>
      </c>
      <c r="I21" s="168">
        <v>0.5</v>
      </c>
      <c r="J21" s="168" t="s">
        <v>381</v>
      </c>
      <c r="K21" s="168">
        <v>1018.98</v>
      </c>
      <c r="L21" s="168" t="s">
        <v>464</v>
      </c>
      <c r="M21" s="168">
        <v>57.89</v>
      </c>
      <c r="N21" s="168">
        <v>1495414800</v>
      </c>
      <c r="O21" s="168">
        <v>3.81</v>
      </c>
      <c r="P21" s="168">
        <v>26</v>
      </c>
      <c r="Q21" s="168">
        <v>5.24</v>
      </c>
      <c r="R21"/>
    </row>
    <row r="22" spans="1:18" x14ac:dyDescent="0.25">
      <c r="A22" s="168">
        <v>54.69</v>
      </c>
      <c r="B22" s="168">
        <v>0.7</v>
      </c>
      <c r="C22" s="168">
        <v>43.29</v>
      </c>
      <c r="D22" s="8">
        <v>42876.833333333336</v>
      </c>
      <c r="E22" s="168">
        <v>0.65</v>
      </c>
      <c r="F22" s="168" t="s">
        <v>381</v>
      </c>
      <c r="G22" s="168">
        <v>349.93</v>
      </c>
      <c r="H22" s="168">
        <v>8.0999999999999996E-3</v>
      </c>
      <c r="I22" s="168">
        <v>0.42</v>
      </c>
      <c r="J22" s="168" t="s">
        <v>381</v>
      </c>
      <c r="K22" s="168">
        <v>1020.22</v>
      </c>
      <c r="L22" s="168" t="s">
        <v>825</v>
      </c>
      <c r="M22" s="168">
        <v>54.69</v>
      </c>
      <c r="N22" s="168">
        <v>1495418400</v>
      </c>
      <c r="O22" s="168">
        <v>4.43</v>
      </c>
      <c r="P22" s="168">
        <v>10</v>
      </c>
      <c r="Q22" s="168">
        <v>4.9800000000000004</v>
      </c>
      <c r="R22"/>
    </row>
    <row r="23" spans="1:18" x14ac:dyDescent="0.25">
      <c r="A23" s="168">
        <v>50.85</v>
      </c>
      <c r="B23" s="168">
        <v>0.66</v>
      </c>
      <c r="C23" s="168">
        <v>45.28</v>
      </c>
      <c r="D23" s="8">
        <v>42876.875</v>
      </c>
      <c r="E23" s="168">
        <v>0.81</v>
      </c>
      <c r="F23" s="168" t="s">
        <v>381</v>
      </c>
      <c r="G23" s="168">
        <v>350.17</v>
      </c>
      <c r="H23" s="168">
        <v>8.8999999999999999E-3</v>
      </c>
      <c r="I23" s="168">
        <v>0.47</v>
      </c>
      <c r="J23" s="168" t="s">
        <v>381</v>
      </c>
      <c r="K23" s="168">
        <v>1021.23</v>
      </c>
      <c r="L23" s="168" t="s">
        <v>825</v>
      </c>
      <c r="M23" s="168">
        <v>50.85</v>
      </c>
      <c r="N23" s="168">
        <v>1495422000</v>
      </c>
      <c r="O23" s="168">
        <v>4.99</v>
      </c>
      <c r="P23" s="168">
        <v>27</v>
      </c>
      <c r="Q23" s="168">
        <v>2.8</v>
      </c>
      <c r="R23"/>
    </row>
    <row r="24" spans="1:18" x14ac:dyDescent="0.25">
      <c r="A24" s="168">
        <v>49.69</v>
      </c>
      <c r="B24" s="168">
        <v>0.82</v>
      </c>
      <c r="C24" s="168">
        <v>45.02</v>
      </c>
      <c r="D24" s="8">
        <v>42876.916666666664</v>
      </c>
      <c r="E24" s="168">
        <v>0.84</v>
      </c>
      <c r="F24" s="168" t="s">
        <v>381</v>
      </c>
      <c r="G24" s="168">
        <v>350.69</v>
      </c>
      <c r="H24" s="168">
        <v>1.0699999999999999E-2</v>
      </c>
      <c r="I24" s="168">
        <v>0.52</v>
      </c>
      <c r="J24" s="168" t="s">
        <v>381</v>
      </c>
      <c r="K24" s="168">
        <v>1021.85</v>
      </c>
      <c r="L24" s="168" t="s">
        <v>464</v>
      </c>
      <c r="M24" s="168">
        <v>49.69</v>
      </c>
      <c r="N24" s="168">
        <v>1495425600</v>
      </c>
      <c r="O24" s="168">
        <v>2.67</v>
      </c>
      <c r="P24" s="168">
        <v>35</v>
      </c>
      <c r="Q24" s="168">
        <v>2.59</v>
      </c>
      <c r="R24"/>
    </row>
    <row r="25" spans="1:18" x14ac:dyDescent="0.25">
      <c r="A25" s="168">
        <v>48.34</v>
      </c>
      <c r="B25" s="168">
        <v>0.9</v>
      </c>
      <c r="C25" s="168">
        <v>45.66</v>
      </c>
      <c r="D25" s="8">
        <v>42876.958333333336</v>
      </c>
      <c r="E25" s="168">
        <v>0.89</v>
      </c>
      <c r="F25" s="168" t="s">
        <v>381</v>
      </c>
      <c r="G25" s="168">
        <v>351.49</v>
      </c>
      <c r="H25" s="168">
        <v>1.34E-2</v>
      </c>
      <c r="I25" s="168">
        <v>0.55000000000000004</v>
      </c>
      <c r="J25" s="168" t="s">
        <v>381</v>
      </c>
      <c r="K25" s="168">
        <v>1022.25</v>
      </c>
      <c r="L25" s="168" t="s">
        <v>464</v>
      </c>
      <c r="M25" s="168">
        <v>48.9</v>
      </c>
      <c r="N25" s="168">
        <v>1495429200</v>
      </c>
      <c r="O25" s="168">
        <v>9.57</v>
      </c>
      <c r="P25" s="168">
        <v>292</v>
      </c>
      <c r="Q25" s="168">
        <v>3.1</v>
      </c>
      <c r="R25"/>
    </row>
    <row r="26" spans="1:18" x14ac:dyDescent="0.25">
      <c r="A26" s="168">
        <v>46.66</v>
      </c>
      <c r="B26" s="168">
        <v>0.93</v>
      </c>
      <c r="C26" s="168">
        <v>44.44</v>
      </c>
      <c r="D26" s="8">
        <v>42877</v>
      </c>
      <c r="E26" s="168">
        <v>0.92</v>
      </c>
      <c r="F26" s="168" t="s">
        <v>381</v>
      </c>
      <c r="G26" s="168">
        <v>352.37</v>
      </c>
      <c r="H26" s="168">
        <v>1.04E-2</v>
      </c>
      <c r="I26" s="168">
        <v>0.51</v>
      </c>
      <c r="J26" s="168" t="s">
        <v>381</v>
      </c>
      <c r="K26" s="168">
        <v>1022.44</v>
      </c>
      <c r="L26" s="168" t="s">
        <v>464</v>
      </c>
      <c r="M26" s="168">
        <v>46.66</v>
      </c>
      <c r="N26" s="168">
        <v>1495432800</v>
      </c>
      <c r="O26" s="168">
        <v>9.4499999999999993</v>
      </c>
      <c r="P26" s="168">
        <v>260</v>
      </c>
      <c r="Q26" s="168">
        <v>0.98</v>
      </c>
      <c r="R26"/>
    </row>
    <row r="27" spans="1:18" x14ac:dyDescent="0.25">
      <c r="A27" s="168">
        <v>46.51</v>
      </c>
      <c r="B27" s="168">
        <v>0.89</v>
      </c>
      <c r="C27" s="168">
        <v>44.35</v>
      </c>
      <c r="D27" s="8">
        <v>42877.041666666664</v>
      </c>
      <c r="E27" s="168">
        <v>0.92</v>
      </c>
      <c r="F27" s="168" t="s">
        <v>381</v>
      </c>
      <c r="G27" s="168">
        <v>353.36</v>
      </c>
      <c r="H27" s="168">
        <v>7.1999999999999998E-3</v>
      </c>
      <c r="I27" s="168">
        <v>0.35</v>
      </c>
      <c r="J27" s="168" t="s">
        <v>381</v>
      </c>
      <c r="K27" s="168">
        <v>1022.17</v>
      </c>
      <c r="L27" s="168" t="s">
        <v>825</v>
      </c>
      <c r="M27" s="168">
        <v>46.51</v>
      </c>
      <c r="N27" s="168">
        <v>1495436400</v>
      </c>
      <c r="O27" s="168">
        <v>1.83</v>
      </c>
      <c r="P27" s="168">
        <v>210</v>
      </c>
      <c r="Q27" s="168">
        <v>2.75</v>
      </c>
      <c r="R27"/>
    </row>
    <row r="28" spans="1:18" x14ac:dyDescent="0.25">
      <c r="A28" s="168">
        <v>45.32</v>
      </c>
      <c r="B28" s="168">
        <v>0.87</v>
      </c>
      <c r="C28" s="168">
        <v>42.98</v>
      </c>
      <c r="D28" s="8">
        <v>42877.083333333336</v>
      </c>
      <c r="E28" s="168">
        <v>0.91</v>
      </c>
      <c r="F28" s="168" t="s">
        <v>381</v>
      </c>
      <c r="G28" s="168">
        <v>354.34</v>
      </c>
      <c r="H28" s="168">
        <v>5.4999999999999997E-3</v>
      </c>
      <c r="I28" s="168">
        <v>0.24</v>
      </c>
      <c r="J28" s="168" t="s">
        <v>381</v>
      </c>
      <c r="K28" s="168">
        <v>1021.93</v>
      </c>
      <c r="L28" s="168" t="s">
        <v>825</v>
      </c>
      <c r="M28" s="168">
        <v>45.32</v>
      </c>
      <c r="N28" s="168">
        <v>1495440000</v>
      </c>
      <c r="O28" s="168">
        <v>1.68</v>
      </c>
      <c r="P28" s="168">
        <v>166</v>
      </c>
      <c r="Q28" s="168">
        <v>2.54</v>
      </c>
      <c r="R28"/>
    </row>
    <row r="29" spans="1:18" x14ac:dyDescent="0.25">
      <c r="A29" s="168">
        <v>45.24</v>
      </c>
      <c r="B29" s="168">
        <v>0.75</v>
      </c>
      <c r="C29" s="168">
        <v>43.05</v>
      </c>
      <c r="D29" s="8">
        <v>42877.125</v>
      </c>
      <c r="E29" s="168">
        <v>0.92</v>
      </c>
      <c r="F29" s="168" t="s">
        <v>819</v>
      </c>
      <c r="G29" s="168">
        <v>355.32</v>
      </c>
      <c r="H29" s="168">
        <v>4.7999999999999996E-3</v>
      </c>
      <c r="I29" s="168">
        <v>0.2</v>
      </c>
      <c r="J29" s="168" t="s">
        <v>381</v>
      </c>
      <c r="K29" s="168">
        <v>1021.69</v>
      </c>
      <c r="L29" s="168" t="s">
        <v>820</v>
      </c>
      <c r="M29" s="168">
        <v>45.24</v>
      </c>
      <c r="N29" s="168">
        <v>1495443600</v>
      </c>
      <c r="O29" s="168">
        <v>1.59</v>
      </c>
      <c r="P29" s="168">
        <v>170</v>
      </c>
      <c r="Q29" s="168">
        <v>1.78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5"/>
  <sheetViews>
    <sheetView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42876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987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988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989</v>
      </c>
      <c r="J20" s="143" t="s">
        <v>87</v>
      </c>
      <c r="M20" s="157" t="s">
        <v>370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990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991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992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993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994</v>
      </c>
      <c r="J25" s="143" t="s">
        <v>150</v>
      </c>
      <c r="M25" s="157" t="b">
        <v>1</v>
      </c>
    </row>
    <row r="26" spans="3:24" x14ac:dyDescent="0.25">
      <c r="C26" t="s">
        <v>995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C:\Users\stu\Documents\GitHub\eaglep3-reporting\EC\2017-05-21-refined-times.txt</v>
      </c>
    </row>
    <row r="27" spans="3:24" x14ac:dyDescent="0.25">
      <c r="C27" t="s">
        <v>996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C:\Users\stu\Documents\GitHub\eaglep3-reporting\EC\2017-05-21-Enforcements.txt</v>
      </c>
    </row>
    <row r="28" spans="3:24" x14ac:dyDescent="0.25">
      <c r="C28" t="s">
        <v>997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C:\Users\stu\Documents\GitHub\eaglep3-reporting\EC\2017-05-21-Runs-refined.txt</v>
      </c>
    </row>
    <row r="29" spans="3:24" x14ac:dyDescent="0.25">
      <c r="C29" t="s">
        <v>998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C:\Users\stu\Documents\GitHub\eaglep3-reporting\EC\2017-05-21-Trips.txt</v>
      </c>
    </row>
    <row r="30" spans="3:24" x14ac:dyDescent="0.25">
      <c r="C30" t="s">
        <v>999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C:\Users\stu\Documents\GitHub\eaglep3-reporting\EC\2017-05-21-Weather.txt</v>
      </c>
    </row>
    <row r="31" spans="3:24" x14ac:dyDescent="0.25">
      <c r="C31" t="s">
        <v>1000</v>
      </c>
      <c r="J31" s="143" t="s">
        <v>200</v>
      </c>
      <c r="M31" s="157" t="s">
        <v>201</v>
      </c>
    </row>
    <row r="32" spans="3:24" x14ac:dyDescent="0.25">
      <c r="C32" t="s">
        <v>1001</v>
      </c>
    </row>
    <row r="33" spans="3:3" x14ac:dyDescent="0.25">
      <c r="C33" t="s">
        <v>1002</v>
      </c>
    </row>
    <row r="34" spans="3:3" x14ac:dyDescent="0.25">
      <c r="C34" t="s">
        <v>1003</v>
      </c>
    </row>
    <row r="35" spans="3:3" x14ac:dyDescent="0.25">
      <c r="C35" t="s">
        <v>1004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2017-05-23T15:59:07Z</dcterms:modified>
</cp:coreProperties>
</file>