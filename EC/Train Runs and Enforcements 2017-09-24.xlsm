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Enforcements!$A$6:$AC$45</definedName>
    <definedName name="_xlnm._FilterDatabase" localSheetId="2" hidden="1">'Missing Trips'!$A$2:$J$26</definedName>
    <definedName name="_xlnm._FilterDatabase" localSheetId="0" hidden="1">'Train Runs'!$A$12:$AG$314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Runs'!$A$12:$J$77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14" i="1" l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13" i="1"/>
  <c r="X197" i="1" l="1"/>
  <c r="K195" i="1"/>
  <c r="L195" i="1"/>
  <c r="M195" i="1"/>
  <c r="N195" i="1" s="1"/>
  <c r="V195" i="1"/>
  <c r="AA195" i="1"/>
  <c r="AB195" i="1"/>
  <c r="AC195" i="1"/>
  <c r="AD195" i="1"/>
  <c r="T195" i="1" s="1"/>
  <c r="AE195" i="1"/>
  <c r="AF195" i="1"/>
  <c r="AH195" i="1"/>
  <c r="AM195" i="1"/>
  <c r="AN195" i="1"/>
  <c r="K196" i="1"/>
  <c r="L196" i="1"/>
  <c r="M196" i="1"/>
  <c r="N196" i="1" s="1"/>
  <c r="V196" i="1"/>
  <c r="X196" i="1"/>
  <c r="Y196" i="1"/>
  <c r="Z196" i="1"/>
  <c r="AA196" i="1"/>
  <c r="AB196" i="1"/>
  <c r="AC196" i="1"/>
  <c r="AD196" i="1"/>
  <c r="T196" i="1" s="1"/>
  <c r="AE196" i="1"/>
  <c r="AF196" i="1"/>
  <c r="AH196" i="1"/>
  <c r="AM196" i="1"/>
  <c r="AN196" i="1"/>
  <c r="AG196" i="1"/>
  <c r="AG195" i="1"/>
  <c r="W195" i="1" l="1"/>
  <c r="AI195" i="1"/>
  <c r="U195" i="1"/>
  <c r="S195" i="1" s="1"/>
  <c r="W196" i="1"/>
  <c r="AI196" i="1"/>
  <c r="U196" i="1"/>
  <c r="S196" i="1" s="1"/>
  <c r="B3" i="6"/>
  <c r="P192" i="1"/>
  <c r="K192" i="1"/>
  <c r="L192" i="1"/>
  <c r="M192" i="1"/>
  <c r="V192" i="1"/>
  <c r="AA192" i="1"/>
  <c r="AB192" i="1"/>
  <c r="AC192" i="1"/>
  <c r="AD192" i="1"/>
  <c r="T192" i="1" s="1"/>
  <c r="AE192" i="1"/>
  <c r="AF192" i="1"/>
  <c r="AH192" i="1"/>
  <c r="AM192" i="1"/>
  <c r="AN192" i="1"/>
  <c r="K191" i="1"/>
  <c r="L191" i="1"/>
  <c r="M191" i="1"/>
  <c r="N191" i="1"/>
  <c r="T191" i="1"/>
  <c r="V191" i="1"/>
  <c r="AA191" i="1"/>
  <c r="AB191" i="1"/>
  <c r="AC191" i="1"/>
  <c r="AD191" i="1"/>
  <c r="AE191" i="1"/>
  <c r="AF191" i="1"/>
  <c r="AH191" i="1"/>
  <c r="AM191" i="1"/>
  <c r="AN191" i="1"/>
  <c r="K185" i="1"/>
  <c r="L185" i="1"/>
  <c r="M185" i="1"/>
  <c r="N185" i="1"/>
  <c r="V185" i="1"/>
  <c r="AA185" i="1"/>
  <c r="AB185" i="1"/>
  <c r="AC185" i="1"/>
  <c r="AD185" i="1"/>
  <c r="T185" i="1" s="1"/>
  <c r="AE185" i="1"/>
  <c r="AF185" i="1"/>
  <c r="AH185" i="1"/>
  <c r="AM185" i="1"/>
  <c r="AN185" i="1"/>
  <c r="K99" i="1"/>
  <c r="L99" i="1"/>
  <c r="M99" i="1"/>
  <c r="N99" i="1"/>
  <c r="V99" i="1"/>
  <c r="AA99" i="1"/>
  <c r="AB99" i="1"/>
  <c r="AC99" i="1"/>
  <c r="AD99" i="1"/>
  <c r="T99" i="1" s="1"/>
  <c r="AE99" i="1"/>
  <c r="AF99" i="1"/>
  <c r="AH99" i="1"/>
  <c r="AM99" i="1"/>
  <c r="AN99" i="1"/>
  <c r="AG192" i="1"/>
  <c r="AG191" i="1"/>
  <c r="AG185" i="1"/>
  <c r="AG99" i="1"/>
  <c r="U192" i="1" l="1"/>
  <c r="S192" i="1" s="1"/>
  <c r="AI192" i="1"/>
  <c r="W192" i="1"/>
  <c r="X192" i="1"/>
  <c r="AI191" i="1"/>
  <c r="U191" i="1"/>
  <c r="S191" i="1" s="1"/>
  <c r="W191" i="1"/>
  <c r="AI185" i="1"/>
  <c r="U185" i="1"/>
  <c r="S185" i="1" s="1"/>
  <c r="W185" i="1"/>
  <c r="AI99" i="1"/>
  <c r="U99" i="1"/>
  <c r="S99" i="1" s="1"/>
  <c r="W99" i="1"/>
  <c r="P73" i="1"/>
  <c r="K14" i="1"/>
  <c r="L14" i="1"/>
  <c r="M14" i="1"/>
  <c r="N14" i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V16" i="1"/>
  <c r="S9" i="3" s="1"/>
  <c r="Y16" i="1"/>
  <c r="Z16" i="1"/>
  <c r="AB16" i="1"/>
  <c r="AC16" i="1"/>
  <c r="AD16" i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E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E22" i="1"/>
  <c r="AF22" i="1"/>
  <c r="AH22" i="1"/>
  <c r="AM22" i="1"/>
  <c r="AN22" i="1"/>
  <c r="K23" i="1"/>
  <c r="L23" i="1"/>
  <c r="M23" i="1"/>
  <c r="N23" i="1" s="1"/>
  <c r="V23" i="1"/>
  <c r="S20" i="3" s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K33" i="1"/>
  <c r="L33" i="1"/>
  <c r="M33" i="1"/>
  <c r="N33" i="1" s="1"/>
  <c r="V33" i="1"/>
  <c r="Y33" i="1"/>
  <c r="Z33" i="1"/>
  <c r="AA33" i="1" s="1"/>
  <c r="AB33" i="1"/>
  <c r="AC33" i="1"/>
  <c r="AD33" i="1"/>
  <c r="AE33" i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E34" i="1"/>
  <c r="AF34" i="1"/>
  <c r="AH34" i="1"/>
  <c r="AM34" i="1"/>
  <c r="AN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K37" i="1"/>
  <c r="L37" i="1"/>
  <c r="M37" i="1"/>
  <c r="N37" i="1"/>
  <c r="V37" i="1"/>
  <c r="Y37" i="1"/>
  <c r="AA37" i="1" s="1"/>
  <c r="Z37" i="1"/>
  <c r="AB37" i="1"/>
  <c r="AC37" i="1"/>
  <c r="AD37" i="1"/>
  <c r="AE37" i="1"/>
  <c r="AF37" i="1"/>
  <c r="AH37" i="1"/>
  <c r="AM37" i="1"/>
  <c r="AN37" i="1"/>
  <c r="K38" i="1"/>
  <c r="L38" i="1"/>
  <c r="M38" i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K41" i="1"/>
  <c r="L41" i="1"/>
  <c r="M41" i="1"/>
  <c r="N41" i="1" s="1"/>
  <c r="V41" i="1"/>
  <c r="Y41" i="1"/>
  <c r="Z41" i="1"/>
  <c r="AA41" i="1" s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K45" i="1"/>
  <c r="L45" i="1"/>
  <c r="M45" i="1"/>
  <c r="N45" i="1"/>
  <c r="V45" i="1"/>
  <c r="Y45" i="1"/>
  <c r="Z45" i="1"/>
  <c r="AB45" i="1"/>
  <c r="AC45" i="1"/>
  <c r="AD45" i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K47" i="1"/>
  <c r="L47" i="1"/>
  <c r="M47" i="1"/>
  <c r="N47" i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K49" i="1"/>
  <c r="L49" i="1"/>
  <c r="M49" i="1"/>
  <c r="N49" i="1" s="1"/>
  <c r="V49" i="1"/>
  <c r="Y49" i="1"/>
  <c r="Z49" i="1"/>
  <c r="AA49" i="1" s="1"/>
  <c r="AB49" i="1"/>
  <c r="AC49" i="1"/>
  <c r="AD49" i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K52" i="1"/>
  <c r="L52" i="1"/>
  <c r="M52" i="1"/>
  <c r="N52" i="1" s="1"/>
  <c r="V52" i="1"/>
  <c r="S22" i="3" s="1"/>
  <c r="Y52" i="1"/>
  <c r="Z52" i="1"/>
  <c r="AB52" i="1"/>
  <c r="AC52" i="1"/>
  <c r="AD52" i="1"/>
  <c r="AE52" i="1"/>
  <c r="AF52" i="1"/>
  <c r="AH52" i="1"/>
  <c r="AM52" i="1"/>
  <c r="AN52" i="1"/>
  <c r="K53" i="1"/>
  <c r="L53" i="1"/>
  <c r="M53" i="1"/>
  <c r="N53" i="1"/>
  <c r="V53" i="1"/>
  <c r="S13" i="3" s="1"/>
  <c r="Y53" i="1"/>
  <c r="AA53" i="1" s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Z54" i="1"/>
  <c r="AB54" i="1"/>
  <c r="AC54" i="1"/>
  <c r="AD54" i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S16" i="3" s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A63" i="1" s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 s="1"/>
  <c r="V67" i="1"/>
  <c r="Y67" i="1"/>
  <c r="Z67" i="1"/>
  <c r="AA67" i="1" s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AM69" i="1"/>
  <c r="AN69" i="1"/>
  <c r="K70" i="1"/>
  <c r="L70" i="1"/>
  <c r="M70" i="1"/>
  <c r="N70" i="1" s="1"/>
  <c r="V70" i="1"/>
  <c r="S7" i="3" s="1"/>
  <c r="Y70" i="1"/>
  <c r="Z70" i="1"/>
  <c r="AB70" i="1"/>
  <c r="AC70" i="1"/>
  <c r="AD70" i="1"/>
  <c r="T70" i="1" s="1"/>
  <c r="AE70" i="1"/>
  <c r="AF70" i="1"/>
  <c r="AH70" i="1"/>
  <c r="AM70" i="1"/>
  <c r="AN70" i="1"/>
  <c r="K71" i="1"/>
  <c r="L71" i="1"/>
  <c r="M71" i="1"/>
  <c r="N71" i="1" s="1"/>
  <c r="V71" i="1"/>
  <c r="Y71" i="1"/>
  <c r="Z71" i="1"/>
  <c r="AA71" i="1" s="1"/>
  <c r="AB71" i="1"/>
  <c r="AC71" i="1"/>
  <c r="AD71" i="1"/>
  <c r="AE71" i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K73" i="1"/>
  <c r="L73" i="1"/>
  <c r="M73" i="1"/>
  <c r="V73" i="1"/>
  <c r="Y73" i="1"/>
  <c r="Z73" i="1"/>
  <c r="AA73" i="1" s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/>
  <c r="V82" i="1"/>
  <c r="Y82" i="1"/>
  <c r="AA82" i="1" s="1"/>
  <c r="Z82" i="1"/>
  <c r="AB82" i="1"/>
  <c r="AC82" i="1"/>
  <c r="AD82" i="1"/>
  <c r="AE82" i="1"/>
  <c r="AF82" i="1"/>
  <c r="AH82" i="1"/>
  <c r="AM82" i="1"/>
  <c r="AN82" i="1"/>
  <c r="K83" i="1"/>
  <c r="L83" i="1"/>
  <c r="M83" i="1"/>
  <c r="N83" i="1" s="1"/>
  <c r="V83" i="1"/>
  <c r="S17" i="3" s="1"/>
  <c r="Y83" i="1"/>
  <c r="Z83" i="1"/>
  <c r="AA83" i="1" s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V88" i="1"/>
  <c r="Y88" i="1"/>
  <c r="AA88" i="1" s="1"/>
  <c r="Z88" i="1"/>
  <c r="AB88" i="1"/>
  <c r="AC88" i="1"/>
  <c r="AD88" i="1"/>
  <c r="AE88" i="1"/>
  <c r="AF88" i="1"/>
  <c r="AH88" i="1"/>
  <c r="AM88" i="1"/>
  <c r="AN88" i="1"/>
  <c r="K89" i="1"/>
  <c r="L89" i="1"/>
  <c r="M89" i="1"/>
  <c r="N89" i="1" s="1"/>
  <c r="V89" i="1"/>
  <c r="Y89" i="1"/>
  <c r="Z89" i="1"/>
  <c r="AA89" i="1" s="1"/>
  <c r="AB89" i="1"/>
  <c r="AC89" i="1"/>
  <c r="AD89" i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 s="1"/>
  <c r="V91" i="1"/>
  <c r="Y91" i="1"/>
  <c r="Z91" i="1"/>
  <c r="AA91" i="1" s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A93" i="1" s="1"/>
  <c r="AB93" i="1"/>
  <c r="AC93" i="1"/>
  <c r="AD93" i="1"/>
  <c r="AE93" i="1"/>
  <c r="AF93" i="1"/>
  <c r="AH93" i="1"/>
  <c r="AM93" i="1"/>
  <c r="AN93" i="1"/>
  <c r="K159" i="1"/>
  <c r="L159" i="1"/>
  <c r="M159" i="1"/>
  <c r="N159" i="1" s="1"/>
  <c r="V159" i="1"/>
  <c r="S32" i="3" s="1"/>
  <c r="Y159" i="1"/>
  <c r="Z159" i="1"/>
  <c r="AB159" i="1"/>
  <c r="AC159" i="1"/>
  <c r="AD159" i="1"/>
  <c r="AE159" i="1"/>
  <c r="R32" i="3" s="1"/>
  <c r="AF159" i="1"/>
  <c r="AH94" i="1"/>
  <c r="AM94" i="1"/>
  <c r="AN94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95" i="1"/>
  <c r="AM95" i="1"/>
  <c r="AN95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96" i="1"/>
  <c r="AM96" i="1"/>
  <c r="AN96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97" i="1"/>
  <c r="AM97" i="1"/>
  <c r="AN97" i="1"/>
  <c r="K163" i="1"/>
  <c r="L163" i="1"/>
  <c r="M163" i="1"/>
  <c r="V163" i="1"/>
  <c r="Y163" i="1"/>
  <c r="Z163" i="1"/>
  <c r="AB163" i="1"/>
  <c r="AC163" i="1"/>
  <c r="AD163" i="1"/>
  <c r="AE163" i="1"/>
  <c r="R33" i="3" s="1"/>
  <c r="AF163" i="1"/>
  <c r="AH98" i="1"/>
  <c r="AM98" i="1"/>
  <c r="AN98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100" i="1"/>
  <c r="AM100" i="1"/>
  <c r="AN100" i="1"/>
  <c r="K165" i="1"/>
  <c r="L165" i="1"/>
  <c r="M165" i="1"/>
  <c r="N165" i="1" s="1"/>
  <c r="V165" i="1"/>
  <c r="Y165" i="1"/>
  <c r="Z165" i="1"/>
  <c r="AB165" i="1"/>
  <c r="AC165" i="1"/>
  <c r="AD165" i="1"/>
  <c r="AE165" i="1"/>
  <c r="AF165" i="1"/>
  <c r="AH101" i="1"/>
  <c r="AM101" i="1"/>
  <c r="AN101" i="1"/>
  <c r="K166" i="1"/>
  <c r="L166" i="1"/>
  <c r="M166" i="1"/>
  <c r="N166" i="1" s="1"/>
  <c r="V166" i="1"/>
  <c r="S27" i="3" s="1"/>
  <c r="Y166" i="1"/>
  <c r="AA166" i="1" s="1"/>
  <c r="Z166" i="1"/>
  <c r="AB166" i="1"/>
  <c r="AC166" i="1"/>
  <c r="AD166" i="1"/>
  <c r="AE166" i="1"/>
  <c r="AF166" i="1"/>
  <c r="AH102" i="1"/>
  <c r="AM102" i="1"/>
  <c r="AN102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03" i="1"/>
  <c r="AM103" i="1"/>
  <c r="AN103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4" i="1"/>
  <c r="AM104" i="1"/>
  <c r="AN104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5" i="1"/>
  <c r="AM105" i="1"/>
  <c r="AN105" i="1"/>
  <c r="K94" i="1"/>
  <c r="L94" i="1"/>
  <c r="M94" i="1"/>
  <c r="N94" i="1" s="1"/>
  <c r="V94" i="1"/>
  <c r="Y94" i="1"/>
  <c r="Z94" i="1"/>
  <c r="AB94" i="1"/>
  <c r="AC94" i="1"/>
  <c r="AD94" i="1"/>
  <c r="AE94" i="1"/>
  <c r="AF94" i="1"/>
  <c r="AH106" i="1"/>
  <c r="AM106" i="1"/>
  <c r="AN106" i="1"/>
  <c r="K170" i="1"/>
  <c r="L170" i="1"/>
  <c r="M170" i="1"/>
  <c r="N170" i="1" s="1"/>
  <c r="V170" i="1"/>
  <c r="Y170" i="1"/>
  <c r="Z170" i="1"/>
  <c r="AB170" i="1"/>
  <c r="AC170" i="1"/>
  <c r="AD170" i="1"/>
  <c r="AE170" i="1"/>
  <c r="AF170" i="1"/>
  <c r="AH107" i="1"/>
  <c r="AM107" i="1"/>
  <c r="AN107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08" i="1"/>
  <c r="AM108" i="1"/>
  <c r="AN108" i="1"/>
  <c r="K172" i="1"/>
  <c r="L172" i="1"/>
  <c r="M172" i="1"/>
  <c r="N172" i="1" s="1"/>
  <c r="V172" i="1"/>
  <c r="S29" i="3" s="1"/>
  <c r="Y172" i="1"/>
  <c r="Z172" i="1"/>
  <c r="AB172" i="1"/>
  <c r="AC172" i="1"/>
  <c r="AD172" i="1"/>
  <c r="AE172" i="1"/>
  <c r="AF172" i="1"/>
  <c r="AH109" i="1"/>
  <c r="AM109" i="1"/>
  <c r="AN109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10" i="1"/>
  <c r="AM110" i="1"/>
  <c r="AN110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11" i="1"/>
  <c r="AM111" i="1"/>
  <c r="AN111" i="1"/>
  <c r="K175" i="1"/>
  <c r="L175" i="1"/>
  <c r="M175" i="1"/>
  <c r="N175" i="1" s="1"/>
  <c r="V175" i="1"/>
  <c r="Y175" i="1"/>
  <c r="AA175" i="1" s="1"/>
  <c r="Z175" i="1"/>
  <c r="AB175" i="1"/>
  <c r="AC175" i="1"/>
  <c r="AD175" i="1"/>
  <c r="T175" i="1" s="1"/>
  <c r="AE175" i="1"/>
  <c r="AF175" i="1"/>
  <c r="AH112" i="1"/>
  <c r="AM112" i="1"/>
  <c r="AN112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13" i="1"/>
  <c r="AM113" i="1"/>
  <c r="AN113" i="1"/>
  <c r="K177" i="1"/>
  <c r="L177" i="1"/>
  <c r="M177" i="1"/>
  <c r="N177" i="1" s="1"/>
  <c r="V177" i="1"/>
  <c r="S36" i="3" s="1"/>
  <c r="Y177" i="1"/>
  <c r="Z177" i="1"/>
  <c r="AB177" i="1"/>
  <c r="AC177" i="1"/>
  <c r="AD177" i="1"/>
  <c r="X177" i="1" s="1"/>
  <c r="AE177" i="1"/>
  <c r="AF177" i="1"/>
  <c r="AH114" i="1"/>
  <c r="AM114" i="1"/>
  <c r="AN114" i="1"/>
  <c r="K178" i="1"/>
  <c r="L178" i="1"/>
  <c r="M178" i="1"/>
  <c r="N178" i="1" s="1"/>
  <c r="V178" i="1"/>
  <c r="Y178" i="1"/>
  <c r="Z178" i="1"/>
  <c r="AA178" i="1" s="1"/>
  <c r="AB178" i="1"/>
  <c r="AC178" i="1"/>
  <c r="AD178" i="1"/>
  <c r="T178" i="1" s="1"/>
  <c r="AE178" i="1"/>
  <c r="AF178" i="1"/>
  <c r="AH115" i="1"/>
  <c r="AM115" i="1"/>
  <c r="AN115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116" i="1"/>
  <c r="AM116" i="1"/>
  <c r="AN116" i="1"/>
  <c r="K95" i="1"/>
  <c r="L95" i="1"/>
  <c r="M95" i="1"/>
  <c r="N95" i="1" s="1"/>
  <c r="V95" i="1"/>
  <c r="Y95" i="1"/>
  <c r="Z95" i="1"/>
  <c r="AA95" i="1" s="1"/>
  <c r="AB95" i="1"/>
  <c r="AC95" i="1"/>
  <c r="AD95" i="1"/>
  <c r="T95" i="1" s="1"/>
  <c r="AE95" i="1"/>
  <c r="AF95" i="1"/>
  <c r="AH117" i="1"/>
  <c r="AM117" i="1"/>
  <c r="AN117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8" i="1"/>
  <c r="AM118" i="1"/>
  <c r="AN118" i="1"/>
  <c r="K181" i="1"/>
  <c r="L181" i="1"/>
  <c r="M181" i="1"/>
  <c r="N181" i="1" s="1"/>
  <c r="V181" i="1"/>
  <c r="Y181" i="1"/>
  <c r="Z181" i="1"/>
  <c r="AA181" i="1" s="1"/>
  <c r="AB181" i="1"/>
  <c r="AC181" i="1"/>
  <c r="AD181" i="1"/>
  <c r="T181" i="1" s="1"/>
  <c r="AE181" i="1"/>
  <c r="R31" i="3" s="1"/>
  <c r="AF181" i="1"/>
  <c r="AH119" i="1"/>
  <c r="AM119" i="1"/>
  <c r="AN119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20" i="1"/>
  <c r="AM120" i="1"/>
  <c r="AN120" i="1"/>
  <c r="K183" i="1"/>
  <c r="L183" i="1"/>
  <c r="M183" i="1"/>
  <c r="N183" i="1" s="1"/>
  <c r="V183" i="1"/>
  <c r="Y183" i="1"/>
  <c r="Z183" i="1"/>
  <c r="AA183" i="1" s="1"/>
  <c r="AB183" i="1"/>
  <c r="AC183" i="1"/>
  <c r="AD183" i="1"/>
  <c r="AE183" i="1"/>
  <c r="AF183" i="1"/>
  <c r="AH121" i="1"/>
  <c r="AM121" i="1"/>
  <c r="AN121" i="1"/>
  <c r="K184" i="1"/>
  <c r="L184" i="1"/>
  <c r="M184" i="1"/>
  <c r="N184" i="1" s="1"/>
  <c r="V184" i="1"/>
  <c r="Y184" i="1"/>
  <c r="Z184" i="1"/>
  <c r="AB184" i="1"/>
  <c r="AC184" i="1"/>
  <c r="AD184" i="1"/>
  <c r="X185" i="1" s="1"/>
  <c r="AE184" i="1"/>
  <c r="AF184" i="1"/>
  <c r="AH122" i="1"/>
  <c r="AM122" i="1"/>
  <c r="AN122" i="1"/>
  <c r="K186" i="1"/>
  <c r="L186" i="1"/>
  <c r="M186" i="1"/>
  <c r="N186" i="1" s="1"/>
  <c r="V186" i="1"/>
  <c r="Y186" i="1"/>
  <c r="Z186" i="1"/>
  <c r="AA186" i="1" s="1"/>
  <c r="AB186" i="1"/>
  <c r="AC186" i="1"/>
  <c r="AD186" i="1"/>
  <c r="X186" i="1" s="1"/>
  <c r="AE186" i="1"/>
  <c r="AF186" i="1"/>
  <c r="AH123" i="1"/>
  <c r="AM123" i="1"/>
  <c r="AN123" i="1"/>
  <c r="K187" i="1"/>
  <c r="L187" i="1"/>
  <c r="M187" i="1"/>
  <c r="N187" i="1" s="1"/>
  <c r="V187" i="1"/>
  <c r="S30" i="3" s="1"/>
  <c r="Y187" i="1"/>
  <c r="Z187" i="1"/>
  <c r="AB187" i="1"/>
  <c r="AC187" i="1"/>
  <c r="AD187" i="1"/>
  <c r="AE187" i="1"/>
  <c r="AF187" i="1"/>
  <c r="AH124" i="1"/>
  <c r="AM124" i="1"/>
  <c r="AN124" i="1"/>
  <c r="K188" i="1"/>
  <c r="L188" i="1"/>
  <c r="M188" i="1"/>
  <c r="N188" i="1" s="1"/>
  <c r="V188" i="1"/>
  <c r="S26" i="3" s="1"/>
  <c r="Y188" i="1"/>
  <c r="Z188" i="1"/>
  <c r="AA188" i="1" s="1"/>
  <c r="AB188" i="1"/>
  <c r="AC188" i="1"/>
  <c r="AD188" i="1"/>
  <c r="AE188" i="1"/>
  <c r="R26" i="3" s="1"/>
  <c r="AF188" i="1"/>
  <c r="AH125" i="1"/>
  <c r="AM125" i="1"/>
  <c r="AN125" i="1"/>
  <c r="K189" i="1"/>
  <c r="L189" i="1"/>
  <c r="M189" i="1"/>
  <c r="V189" i="1"/>
  <c r="Y189" i="1"/>
  <c r="Z189" i="1"/>
  <c r="AB189" i="1"/>
  <c r="AC189" i="1"/>
  <c r="AD189" i="1"/>
  <c r="AE189" i="1"/>
  <c r="AF189" i="1"/>
  <c r="AH126" i="1"/>
  <c r="AM126" i="1"/>
  <c r="AN126" i="1"/>
  <c r="K190" i="1"/>
  <c r="L190" i="1"/>
  <c r="M190" i="1"/>
  <c r="P190" i="1" s="1"/>
  <c r="V190" i="1"/>
  <c r="Y190" i="1"/>
  <c r="Z190" i="1"/>
  <c r="AA190" i="1" s="1"/>
  <c r="AB190" i="1"/>
  <c r="AC190" i="1"/>
  <c r="AD190" i="1"/>
  <c r="X191" i="1" s="1"/>
  <c r="AE190" i="1"/>
  <c r="AF190" i="1"/>
  <c r="AH127" i="1"/>
  <c r="AM127" i="1"/>
  <c r="AN127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128" i="1"/>
  <c r="AM128" i="1"/>
  <c r="AN128" i="1"/>
  <c r="K193" i="1"/>
  <c r="L193" i="1"/>
  <c r="M193" i="1"/>
  <c r="N193" i="1" s="1"/>
  <c r="V193" i="1"/>
  <c r="Y193" i="1"/>
  <c r="Z193" i="1"/>
  <c r="AA193" i="1" s="1"/>
  <c r="AB193" i="1"/>
  <c r="AC193" i="1"/>
  <c r="AD193" i="1"/>
  <c r="X193" i="1" s="1"/>
  <c r="AE193" i="1"/>
  <c r="AF193" i="1"/>
  <c r="AH129" i="1"/>
  <c r="AM129" i="1"/>
  <c r="AN129" i="1"/>
  <c r="K194" i="1"/>
  <c r="L194" i="1"/>
  <c r="M194" i="1"/>
  <c r="N194" i="1" s="1"/>
  <c r="V194" i="1"/>
  <c r="Y194" i="1"/>
  <c r="Z194" i="1"/>
  <c r="AB194" i="1"/>
  <c r="AC194" i="1"/>
  <c r="AD194" i="1"/>
  <c r="X195" i="1" s="1"/>
  <c r="AE194" i="1"/>
  <c r="AF194" i="1"/>
  <c r="AH130" i="1"/>
  <c r="AM130" i="1"/>
  <c r="AN130" i="1"/>
  <c r="K97" i="1"/>
  <c r="L97" i="1"/>
  <c r="M97" i="1"/>
  <c r="N97" i="1" s="1"/>
  <c r="V97" i="1"/>
  <c r="Y97" i="1"/>
  <c r="Z97" i="1"/>
  <c r="AB97" i="1"/>
  <c r="AC97" i="1"/>
  <c r="AD97" i="1"/>
  <c r="AE97" i="1"/>
  <c r="AF97" i="1"/>
  <c r="AH131" i="1"/>
  <c r="AM131" i="1"/>
  <c r="AN131" i="1"/>
  <c r="K98" i="1"/>
  <c r="L98" i="1"/>
  <c r="M98" i="1"/>
  <c r="N98" i="1" s="1"/>
  <c r="V98" i="1"/>
  <c r="Y98" i="1"/>
  <c r="Z98" i="1"/>
  <c r="AB98" i="1"/>
  <c r="AC98" i="1"/>
  <c r="AD98" i="1"/>
  <c r="X99" i="1" s="1"/>
  <c r="AE98" i="1"/>
  <c r="AF98" i="1"/>
  <c r="AH132" i="1"/>
  <c r="AM132" i="1"/>
  <c r="AN132" i="1"/>
  <c r="K100" i="1"/>
  <c r="L100" i="1"/>
  <c r="M100" i="1"/>
  <c r="N100" i="1" s="1"/>
  <c r="V100" i="1"/>
  <c r="Y100" i="1"/>
  <c r="Z100" i="1"/>
  <c r="AB100" i="1"/>
  <c r="AC100" i="1"/>
  <c r="AD100" i="1"/>
  <c r="X100" i="1" s="1"/>
  <c r="AE100" i="1"/>
  <c r="AF100" i="1"/>
  <c r="AH133" i="1"/>
  <c r="AM133" i="1"/>
  <c r="AN133" i="1"/>
  <c r="K101" i="1"/>
  <c r="L101" i="1"/>
  <c r="M101" i="1"/>
  <c r="N101" i="1"/>
  <c r="V101" i="1"/>
  <c r="Y101" i="1"/>
  <c r="Z101" i="1"/>
  <c r="AB101" i="1"/>
  <c r="AC101" i="1"/>
  <c r="AD101" i="1"/>
  <c r="AE101" i="1"/>
  <c r="AF101" i="1"/>
  <c r="AH134" i="1"/>
  <c r="AM134" i="1"/>
  <c r="AN134" i="1"/>
  <c r="K102" i="1"/>
  <c r="L102" i="1"/>
  <c r="M102" i="1"/>
  <c r="N102" i="1" s="1"/>
  <c r="V102" i="1"/>
  <c r="Y102" i="1"/>
  <c r="Z102" i="1"/>
  <c r="AA102" i="1" s="1"/>
  <c r="AB102" i="1"/>
  <c r="AC102" i="1"/>
  <c r="AD102" i="1"/>
  <c r="AE102" i="1"/>
  <c r="AF102" i="1"/>
  <c r="AH135" i="1"/>
  <c r="AM135" i="1"/>
  <c r="AN135" i="1"/>
  <c r="K103" i="1"/>
  <c r="L103" i="1"/>
  <c r="M103" i="1"/>
  <c r="N103" i="1" s="1"/>
  <c r="V103" i="1"/>
  <c r="S19" i="3" s="1"/>
  <c r="Y103" i="1"/>
  <c r="Z103" i="1"/>
  <c r="AB103" i="1"/>
  <c r="AC103" i="1"/>
  <c r="AD103" i="1"/>
  <c r="AE103" i="1"/>
  <c r="R19" i="3" s="1"/>
  <c r="AF103" i="1"/>
  <c r="AH136" i="1"/>
  <c r="AM136" i="1"/>
  <c r="AN136" i="1"/>
  <c r="K211" i="1"/>
  <c r="L211" i="1"/>
  <c r="M211" i="1"/>
  <c r="N211" i="1" s="1"/>
  <c r="V211" i="1"/>
  <c r="Y211" i="1"/>
  <c r="Z211" i="1"/>
  <c r="AA211" i="1" s="1"/>
  <c r="AB211" i="1"/>
  <c r="AC211" i="1"/>
  <c r="AD211" i="1"/>
  <c r="AE211" i="1"/>
  <c r="AF211" i="1"/>
  <c r="AH137" i="1"/>
  <c r="AM137" i="1"/>
  <c r="AN137" i="1"/>
  <c r="K212" i="1"/>
  <c r="L212" i="1"/>
  <c r="M212" i="1"/>
  <c r="N212" i="1" s="1"/>
  <c r="V212" i="1"/>
  <c r="Y212" i="1"/>
  <c r="Z212" i="1"/>
  <c r="AB212" i="1"/>
  <c r="AC212" i="1"/>
  <c r="AD212" i="1"/>
  <c r="AE212" i="1"/>
  <c r="AF212" i="1"/>
  <c r="AH138" i="1"/>
  <c r="AM138" i="1"/>
  <c r="AN138" i="1"/>
  <c r="K104" i="1"/>
  <c r="L104" i="1"/>
  <c r="M104" i="1"/>
  <c r="N104" i="1" s="1"/>
  <c r="V104" i="1"/>
  <c r="Y104" i="1"/>
  <c r="Z104" i="1"/>
  <c r="AB104" i="1"/>
  <c r="AC104" i="1"/>
  <c r="AD104" i="1"/>
  <c r="AE104" i="1"/>
  <c r="AF104" i="1"/>
  <c r="AH139" i="1"/>
  <c r="AM139" i="1"/>
  <c r="AN139" i="1"/>
  <c r="K105" i="1"/>
  <c r="L105" i="1"/>
  <c r="M105" i="1"/>
  <c r="N105" i="1"/>
  <c r="V105" i="1"/>
  <c r="Y105" i="1"/>
  <c r="Z105" i="1"/>
  <c r="AA105" i="1"/>
  <c r="AB105" i="1"/>
  <c r="AC105" i="1"/>
  <c r="AD105" i="1"/>
  <c r="AE105" i="1"/>
  <c r="AF105" i="1"/>
  <c r="AH140" i="1"/>
  <c r="AM140" i="1"/>
  <c r="AN140" i="1"/>
  <c r="K106" i="1"/>
  <c r="L106" i="1"/>
  <c r="M106" i="1"/>
  <c r="N106" i="1" s="1"/>
  <c r="V106" i="1"/>
  <c r="Y106" i="1"/>
  <c r="Z106" i="1"/>
  <c r="AB106" i="1"/>
  <c r="AC106" i="1"/>
  <c r="AD106" i="1"/>
  <c r="AE106" i="1"/>
  <c r="AF106" i="1"/>
  <c r="AH141" i="1"/>
  <c r="AM141" i="1"/>
  <c r="AN141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2" i="1"/>
  <c r="AM142" i="1"/>
  <c r="AN142" i="1"/>
  <c r="K108" i="1"/>
  <c r="L108" i="1"/>
  <c r="M108" i="1"/>
  <c r="N108" i="1"/>
  <c r="V108" i="1"/>
  <c r="Y108" i="1"/>
  <c r="Z108" i="1"/>
  <c r="AB108" i="1"/>
  <c r="AC108" i="1"/>
  <c r="AD108" i="1"/>
  <c r="T108" i="1" s="1"/>
  <c r="AE108" i="1"/>
  <c r="AF108" i="1"/>
  <c r="AH143" i="1"/>
  <c r="AM143" i="1"/>
  <c r="AN143" i="1"/>
  <c r="K109" i="1"/>
  <c r="L109" i="1"/>
  <c r="M109" i="1"/>
  <c r="N109" i="1"/>
  <c r="V109" i="1"/>
  <c r="Y109" i="1"/>
  <c r="AA109" i="1" s="1"/>
  <c r="Z109" i="1"/>
  <c r="AB109" i="1"/>
  <c r="AC109" i="1"/>
  <c r="AD109" i="1"/>
  <c r="T109" i="1" s="1"/>
  <c r="AE109" i="1"/>
  <c r="AF109" i="1"/>
  <c r="AH144" i="1"/>
  <c r="AM144" i="1"/>
  <c r="AN144" i="1"/>
  <c r="K110" i="1"/>
  <c r="L110" i="1"/>
  <c r="M110" i="1"/>
  <c r="N110" i="1" s="1"/>
  <c r="T110" i="1"/>
  <c r="V110" i="1"/>
  <c r="Y110" i="1"/>
  <c r="AA110" i="1" s="1"/>
  <c r="Z110" i="1"/>
  <c r="AB110" i="1"/>
  <c r="AC110" i="1"/>
  <c r="AD110" i="1"/>
  <c r="AE110" i="1"/>
  <c r="AF110" i="1"/>
  <c r="AH145" i="1"/>
  <c r="AM145" i="1"/>
  <c r="AN145" i="1"/>
  <c r="K111" i="1"/>
  <c r="L111" i="1"/>
  <c r="M111" i="1"/>
  <c r="N111" i="1" s="1"/>
  <c r="V111" i="1"/>
  <c r="X111" i="1"/>
  <c r="Y111" i="1"/>
  <c r="Z111" i="1"/>
  <c r="AA111" i="1" s="1"/>
  <c r="AB111" i="1"/>
  <c r="AC111" i="1"/>
  <c r="AD111" i="1"/>
  <c r="T111" i="1" s="1"/>
  <c r="AE111" i="1"/>
  <c r="AF111" i="1"/>
  <c r="AH146" i="1"/>
  <c r="AM146" i="1"/>
  <c r="AN146" i="1"/>
  <c r="K112" i="1"/>
  <c r="L112" i="1"/>
  <c r="M112" i="1"/>
  <c r="N112" i="1"/>
  <c r="V112" i="1"/>
  <c r="Y112" i="1"/>
  <c r="Z112" i="1"/>
  <c r="AA112" i="1" s="1"/>
  <c r="AB112" i="1"/>
  <c r="AC112" i="1"/>
  <c r="AD112" i="1"/>
  <c r="X112" i="1" s="1"/>
  <c r="AE112" i="1"/>
  <c r="AF112" i="1"/>
  <c r="AH147" i="1"/>
  <c r="AM147" i="1"/>
  <c r="AN147" i="1"/>
  <c r="K113" i="1"/>
  <c r="L113" i="1"/>
  <c r="M113" i="1"/>
  <c r="N113" i="1"/>
  <c r="V113" i="1"/>
  <c r="Y113" i="1"/>
  <c r="Z113" i="1"/>
  <c r="AA113" i="1"/>
  <c r="AB113" i="1"/>
  <c r="AC113" i="1"/>
  <c r="AD113" i="1"/>
  <c r="T113" i="1" s="1"/>
  <c r="AE113" i="1"/>
  <c r="AF113" i="1"/>
  <c r="AH148" i="1"/>
  <c r="AM148" i="1"/>
  <c r="AN148" i="1"/>
  <c r="K114" i="1"/>
  <c r="L114" i="1"/>
  <c r="M114" i="1"/>
  <c r="N114" i="1" s="1"/>
  <c r="V114" i="1"/>
  <c r="Y114" i="1"/>
  <c r="Z114" i="1"/>
  <c r="AB114" i="1"/>
  <c r="AC114" i="1"/>
  <c r="AD114" i="1"/>
  <c r="AE114" i="1"/>
  <c r="AF114" i="1"/>
  <c r="AH149" i="1"/>
  <c r="AM149" i="1"/>
  <c r="AN149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50" i="1"/>
  <c r="AM150" i="1"/>
  <c r="AN150" i="1"/>
  <c r="K116" i="1"/>
  <c r="L116" i="1"/>
  <c r="M116" i="1"/>
  <c r="N116" i="1"/>
  <c r="V116" i="1"/>
  <c r="Y116" i="1"/>
  <c r="Z116" i="1"/>
  <c r="AB116" i="1"/>
  <c r="AC116" i="1"/>
  <c r="AD116" i="1"/>
  <c r="T116" i="1" s="1"/>
  <c r="AE116" i="1"/>
  <c r="AF116" i="1"/>
  <c r="AH151" i="1"/>
  <c r="AM151" i="1"/>
  <c r="AN151" i="1"/>
  <c r="K117" i="1"/>
  <c r="L117" i="1"/>
  <c r="M117" i="1"/>
  <c r="N117" i="1"/>
  <c r="V117" i="1"/>
  <c r="Y117" i="1"/>
  <c r="Z117" i="1"/>
  <c r="AB117" i="1"/>
  <c r="AC117" i="1"/>
  <c r="AD117" i="1"/>
  <c r="T117" i="1" s="1"/>
  <c r="AE117" i="1"/>
  <c r="AF117" i="1"/>
  <c r="AH152" i="1"/>
  <c r="AM152" i="1"/>
  <c r="AN152" i="1"/>
  <c r="K118" i="1"/>
  <c r="L118" i="1"/>
  <c r="M118" i="1"/>
  <c r="N118" i="1" s="1"/>
  <c r="V118" i="1"/>
  <c r="Y118" i="1"/>
  <c r="Z118" i="1"/>
  <c r="AB118" i="1"/>
  <c r="AC118" i="1"/>
  <c r="AD118" i="1"/>
  <c r="AE118" i="1"/>
  <c r="AF118" i="1"/>
  <c r="AH153" i="1"/>
  <c r="AM153" i="1"/>
  <c r="AN153" i="1"/>
  <c r="K119" i="1"/>
  <c r="L119" i="1"/>
  <c r="M119" i="1"/>
  <c r="N119" i="1" s="1"/>
  <c r="V119" i="1"/>
  <c r="Y119" i="1"/>
  <c r="Z119" i="1"/>
  <c r="AB119" i="1"/>
  <c r="AC119" i="1"/>
  <c r="AD119" i="1"/>
  <c r="T119" i="1" s="1"/>
  <c r="AE119" i="1"/>
  <c r="AF119" i="1"/>
  <c r="AH154" i="1"/>
  <c r="AM154" i="1"/>
  <c r="AN154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55" i="1"/>
  <c r="AM155" i="1"/>
  <c r="AN155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56" i="1"/>
  <c r="AM156" i="1"/>
  <c r="AN156" i="1"/>
  <c r="K122" i="1"/>
  <c r="L122" i="1"/>
  <c r="M122" i="1"/>
  <c r="N122" i="1" s="1"/>
  <c r="V122" i="1"/>
  <c r="Y122" i="1"/>
  <c r="Z122" i="1"/>
  <c r="AB122" i="1"/>
  <c r="AC122" i="1"/>
  <c r="AD122" i="1"/>
  <c r="AE122" i="1"/>
  <c r="R23" i="3" s="1"/>
  <c r="AF122" i="1"/>
  <c r="AH157" i="1"/>
  <c r="AM157" i="1"/>
  <c r="AN157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58" i="1"/>
  <c r="AM158" i="1"/>
  <c r="AN158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59" i="1"/>
  <c r="AM159" i="1"/>
  <c r="AN159" i="1"/>
  <c r="K125" i="1"/>
  <c r="L125" i="1"/>
  <c r="M125" i="1"/>
  <c r="N125" i="1" s="1"/>
  <c r="V125" i="1"/>
  <c r="S14" i="3" s="1"/>
  <c r="Y125" i="1"/>
  <c r="Z125" i="1"/>
  <c r="AB125" i="1"/>
  <c r="AC125" i="1"/>
  <c r="AD125" i="1"/>
  <c r="AE125" i="1"/>
  <c r="AF125" i="1"/>
  <c r="AH160" i="1"/>
  <c r="AM160" i="1"/>
  <c r="AN160" i="1"/>
  <c r="K126" i="1"/>
  <c r="L126" i="1"/>
  <c r="M126" i="1"/>
  <c r="N126" i="1" s="1"/>
  <c r="V126" i="1"/>
  <c r="Y126" i="1"/>
  <c r="Z126" i="1"/>
  <c r="AB126" i="1"/>
  <c r="AC126" i="1"/>
  <c r="AD126" i="1"/>
  <c r="AE126" i="1"/>
  <c r="AF126" i="1"/>
  <c r="AH161" i="1"/>
  <c r="AM161" i="1"/>
  <c r="AN161" i="1"/>
  <c r="K127" i="1"/>
  <c r="L127" i="1"/>
  <c r="M127" i="1"/>
  <c r="N127" i="1" s="1"/>
  <c r="V127" i="1"/>
  <c r="Y127" i="1"/>
  <c r="Z127" i="1"/>
  <c r="AB127" i="1"/>
  <c r="AC127" i="1"/>
  <c r="AD127" i="1"/>
  <c r="T127" i="1" s="1"/>
  <c r="AE127" i="1"/>
  <c r="AF127" i="1"/>
  <c r="AH162" i="1"/>
  <c r="AM162" i="1"/>
  <c r="AN162" i="1"/>
  <c r="K128" i="1"/>
  <c r="L128" i="1"/>
  <c r="M128" i="1"/>
  <c r="N128" i="1" s="1"/>
  <c r="V128" i="1"/>
  <c r="Y128" i="1"/>
  <c r="Z128" i="1"/>
  <c r="AA128" i="1" s="1"/>
  <c r="AB128" i="1"/>
  <c r="AC128" i="1"/>
  <c r="AD128" i="1"/>
  <c r="AE128" i="1"/>
  <c r="AF128" i="1"/>
  <c r="AH163" i="1"/>
  <c r="AM163" i="1"/>
  <c r="AN163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4" i="1"/>
  <c r="AM164" i="1"/>
  <c r="AN164" i="1"/>
  <c r="K130" i="1"/>
  <c r="L130" i="1"/>
  <c r="M130" i="1"/>
  <c r="N130" i="1" s="1"/>
  <c r="V130" i="1"/>
  <c r="Y130" i="1"/>
  <c r="Z130" i="1"/>
  <c r="AA130" i="1" s="1"/>
  <c r="AB130" i="1"/>
  <c r="AC130" i="1"/>
  <c r="AD130" i="1"/>
  <c r="T130" i="1" s="1"/>
  <c r="AE130" i="1"/>
  <c r="AF130" i="1"/>
  <c r="AH165" i="1"/>
  <c r="AM165" i="1"/>
  <c r="AN165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66" i="1"/>
  <c r="AM166" i="1"/>
  <c r="AN166" i="1"/>
  <c r="K132" i="1"/>
  <c r="L132" i="1"/>
  <c r="M132" i="1"/>
  <c r="N132" i="1"/>
  <c r="V132" i="1"/>
  <c r="Y132" i="1"/>
  <c r="Z132" i="1"/>
  <c r="AA132" i="1"/>
  <c r="AB132" i="1"/>
  <c r="AC132" i="1"/>
  <c r="AD132" i="1"/>
  <c r="T132" i="1" s="1"/>
  <c r="AE132" i="1"/>
  <c r="AF132" i="1"/>
  <c r="AH167" i="1"/>
  <c r="AM167" i="1"/>
  <c r="AN167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68" i="1"/>
  <c r="AM168" i="1"/>
  <c r="AN168" i="1"/>
  <c r="K134" i="1"/>
  <c r="L134" i="1"/>
  <c r="M134" i="1"/>
  <c r="N134" i="1"/>
  <c r="V134" i="1"/>
  <c r="S24" i="3" s="1"/>
  <c r="Y134" i="1"/>
  <c r="Z134" i="1"/>
  <c r="AB134" i="1"/>
  <c r="AC134" i="1"/>
  <c r="AD134" i="1"/>
  <c r="T134" i="1" s="1"/>
  <c r="AE134" i="1"/>
  <c r="R24" i="3" s="1"/>
  <c r="AF134" i="1"/>
  <c r="AH169" i="1"/>
  <c r="AM169" i="1"/>
  <c r="AN169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70" i="1"/>
  <c r="AM170" i="1"/>
  <c r="AN170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1" i="1"/>
  <c r="AM171" i="1"/>
  <c r="AN171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2" i="1"/>
  <c r="AM172" i="1"/>
  <c r="AN172" i="1"/>
  <c r="K138" i="1"/>
  <c r="L138" i="1"/>
  <c r="M138" i="1"/>
  <c r="N138" i="1" s="1"/>
  <c r="V138" i="1"/>
  <c r="Y138" i="1"/>
  <c r="Z138" i="1"/>
  <c r="AA138" i="1" s="1"/>
  <c r="AB138" i="1"/>
  <c r="AC138" i="1"/>
  <c r="AD138" i="1"/>
  <c r="T138" i="1" s="1"/>
  <c r="AE138" i="1"/>
  <c r="AF138" i="1"/>
  <c r="AH173" i="1"/>
  <c r="AM173" i="1"/>
  <c r="AN173" i="1"/>
  <c r="K139" i="1"/>
  <c r="L139" i="1"/>
  <c r="M139" i="1"/>
  <c r="N139" i="1" s="1"/>
  <c r="V139" i="1"/>
  <c r="S8" i="3" s="1"/>
  <c r="Y139" i="1"/>
  <c r="Z139" i="1"/>
  <c r="AA139" i="1" s="1"/>
  <c r="AB139" i="1"/>
  <c r="AC139" i="1"/>
  <c r="AD139" i="1"/>
  <c r="T139" i="1" s="1"/>
  <c r="AE139" i="1"/>
  <c r="R8" i="3" s="1"/>
  <c r="AF139" i="1"/>
  <c r="AH174" i="1"/>
  <c r="AM174" i="1"/>
  <c r="AN174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5" i="1"/>
  <c r="AM175" i="1"/>
  <c r="AN175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6" i="1"/>
  <c r="AM176" i="1"/>
  <c r="AN176" i="1"/>
  <c r="K142" i="1"/>
  <c r="L142" i="1"/>
  <c r="M142" i="1"/>
  <c r="V142" i="1"/>
  <c r="Y142" i="1"/>
  <c r="Z142" i="1"/>
  <c r="AA142" i="1" s="1"/>
  <c r="AB142" i="1"/>
  <c r="AC142" i="1"/>
  <c r="AD142" i="1"/>
  <c r="T142" i="1" s="1"/>
  <c r="AE142" i="1"/>
  <c r="AF142" i="1"/>
  <c r="AH177" i="1"/>
  <c r="AM177" i="1"/>
  <c r="AN177" i="1"/>
  <c r="K143" i="1"/>
  <c r="L143" i="1"/>
  <c r="M143" i="1"/>
  <c r="N143" i="1" s="1"/>
  <c r="V143" i="1"/>
  <c r="Y143" i="1"/>
  <c r="Z143" i="1"/>
  <c r="AA143" i="1" s="1"/>
  <c r="AB143" i="1"/>
  <c r="AC143" i="1"/>
  <c r="AD143" i="1"/>
  <c r="T143" i="1" s="1"/>
  <c r="AE143" i="1"/>
  <c r="AF143" i="1"/>
  <c r="AH178" i="1"/>
  <c r="AM178" i="1"/>
  <c r="AN178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79" i="1"/>
  <c r="AM179" i="1"/>
  <c r="AN179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80" i="1"/>
  <c r="AM180" i="1"/>
  <c r="AN180" i="1"/>
  <c r="K146" i="1"/>
  <c r="L146" i="1"/>
  <c r="M146" i="1"/>
  <c r="N146" i="1" s="1"/>
  <c r="V146" i="1"/>
  <c r="Y146" i="1"/>
  <c r="Z146" i="1"/>
  <c r="AA146" i="1" s="1"/>
  <c r="AB146" i="1"/>
  <c r="AC146" i="1"/>
  <c r="AD146" i="1"/>
  <c r="T146" i="1" s="1"/>
  <c r="AE146" i="1"/>
  <c r="AF146" i="1"/>
  <c r="AH181" i="1"/>
  <c r="AM181" i="1"/>
  <c r="AN181" i="1"/>
  <c r="K147" i="1"/>
  <c r="L147" i="1"/>
  <c r="M147" i="1"/>
  <c r="N147" i="1" s="1"/>
  <c r="V147" i="1"/>
  <c r="Y147" i="1"/>
  <c r="Z147" i="1"/>
  <c r="AA147" i="1" s="1"/>
  <c r="AB147" i="1"/>
  <c r="AC147" i="1"/>
  <c r="AD147" i="1"/>
  <c r="T147" i="1" s="1"/>
  <c r="AE147" i="1"/>
  <c r="AF147" i="1"/>
  <c r="AH182" i="1"/>
  <c r="AM182" i="1"/>
  <c r="AN182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3" i="1"/>
  <c r="AM183" i="1"/>
  <c r="AN183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4" i="1"/>
  <c r="AM184" i="1"/>
  <c r="AN184" i="1"/>
  <c r="K150" i="1"/>
  <c r="L150" i="1"/>
  <c r="M150" i="1"/>
  <c r="N150" i="1" s="1"/>
  <c r="V150" i="1"/>
  <c r="Y150" i="1"/>
  <c r="Z150" i="1"/>
  <c r="AA150" i="1" s="1"/>
  <c r="AB150" i="1"/>
  <c r="AC150" i="1"/>
  <c r="AD150" i="1"/>
  <c r="T150" i="1" s="1"/>
  <c r="AE150" i="1"/>
  <c r="AF150" i="1"/>
  <c r="AH186" i="1"/>
  <c r="AM186" i="1"/>
  <c r="AN186" i="1"/>
  <c r="K151" i="1"/>
  <c r="L151" i="1"/>
  <c r="M151" i="1"/>
  <c r="N151" i="1" s="1"/>
  <c r="V151" i="1"/>
  <c r="S25" i="3" s="1"/>
  <c r="Y151" i="1"/>
  <c r="Z151" i="1"/>
  <c r="AA151" i="1" s="1"/>
  <c r="AB151" i="1"/>
  <c r="AC151" i="1"/>
  <c r="AD151" i="1"/>
  <c r="T151" i="1" s="1"/>
  <c r="AE151" i="1"/>
  <c r="R25" i="3" s="1"/>
  <c r="AF151" i="1"/>
  <c r="AH187" i="1"/>
  <c r="AM187" i="1"/>
  <c r="AN187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88" i="1"/>
  <c r="AM188" i="1"/>
  <c r="AN188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89" i="1"/>
  <c r="AM189" i="1"/>
  <c r="AN189" i="1"/>
  <c r="K154" i="1"/>
  <c r="L154" i="1"/>
  <c r="M154" i="1"/>
  <c r="N154" i="1" s="1"/>
  <c r="V154" i="1"/>
  <c r="Y154" i="1"/>
  <c r="Z154" i="1"/>
  <c r="AA154" i="1" s="1"/>
  <c r="AB154" i="1"/>
  <c r="AC154" i="1"/>
  <c r="AD154" i="1"/>
  <c r="T154" i="1" s="1"/>
  <c r="AE154" i="1"/>
  <c r="AF154" i="1"/>
  <c r="AH190" i="1"/>
  <c r="AM190" i="1"/>
  <c r="AN190" i="1"/>
  <c r="K155" i="1"/>
  <c r="L155" i="1"/>
  <c r="M155" i="1"/>
  <c r="N155" i="1" s="1"/>
  <c r="V155" i="1"/>
  <c r="Y155" i="1"/>
  <c r="Z155" i="1"/>
  <c r="AA155" i="1" s="1"/>
  <c r="AB155" i="1"/>
  <c r="AC155" i="1"/>
  <c r="AD155" i="1"/>
  <c r="T155" i="1" s="1"/>
  <c r="AE155" i="1"/>
  <c r="AF155" i="1"/>
  <c r="AH193" i="1"/>
  <c r="AM193" i="1"/>
  <c r="AN193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4" i="1"/>
  <c r="AM194" i="1"/>
  <c r="AN194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7" i="1"/>
  <c r="AM197" i="1"/>
  <c r="AN197" i="1"/>
  <c r="K158" i="1"/>
  <c r="L158" i="1"/>
  <c r="M158" i="1"/>
  <c r="N158" i="1" s="1"/>
  <c r="V158" i="1"/>
  <c r="Y158" i="1"/>
  <c r="Z158" i="1"/>
  <c r="AA158" i="1" s="1"/>
  <c r="AB158" i="1"/>
  <c r="AC158" i="1"/>
  <c r="AD158" i="1"/>
  <c r="T158" i="1" s="1"/>
  <c r="AE158" i="1"/>
  <c r="AF158" i="1"/>
  <c r="AH198" i="1"/>
  <c r="AM198" i="1"/>
  <c r="AN19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9" i="1"/>
  <c r="AM199" i="1"/>
  <c r="AN19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0" i="1"/>
  <c r="AM200" i="1"/>
  <c r="AN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AM201" i="1"/>
  <c r="AN20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2" i="1"/>
  <c r="AM202" i="1"/>
  <c r="AN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AN20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4" i="1"/>
  <c r="AM204" i="1"/>
  <c r="AN204" i="1"/>
  <c r="K203" i="1"/>
  <c r="L203" i="1"/>
  <c r="M203" i="1"/>
  <c r="N203" i="1" s="1"/>
  <c r="V203" i="1"/>
  <c r="Y203" i="1"/>
  <c r="Z203" i="1"/>
  <c r="AA203" i="1" s="1"/>
  <c r="AB203" i="1"/>
  <c r="AC203" i="1"/>
  <c r="AD203" i="1"/>
  <c r="T203" i="1" s="1"/>
  <c r="AE203" i="1"/>
  <c r="AF203" i="1"/>
  <c r="AH205" i="1"/>
  <c r="AM205" i="1"/>
  <c r="AN20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6" i="1"/>
  <c r="AM206" i="1"/>
  <c r="AN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AM207" i="1"/>
  <c r="AN207" i="1"/>
  <c r="K206" i="1"/>
  <c r="L206" i="1"/>
  <c r="M206" i="1"/>
  <c r="P206" i="1" s="1"/>
  <c r="V206" i="1"/>
  <c r="Y206" i="1"/>
  <c r="Z206" i="1"/>
  <c r="AA206" i="1"/>
  <c r="AB206" i="1"/>
  <c r="AC206" i="1"/>
  <c r="AD206" i="1"/>
  <c r="T206" i="1" s="1"/>
  <c r="AE206" i="1"/>
  <c r="AF206" i="1"/>
  <c r="AH208" i="1"/>
  <c r="AM208" i="1"/>
  <c r="AN208" i="1"/>
  <c r="K207" i="1"/>
  <c r="L207" i="1"/>
  <c r="M207" i="1"/>
  <c r="N207" i="1" s="1"/>
  <c r="V207" i="1"/>
  <c r="Y207" i="1"/>
  <c r="Z207" i="1"/>
  <c r="AA207" i="1" s="1"/>
  <c r="AB207" i="1"/>
  <c r="AC207" i="1"/>
  <c r="AD207" i="1"/>
  <c r="T207" i="1" s="1"/>
  <c r="AE207" i="1"/>
  <c r="AF207" i="1"/>
  <c r="AH209" i="1"/>
  <c r="AM209" i="1"/>
  <c r="AN209" i="1"/>
  <c r="K208" i="1"/>
  <c r="L208" i="1"/>
  <c r="M208" i="1"/>
  <c r="N208" i="1"/>
  <c r="V208" i="1"/>
  <c r="Y208" i="1"/>
  <c r="Z208" i="1"/>
  <c r="AB208" i="1"/>
  <c r="AC208" i="1"/>
  <c r="AD208" i="1"/>
  <c r="T208" i="1" s="1"/>
  <c r="AE208" i="1"/>
  <c r="AF208" i="1"/>
  <c r="AH210" i="1"/>
  <c r="AM210" i="1"/>
  <c r="AN210" i="1"/>
  <c r="K209" i="1"/>
  <c r="L209" i="1"/>
  <c r="M209" i="1"/>
  <c r="N209" i="1" s="1"/>
  <c r="V209" i="1"/>
  <c r="S40" i="3" s="1"/>
  <c r="Y209" i="1"/>
  <c r="Z209" i="1"/>
  <c r="AB209" i="1"/>
  <c r="AC209" i="1"/>
  <c r="AD209" i="1"/>
  <c r="T209" i="1" s="1"/>
  <c r="AE209" i="1"/>
  <c r="R40" i="3" s="1"/>
  <c r="AF209" i="1"/>
  <c r="AH211" i="1"/>
  <c r="AM211" i="1"/>
  <c r="AN211" i="1"/>
  <c r="K210" i="1"/>
  <c r="L210" i="1"/>
  <c r="M210" i="1"/>
  <c r="N210" i="1"/>
  <c r="V210" i="1"/>
  <c r="Y210" i="1"/>
  <c r="Z210" i="1"/>
  <c r="AB210" i="1"/>
  <c r="AC210" i="1"/>
  <c r="AD210" i="1"/>
  <c r="T210" i="1" s="1"/>
  <c r="AE210" i="1"/>
  <c r="AF210" i="1"/>
  <c r="AH212" i="1"/>
  <c r="AM212" i="1"/>
  <c r="AN212" i="1"/>
  <c r="K213" i="1"/>
  <c r="L213" i="1"/>
  <c r="M213" i="1"/>
  <c r="N213" i="1" s="1"/>
  <c r="V213" i="1"/>
  <c r="S41" i="3" s="1"/>
  <c r="Y213" i="1"/>
  <c r="Z213" i="1"/>
  <c r="AB213" i="1"/>
  <c r="AC213" i="1"/>
  <c r="AD213" i="1"/>
  <c r="T213" i="1" s="1"/>
  <c r="AE213" i="1"/>
  <c r="AF213" i="1"/>
  <c r="AH213" i="1"/>
  <c r="AM213" i="1"/>
  <c r="AN213" i="1"/>
  <c r="K214" i="1"/>
  <c r="L214" i="1"/>
  <c r="M214" i="1"/>
  <c r="N214" i="1"/>
  <c r="V214" i="1"/>
  <c r="Y214" i="1"/>
  <c r="AA214" i="1" s="1"/>
  <c r="Z214" i="1"/>
  <c r="AB214" i="1"/>
  <c r="AC214" i="1"/>
  <c r="AD214" i="1"/>
  <c r="T214" i="1" s="1"/>
  <c r="AE214" i="1"/>
  <c r="AF214" i="1"/>
  <c r="AH214" i="1"/>
  <c r="AM214" i="1"/>
  <c r="AN214" i="1"/>
  <c r="K215" i="1"/>
  <c r="L215" i="1"/>
  <c r="M215" i="1"/>
  <c r="N215" i="1" s="1"/>
  <c r="V215" i="1"/>
  <c r="Y215" i="1"/>
  <c r="Z215" i="1"/>
  <c r="AB215" i="1"/>
  <c r="AC215" i="1"/>
  <c r="AD215" i="1"/>
  <c r="T215" i="1" s="1"/>
  <c r="AE215" i="1"/>
  <c r="AF215" i="1"/>
  <c r="AH215" i="1"/>
  <c r="AM215" i="1"/>
  <c r="AN215" i="1"/>
  <c r="K216" i="1"/>
  <c r="L216" i="1"/>
  <c r="M216" i="1"/>
  <c r="N216" i="1" s="1"/>
  <c r="V216" i="1"/>
  <c r="Y216" i="1"/>
  <c r="Z216" i="1"/>
  <c r="AA216" i="1" s="1"/>
  <c r="AB216" i="1"/>
  <c r="AC216" i="1"/>
  <c r="AD216" i="1"/>
  <c r="T216" i="1" s="1"/>
  <c r="AE216" i="1"/>
  <c r="AF216" i="1"/>
  <c r="AH216" i="1"/>
  <c r="AM216" i="1"/>
  <c r="AN216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17" i="1"/>
  <c r="AM217" i="1"/>
  <c r="AN217" i="1"/>
  <c r="K218" i="1"/>
  <c r="L218" i="1"/>
  <c r="M218" i="1"/>
  <c r="N218" i="1" s="1"/>
  <c r="V218" i="1"/>
  <c r="Y218" i="1"/>
  <c r="AA218" i="1" s="1"/>
  <c r="Z218" i="1"/>
  <c r="AB218" i="1"/>
  <c r="AC218" i="1"/>
  <c r="AD218" i="1"/>
  <c r="T218" i="1" s="1"/>
  <c r="AE218" i="1"/>
  <c r="AF218" i="1"/>
  <c r="AH218" i="1"/>
  <c r="AM218" i="1"/>
  <c r="AN218" i="1"/>
  <c r="K219" i="1"/>
  <c r="L219" i="1"/>
  <c r="M219" i="1"/>
  <c r="N219" i="1" s="1"/>
  <c r="V219" i="1"/>
  <c r="Y219" i="1"/>
  <c r="Z219" i="1"/>
  <c r="AA219" i="1" s="1"/>
  <c r="AB219" i="1"/>
  <c r="AC219" i="1"/>
  <c r="AD219" i="1"/>
  <c r="T219" i="1" s="1"/>
  <c r="AE219" i="1"/>
  <c r="AF219" i="1"/>
  <c r="AH219" i="1"/>
  <c r="AM219" i="1"/>
  <c r="AN219" i="1"/>
  <c r="M9" i="3"/>
  <c r="R9" i="3"/>
  <c r="U9" i="3"/>
  <c r="T9" i="3" s="1"/>
  <c r="V9" i="3"/>
  <c r="X9" i="3"/>
  <c r="M40" i="3"/>
  <c r="U40" i="3"/>
  <c r="AD9" i="3" s="1"/>
  <c r="V40" i="3"/>
  <c r="X40" i="3"/>
  <c r="M20" i="3"/>
  <c r="R20" i="3"/>
  <c r="U20" i="3"/>
  <c r="AC20" i="3" s="1"/>
  <c r="V20" i="3"/>
  <c r="X20" i="3"/>
  <c r="M32" i="3"/>
  <c r="U32" i="3"/>
  <c r="AC32" i="3" s="1"/>
  <c r="V32" i="3"/>
  <c r="X32" i="3"/>
  <c r="M11" i="3"/>
  <c r="R11" i="3"/>
  <c r="S11" i="3"/>
  <c r="U11" i="3"/>
  <c r="T11" i="3" s="1"/>
  <c r="V11" i="3"/>
  <c r="X11" i="3"/>
  <c r="M21" i="3"/>
  <c r="R21" i="3"/>
  <c r="S21" i="3"/>
  <c r="U21" i="3"/>
  <c r="V21" i="3"/>
  <c r="X21" i="3"/>
  <c r="M33" i="3"/>
  <c r="S33" i="3"/>
  <c r="U33" i="3"/>
  <c r="AC33" i="3" s="1"/>
  <c r="V33" i="3"/>
  <c r="X33" i="3"/>
  <c r="M28" i="3"/>
  <c r="S28" i="3"/>
  <c r="U28" i="3"/>
  <c r="AC28" i="3" s="1"/>
  <c r="V28" i="3"/>
  <c r="X28" i="3"/>
  <c r="M27" i="3"/>
  <c r="R27" i="3"/>
  <c r="U27" i="3"/>
  <c r="T27" i="3" s="1"/>
  <c r="V27" i="3"/>
  <c r="X27" i="3"/>
  <c r="M22" i="3"/>
  <c r="R22" i="3"/>
  <c r="U22" i="3"/>
  <c r="V22" i="3"/>
  <c r="X22" i="3"/>
  <c r="M15" i="3"/>
  <c r="R15" i="3"/>
  <c r="U15" i="3"/>
  <c r="AC15" i="3" s="1"/>
  <c r="V15" i="3"/>
  <c r="X15" i="3"/>
  <c r="M13" i="3"/>
  <c r="R13" i="3"/>
  <c r="U13" i="3"/>
  <c r="AC13" i="3" s="1"/>
  <c r="V13" i="3"/>
  <c r="X13" i="3"/>
  <c r="M12" i="3"/>
  <c r="R12" i="3"/>
  <c r="T12" i="3"/>
  <c r="U12" i="3"/>
  <c r="AD12" i="3" s="1"/>
  <c r="V12" i="3"/>
  <c r="X12" i="3"/>
  <c r="AC12" i="3"/>
  <c r="M16" i="3"/>
  <c r="R16" i="3"/>
  <c r="U16" i="3"/>
  <c r="AD16" i="3" s="1"/>
  <c r="V16" i="3"/>
  <c r="X16" i="3"/>
  <c r="M7" i="3"/>
  <c r="R7" i="3"/>
  <c r="U7" i="3"/>
  <c r="AC7" i="3" s="1"/>
  <c r="V7" i="3"/>
  <c r="X7" i="3"/>
  <c r="M41" i="3"/>
  <c r="R41" i="3"/>
  <c r="U41" i="3"/>
  <c r="AC41" i="3" s="1"/>
  <c r="V41" i="3"/>
  <c r="X41" i="3"/>
  <c r="M29" i="3"/>
  <c r="R29" i="3"/>
  <c r="U29" i="3"/>
  <c r="T29" i="3" s="1"/>
  <c r="V29" i="3"/>
  <c r="X29" i="3"/>
  <c r="M10" i="3"/>
  <c r="R10" i="3"/>
  <c r="S10" i="3"/>
  <c r="U10" i="3"/>
  <c r="AC10" i="3" s="1"/>
  <c r="V10" i="3"/>
  <c r="X10" i="3"/>
  <c r="M17" i="3"/>
  <c r="R17" i="3"/>
  <c r="U17" i="3"/>
  <c r="AC17" i="3" s="1"/>
  <c r="V17" i="3"/>
  <c r="X17" i="3"/>
  <c r="M36" i="3"/>
  <c r="R36" i="3"/>
  <c r="U36" i="3"/>
  <c r="AC36" i="3" s="1"/>
  <c r="V36" i="3"/>
  <c r="X36" i="3"/>
  <c r="M37" i="3"/>
  <c r="R37" i="3"/>
  <c r="U37" i="3"/>
  <c r="T37" i="3" s="1"/>
  <c r="V37" i="3"/>
  <c r="AE28" i="3" s="1"/>
  <c r="X37" i="3"/>
  <c r="M18" i="3"/>
  <c r="R18" i="3"/>
  <c r="S18" i="3"/>
  <c r="U18" i="3"/>
  <c r="V18" i="3"/>
  <c r="X18" i="3"/>
  <c r="M31" i="3"/>
  <c r="S31" i="3"/>
  <c r="U31" i="3"/>
  <c r="AC31" i="3" s="1"/>
  <c r="V31" i="3"/>
  <c r="X31" i="3"/>
  <c r="M19" i="3"/>
  <c r="U19" i="3"/>
  <c r="AC19" i="3" s="1"/>
  <c r="V19" i="3"/>
  <c r="X19" i="3"/>
  <c r="M23" i="3"/>
  <c r="S23" i="3"/>
  <c r="U23" i="3"/>
  <c r="AD23" i="3" s="1"/>
  <c r="V23" i="3"/>
  <c r="X23" i="3"/>
  <c r="M38" i="3"/>
  <c r="R38" i="3"/>
  <c r="S38" i="3"/>
  <c r="U38" i="3"/>
  <c r="AD33" i="3" s="1"/>
  <c r="V38" i="3"/>
  <c r="X38" i="3"/>
  <c r="M14" i="3"/>
  <c r="R14" i="3"/>
  <c r="U14" i="3"/>
  <c r="AC14" i="3" s="1"/>
  <c r="V14" i="3"/>
  <c r="X14" i="3"/>
  <c r="M30" i="3"/>
  <c r="R30" i="3"/>
  <c r="U30" i="3"/>
  <c r="AC30" i="3" s="1"/>
  <c r="V30" i="3"/>
  <c r="X30" i="3"/>
  <c r="M24" i="3"/>
  <c r="U24" i="3"/>
  <c r="AD24" i="3" s="1"/>
  <c r="V24" i="3"/>
  <c r="X24" i="3"/>
  <c r="M34" i="3"/>
  <c r="R34" i="3"/>
  <c r="U34" i="3"/>
  <c r="AD37" i="3" s="1"/>
  <c r="V34" i="3"/>
  <c r="X34" i="3"/>
  <c r="M26" i="3"/>
  <c r="U26" i="3"/>
  <c r="AC26" i="3" s="1"/>
  <c r="V26" i="3"/>
  <c r="X26" i="3"/>
  <c r="M35" i="3"/>
  <c r="R35" i="3"/>
  <c r="S35" i="3"/>
  <c r="U35" i="3"/>
  <c r="AC35" i="3" s="1"/>
  <c r="V35" i="3"/>
  <c r="X35" i="3"/>
  <c r="M8" i="3"/>
  <c r="U8" i="3"/>
  <c r="T8" i="3" s="1"/>
  <c r="V8" i="3"/>
  <c r="X8" i="3"/>
  <c r="M25" i="3"/>
  <c r="U25" i="3"/>
  <c r="V25" i="3"/>
  <c r="X25" i="3"/>
  <c r="AG210" i="1"/>
  <c r="AG216" i="1"/>
  <c r="AG207" i="1"/>
  <c r="AG217" i="1"/>
  <c r="AG212" i="1"/>
  <c r="AG209" i="1"/>
  <c r="AG219" i="1"/>
  <c r="AG213" i="1"/>
  <c r="AG211" i="1"/>
  <c r="AG208" i="1"/>
  <c r="AG214" i="1"/>
  <c r="AG218" i="1"/>
  <c r="AG215" i="1"/>
  <c r="W40" i="3"/>
  <c r="W10" i="3"/>
  <c r="W25" i="3"/>
  <c r="W15" i="3"/>
  <c r="W14" i="3"/>
  <c r="W30" i="3"/>
  <c r="W28" i="3"/>
  <c r="W37" i="3"/>
  <c r="W12" i="3"/>
  <c r="W16" i="3"/>
  <c r="W34" i="3"/>
  <c r="W33" i="3"/>
  <c r="W31" i="3"/>
  <c r="W19" i="3"/>
  <c r="W32" i="3"/>
  <c r="W29" i="3"/>
  <c r="W27" i="3"/>
  <c r="W21" i="3"/>
  <c r="W18" i="3"/>
  <c r="W23" i="3"/>
  <c r="W7" i="3"/>
  <c r="W26" i="3"/>
  <c r="W35" i="3"/>
  <c r="W13" i="3"/>
  <c r="W9" i="3"/>
  <c r="W8" i="3"/>
  <c r="W22" i="3"/>
  <c r="W38" i="3"/>
  <c r="W20" i="3"/>
  <c r="W17" i="3"/>
  <c r="W41" i="3"/>
  <c r="W24" i="3"/>
  <c r="W36" i="3"/>
  <c r="W11" i="3"/>
  <c r="AG190" i="1"/>
  <c r="AG73" i="1"/>
  <c r="AG203" i="1"/>
  <c r="AG197" i="1"/>
  <c r="AG22" i="1"/>
  <c r="AG38" i="1"/>
  <c r="AG54" i="1"/>
  <c r="AG84" i="1"/>
  <c r="AG71" i="1"/>
  <c r="AG168" i="1"/>
  <c r="AG186" i="1"/>
  <c r="AG104" i="1"/>
  <c r="AG172" i="1"/>
  <c r="AG132" i="1"/>
  <c r="AG148" i="1"/>
  <c r="AG202" i="1"/>
  <c r="AG43" i="1"/>
  <c r="AG70" i="1"/>
  <c r="AG179" i="1"/>
  <c r="AG109" i="1"/>
  <c r="AG129" i="1"/>
  <c r="AG157" i="1"/>
  <c r="AG94" i="1"/>
  <c r="AG119" i="1"/>
  <c r="AG151" i="1"/>
  <c r="AG15" i="1"/>
  <c r="AG31" i="1"/>
  <c r="AG51" i="1"/>
  <c r="AG167" i="1"/>
  <c r="AG182" i="1"/>
  <c r="AG121" i="1"/>
  <c r="AG199" i="1"/>
  <c r="AG24" i="1"/>
  <c r="AG40" i="1"/>
  <c r="AG56" i="1"/>
  <c r="AG88" i="1"/>
  <c r="AG75" i="1"/>
  <c r="AG68" i="1"/>
  <c r="AG188" i="1"/>
  <c r="AG106" i="1"/>
  <c r="AG171" i="1"/>
  <c r="AG134" i="1"/>
  <c r="AG150" i="1"/>
  <c r="AG204" i="1"/>
  <c r="AG17" i="1"/>
  <c r="AG33" i="1"/>
  <c r="AG49" i="1"/>
  <c r="AG74" i="1"/>
  <c r="AG62" i="1"/>
  <c r="AG93" i="1"/>
  <c r="AG189" i="1"/>
  <c r="AG170" i="1"/>
  <c r="AG155" i="1"/>
  <c r="AG135" i="1"/>
  <c r="AG26" i="1"/>
  <c r="AG42" i="1"/>
  <c r="AG58" i="1"/>
  <c r="AG92" i="1"/>
  <c r="AG79" i="1"/>
  <c r="AG173" i="1"/>
  <c r="AG108" i="1"/>
  <c r="AG120" i="1"/>
  <c r="AG136" i="1"/>
  <c r="AG152" i="1"/>
  <c r="AG206" i="1"/>
  <c r="AG59" i="1"/>
  <c r="AG187" i="1"/>
  <c r="AG113" i="1"/>
  <c r="AG137" i="1"/>
  <c r="AG194" i="1"/>
  <c r="AG123" i="1"/>
  <c r="AG142" i="1"/>
  <c r="AG34" i="1"/>
  <c r="AG76" i="1"/>
  <c r="AG160" i="1"/>
  <c r="AG102" i="1"/>
  <c r="AG128" i="1"/>
  <c r="AG198" i="1"/>
  <c r="AG159" i="1"/>
  <c r="AG103" i="1"/>
  <c r="AG149" i="1"/>
  <c r="AG111" i="1"/>
  <c r="AG35" i="1"/>
  <c r="AG69" i="1"/>
  <c r="AG175" i="1"/>
  <c r="AG133" i="1"/>
  <c r="AG16" i="1"/>
  <c r="AG36" i="1"/>
  <c r="AG60" i="1"/>
  <c r="AG169" i="1"/>
  <c r="AG164" i="1"/>
  <c r="AG193" i="1"/>
  <c r="AG114" i="1"/>
  <c r="AG154" i="1"/>
  <c r="AG29" i="1"/>
  <c r="AG53" i="1"/>
  <c r="AG90" i="1"/>
  <c r="AG101" i="1"/>
  <c r="AG180" i="1"/>
  <c r="AG30" i="1"/>
  <c r="AG65" i="1"/>
  <c r="AG87" i="1"/>
  <c r="AG97" i="1"/>
  <c r="AG124" i="1"/>
  <c r="AG156" i="1"/>
  <c r="AG78" i="1"/>
  <c r="AG98" i="1"/>
  <c r="AG145" i="1"/>
  <c r="AG27" i="1"/>
  <c r="AG55" i="1"/>
  <c r="AG162" i="1"/>
  <c r="AG117" i="1"/>
  <c r="AG32" i="1"/>
  <c r="AG52" i="1"/>
  <c r="AG161" i="1"/>
  <c r="AG91" i="1"/>
  <c r="AG183" i="1"/>
  <c r="AG110" i="1"/>
  <c r="AG126" i="1"/>
  <c r="AG146" i="1"/>
  <c r="AG25" i="1"/>
  <c r="AG45" i="1"/>
  <c r="AG82" i="1"/>
  <c r="AG77" i="1"/>
  <c r="AG184" i="1"/>
  <c r="AG127" i="1"/>
  <c r="AG130" i="1"/>
  <c r="AG85" i="1"/>
  <c r="AG139" i="1"/>
  <c r="AG14" i="1"/>
  <c r="AG46" i="1"/>
  <c r="AG165" i="1"/>
  <c r="AG178" i="1"/>
  <c r="AG112" i="1"/>
  <c r="AG140" i="1"/>
  <c r="AG89" i="1"/>
  <c r="AG174" i="1"/>
  <c r="AG131" i="1"/>
  <c r="AG19" i="1"/>
  <c r="AG39" i="1"/>
  <c r="AG86" i="1"/>
  <c r="AG96" i="1"/>
  <c r="AG141" i="1"/>
  <c r="AG20" i="1"/>
  <c r="AG44" i="1"/>
  <c r="AG72" i="1"/>
  <c r="AG63" i="1"/>
  <c r="AG176" i="1"/>
  <c r="AG100" i="1"/>
  <c r="AG118" i="1"/>
  <c r="AG138" i="1"/>
  <c r="AG158" i="1"/>
  <c r="AG37" i="1"/>
  <c r="AG57" i="1"/>
  <c r="AG163" i="1"/>
  <c r="AG166" i="1"/>
  <c r="AG107" i="1"/>
  <c r="AG147" i="1"/>
  <c r="AG205" i="1"/>
  <c r="AG18" i="1"/>
  <c r="AG50" i="1"/>
  <c r="AG66" i="1"/>
  <c r="AG181" i="1"/>
  <c r="AG116" i="1"/>
  <c r="AG144" i="1"/>
  <c r="AG64" i="1"/>
  <c r="AG125" i="1"/>
  <c r="AG143" i="1"/>
  <c r="AG23" i="1"/>
  <c r="AG47" i="1"/>
  <c r="AG81" i="1"/>
  <c r="AG105" i="1"/>
  <c r="AG153" i="1"/>
  <c r="AG28" i="1"/>
  <c r="AG48" i="1"/>
  <c r="AG80" i="1"/>
  <c r="AG83" i="1"/>
  <c r="AG95" i="1"/>
  <c r="AG122" i="1"/>
  <c r="AG200" i="1"/>
  <c r="AG21" i="1"/>
  <c r="AG41" i="1"/>
  <c r="AG61" i="1"/>
  <c r="AG67" i="1"/>
  <c r="AG177" i="1"/>
  <c r="AG115" i="1"/>
  <c r="AG201" i="1"/>
  <c r="AA204" i="1" l="1"/>
  <c r="X118" i="1"/>
  <c r="S34" i="3"/>
  <c r="R28" i="3"/>
  <c r="AA134" i="1"/>
  <c r="X123" i="1"/>
  <c r="AA210" i="1"/>
  <c r="AA198" i="1"/>
  <c r="AA136" i="1"/>
  <c r="AA129" i="1"/>
  <c r="AA116" i="1"/>
  <c r="AA115" i="1"/>
  <c r="X114" i="1"/>
  <c r="X106" i="1"/>
  <c r="AA103" i="1"/>
  <c r="AA177" i="1"/>
  <c r="AA173" i="1"/>
  <c r="AA172" i="1"/>
  <c r="AA169" i="1"/>
  <c r="AA162" i="1"/>
  <c r="AA161" i="1"/>
  <c r="AA79" i="1"/>
  <c r="AA78" i="1"/>
  <c r="AA48" i="1"/>
  <c r="AA47" i="1"/>
  <c r="AA42" i="1"/>
  <c r="AA32" i="1"/>
  <c r="AA28" i="1"/>
  <c r="AA24" i="1"/>
  <c r="AA20" i="1"/>
  <c r="AA98" i="1"/>
  <c r="X175" i="1"/>
  <c r="AA168" i="1"/>
  <c r="AA167" i="1"/>
  <c r="AA164" i="1"/>
  <c r="AA85" i="1"/>
  <c r="AA55" i="1"/>
  <c r="AA50" i="1"/>
  <c r="AA40" i="1"/>
  <c r="AA39" i="1"/>
  <c r="AA34" i="1"/>
  <c r="AA30" i="1"/>
  <c r="AA26" i="1"/>
  <c r="AA22" i="1"/>
  <c r="AA18" i="1"/>
  <c r="AA200" i="1"/>
  <c r="AA101" i="1"/>
  <c r="AA45" i="1"/>
  <c r="AD32" i="3"/>
  <c r="AC11" i="3"/>
  <c r="AD36" i="3"/>
  <c r="AD29" i="3"/>
  <c r="AE27" i="3"/>
  <c r="AE11" i="3"/>
  <c r="AD41" i="3"/>
  <c r="AC25" i="3"/>
  <c r="AC27" i="3"/>
  <c r="AC9" i="3"/>
  <c r="AC24" i="3"/>
  <c r="T24" i="3"/>
  <c r="AD28" i="3"/>
  <c r="S12" i="3"/>
  <c r="S15" i="3"/>
  <c r="AC37" i="3"/>
  <c r="AD27" i="3"/>
  <c r="T36" i="3"/>
  <c r="AD17" i="3"/>
  <c r="AD40" i="3"/>
  <c r="AC23" i="3"/>
  <c r="T23" i="3"/>
  <c r="S37" i="3"/>
  <c r="AD20" i="3"/>
  <c r="AD11" i="3"/>
  <c r="T106" i="1"/>
  <c r="AA100" i="1"/>
  <c r="AA97" i="1"/>
  <c r="W97" i="1" s="1"/>
  <c r="AA194" i="1"/>
  <c r="AA189" i="1"/>
  <c r="AA184" i="1"/>
  <c r="AA180" i="1"/>
  <c r="W180" i="1" s="1"/>
  <c r="AA176" i="1"/>
  <c r="AA174" i="1"/>
  <c r="AA160" i="1"/>
  <c r="AA77" i="1"/>
  <c r="W77" i="1" s="1"/>
  <c r="AA76" i="1"/>
  <c r="AA58" i="1"/>
  <c r="AA54" i="1"/>
  <c r="AA52" i="1"/>
  <c r="W52" i="1" s="1"/>
  <c r="AA51" i="1"/>
  <c r="AA38" i="1"/>
  <c r="AA36" i="1"/>
  <c r="AA35" i="1"/>
  <c r="W35" i="1" s="1"/>
  <c r="AA29" i="1"/>
  <c r="AA25" i="1"/>
  <c r="AA21" i="1"/>
  <c r="AA17" i="1"/>
  <c r="X128" i="1"/>
  <c r="AA114" i="1"/>
  <c r="AA202" i="1"/>
  <c r="AA213" i="1"/>
  <c r="W213" i="1" s="1"/>
  <c r="AA209" i="1"/>
  <c r="AA208" i="1"/>
  <c r="AA156" i="1"/>
  <c r="AA152" i="1"/>
  <c r="AA148" i="1"/>
  <c r="AA144" i="1"/>
  <c r="AA140" i="1"/>
  <c r="AA133" i="1"/>
  <c r="W133" i="1" s="1"/>
  <c r="AA131" i="1"/>
  <c r="X129" i="1"/>
  <c r="X125" i="1"/>
  <c r="X121" i="1"/>
  <c r="AA118" i="1"/>
  <c r="AA117" i="1"/>
  <c r="AA108" i="1"/>
  <c r="AA107" i="1"/>
  <c r="W107" i="1" s="1"/>
  <c r="AA106" i="1"/>
  <c r="AA104" i="1"/>
  <c r="AA212" i="1"/>
  <c r="AA96" i="1"/>
  <c r="AA187" i="1"/>
  <c r="AA182" i="1"/>
  <c r="AA179" i="1"/>
  <c r="AA171" i="1"/>
  <c r="W171" i="1" s="1"/>
  <c r="AA87" i="1"/>
  <c r="AA81" i="1"/>
  <c r="AA80" i="1"/>
  <c r="AA70" i="1"/>
  <c r="W70" i="1" s="1"/>
  <c r="AA69" i="1"/>
  <c r="AA66" i="1"/>
  <c r="AA65" i="1"/>
  <c r="AA62" i="1"/>
  <c r="W62" i="1" s="1"/>
  <c r="X58" i="1"/>
  <c r="AA46" i="1"/>
  <c r="AA44" i="1"/>
  <c r="AA43" i="1"/>
  <c r="AA31" i="1"/>
  <c r="AA27" i="1"/>
  <c r="AA23" i="1"/>
  <c r="AA19" i="1"/>
  <c r="W19" i="1" s="1"/>
  <c r="AA15" i="1"/>
  <c r="AA217" i="1"/>
  <c r="AA215" i="1"/>
  <c r="AA199" i="1"/>
  <c r="AA157" i="1"/>
  <c r="AA153" i="1"/>
  <c r="AA149" i="1"/>
  <c r="AA145" i="1"/>
  <c r="W145" i="1" s="1"/>
  <c r="AA141" i="1"/>
  <c r="AA137" i="1"/>
  <c r="AA135" i="1"/>
  <c r="AA127" i="1"/>
  <c r="AA119" i="1"/>
  <c r="T114" i="1"/>
  <c r="AA16" i="1"/>
  <c r="AA205" i="1"/>
  <c r="W205" i="1" s="1"/>
  <c r="AA197" i="1"/>
  <c r="T128" i="1"/>
  <c r="AA201" i="1"/>
  <c r="W201" i="1" s="1"/>
  <c r="X124" i="1"/>
  <c r="X120" i="1"/>
  <c r="X117" i="1"/>
  <c r="X110" i="1"/>
  <c r="X109" i="1"/>
  <c r="T177" i="1"/>
  <c r="AA94" i="1"/>
  <c r="AA163" i="1"/>
  <c r="AA90" i="1"/>
  <c r="AA75" i="1"/>
  <c r="AA74" i="1"/>
  <c r="AA72" i="1"/>
  <c r="AA64" i="1"/>
  <c r="W64" i="1" s="1"/>
  <c r="X59" i="1"/>
  <c r="AA57" i="1"/>
  <c r="AA56" i="1"/>
  <c r="X119" i="1"/>
  <c r="X116" i="1"/>
  <c r="X115" i="1"/>
  <c r="X108" i="1"/>
  <c r="X107" i="1"/>
  <c r="X176" i="1"/>
  <c r="AA170" i="1"/>
  <c r="AA165" i="1"/>
  <c r="AA92" i="1"/>
  <c r="W92" i="1" s="1"/>
  <c r="AA84" i="1"/>
  <c r="AA14" i="1"/>
  <c r="X126" i="1"/>
  <c r="X122" i="1"/>
  <c r="X113" i="1"/>
  <c r="T112" i="1"/>
  <c r="AA159" i="1"/>
  <c r="AA86" i="1"/>
  <c r="W86" i="1" s="1"/>
  <c r="AA68" i="1"/>
  <c r="AA61" i="1"/>
  <c r="AA60" i="1"/>
  <c r="AA59" i="1"/>
  <c r="W59" i="1" s="1"/>
  <c r="X56" i="1"/>
  <c r="U219" i="1"/>
  <c r="S219" i="1" s="1"/>
  <c r="AI219" i="1"/>
  <c r="U218" i="1"/>
  <c r="S218" i="1" s="1"/>
  <c r="AI218" i="1"/>
  <c r="U217" i="1"/>
  <c r="S217" i="1" s="1"/>
  <c r="AI217" i="1"/>
  <c r="AI216" i="1"/>
  <c r="U216" i="1"/>
  <c r="S216" i="1" s="1"/>
  <c r="U215" i="1"/>
  <c r="AI215" i="1"/>
  <c r="S215" i="1"/>
  <c r="U214" i="1"/>
  <c r="S214" i="1" s="1"/>
  <c r="AI214" i="1"/>
  <c r="U213" i="1"/>
  <c r="S213" i="1" s="1"/>
  <c r="AI213" i="1"/>
  <c r="U210" i="1"/>
  <c r="S210" i="1" s="1"/>
  <c r="AI212" i="1"/>
  <c r="U209" i="1"/>
  <c r="S209" i="1" s="1"/>
  <c r="AI211" i="1"/>
  <c r="U208" i="1"/>
  <c r="S208" i="1" s="1"/>
  <c r="AI210" i="1"/>
  <c r="U207" i="1"/>
  <c r="S207" i="1" s="1"/>
  <c r="AI209" i="1"/>
  <c r="U206" i="1"/>
  <c r="S206" i="1" s="1"/>
  <c r="AI208" i="1"/>
  <c r="U205" i="1"/>
  <c r="S205" i="1" s="1"/>
  <c r="AI207" i="1"/>
  <c r="U204" i="1"/>
  <c r="S204" i="1" s="1"/>
  <c r="AI206" i="1"/>
  <c r="U203" i="1"/>
  <c r="S203" i="1" s="1"/>
  <c r="AI205" i="1"/>
  <c r="U202" i="1"/>
  <c r="S202" i="1" s="1"/>
  <c r="AI204" i="1"/>
  <c r="U201" i="1"/>
  <c r="S201" i="1" s="1"/>
  <c r="AI203" i="1"/>
  <c r="U200" i="1"/>
  <c r="S200" i="1" s="1"/>
  <c r="AI202" i="1"/>
  <c r="U199" i="1"/>
  <c r="S199" i="1" s="1"/>
  <c r="AI201" i="1"/>
  <c r="U198" i="1"/>
  <c r="S198" i="1" s="1"/>
  <c r="AI200" i="1"/>
  <c r="U197" i="1"/>
  <c r="S197" i="1" s="1"/>
  <c r="AI199" i="1"/>
  <c r="U158" i="1"/>
  <c r="S158" i="1" s="1"/>
  <c r="AI198" i="1"/>
  <c r="U157" i="1"/>
  <c r="S157" i="1" s="1"/>
  <c r="AI197" i="1"/>
  <c r="U156" i="1"/>
  <c r="S156" i="1" s="1"/>
  <c r="AI194" i="1"/>
  <c r="U155" i="1"/>
  <c r="S155" i="1" s="1"/>
  <c r="AI193" i="1"/>
  <c r="U154" i="1"/>
  <c r="S154" i="1" s="1"/>
  <c r="AI190" i="1"/>
  <c r="U153" i="1"/>
  <c r="S153" i="1" s="1"/>
  <c r="AI189" i="1"/>
  <c r="U152" i="1"/>
  <c r="S152" i="1" s="1"/>
  <c r="AI188" i="1"/>
  <c r="U151" i="1"/>
  <c r="S151" i="1" s="1"/>
  <c r="AI187" i="1"/>
  <c r="U150" i="1"/>
  <c r="S150" i="1" s="1"/>
  <c r="AI186" i="1"/>
  <c r="U149" i="1"/>
  <c r="S149" i="1" s="1"/>
  <c r="AI184" i="1"/>
  <c r="U148" i="1"/>
  <c r="S148" i="1" s="1"/>
  <c r="AI183" i="1"/>
  <c r="U147" i="1"/>
  <c r="S147" i="1" s="1"/>
  <c r="AI182" i="1"/>
  <c r="U146" i="1"/>
  <c r="S146" i="1" s="1"/>
  <c r="AI181" i="1"/>
  <c r="U145" i="1"/>
  <c r="S145" i="1" s="1"/>
  <c r="AI180" i="1"/>
  <c r="U144" i="1"/>
  <c r="S144" i="1" s="1"/>
  <c r="AI179" i="1"/>
  <c r="U143" i="1"/>
  <c r="S143" i="1" s="1"/>
  <c r="AI178" i="1"/>
  <c r="U142" i="1"/>
  <c r="AI177" i="1"/>
  <c r="U141" i="1"/>
  <c r="S141" i="1" s="1"/>
  <c r="AI176" i="1"/>
  <c r="U140" i="1"/>
  <c r="S140" i="1" s="1"/>
  <c r="AI175" i="1"/>
  <c r="U139" i="1"/>
  <c r="S139" i="1" s="1"/>
  <c r="AI174" i="1"/>
  <c r="U138" i="1"/>
  <c r="S138" i="1" s="1"/>
  <c r="AI173" i="1"/>
  <c r="U137" i="1"/>
  <c r="S137" i="1" s="1"/>
  <c r="AI172" i="1"/>
  <c r="U136" i="1"/>
  <c r="S136" i="1" s="1"/>
  <c r="AI171" i="1"/>
  <c r="U135" i="1"/>
  <c r="S135" i="1" s="1"/>
  <c r="AI170" i="1"/>
  <c r="U134" i="1"/>
  <c r="S134" i="1" s="1"/>
  <c r="AI169" i="1"/>
  <c r="U133" i="1"/>
  <c r="S133" i="1" s="1"/>
  <c r="AI168" i="1"/>
  <c r="U132" i="1"/>
  <c r="S132" i="1" s="1"/>
  <c r="AI167" i="1"/>
  <c r="U131" i="1"/>
  <c r="S131" i="1" s="1"/>
  <c r="AI166" i="1"/>
  <c r="U130" i="1"/>
  <c r="S130" i="1" s="1"/>
  <c r="AI165" i="1"/>
  <c r="U129" i="1"/>
  <c r="S129" i="1" s="1"/>
  <c r="AI164" i="1"/>
  <c r="U128" i="1"/>
  <c r="S128" i="1" s="1"/>
  <c r="AI163" i="1"/>
  <c r="U127" i="1"/>
  <c r="S127" i="1" s="1"/>
  <c r="AI162" i="1"/>
  <c r="AI161" i="1"/>
  <c r="AI160" i="1"/>
  <c r="AI159" i="1"/>
  <c r="AI158" i="1"/>
  <c r="AI157" i="1"/>
  <c r="AI156" i="1"/>
  <c r="AI155" i="1"/>
  <c r="AI107" i="1"/>
  <c r="AI108" i="1"/>
  <c r="AI111" i="1"/>
  <c r="AI109" i="1"/>
  <c r="U119" i="1"/>
  <c r="S119" i="1" s="1"/>
  <c r="AI154" i="1"/>
  <c r="AI153" i="1"/>
  <c r="U117" i="1"/>
  <c r="S117" i="1" s="1"/>
  <c r="AI152" i="1"/>
  <c r="U116" i="1"/>
  <c r="S116" i="1" s="1"/>
  <c r="AI151" i="1"/>
  <c r="W116" i="1"/>
  <c r="U115" i="1"/>
  <c r="S115" i="1" s="1"/>
  <c r="AI150" i="1"/>
  <c r="U114" i="1"/>
  <c r="S114" i="1" s="1"/>
  <c r="AI149" i="1"/>
  <c r="W114" i="1"/>
  <c r="U113" i="1"/>
  <c r="S113" i="1" s="1"/>
  <c r="AI148" i="1"/>
  <c r="U112" i="1"/>
  <c r="S112" i="1" s="1"/>
  <c r="AI147" i="1"/>
  <c r="W112" i="1"/>
  <c r="U111" i="1"/>
  <c r="S111" i="1" s="1"/>
  <c r="AI146" i="1"/>
  <c r="U110" i="1"/>
  <c r="S110" i="1" s="1"/>
  <c r="AI145" i="1"/>
  <c r="U109" i="1"/>
  <c r="S109" i="1" s="1"/>
  <c r="AI144" i="1"/>
  <c r="U108" i="1"/>
  <c r="S108" i="1" s="1"/>
  <c r="AI143" i="1"/>
  <c r="W108" i="1"/>
  <c r="U107" i="1"/>
  <c r="S107" i="1" s="1"/>
  <c r="AI142" i="1"/>
  <c r="U106" i="1"/>
  <c r="S106" i="1" s="1"/>
  <c r="AI141" i="1"/>
  <c r="W106" i="1"/>
  <c r="AI140" i="1"/>
  <c r="AI139" i="1"/>
  <c r="AI138" i="1"/>
  <c r="AI137" i="1"/>
  <c r="AI136" i="1"/>
  <c r="AI135" i="1"/>
  <c r="AI134" i="1"/>
  <c r="AI133" i="1"/>
  <c r="AI132" i="1"/>
  <c r="AI131" i="1"/>
  <c r="W194" i="1"/>
  <c r="AI130" i="1"/>
  <c r="W193" i="1"/>
  <c r="AI129" i="1"/>
  <c r="AI128" i="1"/>
  <c r="AI127" i="1"/>
  <c r="AI126" i="1"/>
  <c r="AI125" i="1"/>
  <c r="AI124" i="1"/>
  <c r="AI123" i="1"/>
  <c r="AI122" i="1"/>
  <c r="AI121" i="1"/>
  <c r="AI120" i="1"/>
  <c r="U181" i="1"/>
  <c r="S181" i="1" s="1"/>
  <c r="AI119" i="1"/>
  <c r="U180" i="1"/>
  <c r="S180" i="1" s="1"/>
  <c r="AI118" i="1"/>
  <c r="U95" i="1"/>
  <c r="S95" i="1" s="1"/>
  <c r="AI117" i="1"/>
  <c r="U179" i="1"/>
  <c r="S179" i="1" s="1"/>
  <c r="AI116" i="1"/>
  <c r="U178" i="1"/>
  <c r="S178" i="1" s="1"/>
  <c r="AI115" i="1"/>
  <c r="U177" i="1"/>
  <c r="S177" i="1"/>
  <c r="AI114" i="1"/>
  <c r="U176" i="1"/>
  <c r="S176" i="1" s="1"/>
  <c r="AI113" i="1"/>
  <c r="U175" i="1"/>
  <c r="S175" i="1" s="1"/>
  <c r="AI112" i="1"/>
  <c r="AI110" i="1"/>
  <c r="AI106" i="1"/>
  <c r="U68" i="1"/>
  <c r="S68" i="1" s="1"/>
  <c r="AI68" i="1"/>
  <c r="U64" i="1"/>
  <c r="S64" i="1" s="1"/>
  <c r="AI64" i="1"/>
  <c r="AI104" i="1"/>
  <c r="AI102" i="1"/>
  <c r="AI100" i="1"/>
  <c r="AI97" i="1"/>
  <c r="AI95" i="1"/>
  <c r="AI93" i="1"/>
  <c r="AI91" i="1"/>
  <c r="AI89" i="1"/>
  <c r="AI87" i="1"/>
  <c r="AI85" i="1"/>
  <c r="AI83" i="1"/>
  <c r="AI81" i="1"/>
  <c r="AI79" i="1"/>
  <c r="AI77" i="1"/>
  <c r="AI75" i="1"/>
  <c r="AI73" i="1"/>
  <c r="AI71" i="1"/>
  <c r="AI67" i="1"/>
  <c r="U67" i="1"/>
  <c r="S67" i="1" s="1"/>
  <c r="AI63" i="1"/>
  <c r="U63" i="1"/>
  <c r="S63" i="1" s="1"/>
  <c r="U70" i="1"/>
  <c r="S70" i="1" s="1"/>
  <c r="AI70" i="1"/>
  <c r="W66" i="1"/>
  <c r="U66" i="1"/>
  <c r="S66" i="1" s="1"/>
  <c r="AI66" i="1"/>
  <c r="U62" i="1"/>
  <c r="S62" i="1" s="1"/>
  <c r="AI62" i="1"/>
  <c r="AI105" i="1"/>
  <c r="AI103" i="1"/>
  <c r="AI101" i="1"/>
  <c r="AI98" i="1"/>
  <c r="AI96" i="1"/>
  <c r="AI94" i="1"/>
  <c r="AI92" i="1"/>
  <c r="AI90" i="1"/>
  <c r="AI88" i="1"/>
  <c r="AI86" i="1"/>
  <c r="AI84" i="1"/>
  <c r="AI82" i="1"/>
  <c r="AI80" i="1"/>
  <c r="AI78" i="1"/>
  <c r="AI76" i="1"/>
  <c r="AI74" i="1"/>
  <c r="AI72" i="1"/>
  <c r="U69" i="1"/>
  <c r="S69" i="1" s="1"/>
  <c r="AI69" i="1"/>
  <c r="U65" i="1"/>
  <c r="S65" i="1" s="1"/>
  <c r="AI65" i="1"/>
  <c r="U61" i="1"/>
  <c r="S61" i="1" s="1"/>
  <c r="AI61" i="1"/>
  <c r="U60" i="1"/>
  <c r="S60" i="1" s="1"/>
  <c r="AI60" i="1"/>
  <c r="U59" i="1"/>
  <c r="S59" i="1" s="1"/>
  <c r="AI59" i="1"/>
  <c r="U58" i="1"/>
  <c r="S58" i="1" s="1"/>
  <c r="AI58" i="1"/>
  <c r="AI57" i="1"/>
  <c r="U56" i="1"/>
  <c r="S56" i="1" s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W37" i="1"/>
  <c r="AI36" i="1"/>
  <c r="W36" i="1"/>
  <c r="AI35" i="1"/>
  <c r="AI34" i="1"/>
  <c r="W34" i="1"/>
  <c r="AI33" i="1"/>
  <c r="W33" i="1"/>
  <c r="AI32" i="1"/>
  <c r="W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W219" i="1"/>
  <c r="W218" i="1"/>
  <c r="W215" i="1"/>
  <c r="W197" i="1"/>
  <c r="W135" i="1"/>
  <c r="W131" i="1"/>
  <c r="W130" i="1"/>
  <c r="W129" i="1"/>
  <c r="W111" i="1"/>
  <c r="W209" i="1"/>
  <c r="W214" i="1"/>
  <c r="W208" i="1"/>
  <c r="W204" i="1"/>
  <c r="W200" i="1"/>
  <c r="W158" i="1"/>
  <c r="W134" i="1"/>
  <c r="W118" i="1"/>
  <c r="W117" i="1"/>
  <c r="W109" i="1"/>
  <c r="W217" i="1"/>
  <c r="W207" i="1"/>
  <c r="W203" i="1"/>
  <c r="W199" i="1"/>
  <c r="W157" i="1"/>
  <c r="W128" i="1"/>
  <c r="W119" i="1"/>
  <c r="W115" i="1"/>
  <c r="W216" i="1"/>
  <c r="W210" i="1"/>
  <c r="W206" i="1"/>
  <c r="W202" i="1"/>
  <c r="W198" i="1"/>
  <c r="W156" i="1"/>
  <c r="W155" i="1"/>
  <c r="W154" i="1"/>
  <c r="W153" i="1"/>
  <c r="W152" i="1"/>
  <c r="W151" i="1"/>
  <c r="W150" i="1"/>
  <c r="W149" i="1"/>
  <c r="W148" i="1"/>
  <c r="W147" i="1"/>
  <c r="W146" i="1"/>
  <c r="W144" i="1"/>
  <c r="W143" i="1"/>
  <c r="W142" i="1"/>
  <c r="W141" i="1"/>
  <c r="W140" i="1"/>
  <c r="W139" i="1"/>
  <c r="W138" i="1"/>
  <c r="W137" i="1"/>
  <c r="W136" i="1"/>
  <c r="W132" i="1"/>
  <c r="W113" i="1"/>
  <c r="W110" i="1"/>
  <c r="W127" i="1"/>
  <c r="W104" i="1"/>
  <c r="W102" i="1"/>
  <c r="AA126" i="1"/>
  <c r="W126" i="1" s="1"/>
  <c r="AA125" i="1"/>
  <c r="W125" i="1" s="1"/>
  <c r="AA124" i="1"/>
  <c r="W124" i="1" s="1"/>
  <c r="AA123" i="1"/>
  <c r="W123" i="1" s="1"/>
  <c r="AA122" i="1"/>
  <c r="W122" i="1" s="1"/>
  <c r="AA121" i="1"/>
  <c r="W121" i="1" s="1"/>
  <c r="AA120" i="1"/>
  <c r="W120" i="1" s="1"/>
  <c r="W212" i="1"/>
  <c r="W101" i="1"/>
  <c r="T126" i="1"/>
  <c r="U126" i="1" s="1"/>
  <c r="S126" i="1" s="1"/>
  <c r="T125" i="1"/>
  <c r="U125" i="1" s="1"/>
  <c r="S125" i="1" s="1"/>
  <c r="T124" i="1"/>
  <c r="U124" i="1" s="1"/>
  <c r="S124" i="1" s="1"/>
  <c r="T123" i="1"/>
  <c r="U123" i="1" s="1"/>
  <c r="S123" i="1" s="1"/>
  <c r="T122" i="1"/>
  <c r="U122" i="1" s="1"/>
  <c r="S122" i="1" s="1"/>
  <c r="T121" i="1"/>
  <c r="U121" i="1" s="1"/>
  <c r="S121" i="1" s="1"/>
  <c r="T120" i="1"/>
  <c r="U120" i="1" s="1"/>
  <c r="S120" i="1" s="1"/>
  <c r="W211" i="1"/>
  <c r="W100" i="1"/>
  <c r="X219" i="1"/>
  <c r="X218" i="1"/>
  <c r="X217" i="1"/>
  <c r="X216" i="1"/>
  <c r="X215" i="1"/>
  <c r="X214" i="1"/>
  <c r="X213" i="1"/>
  <c r="X210" i="1"/>
  <c r="X209" i="1"/>
  <c r="X208" i="1"/>
  <c r="X207" i="1"/>
  <c r="X206" i="1"/>
  <c r="X205" i="1"/>
  <c r="X204" i="1"/>
  <c r="X203" i="1"/>
  <c r="X202" i="1"/>
  <c r="X201" i="1"/>
  <c r="X200" i="1"/>
  <c r="X199" i="1"/>
  <c r="X198" i="1"/>
  <c r="X158" i="1"/>
  <c r="X157" i="1"/>
  <c r="X156" i="1"/>
  <c r="X155" i="1"/>
  <c r="X154" i="1"/>
  <c r="X153" i="1"/>
  <c r="X152" i="1"/>
  <c r="X151" i="1"/>
  <c r="X150" i="1"/>
  <c r="X149" i="1"/>
  <c r="X148" i="1"/>
  <c r="X147" i="1"/>
  <c r="X146" i="1"/>
  <c r="X145" i="1"/>
  <c r="X144" i="1"/>
  <c r="X143" i="1"/>
  <c r="X142" i="1"/>
  <c r="X141" i="1"/>
  <c r="X140" i="1"/>
  <c r="X139" i="1"/>
  <c r="X138" i="1"/>
  <c r="X137" i="1"/>
  <c r="X136" i="1"/>
  <c r="X135" i="1"/>
  <c r="X134" i="1"/>
  <c r="X133" i="1"/>
  <c r="X132" i="1"/>
  <c r="X131" i="1"/>
  <c r="X130" i="1"/>
  <c r="X127" i="1"/>
  <c r="T118" i="1"/>
  <c r="U118" i="1" s="1"/>
  <c r="S118" i="1" s="1"/>
  <c r="W105" i="1"/>
  <c r="W103" i="1"/>
  <c r="W98" i="1"/>
  <c r="T105" i="1"/>
  <c r="U105" i="1" s="1"/>
  <c r="S105" i="1" s="1"/>
  <c r="X105" i="1"/>
  <c r="T104" i="1"/>
  <c r="U104" i="1" s="1"/>
  <c r="S104" i="1" s="1"/>
  <c r="X104" i="1"/>
  <c r="T212" i="1"/>
  <c r="U212" i="1" s="1"/>
  <c r="S212" i="1" s="1"/>
  <c r="X212" i="1"/>
  <c r="T211" i="1"/>
  <c r="U211" i="1" s="1"/>
  <c r="S211" i="1" s="1"/>
  <c r="X211" i="1"/>
  <c r="T103" i="1"/>
  <c r="U103" i="1" s="1"/>
  <c r="S103" i="1" s="1"/>
  <c r="X103" i="1"/>
  <c r="T102" i="1"/>
  <c r="U102" i="1" s="1"/>
  <c r="S102" i="1" s="1"/>
  <c r="X102" i="1"/>
  <c r="T101" i="1"/>
  <c r="U101" i="1" s="1"/>
  <c r="S101" i="1" s="1"/>
  <c r="X101" i="1"/>
  <c r="T100" i="1"/>
  <c r="U100" i="1" s="1"/>
  <c r="S100" i="1" s="1"/>
  <c r="T98" i="1"/>
  <c r="U98" i="1" s="1"/>
  <c r="S98" i="1" s="1"/>
  <c r="X98" i="1"/>
  <c r="T97" i="1"/>
  <c r="U97" i="1" s="1"/>
  <c r="S97" i="1" s="1"/>
  <c r="X97" i="1"/>
  <c r="T194" i="1"/>
  <c r="U194" i="1" s="1"/>
  <c r="S194" i="1" s="1"/>
  <c r="X194" i="1"/>
  <c r="T193" i="1"/>
  <c r="U193" i="1" s="1"/>
  <c r="S193" i="1" s="1"/>
  <c r="T96" i="1"/>
  <c r="U96" i="1" s="1"/>
  <c r="S96" i="1" s="1"/>
  <c r="X96" i="1"/>
  <c r="T190" i="1"/>
  <c r="U190" i="1" s="1"/>
  <c r="S190" i="1" s="1"/>
  <c r="X190" i="1"/>
  <c r="T189" i="1"/>
  <c r="U189" i="1" s="1"/>
  <c r="X189" i="1"/>
  <c r="T188" i="1"/>
  <c r="U188" i="1" s="1"/>
  <c r="S188" i="1" s="1"/>
  <c r="X188" i="1"/>
  <c r="T187" i="1"/>
  <c r="U187" i="1" s="1"/>
  <c r="S187" i="1" s="1"/>
  <c r="X187" i="1"/>
  <c r="T186" i="1"/>
  <c r="U186" i="1" s="1"/>
  <c r="S186" i="1" s="1"/>
  <c r="T184" i="1"/>
  <c r="U184" i="1" s="1"/>
  <c r="S184" i="1" s="1"/>
  <c r="X184" i="1"/>
  <c r="T183" i="1"/>
  <c r="U183" i="1" s="1"/>
  <c r="S183" i="1" s="1"/>
  <c r="X183" i="1"/>
  <c r="T182" i="1"/>
  <c r="U182" i="1" s="1"/>
  <c r="S182" i="1" s="1"/>
  <c r="X182" i="1"/>
  <c r="W175" i="1"/>
  <c r="W94" i="1"/>
  <c r="W170" i="1"/>
  <c r="W176" i="1"/>
  <c r="W174" i="1"/>
  <c r="W96" i="1"/>
  <c r="W190" i="1"/>
  <c r="W189" i="1"/>
  <c r="W188" i="1"/>
  <c r="W187" i="1"/>
  <c r="W186" i="1"/>
  <c r="W184" i="1"/>
  <c r="W183" i="1"/>
  <c r="W182" i="1"/>
  <c r="W181" i="1"/>
  <c r="W95" i="1"/>
  <c r="W179" i="1"/>
  <c r="W178" i="1"/>
  <c r="W177" i="1"/>
  <c r="W172" i="1"/>
  <c r="X181" i="1"/>
  <c r="X180" i="1"/>
  <c r="X95" i="1"/>
  <c r="X179" i="1"/>
  <c r="X178" i="1"/>
  <c r="W166" i="1"/>
  <c r="W163" i="1"/>
  <c r="W93" i="1"/>
  <c r="W90" i="1"/>
  <c r="W85" i="1"/>
  <c r="W83" i="1"/>
  <c r="W81" i="1"/>
  <c r="W79" i="1"/>
  <c r="W75" i="1"/>
  <c r="W74" i="1"/>
  <c r="W72" i="1"/>
  <c r="W67" i="1"/>
  <c r="W173" i="1"/>
  <c r="W168" i="1"/>
  <c r="W165" i="1"/>
  <c r="W160" i="1"/>
  <c r="W87" i="1"/>
  <c r="W84" i="1"/>
  <c r="W82" i="1"/>
  <c r="W80" i="1"/>
  <c r="W78" i="1"/>
  <c r="W76" i="1"/>
  <c r="W65" i="1"/>
  <c r="W167" i="1"/>
  <c r="W162" i="1"/>
  <c r="W159" i="1"/>
  <c r="W89" i="1"/>
  <c r="W68" i="1"/>
  <c r="W63" i="1"/>
  <c r="W169" i="1"/>
  <c r="W164" i="1"/>
  <c r="W161" i="1"/>
  <c r="W91" i="1"/>
  <c r="W88" i="1"/>
  <c r="W73" i="1"/>
  <c r="W71" i="1"/>
  <c r="W69" i="1"/>
  <c r="T173" i="1"/>
  <c r="U173" i="1" s="1"/>
  <c r="S173" i="1" s="1"/>
  <c r="X173" i="1"/>
  <c r="T171" i="1"/>
  <c r="U171" i="1" s="1"/>
  <c r="S171" i="1" s="1"/>
  <c r="X171" i="1"/>
  <c r="T94" i="1"/>
  <c r="U94" i="1" s="1"/>
  <c r="S94" i="1" s="1"/>
  <c r="X94" i="1"/>
  <c r="T168" i="1"/>
  <c r="U168" i="1" s="1"/>
  <c r="S168" i="1" s="1"/>
  <c r="X168" i="1"/>
  <c r="T166" i="1"/>
  <c r="U166" i="1" s="1"/>
  <c r="S166" i="1" s="1"/>
  <c r="X166" i="1"/>
  <c r="T164" i="1"/>
  <c r="U164" i="1" s="1"/>
  <c r="S164" i="1" s="1"/>
  <c r="X164" i="1"/>
  <c r="T162" i="1"/>
  <c r="U162" i="1" s="1"/>
  <c r="S162" i="1" s="1"/>
  <c r="X162" i="1"/>
  <c r="T160" i="1"/>
  <c r="U160" i="1" s="1"/>
  <c r="S160" i="1" s="1"/>
  <c r="X160" i="1"/>
  <c r="T93" i="1"/>
  <c r="U93" i="1" s="1"/>
  <c r="S93" i="1" s="1"/>
  <c r="X93" i="1"/>
  <c r="T91" i="1"/>
  <c r="U91" i="1" s="1"/>
  <c r="S91" i="1" s="1"/>
  <c r="X91" i="1"/>
  <c r="T89" i="1"/>
  <c r="U89" i="1" s="1"/>
  <c r="S89" i="1" s="1"/>
  <c r="X89" i="1"/>
  <c r="T87" i="1"/>
  <c r="U87" i="1" s="1"/>
  <c r="S87" i="1" s="1"/>
  <c r="X87" i="1"/>
  <c r="T85" i="1"/>
  <c r="U85" i="1" s="1"/>
  <c r="S85" i="1" s="1"/>
  <c r="X85" i="1"/>
  <c r="T83" i="1"/>
  <c r="U83" i="1" s="1"/>
  <c r="S83" i="1" s="1"/>
  <c r="X83" i="1"/>
  <c r="T81" i="1"/>
  <c r="U81" i="1" s="1"/>
  <c r="S81" i="1" s="1"/>
  <c r="X81" i="1"/>
  <c r="T79" i="1"/>
  <c r="U79" i="1" s="1"/>
  <c r="S79" i="1" s="1"/>
  <c r="X79" i="1"/>
  <c r="T77" i="1"/>
  <c r="U77" i="1" s="1"/>
  <c r="S77" i="1" s="1"/>
  <c r="X77" i="1"/>
  <c r="T75" i="1"/>
  <c r="U75" i="1" s="1"/>
  <c r="S75" i="1" s="1"/>
  <c r="X75" i="1"/>
  <c r="T73" i="1"/>
  <c r="U73" i="1" s="1"/>
  <c r="S73" i="1" s="1"/>
  <c r="X73" i="1"/>
  <c r="T71" i="1"/>
  <c r="U71" i="1" s="1"/>
  <c r="S71" i="1" s="1"/>
  <c r="X71" i="1"/>
  <c r="W61" i="1"/>
  <c r="W57" i="1"/>
  <c r="W56" i="1"/>
  <c r="W48" i="1"/>
  <c r="W44" i="1"/>
  <c r="W40" i="1"/>
  <c r="X60" i="1"/>
  <c r="W58" i="1"/>
  <c r="X57" i="1"/>
  <c r="T57" i="1"/>
  <c r="U57" i="1" s="1"/>
  <c r="S57" i="1" s="1"/>
  <c r="W55" i="1"/>
  <c r="W51" i="1"/>
  <c r="W47" i="1"/>
  <c r="W43" i="1"/>
  <c r="W39" i="1"/>
  <c r="T174" i="1"/>
  <c r="U174" i="1" s="1"/>
  <c r="S174" i="1" s="1"/>
  <c r="X174" i="1"/>
  <c r="T172" i="1"/>
  <c r="U172" i="1" s="1"/>
  <c r="S172" i="1" s="1"/>
  <c r="X172" i="1"/>
  <c r="T170" i="1"/>
  <c r="U170" i="1" s="1"/>
  <c r="S170" i="1" s="1"/>
  <c r="X170" i="1"/>
  <c r="T169" i="1"/>
  <c r="U169" i="1" s="1"/>
  <c r="S169" i="1" s="1"/>
  <c r="X169" i="1"/>
  <c r="T167" i="1"/>
  <c r="U167" i="1" s="1"/>
  <c r="S167" i="1" s="1"/>
  <c r="X167" i="1"/>
  <c r="T165" i="1"/>
  <c r="U165" i="1" s="1"/>
  <c r="S165" i="1" s="1"/>
  <c r="X165" i="1"/>
  <c r="T163" i="1"/>
  <c r="U163" i="1" s="1"/>
  <c r="X163" i="1"/>
  <c r="T161" i="1"/>
  <c r="U161" i="1" s="1"/>
  <c r="S161" i="1" s="1"/>
  <c r="X161" i="1"/>
  <c r="T159" i="1"/>
  <c r="U159" i="1" s="1"/>
  <c r="S159" i="1" s="1"/>
  <c r="X159" i="1"/>
  <c r="T92" i="1"/>
  <c r="U92" i="1" s="1"/>
  <c r="S92" i="1" s="1"/>
  <c r="X92" i="1"/>
  <c r="T90" i="1"/>
  <c r="U90" i="1" s="1"/>
  <c r="S90" i="1" s="1"/>
  <c r="X90" i="1"/>
  <c r="T88" i="1"/>
  <c r="U88" i="1" s="1"/>
  <c r="S88" i="1" s="1"/>
  <c r="X88" i="1"/>
  <c r="T86" i="1"/>
  <c r="U86" i="1" s="1"/>
  <c r="S86" i="1" s="1"/>
  <c r="X86" i="1"/>
  <c r="T84" i="1"/>
  <c r="U84" i="1" s="1"/>
  <c r="S84" i="1" s="1"/>
  <c r="X84" i="1"/>
  <c r="T82" i="1"/>
  <c r="U82" i="1" s="1"/>
  <c r="S82" i="1" s="1"/>
  <c r="X82" i="1"/>
  <c r="T80" i="1"/>
  <c r="U80" i="1" s="1"/>
  <c r="S80" i="1" s="1"/>
  <c r="X80" i="1"/>
  <c r="T78" i="1"/>
  <c r="U78" i="1" s="1"/>
  <c r="S78" i="1" s="1"/>
  <c r="X78" i="1"/>
  <c r="T76" i="1"/>
  <c r="U76" i="1" s="1"/>
  <c r="S76" i="1" s="1"/>
  <c r="X76" i="1"/>
  <c r="T74" i="1"/>
  <c r="U74" i="1" s="1"/>
  <c r="S74" i="1" s="1"/>
  <c r="X74" i="1"/>
  <c r="T72" i="1"/>
  <c r="U72" i="1" s="1"/>
  <c r="S72" i="1" s="1"/>
  <c r="X72" i="1"/>
  <c r="X61" i="1"/>
  <c r="W54" i="1"/>
  <c r="W50" i="1"/>
  <c r="W46" i="1"/>
  <c r="W42" i="1"/>
  <c r="W38" i="1"/>
  <c r="W60" i="1"/>
  <c r="W53" i="1"/>
  <c r="W49" i="1"/>
  <c r="W45" i="1"/>
  <c r="W41" i="1"/>
  <c r="W31" i="1"/>
  <c r="W30" i="1"/>
  <c r="W29" i="1"/>
  <c r="W28" i="1"/>
  <c r="W27" i="1"/>
  <c r="W26" i="1"/>
  <c r="W25" i="1"/>
  <c r="W24" i="1"/>
  <c r="W23" i="1"/>
  <c r="W22" i="1"/>
  <c r="W21" i="1"/>
  <c r="W20" i="1"/>
  <c r="W18" i="1"/>
  <c r="W17" i="1"/>
  <c r="W16" i="1"/>
  <c r="W15" i="1"/>
  <c r="W14" i="1"/>
  <c r="X70" i="1"/>
  <c r="X69" i="1"/>
  <c r="X68" i="1"/>
  <c r="X67" i="1"/>
  <c r="X66" i="1"/>
  <c r="X65" i="1"/>
  <c r="X64" i="1"/>
  <c r="X63" i="1"/>
  <c r="X62" i="1"/>
  <c r="T55" i="1"/>
  <c r="U55" i="1" s="1"/>
  <c r="S55" i="1" s="1"/>
  <c r="X55" i="1"/>
  <c r="T54" i="1"/>
  <c r="U54" i="1" s="1"/>
  <c r="S54" i="1" s="1"/>
  <c r="X54" i="1"/>
  <c r="T53" i="1"/>
  <c r="U53" i="1" s="1"/>
  <c r="S53" i="1" s="1"/>
  <c r="X53" i="1"/>
  <c r="T52" i="1"/>
  <c r="U52" i="1" s="1"/>
  <c r="S52" i="1" s="1"/>
  <c r="X52" i="1"/>
  <c r="T51" i="1"/>
  <c r="U51" i="1" s="1"/>
  <c r="S51" i="1" s="1"/>
  <c r="X51" i="1"/>
  <c r="T50" i="1"/>
  <c r="U50" i="1" s="1"/>
  <c r="S50" i="1" s="1"/>
  <c r="X50" i="1"/>
  <c r="T49" i="1"/>
  <c r="U49" i="1" s="1"/>
  <c r="S49" i="1" s="1"/>
  <c r="X49" i="1"/>
  <c r="T48" i="1"/>
  <c r="U48" i="1" s="1"/>
  <c r="S48" i="1" s="1"/>
  <c r="X48" i="1"/>
  <c r="T47" i="1"/>
  <c r="U47" i="1" s="1"/>
  <c r="S47" i="1" s="1"/>
  <c r="X47" i="1"/>
  <c r="T46" i="1"/>
  <c r="U46" i="1" s="1"/>
  <c r="S46" i="1" s="1"/>
  <c r="X46" i="1"/>
  <c r="T45" i="1"/>
  <c r="U45" i="1" s="1"/>
  <c r="S45" i="1" s="1"/>
  <c r="X45" i="1"/>
  <c r="T44" i="1"/>
  <c r="U44" i="1" s="1"/>
  <c r="S44" i="1" s="1"/>
  <c r="X44" i="1"/>
  <c r="T43" i="1"/>
  <c r="U43" i="1" s="1"/>
  <c r="S43" i="1" s="1"/>
  <c r="X43" i="1"/>
  <c r="T42" i="1"/>
  <c r="U42" i="1" s="1"/>
  <c r="S42" i="1" s="1"/>
  <c r="X42" i="1"/>
  <c r="T41" i="1"/>
  <c r="U41" i="1" s="1"/>
  <c r="S41" i="1" s="1"/>
  <c r="X41" i="1"/>
  <c r="T40" i="1"/>
  <c r="U40" i="1" s="1"/>
  <c r="S40" i="1" s="1"/>
  <c r="X40" i="1"/>
  <c r="T39" i="1"/>
  <c r="U39" i="1" s="1"/>
  <c r="S39" i="1" s="1"/>
  <c r="X39" i="1"/>
  <c r="T38" i="1"/>
  <c r="U38" i="1" s="1"/>
  <c r="X38" i="1"/>
  <c r="T37" i="1"/>
  <c r="U37" i="1" s="1"/>
  <c r="S37" i="1" s="1"/>
  <c r="X37" i="1"/>
  <c r="T36" i="1"/>
  <c r="U36" i="1" s="1"/>
  <c r="S36" i="1" s="1"/>
  <c r="X36" i="1"/>
  <c r="T35" i="1"/>
  <c r="U35" i="1" s="1"/>
  <c r="S35" i="1" s="1"/>
  <c r="X35" i="1"/>
  <c r="T34" i="1"/>
  <c r="U34" i="1" s="1"/>
  <c r="S34" i="1" s="1"/>
  <c r="X34" i="1"/>
  <c r="T33" i="1"/>
  <c r="U33" i="1" s="1"/>
  <c r="S33" i="1" s="1"/>
  <c r="X33" i="1"/>
  <c r="T32" i="1"/>
  <c r="U32" i="1" s="1"/>
  <c r="S32" i="1" s="1"/>
  <c r="X32" i="1"/>
  <c r="T31" i="1"/>
  <c r="U31" i="1" s="1"/>
  <c r="S31" i="1" s="1"/>
  <c r="X31" i="1"/>
  <c r="T30" i="1"/>
  <c r="U30" i="1" s="1"/>
  <c r="S30" i="1" s="1"/>
  <c r="X30" i="1"/>
  <c r="T29" i="1"/>
  <c r="U29" i="1" s="1"/>
  <c r="S29" i="1" s="1"/>
  <c r="X29" i="1"/>
  <c r="T28" i="1"/>
  <c r="U28" i="1" s="1"/>
  <c r="S28" i="1" s="1"/>
  <c r="X28" i="1"/>
  <c r="T27" i="1"/>
  <c r="U27" i="1" s="1"/>
  <c r="S27" i="1" s="1"/>
  <c r="X27" i="1"/>
  <c r="T26" i="1"/>
  <c r="U26" i="1" s="1"/>
  <c r="S26" i="1" s="1"/>
  <c r="X26" i="1"/>
  <c r="T25" i="1"/>
  <c r="U25" i="1" s="1"/>
  <c r="S25" i="1" s="1"/>
  <c r="X25" i="1"/>
  <c r="T24" i="1"/>
  <c r="U24" i="1" s="1"/>
  <c r="S24" i="1" s="1"/>
  <c r="X24" i="1"/>
  <c r="T23" i="1"/>
  <c r="U23" i="1" s="1"/>
  <c r="S23" i="1" s="1"/>
  <c r="X23" i="1"/>
  <c r="T22" i="1"/>
  <c r="U22" i="1" s="1"/>
  <c r="S22" i="1" s="1"/>
  <c r="X22" i="1"/>
  <c r="T21" i="1"/>
  <c r="U21" i="1" s="1"/>
  <c r="S21" i="1" s="1"/>
  <c r="X21" i="1"/>
  <c r="T20" i="1"/>
  <c r="U20" i="1" s="1"/>
  <c r="S20" i="1" s="1"/>
  <c r="X20" i="1"/>
  <c r="T19" i="1"/>
  <c r="U19" i="1" s="1"/>
  <c r="S19" i="1" s="1"/>
  <c r="X19" i="1"/>
  <c r="T18" i="1"/>
  <c r="U18" i="1" s="1"/>
  <c r="S18" i="1" s="1"/>
  <c r="X18" i="1"/>
  <c r="T17" i="1"/>
  <c r="U17" i="1" s="1"/>
  <c r="S17" i="1" s="1"/>
  <c r="X17" i="1"/>
  <c r="T16" i="1"/>
  <c r="U16" i="1" s="1"/>
  <c r="S16" i="1" s="1"/>
  <c r="X16" i="1"/>
  <c r="T15" i="1"/>
  <c r="U15" i="1" s="1"/>
  <c r="S15" i="1" s="1"/>
  <c r="X15" i="1"/>
  <c r="T14" i="1"/>
  <c r="U14" i="1" s="1"/>
  <c r="S14" i="1" s="1"/>
  <c r="AD13" i="3"/>
  <c r="T35" i="3"/>
  <c r="AC34" i="3"/>
  <c r="AE35" i="3"/>
  <c r="AE31" i="3"/>
  <c r="AD25" i="3"/>
  <c r="AD19" i="3"/>
  <c r="T13" i="3"/>
  <c r="AC22" i="3"/>
  <c r="AE23" i="3"/>
  <c r="AD21" i="3"/>
  <c r="AD35" i="3"/>
  <c r="T30" i="3"/>
  <c r="AC38" i="3"/>
  <c r="T41" i="3"/>
  <c r="AC16" i="3"/>
  <c r="AE19" i="3"/>
  <c r="AE15" i="3"/>
  <c r="T32" i="3"/>
  <c r="AC40" i="3"/>
  <c r="AD8" i="3"/>
  <c r="AC8" i="3"/>
  <c r="AE32" i="3"/>
  <c r="AD31" i="3"/>
  <c r="T19" i="3"/>
  <c r="AC18" i="3"/>
  <c r="AC29" i="3"/>
  <c r="AE16" i="3"/>
  <c r="AD15" i="3"/>
  <c r="T28" i="3"/>
  <c r="AC21" i="3"/>
  <c r="AE36" i="3"/>
  <c r="AE20" i="3"/>
  <c r="AE40" i="3"/>
  <c r="AE24" i="3"/>
  <c r="Y8" i="3"/>
  <c r="Y12" i="3"/>
  <c r="Y27" i="3"/>
  <c r="Y11" i="3"/>
  <c r="Y9" i="3"/>
  <c r="Y37" i="3"/>
  <c r="Y29" i="3"/>
  <c r="Y36" i="3"/>
  <c r="Y13" i="3"/>
  <c r="Y28" i="3"/>
  <c r="Y32" i="3"/>
  <c r="Y24" i="3"/>
  <c r="Y35" i="3"/>
  <c r="Y30" i="3"/>
  <c r="Y19" i="3"/>
  <c r="Y41" i="3"/>
  <c r="Y26" i="3"/>
  <c r="Y14" i="3"/>
  <c r="Y31" i="3"/>
  <c r="Y17" i="3"/>
  <c r="Y7" i="3"/>
  <c r="Y15" i="3"/>
  <c r="Y33" i="3"/>
  <c r="Y20" i="3"/>
  <c r="Y23" i="3"/>
  <c r="Y25" i="3"/>
  <c r="Y34" i="3"/>
  <c r="Y38" i="3"/>
  <c r="Y18" i="3"/>
  <c r="Y10" i="3"/>
  <c r="Y16" i="3"/>
  <c r="Y22" i="3"/>
  <c r="Y21" i="3"/>
  <c r="Y40" i="3"/>
  <c r="T26" i="3"/>
  <c r="AE34" i="3"/>
  <c r="T14" i="3"/>
  <c r="AE30" i="3"/>
  <c r="T31" i="3"/>
  <c r="AE22" i="3"/>
  <c r="T7" i="3"/>
  <c r="AE18" i="3"/>
  <c r="T15" i="3"/>
  <c r="AE14" i="3"/>
  <c r="T33" i="3"/>
  <c r="AE10" i="3"/>
  <c r="T20" i="3"/>
  <c r="AE38" i="3"/>
  <c r="AE26" i="3"/>
  <c r="T17" i="3"/>
  <c r="AE41" i="3"/>
  <c r="T25" i="3"/>
  <c r="AD38" i="3"/>
  <c r="AE37" i="3"/>
  <c r="T34" i="3"/>
  <c r="AD34" i="3"/>
  <c r="AE33" i="3"/>
  <c r="T38" i="3"/>
  <c r="AD30" i="3"/>
  <c r="AE29" i="3"/>
  <c r="T18" i="3"/>
  <c r="AD26" i="3"/>
  <c r="AE25" i="3"/>
  <c r="T10" i="3"/>
  <c r="AD22" i="3"/>
  <c r="AE21" i="3"/>
  <c r="T16" i="3"/>
  <c r="AD18" i="3"/>
  <c r="AE17" i="3"/>
  <c r="T22" i="3"/>
  <c r="AD14" i="3"/>
  <c r="AE13" i="3"/>
  <c r="T21" i="3"/>
  <c r="AD10" i="3"/>
  <c r="AE9" i="3"/>
  <c r="T40" i="3"/>
  <c r="AE12" i="3"/>
  <c r="AE8" i="3"/>
  <c r="M39" i="3" l="1"/>
  <c r="R39" i="3"/>
  <c r="U39" i="3"/>
  <c r="X39" i="3"/>
  <c r="M30" i="5"/>
  <c r="M29" i="5"/>
  <c r="M28" i="5"/>
  <c r="M27" i="5"/>
  <c r="M26" i="5"/>
  <c r="W39" i="3"/>
  <c r="AD39" i="3" l="1"/>
  <c r="Y39" i="3"/>
  <c r="B5" i="6" l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D4" i="6" s="1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AM13" i="1"/>
  <c r="AG13" i="1"/>
  <c r="AI13" i="1" l="1"/>
  <c r="AA13" i="1"/>
  <c r="W13" i="1" s="1"/>
  <c r="T13" i="1"/>
  <c r="U13" i="1" s="1"/>
  <c r="S13" i="1" s="1"/>
  <c r="X13" i="1"/>
  <c r="O2" i="3" l="1"/>
  <c r="M23" i="5" l="1"/>
  <c r="S39" i="3" l="1"/>
  <c r="V39" i="3"/>
  <c r="AE39" i="3" s="1"/>
  <c r="AC39" i="3"/>
  <c r="AN13" i="1"/>
  <c r="V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N41" i="3" s="1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N32" i="3" s="1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N19" i="3" s="1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N25" i="3" s="1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26" i="3" l="1"/>
  <c r="N34" i="3"/>
  <c r="N38" i="3"/>
  <c r="N27" i="3"/>
  <c r="N21" i="3"/>
  <c r="N40" i="3"/>
  <c r="N35" i="3"/>
  <c r="N23" i="3"/>
  <c r="N31" i="3"/>
  <c r="N18" i="3"/>
  <c r="N36" i="3"/>
  <c r="N37" i="3"/>
  <c r="N29" i="3"/>
  <c r="N20" i="3"/>
  <c r="N16" i="3"/>
  <c r="N9" i="3"/>
  <c r="N8" i="3"/>
  <c r="N30" i="3"/>
  <c r="N14" i="3"/>
  <c r="N10" i="3"/>
  <c r="N7" i="3"/>
  <c r="N11" i="3"/>
  <c r="N15" i="3"/>
  <c r="N12" i="3"/>
  <c r="N13" i="3"/>
  <c r="N28" i="3"/>
  <c r="N33" i="3"/>
  <c r="N24" i="3"/>
  <c r="N17" i="3"/>
  <c r="N22" i="3"/>
  <c r="N39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T39" i="3" l="1"/>
  <c r="AF13" i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F4" i="6" l="1"/>
  <c r="G4" i="6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D5" i="6" l="1"/>
  <c r="D3" i="6" l="1"/>
  <c r="I5" i="6"/>
  <c r="G5" i="6"/>
  <c r="F5" i="6"/>
  <c r="H5" i="6"/>
  <c r="J5" i="6"/>
  <c r="G3" i="6" l="1"/>
  <c r="F3" i="6"/>
  <c r="H3" i="6"/>
  <c r="I3" i="6"/>
  <c r="J3" i="6"/>
  <c r="B6" i="6"/>
  <c r="D6" i="6" s="1"/>
  <c r="H6" i="6" l="1"/>
  <c r="J6" i="6"/>
  <c r="F6" i="6"/>
  <c r="G6" i="6"/>
  <c r="I6" i="6"/>
  <c r="B7" i="6"/>
  <c r="D7" i="6" s="1"/>
  <c r="B8" i="6" l="1"/>
  <c r="D8" i="6" s="1"/>
  <c r="F7" i="6"/>
  <c r="G7" i="6"/>
  <c r="I7" i="6"/>
  <c r="H7" i="6"/>
  <c r="J7" i="6"/>
  <c r="F8" i="6" l="1"/>
  <c r="G8" i="6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<sst xmlns="http://schemas.openxmlformats.org/spreadsheetml/2006/main" count="2659" uniqueCount="989">
  <si>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</si>
  <si>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</si>
  <si>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</si>
  <si>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</si>
  <si>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</si>
  <si>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</si>
  <si>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</si>
  <si>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</si>
  <si>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</si>
  <si>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</si>
  <si>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</si>
  <si>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</si>
  <si>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</si>
  <si>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</si>
  <si>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</si>
  <si>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</si>
  <si>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</si>
  <si>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</si>
  <si>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</si>
  <si>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</si>
  <si>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</si>
  <si>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</si>
  <si>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</si>
  <si>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</si>
  <si>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</si>
  <si>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</si>
  <si>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</si>
  <si>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</si>
  <si>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</si>
  <si>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</si>
  <si>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</si>
  <si>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</si>
  <si>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</si>
  <si>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</si>
  <si>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</si>
  <si>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</si>
  <si>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</si>
  <si>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</si>
  <si>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</si>
  <si>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</si>
  <si>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</si>
  <si>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</si>
  <si>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</si>
  <si>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</si>
  <si>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</si>
  <si>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</si>
  <si>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</si>
  <si>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</si>
  <si>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</si>
  <si>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</si>
  <si>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</si>
  <si>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</si>
  <si>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</si>
  <si>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</si>
  <si>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</si>
  <si>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</si>
  <si>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</si>
  <si>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</si>
  <si>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</si>
  <si>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</si>
  <si>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</si>
  <si>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</si>
  <si>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</si>
  <si>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</si>
  <si>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</si>
  <si>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</si>
  <si>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</si>
  <si>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</si>
  <si>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</si>
  <si>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</si>
  <si>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</si>
  <si>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</si>
  <si>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</si>
  <si>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</si>
  <si>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</si>
  <si>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</si>
  <si>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</si>
  <si>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</si>
  <si>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</si>
  <si>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</si>
  <si>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</si>
  <si>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</si>
  <si>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</si>
  <si>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</si>
  <si>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</si>
  <si>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</si>
  <si>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</si>
  <si>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</si>
  <si>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</si>
  <si>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</si>
  <si>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</si>
  <si>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</si>
  <si>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</si>
  <si>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</si>
  <si>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</si>
  <si>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</si>
  <si>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</si>
  <si>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</si>
  <si>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</si>
  <si>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</si>
  <si>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</si>
  <si>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</si>
  <si>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</si>
  <si>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</si>
  <si>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</si>
  <si>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</si>
  <si>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</si>
  <si>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</si>
  <si>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</si>
  <si>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</si>
  <si>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</si>
  <si>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</si>
  <si>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</si>
  <si>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</si>
  <si>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</si>
  <si>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</si>
  <si>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</si>
  <si>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</si>
  <si>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</si>
  <si>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</si>
  <si>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</si>
  <si>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</si>
  <si>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</si>
  <si>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</si>
  <si>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</si>
  <si>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</si>
  <si>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</si>
  <si>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</si>
  <si>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</si>
  <si>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</si>
  <si>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</si>
  <si>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</si>
  <si>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</si>
  <si>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</si>
  <si>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</si>
  <si>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</si>
  <si>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</si>
  <si>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</si>
  <si>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</si>
  <si>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</si>
  <si>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</si>
  <si>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</si>
  <si>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</si>
  <si>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</si>
  <si>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</si>
  <si>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</si>
  <si>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</si>
  <si>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</si>
  <si>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</si>
  <si>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</si>
  <si>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</si>
  <si>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</si>
  <si>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</si>
  <si>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</si>
  <si>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</si>
  <si>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</si>
  <si>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</si>
  <si>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</si>
  <si>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</si>
  <si>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</si>
  <si>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</si>
  <si>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</si>
  <si>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</si>
  <si>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</si>
  <si>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</si>
  <si>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</si>
  <si>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</si>
  <si>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</si>
  <si>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</si>
  <si>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</si>
  <si>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</si>
  <si>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</si>
  <si>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</si>
  <si>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</si>
  <si>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</si>
  <si>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</si>
  <si>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</si>
  <si>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</si>
  <si>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</si>
  <si>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</si>
  <si>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</si>
  <si>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</si>
  <si>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</si>
  <si>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</si>
  <si>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</si>
  <si>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</si>
  <si>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</si>
  <si>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</si>
  <si>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</si>
  <si>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</si>
  <si>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MICHAEL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</si>
  <si>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</si>
  <si>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</si>
  <si>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</si>
  <si>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</si>
  <si>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</si>
  <si>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</si>
  <si>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</si>
  <si>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</si>
  <si>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</si>
  <si>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</si>
  <si>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</si>
  <si>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</si>
  <si>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</si>
  <si>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</si>
  <si>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</si>
  <si>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</si>
  <si>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</si>
  <si>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</si>
  <si>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</si>
  <si>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</si>
  <si>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</si>
  <si>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</si>
  <si>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</si>
  <si>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</si>
  <si>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</si>
  <si>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</si>
  <si>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</si>
  <si>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</si>
  <si>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</si>
  <si>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</si>
  <si>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</si>
  <si>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</si>
  <si>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</si>
  <si>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</si>
  <si>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</si>
  <si>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</si>
  <si>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</si>
  <si>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</si>
  <si>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</si>
  <si>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</si>
  <si>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</si>
  <si>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</si>
  <si>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</si>
  <si>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</si>
  <si>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</si>
  <si>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</si>
  <si>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</si>
  <si>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</si>
  <si>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</si>
  <si>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</si>
  <si>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</si>
  <si>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</si>
  <si>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</si>
  <si>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</si>
  <si>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</si>
  <si>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</si>
  <si>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</si>
  <si>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</si>
  <si>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</si>
  <si>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</si>
  <si>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</si>
  <si>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</si>
  <si>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</si>
  <si>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</si>
  <si>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</si>
  <si>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</si>
  <si>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</si>
  <si>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</si>
  <si>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</si>
  <si>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</si>
  <si>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</si>
  <si>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</si>
  <si>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</si>
  <si>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</si>
  <si>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</si>
  <si>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</si>
  <si>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</si>
  <si>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</si>
  <si>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</si>
  <si>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</si>
  <si>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</si>
  <si>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</si>
  <si>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</si>
  <si>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</si>
  <si>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</si>
  <si>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</si>
  <si>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</si>
  <si>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</si>
  <si>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</si>
  <si>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</si>
  <si>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</si>
  <si>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</si>
  <si>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</si>
  <si>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</si>
  <si>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</si>
  <si>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</si>
  <si>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</si>
  <si>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</si>
  <si>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</si>
  <si>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</si>
  <si>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</si>
  <si>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</si>
  <si>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</si>
  <si>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</si>
  <si>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</si>
  <si>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</si>
  <si>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</si>
  <si>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</si>
  <si>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</si>
  <si>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</si>
  <si>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</si>
  <si>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</si>
  <si>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</si>
  <si>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</si>
  <si>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</si>
  <si>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</si>
  <si>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</si>
  <si>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</si>
  <si>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</si>
  <si>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</si>
  <si>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</si>
  <si>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</si>
  <si>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</si>
  <si>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</si>
  <si>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</si>
  <si>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</si>
  <si>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</si>
  <si>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</si>
  <si>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</si>
  <si>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</si>
  <si>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</si>
  <si>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</si>
  <si>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</si>
  <si>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</si>
  <si>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</si>
  <si>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</si>
  <si>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</si>
  <si>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</si>
  <si>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</si>
  <si>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</si>
  <si>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</si>
  <si>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</si>
  <si>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</si>
  <si>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</si>
  <si>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</si>
  <si>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204:446</t>
  </si>
  <si>
    <t>204:150</t>
  </si>
  <si>
    <t>204:149</t>
  </si>
  <si>
    <t>204:143</t>
  </si>
  <si>
    <t>204:453</t>
  </si>
  <si>
    <t>204:141</t>
  </si>
  <si>
    <t>204:147</t>
  </si>
  <si>
    <t>:.+((SYSTEM_STATE.+slice.+state.+changed )|(ment ac)|(multiple cpu faults)|(system.+state.+changed )|(\[timeout)|(PRM\|1\|D)|(kpr)|(kdp)|(train st.+moving)|(\|lc)|(penalty))</t>
  </si>
  <si>
    <t>DAVIS</t>
  </si>
  <si>
    <t>M - F = 49 trips</t>
  </si>
  <si>
    <t>uvIndex</t>
  </si>
  <si>
    <t>windGust</t>
  </si>
  <si>
    <t>204:455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</si>
  <si>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</si>
  <si>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</si>
  <si>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</si>
  <si>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</si>
  <si>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</si>
  <si>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</si>
  <si>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</si>
  <si>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</si>
  <si>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204:458</t>
  </si>
  <si>
    <t>204:152</t>
  </si>
  <si>
    <t>204:449</t>
  </si>
  <si>
    <t>SIGNAL</t>
  </si>
  <si>
    <t>Signal based authority (5)</t>
  </si>
  <si>
    <t>204:464</t>
  </si>
  <si>
    <t>204:145</t>
  </si>
  <si>
    <t>204:138</t>
  </si>
  <si>
    <t>Early Arrival</t>
  </si>
  <si>
    <t>204:156</t>
  </si>
  <si>
    <t>LOZA</t>
  </si>
  <si>
    <t>FIDEL</t>
  </si>
  <si>
    <t>204:232977</t>
  </si>
  <si>
    <t>rtdc.l.rtdc.4030:itc</t>
  </si>
  <si>
    <t>204:469</t>
  </si>
  <si>
    <t>204:161</t>
  </si>
  <si>
    <t>204:442</t>
  </si>
  <si>
    <t>JAMES</t>
  </si>
  <si>
    <t>204:160</t>
  </si>
  <si>
    <t>204:460</t>
  </si>
  <si>
    <t>204:158</t>
  </si>
  <si>
    <t>DUNCAN</t>
  </si>
  <si>
    <t>SHEILA</t>
  </si>
  <si>
    <t>PERKINS</t>
  </si>
  <si>
    <t>DARREN</t>
  </si>
  <si>
    <t>HART</t>
  </si>
  <si>
    <t>KEVIN</t>
  </si>
  <si>
    <t>204:440</t>
  </si>
  <si>
    <t>204:139</t>
  </si>
  <si>
    <t>NICHOLSON</t>
  </si>
  <si>
    <t>WESLEY</t>
  </si>
  <si>
    <t>204:136</t>
  </si>
  <si>
    <t>204:163</t>
  </si>
  <si>
    <t>204:462</t>
  </si>
  <si>
    <t>204:232996</t>
  </si>
  <si>
    <t>204:451</t>
  </si>
  <si>
    <t>rtdc.l.rtdc.4029:itc</t>
  </si>
  <si>
    <t>204:233289</t>
  </si>
  <si>
    <t>204:233312</t>
  </si>
  <si>
    <t>204:471</t>
  </si>
  <si>
    <t>204:232998</t>
  </si>
  <si>
    <t>STAMBAUGH</t>
  </si>
  <si>
    <t>204:233013</t>
  </si>
  <si>
    <t>rtdc.l.rtdc.4058:itc</t>
  </si>
  <si>
    <t>204:154</t>
  </si>
  <si>
    <t>204:232981</t>
  </si>
  <si>
    <t>204:233315</t>
  </si>
  <si>
    <t>204:437</t>
  </si>
  <si>
    <t>204:466</t>
  </si>
  <si>
    <t>rtdc.l.rtdc.4028:itc</t>
  </si>
  <si>
    <t>204:447</t>
  </si>
  <si>
    <t>204:233293</t>
  </si>
  <si>
    <t>204:232978</t>
  </si>
  <si>
    <t>204:233319</t>
  </si>
  <si>
    <t>204:232991</t>
  </si>
  <si>
    <t>204:685</t>
  </si>
  <si>
    <t>rtdc.l.rtdc.4043:itc</t>
  </si>
  <si>
    <t>YORK</t>
  </si>
  <si>
    <t>EDGAR</t>
  </si>
  <si>
    <t>204:233299</t>
  </si>
  <si>
    <t>204:473</t>
  </si>
  <si>
    <t>rtdc.l.rtdc.4057:itc</t>
  </si>
  <si>
    <t>Y</t>
  </si>
  <si>
    <t>204:232982</t>
  </si>
  <si>
    <t>204:475</t>
  </si>
  <si>
    <t>204:232993</t>
  </si>
  <si>
    <t>204:232985</t>
  </si>
  <si>
    <t>204:233332</t>
  </si>
  <si>
    <t>204:233325</t>
  </si>
  <si>
    <t>300:23308</t>
  </si>
  <si>
    <t>rtdc.l.rtdc.4023:itc</t>
  </si>
  <si>
    <t>rtdc.l.rtdc.4024:itc</t>
  </si>
  <si>
    <t>rtdc.l.rtdc.4005:itc</t>
  </si>
  <si>
    <t>204:233310</t>
  </si>
  <si>
    <t>204:232975</t>
  </si>
  <si>
    <t>204:233019</t>
  </si>
  <si>
    <t>204:233330</t>
  </si>
  <si>
    <t>204:130</t>
  </si>
  <si>
    <t>204:457</t>
  </si>
  <si>
    <t>204:233023</t>
  </si>
  <si>
    <t>Sat - Sun = 36 Trips</t>
  </si>
  <si>
    <t>"Summary View"</t>
  </si>
  <si>
    <t>rtdc.l.rtdc.4039:itc</t>
  </si>
  <si>
    <t>rtdc.l.rtdc.4018:itc</t>
  </si>
  <si>
    <t>rtdc.l.rtdc.4010:itc</t>
  </si>
  <si>
    <t>rtdc.l.rtdc.4017:itc</t>
  </si>
  <si>
    <t>rtdc.l.rtdc.4040:itc</t>
  </si>
  <si>
    <t>204:233306</t>
  </si>
  <si>
    <t>204:232987</t>
  </si>
  <si>
    <t>204:233295</t>
  </si>
  <si>
    <t>204:232984</t>
  </si>
  <si>
    <t>204:233317</t>
  </si>
  <si>
    <t>204:232988</t>
  </si>
  <si>
    <t>204:232986</t>
  </si>
  <si>
    <t>204:981</t>
  </si>
  <si>
    <t>204:1002</t>
  </si>
  <si>
    <t>rtdc.l.rtdc.4027:itc</t>
  </si>
  <si>
    <t>rtdc.l.rtdc.4044:itc</t>
  </si>
  <si>
    <t>FORTUNATO</t>
  </si>
  <si>
    <t>FRANK</t>
  </si>
  <si>
    <t>BIRKHOLZ</t>
  </si>
  <si>
    <t>NADINE</t>
  </si>
  <si>
    <t>204:233286</t>
  </si>
  <si>
    <t>204:233008</t>
  </si>
  <si>
    <t>204:232973</t>
  </si>
  <si>
    <t>300:23306</t>
  </si>
  <si>
    <t>300:23346</t>
  </si>
  <si>
    <t>rtdc.l.rtdc.4063:itc</t>
  </si>
  <si>
    <t>rtdc.l.rtdc.4042:itc</t>
  </si>
  <si>
    <t>rtdc.l.rtdc.4001:itc</t>
  </si>
  <si>
    <t>rtdc.l.rtdc.4064:itc</t>
  </si>
  <si>
    <t>51-20</t>
  </si>
  <si>
    <t>244-20</t>
  </si>
  <si>
    <t>ROCHA</t>
  </si>
  <si>
    <t>YAOTL</t>
  </si>
  <si>
    <t>WENDY</t>
  </si>
  <si>
    <t>GEBRETEKLE</t>
  </si>
  <si>
    <t>DAGNEW</t>
  </si>
  <si>
    <t>PAGE</t>
  </si>
  <si>
    <t>MARCUS</t>
  </si>
  <si>
    <t>DELGADO</t>
  </si>
  <si>
    <t>DIANAH</t>
  </si>
  <si>
    <t>BERLING</t>
  </si>
  <si>
    <t>GARY</t>
  </si>
  <si>
    <t>HOLCOMB</t>
  </si>
  <si>
    <t>KAMDEN</t>
  </si>
  <si>
    <t>ANDERS</t>
  </si>
  <si>
    <t>STEVEN</t>
  </si>
  <si>
    <t>313-20</t>
  </si>
  <si>
    <t>242-20</t>
  </si>
  <si>
    <t>307-20</t>
  </si>
  <si>
    <t>309-20</t>
  </si>
  <si>
    <t>311-20</t>
  </si>
  <si>
    <t>300-21</t>
  </si>
  <si>
    <t>204:233336</t>
  </si>
  <si>
    <t>204:233308</t>
  </si>
  <si>
    <t>204:167</t>
  </si>
  <si>
    <t>204:233002</t>
  </si>
  <si>
    <t>204:233338</t>
  </si>
  <si>
    <t>204:233280</t>
  </si>
  <si>
    <t>204:233301</t>
  </si>
  <si>
    <t>204:233011</t>
  </si>
  <si>
    <t>204:233316</t>
  </si>
  <si>
    <t>204:233342</t>
  </si>
  <si>
    <t>204:232969</t>
  </si>
  <si>
    <t>204:976</t>
  </si>
  <si>
    <t>204:1152</t>
  </si>
  <si>
    <t>c:\users\stu\Documents\GitHub\mrs-test-scripts\Headless Mode &amp; Sideloading\WalkAndUnGZ.bat</t>
  </si>
  <si>
    <t>rtdc.l.rtdc.4031:itc</t>
  </si>
  <si>
    <t>rtdc.l.rtdc.4009:itc</t>
  </si>
  <si>
    <t>rtdc.l.rtdc.4032:itc</t>
  </si>
  <si>
    <t>rtdc.l.rtdc.4052:itc</t>
  </si>
  <si>
    <t>rtdc.l.rtdc.4051:itc</t>
  </si>
  <si>
    <t>240-21</t>
  </si>
  <si>
    <t>244-21</t>
  </si>
  <si>
    <t>rtdc.l.rtdc.4006:itc</t>
  </si>
  <si>
    <t>rtdc.l.rtdc.4013:itc</t>
  </si>
  <si>
    <t>WILLIAMS</t>
  </si>
  <si>
    <t>DONTE</t>
  </si>
  <si>
    <t>rtdc.l.rtdc.4014:itc</t>
  </si>
  <si>
    <t>GONZALEZ</t>
  </si>
  <si>
    <t>ARMANDO</t>
  </si>
  <si>
    <t>BADERTSCHER</t>
  </si>
  <si>
    <t>DIANE</t>
  </si>
  <si>
    <t>DAVIDSON</t>
  </si>
  <si>
    <t>DAVID</t>
  </si>
  <si>
    <t>ELBAUM</t>
  </si>
  <si>
    <t>MIKE</t>
  </si>
  <si>
    <t>56-21</t>
  </si>
  <si>
    <t>LOPES</t>
  </si>
  <si>
    <t>KIMBERLY</t>
  </si>
  <si>
    <t>55-21</t>
  </si>
  <si>
    <t>229-21</t>
  </si>
  <si>
    <t>845-21</t>
  </si>
  <si>
    <t>228-21</t>
  </si>
  <si>
    <t>231-21</t>
  </si>
  <si>
    <t>84-21</t>
  </si>
  <si>
    <t>844-21</t>
  </si>
  <si>
    <t>233-21</t>
  </si>
  <si>
    <t>230-21</t>
  </si>
  <si>
    <t>847-21</t>
  </si>
  <si>
    <t>235-21</t>
  </si>
  <si>
    <t>232-21</t>
  </si>
  <si>
    <t>846-21</t>
  </si>
  <si>
    <t>234-21</t>
  </si>
  <si>
    <t>237-21</t>
  </si>
  <si>
    <t>849-21</t>
  </si>
  <si>
    <t>239-21</t>
  </si>
  <si>
    <t>236-21</t>
  </si>
  <si>
    <t>908-21</t>
  </si>
  <si>
    <t>241-21</t>
  </si>
  <si>
    <t>238-21</t>
  </si>
  <si>
    <t>243-21</t>
  </si>
  <si>
    <t>242-21</t>
  </si>
  <si>
    <t>313-21</t>
  </si>
  <si>
    <t>307-21</t>
  </si>
  <si>
    <t>309-21</t>
  </si>
  <si>
    <t>706-21</t>
  </si>
  <si>
    <t>311-21</t>
  </si>
  <si>
    <t>300-22</t>
  </si>
  <si>
    <t>50-22</t>
  </si>
  <si>
    <t>204:232979</t>
  </si>
  <si>
    <t>204:482</t>
  </si>
  <si>
    <t>204:127</t>
  </si>
  <si>
    <t>204:189</t>
  </si>
  <si>
    <t>204:232980</t>
  </si>
  <si>
    <t>204:134</t>
  </si>
  <si>
    <t>204:233334</t>
  </si>
  <si>
    <t>204:233309</t>
  </si>
  <si>
    <t>204:233000</t>
  </si>
  <si>
    <t>204:233021</t>
  </si>
  <si>
    <t>204:232961</t>
  </si>
  <si>
    <t>300:58679</t>
  </si>
  <si>
    <t>300:58685</t>
  </si>
  <si>
    <t>204:671</t>
  </si>
  <si>
    <t>204:974</t>
  </si>
  <si>
    <t>300:58924</t>
  </si>
  <si>
    <t>204:684</t>
  </si>
  <si>
    <t>204:233331</t>
  </si>
  <si>
    <t>310-24</t>
  </si>
  <si>
    <t>104-24</t>
  </si>
  <si>
    <t>312-24</t>
  </si>
  <si>
    <t>rtdc.l.rtdc.4066:itc</t>
  </si>
  <si>
    <t>111-24</t>
  </si>
  <si>
    <t>rtdc.l.rtdc.4049:itc</t>
  </si>
  <si>
    <t>1800-24</t>
  </si>
  <si>
    <t>116-24</t>
  </si>
  <si>
    <t>125-24</t>
  </si>
  <si>
    <t>1804-24</t>
  </si>
  <si>
    <t>1806-24</t>
  </si>
  <si>
    <t>139-24</t>
  </si>
  <si>
    <t>rtdc.l.rtdc.4065:itc</t>
  </si>
  <si>
    <t>140-24</t>
  </si>
  <si>
    <t>144-24</t>
  </si>
  <si>
    <t>157-24</t>
  </si>
  <si>
    <t>51-24</t>
  </si>
  <si>
    <t>1812-24</t>
  </si>
  <si>
    <t>167-24</t>
  </si>
  <si>
    <t>170-24</t>
  </si>
  <si>
    <t>rtdc.l.rtdc.4050:itc</t>
  </si>
  <si>
    <t>1817-24</t>
  </si>
  <si>
    <t>186-24</t>
  </si>
  <si>
    <t>1821-24</t>
  </si>
  <si>
    <t>rtdc.l.rtdc.4045:itc</t>
  </si>
  <si>
    <t>190-24</t>
  </si>
  <si>
    <t>209-24</t>
  </si>
  <si>
    <t>1825-24</t>
  </si>
  <si>
    <t>212-24</t>
  </si>
  <si>
    <t>1827-24</t>
  </si>
  <si>
    <t>221-24</t>
  </si>
  <si>
    <t>1828-24</t>
  </si>
  <si>
    <t>1830-24</t>
  </si>
  <si>
    <t>226-24</t>
  </si>
  <si>
    <t>237-24</t>
  </si>
  <si>
    <t>245-23</t>
  </si>
  <si>
    <t>307-23</t>
  </si>
  <si>
    <t>rtdc.l.rtdc.4025:itc</t>
  </si>
  <si>
    <t>244-23</t>
  </si>
  <si>
    <t>309-23</t>
  </si>
  <si>
    <t>246-23</t>
  </si>
  <si>
    <t>rtdc.l.rtdc.4026:itc</t>
  </si>
  <si>
    <t>311-23</t>
  </si>
  <si>
    <t>313-23</t>
  </si>
  <si>
    <t>300-24</t>
  </si>
  <si>
    <t>THOMPSON</t>
  </si>
  <si>
    <t>LESTER</t>
  </si>
  <si>
    <t>101-24</t>
  </si>
  <si>
    <t>302-24</t>
  </si>
  <si>
    <t>LANGERAK</t>
  </si>
  <si>
    <t>WILLIAM</t>
  </si>
  <si>
    <t>52-24</t>
  </si>
  <si>
    <t>103-24</t>
  </si>
  <si>
    <t>304-24</t>
  </si>
  <si>
    <t>rtdc.l.rtdc.4046:itc</t>
  </si>
  <si>
    <t>105-24</t>
  </si>
  <si>
    <t>rtdc.l.rtdc.4059:itc</t>
  </si>
  <si>
    <t>306-24</t>
  </si>
  <si>
    <t>102-24</t>
  </si>
  <si>
    <t>rtdc.l.rtdc.4061:itc</t>
  </si>
  <si>
    <t>308-24</t>
  </si>
  <si>
    <t>rtdc.l.rtdc.4060:itc</t>
  </si>
  <si>
    <t>107-24</t>
  </si>
  <si>
    <t>rtdc.l.rtdc.4062:itc</t>
  </si>
  <si>
    <t>109-24</t>
  </si>
  <si>
    <t>106-24</t>
  </si>
  <si>
    <t>113-24</t>
  </si>
  <si>
    <t>1901-24</t>
  </si>
  <si>
    <t>MACDONALD</t>
  </si>
  <si>
    <t>THOMAS</t>
  </si>
  <si>
    <t>LAMAR</t>
  </si>
  <si>
    <t>NEKESHA</t>
  </si>
  <si>
    <t>108-24</t>
  </si>
  <si>
    <t>110-24</t>
  </si>
  <si>
    <t>115-24</t>
  </si>
  <si>
    <t>117-24</t>
  </si>
  <si>
    <t>112-24</t>
  </si>
  <si>
    <t>119-24</t>
  </si>
  <si>
    <t>1801-24</t>
  </si>
  <si>
    <t>114-24</t>
  </si>
  <si>
    <t>121-24</t>
  </si>
  <si>
    <t>123-24</t>
  </si>
  <si>
    <t>1802-24</t>
  </si>
  <si>
    <t>118-24</t>
  </si>
  <si>
    <t>120-24</t>
  </si>
  <si>
    <t>127-24</t>
  </si>
  <si>
    <t>1803-24</t>
  </si>
  <si>
    <t>124-24</t>
  </si>
  <si>
    <t>122-24</t>
  </si>
  <si>
    <t>129-24</t>
  </si>
  <si>
    <t>131-24</t>
  </si>
  <si>
    <t>126-24</t>
  </si>
  <si>
    <t>133-24</t>
  </si>
  <si>
    <t>128-24</t>
  </si>
  <si>
    <t>135-24</t>
  </si>
  <si>
    <t>130-24</t>
  </si>
  <si>
    <t>1805-24</t>
  </si>
  <si>
    <t>137-24</t>
  </si>
  <si>
    <t>132-24</t>
  </si>
  <si>
    <t>134-24</t>
  </si>
  <si>
    <t>141-24</t>
  </si>
  <si>
    <t>136-24</t>
  </si>
  <si>
    <t>138-24</t>
  </si>
  <si>
    <t>143-24</t>
  </si>
  <si>
    <t>1807-24</t>
  </si>
  <si>
    <t>145-24</t>
  </si>
  <si>
    <t>147-24</t>
  </si>
  <si>
    <t>142-24</t>
  </si>
  <si>
    <t>1808-24</t>
  </si>
  <si>
    <t>149-24</t>
  </si>
  <si>
    <t>151-24</t>
  </si>
  <si>
    <t>1809-24</t>
  </si>
  <si>
    <t>146-24</t>
  </si>
  <si>
    <t>153-24</t>
  </si>
  <si>
    <t>148-24</t>
  </si>
  <si>
    <t>155-24</t>
  </si>
  <si>
    <t>RESPASS</t>
  </si>
  <si>
    <t>AARON</t>
  </si>
  <si>
    <t>150-24</t>
  </si>
  <si>
    <t>152-24</t>
  </si>
  <si>
    <t>1810-24</t>
  </si>
  <si>
    <t>159-24</t>
  </si>
  <si>
    <t>154-24</t>
  </si>
  <si>
    <t>1811-24</t>
  </si>
  <si>
    <t>161-24</t>
  </si>
  <si>
    <t>156-24</t>
  </si>
  <si>
    <t>163-24</t>
  </si>
  <si>
    <t>SAFIEF</t>
  </si>
  <si>
    <t>AEIMEN</t>
  </si>
  <si>
    <t>158-24</t>
  </si>
  <si>
    <t>53-24</t>
  </si>
  <si>
    <t>165-24</t>
  </si>
  <si>
    <t>GUZMAN</t>
  </si>
  <si>
    <t>DANNY</t>
  </si>
  <si>
    <t>160-24</t>
  </si>
  <si>
    <t>1813-24</t>
  </si>
  <si>
    <t>162-24</t>
  </si>
  <si>
    <t>169-24</t>
  </si>
  <si>
    <t>164-24</t>
  </si>
  <si>
    <t>166-24</t>
  </si>
  <si>
    <t>171-24</t>
  </si>
  <si>
    <t>1814-24</t>
  </si>
  <si>
    <t>173-24</t>
  </si>
  <si>
    <t>SMITH</t>
  </si>
  <si>
    <t>168-24</t>
  </si>
  <si>
    <t>175-24</t>
  </si>
  <si>
    <t>1815-24</t>
  </si>
  <si>
    <t>172-24</t>
  </si>
  <si>
    <t>177-24</t>
  </si>
  <si>
    <t>179-24</t>
  </si>
  <si>
    <t>174-24</t>
  </si>
  <si>
    <t>1816-24</t>
  </si>
  <si>
    <t>181-24</t>
  </si>
  <si>
    <t>176-24</t>
  </si>
  <si>
    <t>183-24</t>
  </si>
  <si>
    <t>178-24</t>
  </si>
  <si>
    <t>180-24</t>
  </si>
  <si>
    <t>185-24</t>
  </si>
  <si>
    <t>187-24</t>
  </si>
  <si>
    <t>182-24</t>
  </si>
  <si>
    <t>1818-24</t>
  </si>
  <si>
    <t>189-24</t>
  </si>
  <si>
    <t>184-24</t>
  </si>
  <si>
    <t>191-24</t>
  </si>
  <si>
    <t>1819-24</t>
  </si>
  <si>
    <t>193-24</t>
  </si>
  <si>
    <t>188-24</t>
  </si>
  <si>
    <t>195-24</t>
  </si>
  <si>
    <t>1820-24</t>
  </si>
  <si>
    <t>197-24</t>
  </si>
  <si>
    <t>192-24</t>
  </si>
  <si>
    <t>199-24</t>
  </si>
  <si>
    <t>194-24</t>
  </si>
  <si>
    <t>201-24</t>
  </si>
  <si>
    <t>196-24</t>
  </si>
  <si>
    <t>75-24</t>
  </si>
  <si>
    <t>MCREYNOLDS</t>
  </si>
  <si>
    <t>KYLE</t>
  </si>
  <si>
    <t>203-24</t>
  </si>
  <si>
    <t>198-24</t>
  </si>
  <si>
    <t>1822-24</t>
  </si>
  <si>
    <t>200-24</t>
  </si>
  <si>
    <t>205-24</t>
  </si>
  <si>
    <t>207-24</t>
  </si>
  <si>
    <t>1823-24</t>
  </si>
  <si>
    <t>202-24</t>
  </si>
  <si>
    <t>rtdc.l.rtdc.4012:itc</t>
  </si>
  <si>
    <t>77-24</t>
  </si>
  <si>
    <t>211-24</t>
  </si>
  <si>
    <t>204-24</t>
  </si>
  <si>
    <t>1824-24</t>
  </si>
  <si>
    <t>208-24</t>
  </si>
  <si>
    <t>206-24</t>
  </si>
  <si>
    <t>64-24</t>
  </si>
  <si>
    <t>WEST</t>
  </si>
  <si>
    <t>BRYAN</t>
  </si>
  <si>
    <t>213-24</t>
  </si>
  <si>
    <t>215-24</t>
  </si>
  <si>
    <t>210-24</t>
  </si>
  <si>
    <t>217-24</t>
  </si>
  <si>
    <t>219-24</t>
  </si>
  <si>
    <t>1826-24</t>
  </si>
  <si>
    <t>301-24</t>
  </si>
  <si>
    <t>214-24</t>
  </si>
  <si>
    <t>216-24</t>
  </si>
  <si>
    <t>218-24</t>
  </si>
  <si>
    <t>303-24</t>
  </si>
  <si>
    <t>220-24</t>
  </si>
  <si>
    <t>223-24</t>
  </si>
  <si>
    <t>305-24</t>
  </si>
  <si>
    <t>222-24</t>
  </si>
  <si>
    <t>225-24</t>
  </si>
  <si>
    <t>1829-24</t>
  </si>
  <si>
    <t>227-24</t>
  </si>
  <si>
    <t>224-24</t>
  </si>
  <si>
    <t>229-24</t>
  </si>
  <si>
    <t>GUNTHIER</t>
  </si>
  <si>
    <t>ERIC</t>
  </si>
  <si>
    <t>1831-24</t>
  </si>
  <si>
    <t>228-24</t>
  </si>
  <si>
    <t>231-24</t>
  </si>
  <si>
    <t>1832-24</t>
  </si>
  <si>
    <t>233-24</t>
  </si>
  <si>
    <t>230-24</t>
  </si>
  <si>
    <t>1833-24</t>
  </si>
  <si>
    <t>235-24</t>
  </si>
  <si>
    <t>232-24</t>
  </si>
  <si>
    <t>1834-24</t>
  </si>
  <si>
    <t>234-24</t>
  </si>
  <si>
    <t>1835-24</t>
  </si>
  <si>
    <t>236-24</t>
  </si>
  <si>
    <t>1902-24</t>
  </si>
  <si>
    <t>239-24</t>
  </si>
  <si>
    <t>238-24</t>
  </si>
  <si>
    <t>241-24</t>
  </si>
  <si>
    <t>243-24</t>
  </si>
  <si>
    <t>240-24</t>
  </si>
  <si>
    <t>242-24</t>
  </si>
  <si>
    <t>313-24</t>
  </si>
  <si>
    <t>244-24</t>
  </si>
  <si>
    <t>307-24</t>
  </si>
  <si>
    <t>309-24</t>
  </si>
  <si>
    <t>311-24</t>
  </si>
  <si>
    <t>rtdc.l.rtdc.4041:itc</t>
  </si>
  <si>
    <t>300-25</t>
  </si>
  <si>
    <t>precipType</t>
  </si>
  <si>
    <t>cloudy</t>
  </si>
  <si>
    <t>rain</t>
  </si>
  <si>
    <t>Overcast</t>
  </si>
  <si>
    <t>partly-cloudy-night</t>
  </si>
  <si>
    <t>Mostly Cloudy</t>
  </si>
  <si>
    <t>partly-cloudy-day</t>
  </si>
  <si>
    <t>fog</t>
  </si>
  <si>
    <t>Foggy</t>
  </si>
  <si>
    <t>204:739</t>
  </si>
  <si>
    <t>204:233261</t>
  </si>
  <si>
    <t>204:174</t>
  </si>
  <si>
    <t>204:232971</t>
  </si>
  <si>
    <t>204:165</t>
  </si>
  <si>
    <t>204:233314</t>
  </si>
  <si>
    <t>204:178</t>
  </si>
  <si>
    <t>204:233288</t>
  </si>
  <si>
    <t>204:233304</t>
  </si>
  <si>
    <t>204:232967</t>
  </si>
  <si>
    <t>204:231366</t>
  </si>
  <si>
    <t>204:231407</t>
  </si>
  <si>
    <t>204:232959</t>
  </si>
  <si>
    <t>204:477</t>
  </si>
  <si>
    <t>204:497</t>
  </si>
  <si>
    <t>204:233276</t>
  </si>
  <si>
    <t>204:232983</t>
  </si>
  <si>
    <t>204:484</t>
  </si>
  <si>
    <t>204:232957</t>
  </si>
  <si>
    <t>204:233266</t>
  </si>
  <si>
    <t>204:232952</t>
  </si>
  <si>
    <t>204:170</t>
  </si>
  <si>
    <t>204:176</t>
  </si>
  <si>
    <t>204:232963</t>
  </si>
  <si>
    <t>204:444</t>
  </si>
  <si>
    <t>204:233010</t>
  </si>
  <si>
    <t>204:233339</t>
  </si>
  <si>
    <t>204:233046</t>
  </si>
  <si>
    <t>204:233326</t>
  </si>
  <si>
    <t>204:498</t>
  </si>
  <si>
    <t>204:233355</t>
  </si>
  <si>
    <t>204:233009</t>
  </si>
  <si>
    <t>204:233027</t>
  </si>
  <si>
    <t>204:233272</t>
  </si>
  <si>
    <t>300:58604</t>
  </si>
  <si>
    <t>204:650</t>
  </si>
  <si>
    <t>204:962</t>
  </si>
  <si>
    <t>300:58901</t>
  </si>
  <si>
    <t>300:58596</t>
  </si>
  <si>
    <t>204:712</t>
  </si>
  <si>
    <t>300:58916</t>
  </si>
  <si>
    <t>300:58608</t>
  </si>
  <si>
    <t>300:58393</t>
  </si>
  <si>
    <t>300:57358</t>
  </si>
  <si>
    <t>204:715</t>
  </si>
  <si>
    <t>204:1004</t>
  </si>
  <si>
    <t>300:58611</t>
  </si>
  <si>
    <t>204:992</t>
  </si>
  <si>
    <t>300:58911</t>
  </si>
  <si>
    <t>300:58591</t>
  </si>
  <si>
    <t>204:692</t>
  </si>
  <si>
    <t>204:993</t>
  </si>
  <si>
    <t>300:58899</t>
  </si>
  <si>
    <t>300:58592</t>
  </si>
  <si>
    <t>204:705</t>
  </si>
  <si>
    <t>204:1000</t>
  </si>
  <si>
    <t>300:58903</t>
  </si>
  <si>
    <t>300:58589</t>
  </si>
  <si>
    <t>204:734</t>
  </si>
  <si>
    <t>204:1261</t>
  </si>
  <si>
    <t>300:58585</t>
  </si>
  <si>
    <t>204:964</t>
  </si>
  <si>
    <t>300:58600</t>
  </si>
  <si>
    <t>204:759</t>
  </si>
  <si>
    <t>204:1058</t>
  </si>
  <si>
    <t>300:59007</t>
  </si>
  <si>
    <t>300:58673</t>
  </si>
  <si>
    <t>204:979</t>
  </si>
  <si>
    <t>300:58990</t>
  </si>
  <si>
    <t>300:58675</t>
  </si>
  <si>
    <t>204:701</t>
  </si>
  <si>
    <t>300:59001</t>
  </si>
  <si>
    <t>204:969</t>
  </si>
  <si>
    <t>300:58672</t>
  </si>
  <si>
    <t>204:670</t>
  </si>
  <si>
    <t>300:58677</t>
  </si>
  <si>
    <t>300:59003</t>
  </si>
  <si>
    <t>300:57320</t>
  </si>
  <si>
    <t>204:673</t>
  </si>
  <si>
    <t>300:58181</t>
  </si>
  <si>
    <t>204:233324</t>
  </si>
  <si>
    <t>204:957</t>
  </si>
  <si>
    <t>300:58993</t>
  </si>
  <si>
    <t>204:233291</t>
  </si>
  <si>
    <t>204:233353</t>
  </si>
  <si>
    <t>300:29653</t>
  </si>
  <si>
    <t>300:58908</t>
  </si>
  <si>
    <t>300:28710</t>
  </si>
  <si>
    <t>204:233028</t>
  </si>
  <si>
    <t>204:509</t>
  </si>
  <si>
    <t>204:129</t>
  </si>
  <si>
    <t>204:486</t>
  </si>
  <si>
    <t>204:233363</t>
  </si>
  <si>
    <t>204:233036</t>
  </si>
  <si>
    <t>204:233382</t>
  </si>
  <si>
    <t>204:233007</t>
  </si>
  <si>
    <t>204:431</t>
  </si>
  <si>
    <t>204:233340</t>
  </si>
  <si>
    <t>204:233328</t>
  </si>
  <si>
    <t>204:233032</t>
  </si>
  <si>
    <t>204:233362</t>
  </si>
  <si>
    <t>204:233055</t>
  </si>
  <si>
    <t>204:233374</t>
  </si>
  <si>
    <t>204:233344</t>
  </si>
  <si>
    <t>204:233025</t>
  </si>
  <si>
    <t>204:233040</t>
  </si>
  <si>
    <t>204:420</t>
  </si>
  <si>
    <t>204:233337</t>
  </si>
  <si>
    <t>204:233017</t>
  </si>
  <si>
    <t>204:233034</t>
  </si>
  <si>
    <t>204:233380</t>
  </si>
  <si>
    <t>204:233030</t>
  </si>
  <si>
    <t>204:233368</t>
  </si>
  <si>
    <t>204:205</t>
  </si>
  <si>
    <t>204:233347</t>
  </si>
  <si>
    <t>300:22269</t>
  </si>
  <si>
    <t>300:21996</t>
  </si>
  <si>
    <t>300:23351</t>
  </si>
  <si>
    <t>300:23299</t>
  </si>
  <si>
    <t>300:23622</t>
  </si>
  <si>
    <t>204:540</t>
  </si>
  <si>
    <t>300:23879</t>
  </si>
  <si>
    <t>300:19185</t>
  </si>
  <si>
    <t>300:22832</t>
  </si>
  <si>
    <t>300:23302</t>
  </si>
  <si>
    <t>204:3298</t>
  </si>
  <si>
    <t>300:23533</t>
  </si>
  <si>
    <t>204:878</t>
  </si>
  <si>
    <t>204:2961</t>
  </si>
  <si>
    <t>204:1154</t>
  </si>
  <si>
    <t>204:1181</t>
  </si>
  <si>
    <t>300:24256</t>
  </si>
  <si>
    <t>300:23292</t>
  </si>
  <si>
    <t>204:2072</t>
  </si>
  <si>
    <t>204:1466</t>
  </si>
  <si>
    <t>start /low /b %USERPROFILE%\Documents\GitHub\eaglep3\Utilities\DownloadLogsFromS3.py --loco 4065 --day 2017-09-24</t>
  </si>
  <si>
    <t>start /low /b %USERPROFILE%\Documents\GitHub\eaglep3\Utilities\DownloadLogsFromS3.py --loco 4066 --day 2017-09-24</t>
  </si>
  <si>
    <t>start /low /b %USERPROFILE%\Documents\GitHub\eaglep3\Utilities\DownloadLogsFromS3.py --loco 4049 --day 2017-09-24</t>
  </si>
  <si>
    <t>start /low /b %USERPROFILE%\Documents\GitHub\eaglep3\Utilities\DownloadLogsFromS3.py --loco 4050 --day 2017-09-24</t>
  </si>
  <si>
    <t>start /low /b %USERPROFILE%\Documents\GitHub\eaglep3\Utilities\DownloadLogsFromS3.py --loco 4064 --day 2017-09-24</t>
  </si>
  <si>
    <t>start /low /b %USERPROFILE%\Documents\GitHub\eaglep3\Utilities\DownloadLogsFromS3.py --loco 4045 --day 2017-09-25</t>
  </si>
  <si>
    <t>start /low /b %USERPROFILE%\Documents\GitHub\eaglep3\Utilities\DownloadLogsFromS3.py --loco 4063 --day 2017-09-24</t>
  </si>
  <si>
    <t>start /low /b %USERPROFILE%\Documents\GitHub\eaglep3\Utilities\DownloadLogsFromS3.py --loco 4023 --day 2017-09-25</t>
  </si>
  <si>
    <t>start /low /b %USERPROFILE%\Documents\GitHub\eaglep3\Utilities\DownloadLogsFromS3.py --loco 4023 --day 2017-09-24</t>
  </si>
  <si>
    <t>start /low /b %USERPROFILE%\Documents\GitHub\eaglep3\Utilities\DownloadLogsFromS3.py --loco 4045 --day 2017-09-24</t>
  </si>
  <si>
    <t>start /low /b %USERPROFILE%\Documents\GitHub\eaglep3\Utilities\DownloadLogsFromS3.py --loco 4066 --day 2017-09-25</t>
  </si>
  <si>
    <t>start /low /b %USERPROFILE%\Documents\GitHub\eaglep3\Utilities\DownloadLogsFromS3.py --loco 4049 --day 2017-09-25</t>
  </si>
  <si>
    <t>start /low /b %USERPROFILE%\Documents\GitHub\eaglep3\Utilities\DownloadLogsFromS3.py --loco 4050 --day 2017-09-25</t>
  </si>
  <si>
    <t>Selected wrong track at first</t>
  </si>
  <si>
    <t>Wheel tach slip / slide</t>
  </si>
  <si>
    <t>Went active too close to Westminster 4S</t>
  </si>
  <si>
    <t>Poor of GPS at DUS?</t>
  </si>
  <si>
    <t>Onboard in-route failure</t>
  </si>
  <si>
    <t>Wi-MAX data drop</t>
  </si>
  <si>
    <t>Premature downgrade at NW0190RH 20-2T 2N</t>
  </si>
  <si>
    <t>At 16:13:36, NW0190RH 20-2T 2N dropped from 270 to 0, train was 30 ft away, anything unusual?</t>
  </si>
  <si>
    <t>Mid-block init, signal would have come in if train got closer</t>
  </si>
  <si>
    <t>Observed wheel tach slip / slide, only went 0.1 miles w/o PTC</t>
  </si>
  <si>
    <t>Braking without banner against TRACK WARRANT target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</si>
</sst>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2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4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9" fontId="0" fillId="0" borderId="5" xfId="2" applyNumberFormat="1" applyFont="1" applyFill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319"/>
  <sheetViews>
    <sheetView tabSelected="1" zoomScaleNormal="100" workbookViewId="0">
      <selection activeCell="AO15" sqref="AO15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169" customWidth="1"/>
    <col min="13" max="13" width="7.42578125" style="35" customWidth="1"/>
    <col min="14" max="14" width="3" style="36" customWidth="1"/>
    <col min="15" max="15" width="3" style="2" customWidth="1"/>
    <col min="16" max="16" width="2.85546875" style="2" customWidth="1"/>
    <col min="17" max="17" width="3.7109375" hidden="1" customWidth="1"/>
    <col min="18" max="18" width="28.42578125" style="161" customWidth="1"/>
    <col min="19" max="19" width="6" style="219" customWidth="1"/>
    <col min="20" max="20" width="3.85546875" style="168" customWidth="1"/>
    <col min="21" max="21" width="5" style="196" customWidth="1"/>
    <col min="22" max="22" width="5.7109375" style="217" customWidth="1"/>
    <col min="23" max="23" width="3.85546875" style="202" customWidth="1"/>
    <col min="24" max="24" width="6.5703125" style="202" customWidth="1"/>
    <col min="25" max="25" width="8.85546875" style="202" customWidth="1"/>
    <col min="26" max="26" width="7.28515625" style="202" customWidth="1"/>
    <col min="27" max="27" width="9.140625" style="202"/>
    <col min="28" max="28" width="10.7109375" style="52" hidden="1" customWidth="1"/>
    <col min="29" max="29" width="9.42578125" style="49" hidden="1" customWidth="1"/>
    <col min="30" max="30" width="7.85546875" style="2" customWidth="1"/>
    <col min="31" max="31" width="4.5703125" style="75" customWidth="1"/>
    <col min="32" max="32" width="6.28515625" style="72" customWidth="1"/>
    <col min="33" max="33" width="3.7109375" style="168" customWidth="1"/>
    <col min="34" max="34" width="5" style="78" customWidth="1"/>
    <col min="35" max="35" width="5.7109375" style="91" customWidth="1"/>
    <col min="36" max="36" width="9.85546875" customWidth="1"/>
    <col min="37" max="37" width="5" customWidth="1"/>
    <col min="38" max="38" width="4.140625" customWidth="1"/>
    <col min="39" max="39" width="9.140625" style="142"/>
    <col min="41" max="41" width="3.7109375" style="168" customWidth="1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9"/>
      <c r="M1" s="35"/>
      <c r="N1" s="36"/>
      <c r="O1" s="2"/>
      <c r="P1" s="2"/>
      <c r="R1" s="160" t="s">
        <v>103</v>
      </c>
      <c r="S1" s="123"/>
      <c r="T1" s="169"/>
      <c r="U1" s="192"/>
      <c r="V1" s="208"/>
      <c r="W1" s="192"/>
      <c r="X1" s="196"/>
      <c r="Y1" s="202"/>
      <c r="Z1" s="202"/>
      <c r="AA1" s="202"/>
      <c r="AB1" s="52"/>
      <c r="AC1" s="49"/>
      <c r="AD1" s="2"/>
      <c r="AE1" s="1"/>
      <c r="AF1" s="1"/>
      <c r="AG1" s="182"/>
      <c r="AH1" s="47"/>
      <c r="AI1" s="1"/>
      <c r="AM1" s="142"/>
      <c r="AO1" s="168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57">
        <f>Variables!$A$2</f>
        <v>43002</v>
      </c>
      <c r="J2" s="58"/>
      <c r="K2" s="59"/>
      <c r="L2" s="170"/>
      <c r="M2" s="60" t="s">
        <v>8</v>
      </c>
      <c r="N2" s="61"/>
      <c r="O2" s="62"/>
      <c r="P2" s="2"/>
      <c r="R2" s="57">
        <f>Variables!$A$2</f>
        <v>43002</v>
      </c>
      <c r="S2" s="205"/>
      <c r="T2" s="170"/>
      <c r="U2" s="193"/>
      <c r="V2" s="209" t="s">
        <v>8</v>
      </c>
      <c r="W2" s="210"/>
      <c r="X2" s="199"/>
      <c r="Y2" s="202"/>
      <c r="Z2" s="202"/>
      <c r="AA2" s="202"/>
      <c r="AB2" s="52"/>
      <c r="AC2" s="49"/>
      <c r="AD2" s="2"/>
      <c r="AE2" s="1"/>
      <c r="AF2" s="1"/>
      <c r="AG2" s="182"/>
      <c r="AH2" s="47"/>
      <c r="AI2" s="1"/>
      <c r="AM2" s="142"/>
      <c r="AO2" s="168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1"/>
      <c r="M3" s="37" t="s">
        <v>11</v>
      </c>
      <c r="N3" s="38" t="s">
        <v>12</v>
      </c>
      <c r="O3" s="3" t="s">
        <v>13</v>
      </c>
      <c r="P3" s="2"/>
      <c r="R3" s="162" t="s">
        <v>10</v>
      </c>
      <c r="S3" s="206"/>
      <c r="T3" s="171"/>
      <c r="U3" s="194"/>
      <c r="V3" s="211" t="s">
        <v>11</v>
      </c>
      <c r="W3" s="212" t="s">
        <v>12</v>
      </c>
      <c r="X3" s="200" t="s">
        <v>13</v>
      </c>
      <c r="Y3" s="202"/>
      <c r="Z3" s="202"/>
      <c r="AA3" s="202"/>
      <c r="AB3" s="52"/>
      <c r="AC3" s="49"/>
      <c r="AD3" s="2"/>
      <c r="AE3" s="1"/>
      <c r="AF3" s="1"/>
      <c r="AG3" s="182"/>
      <c r="AH3" s="47"/>
      <c r="AI3" s="1"/>
      <c r="AM3" s="142"/>
      <c r="AO3" s="168"/>
    </row>
    <row r="4" spans="1:91" s="20" customFormat="1" ht="15.75" thickBot="1" x14ac:dyDescent="0.3">
      <c r="A4" s="34"/>
      <c r="B4" s="36"/>
      <c r="C4" s="27"/>
      <c r="D4" s="27"/>
      <c r="E4" s="33"/>
      <c r="F4" s="160"/>
      <c r="G4" s="36"/>
      <c r="H4" s="33"/>
      <c r="I4" s="66" t="s">
        <v>14</v>
      </c>
      <c r="J4" s="48">
        <f>SUM(J5:J7)</f>
        <v>144</v>
      </c>
      <c r="K4" s="39"/>
      <c r="L4" s="172"/>
      <c r="M4" s="40" t="s">
        <v>15</v>
      </c>
      <c r="N4" s="38" t="s">
        <v>15</v>
      </c>
      <c r="O4" s="3" t="s">
        <v>15</v>
      </c>
      <c r="P4" s="2"/>
      <c r="R4" s="163" t="s">
        <v>14</v>
      </c>
      <c r="S4" s="207">
        <f>SUM(S5:S7)</f>
        <v>36</v>
      </c>
      <c r="T4" s="172"/>
      <c r="U4" s="195"/>
      <c r="V4" s="211" t="s">
        <v>15</v>
      </c>
      <c r="W4" s="212" t="s">
        <v>15</v>
      </c>
      <c r="X4" s="200" t="s">
        <v>15</v>
      </c>
      <c r="Y4" s="202"/>
      <c r="Z4" s="202"/>
      <c r="AA4" s="202"/>
      <c r="AB4" s="52"/>
      <c r="AC4" s="49"/>
      <c r="AD4" s="2"/>
      <c r="AE4" s="1"/>
      <c r="AF4" s="1"/>
      <c r="AG4" s="182"/>
      <c r="AH4" s="47"/>
      <c r="AI4" s="1"/>
      <c r="AM4" s="142"/>
      <c r="AO4" s="168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COUNTIFS($N$13:$N$9362,"&gt;0",$AG$13:$AG$9362,I1)</f>
        <v>143</v>
      </c>
      <c r="K5" s="39"/>
      <c r="L5" s="172"/>
      <c r="M5" s="40">
        <f>AVERAGEIFS($N$13:$N$9362,$AG$13:$AG$9362,I1)</f>
        <v>37.195104895439648</v>
      </c>
      <c r="N5" s="38">
        <f t="array" ref="N5">MIN(IF($AG$13:$AG$9362=I1,IF(ISNUMBER($N$13:$N$9362),IF($N$13:$N$9362&gt;0,$N$13:$N$9362))))</f>
        <v>34.216666670981795</v>
      </c>
      <c r="O5" s="3">
        <f t="array" ref="O5">MAX(IF($AG$13:$AG$9362=I1,IF(ISNUMBER($N$13:$N$9362),IF($N$13:$N$9362&gt;0,$N$13:$N$9362))))</f>
        <v>41.766666665207595</v>
      </c>
      <c r="P5" s="2"/>
      <c r="R5" s="163" t="s">
        <v>17</v>
      </c>
      <c r="S5" s="207">
        <f>COUNTIFS($N$13:$N$9362,"&gt;0",$AG$13:$AG$9362,R1)</f>
        <v>34</v>
      </c>
      <c r="T5" s="172"/>
      <c r="U5" s="195"/>
      <c r="V5" s="211">
        <f>AVERAGEIFS($N$13:$N$9362,$AG$13:$AG$9362,R1)</f>
        <v>14.436764705700197</v>
      </c>
      <c r="W5" s="212">
        <f t="array" ref="W5">MIN(IF($AG$13:$AG$9362=R1,IF(ISNUMBER($N$13:$N$9362),IF($N$13:$N$9362&gt;0,$N$13:$N$9362))))</f>
        <v>11.583333337912336</v>
      </c>
      <c r="X5" s="200">
        <f t="array" ref="X5">MAX(IF($AG$13:$AG$9362=R1,IF(ISNUMBER($N$13:$N$9362),IF($N$13:$N$9362&gt;0,$N$13:$N$9362))))</f>
        <v>18.266666672425345</v>
      </c>
      <c r="Y5" s="202"/>
      <c r="Z5" s="202"/>
      <c r="AA5" s="202"/>
      <c r="AB5" s="52"/>
      <c r="AC5" s="49"/>
      <c r="AD5" s="2"/>
      <c r="AE5" s="1"/>
      <c r="AF5" s="1"/>
      <c r="AG5" s="182"/>
      <c r="AH5" s="47"/>
      <c r="AI5" s="1"/>
      <c r="AM5" s="142"/>
      <c r="AO5" s="168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COUNT($O$13:$O$149)</f>
        <v>0</v>
      </c>
      <c r="K6" s="39"/>
      <c r="L6" s="172"/>
      <c r="M6" s="40">
        <f>IFERROR(AVERAGE($O$13:$O$149),0)</f>
        <v>0</v>
      </c>
      <c r="N6" s="38">
        <f>MIN($O$13:$O$149)</f>
        <v>0</v>
      </c>
      <c r="O6" s="3">
        <f>MAX($O$13:$O$149)</f>
        <v>0</v>
      </c>
      <c r="P6" s="2"/>
      <c r="R6" s="164" t="s">
        <v>43</v>
      </c>
      <c r="S6" s="207">
        <f>COUNT($O$13:$O$149)</f>
        <v>0</v>
      </c>
      <c r="T6" s="172"/>
      <c r="U6" s="195"/>
      <c r="V6" s="211">
        <f>IFERROR(AVERAGE($O$13:$O$149),0)</f>
        <v>0</v>
      </c>
      <c r="W6" s="212">
        <f>MIN($O$13:$O$149)</f>
        <v>0</v>
      </c>
      <c r="X6" s="200">
        <f>MAX($O$13:$O$149)</f>
        <v>0</v>
      </c>
      <c r="Y6" s="202"/>
      <c r="Z6" s="202"/>
      <c r="AA6" s="202"/>
      <c r="AB6" s="52"/>
      <c r="AC6" s="49"/>
      <c r="AD6" s="2"/>
      <c r="AE6" s="1"/>
      <c r="AF6" s="1"/>
      <c r="AG6" s="182"/>
      <c r="AH6" s="47"/>
      <c r="AI6" s="1"/>
      <c r="AM6" s="142"/>
      <c r="AO6" s="168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COUNTIFS($P$13:$P$9362,"&gt;0",$AG$13:$AG$9362,I1)</f>
        <v>1</v>
      </c>
      <c r="K7" s="39"/>
      <c r="L7" s="172"/>
      <c r="M7" s="38" t="s">
        <v>15</v>
      </c>
      <c r="N7" s="38" t="s">
        <v>15</v>
      </c>
      <c r="O7" s="3" t="s">
        <v>15</v>
      </c>
      <c r="P7" s="2"/>
      <c r="R7" s="165" t="s">
        <v>9</v>
      </c>
      <c r="S7" s="207">
        <f>COUNTIFS($P$13:$P$9362,"&gt;0",$AG$13:$AG$9362,R1)</f>
        <v>2</v>
      </c>
      <c r="T7" s="172"/>
      <c r="U7" s="195"/>
      <c r="V7" s="211" t="s">
        <v>15</v>
      </c>
      <c r="W7" s="212" t="s">
        <v>15</v>
      </c>
      <c r="X7" s="200" t="s">
        <v>15</v>
      </c>
      <c r="Y7" s="202"/>
      <c r="Z7" s="202"/>
      <c r="AA7" s="202"/>
      <c r="AB7" s="52"/>
      <c r="AC7" s="49"/>
      <c r="AD7" s="2"/>
      <c r="AE7" s="1"/>
      <c r="AF7" s="1"/>
      <c r="AG7" s="182"/>
      <c r="AH7" s="47"/>
      <c r="AI7" s="1"/>
      <c r="AM7" s="142"/>
      <c r="AO7" s="168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143</v>
      </c>
      <c r="K8" s="39"/>
      <c r="L8" s="172"/>
      <c r="M8" s="40">
        <f>M5</f>
        <v>37.195104895439648</v>
      </c>
      <c r="N8" s="38">
        <f>N5</f>
        <v>34.216666670981795</v>
      </c>
      <c r="O8" s="3">
        <f>O5</f>
        <v>41.766666665207595</v>
      </c>
      <c r="P8" s="2"/>
      <c r="R8" s="163" t="s">
        <v>16</v>
      </c>
      <c r="S8" s="207">
        <f>S5</f>
        <v>34</v>
      </c>
      <c r="T8" s="172"/>
      <c r="U8" s="195"/>
      <c r="V8" s="211">
        <f>V5</f>
        <v>14.436764705700197</v>
      </c>
      <c r="W8" s="212">
        <f>W5</f>
        <v>11.583333337912336</v>
      </c>
      <c r="X8" s="200">
        <f>X5</f>
        <v>18.266666672425345</v>
      </c>
      <c r="Y8" s="202"/>
      <c r="Z8" s="202"/>
      <c r="AA8" s="202"/>
      <c r="AB8" s="52"/>
      <c r="AC8" s="49"/>
      <c r="AD8" s="2"/>
      <c r="AE8" s="1"/>
      <c r="AF8" s="1"/>
      <c r="AG8" s="182"/>
      <c r="AH8" s="47"/>
      <c r="AI8" s="1"/>
      <c r="AM8" s="142"/>
      <c r="AO8" s="168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0.99305555555555558</v>
      </c>
      <c r="K9" s="41"/>
      <c r="L9" s="169"/>
      <c r="M9" s="69"/>
      <c r="N9" s="36"/>
      <c r="O9" s="70"/>
      <c r="P9" s="2"/>
      <c r="R9" s="163" t="s">
        <v>19</v>
      </c>
      <c r="S9" s="123">
        <f>S8/S4</f>
        <v>0.94444444444444442</v>
      </c>
      <c r="T9" s="169"/>
      <c r="U9" s="192"/>
      <c r="V9" s="213"/>
      <c r="W9" s="192"/>
      <c r="X9" s="201"/>
      <c r="Y9" s="202"/>
      <c r="Z9" s="202"/>
      <c r="AA9" s="202"/>
      <c r="AB9" s="52"/>
      <c r="AC9" s="49"/>
      <c r="AD9" s="2"/>
      <c r="AE9" s="1"/>
      <c r="AF9" s="1"/>
      <c r="AG9" s="182"/>
      <c r="AH9" s="47"/>
      <c r="AI9" s="1"/>
      <c r="AM9" s="142"/>
      <c r="AO9" s="168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9"/>
      <c r="M10" s="35"/>
      <c r="N10" s="36"/>
      <c r="O10" s="2"/>
      <c r="P10" s="2"/>
      <c r="R10" s="161"/>
      <c r="S10" s="219"/>
      <c r="T10" s="168"/>
      <c r="U10" s="196"/>
      <c r="V10" s="214"/>
      <c r="W10" s="202"/>
      <c r="X10" s="202"/>
      <c r="Y10" s="202"/>
      <c r="Z10" s="202"/>
      <c r="AA10" s="202"/>
      <c r="AB10" s="52"/>
      <c r="AC10" s="49"/>
      <c r="AD10" s="2"/>
      <c r="AE10" s="1"/>
      <c r="AF10" s="1"/>
      <c r="AG10" s="182"/>
      <c r="AH10" s="47"/>
      <c r="AI10" s="1"/>
      <c r="AM10" s="142"/>
      <c r="AO10" s="168"/>
    </row>
    <row r="11" spans="1:91" ht="16.5" thickBot="1" x14ac:dyDescent="0.3">
      <c r="A11" s="225" t="str">
        <f>"Eagle P3 System Performance - "&amp;TEXT(Variables!A2,"yyyy-mm-dd")</f>
        <v>Eagle P3 System Performance - 2017-09-24</v>
      </c>
      <c r="B11" s="225"/>
      <c r="C11" s="225"/>
      <c r="D11" s="225"/>
      <c r="E11" s="225"/>
      <c r="F11" s="225"/>
      <c r="G11" s="225"/>
      <c r="H11" s="225"/>
      <c r="I11" s="225"/>
      <c r="J11" s="225"/>
      <c r="K11" s="225"/>
      <c r="L11" s="225"/>
      <c r="M11" s="225"/>
      <c r="N11" s="225"/>
      <c r="O11" s="225"/>
      <c r="P11" s="225"/>
      <c r="S11" s="219">
        <f>AVERAGE(S13:S108)</f>
        <v>1</v>
      </c>
      <c r="V11" s="214"/>
      <c r="AE11" s="1"/>
      <c r="AF11" s="1"/>
      <c r="AG11" s="182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4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6" t="s">
        <v>24</v>
      </c>
      <c r="S12" s="220" t="s">
        <v>63</v>
      </c>
      <c r="T12" s="173" t="s">
        <v>64</v>
      </c>
      <c r="U12" s="197" t="s">
        <v>65</v>
      </c>
      <c r="V12" s="215" t="s">
        <v>45</v>
      </c>
      <c r="W12" s="203" t="s">
        <v>23</v>
      </c>
      <c r="X12" s="203" t="s">
        <v>48</v>
      </c>
      <c r="Y12" s="203" t="s">
        <v>20</v>
      </c>
      <c r="Z12" s="203" t="s">
        <v>21</v>
      </c>
      <c r="AA12" s="203" t="s">
        <v>22</v>
      </c>
      <c r="AB12" s="53" t="s">
        <v>39</v>
      </c>
      <c r="AC12" s="50" t="s">
        <v>40</v>
      </c>
      <c r="AD12" s="178" t="s">
        <v>82</v>
      </c>
      <c r="AE12" s="76" t="s">
        <v>89</v>
      </c>
      <c r="AF12" s="73" t="s">
        <v>93</v>
      </c>
      <c r="AG12" s="177" t="s">
        <v>104</v>
      </c>
      <c r="AH12" s="79" t="s">
        <v>106</v>
      </c>
      <c r="AI12" s="95" t="s">
        <v>142</v>
      </c>
      <c r="AJ12" s="46" t="s">
        <v>143</v>
      </c>
      <c r="AK12" s="46" t="s">
        <v>116</v>
      </c>
      <c r="AL12" s="46" t="s">
        <v>144</v>
      </c>
      <c r="AM12" s="143" t="s">
        <v>191</v>
      </c>
      <c r="AN12" s="46" t="s">
        <v>333</v>
      </c>
      <c r="AO12" s="177" t="s">
        <v>438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623</v>
      </c>
      <c r="B13" s="7">
        <v>4066</v>
      </c>
      <c r="C13" s="21" t="s">
        <v>196</v>
      </c>
      <c r="D13" s="21" t="s">
        <v>830</v>
      </c>
      <c r="E13" s="13">
        <v>43002.127627314818</v>
      </c>
      <c r="F13" s="13">
        <v>43002.135717592595</v>
      </c>
      <c r="G13" s="7">
        <v>78</v>
      </c>
      <c r="H13" s="21" t="s">
        <v>416</v>
      </c>
      <c r="I13" s="13">
        <v>43002.161180555559</v>
      </c>
      <c r="J13" s="7">
        <v>0</v>
      </c>
      <c r="K13" s="89" t="str">
        <f t="shared" ref="K13:K76" si="0">IF(ISEVEN(B13),(B13-1)&amp;"/"&amp;B13,B13&amp;"/"&amp;(B13+1))</f>
        <v>4065/4066</v>
      </c>
      <c r="L13" s="185" t="str">
        <f>VLOOKUP(A13,'Trips&amp;Operators'!$C$1:$G$99911,5,FALSE)</f>
        <v>THOMPSON LESTER</v>
      </c>
      <c r="M13" s="6">
        <f t="shared" ref="M13:M76" si="1">I13-F13</f>
        <v>2.5462962963501923E-2</v>
      </c>
      <c r="N13" s="7">
        <f t="shared" ref="N13:N37" si="2">24*60*SUM($M13:$M13)</f>
        <v>36.666666667442769</v>
      </c>
      <c r="O13" s="7"/>
      <c r="P13" s="7"/>
      <c r="Q13" s="22"/>
      <c r="R13" s="167"/>
      <c r="S13" s="221">
        <f t="shared" ref="S13:S37" si="3">1/IF(AG13="EC",12,1)*SUM(U13:U13)</f>
        <v>1</v>
      </c>
      <c r="T13" s="174" t="str">
        <f t="shared" ref="T13:T76" si="4">IF(ISEVEN(LEFT(AD13,4)),"Southbound","NorthBound")</f>
        <v>NorthBound</v>
      </c>
      <c r="U13" s="198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6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-24T02:03:47-0600',mode:absolute,to:'2017-09-24T04:52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3" s="204" t="str">
        <f>IF(AA13&lt;VLOOKUP(AG13,Variables!$AC$3:$AD$8,2,FALSE),"Y","N")</f>
        <v>N</v>
      </c>
      <c r="X13" s="204" t="e">
        <f t="shared" ref="X13:X44" si="6">VALUE(LEFT(AD13,4))-VALUE(LEFT(AD12,4))</f>
        <v>#VALUE!</v>
      </c>
      <c r="Y13" s="204">
        <f t="shared" ref="Y13:Y44" si="7">RIGHT(D13,LEN(D13)-4)/10000</f>
        <v>7.3899999999999993E-2</v>
      </c>
      <c r="Z13" s="204">
        <f t="shared" ref="Z13:Z44" si="8">RIGHT(H13,LEN(H13)-4)/10000</f>
        <v>23.329899999999999</v>
      </c>
      <c r="AA13" s="204">
        <f t="shared" ref="AA13:AA76" si="9">ABS(Z13-Y13)</f>
        <v>23.256</v>
      </c>
      <c r="AB13" s="54" t="e">
        <f>VLOOKUP(A13,Enforcements!$C$7:$K$11,8,0)</f>
        <v>#N/A</v>
      </c>
      <c r="AC13" s="51" t="e">
        <f>VLOOKUP(A13,Enforcements!$C$7:$E$11,3,0)</f>
        <v>#N/A</v>
      </c>
      <c r="AD13" s="179">
        <f t="shared" ref="AD13:AD76" si="10">VALUE(LEFT(A13,LEN(A13)-3))</f>
        <v>101</v>
      </c>
      <c r="AE13" s="77" t="str">
        <f t="shared" ref="AE13:AE76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s3://rtdc.mdm.uploadarchive.raw/RTDC4066/ "%USERPROFILE%\AppData\Local\Temp\OnboardLogs"\RTDC4066\2017-09-24 --exclude "*" --recursive --include "*20170924*" &amp; "%USERPROFILE%\Documents\GitHub\mrs-test-scripts\Headless Mode &amp; Sideloading\WalkAndUnGZ.bat" "%USERPROFILE%\AppData\Local\Temp\OnboardLogs"\RTDC4066\2017-09-24 &amp; aws s3 cp s3://rtdc.mdm.uploadarchive.raw/RTDC4066/ "%USERPROFILE%\AppData\Local\Temp\OnboardLogs"\RTDC4066\2017-09-25 --exclude "*" --recursive --include "*20170925*" &amp; "%USERPROFILE%\Documents\GitHub\mrs-test-scripts\Headless Mode &amp; Sideloading\WalkAndUnGZ.bat" "%USERPROFILE%\AppData\Local\Temp\OnboardLogs"\RTDC4066\2017-09-25</v>
      </c>
      <c r="AF13" s="74" t="str">
        <f t="shared" ref="AF13:AF76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/stypes="app*4066*20170924*" /stext=" 09:.+((SYSTEM_STATE.+slice.+state.+changed )|(ment ac)|(multiple cpu faults)|(system.+state.+changed )|(\[timeout)|(PRM\|1\|D)|(kpr)|(kdp)|(train st.+moving)|(\|lc)|(penalty))"</v>
      </c>
      <c r="AG13" s="182" t="str">
        <f t="shared" ref="AG13:AG76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101-24 --locoid 4066 --swversion DE.1.0.9.0 --startMP 204:739 --initTime 2017-09-24T03:03:47 --startdatetime 2017-09-24T03:15:26 --delay 78 --endMP 204:233299 --enddatetime 2017-09-24T03:52:06 --enforcementcount 0 &gt;&gt;c:\users\stu\Documents\GitHub\eaglep3-reporting\EC\2017-09-24-refined-times.txt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{"issue":{"subject":"","project_id":79,"tracker_id":40,"status_id":1,"priority_id":2,"assigned_to_id":338,"start_date":"2017-09-24","description":"","custom_fields":[{"id":1,"name":"Subdivision","value":"EC"},{"id":4,"name":"Milepost","value":"23.3299"},{"id":17,"name":"Train ID","value":"101-24"},{"id":16,"name":"Locomotive ID","value":"4066"},{"id":130,"name":"Impact","value":""},{"id":150,"name":"Time of Event (Mountain Time)","value":"03:52:06"},{"id":151,"name":"Denver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2" t="str">
        <f t="shared" ref="AM13" si="16">"start /low /b "&amp;dls3logs&amp;" --loco "&amp;B13&amp;" --day "&amp;TEXT(F13,"YYYY-MM-DD")</f>
        <v>start /low /b %USERPROFILE%\Documents\GitHub\eaglep3\Utilities\DownloadLogsFromS3.py --loco 4066 --day 2017-09-24</v>
      </c>
      <c r="AN13" s="151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09:52:06"},{"id":29,"name":"Sharepoint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8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-09-24T02:03:47-0600',mode:absolute,to:'2017-09-24T04:52:06-0600'))&amp;_a=(columns:!('Message%20ID',Summary),filters:!(),index:'emp_*',interval:auto,query:(query_string:(analyze_wildcard:!t,query:'%22rtdc.l.rtdc.4066%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25">
      <c r="A14" s="32" t="s">
        <v>634</v>
      </c>
      <c r="B14" s="7">
        <v>4065</v>
      </c>
      <c r="C14" s="21" t="s">
        <v>196</v>
      </c>
      <c r="D14" s="21" t="s">
        <v>461</v>
      </c>
      <c r="E14" s="13">
        <v>43002.172372685185</v>
      </c>
      <c r="F14" s="13">
        <v>43002.175173611111</v>
      </c>
      <c r="G14" s="7">
        <v>97</v>
      </c>
      <c r="H14" s="21" t="s">
        <v>338</v>
      </c>
      <c r="I14" s="13">
        <v>43002.203344907408</v>
      </c>
      <c r="J14" s="7">
        <v>0</v>
      </c>
      <c r="K14" s="89" t="str">
        <f t="shared" si="0"/>
        <v>4065/4066</v>
      </c>
      <c r="L14" s="185" t="str">
        <f>VLOOKUP(A14,'Trips&amp;Operators'!$C$1:$G$99911,5,FALSE)</f>
        <v>THOMPSON LESTER</v>
      </c>
      <c r="M14" s="6">
        <f t="shared" si="1"/>
        <v>2.8171296296932269E-2</v>
      </c>
      <c r="N14" s="7">
        <f t="shared" si="2"/>
        <v>40.566666667582467</v>
      </c>
      <c r="O14" s="7"/>
      <c r="P14" s="7"/>
      <c r="Q14" s="22"/>
      <c r="R14" s="174"/>
      <c r="S14" s="221">
        <f t="shared" si="3"/>
        <v>1</v>
      </c>
      <c r="T14" s="174" t="str">
        <f t="shared" si="4"/>
        <v>Southbound</v>
      </c>
      <c r="U14" s="198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16" t="str">
        <f t="shared" si="5"/>
        <v>https://d0f6bd738d7f1b3e5a7ca70fe4ff75f0.us-east-1.aws.found.io/app/kibana#/discover/Steve-Slow-Train-Analysis-(2080s-and-2083s)?_g=(refreshInterval:(display:Off,pause:!f,section:0,value:0),time:(from:'2017-09-24T03:08:13-0600',mode:absolute,to:'2017-09-24T05:52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4" s="204" t="str">
        <f>IF(AA14&lt;VLOOKUP(AG14,Variables!$AC$3:$AD$8,2,FALSE),"Y","N")</f>
        <v>N</v>
      </c>
      <c r="X14" s="204">
        <f t="shared" si="6"/>
        <v>1</v>
      </c>
      <c r="Y14" s="204">
        <f t="shared" si="7"/>
        <v>23.2973</v>
      </c>
      <c r="Z14" s="204">
        <f t="shared" si="8"/>
        <v>1.49E-2</v>
      </c>
      <c r="AA14" s="204">
        <f t="shared" si="9"/>
        <v>23.282399999999999</v>
      </c>
      <c r="AB14" s="54" t="e">
        <f>VLOOKUP(A14,Enforcements!$C$7:$K$11,8,0)</f>
        <v>#N/A</v>
      </c>
      <c r="AC14" s="51" t="e">
        <f>VLOOKUP(A14,Enforcements!$C$7:$E$11,3,0)</f>
        <v>#N/A</v>
      </c>
      <c r="AD14" s="179">
        <f t="shared" si="10"/>
        <v>102</v>
      </c>
      <c r="AE14" s="77" t="str">
        <f t="shared" si="11"/>
        <v>aws s3 cp s3://rtdc.mdm.uploadarchive.raw/RTDC4065/ "%USERPROFILE%\AppData\Local\Temp\OnboardLogs"\RTDC4065\2017-09-24 --exclude "*" --recursive --include "*20170924*" &amp; "%USERPROFILE%\Documents\GitHub\mrs-test-scripts\Headless Mode &amp; Sideloading\WalkAndUnGZ.bat" "%USERPROFILE%\AppData\Local\Temp\OnboardLogs"\RTDC4065\2017-09-24 &amp; aws s3 cp s3://rtdc.mdm.uploadarchive.raw/RTDC4065/ "%USERPROFILE%\AppData\Local\Temp\OnboardLogs"\RTDC4065\2017-09-25 --exclude "*" --recursive --include "*20170925*" &amp; "%USERPROFILE%\Documents\GitHub\mrs-test-scripts\Headless Mode &amp; Sideloading\WalkAndUnGZ.bat" "%USERPROFILE%\AppData\Local\Temp\OnboardLogs"\RTDC4065\2017-09-25</v>
      </c>
      <c r="AF14" s="74" t="str">
        <f t="shared" si="12"/>
        <v>"C:\Program Files (x86)\AstroGrep\AstroGrep.exe" /e /r /s /spath="%USERPROFILE%\AppData\Local\Temp\OnboardLogs" /stypes="app*4065*20170924*" /stext=" 10:.+((SYSTEM_STATE.+slice.+state.+changed )|(ment ac)|(multiple cpu faults)|(system.+state.+changed )|(\[timeout)|(PRM\|1\|D)|(kpr)|(kdp)|(train st.+moving)|(\|lc)|(penalty))"</v>
      </c>
      <c r="AG14" s="182" t="str">
        <f t="shared" si="13"/>
        <v>EC</v>
      </c>
      <c r="AH14" s="78" t="str">
        <f t="shared" ref="AH14:AH77" si="18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102-24 --locoid 4065 --swversion DE.1.0.9.0 --startMP 204:232973 --initTime 2017-09-24T04:08:13 --startdatetime 2017-09-24T04:12:15 --delay 97 --endMP 204:149 --enddatetime 2017-09-24T04:52:49 --enforcementcount 0 &gt;&gt;c:\users\stu\Documents\GitHub\eaglep3-reporting\EC\2017-09-24-refined-times.txt</v>
      </c>
      <c r="AI14" s="96" t="str">
        <f t="shared" ref="AI14:AI77" si="19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{"issue":{"subject":"","project_id":79,"tracker_id":40,"status_id":1,"priority_id":2,"assigned_to_id":338,"start_date":"2017-09-24","description":"","custom_fields":[{"id":1,"name":"Subdivision","value":"EC"},{"id":4,"name":"Milepost","value":"0.0149"},{"id":17,"name":"Train ID","value":"102-24"},{"id":16,"name":"Locomotive ID","value":"4065"},{"id":130,"name":"Impact","value":""},{"id":150,"name":"Time of Event (Mountain Time)","value":"04:52:49"},{"id":151,"name":"Denver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2" t="str">
        <f t="shared" ref="AM14:AM77" si="20">"start /low /b "&amp;dls3logs&amp;" --loco "&amp;B14&amp;" --day "&amp;TEXT(F14,"YYYY-MM-DD")</f>
        <v>start /low /b %USERPROFILE%\Documents\GitHub\eaglep3\Utilities\DownloadLogsFromS3.py --loco 4065 --day 2017-09-24</v>
      </c>
      <c r="AN14" s="151" t="str">
        <f t="shared" ref="AN14:AN77" si="21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10:52:49"},{"id":29,"name":"Sharepoint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168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-09-24T03:08:13-0600',mode:absolute,to:'2017-09-24T05:52:49-0600'))&amp;_a=(columns:!('Message%20ID',Summary),filters:!(),index:'emp_*',interval:auto,query:(query_string:(analyze_wildcard:!t,query:'%22rtdc.l.rtdc.4065%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628</v>
      </c>
      <c r="B15" s="7">
        <v>4064</v>
      </c>
      <c r="C15" s="21" t="s">
        <v>196</v>
      </c>
      <c r="D15" s="21" t="s">
        <v>373</v>
      </c>
      <c r="E15" s="13">
        <v>43002.152222222219</v>
      </c>
      <c r="F15" s="13">
        <v>43002.156423611108</v>
      </c>
      <c r="G15" s="7">
        <v>77</v>
      </c>
      <c r="H15" s="21" t="s">
        <v>831</v>
      </c>
      <c r="I15" s="13">
        <v>43002.182291666664</v>
      </c>
      <c r="J15" s="7">
        <v>0</v>
      </c>
      <c r="K15" s="89" t="str">
        <f t="shared" si="0"/>
        <v>4063/4064</v>
      </c>
      <c r="L15" s="185" t="str">
        <f>VLOOKUP(A15,'Trips&amp;Operators'!$C$1:$G$99911,5,FALSE)</f>
        <v>LANGERAK WILLIAM</v>
      </c>
      <c r="M15" s="6">
        <f t="shared" si="1"/>
        <v>2.5868055556202307E-2</v>
      </c>
      <c r="N15" s="7">
        <f t="shared" si="2"/>
        <v>37.250000000931323</v>
      </c>
      <c r="O15" s="7"/>
      <c r="P15" s="7"/>
      <c r="Q15" s="22"/>
      <c r="R15" s="174"/>
      <c r="S15" s="221">
        <f t="shared" si="3"/>
        <v>1</v>
      </c>
      <c r="T15" s="174" t="str">
        <f t="shared" si="4"/>
        <v>NorthBound</v>
      </c>
      <c r="U15" s="198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16" t="str">
        <f t="shared" si="5"/>
        <v>https://d0f6bd738d7f1b3e5a7ca70fe4ff75f0.us-east-1.aws.found.io/app/kibana#/discover/Steve-Slow-Train-Analysis-(2080s-and-2083s)?_g=(refreshInterval:(display:Off,pause:!f,section:0,value:0),time:(from:'2017-09-24T02:39:12-0600',mode:absolute,to:'2017-09-24T05:22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" s="204" t="str">
        <f>IF(AA15&lt;VLOOKUP(AG15,Variables!$AC$3:$AD$8,2,FALSE),"Y","N")</f>
        <v>N</v>
      </c>
      <c r="X15" s="204">
        <f t="shared" si="6"/>
        <v>1</v>
      </c>
      <c r="Y15" s="204">
        <f t="shared" si="7"/>
        <v>4.4200000000000003E-2</v>
      </c>
      <c r="Z15" s="204">
        <f t="shared" si="8"/>
        <v>23.3261</v>
      </c>
      <c r="AA15" s="204">
        <f t="shared" si="9"/>
        <v>23.2819</v>
      </c>
      <c r="AB15" s="54" t="e">
        <f>VLOOKUP(A15,Enforcements!$C$7:$K$11,8,0)</f>
        <v>#N/A</v>
      </c>
      <c r="AC15" s="51" t="e">
        <f>VLOOKUP(A15,Enforcements!$C$7:$E$11,3,0)</f>
        <v>#N/A</v>
      </c>
      <c r="AD15" s="179">
        <f t="shared" si="10"/>
        <v>103</v>
      </c>
      <c r="AE15" s="77" t="str">
        <f t="shared" si="11"/>
        <v>aws s3 cp s3://rtdc.mdm.uploadarchive.raw/RTDC4064/ "%USERPROFILE%\AppData\Local\Temp\OnboardLogs"\RTDC4064\2017-09-24 --exclude "*" --recursive --include "*20170924*" &amp; "%USERPROFILE%\Documents\GitHub\mrs-test-scripts\Headless Mode &amp; Sideloading\WalkAndUnGZ.bat" "%USERPROFILE%\AppData\Local\Temp\OnboardLogs"\RTDC4064\2017-09-24 &amp; aws s3 cp s3://rtdc.mdm.uploadarchive.raw/RTDC4064/ "%USERPROFILE%\AppData\Local\Temp\OnboardLogs"\RTDC4064\2017-09-25 --exclude "*" --recursive --include "*20170925*" &amp; "%USERPROFILE%\Documents\GitHub\mrs-test-scripts\Headless Mode &amp; Sideloading\WalkAndUnGZ.bat" "%USERPROFILE%\AppData\Local\Temp\OnboardLogs"\RTDC4064\2017-09-25</v>
      </c>
      <c r="AF15" s="74" t="str">
        <f t="shared" si="12"/>
        <v>"C:\Program Files (x86)\AstroGrep\AstroGrep.exe" /e /r /s /spath="%USERPROFILE%\AppData\Local\Temp\OnboardLogs" /stypes="app*4064*20170924*" /stext=" 10:.+((SYSTEM_STATE.+slice.+state.+changed )|(ment ac)|(multiple cpu faults)|(system.+state.+changed )|(\[timeout)|(PRM\|1\|D)|(kpr)|(kdp)|(train st.+moving)|(\|lc)|(penalty))"</v>
      </c>
      <c r="AG15" s="182" t="str">
        <f t="shared" si="13"/>
        <v>EC</v>
      </c>
      <c r="AH15" s="78" t="str">
        <f t="shared" si="18"/>
        <v>"%USERPROFILE%\Documents\GitHub\eaglep3\Utilities\RefineRTDCRunTimes.py" --tripid 103-24 --locoid 4064 --swversion DE.1.0.9.0 --startMP 204:442 --initTime 2017-09-24T03:39:12 --startdatetime 2017-09-24T03:45:15 --delay 77 --endMP 204:233261 --enddatetime 2017-09-24T04:22:30 --enforcementcount 0 &gt;&gt;c:\users\stu\Documents\GitHub\eaglep3-reporting\EC\2017-09-24-refined-times.txt</v>
      </c>
      <c r="AI15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{"issue":{"subject":"","project_id":79,"tracker_id":40,"status_id":1,"priority_id":2,"assigned_to_id":338,"start_date":"2017-09-24","description":"","custom_fields":[{"id":1,"name":"Subdivision","value":"EC"},{"id":4,"name":"Milepost","value":"23.3261"},{"id":17,"name":"Train ID","value":"103-24"},{"id":16,"name":"Locomotive ID","value":"4064"},{"id":130,"name":"Impact","value":""},{"id":150,"name":"Time of Event (Mountain Time)","value":"04:22:30"},{"id":151,"name":"Denver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2" t="str">
        <f t="shared" si="20"/>
        <v>start /low /b %USERPROFILE%\Documents\GitHub\eaglep3\Utilities\DownloadLogsFromS3.py --loco 4064 --day 2017-09-24</v>
      </c>
      <c r="AN15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10:22:30"},{"id":29,"name":"Sharepoint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168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Message%20ID',Summary),filters:!(),index:'emp_*',interval:auto,query:"&amp;"(query_string:(analyze_wildcard:!t,query:'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-09-24T02:39:12-0600',mode:absolute,to:'2017-09-24T05:22:30-0600'))&amp;_a=(columns:!('Message%20ID',Summary),filters:!(),index:'emp_*',interval:auto,query:(query_string:(analyze_wildcard:!t,query:'%22rtdc.l.rtdc.4064%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577</v>
      </c>
      <c r="B16" s="7">
        <v>4063</v>
      </c>
      <c r="C16" s="21" t="s">
        <v>196</v>
      </c>
      <c r="D16" s="21" t="s">
        <v>501</v>
      </c>
      <c r="E16" s="13">
        <v>43002.184166666666</v>
      </c>
      <c r="F16" s="13">
        <v>43002.196122685185</v>
      </c>
      <c r="G16" s="7">
        <v>55</v>
      </c>
      <c r="H16" s="21" t="s">
        <v>832</v>
      </c>
      <c r="I16" s="13">
        <v>43002.224351851852</v>
      </c>
      <c r="J16" s="7">
        <v>0</v>
      </c>
      <c r="K16" s="89" t="str">
        <f t="shared" si="0"/>
        <v>4063/4064</v>
      </c>
      <c r="L16" s="185" t="str">
        <f>VLOOKUP(A16,'Trips&amp;Operators'!$C$1:$G$99911,5,FALSE)</f>
        <v>LANGERAK WILLIAM</v>
      </c>
      <c r="M16" s="6">
        <f t="shared" si="1"/>
        <v>2.8229166666278616E-2</v>
      </c>
      <c r="N16" s="7">
        <f t="shared" si="2"/>
        <v>40.649999999441206</v>
      </c>
      <c r="O16" s="7"/>
      <c r="P16" s="7"/>
      <c r="Q16" s="22"/>
      <c r="R16" s="174"/>
      <c r="S16" s="221">
        <f t="shared" si="3"/>
        <v>1</v>
      </c>
      <c r="T16" s="174" t="str">
        <f t="shared" si="4"/>
        <v>Southbound</v>
      </c>
      <c r="U16" s="198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16" t="str">
        <f t="shared" si="5"/>
        <v>https://d0f6bd738d7f1b3e5a7ca70fe4ff75f0.us-east-1.aws.found.io/app/kibana#/discover/Steve-Slow-Train-Analysis-(2080s-and-2083s)?_g=(refreshInterval:(display:Off,pause:!f,section:0,value:0),time:(from:'2017-09-24T03:25:12-0600',mode:absolute,to:'2017-09-24T06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6" s="204" t="str">
        <f>IF(AA16&lt;VLOOKUP(AG16,Variables!$AC$3:$AD$8,2,FALSE),"Y","N")</f>
        <v>N</v>
      </c>
      <c r="X16" s="204">
        <f t="shared" si="6"/>
        <v>1</v>
      </c>
      <c r="Y16" s="204">
        <f t="shared" si="7"/>
        <v>23.296900000000001</v>
      </c>
      <c r="Z16" s="204">
        <f t="shared" si="8"/>
        <v>1.7399999999999999E-2</v>
      </c>
      <c r="AA16" s="204">
        <f t="shared" si="9"/>
        <v>23.279500000000002</v>
      </c>
      <c r="AB16" s="54" t="str">
        <f>VLOOKUP(A16,Enforcements!$C$7:$K$11,8,0)</f>
        <v>Bulletin (2)</v>
      </c>
      <c r="AC16" s="51" t="str">
        <f>VLOOKUP(A16,Enforcements!$C$7:$E$11,3,0)</f>
        <v>GRADE CROSSING</v>
      </c>
      <c r="AD16" s="179">
        <f t="shared" si="10"/>
        <v>104</v>
      </c>
      <c r="AE16" s="77" t="str">
        <f t="shared" si="11"/>
        <v>aws s3 cp s3://rtdc.mdm.uploadarchive.raw/RTDC4063/ "%USERPROFILE%\AppData\Local\Temp\OnboardLogs"\RTDC4063\2017-09-24 --exclude "*" --recursive --include "*20170924*" &amp; "%USERPROFILE%\Documents\GitHub\mrs-test-scripts\Headless Mode &amp; Sideloading\WalkAndUnGZ.bat" "%USERPROFILE%\AppData\Local\Temp\OnboardLogs"\RTDC4063\2017-09-24 &amp; aws s3 cp s3://rtdc.mdm.uploadarchive.raw/RTDC4063/ "%USERPROFILE%\AppData\Local\Temp\OnboardLogs"\RTDC4063\2017-09-25 --exclude "*" --recursive --include "*20170925*" &amp; "%USERPROFILE%\Documents\GitHub\mrs-test-scripts\Headless Mode &amp; Sideloading\WalkAndUnGZ.bat" "%USERPROFILE%\AppData\Local\Temp\OnboardLogs"\RTDC4063\2017-09-25</v>
      </c>
      <c r="AF16" s="74" t="str">
        <f t="shared" si="12"/>
        <v>"C:\Program Files (x86)\AstroGrep\AstroGrep.exe" /e /r /s /spath="%USERPROFILE%\AppData\Local\Temp\OnboardLogs" /stypes="app*4063*20170924*" /stext=" 11:.+((SYSTEM_STATE.+slice.+state.+changed )|(ment ac)|(multiple cpu faults)|(system.+state.+changed )|(\[timeout)|(PRM\|1\|D)|(kpr)|(kdp)|(train st.+moving)|(\|lc)|(penalty))"</v>
      </c>
      <c r="AG16" s="182" t="str">
        <f t="shared" si="13"/>
        <v>EC</v>
      </c>
      <c r="AH16" s="78" t="str">
        <f t="shared" si="18"/>
        <v>"%USERPROFILE%\Documents\GitHub\eaglep3\Utilities\RefineRTDCRunTimes.py" --tripid 104-24 --locoid 4063 --swversion DE.1.0.9.0 --startMP 204:232969 --initTime 2017-09-24T04:25:12 --startdatetime 2017-09-24T04:42:25 --delay 55 --endMP 204:174 --enddatetime 2017-09-24T05:23:04 --enforcementcount 0 &gt;&gt;c:\users\stu\Documents\GitHub\eaglep3-reporting\EC\2017-09-24-refined-times.txt</v>
      </c>
      <c r="AI16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{"issue":{"subject":"","project_id":79,"tracker_id":40,"status_id":1,"priority_id":2,"assigned_to_id":338,"start_date":"2017-09-24","description":"","custom_fields":[{"id":1,"name":"Subdivision","value":"EC"},{"id":4,"name":"Milepost","value":"0.0174"},{"id":17,"name":"Train ID","value":"104-24"},{"id":16,"name":"Locomotive ID","value":"4063"},{"id":130,"name":"Impact","value":""},{"id":150,"name":"Time of Event (Mountain Time)","value":"05:23:04"},{"id":151,"name":"Denver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2" t="str">
        <f t="shared" si="20"/>
        <v>start /low /b %USERPROFILE%\Documents\GitHub\eaglep3\Utilities\DownloadLogsFromS3.py --loco 4063 --day 2017-09-24</v>
      </c>
      <c r="AN16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11:23:04"},{"id":29,"name":"Sharepoint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168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Message%20ID',Summary),filters:!(),index:'emp_*',interval:auto,query:"&amp;"(query_string:(analyze_wildcard:!t,query:'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-09-24T03:25:12-0600',mode:absolute,to:'2017-09-24T06:23:04-0600'))&amp;_a=(columns:!('Message%20ID',Summary),filters:!(),index:'emp_*',interval:auto,query:(query_string:(analyze_wildcard:!t,query:'%22rtdc.l.rtdc.4063%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631</v>
      </c>
      <c r="B17" s="7">
        <v>4046</v>
      </c>
      <c r="C17" s="21" t="s">
        <v>196</v>
      </c>
      <c r="D17" s="21" t="s">
        <v>417</v>
      </c>
      <c r="E17" s="13">
        <v>43002.168749999997</v>
      </c>
      <c r="F17" s="13">
        <v>43002.177245370367</v>
      </c>
      <c r="G17" s="7">
        <v>67</v>
      </c>
      <c r="H17" s="21" t="s">
        <v>430</v>
      </c>
      <c r="I17" s="13">
        <v>43002.204328703701</v>
      </c>
      <c r="J17" s="7">
        <v>0</v>
      </c>
      <c r="K17" s="89" t="str">
        <f t="shared" si="0"/>
        <v>4045/4046</v>
      </c>
      <c r="L17" s="185" t="str">
        <f>VLOOKUP(A17,'Trips&amp;Operators'!$C$1:$G$99911,5,FALSE)</f>
        <v>DAVIS WENDY</v>
      </c>
      <c r="M17" s="6">
        <f t="shared" si="1"/>
        <v>2.7083333334303461E-2</v>
      </c>
      <c r="N17" s="7">
        <f t="shared" si="2"/>
        <v>39.000000001396984</v>
      </c>
      <c r="O17" s="7"/>
      <c r="P17" s="7"/>
      <c r="Q17" s="22"/>
      <c r="R17" s="174"/>
      <c r="S17" s="221">
        <f t="shared" si="3"/>
        <v>1</v>
      </c>
      <c r="T17" s="174" t="str">
        <f t="shared" si="4"/>
        <v>NorthBound</v>
      </c>
      <c r="U17" s="198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16" t="str">
        <f t="shared" si="5"/>
        <v>https://d0f6bd738d7f1b3e5a7ca70fe4ff75f0.us-east-1.aws.found.io/app/kibana#/discover/Steve-Slow-Train-Analysis-(2080s-and-2083s)?_g=(refreshInterval:(display:Off,pause:!f,section:0,value:0),time:(from:'2017-09-24T03:03:00-0600',mode:absolute,to:'2017-09-24T05:54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" s="204" t="str">
        <f>IF(AA17&lt;VLOOKUP(AG17,Variables!$AC$3:$AD$8,2,FALSE),"Y","N")</f>
        <v>N</v>
      </c>
      <c r="X17" s="204">
        <f t="shared" si="6"/>
        <v>1</v>
      </c>
      <c r="Y17" s="204">
        <f t="shared" si="7"/>
        <v>4.7300000000000002E-2</v>
      </c>
      <c r="Z17" s="204">
        <f t="shared" si="8"/>
        <v>23.331</v>
      </c>
      <c r="AA17" s="204">
        <f t="shared" si="9"/>
        <v>23.2837</v>
      </c>
      <c r="AB17" s="54" t="e">
        <f>VLOOKUP(A17,Enforcements!$C$7:$K$11,8,0)</f>
        <v>#N/A</v>
      </c>
      <c r="AC17" s="51" t="e">
        <f>VLOOKUP(A17,Enforcements!$C$7:$E$11,3,0)</f>
        <v>#N/A</v>
      </c>
      <c r="AD17" s="179">
        <f t="shared" si="10"/>
        <v>105</v>
      </c>
      <c r="AE17" s="77" t="str">
        <f t="shared" si="11"/>
        <v>aws s3 cp s3://rtdc.mdm.uploadarchive.raw/RTDC4046/ "%USERPROFILE%\AppData\Local\Temp\OnboardLogs"\RTDC4046\2017-09-24 --exclude "*" --recursive --include "*20170924*" &amp; "%USERPROFILE%\Documents\GitHub\mrs-test-scripts\Headless Mode &amp; Sideloading\WalkAndUnGZ.bat" "%USERPROFILE%\AppData\Local\Temp\OnboardLogs"\RTDC4046\2017-09-24 &amp; aws s3 cp s3://rtdc.mdm.uploadarchive.raw/RTDC4046/ "%USERPROFILE%\AppData\Local\Temp\OnboardLogs"\RTDC4046\2017-09-25 --exclude "*" --recursive --include "*20170925*" &amp; "%USERPROFILE%\Documents\GitHub\mrs-test-scripts\Headless Mode &amp; Sideloading\WalkAndUnGZ.bat" "%USERPROFILE%\AppData\Local\Temp\OnboardLogs"\RTDC4046\2017-09-25</v>
      </c>
      <c r="AF17" s="74" t="str">
        <f t="shared" si="12"/>
        <v>"C:\Program Files (x86)\AstroGrep\AstroGrep.exe" /e /r /s /spath="%USERPROFILE%\AppData\Local\Temp\OnboardLogs" /stypes="app*4046*20170924*" /stext=" 10:.+((SYSTEM_STATE.+slice.+state.+changed )|(ment ac)|(multiple cpu faults)|(system.+state.+changed )|(\[timeout)|(PRM\|1\|D)|(kpr)|(kdp)|(train st.+moving)|(\|lc)|(penalty))"</v>
      </c>
      <c r="AG17" s="182" t="str">
        <f t="shared" si="13"/>
        <v>EC</v>
      </c>
      <c r="AH17" s="78" t="str">
        <f t="shared" si="18"/>
        <v>"%USERPROFILE%\Documents\GitHub\eaglep3\Utilities\RefineRTDCRunTimes.py" --tripid 105-24 --locoid 4046 --swversion DE.1.0.9.0 --startMP 204:473 --initTime 2017-09-24T04:03:00 --startdatetime 2017-09-24T04:15:14 --delay 67 --endMP 204:233310 --enddatetime 2017-09-24T04:54:14 --enforcementcount 0 &gt;&gt;c:\users\stu\Documents\GitHub\eaglep3-reporting\EC\2017-09-24-refined-times.txt</v>
      </c>
      <c r="AI17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{"issue":{"subject":"","project_id":79,"tracker_id":40,"status_id":1,"priority_id":2,"assigned_to_id":338,"start_date":"2017-09-24","description":"","custom_fields":[{"id":1,"name":"Subdivision","value":"EC"},{"id":4,"name":"Milepost","value":"23.331"},{"id":17,"name":"Train ID","value":"105-24"},{"id":16,"name":"Locomotive ID","value":"4046"},{"id":130,"name":"Impact","value":""},{"id":150,"name":"Time of Event (Mountain Time)","value":"04:54:14"},{"id":151,"name":"Denver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2" t="str">
        <f t="shared" si="20"/>
        <v>start /low /b %USERPROFILE%\Documents\GitHub\eaglep3\Utilities\DownloadLogsFromS3.py --loco 4046 --day 2017-09-24</v>
      </c>
      <c r="AN17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10:54:14"},{"id":29,"name":"Sharepoint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168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Message%20ID',Summary),filters:!(),index:'emp_*',interval:auto,query:"&amp;"(query_string:(analyze_wildcard:!t,query:'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-09-24T03:03:00-0600',mode:absolute,to:'2017-09-24T05:54:14-0600'))&amp;_a=(columns:!('Message%20ID',Summary),filters:!(),index:'emp_*',interval:auto,query:(query_string:(analyze_wildcard:!t,query:'%22rtdc.l.rtdc.4046%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641</v>
      </c>
      <c r="B18" s="7">
        <v>4045</v>
      </c>
      <c r="C18" s="21" t="s">
        <v>196</v>
      </c>
      <c r="D18" s="21" t="s">
        <v>391</v>
      </c>
      <c r="E18" s="13">
        <v>43002.205497685187</v>
      </c>
      <c r="F18" s="13">
        <v>43002.216932870368</v>
      </c>
      <c r="G18" s="7">
        <v>65</v>
      </c>
      <c r="H18" s="21" t="s">
        <v>377</v>
      </c>
      <c r="I18" s="13">
        <v>43002.244930555556</v>
      </c>
      <c r="J18" s="7">
        <v>0</v>
      </c>
      <c r="K18" s="89" t="str">
        <f t="shared" si="0"/>
        <v>4045/4046</v>
      </c>
      <c r="L18" s="185" t="str">
        <f>VLOOKUP(A18,'Trips&amp;Operators'!$C$1:$G$99911,5,FALSE)</f>
        <v>DAVIS WENDY</v>
      </c>
      <c r="M18" s="6">
        <f t="shared" si="1"/>
        <v>2.7997685188893229E-2</v>
      </c>
      <c r="N18" s="7">
        <f t="shared" si="2"/>
        <v>40.316666672006249</v>
      </c>
      <c r="O18" s="7"/>
      <c r="P18" s="7"/>
      <c r="Q18" s="22"/>
      <c r="R18" s="174"/>
      <c r="S18" s="221">
        <f t="shared" si="3"/>
        <v>1</v>
      </c>
      <c r="T18" s="174" t="str">
        <f t="shared" si="4"/>
        <v>Southbound</v>
      </c>
      <c r="U18" s="198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16" t="str">
        <f t="shared" si="5"/>
        <v>https://d0f6bd738d7f1b3e5a7ca70fe4ff75f0.us-east-1.aws.found.io/app/kibana#/discover/Steve-Slow-Train-Analysis-(2080s-and-2083s)?_g=(refreshInterval:(display:Off,pause:!f,section:0,value:0),time:(from:'2017-09-24T03:55:55-0600',mode:absolute,to:'2017-09-24T06:52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" s="204" t="str">
        <f>IF(AA18&lt;VLOOKUP(AG18,Variables!$AC$3:$AD$8,2,FALSE),"Y","N")</f>
        <v>N</v>
      </c>
      <c r="X18" s="204">
        <f t="shared" si="6"/>
        <v>1</v>
      </c>
      <c r="Y18" s="204">
        <f t="shared" si="7"/>
        <v>23.299600000000002</v>
      </c>
      <c r="Z18" s="204">
        <f t="shared" si="8"/>
        <v>1.5800000000000002E-2</v>
      </c>
      <c r="AA18" s="204">
        <f t="shared" si="9"/>
        <v>23.283800000000003</v>
      </c>
      <c r="AB18" s="54" t="e">
        <f>VLOOKUP(A18,Enforcements!$C$7:$K$11,8,0)</f>
        <v>#N/A</v>
      </c>
      <c r="AC18" s="51" t="e">
        <f>VLOOKUP(A18,Enforcements!$C$7:$E$11,3,0)</f>
        <v>#N/A</v>
      </c>
      <c r="AD18" s="179">
        <f t="shared" si="10"/>
        <v>106</v>
      </c>
      <c r="AE18" s="77" t="str">
        <f t="shared" si="11"/>
        <v>aws s3 cp s3://rtdc.mdm.uploadarchive.raw/RTDC4045/ "%USERPROFILE%\AppData\Local\Temp\OnboardLogs"\RTDC4045\2017-09-24 --exclude "*" --recursive --include "*20170924*" &amp; "%USERPROFILE%\Documents\GitHub\mrs-test-scripts\Headless Mode &amp; Sideloading\WalkAndUnGZ.bat" "%USERPROFILE%\AppData\Local\Temp\OnboardLogs"\RTDC4045\2017-09-24 &amp; aws s3 cp s3://rtdc.mdm.uploadarchive.raw/RTDC4045/ "%USERPROFILE%\AppData\Local\Temp\OnboardLogs"\RTDC4045\2017-09-25 --exclude "*" --recursive --include "*20170925*" &amp; "%USERPROFILE%\Documents\GitHub\mrs-test-scripts\Headless Mode &amp; Sideloading\WalkAndUnGZ.bat" "%USERPROFILE%\AppData\Local\Temp\OnboardLogs"\RTDC4045\2017-09-25</v>
      </c>
      <c r="AF18" s="74" t="str">
        <f t="shared" si="12"/>
        <v>"C:\Program Files (x86)\AstroGrep\AstroGrep.exe" /e /r /s /spath="%USERPROFILE%\AppData\Local\Temp\OnboardLogs" /stypes="app*4045*20170924*" /stext=" 11:.+((SYSTEM_STATE.+slice.+state.+changed )|(ment ac)|(multiple cpu faults)|(system.+state.+changed )|(\[timeout)|(PRM\|1\|D)|(kpr)|(kdp)|(train st.+moving)|(\|lc)|(penalty))"</v>
      </c>
      <c r="AG18" s="182" t="str">
        <f t="shared" si="13"/>
        <v>EC</v>
      </c>
      <c r="AH18" s="78" t="str">
        <f t="shared" si="18"/>
        <v>"%USERPROFILE%\Documents\GitHub\eaglep3\Utilities\RefineRTDCRunTimes.py" --tripid 106-24 --locoid 4045 --swversion DE.1.0.9.0 --startMP 204:232996 --initTime 2017-09-24T04:55:55 --startdatetime 2017-09-24T05:12:23 --delay 65 --endMP 204:158 --enddatetime 2017-09-24T05:52:42 --enforcementcount 0 &gt;&gt;c:\users\stu\Documents\GitHub\eaglep3-reporting\EC\2017-09-24-refined-times.txt</v>
      </c>
      <c r="AI18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{"issue":{"subject":"","project_id":79,"tracker_id":40,"status_id":1,"priority_id":2,"assigned_to_id":338,"start_date":"2017-09-24","description":"","custom_fields":[{"id":1,"name":"Subdivision","value":"EC"},{"id":4,"name":"Milepost","value":"0.0158"},{"id":17,"name":"Train ID","value":"106-24"},{"id":16,"name":"Locomotive ID","value":"4045"},{"id":130,"name":"Impact","value":""},{"id":150,"name":"Time of Event (Mountain Time)","value":"05:52:42"},{"id":151,"name":"Denver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2" t="str">
        <f t="shared" si="20"/>
        <v>start /low /b %USERPROFILE%\Documents\GitHub\eaglep3\Utilities\DownloadLogsFromS3.py --loco 4045 --day 2017-09-24</v>
      </c>
      <c r="AN18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11:52:42"},{"id":29,"name":"Sharepoint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168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Message%20ID',Summary),filters:!(),index:'emp_*',interval:auto,query:"&amp;"(query_string:(analyze_wildcard:!t,query:'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-09-24T03:55:55-0600',mode:absolute,to:'2017-09-24T06:52:42-0600'))&amp;_a=(columns:!('Message%20ID',Summary),filters:!(),index:'emp_*',interval:auto,query:(query_string:(analyze_wildcard:!t,query:'%22rtdc.l.rtdc.4045%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638</v>
      </c>
      <c r="B19" s="7">
        <v>4060</v>
      </c>
      <c r="C19" s="21" t="s">
        <v>196</v>
      </c>
      <c r="D19" s="21" t="s">
        <v>392</v>
      </c>
      <c r="E19" s="13">
        <v>43002.182025462964</v>
      </c>
      <c r="F19" s="13">
        <v>43002.187696759262</v>
      </c>
      <c r="G19" s="7">
        <v>125</v>
      </c>
      <c r="H19" s="21" t="s">
        <v>499</v>
      </c>
      <c r="I19" s="13">
        <v>43002.211944444447</v>
      </c>
      <c r="J19" s="7">
        <v>0</v>
      </c>
      <c r="K19" s="89" t="str">
        <f t="shared" si="0"/>
        <v>4059/4060</v>
      </c>
      <c r="L19" s="185" t="str">
        <f>VLOOKUP(A19,'Trips&amp;Operators'!$C$1:$G$99911,5,FALSE)</f>
        <v>PAGE MARCUS</v>
      </c>
      <c r="M19" s="6">
        <f t="shared" si="1"/>
        <v>2.4247685185400769E-2</v>
      </c>
      <c r="N19" s="7">
        <f t="shared" si="2"/>
        <v>34.916666666977108</v>
      </c>
      <c r="O19" s="7"/>
      <c r="P19" s="7"/>
      <c r="Q19" s="22"/>
      <c r="R19" s="174"/>
      <c r="S19" s="221">
        <f t="shared" si="3"/>
        <v>1</v>
      </c>
      <c r="T19" s="174" t="str">
        <f t="shared" si="4"/>
        <v>NorthBound</v>
      </c>
      <c r="U19" s="198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16" t="str">
        <f t="shared" si="5"/>
        <v>https://d0f6bd738d7f1b3e5a7ca70fe4ff75f0.us-east-1.aws.found.io/app/kibana#/discover/Steve-Slow-Train-Analysis-(2080s-and-2083s)?_g=(refreshInterval:(display:Off,pause:!f,section:0,value:0),time:(from:'2017-09-24T03:22:07-0600',mode:absolute,to:'2017-09-24T06:05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9" s="204" t="str">
        <f>IF(AA19&lt;VLOOKUP(AG19,Variables!$AC$3:$AD$8,2,FALSE),"Y","N")</f>
        <v>N</v>
      </c>
      <c r="X19" s="204">
        <f t="shared" si="6"/>
        <v>1</v>
      </c>
      <c r="Y19" s="204">
        <f t="shared" si="7"/>
        <v>4.5100000000000001E-2</v>
      </c>
      <c r="Z19" s="204">
        <f t="shared" si="8"/>
        <v>23.331600000000002</v>
      </c>
      <c r="AA19" s="204">
        <f t="shared" si="9"/>
        <v>23.2865</v>
      </c>
      <c r="AB19" s="54" t="e">
        <f>VLOOKUP(A19,Enforcements!$C$7:$K$11,8,0)</f>
        <v>#N/A</v>
      </c>
      <c r="AC19" s="51" t="e">
        <f>VLOOKUP(A19,Enforcements!$C$7:$E$11,3,0)</f>
        <v>#N/A</v>
      </c>
      <c r="AD19" s="179">
        <f t="shared" si="10"/>
        <v>107</v>
      </c>
      <c r="AE19" s="77" t="str">
        <f t="shared" si="11"/>
        <v>aws s3 cp s3://rtdc.mdm.uploadarchive.raw/RTDC4060/ "%USERPROFILE%\AppData\Local\Temp\OnboardLogs"\RTDC4060\2017-09-24 --exclude "*" --recursive --include "*20170924*" &amp; "%USERPROFILE%\Documents\GitHub\mrs-test-scripts\Headless Mode &amp; Sideloading\WalkAndUnGZ.bat" "%USERPROFILE%\AppData\Local\Temp\OnboardLogs"\RTDC4060\2017-09-24 &amp; aws s3 cp s3://rtdc.mdm.uploadarchive.raw/RTDC4060/ "%USERPROFILE%\AppData\Local\Temp\OnboardLogs"\RTDC4060\2017-09-25 --exclude "*" --recursive --include "*20170925*" &amp; "%USERPROFILE%\Documents\GitHub\mrs-test-scripts\Headless Mode &amp; Sideloading\WalkAndUnGZ.bat" "%USERPROFILE%\AppData\Local\Temp\OnboardLogs"\RTDC4060\2017-09-25</v>
      </c>
      <c r="AF19" s="74" t="str">
        <f t="shared" si="12"/>
        <v>"C:\Program Files (x86)\AstroGrep\AstroGrep.exe" /e /r /s /spath="%USERPROFILE%\AppData\Local\Temp\OnboardLogs" /stypes="app*4060*20170924*" /stext=" 11:.+((SYSTEM_STATE.+slice.+state.+changed )|(ment ac)|(multiple cpu faults)|(system.+state.+changed )|(\[timeout)|(PRM\|1\|D)|(kpr)|(kdp)|(train st.+moving)|(\|lc)|(penalty))"</v>
      </c>
      <c r="AG19" s="182" t="str">
        <f t="shared" si="13"/>
        <v>EC</v>
      </c>
      <c r="AH19" s="78" t="str">
        <f t="shared" si="18"/>
        <v>"%USERPROFILE%\Documents\GitHub\eaglep3\Utilities\RefineRTDCRunTimes.py" --tripid 107-24 --locoid 4060 --swversion DE.1.0.9.0 --startMP 204:451 --initTime 2017-09-24T04:22:07 --startdatetime 2017-09-24T04:30:17 --delay 125 --endMP 204:233316 --enddatetime 2017-09-24T05:05:12 --enforcementcount 0 &gt;&gt;c:\users\stu\Documents\GitHub\eaglep3-reporting\EC\2017-09-24-refined-times.txt</v>
      </c>
      <c r="AI19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{"issue":{"subject":"","project_id":79,"tracker_id":40,"status_id":1,"priority_id":2,"assigned_to_id":338,"start_date":"2017-09-24","description":"","custom_fields":[{"id":1,"name":"Subdivision","value":"EC"},{"id":4,"name":"Milepost","value":"23.3316"},{"id":17,"name":"Train ID","value":"107-24"},{"id":16,"name":"Locomotive ID","value":"4060"},{"id":130,"name":"Impact","value":""},{"id":150,"name":"Time of Event (Mountain Time)","value":"05:05:12"},{"id":151,"name":"Denver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2" t="str">
        <f t="shared" si="20"/>
        <v>start /low /b %USERPROFILE%\Documents\GitHub\eaglep3\Utilities\DownloadLogsFromS3.py --loco 4060 --day 2017-09-24</v>
      </c>
      <c r="AN19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11:05:12"},{"id":29,"name":"Sharepoint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168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Message%20ID',Summary),filters:!(),index:'emp_*',interval:auto,query:"&amp;"(query_string:(analyze_wildcard:!t,query:'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-09-24T03:22:07-0600',mode:absolute,to:'2017-09-24T06:05:12-0600'))&amp;_a=(columns:!('Message%20ID',Summary),filters:!(),index:'emp_*',interval:auto,query:(query_string:(analyze_wildcard:!t,query:'%22rtdc.l.rtdc.4060%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648</v>
      </c>
      <c r="B20" s="7">
        <v>4059</v>
      </c>
      <c r="C20" s="21" t="s">
        <v>196</v>
      </c>
      <c r="D20" s="21" t="s">
        <v>562</v>
      </c>
      <c r="E20" s="13">
        <v>43002.223599537036</v>
      </c>
      <c r="F20" s="13">
        <v>43002.227337962962</v>
      </c>
      <c r="G20" s="7">
        <v>50</v>
      </c>
      <c r="H20" s="21" t="s">
        <v>388</v>
      </c>
      <c r="I20" s="13">
        <v>43002.253298611111</v>
      </c>
      <c r="J20" s="7">
        <v>0</v>
      </c>
      <c r="K20" s="89" t="str">
        <f t="shared" si="0"/>
        <v>4059/4060</v>
      </c>
      <c r="L20" s="185" t="str">
        <f>VLOOKUP(A20,'Trips&amp;Operators'!$C$1:$G$99911,5,FALSE)</f>
        <v>PAGE MARCUS</v>
      </c>
      <c r="M20" s="6">
        <f t="shared" si="1"/>
        <v>2.5960648148611654E-2</v>
      </c>
      <c r="N20" s="7">
        <f t="shared" si="2"/>
        <v>37.383333334000781</v>
      </c>
      <c r="O20" s="7"/>
      <c r="P20" s="7"/>
      <c r="Q20" s="22"/>
      <c r="R20" s="174"/>
      <c r="S20" s="221">
        <f t="shared" si="3"/>
        <v>1</v>
      </c>
      <c r="T20" s="174" t="str">
        <f t="shared" si="4"/>
        <v>Southbound</v>
      </c>
      <c r="U20" s="198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16" t="str">
        <f t="shared" si="5"/>
        <v>https://d0f6bd738d7f1b3e5a7ca70fe4ff75f0.us-east-1.aws.found.io/app/kibana#/discover/Steve-Slow-Train-Analysis-(2080s-and-2083s)?_g=(refreshInterval:(display:Off,pause:!f,section:0,value:0),time:(from:'2017-09-24T04:21:59-0600',mode:absolute,to:'2017-09-24T07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" s="204" t="str">
        <f>IF(AA20&lt;VLOOKUP(AG20,Variables!$AC$3:$AD$8,2,FALSE),"Y","N")</f>
        <v>N</v>
      </c>
      <c r="X20" s="204">
        <f t="shared" si="6"/>
        <v>1</v>
      </c>
      <c r="Y20" s="204">
        <f t="shared" si="7"/>
        <v>23.297999999999998</v>
      </c>
      <c r="Z20" s="204">
        <f t="shared" si="8"/>
        <v>1.3599999999999999E-2</v>
      </c>
      <c r="AA20" s="204">
        <f t="shared" si="9"/>
        <v>23.284399999999998</v>
      </c>
      <c r="AB20" s="54" t="e">
        <f>VLOOKUP(A20,Enforcements!$C$7:$K$11,8,0)</f>
        <v>#N/A</v>
      </c>
      <c r="AC20" s="51" t="e">
        <f>VLOOKUP(A20,Enforcements!$C$7:$E$11,3,0)</f>
        <v>#N/A</v>
      </c>
      <c r="AD20" s="179">
        <f t="shared" si="10"/>
        <v>108</v>
      </c>
      <c r="AE20" s="77" t="str">
        <f t="shared" si="11"/>
        <v>aws s3 cp s3://rtdc.mdm.uploadarchive.raw/RTDC4059/ "%USERPROFILE%\AppData\Local\Temp\OnboardLogs"\RTDC4059\2017-09-24 --exclude "*" --recursive --include "*20170924*" &amp; "%USERPROFILE%\Documents\GitHub\mrs-test-scripts\Headless Mode &amp; Sideloading\WalkAndUnGZ.bat" "%USERPROFILE%\AppData\Local\Temp\OnboardLogs"\RTDC4059\2017-09-24 &amp; aws s3 cp s3://rtdc.mdm.uploadarchive.raw/RTDC4059/ "%USERPROFILE%\AppData\Local\Temp\OnboardLogs"\RTDC4059\2017-09-25 --exclude "*" --recursive --include "*20170925*" &amp; "%USERPROFILE%\Documents\GitHub\mrs-test-scripts\Headless Mode &amp; Sideloading\WalkAndUnGZ.bat" "%USERPROFILE%\AppData\Local\Temp\OnboardLogs"\RTDC4059\2017-09-25</v>
      </c>
      <c r="AF20" s="74" t="str">
        <f t="shared" si="12"/>
        <v>"C:\Program Files (x86)\AstroGrep\AstroGrep.exe" /e /r /s /spath="%USERPROFILE%\AppData\Local\Temp\OnboardLogs" /stypes="app*4059*20170924*" /stext=" 12:.+((SYSTEM_STATE.+slice.+state.+changed )|(ment ac)|(multiple cpu faults)|(system.+state.+changed )|(\[timeout)|(PRM\|1\|D)|(kpr)|(kdp)|(train st.+moving)|(\|lc)|(penalty))"</v>
      </c>
      <c r="AG20" s="182" t="str">
        <f t="shared" si="13"/>
        <v>EC</v>
      </c>
      <c r="AH20" s="78" t="str">
        <f t="shared" si="18"/>
        <v>"%USERPROFILE%\Documents\GitHub\eaglep3\Utilities\RefineRTDCRunTimes.py" --tripid 108-24 --locoid 4059 --swversion DE.1.0.9.0 --startMP 204:232980 --initTime 2017-09-24T05:21:59 --startdatetime 2017-09-24T05:27:22 --delay 50 --endMP 204:136 --enddatetime 2017-09-24T06:04:45 --enforcementcount 0 &gt;&gt;c:\users\stu\Documents\GitHub\eaglep3-reporting\EC\2017-09-24-refined-times.txt</v>
      </c>
      <c r="AI20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{"issue":{"subject":"","project_id":79,"tracker_id":40,"status_id":1,"priority_id":2,"assigned_to_id":338,"start_date":"2017-09-24","description":"","custom_fields":[{"id":1,"name":"Subdivision","value":"EC"},{"id":4,"name":"Milepost","value":"0.0136"},{"id":17,"name":"Train ID","value":"108-24"},{"id":16,"name":"Locomotive ID","value":"4059"},{"id":130,"name":"Impact","value":""},{"id":150,"name":"Time of Event (Mountain Time)","value":"06:04:45"},{"id":151,"name":"Denver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2" t="str">
        <f t="shared" si="20"/>
        <v>start /low /b %USERPROFILE%\Documents\GitHub\eaglep3\Utilities\DownloadLogsFromS3.py --loco 4059 --day 2017-09-24</v>
      </c>
      <c r="AN20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12:04:45"},{"id":29,"name":"Sharepoint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168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Message%20ID',Summary),filters:!(),index:'emp_*',interval:auto,query:"&amp;"(query_string:(analyze_wildcard:!t,query:'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-09-24T04:21:59-0600',mode:absolute,to:'2017-09-24T07:04:45-0600'))&amp;_a=(columns:!('Message%20ID',Summary),filters:!(),index:'emp_*',interval:auto,query:(query_string:(analyze_wildcard:!t,query:'%22rtdc.l.rtdc.4059%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640</v>
      </c>
      <c r="B21" s="7">
        <v>4062</v>
      </c>
      <c r="C21" s="21" t="s">
        <v>196</v>
      </c>
      <c r="D21" s="21" t="s">
        <v>407</v>
      </c>
      <c r="E21" s="13">
        <v>43002.192962962959</v>
      </c>
      <c r="F21" s="13">
        <v>43002.198101851849</v>
      </c>
      <c r="G21" s="7">
        <v>70</v>
      </c>
      <c r="H21" s="21" t="s">
        <v>575</v>
      </c>
      <c r="I21" s="13">
        <v>43002.224074074074</v>
      </c>
      <c r="J21" s="7">
        <v>0</v>
      </c>
      <c r="K21" s="89" t="str">
        <f t="shared" si="0"/>
        <v>4061/4062</v>
      </c>
      <c r="L21" s="185" t="str">
        <f>VLOOKUP(A21,'Trips&amp;Operators'!$C$1:$G$99911,5,FALSE)</f>
        <v>GEBRETEKLE DAGNEW</v>
      </c>
      <c r="M21" s="6">
        <f t="shared" si="1"/>
        <v>2.5972222225391306E-2</v>
      </c>
      <c r="N21" s="7">
        <f t="shared" si="2"/>
        <v>37.400000004563481</v>
      </c>
      <c r="O21" s="7"/>
      <c r="P21" s="7"/>
      <c r="Q21" s="22"/>
      <c r="R21" s="174"/>
      <c r="S21" s="221">
        <f t="shared" si="3"/>
        <v>1</v>
      </c>
      <c r="T21" s="174" t="str">
        <f t="shared" si="4"/>
        <v>NorthBound</v>
      </c>
      <c r="U21" s="198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16" t="str">
        <f t="shared" si="5"/>
        <v>https://d0f6bd738d7f1b3e5a7ca70fe4ff75f0.us-east-1.aws.found.io/app/kibana#/discover/Steve-Slow-Train-Analysis-(2080s-and-2083s)?_g=(refreshInterval:(display:Off,pause:!f,section:0,value:0),time:(from:'2017-09-24T03:37:52-0600',mode:absolute,to:'2017-09-24T06:22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1" s="204" t="str">
        <f>IF(AA21&lt;VLOOKUP(AG21,Variables!$AC$3:$AD$8,2,FALSE),"Y","N")</f>
        <v>N</v>
      </c>
      <c r="X21" s="204">
        <f t="shared" si="6"/>
        <v>1</v>
      </c>
      <c r="Y21" s="204">
        <f t="shared" si="7"/>
        <v>4.4699999999999997E-2</v>
      </c>
      <c r="Z21" s="204">
        <f t="shared" si="8"/>
        <v>23.333100000000002</v>
      </c>
      <c r="AA21" s="204">
        <f t="shared" si="9"/>
        <v>23.288400000000003</v>
      </c>
      <c r="AB21" s="54" t="e">
        <f>VLOOKUP(A21,Enforcements!$C$7:$K$11,8,0)</f>
        <v>#N/A</v>
      </c>
      <c r="AC21" s="51" t="e">
        <f>VLOOKUP(A21,Enforcements!$C$7:$E$11,3,0)</f>
        <v>#N/A</v>
      </c>
      <c r="AD21" s="179">
        <f t="shared" si="10"/>
        <v>109</v>
      </c>
      <c r="AE21" s="77" t="str">
        <f t="shared" si="11"/>
        <v>aws s3 cp s3://rtdc.mdm.uploadarchive.raw/RTDC4062/ "%USERPROFILE%\AppData\Local\Temp\OnboardLogs"\RTDC4062\2017-09-24 --exclude "*" --recursive --include "*20170924*" &amp; "%USERPROFILE%\Documents\GitHub\mrs-test-scripts\Headless Mode &amp; Sideloading\WalkAndUnGZ.bat" "%USERPROFILE%\AppData\Local\Temp\OnboardLogs"\RTDC4062\2017-09-24 &amp; aws s3 cp s3://rtdc.mdm.uploadarchive.raw/RTDC4062/ "%USERPROFILE%\AppData\Local\Temp\OnboardLogs"\RTDC4062\2017-09-25 --exclude "*" --recursive --include "*20170925*" &amp; "%USERPROFILE%\Documents\GitHub\mrs-test-scripts\Headless Mode &amp; Sideloading\WalkAndUnGZ.bat" "%USERPROFILE%\AppData\Local\Temp\OnboardLogs"\RTDC4062\2017-09-25</v>
      </c>
      <c r="AF21" s="74" t="str">
        <f t="shared" si="12"/>
        <v>"C:\Program Files (x86)\AstroGrep\AstroGrep.exe" /e /r /s /spath="%USERPROFILE%\AppData\Local\Temp\OnboardLogs" /stypes="app*4062*20170924*" /stext=" 11:.+((SYSTEM_STATE.+slice.+state.+changed )|(ment ac)|(multiple cpu faults)|(system.+state.+changed )|(\[timeout)|(PRM\|1\|D)|(kpr)|(kdp)|(train st.+moving)|(\|lc)|(penalty))"</v>
      </c>
      <c r="AG21" s="182" t="str">
        <f t="shared" si="13"/>
        <v>EC</v>
      </c>
      <c r="AH21" s="78" t="str">
        <f t="shared" si="18"/>
        <v>"%USERPROFILE%\Documents\GitHub\eaglep3\Utilities\RefineRTDCRunTimes.py" --tripid 109-24 --locoid 4062 --swversion DE.1.0.9.0 --startMP 204:447 --initTime 2017-09-24T04:37:52 --startdatetime 2017-09-24T04:45:16 --delay 70 --endMP 204:233331 --enddatetime 2017-09-24T05:22:40 --enforcementcount 0 &gt;&gt;c:\users\stu\Documents\GitHub\eaglep3-reporting\EC\2017-09-24-refined-times.txt</v>
      </c>
      <c r="AI21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{"issue":{"subject":"","project_id":79,"tracker_id":40,"status_id":1,"priority_id":2,"assigned_to_id":338,"start_date":"2017-09-24","description":"","custom_fields":[{"id":1,"name":"Subdivision","value":"EC"},{"id":4,"name":"Milepost","value":"23.3331"},{"id":17,"name":"Train ID","value":"109-24"},{"id":16,"name":"Locomotive ID","value":"4062"},{"id":130,"name":"Impact","value":""},{"id":150,"name":"Time of Event (Mountain Time)","value":"05:22:40"},{"id":151,"name":"Denver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2" t="str">
        <f t="shared" si="20"/>
        <v>start /low /b %USERPROFILE%\Documents\GitHub\eaglep3\Utilities\DownloadLogsFromS3.py --loco 4062 --day 2017-09-24</v>
      </c>
      <c r="AN21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11:22:40"},{"id":29,"name":"Sharepoint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168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Message%20ID',Summary),filters:!(),index:'emp_*',interval:auto,query:"&amp;"(query_string:(analyze_wildcard:!t,query:'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-09-24T03:37:52-0600',mode:absolute,to:'2017-09-24T06:22:40-0600'))&amp;_a=(columns:!('Message%20ID',Summary),filters:!(),index:'emp_*',interval:auto,query:(query_string:(analyze_wildcard:!t,query:'%22rtdc.l.rtdc.4062%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649</v>
      </c>
      <c r="B22" s="7">
        <v>4061</v>
      </c>
      <c r="C22" s="21" t="s">
        <v>196</v>
      </c>
      <c r="D22" s="21" t="s">
        <v>566</v>
      </c>
      <c r="E22" s="13">
        <v>43002.225162037037</v>
      </c>
      <c r="F22" s="13">
        <v>43002.237685185188</v>
      </c>
      <c r="G22" s="7">
        <v>49</v>
      </c>
      <c r="H22" s="21" t="s">
        <v>493</v>
      </c>
      <c r="I22" s="13">
        <v>43002.263379629629</v>
      </c>
      <c r="J22" s="7">
        <v>0</v>
      </c>
      <c r="K22" s="89" t="str">
        <f t="shared" si="0"/>
        <v>4061/4062</v>
      </c>
      <c r="L22" s="185" t="str">
        <f>VLOOKUP(A22,'Trips&amp;Operators'!$C$1:$G$99911,5,FALSE)</f>
        <v>GEBRETEKLE DAGNEW</v>
      </c>
      <c r="M22" s="6">
        <f t="shared" si="1"/>
        <v>2.569444444088731E-2</v>
      </c>
      <c r="N22" s="7">
        <f t="shared" si="2"/>
        <v>36.999999994877726</v>
      </c>
      <c r="O22" s="7"/>
      <c r="P22" s="7"/>
      <c r="Q22" s="22"/>
      <c r="R22" s="174"/>
      <c r="S22" s="221">
        <f t="shared" si="3"/>
        <v>1</v>
      </c>
      <c r="T22" s="174" t="str">
        <f t="shared" si="4"/>
        <v>Southbound</v>
      </c>
      <c r="U22" s="198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16" t="str">
        <f t="shared" si="5"/>
        <v>https://d0f6bd738d7f1b3e5a7ca70fe4ff75f0.us-east-1.aws.found.io/app/kibana#/discover/Steve-Slow-Train-Analysis-(2080s-and-2083s)?_g=(refreshInterval:(display:Off,pause:!f,section:0,value:0),time:(from:'2017-09-24T04:24:14-0600',mode:absolute,to:'2017-09-24T07:19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" s="204" t="str">
        <f>IF(AA22&lt;VLOOKUP(AG22,Variables!$AC$3:$AD$8,2,FALSE),"Y","N")</f>
        <v>N</v>
      </c>
      <c r="X22" s="204">
        <f t="shared" si="6"/>
        <v>1</v>
      </c>
      <c r="Y22" s="204">
        <f t="shared" si="7"/>
        <v>23.3</v>
      </c>
      <c r="Z22" s="204">
        <f t="shared" si="8"/>
        <v>1.67E-2</v>
      </c>
      <c r="AA22" s="204">
        <f t="shared" si="9"/>
        <v>23.283300000000001</v>
      </c>
      <c r="AB22" s="54" t="e">
        <f>VLOOKUP(A22,Enforcements!$C$7:$K$11,8,0)</f>
        <v>#N/A</v>
      </c>
      <c r="AC22" s="51" t="e">
        <f>VLOOKUP(A22,Enforcements!$C$7:$E$11,3,0)</f>
        <v>#N/A</v>
      </c>
      <c r="AD22" s="179">
        <f t="shared" si="10"/>
        <v>110</v>
      </c>
      <c r="AE22" s="77" t="str">
        <f t="shared" si="11"/>
        <v>aws s3 cp s3://rtdc.mdm.uploadarchive.raw/RTDC4061/ "%USERPROFILE%\AppData\Local\Temp\OnboardLogs"\RTDC4061\2017-09-24 --exclude "*" --recursive --include "*20170924*" &amp; "%USERPROFILE%\Documents\GitHub\mrs-test-scripts\Headless Mode &amp; Sideloading\WalkAndUnGZ.bat" "%USERPROFILE%\AppData\Local\Temp\OnboardLogs"\RTDC4061\2017-09-24 &amp; aws s3 cp s3://rtdc.mdm.uploadarchive.raw/RTDC4061/ "%USERPROFILE%\AppData\Local\Temp\OnboardLogs"\RTDC4061\2017-09-25 --exclude "*" --recursive --include "*20170925*" &amp; "%USERPROFILE%\Documents\GitHub\mrs-test-scripts\Headless Mode &amp; Sideloading\WalkAndUnGZ.bat" "%USERPROFILE%\AppData\Local\Temp\OnboardLogs"\RTDC4061\2017-09-25</v>
      </c>
      <c r="AF22" s="74" t="str">
        <f t="shared" si="12"/>
        <v>"C:\Program Files (x86)\AstroGrep\AstroGrep.exe" /e /r /s /spath="%USERPROFILE%\AppData\Local\Temp\OnboardLogs" /stypes="app*4061*20170924*" /stext=" 12:.+((SYSTEM_STATE.+slice.+state.+changed )|(ment ac)|(multiple cpu faults)|(system.+state.+changed )|(\[timeout)|(PRM\|1\|D)|(kpr)|(kdp)|(train st.+moving)|(\|lc)|(penalty))"</v>
      </c>
      <c r="AG22" s="182" t="str">
        <f t="shared" si="13"/>
        <v>EC</v>
      </c>
      <c r="AH22" s="78" t="str">
        <f t="shared" si="18"/>
        <v>"%USERPROFILE%\Documents\GitHub\eaglep3\Utilities\RefineRTDCRunTimes.py" --tripid 110-24 --locoid 4061 --swversion DE.1.0.9.0 --startMP 204:233000 --initTime 2017-09-24T05:24:14 --startdatetime 2017-09-24T05:42:16 --delay 49 --endMP 204:167 --enddatetime 2017-09-24T06:19:16 --enforcementcount 0 &gt;&gt;c:\users\stu\Documents\GitHub\eaglep3-reporting\EC\2017-09-24-refined-times.txt</v>
      </c>
      <c r="AI22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{"issue":{"subject":"","project_id":79,"tracker_id":40,"status_id":1,"priority_id":2,"assigned_to_id":338,"start_date":"2017-09-24","description":"","custom_fields":[{"id":1,"name":"Subdivision","value":"EC"},{"id":4,"name":"Milepost","value":"0.0167"},{"id":17,"name":"Train ID","value":"110-24"},{"id":16,"name":"Locomotive ID","value":"4061"},{"id":130,"name":"Impact","value":""},{"id":150,"name":"Time of Event (Mountain Time)","value":"06:19:16"},{"id":151,"name":"Denver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2" t="str">
        <f t="shared" si="20"/>
        <v>start /low /b %USERPROFILE%\Documents\GitHub\eaglep3\Utilities\DownloadLogsFromS3.py --loco 4061 --day 2017-09-24</v>
      </c>
      <c r="AN22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12:19:16"},{"id":29,"name":"Sharepoint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168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Message%20ID',Summary),filters:!(),index:'emp_*',interval:auto,query:"&amp;"(query_string:(analyze_wildcard:!t,query:'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-09-24T04:24:14-0600',mode:absolute,to:'2017-09-24T07:19:16-0600'))&amp;_a=(columns:!('Message%20ID',Summary),filters:!(),index:'emp_*',interval:auto,query:(query_string:(analyze_wildcard:!t,query:'%22rtdc.l.rtdc.4061%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580</v>
      </c>
      <c r="B23" s="7">
        <v>4066</v>
      </c>
      <c r="C23" s="21" t="s">
        <v>196</v>
      </c>
      <c r="D23" s="21" t="s">
        <v>376</v>
      </c>
      <c r="E23" s="13">
        <v>43002.205972222226</v>
      </c>
      <c r="F23" s="13">
        <v>43002.208634259259</v>
      </c>
      <c r="G23" s="7">
        <v>69</v>
      </c>
      <c r="H23" s="21" t="s">
        <v>408</v>
      </c>
      <c r="I23" s="13">
        <v>43002.234548611108</v>
      </c>
      <c r="J23" s="7">
        <v>0</v>
      </c>
      <c r="K23" s="89" t="str">
        <f t="shared" si="0"/>
        <v>4065/4066</v>
      </c>
      <c r="L23" s="185" t="str">
        <f>VLOOKUP(A23,'Trips&amp;Operators'!$C$1:$G$99911,5,FALSE)</f>
        <v>THOMPSON LESTER</v>
      </c>
      <c r="M23" s="6">
        <f t="shared" si="1"/>
        <v>2.5914351848769002E-2</v>
      </c>
      <c r="N23" s="7">
        <f t="shared" si="2"/>
        <v>37.316666662227362</v>
      </c>
      <c r="O23" s="7"/>
      <c r="P23" s="7"/>
      <c r="Q23" s="22"/>
      <c r="R23" s="174"/>
      <c r="S23" s="221">
        <f t="shared" si="3"/>
        <v>1</v>
      </c>
      <c r="T23" s="174" t="str">
        <f t="shared" si="4"/>
        <v>NorthBound</v>
      </c>
      <c r="U23" s="198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16" t="str">
        <f t="shared" si="5"/>
        <v>https://d0f6bd738d7f1b3e5a7ca70fe4ff75f0.us-east-1.aws.found.io/app/kibana#/discover/Steve-Slow-Train-Analysis-(2080s-and-2083s)?_g=(refreshInterval:(display:Off,pause:!f,section:0,value:0),time:(from:'2017-09-24T03:56:36-0600',mode:absolute,to:'2017-09-24T06:37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3" s="204" t="str">
        <f>IF(AA23&lt;VLOOKUP(AG23,Variables!$AC$3:$AD$8,2,FALSE),"Y","N")</f>
        <v>N</v>
      </c>
      <c r="X23" s="204">
        <f t="shared" si="6"/>
        <v>1</v>
      </c>
      <c r="Y23" s="204">
        <f t="shared" si="7"/>
        <v>4.5999999999999999E-2</v>
      </c>
      <c r="Z23" s="204">
        <f t="shared" si="8"/>
        <v>23.3293</v>
      </c>
      <c r="AA23" s="204">
        <f t="shared" si="9"/>
        <v>23.283300000000001</v>
      </c>
      <c r="AB23" s="54" t="e">
        <f>VLOOKUP(A23,Enforcements!$C$7:$K$11,8,0)</f>
        <v>#N/A</v>
      </c>
      <c r="AC23" s="51" t="e">
        <f>VLOOKUP(A23,Enforcements!$C$7:$E$11,3,0)</f>
        <v>#N/A</v>
      </c>
      <c r="AD23" s="179">
        <f t="shared" si="10"/>
        <v>111</v>
      </c>
      <c r="AE23" s="77" t="str">
        <f t="shared" si="11"/>
        <v>aws s3 cp s3://rtdc.mdm.uploadarchive.raw/RTDC4066/ "%USERPROFILE%\AppData\Local\Temp\OnboardLogs"\RTDC4066\2017-09-24 --exclude "*" --recursive --include "*20170924*" &amp; "%USERPROFILE%\Documents\GitHub\mrs-test-scripts\Headless Mode &amp; Sideloading\WalkAndUnGZ.bat" "%USERPROFILE%\AppData\Local\Temp\OnboardLogs"\RTDC4066\2017-09-24 &amp; aws s3 cp s3://rtdc.mdm.uploadarchive.raw/RTDC4066/ "%USERPROFILE%\AppData\Local\Temp\OnboardLogs"\RTDC4066\2017-09-25 --exclude "*" --recursive --include "*20170925*" &amp; "%USERPROFILE%\Documents\GitHub\mrs-test-scripts\Headless Mode &amp; Sideloading\WalkAndUnGZ.bat" "%USERPROFILE%\AppData\Local\Temp\OnboardLogs"\RTDC4066\2017-09-25</v>
      </c>
      <c r="AF23" s="74" t="str">
        <f t="shared" si="12"/>
        <v>"C:\Program Files (x86)\AstroGrep\AstroGrep.exe" /e /r /s /spath="%USERPROFILE%\AppData\Local\Temp\OnboardLogs" /stypes="app*4066*20170924*" /stext=" 11:.+((SYSTEM_STATE.+slice.+state.+changed )|(ment ac)|(multiple cpu faults)|(system.+state.+changed )|(\[timeout)|(PRM\|1\|D)|(kpr)|(kdp)|(train st.+moving)|(\|lc)|(penalty))"</v>
      </c>
      <c r="AG23" s="182" t="str">
        <f t="shared" si="13"/>
        <v>EC</v>
      </c>
      <c r="AH23" s="78" t="str">
        <f t="shared" si="18"/>
        <v>"%USERPROFILE%\Documents\GitHub\eaglep3\Utilities\RefineRTDCRunTimes.py" --tripid 111-24 --locoid 4066 --swversion DE.1.0.9.0 --startMP 204:460 --initTime 2017-09-24T04:56:36 --startdatetime 2017-09-24T05:00:26 --delay 69 --endMP 204:233293 --enddatetime 2017-09-24T05:37:45 --enforcementcount 0 &gt;&gt;c:\users\stu\Documents\GitHub\eaglep3-reporting\EC\2017-09-24-refined-times.txt</v>
      </c>
      <c r="AI23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{"issue":{"subject":"","project_id":79,"tracker_id":40,"status_id":1,"priority_id":2,"assigned_to_id":338,"start_date":"2017-09-24","description":"","custom_fields":[{"id":1,"name":"Subdivision","value":"EC"},{"id":4,"name":"Milepost","value":"23.3293"},{"id":17,"name":"Train ID","value":"111-24"},{"id":16,"name":"Locomotive ID","value":"4066"},{"id":130,"name":"Impact","value":""},{"id":150,"name":"Time of Event (Mountain Time)","value":"05:37:45"},{"id":151,"name":"Denver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2" t="str">
        <f t="shared" si="20"/>
        <v>start /low /b %USERPROFILE%\Documents\GitHub\eaglep3\Utilities\DownloadLogsFromS3.py --loco 4066 --day 2017-09-24</v>
      </c>
      <c r="AN23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11:37:45"},{"id":29,"name":"Sharepoint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168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Message%20ID',Summary),filters:!(),index:'emp_*',interval:auto,query:"&amp;"(query_string:(analyze_wildcard:!t,query:'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-09-24T03:56:36-0600',mode:absolute,to:'2017-09-24T06:37:45-0600'))&amp;_a=(columns:!('Message%20ID',Summary),filters:!(),index:'emp_*',interval:auto,query:(query_string:(analyze_wildcard:!t,query:'%22rtdc.l.rtdc.4066%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652</v>
      </c>
      <c r="B24" s="7">
        <v>4065</v>
      </c>
      <c r="C24" s="21" t="s">
        <v>196</v>
      </c>
      <c r="D24" s="21" t="s">
        <v>833</v>
      </c>
      <c r="E24" s="13">
        <v>43002.245509259257</v>
      </c>
      <c r="F24" s="13">
        <v>43002.248148148145</v>
      </c>
      <c r="G24" s="7">
        <v>58</v>
      </c>
      <c r="H24" s="21" t="s">
        <v>834</v>
      </c>
      <c r="I24" s="13">
        <v>43002.275150462963</v>
      </c>
      <c r="J24" s="7">
        <v>0</v>
      </c>
      <c r="K24" s="89" t="str">
        <f t="shared" si="0"/>
        <v>4065/4066</v>
      </c>
      <c r="L24" s="185" t="str">
        <f>VLOOKUP(A24,'Trips&amp;Operators'!$C$1:$G$99911,5,FALSE)</f>
        <v>THOMPSON LESTER</v>
      </c>
      <c r="M24" s="6">
        <f t="shared" si="1"/>
        <v>2.7002314818673767E-2</v>
      </c>
      <c r="N24" s="7">
        <f t="shared" si="2"/>
        <v>38.883333338890225</v>
      </c>
      <c r="O24" s="7"/>
      <c r="P24" s="7"/>
      <c r="Q24" s="22"/>
      <c r="R24" s="174"/>
      <c r="S24" s="221">
        <f t="shared" si="3"/>
        <v>1</v>
      </c>
      <c r="T24" s="174" t="str">
        <f t="shared" si="4"/>
        <v>Southbound</v>
      </c>
      <c r="U24" s="198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16" t="str">
        <f t="shared" si="5"/>
        <v>https://d0f6bd738d7f1b3e5a7ca70fe4ff75f0.us-east-1.aws.found.io/app/kibana#/discover/Steve-Slow-Train-Analysis-(2080s-and-2083s)?_g=(refreshInterval:(display:Off,pause:!f,section:0,value:0),time:(from:'2017-09-24T04:53:32-0600',mode:absolute,to:'2017-09-24T07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24" s="204" t="str">
        <f>IF(AA24&lt;VLOOKUP(AG24,Variables!$AC$3:$AD$8,2,FALSE),"Y","N")</f>
        <v>N</v>
      </c>
      <c r="X24" s="204">
        <f t="shared" si="6"/>
        <v>1</v>
      </c>
      <c r="Y24" s="204">
        <f t="shared" si="7"/>
        <v>23.2971</v>
      </c>
      <c r="Z24" s="204">
        <f t="shared" si="8"/>
        <v>1.6500000000000001E-2</v>
      </c>
      <c r="AA24" s="204">
        <f t="shared" si="9"/>
        <v>23.2806</v>
      </c>
      <c r="AB24" s="54" t="e">
        <f>VLOOKUP(A24,Enforcements!$C$7:$K$11,8,0)</f>
        <v>#N/A</v>
      </c>
      <c r="AC24" s="51" t="e">
        <f>VLOOKUP(A24,Enforcements!$C$7:$E$11,3,0)</f>
        <v>#N/A</v>
      </c>
      <c r="AD24" s="179">
        <f t="shared" si="10"/>
        <v>112</v>
      </c>
      <c r="AE24" s="77" t="str">
        <f t="shared" si="11"/>
        <v>aws s3 cp s3://rtdc.mdm.uploadarchive.raw/RTDC4065/ "%USERPROFILE%\AppData\Local\Temp\OnboardLogs"\RTDC4065\2017-09-24 --exclude "*" --recursive --include "*20170924*" &amp; "%USERPROFILE%\Documents\GitHub\mrs-test-scripts\Headless Mode &amp; Sideloading\WalkAndUnGZ.bat" "%USERPROFILE%\AppData\Local\Temp\OnboardLogs"\RTDC4065\2017-09-24 &amp; aws s3 cp s3://rtdc.mdm.uploadarchive.raw/RTDC4065/ "%USERPROFILE%\AppData\Local\Temp\OnboardLogs"\RTDC4065\2017-09-25 --exclude "*" --recursive --include "*20170925*" &amp; "%USERPROFILE%\Documents\GitHub\mrs-test-scripts\Headless Mode &amp; Sideloading\WalkAndUnGZ.bat" "%USERPROFILE%\AppData\Local\Temp\OnboardLogs"\RTDC4065\2017-09-25</v>
      </c>
      <c r="AF24" s="74" t="str">
        <f t="shared" si="12"/>
        <v>"C:\Program Files (x86)\AstroGrep\AstroGrep.exe" /e /r /s /spath="%USERPROFILE%\AppData\Local\Temp\OnboardLogs" /stypes="app*4065*20170924*" /stext=" 12:.+((SYSTEM_STATE.+slice.+state.+changed )|(ment ac)|(multiple cpu faults)|(system.+state.+changed )|(\[timeout)|(PRM\|1\|D)|(kpr)|(kdp)|(train st.+moving)|(\|lc)|(penalty))"</v>
      </c>
      <c r="AG24" s="182" t="str">
        <f t="shared" si="13"/>
        <v>EC</v>
      </c>
      <c r="AH24" s="78" t="str">
        <f t="shared" si="18"/>
        <v>"%USERPROFILE%\Documents\GitHub\eaglep3\Utilities\RefineRTDCRunTimes.py" --tripid 112-24 --locoid 4065 --swversion DE.1.0.9.0 --startMP 204:232971 --initTime 2017-09-24T05:53:32 --startdatetime 2017-09-24T05:57:20 --delay 58 --endMP 204:165 --enddatetime 2017-09-24T06:36:13 --enforcementcount 0 &gt;&gt;c:\users\stu\Documents\GitHub\eaglep3-reporting\EC\2017-09-24-refined-times.txt</v>
      </c>
      <c r="AI24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{"issue":{"subject":"","project_id":79,"tracker_id":40,"status_id":1,"priority_id":2,"assigned_to_id":338,"start_date":"2017-09-24","description":"","custom_fields":[{"id":1,"name":"Subdivision","value":"EC"},{"id":4,"name":"Milepost","value":"0.0165"},{"id":17,"name":"Train ID","value":"112-24"},{"id":16,"name":"Locomotive ID","value":"4065"},{"id":130,"name":"Impact","value":""},{"id":150,"name":"Time of Event (Mountain Time)","value":"06:36:13"},{"id":151,"name":"Denver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2" t="str">
        <f t="shared" si="20"/>
        <v>start /low /b %USERPROFILE%\Documents\GitHub\eaglep3\Utilities\DownloadLogsFromS3.py --loco 4065 --day 2017-09-24</v>
      </c>
      <c r="AN24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12:36:13"},{"id":29,"name":"Sharepoint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168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Message%20ID',Summary),filters:!(),index:'emp_*',interval:auto,query:"&amp;"(query_string:(analyze_wildcard:!t,query:'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-09-24T04:53:32-0600',mode:absolute,to:'2017-09-24T07:36:13-0600'))&amp;_a=(columns:!('Message%20ID',Summary),filters:!(),index:'emp_*',interval:auto,query:(query_string:(analyze_wildcard:!t,query:'%22rtdc.l.rtdc.4065%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642</v>
      </c>
      <c r="B25" s="7">
        <v>4024</v>
      </c>
      <c r="C25" s="21" t="s">
        <v>196</v>
      </c>
      <c r="D25" s="21" t="s">
        <v>396</v>
      </c>
      <c r="E25" s="13">
        <v>43002.215254629627</v>
      </c>
      <c r="F25" s="13">
        <v>43002.218935185185</v>
      </c>
      <c r="G25" s="7">
        <v>95</v>
      </c>
      <c r="H25" s="21" t="s">
        <v>491</v>
      </c>
      <c r="I25" s="13">
        <v>43002.245717592596</v>
      </c>
      <c r="J25" s="7">
        <v>0</v>
      </c>
      <c r="K25" s="89" t="str">
        <f t="shared" si="0"/>
        <v>4023/4024</v>
      </c>
      <c r="L25" s="185" t="str">
        <f>VLOOKUP(A25,'Trips&amp;Operators'!$C$1:$G$99911,5,FALSE)</f>
        <v>WILLIAMS DONTE</v>
      </c>
      <c r="M25" s="6">
        <f t="shared" si="1"/>
        <v>2.6782407410792075E-2</v>
      </c>
      <c r="N25" s="7">
        <f t="shared" si="2"/>
        <v>38.566666671540588</v>
      </c>
      <c r="O25" s="7"/>
      <c r="P25" s="7"/>
      <c r="Q25" s="22"/>
      <c r="R25" s="174"/>
      <c r="S25" s="221">
        <f t="shared" si="3"/>
        <v>1</v>
      </c>
      <c r="T25" s="174" t="str">
        <f t="shared" si="4"/>
        <v>NorthBound</v>
      </c>
      <c r="U25" s="198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16" t="str">
        <f t="shared" si="5"/>
        <v>https://d0f6bd738d7f1b3e5a7ca70fe4ff75f0.us-east-1.aws.found.io/app/kibana#/discover/Steve-Slow-Train-Analysis-(2080s-and-2083s)?_g=(refreshInterval:(display:Off,pause:!f,section:0,value:0),time:(from:'2017-09-24T04:09:58-0600',mode:absolute,to:'2017-09-24T06:53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5" s="204" t="str">
        <f>IF(AA25&lt;VLOOKUP(AG25,Variables!$AC$3:$AD$8,2,FALSE),"Y","N")</f>
        <v>N</v>
      </c>
      <c r="X25" s="204">
        <f t="shared" si="6"/>
        <v>1</v>
      </c>
      <c r="Y25" s="204">
        <f t="shared" si="7"/>
        <v>4.7100000000000003E-2</v>
      </c>
      <c r="Z25" s="204">
        <f t="shared" si="8"/>
        <v>23.333600000000001</v>
      </c>
      <c r="AA25" s="204">
        <f t="shared" si="9"/>
        <v>23.2865</v>
      </c>
      <c r="AB25" s="54" t="e">
        <f>VLOOKUP(A25,Enforcements!$C$7:$K$11,8,0)</f>
        <v>#N/A</v>
      </c>
      <c r="AC25" s="51" t="e">
        <f>VLOOKUP(A25,Enforcements!$C$7:$E$11,3,0)</f>
        <v>#N/A</v>
      </c>
      <c r="AD25" s="179">
        <f t="shared" si="10"/>
        <v>113</v>
      </c>
      <c r="AE25" s="77" t="str">
        <f t="shared" si="11"/>
        <v>aws s3 cp s3://rtdc.mdm.uploadarchive.raw/RTDC4024/ "%USERPROFILE%\AppData\Local\Temp\OnboardLogs"\RTDC4024\2017-09-24 --exclude "*" --recursive --include "*20170924*" &amp; "%USERPROFILE%\Documents\GitHub\mrs-test-scripts\Headless Mode &amp; Sideloading\WalkAndUnGZ.bat" "%USERPROFILE%\AppData\Local\Temp\OnboardLogs"\RTDC4024\2017-09-24 &amp; aws s3 cp s3://rtdc.mdm.uploadarchive.raw/RTDC4024/ "%USERPROFILE%\AppData\Local\Temp\OnboardLogs"\RTDC4024\2017-09-25 --exclude "*" --recursive --include "*20170925*" &amp; "%USERPROFILE%\Documents\GitHub\mrs-test-scripts\Headless Mode &amp; Sideloading\WalkAndUnGZ.bat" "%USERPROFILE%\AppData\Local\Temp\OnboardLogs"\RTDC4024\2017-09-25</v>
      </c>
      <c r="AF25" s="74" t="str">
        <f t="shared" si="12"/>
        <v>"C:\Program Files (x86)\AstroGrep\AstroGrep.exe" /e /r /s /spath="%USERPROFILE%\AppData\Local\Temp\OnboardLogs" /stypes="app*4024*20170924*" /stext=" 11:.+((SYSTEM_STATE.+slice.+state.+changed )|(ment ac)|(multiple cpu faults)|(system.+state.+changed )|(\[timeout)|(PRM\|1\|D)|(kpr)|(kdp)|(train st.+moving)|(\|lc)|(penalty))"</v>
      </c>
      <c r="AG25" s="182" t="str">
        <f t="shared" si="13"/>
        <v>EC</v>
      </c>
      <c r="AH25" s="78" t="str">
        <f t="shared" si="18"/>
        <v>"%USERPROFILE%\Documents\GitHub\eaglep3\Utilities\RefineRTDCRunTimes.py" --tripid 113-24 --locoid 4024 --swversion DE.1.0.9.0 --startMP 204:471 --initTime 2017-09-24T05:09:58 --startdatetime 2017-09-24T05:15:16 --delay 95 --endMP 204:233336 --enddatetime 2017-09-24T05:53:50 --enforcementcount 0 &gt;&gt;c:\users\stu\Documents\GitHub\eaglep3-reporting\EC\2017-09-24-refined-times.txt</v>
      </c>
      <c r="AI25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{"issue":{"subject":"","project_id":79,"tracker_id":40,"status_id":1,"priority_id":2,"assigned_to_id":338,"start_date":"2017-09-24","description":"","custom_fields":[{"id":1,"name":"Subdivision","value":"EC"},{"id":4,"name":"Milepost","value":"23.3336"},{"id":17,"name":"Train ID","value":"113-24"},{"id":16,"name":"Locomotive ID","value":"4024"},{"id":130,"name":"Impact","value":""},{"id":150,"name":"Time of Event (Mountain Time)","value":"05:53:50"},{"id":151,"name":"Denver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2" t="str">
        <f t="shared" si="20"/>
        <v>start /low /b %USERPROFILE%\Documents\GitHub\eaglep3\Utilities\DownloadLogsFromS3.py --loco 4024 --day 2017-09-24</v>
      </c>
      <c r="AN25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11:53:50"},{"id":29,"name":"Sharepoint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168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Message%20ID',Summary),filters:!(),index:'emp_*',interval:auto,query:"&amp;"(query_string:(analyze_wildcard:!t,query:'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-09-24T04:09:58-0600',mode:absolute,to:'2017-09-24T06:53:50-0600'))&amp;_a=(columns:!('Message%20ID',Summary),filters:!(),index:'emp_*',interval:auto,query:(query_string:(analyze_wildcard:!t,query:'%22rtdc.l.rtdc.4024%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655</v>
      </c>
      <c r="B26" s="7">
        <v>4023</v>
      </c>
      <c r="C26" s="21" t="s">
        <v>196</v>
      </c>
      <c r="D26" s="21" t="s">
        <v>494</v>
      </c>
      <c r="E26" s="13">
        <v>43002.253981481481</v>
      </c>
      <c r="F26" s="13">
        <v>43002.258506944447</v>
      </c>
      <c r="G26" s="7">
        <v>78</v>
      </c>
      <c r="H26" s="21" t="s">
        <v>401</v>
      </c>
      <c r="I26" s="13">
        <v>43002.285300925927</v>
      </c>
      <c r="J26" s="7">
        <v>0</v>
      </c>
      <c r="K26" s="89" t="str">
        <f t="shared" si="0"/>
        <v>4023/4024</v>
      </c>
      <c r="L26" s="185" t="str">
        <f>VLOOKUP(A26,'Trips&amp;Operators'!$C$1:$G$99911,5,FALSE)</f>
        <v>WILLIAMS DONTE</v>
      </c>
      <c r="M26" s="6">
        <f t="shared" si="1"/>
        <v>2.679398148029577E-2</v>
      </c>
      <c r="N26" s="7">
        <f t="shared" si="2"/>
        <v>38.583333331625909</v>
      </c>
      <c r="O26" s="7"/>
      <c r="P26" s="7"/>
      <c r="Q26" s="22"/>
      <c r="R26" s="174"/>
      <c r="S26" s="221">
        <f t="shared" si="3"/>
        <v>1</v>
      </c>
      <c r="T26" s="174" t="str">
        <f t="shared" si="4"/>
        <v>Southbound</v>
      </c>
      <c r="U26" s="198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16" t="str">
        <f t="shared" si="5"/>
        <v>https://d0f6bd738d7f1b3e5a7ca70fe4ff75f0.us-east-1.aws.found.io/app/kibana#/discover/Steve-Slow-Train-Analysis-(2080s-and-2083s)?_g=(refreshInterval:(display:Off,pause:!f,section:0,value:0),time:(from:'2017-09-24T05:05:44-0600',mode:absolute,to:'2017-09-24T07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6" s="204" t="str">
        <f>IF(AA26&lt;VLOOKUP(AG26,Variables!$AC$3:$AD$8,2,FALSE),"Y","N")</f>
        <v>N</v>
      </c>
      <c r="X26" s="204">
        <f t="shared" si="6"/>
        <v>1</v>
      </c>
      <c r="Y26" s="204">
        <f t="shared" si="7"/>
        <v>23.3002</v>
      </c>
      <c r="Z26" s="204">
        <f t="shared" si="8"/>
        <v>1.54E-2</v>
      </c>
      <c r="AA26" s="204">
        <f t="shared" si="9"/>
        <v>23.284800000000001</v>
      </c>
      <c r="AB26" s="54" t="e">
        <f>VLOOKUP(A26,Enforcements!$C$7:$K$11,8,0)</f>
        <v>#N/A</v>
      </c>
      <c r="AC26" s="51" t="e">
        <f>VLOOKUP(A26,Enforcements!$C$7:$E$11,3,0)</f>
        <v>#N/A</v>
      </c>
      <c r="AD26" s="179">
        <f t="shared" si="10"/>
        <v>114</v>
      </c>
      <c r="AE26" s="77" t="str">
        <f t="shared" si="11"/>
        <v>aws s3 cp s3://rtdc.mdm.uploadarchive.raw/RTDC4023/ "%USERPROFILE%\AppData\Local\Temp\OnboardLogs"\RTDC4023\2017-09-24 --exclude "*" --recursive --include "*20170924*" &amp; "%USERPROFILE%\Documents\GitHub\mrs-test-scripts\Headless Mode &amp; Sideloading\WalkAndUnGZ.bat" "%USERPROFILE%\AppData\Local\Temp\OnboardLogs"\RTDC4023\2017-09-24 &amp; aws s3 cp s3://rtdc.mdm.uploadarchive.raw/RTDC4023/ "%USERPROFILE%\AppData\Local\Temp\OnboardLogs"\RTDC4023\2017-09-25 --exclude "*" --recursive --include "*20170925*" &amp; "%USERPROFILE%\Documents\GitHub\mrs-test-scripts\Headless Mode &amp; Sideloading\WalkAndUnGZ.bat" "%USERPROFILE%\AppData\Local\Temp\OnboardLogs"\RTDC4023\2017-09-25</v>
      </c>
      <c r="AF26" s="74" t="str">
        <f t="shared" si="12"/>
        <v>"C:\Program Files (x86)\AstroGrep\AstroGrep.exe" /e /r /s /spath="%USERPROFILE%\AppData\Local\Temp\OnboardLogs" /stypes="app*4023*20170924*" /stext=" 12:.+((SYSTEM_STATE.+slice.+state.+changed )|(ment ac)|(multiple cpu faults)|(system.+state.+changed )|(\[timeout)|(PRM\|1\|D)|(kpr)|(kdp)|(train st.+moving)|(\|lc)|(penalty))"</v>
      </c>
      <c r="AG26" s="182" t="str">
        <f t="shared" si="13"/>
        <v>EC</v>
      </c>
      <c r="AH26" s="78" t="str">
        <f t="shared" si="18"/>
        <v>"%USERPROFILE%\Documents\GitHub\eaglep3\Utilities\RefineRTDCRunTimes.py" --tripid 114-24 --locoid 4023 --swversion DE.1.0.9.0 --startMP 204:233002 --initTime 2017-09-24T06:05:44 --startdatetime 2017-09-24T06:12:15 --delay 78 --endMP 204:154 --enddatetime 2017-09-24T06:50:50 --enforcementcount 0 &gt;&gt;c:\users\stu\Documents\GitHub\eaglep3-reporting\EC\2017-09-24-refined-times.txt</v>
      </c>
      <c r="AI26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{"issue":{"subject":"","project_id":79,"tracker_id":40,"status_id":1,"priority_id":2,"assigned_to_id":338,"start_date":"2017-09-24","description":"","custom_fields":[{"id":1,"name":"Subdivision","value":"EC"},{"id":4,"name":"Milepost","value":"0.0154"},{"id":17,"name":"Train ID","value":"114-24"},{"id":16,"name":"Locomotive ID","value":"4023"},{"id":130,"name":"Impact","value":""},{"id":150,"name":"Time of Event (Mountain Time)","value":"06:50:50"},{"id":151,"name":"Denver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2" t="str">
        <f t="shared" si="20"/>
        <v>start /low /b %USERPROFILE%\Documents\GitHub\eaglep3\Utilities\DownloadLogsFromS3.py --loco 4023 --day 2017-09-24</v>
      </c>
      <c r="AN26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12:50:50"},{"id":29,"name":"Sharepoint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168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Message%20ID',Summary),filters:!(),index:'emp_*',interval:auto,query:"&amp;"(query_string:(analyze_wildcard:!t,query:'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-09-24T05:05:44-0600',mode:absolute,to:'2017-09-24T07:50:50-0600'))&amp;_a=(columns:!('Message%20ID',Summary),filters:!(),index:'emp_*',interval:auto,query:(query_string:(analyze_wildcard:!t,query:'%22rtdc.l.rtdc.4023%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650</v>
      </c>
      <c r="B27" s="7">
        <v>4064</v>
      </c>
      <c r="C27" s="21" t="s">
        <v>196</v>
      </c>
      <c r="D27" s="21" t="s">
        <v>348</v>
      </c>
      <c r="E27" s="13">
        <v>43002.225694444445</v>
      </c>
      <c r="F27" s="13">
        <v>43002.229363425926</v>
      </c>
      <c r="G27" s="7">
        <v>81</v>
      </c>
      <c r="H27" s="21" t="s">
        <v>408</v>
      </c>
      <c r="I27" s="13">
        <v>43002.254618055558</v>
      </c>
      <c r="J27" s="7">
        <v>0</v>
      </c>
      <c r="K27" s="89" t="str">
        <f t="shared" si="0"/>
        <v>4063/4064</v>
      </c>
      <c r="L27" s="185" t="str">
        <f>VLOOKUP(A27,'Trips&amp;Operators'!$C$1:$G$99911,5,FALSE)</f>
        <v>LANGERAK WILLIAM</v>
      </c>
      <c r="M27" s="6">
        <f t="shared" si="1"/>
        <v>2.5254629632399883E-2</v>
      </c>
      <c r="N27" s="7">
        <f t="shared" si="2"/>
        <v>36.366666670655832</v>
      </c>
      <c r="O27" s="7"/>
      <c r="P27" s="7"/>
      <c r="Q27" s="22"/>
      <c r="R27" s="174"/>
      <c r="S27" s="221">
        <f t="shared" si="3"/>
        <v>1</v>
      </c>
      <c r="T27" s="174" t="str">
        <f t="shared" si="4"/>
        <v>NorthBound</v>
      </c>
      <c r="U27" s="198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16" t="str">
        <f t="shared" si="5"/>
        <v>https://d0f6bd738d7f1b3e5a7ca70fe4ff75f0.us-east-1.aws.found.io/app/kibana#/discover/Steve-Slow-Train-Analysis-(2080s-and-2083s)?_g=(refreshInterval:(display:Off,pause:!f,section:0,value:0),time:(from:'2017-09-24T04:25:00-0600',mode:absolute,to:'2017-09-24T07:06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7" s="204" t="str">
        <f>IF(AA27&lt;VLOOKUP(AG27,Variables!$AC$3:$AD$8,2,FALSE),"Y","N")</f>
        <v>N</v>
      </c>
      <c r="X27" s="204">
        <f t="shared" si="6"/>
        <v>1</v>
      </c>
      <c r="Y27" s="204">
        <f t="shared" si="7"/>
        <v>4.5499999999999999E-2</v>
      </c>
      <c r="Z27" s="204">
        <f t="shared" si="8"/>
        <v>23.3293</v>
      </c>
      <c r="AA27" s="204">
        <f t="shared" si="9"/>
        <v>23.283799999999999</v>
      </c>
      <c r="AB27" s="54" t="e">
        <f>VLOOKUP(A27,Enforcements!$C$7:$K$11,8,0)</f>
        <v>#N/A</v>
      </c>
      <c r="AC27" s="51" t="e">
        <f>VLOOKUP(A27,Enforcements!$C$7:$E$11,3,0)</f>
        <v>#N/A</v>
      </c>
      <c r="AD27" s="179">
        <f t="shared" si="10"/>
        <v>115</v>
      </c>
      <c r="AE27" s="77" t="str">
        <f t="shared" si="11"/>
        <v>aws s3 cp s3://rtdc.mdm.uploadarchive.raw/RTDC4064/ "%USERPROFILE%\AppData\Local\Temp\OnboardLogs"\RTDC4064\2017-09-24 --exclude "*" --recursive --include "*20170924*" &amp; "%USERPROFILE%\Documents\GitHub\mrs-test-scripts\Headless Mode &amp; Sideloading\WalkAndUnGZ.bat" "%USERPROFILE%\AppData\Local\Temp\OnboardLogs"\RTDC4064\2017-09-24 &amp; aws s3 cp s3://rtdc.mdm.uploadarchive.raw/RTDC4064/ "%USERPROFILE%\AppData\Local\Temp\OnboardLogs"\RTDC4064\2017-09-25 --exclude "*" --recursive --include "*20170925*" &amp; "%USERPROFILE%\Documents\GitHub\mrs-test-scripts\Headless Mode &amp; Sideloading\WalkAndUnGZ.bat" "%USERPROFILE%\AppData\Local\Temp\OnboardLogs"\RTDC4064\2017-09-25</v>
      </c>
      <c r="AF27" s="74" t="str">
        <f t="shared" si="12"/>
        <v>"C:\Program Files (x86)\AstroGrep\AstroGrep.exe" /e /r /s /spath="%USERPROFILE%\AppData\Local\Temp\OnboardLogs" /stypes="app*4064*20170924*" /stext=" 12:.+((SYSTEM_STATE.+slice.+state.+changed )|(ment ac)|(multiple cpu faults)|(system.+state.+changed )|(\[timeout)|(PRM\|1\|D)|(kpr)|(kdp)|(train st.+moving)|(\|lc)|(penalty))"</v>
      </c>
      <c r="AG27" s="182" t="str">
        <f t="shared" si="13"/>
        <v>EC</v>
      </c>
      <c r="AH27" s="78" t="str">
        <f t="shared" si="18"/>
        <v>"%USERPROFILE%\Documents\GitHub\eaglep3\Utilities\RefineRTDCRunTimes.py" --tripid 115-24 --locoid 4064 --swversion DE.1.0.9.0 --startMP 204:455 --initTime 2017-09-24T05:25:00 --startdatetime 2017-09-24T05:30:17 --delay 81 --endMP 204:233293 --enddatetime 2017-09-24T06:06:39 --enforcementcount 0 &gt;&gt;c:\users\stu\Documents\GitHub\eaglep3-reporting\EC\2017-09-24-refined-times.txt</v>
      </c>
      <c r="AI27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{"issue":{"subject":"","project_id":79,"tracker_id":40,"status_id":1,"priority_id":2,"assigned_to_id":338,"start_date":"2017-09-24","description":"","custom_fields":[{"id":1,"name":"Subdivision","value":"EC"},{"id":4,"name":"Milepost","value":"23.3293"},{"id":17,"name":"Train ID","value":"115-24"},{"id":16,"name":"Locomotive ID","value":"4064"},{"id":130,"name":"Impact","value":""},{"id":150,"name":"Time of Event (Mountain Time)","value":"06:06:39"},{"id":151,"name":"Denver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2" t="str">
        <f t="shared" si="20"/>
        <v>start /low /b %USERPROFILE%\Documents\GitHub\eaglep3\Utilities\DownloadLogsFromS3.py --loco 4064 --day 2017-09-24</v>
      </c>
      <c r="AN27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12:06:39"},{"id":29,"name":"Sharepoint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168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Message%20ID',Summary),filters:!(),index:'emp_*',interval:auto,query:"&amp;"(query_string:(analyze_wildcard:!t,query:'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-09-24T04:25:00-0600',mode:absolute,to:'2017-09-24T07:06:39-0600'))&amp;_a=(columns:!('Message%20ID',Summary),filters:!(),index:'emp_*',interval:auto,query:(query_string:(analyze_wildcard:!t,query:'%22rtdc.l.rtdc.4064%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583</v>
      </c>
      <c r="B28" s="7">
        <v>4063</v>
      </c>
      <c r="C28" s="21" t="s">
        <v>196</v>
      </c>
      <c r="D28" s="21" t="s">
        <v>562</v>
      </c>
      <c r="E28" s="13">
        <v>43002.256423611114</v>
      </c>
      <c r="F28" s="13">
        <v>43002.268935185188</v>
      </c>
      <c r="G28" s="7">
        <v>63</v>
      </c>
      <c r="H28" s="21" t="s">
        <v>389</v>
      </c>
      <c r="I28" s="13">
        <v>43002.296747685185</v>
      </c>
      <c r="J28" s="7">
        <v>0</v>
      </c>
      <c r="K28" s="89" t="str">
        <f t="shared" si="0"/>
        <v>4063/4064</v>
      </c>
      <c r="L28" s="185" t="str">
        <f>VLOOKUP(A28,'Trips&amp;Operators'!$C$1:$G$99911,5,FALSE)</f>
        <v>LANGERAK WILLIAM</v>
      </c>
      <c r="M28" s="6">
        <f t="shared" si="1"/>
        <v>2.7812499996798579E-2</v>
      </c>
      <c r="N28" s="7">
        <f t="shared" si="2"/>
        <v>40.049999995389953</v>
      </c>
      <c r="O28" s="7"/>
      <c r="P28" s="7"/>
      <c r="Q28" s="22"/>
      <c r="R28" s="174"/>
      <c r="S28" s="221">
        <f t="shared" si="3"/>
        <v>1</v>
      </c>
      <c r="T28" s="174" t="str">
        <f t="shared" si="4"/>
        <v>Southbound</v>
      </c>
      <c r="U28" s="198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16" t="str">
        <f t="shared" si="5"/>
        <v>https://d0f6bd738d7f1b3e5a7ca70fe4ff75f0.us-east-1.aws.found.io/app/kibana#/discover/Steve-Slow-Train-Analysis-(2080s-and-2083s)?_g=(refreshInterval:(display:Off,pause:!f,section:0,value:0),time:(from:'2017-09-24T05:09:15-0600',mode:absolute,to:'2017-09-24T08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8" s="204" t="str">
        <f>IF(AA28&lt;VLOOKUP(AG28,Variables!$AC$3:$AD$8,2,FALSE),"Y","N")</f>
        <v>N</v>
      </c>
      <c r="X28" s="204">
        <f t="shared" si="6"/>
        <v>1</v>
      </c>
      <c r="Y28" s="204">
        <f t="shared" si="7"/>
        <v>23.297999999999998</v>
      </c>
      <c r="Z28" s="204">
        <f t="shared" si="8"/>
        <v>1.6299999999999999E-2</v>
      </c>
      <c r="AA28" s="204">
        <f t="shared" si="9"/>
        <v>23.281699999999997</v>
      </c>
      <c r="AB28" s="54" t="str">
        <f>VLOOKUP(A28,Enforcements!$C$7:$K$11,8,0)</f>
        <v>Bulletin (2)</v>
      </c>
      <c r="AC28" s="51" t="str">
        <f>VLOOKUP(A28,Enforcements!$C$7:$E$11,3,0)</f>
        <v>GRADE CROSSING</v>
      </c>
      <c r="AD28" s="179">
        <f t="shared" si="10"/>
        <v>116</v>
      </c>
      <c r="AE28" s="77" t="str">
        <f t="shared" si="11"/>
        <v>aws s3 cp s3://rtdc.mdm.uploadarchive.raw/RTDC4063/ "%USERPROFILE%\AppData\Local\Temp\OnboardLogs"\RTDC4063\2017-09-24 --exclude "*" --recursive --include "*20170924*" &amp; "%USERPROFILE%\Documents\GitHub\mrs-test-scripts\Headless Mode &amp; Sideloading\WalkAndUnGZ.bat" "%USERPROFILE%\AppData\Local\Temp\OnboardLogs"\RTDC4063\2017-09-24 &amp; aws s3 cp s3://rtdc.mdm.uploadarchive.raw/RTDC4063/ "%USERPROFILE%\AppData\Local\Temp\OnboardLogs"\RTDC4063\2017-09-25 --exclude "*" --recursive --include "*20170925*" &amp; "%USERPROFILE%\Documents\GitHub\mrs-test-scripts\Headless Mode &amp; Sideloading\WalkAndUnGZ.bat" "%USERPROFILE%\AppData\Local\Temp\OnboardLogs"\RTDC4063\2017-09-25</v>
      </c>
      <c r="AF28" s="74" t="str">
        <f t="shared" si="12"/>
        <v>"C:\Program Files (x86)\AstroGrep\AstroGrep.exe" /e /r /s /spath="%USERPROFILE%\AppData\Local\Temp\OnboardLogs" /stypes="app*4063*20170924*" /stext=" 13:.+((SYSTEM_STATE.+slice.+state.+changed )|(ment ac)|(multiple cpu faults)|(system.+state.+changed )|(\[timeout)|(PRM\|1\|D)|(kpr)|(kdp)|(train st.+moving)|(\|lc)|(penalty))"</v>
      </c>
      <c r="AG28" s="182" t="str">
        <f t="shared" si="13"/>
        <v>EC</v>
      </c>
      <c r="AH28" s="78" t="str">
        <f t="shared" si="18"/>
        <v>"%USERPROFILE%\Documents\GitHub\eaglep3\Utilities\RefineRTDCRunTimes.py" --tripid 116-24 --locoid 4063 --swversion DE.1.0.9.0 --startMP 204:232980 --initTime 2017-09-24T06:09:15 --startdatetime 2017-09-24T06:27:16 --delay 63 --endMP 204:163 --enddatetime 2017-09-24T07:07:19 --enforcementcount 0 &gt;&gt;c:\users\stu\Documents\GitHub\eaglep3-reporting\EC\2017-09-24-refined-times.txt</v>
      </c>
      <c r="AI28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{"issue":{"subject":"","project_id":79,"tracker_id":40,"status_id":1,"priority_id":2,"assigned_to_id":338,"start_date":"2017-09-24","description":"","custom_fields":[{"id":1,"name":"Subdivision","value":"EC"},{"id":4,"name":"Milepost","value":"0.0163"},{"id":17,"name":"Train ID","value":"116-24"},{"id":16,"name":"Locomotive ID","value":"4063"},{"id":130,"name":"Impact","value":""},{"id":150,"name":"Time of Event (Mountain Time)","value":"07:07:19"},{"id":151,"name":"Denver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2" t="str">
        <f t="shared" si="20"/>
        <v>start /low /b %USERPROFILE%\Documents\GitHub\eaglep3\Utilities\DownloadLogsFromS3.py --loco 4063 --day 2017-09-24</v>
      </c>
      <c r="AN28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13:07:19"},{"id":29,"name":"Sharepoint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168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Message%20ID',Summary),filters:!(),index:'emp_*',interval:auto,query:"&amp;"(query_string:(analyze_wildcard:!t,query:'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-09-24T05:09:15-0600',mode:absolute,to:'2017-09-24T08:07:19-0600'))&amp;_a=(columns:!('Message%20ID',Summary),filters:!(),index:'emp_*',interval:auto,query:(query_string:(analyze_wildcard:!t,query:'%22rtdc.l.rtdc.4063%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651</v>
      </c>
      <c r="B29" s="7">
        <v>4018</v>
      </c>
      <c r="C29" s="21" t="s">
        <v>196</v>
      </c>
      <c r="D29" s="21" t="s">
        <v>407</v>
      </c>
      <c r="E29" s="13">
        <v>43002.236990740741</v>
      </c>
      <c r="F29" s="13">
        <v>43002.239872685182</v>
      </c>
      <c r="G29" s="7">
        <v>65</v>
      </c>
      <c r="H29" s="21" t="s">
        <v>835</v>
      </c>
      <c r="I29" s="13">
        <v>43002.264780092592</v>
      </c>
      <c r="J29" s="7">
        <v>0</v>
      </c>
      <c r="K29" s="89" t="str">
        <f t="shared" si="0"/>
        <v>4017/4018</v>
      </c>
      <c r="L29" s="185" t="str">
        <f>VLOOKUP(A29,'Trips&amp;Operators'!$C$1:$G$99911,5,FALSE)</f>
        <v>LAMAR NEKESHA</v>
      </c>
      <c r="M29" s="6">
        <f t="shared" si="1"/>
        <v>2.4907407409045845E-2</v>
      </c>
      <c r="N29" s="7">
        <f t="shared" si="2"/>
        <v>35.866666669026017</v>
      </c>
      <c r="O29" s="7"/>
      <c r="P29" s="7"/>
      <c r="Q29" s="22"/>
      <c r="R29" s="174"/>
      <c r="S29" s="221">
        <f t="shared" si="3"/>
        <v>1</v>
      </c>
      <c r="T29" s="174" t="str">
        <f t="shared" si="4"/>
        <v>NorthBound</v>
      </c>
      <c r="U29" s="198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16" t="str">
        <f t="shared" si="5"/>
        <v>https://d0f6bd738d7f1b3e5a7ca70fe4ff75f0.us-east-1.aws.found.io/app/kibana#/discover/Steve-Slow-Train-Analysis-(2080s-and-2083s)?_g=(refreshInterval:(display:Off,pause:!f,section:0,value:0),time:(from:'2017-09-24T04:41:16-0600',mode:absolute,to:'2017-09-24T07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9" s="204" t="str">
        <f>IF(AA29&lt;VLOOKUP(AG29,Variables!$AC$3:$AD$8,2,FALSE),"Y","N")</f>
        <v>N</v>
      </c>
      <c r="X29" s="204">
        <f t="shared" si="6"/>
        <v>1</v>
      </c>
      <c r="Y29" s="204">
        <f t="shared" si="7"/>
        <v>4.4699999999999997E-2</v>
      </c>
      <c r="Z29" s="204">
        <f t="shared" si="8"/>
        <v>23.331399999999999</v>
      </c>
      <c r="AA29" s="204">
        <f t="shared" si="9"/>
        <v>23.2867</v>
      </c>
      <c r="AB29" s="54" t="e">
        <f>VLOOKUP(A29,Enforcements!$C$7:$K$11,8,0)</f>
        <v>#N/A</v>
      </c>
      <c r="AC29" s="51" t="e">
        <f>VLOOKUP(A29,Enforcements!$C$7:$E$11,3,0)</f>
        <v>#N/A</v>
      </c>
      <c r="AD29" s="179">
        <f t="shared" si="10"/>
        <v>117</v>
      </c>
      <c r="AE29" s="77" t="str">
        <f t="shared" si="11"/>
        <v>aws s3 cp s3://rtdc.mdm.uploadarchive.raw/RTDC4018/ "%USERPROFILE%\AppData\Local\Temp\OnboardLogs"\RTDC4018\2017-09-24 --exclude "*" --recursive --include "*20170924*" &amp; "%USERPROFILE%\Documents\GitHub\mrs-test-scripts\Headless Mode &amp; Sideloading\WalkAndUnGZ.bat" "%USERPROFILE%\AppData\Local\Temp\OnboardLogs"\RTDC4018\2017-09-24 &amp; aws s3 cp s3://rtdc.mdm.uploadarchive.raw/RTDC4018/ "%USERPROFILE%\AppData\Local\Temp\OnboardLogs"\RTDC4018\2017-09-25 --exclude "*" --recursive --include "*20170925*" &amp; "%USERPROFILE%\Documents\GitHub\mrs-test-scripts\Headless Mode &amp; Sideloading\WalkAndUnGZ.bat" "%USERPROFILE%\AppData\Local\Temp\OnboardLogs"\RTDC4018\2017-09-25</v>
      </c>
      <c r="AF29" s="74" t="str">
        <f t="shared" si="12"/>
        <v>"C:\Program Files (x86)\AstroGrep\AstroGrep.exe" /e /r /s /spath="%USERPROFILE%\AppData\Local\Temp\OnboardLogs" /stypes="app*4018*20170924*" /stext=" 12:.+((SYSTEM_STATE.+slice.+state.+changed )|(ment ac)|(multiple cpu faults)|(system.+state.+changed )|(\[timeout)|(PRM\|1\|D)|(kpr)|(kdp)|(train st.+moving)|(\|lc)|(penalty))"</v>
      </c>
      <c r="AG29" s="182" t="str">
        <f t="shared" si="13"/>
        <v>EC</v>
      </c>
      <c r="AH29" s="78" t="str">
        <f t="shared" si="18"/>
        <v>"%USERPROFILE%\Documents\GitHub\eaglep3\Utilities\RefineRTDCRunTimes.py" --tripid 117-24 --locoid 4018 --swversion DE.1.0.9.0 --startMP 204:447 --initTime 2017-09-24T05:41:16 --startdatetime 2017-09-24T05:45:25 --delay 65 --endMP 204:233314 --enddatetime 2017-09-24T06:21:17 --enforcementcount 0 &gt;&gt;c:\users\stu\Documents\GitHub\eaglep3-reporting\EC\2017-09-24-refined-times.txt</v>
      </c>
      <c r="AI29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{"issue":{"subject":"","project_id":79,"tracker_id":40,"status_id":1,"priority_id":2,"assigned_to_id":338,"start_date":"2017-09-24","description":"","custom_fields":[{"id":1,"name":"Subdivision","value":"EC"},{"id":4,"name":"Milepost","value":"23.3314"},{"id":17,"name":"Train ID","value":"117-24"},{"id":16,"name":"Locomotive ID","value":"4018"},{"id":130,"name":"Impact","value":""},{"id":150,"name":"Time of Event (Mountain Time)","value":"06:21:17"},{"id":151,"name":"Denver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2" t="str">
        <f t="shared" si="20"/>
        <v>start /low /b %USERPROFILE%\Documents\GitHub\eaglep3\Utilities\DownloadLogsFromS3.py --loco 4018 --day 2017-09-24</v>
      </c>
      <c r="AN29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12:21:17"},{"id":29,"name":"Sharepoint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168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Message%20ID',Summary),filters:!(),index:'emp_*',interval:auto,query:"&amp;"(query_string:(analyze_wildcard:!t,query:'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-09-24T04:41:16-0600',mode:absolute,to:'2017-09-24T07:21:17-0600'))&amp;_a=(columns:!('Message%20ID',Summary),filters:!(),index:'emp_*',interval:auto,query:(query_string:(analyze_wildcard:!t,query:'%22rtdc.l.rtdc.4018%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659</v>
      </c>
      <c r="B30" s="7">
        <v>4017</v>
      </c>
      <c r="C30" s="21" t="s">
        <v>196</v>
      </c>
      <c r="D30" s="21" t="s">
        <v>397</v>
      </c>
      <c r="E30" s="13">
        <v>43002.276446759257</v>
      </c>
      <c r="F30" s="13">
        <v>43002.279374999998</v>
      </c>
      <c r="G30" s="7">
        <v>58</v>
      </c>
      <c r="H30" s="21" t="s">
        <v>836</v>
      </c>
      <c r="I30" s="13">
        <v>43002.305</v>
      </c>
      <c r="J30" s="7">
        <v>0</v>
      </c>
      <c r="K30" s="89" t="str">
        <f t="shared" si="0"/>
        <v>4017/4018</v>
      </c>
      <c r="L30" s="185" t="str">
        <f>VLOOKUP(A30,'Trips&amp;Operators'!$C$1:$G$99911,5,FALSE)</f>
        <v>LAMAR NEKESHA</v>
      </c>
      <c r="M30" s="6">
        <f t="shared" si="1"/>
        <v>2.5625000002037268E-2</v>
      </c>
      <c r="N30" s="7">
        <f t="shared" si="2"/>
        <v>36.900000002933666</v>
      </c>
      <c r="O30" s="7"/>
      <c r="P30" s="7"/>
      <c r="Q30" s="22"/>
      <c r="R30" s="174"/>
      <c r="S30" s="221">
        <f t="shared" si="3"/>
        <v>1</v>
      </c>
      <c r="T30" s="174" t="str">
        <f t="shared" si="4"/>
        <v>Southbound</v>
      </c>
      <c r="U30" s="198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16" t="str">
        <f t="shared" si="5"/>
        <v>https://d0f6bd738d7f1b3e5a7ca70fe4ff75f0.us-east-1.aws.found.io/app/kibana#/discover/Steve-Slow-Train-Analysis-(2080s-and-2083s)?_g=(refreshInterval:(display:Off,pause:!f,section:0,value:0),time:(from:'2017-09-24T05:38:05-0600',mode:absolute,to:'2017-09-24T08:19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0" s="204" t="str">
        <f>IF(AA30&lt;VLOOKUP(AG30,Variables!$AC$3:$AD$8,2,FALSE),"Y","N")</f>
        <v>N</v>
      </c>
      <c r="X30" s="204">
        <f t="shared" si="6"/>
        <v>1</v>
      </c>
      <c r="Y30" s="204">
        <f t="shared" si="7"/>
        <v>23.299800000000001</v>
      </c>
      <c r="Z30" s="204">
        <f t="shared" si="8"/>
        <v>1.78E-2</v>
      </c>
      <c r="AA30" s="204">
        <f t="shared" si="9"/>
        <v>23.282</v>
      </c>
      <c r="AB30" s="54" t="e">
        <f>VLOOKUP(A30,Enforcements!$C$7:$K$11,8,0)</f>
        <v>#N/A</v>
      </c>
      <c r="AC30" s="51" t="e">
        <f>VLOOKUP(A30,Enforcements!$C$7:$E$11,3,0)</f>
        <v>#N/A</v>
      </c>
      <c r="AD30" s="179">
        <f t="shared" si="10"/>
        <v>118</v>
      </c>
      <c r="AE30" s="77" t="str">
        <f t="shared" si="11"/>
        <v>aws s3 cp s3://rtdc.mdm.uploadarchive.raw/RTDC4017/ "%USERPROFILE%\AppData\Local\Temp\OnboardLogs"\RTDC4017\2017-09-24 --exclude "*" --recursive --include "*20170924*" &amp; "%USERPROFILE%\Documents\GitHub\mrs-test-scripts\Headless Mode &amp; Sideloading\WalkAndUnGZ.bat" "%USERPROFILE%\AppData\Local\Temp\OnboardLogs"\RTDC4017\2017-09-24 &amp; aws s3 cp s3://rtdc.mdm.uploadarchive.raw/RTDC4017/ "%USERPROFILE%\AppData\Local\Temp\OnboardLogs"\RTDC4017\2017-09-25 --exclude "*" --recursive --include "*20170925*" &amp; "%USERPROFILE%\Documents\GitHub\mrs-test-scripts\Headless Mode &amp; Sideloading\WalkAndUnGZ.bat" "%USERPROFILE%\AppData\Local\Temp\OnboardLogs"\RTDC4017\2017-09-25</v>
      </c>
      <c r="AF30" s="74" t="str">
        <f t="shared" si="12"/>
        <v>"C:\Program Files (x86)\AstroGrep\AstroGrep.exe" /e /r /s /spath="%USERPROFILE%\AppData\Local\Temp\OnboardLogs" /stypes="app*4017*20170924*" /stext=" 13:.+((SYSTEM_STATE.+slice.+state.+changed )|(ment ac)|(multiple cpu faults)|(system.+state.+changed )|(\[timeout)|(PRM\|1\|D)|(kpr)|(kdp)|(train st.+moving)|(\|lc)|(penalty))"</v>
      </c>
      <c r="AG30" s="182" t="str">
        <f t="shared" si="13"/>
        <v>EC</v>
      </c>
      <c r="AH30" s="78" t="str">
        <f t="shared" si="18"/>
        <v>"%USERPROFILE%\Documents\GitHub\eaglep3\Utilities\RefineRTDCRunTimes.py" --tripid 118-24 --locoid 4017 --swversion DE.1.0.9.0 --startMP 204:232998 --initTime 2017-09-24T06:38:05 --startdatetime 2017-09-24T06:42:18 --delay 58 --endMP 204:178 --enddatetime 2017-09-24T07:19:12 --enforcementcount 0 &gt;&gt;c:\users\stu\Documents\GitHub\eaglep3-reporting\EC\2017-09-24-refined-times.txt</v>
      </c>
      <c r="AI30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{"issue":{"subject":"","project_id":79,"tracker_id":40,"status_id":1,"priority_id":2,"assigned_to_id":338,"start_date":"2017-09-24","description":"","custom_fields":[{"id":1,"name":"Subdivision","value":"EC"},{"id":4,"name":"Milepost","value":"0.0178"},{"id":17,"name":"Train ID","value":"118-24"},{"id":16,"name":"Locomotive ID","value":"4017"},{"id":130,"name":"Impact","value":""},{"id":150,"name":"Time of Event (Mountain Time)","value":"07:19:12"},{"id":151,"name":"Denver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2" t="str">
        <f t="shared" si="20"/>
        <v>start /low /b %USERPROFILE%\Documents\GitHub\eaglep3\Utilities\DownloadLogsFromS3.py --loco 4017 --day 2017-09-24</v>
      </c>
      <c r="AN30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13:19:12"},{"id":29,"name":"Sharepoint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168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Message%20ID',Summary),filters:!(),index:'emp_*',interval:auto,query:"&amp;"(query_string:(analyze_wildcard:!t,query:'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-09-24T05:38:05-0600',mode:absolute,to:'2017-09-24T08:19:12-0600'))&amp;_a=(columns:!('Message%20ID',Summary),filters:!(),index:'emp_*',interval:auto,query:(query_string:(analyze_wildcard:!t,query:'%22rtdc.l.rtdc.4017%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653</v>
      </c>
      <c r="B31" s="7">
        <v>4046</v>
      </c>
      <c r="C31" s="21" t="s">
        <v>196</v>
      </c>
      <c r="D31" s="21" t="s">
        <v>371</v>
      </c>
      <c r="E31" s="13">
        <v>43002.246562499997</v>
      </c>
      <c r="F31" s="13">
        <v>43002.250173611108</v>
      </c>
      <c r="G31" s="7">
        <v>50</v>
      </c>
      <c r="H31" s="21" t="s">
        <v>837</v>
      </c>
      <c r="I31" s="13">
        <v>43002.27548611111</v>
      </c>
      <c r="J31" s="7">
        <v>0</v>
      </c>
      <c r="K31" s="89" t="str">
        <f t="shared" si="0"/>
        <v>4045/4046</v>
      </c>
      <c r="L31" s="185" t="str">
        <f>VLOOKUP(A31,'Trips&amp;Operators'!$C$1:$G$99911,5,FALSE)</f>
        <v>DAVIS WENDY</v>
      </c>
      <c r="M31" s="6">
        <f t="shared" si="1"/>
        <v>2.531250000174623E-2</v>
      </c>
      <c r="N31" s="7">
        <f t="shared" si="2"/>
        <v>36.450000002514571</v>
      </c>
      <c r="O31" s="7"/>
      <c r="P31" s="7"/>
      <c r="Q31" s="22"/>
      <c r="R31" s="174"/>
      <c r="S31" s="221">
        <f t="shared" si="3"/>
        <v>1</v>
      </c>
      <c r="T31" s="174" t="str">
        <f t="shared" si="4"/>
        <v>NorthBound</v>
      </c>
      <c r="U31" s="198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16" t="str">
        <f t="shared" si="5"/>
        <v>https://d0f6bd738d7f1b3e5a7ca70fe4ff75f0.us-east-1.aws.found.io/app/kibana#/discover/Steve-Slow-Train-Analysis-(2080s-and-2083s)?_g=(refreshInterval:(display:Off,pause:!f,section:0,value:0),time:(from:'2017-09-24T04:55:03-0600',mode:absolute,to:'2017-09-24T07:36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1" s="204" t="str">
        <f>IF(AA31&lt;VLOOKUP(AG31,Variables!$AC$3:$AD$8,2,FALSE),"Y","N")</f>
        <v>N</v>
      </c>
      <c r="X31" s="204">
        <f t="shared" si="6"/>
        <v>1</v>
      </c>
      <c r="Y31" s="204">
        <f t="shared" si="7"/>
        <v>4.6899999999999997E-2</v>
      </c>
      <c r="Z31" s="204">
        <f t="shared" si="8"/>
        <v>23.328800000000001</v>
      </c>
      <c r="AA31" s="204">
        <f t="shared" si="9"/>
        <v>23.2819</v>
      </c>
      <c r="AB31" s="54" t="e">
        <f>VLOOKUP(A31,Enforcements!$C$7:$K$11,8,0)</f>
        <v>#N/A</v>
      </c>
      <c r="AC31" s="51" t="e">
        <f>VLOOKUP(A31,Enforcements!$C$7:$E$11,3,0)</f>
        <v>#N/A</v>
      </c>
      <c r="AD31" s="179">
        <f t="shared" si="10"/>
        <v>119</v>
      </c>
      <c r="AE31" s="77" t="str">
        <f t="shared" si="11"/>
        <v>aws s3 cp s3://rtdc.mdm.uploadarchive.raw/RTDC4046/ "%USERPROFILE%\AppData\Local\Temp\OnboardLogs"\RTDC4046\2017-09-24 --exclude "*" --recursive --include "*20170924*" &amp; "%USERPROFILE%\Documents\GitHub\mrs-test-scripts\Headless Mode &amp; Sideloading\WalkAndUnGZ.bat" "%USERPROFILE%\AppData\Local\Temp\OnboardLogs"\RTDC4046\2017-09-24 &amp; aws s3 cp s3://rtdc.mdm.uploadarchive.raw/RTDC4046/ "%USERPROFILE%\AppData\Local\Temp\OnboardLogs"\RTDC4046\2017-09-25 --exclude "*" --recursive --include "*20170925*" &amp; "%USERPROFILE%\Documents\GitHub\mrs-test-scripts\Headless Mode &amp; Sideloading\WalkAndUnGZ.bat" "%USERPROFILE%\AppData\Local\Temp\OnboardLogs"\RTDC4046\2017-09-25</v>
      </c>
      <c r="AF31" s="74" t="str">
        <f t="shared" si="12"/>
        <v>"C:\Program Files (x86)\AstroGrep\AstroGrep.exe" /e /r /s /spath="%USERPROFILE%\AppData\Local\Temp\OnboardLogs" /stypes="app*4046*20170924*" /stext=" 12:.+((SYSTEM_STATE.+slice.+state.+changed )|(ment ac)|(multiple cpu faults)|(system.+state.+changed )|(\[timeout)|(PRM\|1\|D)|(kpr)|(kdp)|(train st.+moving)|(\|lc)|(penalty))"</v>
      </c>
      <c r="AG31" s="182" t="str">
        <f t="shared" si="13"/>
        <v>EC</v>
      </c>
      <c r="AH31" s="78" t="str">
        <f t="shared" si="18"/>
        <v>"%USERPROFILE%\Documents\GitHub\eaglep3\Utilities\RefineRTDCRunTimes.py" --tripid 119-24 --locoid 4046 --swversion DE.1.0.9.0 --startMP 204:469 --initTime 2017-09-24T05:55:03 --startdatetime 2017-09-24T06:00:15 --delay 50 --endMP 204:233288 --enddatetime 2017-09-24T06:36:42 --enforcementcount 0 &gt;&gt;c:\users\stu\Documents\GitHub\eaglep3-reporting\EC\2017-09-24-refined-times.txt</v>
      </c>
      <c r="AI31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{"issue":{"subject":"","project_id":79,"tracker_id":40,"status_id":1,"priority_id":2,"assigned_to_id":338,"start_date":"2017-09-24","description":"","custom_fields":[{"id":1,"name":"Subdivision","value":"EC"},{"id":4,"name":"Milepost","value":"23.3288"},{"id":17,"name":"Train ID","value":"119-24"},{"id":16,"name":"Locomotive ID","value":"4046"},{"id":130,"name":"Impact","value":""},{"id":150,"name":"Time of Event (Mountain Time)","value":"06:36:42"},{"id":151,"name":"Denver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2" t="str">
        <f t="shared" si="20"/>
        <v>start /low /b %USERPROFILE%\Documents\GitHub\eaglep3\Utilities\DownloadLogsFromS3.py --loco 4046 --day 2017-09-24</v>
      </c>
      <c r="AN31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12:36:42"},{"id":29,"name":"Sharepoint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168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Message%20ID',Summary),filters:!(),index:'emp_*',interval:auto,query:"&amp;"(query_string:(analyze_wildcard:!t,query:'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-09-24T04:55:03-0600',mode:absolute,to:'2017-09-24T07:36:42-0600'))&amp;_a=(columns:!('Message%20ID',Summary),filters:!(),index:'emp_*',interval:auto,query:(query_string:(analyze_wildcard:!t,query:'%22rtdc.l.rtdc.4046%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660</v>
      </c>
      <c r="B32" s="7">
        <v>4045</v>
      </c>
      <c r="C32" s="21" t="s">
        <v>196</v>
      </c>
      <c r="D32" s="21" t="s">
        <v>409</v>
      </c>
      <c r="E32" s="13">
        <v>43002.276805555557</v>
      </c>
      <c r="F32" s="13">
        <v>43002.289803240739</v>
      </c>
      <c r="G32" s="7">
        <v>60</v>
      </c>
      <c r="H32" s="21" t="s">
        <v>375</v>
      </c>
      <c r="I32" s="13">
        <v>43002.317210648151</v>
      </c>
      <c r="J32" s="7">
        <v>0</v>
      </c>
      <c r="K32" s="89" t="str">
        <f t="shared" si="0"/>
        <v>4045/4046</v>
      </c>
      <c r="L32" s="185" t="str">
        <f>VLOOKUP(A32,'Trips&amp;Operators'!$C$1:$G$99911,5,FALSE)</f>
        <v>DAVIS WENDY</v>
      </c>
      <c r="M32" s="6">
        <f t="shared" si="1"/>
        <v>2.7407407411374152E-2</v>
      </c>
      <c r="N32" s="7">
        <f t="shared" si="2"/>
        <v>39.466666672378778</v>
      </c>
      <c r="O32" s="7"/>
      <c r="P32" s="7"/>
      <c r="Q32" s="22"/>
      <c r="R32" s="174"/>
      <c r="S32" s="221">
        <f t="shared" si="3"/>
        <v>1</v>
      </c>
      <c r="T32" s="174" t="str">
        <f t="shared" si="4"/>
        <v>Southbound</v>
      </c>
      <c r="U32" s="198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16" t="str">
        <f t="shared" si="5"/>
        <v>https://d0f6bd738d7f1b3e5a7ca70fe4ff75f0.us-east-1.aws.found.io/app/kibana#/discover/Steve-Slow-Train-Analysis-(2080s-and-2083s)?_g=(refreshInterval:(display:Off,pause:!f,section:0,value:0),time:(from:'2017-09-24T05:38:36-0600',mode:absolute,to:'2017-09-24T08:36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2" s="204" t="str">
        <f>IF(AA32&lt;VLOOKUP(AG32,Variables!$AC$3:$AD$8,2,FALSE),"Y","N")</f>
        <v>N</v>
      </c>
      <c r="X32" s="204">
        <f t="shared" si="6"/>
        <v>1</v>
      </c>
      <c r="Y32" s="204">
        <f t="shared" si="7"/>
        <v>23.297799999999999</v>
      </c>
      <c r="Z32" s="204">
        <f t="shared" si="8"/>
        <v>1.6E-2</v>
      </c>
      <c r="AA32" s="204">
        <f t="shared" si="9"/>
        <v>23.2818</v>
      </c>
      <c r="AB32" s="54" t="e">
        <f>VLOOKUP(A32,Enforcements!$C$7:$K$11,8,0)</f>
        <v>#N/A</v>
      </c>
      <c r="AC32" s="51" t="e">
        <f>VLOOKUP(A32,Enforcements!$C$7:$E$11,3,0)</f>
        <v>#N/A</v>
      </c>
      <c r="AD32" s="179">
        <f t="shared" si="10"/>
        <v>120</v>
      </c>
      <c r="AE32" s="77" t="str">
        <f t="shared" si="11"/>
        <v>aws s3 cp s3://rtdc.mdm.uploadarchive.raw/RTDC4045/ "%USERPROFILE%\AppData\Local\Temp\OnboardLogs"\RTDC4045\2017-09-24 --exclude "*" --recursive --include "*20170924*" &amp; "%USERPROFILE%\Documents\GitHub\mrs-test-scripts\Headless Mode &amp; Sideloading\WalkAndUnGZ.bat" "%USERPROFILE%\AppData\Local\Temp\OnboardLogs"\RTDC4045\2017-09-24 &amp; aws s3 cp s3://rtdc.mdm.uploadarchive.raw/RTDC4045/ "%USERPROFILE%\AppData\Local\Temp\OnboardLogs"\RTDC4045\2017-09-25 --exclude "*" --recursive --include "*20170925*" &amp; "%USERPROFILE%\Documents\GitHub\mrs-test-scripts\Headless Mode &amp; Sideloading\WalkAndUnGZ.bat" "%USERPROFILE%\AppData\Local\Temp\OnboardLogs"\RTDC4045\2017-09-25</v>
      </c>
      <c r="AF32" s="74" t="str">
        <f t="shared" si="12"/>
        <v>"C:\Program Files (x86)\AstroGrep\AstroGrep.exe" /e /r /s /spath="%USERPROFILE%\AppData\Local\Temp\OnboardLogs" /stypes="app*4045*20170924*" /stext=" 13:.+((SYSTEM_STATE.+slice.+state.+changed )|(ment ac)|(multiple cpu faults)|(system.+state.+changed )|(\[timeout)|(PRM\|1\|D)|(kpr)|(kdp)|(train st.+moving)|(\|lc)|(penalty))"</v>
      </c>
      <c r="AG32" s="182" t="str">
        <f t="shared" si="13"/>
        <v>EC</v>
      </c>
      <c r="AH32" s="78" t="str">
        <f t="shared" si="18"/>
        <v>"%USERPROFILE%\Documents\GitHub\eaglep3\Utilities\RefineRTDCRunTimes.py" --tripid 120-24 --locoid 4045 --swversion DE.1.0.9.0 --startMP 204:232978 --initTime 2017-09-24T06:38:36 --startdatetime 2017-09-24T06:57:19 --delay 60 --endMP 204:160 --enddatetime 2017-09-24T07:36:47 --enforcementcount 0 &gt;&gt;c:\users\stu\Documents\GitHub\eaglep3-reporting\EC\2017-09-24-refined-times.txt</v>
      </c>
      <c r="AI32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{"issue":{"subject":"","project_id":79,"tracker_id":40,"status_id":1,"priority_id":2,"assigned_to_id":338,"start_date":"2017-09-24","description":"","custom_fields":[{"id":1,"name":"Subdivision","value":"EC"},{"id":4,"name":"Milepost","value":"0.016"},{"id":17,"name":"Train ID","value":"120-24"},{"id":16,"name":"Locomotive ID","value":"4045"},{"id":130,"name":"Impact","value":""},{"id":150,"name":"Time of Event (Mountain Time)","value":"07:36:47"},{"id":151,"name":"Denver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2" t="str">
        <f t="shared" si="20"/>
        <v>start /low /b %USERPROFILE%\Documents\GitHub\eaglep3\Utilities\DownloadLogsFromS3.py --loco 4045 --day 2017-09-24</v>
      </c>
      <c r="AN32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13:36:47"},{"id":29,"name":"Sharepoint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168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Message%20ID',Summary),filters:!(),index:'emp_*',interval:auto,query:"&amp;"(query_string:(analyze_wildcard:!t,query:'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-09-24T05:38:36-0600',mode:absolute,to:'2017-09-24T08:36:47-0600'))&amp;_a=(columns:!('Message%20ID',Summary),filters:!(),index:'emp_*',interval:auto,query:(query_string:(analyze_wildcard:!t,query:'%22rtdc.l.rtdc.4045%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656</v>
      </c>
      <c r="B33" s="7">
        <v>4060</v>
      </c>
      <c r="C33" s="21" t="s">
        <v>196</v>
      </c>
      <c r="D33" s="21" t="s">
        <v>373</v>
      </c>
      <c r="E33" s="13">
        <v>43002.255856481483</v>
      </c>
      <c r="F33" s="13">
        <v>43002.260601851849</v>
      </c>
      <c r="G33" s="7">
        <v>52</v>
      </c>
      <c r="H33" s="21" t="s">
        <v>838</v>
      </c>
      <c r="I33" s="13">
        <v>43002.285138888888</v>
      </c>
      <c r="J33" s="7">
        <v>0</v>
      </c>
      <c r="K33" s="89" t="str">
        <f t="shared" si="0"/>
        <v>4059/4060</v>
      </c>
      <c r="L33" s="185" t="str">
        <f>VLOOKUP(A33,'Trips&amp;Operators'!$C$1:$G$99911,5,FALSE)</f>
        <v>PAGE MARCUS</v>
      </c>
      <c r="M33" s="6">
        <f t="shared" si="1"/>
        <v>2.453703703940846E-2</v>
      </c>
      <c r="N33" s="7">
        <f t="shared" si="2"/>
        <v>35.333333336748183</v>
      </c>
      <c r="O33" s="7"/>
      <c r="P33" s="7"/>
      <c r="Q33" s="22"/>
      <c r="R33" s="174"/>
      <c r="S33" s="221">
        <f t="shared" si="3"/>
        <v>1</v>
      </c>
      <c r="T33" s="174" t="str">
        <f t="shared" si="4"/>
        <v>NorthBound</v>
      </c>
      <c r="U33" s="198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16" t="str">
        <f t="shared" si="5"/>
        <v>https://d0f6bd738d7f1b3e5a7ca70fe4ff75f0.us-east-1.aws.found.io/app/kibana#/discover/Steve-Slow-Train-Analysis-(2080s-and-2083s)?_g=(refreshInterval:(display:Off,pause:!f,section:0,value:0),time:(from:'2017-09-24T05:08:26-0600',mode:absolute,to:'2017-09-24T07:50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33" s="204" t="str">
        <f>IF(AA33&lt;VLOOKUP(AG33,Variables!$AC$3:$AD$8,2,FALSE),"Y","N")</f>
        <v>N</v>
      </c>
      <c r="X33" s="204">
        <f t="shared" si="6"/>
        <v>1</v>
      </c>
      <c r="Y33" s="204">
        <f t="shared" si="7"/>
        <v>4.4200000000000003E-2</v>
      </c>
      <c r="Z33" s="204">
        <f t="shared" si="8"/>
        <v>23.330400000000001</v>
      </c>
      <c r="AA33" s="204">
        <f t="shared" si="9"/>
        <v>23.286200000000001</v>
      </c>
      <c r="AB33" s="54" t="e">
        <f>VLOOKUP(A33,Enforcements!$C$7:$K$11,8,0)</f>
        <v>#N/A</v>
      </c>
      <c r="AC33" s="51" t="e">
        <f>VLOOKUP(A33,Enforcements!$C$7:$E$11,3,0)</f>
        <v>#N/A</v>
      </c>
      <c r="AD33" s="179">
        <f t="shared" si="10"/>
        <v>121</v>
      </c>
      <c r="AE33" s="77" t="str">
        <f t="shared" si="11"/>
        <v>aws s3 cp s3://rtdc.mdm.uploadarchive.raw/RTDC4060/ "%USERPROFILE%\AppData\Local\Temp\OnboardLogs"\RTDC4060\2017-09-24 --exclude "*" --recursive --include "*20170924*" &amp; "%USERPROFILE%\Documents\GitHub\mrs-test-scripts\Headless Mode &amp; Sideloading\WalkAndUnGZ.bat" "%USERPROFILE%\AppData\Local\Temp\OnboardLogs"\RTDC4060\2017-09-24 &amp; aws s3 cp s3://rtdc.mdm.uploadarchive.raw/RTDC4060/ "%USERPROFILE%\AppData\Local\Temp\OnboardLogs"\RTDC4060\2017-09-25 --exclude "*" --recursive --include "*20170925*" &amp; "%USERPROFILE%\Documents\GitHub\mrs-test-scripts\Headless Mode &amp; Sideloading\WalkAndUnGZ.bat" "%USERPROFILE%\AppData\Local\Temp\OnboardLogs"\RTDC4060\2017-09-25</v>
      </c>
      <c r="AF33" s="74" t="str">
        <f t="shared" si="12"/>
        <v>"C:\Program Files (x86)\AstroGrep\AstroGrep.exe" /e /r /s /spath="%USERPROFILE%\AppData\Local\Temp\OnboardLogs" /stypes="app*4060*20170924*" /stext=" 12:.+((SYSTEM_STATE.+slice.+state.+changed )|(ment ac)|(multiple cpu faults)|(system.+state.+changed )|(\[timeout)|(PRM\|1\|D)|(kpr)|(kdp)|(train st.+moving)|(\|lc)|(penalty))"</v>
      </c>
      <c r="AG33" s="182" t="str">
        <f t="shared" si="13"/>
        <v>EC</v>
      </c>
      <c r="AH33" s="78" t="str">
        <f t="shared" si="18"/>
        <v>"%USERPROFILE%\Documents\GitHub\eaglep3\Utilities\RefineRTDCRunTimes.py" --tripid 121-24 --locoid 4060 --swversion DE.1.0.9.0 --startMP 204:442 --initTime 2017-09-24T06:08:26 --startdatetime 2017-09-24T06:15:16 --delay 52 --endMP 204:233304 --enddatetime 2017-09-24T06:50:36 --enforcementcount 0 &gt;&gt;c:\users\stu\Documents\GitHub\eaglep3-reporting\EC\2017-09-24-refined-times.txt</v>
      </c>
      <c r="AI33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{"issue":{"subject":"","project_id":79,"tracker_id":40,"status_id":1,"priority_id":2,"assigned_to_id":338,"start_date":"2017-09-24","description":"","custom_fields":[{"id":1,"name":"Subdivision","value":"EC"},{"id":4,"name":"Milepost","value":"23.3304"},{"id":17,"name":"Train ID","value":"121-24"},{"id":16,"name":"Locomotive ID","value":"4060"},{"id":130,"name":"Impact","value":""},{"id":150,"name":"Time of Event (Mountain Time)","value":"06:50:36"},{"id":151,"name":"Denver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2" t="str">
        <f t="shared" si="20"/>
        <v>start /low /b %USERPROFILE%\Documents\GitHub\eaglep3\Utilities\DownloadLogsFromS3.py --loco 4060 --day 2017-09-24</v>
      </c>
      <c r="AN33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12:50:36"},{"id":29,"name":"Sharepoint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168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Message%20ID',Summary),filters:!(),index:'emp_*',interval:auto,query:"&amp;"(query_string:(analyze_wildcard:!t,query:'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-09-24T05:08:26-0600',mode:absolute,to:'2017-09-24T07:50:36-0600'))&amp;_a=(columns:!('Message%20ID',Summary),filters:!(),index:'emp_*',interval:auto,query:(query_string:(analyze_wildcard:!t,query:'%22rtdc.l.rtdc.4060%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664</v>
      </c>
      <c r="B34" s="7">
        <v>4059</v>
      </c>
      <c r="C34" s="21" t="s">
        <v>196</v>
      </c>
      <c r="D34" s="21" t="s">
        <v>411</v>
      </c>
      <c r="E34" s="13">
        <v>43002.296712962961</v>
      </c>
      <c r="F34" s="13">
        <v>43002.300196759257</v>
      </c>
      <c r="G34" s="7">
        <v>68</v>
      </c>
      <c r="H34" s="21" t="s">
        <v>339</v>
      </c>
      <c r="I34" s="13">
        <v>43002.325520833336</v>
      </c>
      <c r="J34" s="7">
        <v>0</v>
      </c>
      <c r="K34" s="89" t="str">
        <f t="shared" si="0"/>
        <v>4059/4060</v>
      </c>
      <c r="L34" s="185" t="str">
        <f>VLOOKUP(A34,'Trips&amp;Operators'!$C$1:$G$99911,5,FALSE)</f>
        <v>PAGE MARCUS</v>
      </c>
      <c r="M34" s="6">
        <f t="shared" si="1"/>
        <v>2.5324074078525882E-2</v>
      </c>
      <c r="N34" s="7">
        <f t="shared" si="2"/>
        <v>36.46666667307727</v>
      </c>
      <c r="O34" s="7"/>
      <c r="P34" s="7"/>
      <c r="Q34" s="22"/>
      <c r="R34" s="174"/>
      <c r="S34" s="221">
        <f t="shared" si="3"/>
        <v>1</v>
      </c>
      <c r="T34" s="174" t="str">
        <f t="shared" si="4"/>
        <v>Southbound</v>
      </c>
      <c r="U34" s="198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16" t="str">
        <f t="shared" si="5"/>
        <v>https://d0f6bd738d7f1b3e5a7ca70fe4ff75f0.us-east-1.aws.found.io/app/kibana#/discover/Steve-Slow-Train-Analysis-(2080s-and-2083s)?_g=(refreshInterval:(display:Off,pause:!f,section:0,value:0),time:(from:'2017-09-24T06:07:16-0600',mode:absolute,to:'2017-09-24T08:48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34" s="204" t="str">
        <f>IF(AA34&lt;VLOOKUP(AG34,Variables!$AC$3:$AD$8,2,FALSE),"Y","N")</f>
        <v>N</v>
      </c>
      <c r="X34" s="204">
        <f t="shared" si="6"/>
        <v>1</v>
      </c>
      <c r="Y34" s="204">
        <f t="shared" si="7"/>
        <v>23.299099999999999</v>
      </c>
      <c r="Z34" s="204">
        <f t="shared" si="8"/>
        <v>1.43E-2</v>
      </c>
      <c r="AA34" s="204">
        <f t="shared" si="9"/>
        <v>23.284800000000001</v>
      </c>
      <c r="AB34" s="54" t="e">
        <f>VLOOKUP(A34,Enforcements!$C$7:$K$11,8,0)</f>
        <v>#N/A</v>
      </c>
      <c r="AC34" s="51" t="e">
        <f>VLOOKUP(A34,Enforcements!$C$7:$E$11,3,0)</f>
        <v>#N/A</v>
      </c>
      <c r="AD34" s="179">
        <f t="shared" si="10"/>
        <v>122</v>
      </c>
      <c r="AE34" s="77" t="str">
        <f t="shared" si="11"/>
        <v>aws s3 cp s3://rtdc.mdm.uploadarchive.raw/RTDC4059/ "%USERPROFILE%\AppData\Local\Temp\OnboardLogs"\RTDC4059\2017-09-24 --exclude "*" --recursive --include "*20170924*" &amp; "%USERPROFILE%\Documents\GitHub\mrs-test-scripts\Headless Mode &amp; Sideloading\WalkAndUnGZ.bat" "%USERPROFILE%\AppData\Local\Temp\OnboardLogs"\RTDC4059\2017-09-24 &amp; aws s3 cp s3://rtdc.mdm.uploadarchive.raw/RTDC4059/ "%USERPROFILE%\AppData\Local\Temp\OnboardLogs"\RTDC4059\2017-09-25 --exclude "*" --recursive --include "*20170925*" &amp; "%USERPROFILE%\Documents\GitHub\mrs-test-scripts\Headless Mode &amp; Sideloading\WalkAndUnGZ.bat" "%USERPROFILE%\AppData\Local\Temp\OnboardLogs"\RTDC4059\2017-09-25</v>
      </c>
      <c r="AF34" s="74" t="str">
        <f t="shared" si="12"/>
        <v>"C:\Program Files (x86)\AstroGrep\AstroGrep.exe" /e /r /s /spath="%USERPROFILE%\AppData\Local\Temp\OnboardLogs" /stypes="app*4059*20170924*" /stext=" 13:.+((SYSTEM_STATE.+slice.+state.+changed )|(ment ac)|(multiple cpu faults)|(system.+state.+changed )|(\[timeout)|(PRM\|1\|D)|(kpr)|(kdp)|(train st.+moving)|(\|lc)|(penalty))"</v>
      </c>
      <c r="AG34" s="182" t="str">
        <f t="shared" si="13"/>
        <v>EC</v>
      </c>
      <c r="AH34" s="78" t="str">
        <f t="shared" si="18"/>
        <v>"%USERPROFILE%\Documents\GitHub\eaglep3\Utilities\RefineRTDCRunTimes.py" --tripid 122-24 --locoid 4059 --swversion DE.1.0.9.0 --startMP 204:232991 --initTime 2017-09-24T07:07:16 --startdatetime 2017-09-24T07:12:17 --delay 68 --endMP 204:143 --enddatetime 2017-09-24T07:48:45 --enforcementcount 0 &gt;&gt;c:\users\stu\Documents\GitHub\eaglep3-reporting\EC\2017-09-24-refined-times.txt</v>
      </c>
      <c r="AI34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{"issue":{"subject":"","project_id":79,"tracker_id":40,"status_id":1,"priority_id":2,"assigned_to_id":338,"start_date":"2017-09-24","description":"","custom_fields":[{"id":1,"name":"Subdivision","value":"EC"},{"id":4,"name":"Milepost","value":"0.0143"},{"id":17,"name":"Train ID","value":"122-24"},{"id":16,"name":"Locomotive ID","value":"4059"},{"id":130,"name":"Impact","value":""},{"id":150,"name":"Time of Event (Mountain Time)","value":"07:48:45"},{"id":151,"name":"Denver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2" t="str">
        <f t="shared" si="20"/>
        <v>start /low /b %USERPROFILE%\Documents\GitHub\eaglep3\Utilities\DownloadLogsFromS3.py --loco 4059 --day 2017-09-24</v>
      </c>
      <c r="AN34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13:48:45"},{"id":29,"name":"Sharepoint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168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Message%20ID',Summary),filters:!(),index:'emp_*',interval:auto,query:"&amp;"(query_string:(analyze_wildcard:!t,query:'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-09-24T06:07:16-0600',mode:absolute,to:'2017-09-24T08:48:45-0600'))&amp;_a=(columns:!('Message%20ID',Summary),filters:!(),index:'emp_*',interval:auto,query:(query_string:(analyze_wildcard:!t,query:'%22rtdc.l.rtdc.4059%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657</v>
      </c>
      <c r="B35" s="7">
        <v>4062</v>
      </c>
      <c r="C35" s="21" t="s">
        <v>196</v>
      </c>
      <c r="D35" s="21" t="s">
        <v>357</v>
      </c>
      <c r="E35" s="13">
        <v>43002.265486111108</v>
      </c>
      <c r="F35" s="13">
        <v>43002.271157407406</v>
      </c>
      <c r="G35" s="7">
        <v>61</v>
      </c>
      <c r="H35" s="21" t="s">
        <v>496</v>
      </c>
      <c r="I35" s="13">
        <v>43002.295127314814</v>
      </c>
      <c r="J35" s="7">
        <v>0</v>
      </c>
      <c r="K35" s="89" t="str">
        <f t="shared" si="0"/>
        <v>4061/4062</v>
      </c>
      <c r="L35" s="185" t="str">
        <f>VLOOKUP(A35,'Trips&amp;Operators'!$C$1:$G$99911,5,FALSE)</f>
        <v>GEBRETEKLE DAGNEW</v>
      </c>
      <c r="M35" s="6">
        <f t="shared" si="1"/>
        <v>2.396990740817273E-2</v>
      </c>
      <c r="N35" s="7">
        <f t="shared" si="2"/>
        <v>34.516666667768732</v>
      </c>
      <c r="O35" s="7"/>
      <c r="P35" s="7"/>
      <c r="Q35" s="22"/>
      <c r="R35" s="174"/>
      <c r="S35" s="221">
        <f t="shared" si="3"/>
        <v>1</v>
      </c>
      <c r="T35" s="174" t="str">
        <f t="shared" si="4"/>
        <v>NorthBound</v>
      </c>
      <c r="U35" s="198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16" t="str">
        <f t="shared" si="5"/>
        <v>https://d0f6bd738d7f1b3e5a7ca70fe4ff75f0.us-east-1.aws.found.io/app/kibana#/discover/Steve-Slow-Train-Analysis-(2080s-and-2083s)?_g=(refreshInterval:(display:Off,pause:!f,section:0,value:0),time:(from:'2017-09-24T05:22:18-0600',mode:absolute,to:'2017-09-24T08:04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35" s="204" t="str">
        <f>IF(AA35&lt;VLOOKUP(AG35,Variables!$AC$3:$AD$8,2,FALSE),"Y","N")</f>
        <v>N</v>
      </c>
      <c r="X35" s="204">
        <f t="shared" si="6"/>
        <v>1</v>
      </c>
      <c r="Y35" s="204">
        <f t="shared" si="7"/>
        <v>4.58E-2</v>
      </c>
      <c r="Z35" s="204">
        <f t="shared" si="8"/>
        <v>23.327999999999999</v>
      </c>
      <c r="AA35" s="204">
        <f t="shared" si="9"/>
        <v>23.2822</v>
      </c>
      <c r="AB35" s="54" t="e">
        <f>VLOOKUP(A35,Enforcements!$C$7:$K$11,8,0)</f>
        <v>#N/A</v>
      </c>
      <c r="AC35" s="51" t="e">
        <f>VLOOKUP(A35,Enforcements!$C$7:$E$11,3,0)</f>
        <v>#N/A</v>
      </c>
      <c r="AD35" s="179">
        <f t="shared" si="10"/>
        <v>123</v>
      </c>
      <c r="AE35" s="77" t="str">
        <f t="shared" si="11"/>
        <v>aws s3 cp s3://rtdc.mdm.uploadarchive.raw/RTDC4062/ "%USERPROFILE%\AppData\Local\Temp\OnboardLogs"\RTDC4062\2017-09-24 --exclude "*" --recursive --include "*20170924*" &amp; "%USERPROFILE%\Documents\GitHub\mrs-test-scripts\Headless Mode &amp; Sideloading\WalkAndUnGZ.bat" "%USERPROFILE%\AppData\Local\Temp\OnboardLogs"\RTDC4062\2017-09-24 &amp; aws s3 cp s3://rtdc.mdm.uploadarchive.raw/RTDC4062/ "%USERPROFILE%\AppData\Local\Temp\OnboardLogs"\RTDC4062\2017-09-25 --exclude "*" --recursive --include "*20170925*" &amp; "%USERPROFILE%\Documents\GitHub\mrs-test-scripts\Headless Mode &amp; Sideloading\WalkAndUnGZ.bat" "%USERPROFILE%\AppData\Local\Temp\OnboardLogs"\RTDC4062\2017-09-25</v>
      </c>
      <c r="AF35" s="74" t="str">
        <f t="shared" si="12"/>
        <v>"C:\Program Files (x86)\AstroGrep\AstroGrep.exe" /e /r /s /spath="%USERPROFILE%\AppData\Local\Temp\OnboardLogs" /stypes="app*4062*20170924*" /stext=" 13:.+((SYSTEM_STATE.+slice.+state.+changed )|(ment ac)|(multiple cpu faults)|(system.+state.+changed )|(\[timeout)|(PRM\|1\|D)|(kpr)|(kdp)|(train st.+moving)|(\|lc)|(penalty))"</v>
      </c>
      <c r="AG35" s="182" t="str">
        <f t="shared" si="13"/>
        <v>EC</v>
      </c>
      <c r="AH35" s="78" t="str">
        <f t="shared" si="18"/>
        <v>"%USERPROFILE%\Documents\GitHub\eaglep3\Utilities\RefineRTDCRunTimes.py" --tripid 123-24 --locoid 4062 --swversion DE.1.0.9.0 --startMP 204:458 --initTime 2017-09-24T06:22:18 --startdatetime 2017-09-24T06:30:28 --delay 61 --endMP 204:233280 --enddatetime 2017-09-24T07:04:59 --enforcementcount 0 &gt;&gt;c:\users\stu\Documents\GitHub\eaglep3-reporting\EC\2017-09-24-refined-times.txt</v>
      </c>
      <c r="AI35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{"issue":{"subject":"","project_id":79,"tracker_id":40,"status_id":1,"priority_id":2,"assigned_to_id":338,"start_date":"2017-09-24","description":"","custom_fields":[{"id":1,"name":"Subdivision","value":"EC"},{"id":4,"name":"Milepost","value":"23.328"},{"id":17,"name":"Train ID","value":"123-24"},{"id":16,"name":"Locomotive ID","value":"4062"},{"id":130,"name":"Impact","value":""},{"id":150,"name":"Time of Event (Mountain Time)","value":"07:04:59"},{"id":151,"name":"Denver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2" t="str">
        <f t="shared" si="20"/>
        <v>start /low /b %USERPROFILE%\Documents\GitHub\eaglep3\Utilities\DownloadLogsFromS3.py --loco 4062 --day 2017-09-24</v>
      </c>
      <c r="AN35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13:04:59"},{"id":29,"name":"Sharepoint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168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Message%20ID',Summary),filters:!(),index:'emp_*',interval:auto,query:"&amp;"(query_string:(analyze_wildcard:!t,query:'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-09-24T05:22:18-0600',mode:absolute,to:'2017-09-24T08:04:59-0600'))&amp;_a=(columns:!('Message%20ID',Summary),filters:!(),index:'emp_*',interval:auto,query:(query_string:(analyze_wildcard:!t,query:'%22rtdc.l.rtdc.4062%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663</v>
      </c>
      <c r="B36" s="7">
        <v>4061</v>
      </c>
      <c r="C36" s="21" t="s">
        <v>196</v>
      </c>
      <c r="D36" s="21" t="s">
        <v>409</v>
      </c>
      <c r="E36" s="13">
        <v>43002.296354166669</v>
      </c>
      <c r="F36" s="13">
        <v>43002.310567129629</v>
      </c>
      <c r="G36" s="7">
        <v>52</v>
      </c>
      <c r="H36" s="21" t="s">
        <v>493</v>
      </c>
      <c r="I36" s="13">
        <v>43002.336365740739</v>
      </c>
      <c r="J36" s="7">
        <v>0</v>
      </c>
      <c r="K36" s="89" t="str">
        <f t="shared" si="0"/>
        <v>4061/4062</v>
      </c>
      <c r="L36" s="185" t="str">
        <f>VLOOKUP(A36,'Trips&amp;Operators'!$C$1:$G$99911,5,FALSE)</f>
        <v>GEBRETEKLE DAGNEW</v>
      </c>
      <c r="M36" s="6">
        <f t="shared" si="1"/>
        <v>2.5798611110076308E-2</v>
      </c>
      <c r="N36" s="7">
        <f t="shared" si="2"/>
        <v>37.149999998509884</v>
      </c>
      <c r="O36" s="7"/>
      <c r="P36" s="7"/>
      <c r="Q36" s="22"/>
      <c r="R36" s="174"/>
      <c r="S36" s="221">
        <f t="shared" si="3"/>
        <v>1</v>
      </c>
      <c r="T36" s="174" t="str">
        <f t="shared" si="4"/>
        <v>Southbound</v>
      </c>
      <c r="U36" s="198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16" t="str">
        <f t="shared" si="5"/>
        <v>https://d0f6bd738d7f1b3e5a7ca70fe4ff75f0.us-east-1.aws.found.io/app/kibana#/discover/Steve-Slow-Train-Analysis-(2080s-and-2083s)?_g=(refreshInterval:(display:Off,pause:!f,section:0,value:0),time:(from:'2017-09-24T06:06:45-0600',mode:absolute,to:'2017-09-24T09:04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36" s="204" t="str">
        <f>IF(AA36&lt;VLOOKUP(AG36,Variables!$AC$3:$AD$8,2,FALSE),"Y","N")</f>
        <v>N</v>
      </c>
      <c r="X36" s="204">
        <f t="shared" si="6"/>
        <v>1</v>
      </c>
      <c r="Y36" s="204">
        <f t="shared" si="7"/>
        <v>23.297799999999999</v>
      </c>
      <c r="Z36" s="204">
        <f t="shared" si="8"/>
        <v>1.67E-2</v>
      </c>
      <c r="AA36" s="204">
        <f t="shared" si="9"/>
        <v>23.281099999999999</v>
      </c>
      <c r="AB36" s="54" t="e">
        <f>VLOOKUP(A36,Enforcements!$C$7:$K$11,8,0)</f>
        <v>#N/A</v>
      </c>
      <c r="AC36" s="51" t="e">
        <f>VLOOKUP(A36,Enforcements!$C$7:$E$11,3,0)</f>
        <v>#N/A</v>
      </c>
      <c r="AD36" s="179">
        <f t="shared" si="10"/>
        <v>124</v>
      </c>
      <c r="AE36" s="77" t="str">
        <f t="shared" si="11"/>
        <v>aws s3 cp s3://rtdc.mdm.uploadarchive.raw/RTDC4061/ "%USERPROFILE%\AppData\Local\Temp\OnboardLogs"\RTDC4061\2017-09-24 --exclude "*" --recursive --include "*20170924*" &amp; "%USERPROFILE%\Documents\GitHub\mrs-test-scripts\Headless Mode &amp; Sideloading\WalkAndUnGZ.bat" "%USERPROFILE%\AppData\Local\Temp\OnboardLogs"\RTDC4061\2017-09-24 &amp; aws s3 cp s3://rtdc.mdm.uploadarchive.raw/RTDC4061/ "%USERPROFILE%\AppData\Local\Temp\OnboardLogs"\RTDC4061\2017-09-25 --exclude "*" --recursive --include "*20170925*" &amp; "%USERPROFILE%\Documents\GitHub\mrs-test-scripts\Headless Mode &amp; Sideloading\WalkAndUnGZ.bat" "%USERPROFILE%\AppData\Local\Temp\OnboardLogs"\RTDC4061\2017-09-25</v>
      </c>
      <c r="AF36" s="74" t="str">
        <f t="shared" si="12"/>
        <v>"C:\Program Files (x86)\AstroGrep\AstroGrep.exe" /e /r /s /spath="%USERPROFILE%\AppData\Local\Temp\OnboardLogs" /stypes="app*4061*20170924*" /stext=" 14:.+((SYSTEM_STATE.+slice.+state.+changed )|(ment ac)|(multiple cpu faults)|(system.+state.+changed )|(\[timeout)|(PRM\|1\|D)|(kpr)|(kdp)|(train st.+moving)|(\|lc)|(penalty))"</v>
      </c>
      <c r="AG36" s="182" t="str">
        <f t="shared" si="13"/>
        <v>EC</v>
      </c>
      <c r="AH36" s="78" t="str">
        <f t="shared" si="18"/>
        <v>"%USERPROFILE%\Documents\GitHub\eaglep3\Utilities\RefineRTDCRunTimes.py" --tripid 124-24 --locoid 4061 --swversion DE.1.0.9.0 --startMP 204:232978 --initTime 2017-09-24T07:06:45 --startdatetime 2017-09-24T07:27:13 --delay 52 --endMP 204:167 --enddatetime 2017-09-24T08:04:22 --enforcementcount 0 &gt;&gt;c:\users\stu\Documents\GitHub\eaglep3-reporting\EC\2017-09-24-refined-times.txt</v>
      </c>
      <c r="AI36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{"issue":{"subject":"","project_id":79,"tracker_id":40,"status_id":1,"priority_id":2,"assigned_to_id":338,"start_date":"2017-09-24","description":"","custom_fields":[{"id":1,"name":"Subdivision","value":"EC"},{"id":4,"name":"Milepost","value":"0.0167"},{"id":17,"name":"Train ID","value":"124-24"},{"id":16,"name":"Locomotive ID","value":"4061"},{"id":130,"name":"Impact","value":""},{"id":150,"name":"Time of Event (Mountain Time)","value":"08:04:22"},{"id":151,"name":"Denver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2" t="str">
        <f t="shared" si="20"/>
        <v>start /low /b %USERPROFILE%\Documents\GitHub\eaglep3\Utilities\DownloadLogsFromS3.py --loco 4061 --day 2017-09-24</v>
      </c>
      <c r="AN36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14:04:22"},{"id":29,"name":"Sharepoint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168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Message%20ID',Summary),filters:!(),index:'emp_*',interval:auto,query:"&amp;"(query_string:(analyze_wildcard:!t,query:'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-09-24T06:06:45-0600',mode:absolute,to:'2017-09-24T09:04:22-0600'))&amp;_a=(columns:!('Message%20ID',Summary),filters:!(),index:'emp_*',interval:auto,query:(query_string:(analyze_wildcard:!t,query:'%22rtdc.l.rtdc.4061%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584</v>
      </c>
      <c r="B37" s="7">
        <v>4066</v>
      </c>
      <c r="C37" s="21" t="s">
        <v>196</v>
      </c>
      <c r="D37" s="21" t="s">
        <v>435</v>
      </c>
      <c r="E37" s="13">
        <v>43002.278622685182</v>
      </c>
      <c r="F37" s="13">
        <v>43002.281550925924</v>
      </c>
      <c r="G37" s="7">
        <v>51</v>
      </c>
      <c r="H37" s="21" t="s">
        <v>492</v>
      </c>
      <c r="I37" s="13">
        <v>43002.306759259256</v>
      </c>
      <c r="J37" s="7">
        <v>0</v>
      </c>
      <c r="K37" s="89" t="str">
        <f t="shared" si="0"/>
        <v>4065/4066</v>
      </c>
      <c r="L37" s="185" t="str">
        <f>VLOOKUP(A37,'Trips&amp;Operators'!$C$1:$G$99911,5,FALSE)</f>
        <v>THOMPSON LESTER</v>
      </c>
      <c r="M37" s="6">
        <f t="shared" si="1"/>
        <v>2.5208333332557231E-2</v>
      </c>
      <c r="N37" s="7">
        <f t="shared" si="2"/>
        <v>36.299999998882413</v>
      </c>
      <c r="O37" s="7"/>
      <c r="P37" s="7"/>
      <c r="Q37" s="22"/>
      <c r="R37" s="174"/>
      <c r="S37" s="221">
        <f t="shared" si="3"/>
        <v>1</v>
      </c>
      <c r="T37" s="174" t="str">
        <f t="shared" si="4"/>
        <v>NorthBound</v>
      </c>
      <c r="U37" s="198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16" t="str">
        <f t="shared" si="5"/>
        <v>https://d0f6bd738d7f1b3e5a7ca70fe4ff75f0.us-east-1.aws.found.io/app/kibana#/discover/Steve-Slow-Train-Analysis-(2080s-and-2083s)?_g=(refreshInterval:(display:Off,pause:!f,section:0,value:0),time:(from:'2017-09-24T05:41:13-0600',mode:absolute,to:'2017-09-24T08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37" s="204" t="str">
        <f>IF(AA37&lt;VLOOKUP(AG37,Variables!$AC$3:$AD$8,2,FALSE),"Y","N")</f>
        <v>N</v>
      </c>
      <c r="X37" s="204">
        <f t="shared" si="6"/>
        <v>1</v>
      </c>
      <c r="Y37" s="204">
        <f t="shared" si="7"/>
        <v>4.5699999999999998E-2</v>
      </c>
      <c r="Z37" s="204">
        <f t="shared" si="8"/>
        <v>23.3308</v>
      </c>
      <c r="AA37" s="204">
        <f t="shared" si="9"/>
        <v>23.2851</v>
      </c>
      <c r="AB37" s="54" t="e">
        <f>VLOOKUP(A37,Enforcements!$C$7:$K$11,8,0)</f>
        <v>#N/A</v>
      </c>
      <c r="AC37" s="51" t="e">
        <f>VLOOKUP(A37,Enforcements!$C$7:$E$11,3,0)</f>
        <v>#N/A</v>
      </c>
      <c r="AD37" s="179">
        <f t="shared" si="10"/>
        <v>125</v>
      </c>
      <c r="AE37" s="77" t="str">
        <f t="shared" si="11"/>
        <v>aws s3 cp s3://rtdc.mdm.uploadarchive.raw/RTDC4066/ "%USERPROFILE%\AppData\Local\Temp\OnboardLogs"\RTDC4066\2017-09-24 --exclude "*" --recursive --include "*20170924*" &amp; "%USERPROFILE%\Documents\GitHub\mrs-test-scripts\Headless Mode &amp; Sideloading\WalkAndUnGZ.bat" "%USERPROFILE%\AppData\Local\Temp\OnboardLogs"\RTDC4066\2017-09-24 &amp; aws s3 cp s3://rtdc.mdm.uploadarchive.raw/RTDC4066/ "%USERPROFILE%\AppData\Local\Temp\OnboardLogs"\RTDC4066\2017-09-25 --exclude "*" --recursive --include "*20170925*" &amp; "%USERPROFILE%\Documents\GitHub\mrs-test-scripts\Headless Mode &amp; Sideloading\WalkAndUnGZ.bat" "%USERPROFILE%\AppData\Local\Temp\OnboardLogs"\RTDC4066\2017-09-25</v>
      </c>
      <c r="AF37" s="74" t="str">
        <f t="shared" si="12"/>
        <v>"C:\Program Files (x86)\AstroGrep\AstroGrep.exe" /e /r /s /spath="%USERPROFILE%\AppData\Local\Temp\OnboardLogs" /stypes="app*4066*20170924*" /stext=" 13:.+((SYSTEM_STATE.+slice.+state.+changed )|(ment ac)|(multiple cpu faults)|(system.+state.+changed )|(\[timeout)|(PRM\|1\|D)|(kpr)|(kdp)|(train st.+moving)|(\|lc)|(penalty))"</v>
      </c>
      <c r="AG37" s="182" t="str">
        <f t="shared" si="13"/>
        <v>EC</v>
      </c>
      <c r="AH37" s="78" t="str">
        <f t="shared" si="18"/>
        <v>"%USERPROFILE%\Documents\GitHub\eaglep3\Utilities\RefineRTDCRunTimes.py" --tripid 125-24 --locoid 4066 --swversion DE.1.0.9.0 --startMP 204:457 --initTime 2017-09-24T06:41:13 --startdatetime 2017-09-24T06:45:26 --delay 51 --endMP 204:233308 --enddatetime 2017-09-24T07:21:44 --enforcementcount 0 &gt;&gt;c:\users\stu\Documents\GitHub\eaglep3-reporting\EC\2017-09-24-refined-times.txt</v>
      </c>
      <c r="AI37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{"issue":{"subject":"","project_id":79,"tracker_id":40,"status_id":1,"priority_id":2,"assigned_to_id":338,"start_date":"2017-09-24","description":"","custom_fields":[{"id":1,"name":"Subdivision","value":"EC"},{"id":4,"name":"Milepost","value":"23.3308"},{"id":17,"name":"Train ID","value":"125-24"},{"id":16,"name":"Locomotive ID","value":"4066"},{"id":130,"name":"Impact","value":""},{"id":150,"name":"Time of Event (Mountain Time)","value":"07:21:44"},{"id":151,"name":"Denver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2" t="str">
        <f t="shared" si="20"/>
        <v>start /low /b %USERPROFILE%\Documents\GitHub\eaglep3\Utilities\DownloadLogsFromS3.py --loco 4066 --day 2017-09-24</v>
      </c>
      <c r="AN37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13:21:44"},{"id":29,"name":"Sharepoint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168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Message%20ID',Summary),filters:!(),index:'emp_*',interval:auto,query:"&amp;"(query_string:(analyze_wildcard:!t,query:'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-09-24T05:41:13-0600',mode:absolute,to:'2017-09-24T08:21:44-0600'))&amp;_a=(columns:!('Message%20ID',Summary),filters:!(),index:'emp_*',interval:auto,query:(query_string:(analyze_wildcard:!t,query:'%22rtdc.l.rtdc.4066%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667</v>
      </c>
      <c r="B38" s="7">
        <v>4065</v>
      </c>
      <c r="C38" s="21" t="s">
        <v>196</v>
      </c>
      <c r="D38" s="21" t="s">
        <v>839</v>
      </c>
      <c r="E38" s="13">
        <v>43002.31759259259</v>
      </c>
      <c r="F38" s="13">
        <v>43002.323923611111</v>
      </c>
      <c r="G38" s="7">
        <v>53</v>
      </c>
      <c r="H38" s="21" t="s">
        <v>840</v>
      </c>
      <c r="I38" s="13">
        <v>43002.350775462961</v>
      </c>
      <c r="J38" s="7">
        <v>0</v>
      </c>
      <c r="K38" s="89" t="str">
        <f t="shared" si="0"/>
        <v>4065/4066</v>
      </c>
      <c r="L38" s="185" t="str">
        <f>VLOOKUP(A38,'Trips&amp;Operators'!$C$1:$G$99911,5,FALSE)</f>
        <v>THOMPSON LESTER</v>
      </c>
      <c r="M38" s="6">
        <f t="shared" si="1"/>
        <v>2.6851851849642117E-2</v>
      </c>
      <c r="N38" s="7"/>
      <c r="O38" s="7"/>
      <c r="P38" s="7"/>
      <c r="Q38" s="22"/>
      <c r="R38" s="174"/>
      <c r="S38" s="221"/>
      <c r="T38" s="174" t="str">
        <f t="shared" si="4"/>
        <v>Southbound</v>
      </c>
      <c r="U38" s="198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0</v>
      </c>
      <c r="V38" s="216" t="str">
        <f t="shared" si="5"/>
        <v>https://d0f6bd738d7f1b3e5a7ca70fe4ff75f0.us-east-1.aws.found.io/app/kibana#/discover/Steve-Slow-Train-Analysis-(2080s-and-2083s)?_g=(refreshInterval:(display:Off,pause:!f,section:0,value:0),time:(from:'2017-09-24T06:37:20-0600',mode:absolute,to:'2017-09-24T09:25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38" s="204" t="str">
        <f>IF(AA38&lt;VLOOKUP(AG38,Variables!$AC$3:$AD$8,2,FALSE),"Y","N")</f>
        <v>Y</v>
      </c>
      <c r="X38" s="204">
        <f t="shared" si="6"/>
        <v>1</v>
      </c>
      <c r="Y38" s="204">
        <f t="shared" si="7"/>
        <v>23.296700000000001</v>
      </c>
      <c r="Z38" s="204">
        <f t="shared" si="8"/>
        <v>23.136600000000001</v>
      </c>
      <c r="AA38" s="204">
        <f t="shared" si="9"/>
        <v>0.16009999999999991</v>
      </c>
      <c r="AB38" s="54" t="e">
        <f>VLOOKUP(A38,Enforcements!$C$7:$K$11,8,0)</f>
        <v>#N/A</v>
      </c>
      <c r="AC38" s="51" t="e">
        <f>VLOOKUP(A38,Enforcements!$C$7:$E$11,3,0)</f>
        <v>#N/A</v>
      </c>
      <c r="AD38" s="179">
        <f t="shared" si="10"/>
        <v>126</v>
      </c>
      <c r="AE38" s="77" t="str">
        <f t="shared" si="11"/>
        <v>aws s3 cp s3://rtdc.mdm.uploadarchive.raw/RTDC4065/ "%USERPROFILE%\AppData\Local\Temp\OnboardLogs"\RTDC4065\2017-09-24 --exclude "*" --recursive --include "*20170924*" &amp; "%USERPROFILE%\Documents\GitHub\mrs-test-scripts\Headless Mode &amp; Sideloading\WalkAndUnGZ.bat" "%USERPROFILE%\AppData\Local\Temp\OnboardLogs"\RTDC4065\2017-09-24 &amp; aws s3 cp s3://rtdc.mdm.uploadarchive.raw/RTDC4065/ "%USERPROFILE%\AppData\Local\Temp\OnboardLogs"\RTDC4065\2017-09-25 --exclude "*" --recursive --include "*20170925*" &amp; "%USERPROFILE%\Documents\GitHub\mrs-test-scripts\Headless Mode &amp; Sideloading\WalkAndUnGZ.bat" "%USERPROFILE%\AppData\Local\Temp\OnboardLogs"\RTDC4065\2017-09-25</v>
      </c>
      <c r="AF38" s="74" t="str">
        <f t="shared" si="12"/>
        <v>"C:\Program Files (x86)\AstroGrep\AstroGrep.exe" /e /r /s /spath="%USERPROFILE%\AppData\Local\Temp\OnboardLogs" /stypes="app*4065*20170924*" /stext=" 14:.+((SYSTEM_STATE.+slice.+state.+changed )|(ment ac)|(multiple cpu faults)|(system.+state.+changed )|(\[timeout)|(PRM\|1\|D)|(kpr)|(kdp)|(train st.+moving)|(\|lc)|(penalty))"</v>
      </c>
      <c r="AG38" s="182" t="str">
        <f t="shared" si="13"/>
        <v>EC</v>
      </c>
      <c r="AH38" s="78" t="str">
        <f t="shared" si="18"/>
        <v>"%USERPROFILE%\Documents\GitHub\eaglep3\Utilities\RefineRTDCRunTimes.py" --tripid 126-24 --locoid 4065 --swversion DE.1.0.9.0 --startMP 204:232967 --initTime 2017-09-24T07:37:20 --startdatetime 2017-09-24T07:46:27 --delay 53 --endMP 204:231366 --enddatetime 2017-09-24T08:25:07 --enforcementcount 0 &gt;&gt;c:\users\stu\Documents\GitHub\eaglep3-reporting\EC\2017-09-24-refined-times.txt</v>
      </c>
      <c r="AI38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{"issue":{"subject":"","project_id":79,"tracker_id":40,"status_id":1,"priority_id":2,"assigned_to_id":338,"start_date":"2017-09-24","description":"","custom_fields":[{"id":1,"name":"Subdivision","value":"EC"},{"id":4,"name":"Milepost","value":"23.1366"},{"id":17,"name":"Train ID","value":"126-24"},{"id":16,"name":"Locomotive ID","value":"4065"},{"id":130,"name":"Impact","value":""},{"id":150,"name":"Time of Event (Mountain Time)","value":"08:25:07"},{"id":151,"name":"Denver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2" t="str">
        <f t="shared" si="20"/>
        <v>start /low /b %USERPROFILE%\Documents\GitHub\eaglep3\Utilities\DownloadLogsFromS3.py --loco 4065 --day 2017-09-24</v>
      </c>
      <c r="AN38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14:25:07"},{"id":29,"name":"Sharepoint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168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Message%20ID',Summary),filters:!(),index:'emp_*',interval:auto,query:"&amp;"(query_string:(analyze_wildcard:!t,query:'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-09-24T06:37:20-0600',mode:absolute,to:'2017-09-24T09:25:07-0600'))&amp;_a=(columns:!('Message%20ID',Summary),filters:!(),index:'emp_*',interval:auto,query:(query_string:(analyze_wildcard:!t,query:'%22rtdc.l.rtdc.4065%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667</v>
      </c>
      <c r="B39" s="7">
        <v>4065</v>
      </c>
      <c r="C39" s="21" t="s">
        <v>196</v>
      </c>
      <c r="D39" s="21" t="s">
        <v>841</v>
      </c>
      <c r="E39" s="13">
        <v>43002.322962962964</v>
      </c>
      <c r="F39" s="13">
        <v>43002.323923611111</v>
      </c>
      <c r="G39" s="7">
        <v>46</v>
      </c>
      <c r="H39" s="21" t="s">
        <v>341</v>
      </c>
      <c r="I39" s="13">
        <v>43002.350775462961</v>
      </c>
      <c r="J39" s="7">
        <v>0</v>
      </c>
      <c r="K39" s="89" t="str">
        <f t="shared" si="0"/>
        <v>4065/4066</v>
      </c>
      <c r="L39" s="185" t="str">
        <f>VLOOKUP(A39,'Trips&amp;Operators'!$C$1:$G$99911,5,FALSE)</f>
        <v>THOMPSON LESTER</v>
      </c>
      <c r="M39" s="6">
        <f t="shared" si="1"/>
        <v>2.6851851849642117E-2</v>
      </c>
      <c r="N39" s="7">
        <f t="shared" ref="N39:N72" si="22">24*60*SUM($M39:$M39)</f>
        <v>38.666666663484648</v>
      </c>
      <c r="O39" s="7"/>
      <c r="P39" s="7"/>
      <c r="Q39" s="22"/>
      <c r="R39" s="174" t="s">
        <v>978</v>
      </c>
      <c r="S39" s="221">
        <f t="shared" ref="S39:S70" si="23">1/IF(AG39="EC",12,1)*SUM(U39:U39)</f>
        <v>1</v>
      </c>
      <c r="T39" s="174" t="str">
        <f t="shared" si="4"/>
        <v>Southbound</v>
      </c>
      <c r="U39" s="198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16" t="str">
        <f t="shared" si="5"/>
        <v>https://d0f6bd738d7f1b3e5a7ca70fe4ff75f0.us-east-1.aws.found.io/app/kibana#/discover/Steve-Slow-Train-Analysis-(2080s-and-2083s)?_g=(refreshInterval:(display:Off,pause:!f,section:0,value:0),time:(from:'2017-09-24T06:45:04-0600',mode:absolute,to:'2017-09-24T09:25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39" s="204" t="str">
        <f>IF(AA39&lt;VLOOKUP(AG39,Variables!$AC$3:$AD$8,2,FALSE),"Y","N")</f>
        <v>N</v>
      </c>
      <c r="X39" s="204">
        <f t="shared" si="6"/>
        <v>0</v>
      </c>
      <c r="Y39" s="204">
        <f t="shared" si="7"/>
        <v>23.140699999999999</v>
      </c>
      <c r="Z39" s="204">
        <f t="shared" si="8"/>
        <v>1.41E-2</v>
      </c>
      <c r="AA39" s="204">
        <f t="shared" si="9"/>
        <v>23.1266</v>
      </c>
      <c r="AB39" s="54" t="e">
        <f>VLOOKUP(A39,Enforcements!$C$7:$K$11,8,0)</f>
        <v>#N/A</v>
      </c>
      <c r="AC39" s="51" t="e">
        <f>VLOOKUP(A39,Enforcements!$C$7:$E$11,3,0)</f>
        <v>#N/A</v>
      </c>
      <c r="AD39" s="179">
        <f t="shared" si="10"/>
        <v>126</v>
      </c>
      <c r="AE39" s="77" t="str">
        <f t="shared" si="11"/>
        <v>aws s3 cp s3://rtdc.mdm.uploadarchive.raw/RTDC4065/ "%USERPROFILE%\AppData\Local\Temp\OnboardLogs"\RTDC4065\2017-09-24 --exclude "*" --recursive --include "*20170924*" &amp; "%USERPROFILE%\Documents\GitHub\mrs-test-scripts\Headless Mode &amp; Sideloading\WalkAndUnGZ.bat" "%USERPROFILE%\AppData\Local\Temp\OnboardLogs"\RTDC4065\2017-09-24 &amp; aws s3 cp s3://rtdc.mdm.uploadarchive.raw/RTDC4065/ "%USERPROFILE%\AppData\Local\Temp\OnboardLogs"\RTDC4065\2017-09-25 --exclude "*" --recursive --include "*20170925*" &amp; "%USERPROFILE%\Documents\GitHub\mrs-test-scripts\Headless Mode &amp; Sideloading\WalkAndUnGZ.bat" "%USERPROFILE%\AppData\Local\Temp\OnboardLogs"\RTDC4065\2017-09-25</v>
      </c>
      <c r="AF39" s="74" t="str">
        <f t="shared" si="12"/>
        <v>"C:\Program Files (x86)\AstroGrep\AstroGrep.exe" /e /r /s /spath="%USERPROFILE%\AppData\Local\Temp\OnboardLogs" /stypes="app*4065*20170924*" /stext=" 14:.+((SYSTEM_STATE.+slice.+state.+changed )|(ment ac)|(multiple cpu faults)|(system.+state.+changed )|(\[timeout)|(PRM\|1\|D)|(kpr)|(kdp)|(train st.+moving)|(\|lc)|(penalty))"</v>
      </c>
      <c r="AG39" s="182" t="str">
        <f t="shared" si="13"/>
        <v>EC</v>
      </c>
      <c r="AH39" s="78" t="str">
        <f t="shared" si="18"/>
        <v>"%USERPROFILE%\Documents\GitHub\eaglep3\Utilities\RefineRTDCRunTimes.py" --tripid 126-24 --locoid 4065 --swversion DE.1.0.9.0 --startMP 204:231407 --initTime 2017-09-24T07:45:04 --startdatetime 2017-09-24T07:46:27 --delay 46 --endMP 204:141 --enddatetime 2017-09-24T08:25:07 --enforcementcount 0 &gt;&gt;c:\users\stu\Documents\GitHub\eaglep3-reporting\EC\2017-09-24-refined-times.txt</v>
      </c>
      <c r="AI39" s="96" t="str">
        <f t="shared" si="19"/>
        <v>echo {"issue":{"subject":"Selected wrong track at first","project_id":79,"tracker_id":40,"status_id":1,"priority_id":2,"assigned_to_id":338,"start_date":"2017-09-24","description":"","custom_fields":[{"id":1,"name":"Subdivision","value":"EC"},{"id":4,"name":"Milepost","value":"0.0141"},{"id":17,"name":"Train ID","value":"126-24"},{"id":16,"name":"Locomotive ID","value":"4065"},{"id":130,"name":"Impact","value":""},{"id":150,"name":"Time of Event (Mountain Time)","value":"08:25:07"},{"id":151,"name":"Denver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2" t="str">
        <f t="shared" si="20"/>
        <v>start /low /b %USERPROFILE%\Documents\GitHub\eaglep3\Utilities\DownloadLogsFromS3.py --loco 4065 --day 2017-09-24</v>
      </c>
      <c r="AN39" s="151" t="str">
        <f t="shared" si="21"/>
        <v>echo {"issue":{"subject":"Selected wrong track at first","project_id":30,"tracker_id":4,"status_id":1,"priority_id":1,"assigned_to_id":10,"start_date":"2017-09-24","description":"","custom_fields":[{"id":30,"name":"Category","value":"Issue"},{"id":3,"name":"Functional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14:25:07"},{"id":29,"name":"Sharepoint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168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Message%20ID',Summary),filters:!(),index:'emp_*',interval:auto,query:"&amp;"(query_string:(analyze_wildcard:!t,query:'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-09-24T06:45:04-0600',mode:absolute,to:'2017-09-24T09:25:07-0600'))&amp;_a=(columns:!('Message%20ID',Summary),filters:!(),index:'emp_*',interval:auto,query:(query_string:(analyze_wildcard:!t,query:'%22rtdc.l.rtdc.4065%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661</v>
      </c>
      <c r="B40" s="7">
        <v>4024</v>
      </c>
      <c r="C40" s="21" t="s">
        <v>196</v>
      </c>
      <c r="D40" s="21" t="s">
        <v>421</v>
      </c>
      <c r="E40" s="13">
        <v>43002.287048611113</v>
      </c>
      <c r="F40" s="13">
        <v>43002.291875000003</v>
      </c>
      <c r="G40" s="7">
        <v>101</v>
      </c>
      <c r="H40" s="21" t="s">
        <v>459</v>
      </c>
      <c r="I40" s="13">
        <v>43002.316469907404</v>
      </c>
      <c r="J40" s="7">
        <v>0</v>
      </c>
      <c r="K40" s="89" t="str">
        <f t="shared" si="0"/>
        <v>4023/4024</v>
      </c>
      <c r="L40" s="185" t="str">
        <f>VLOOKUP(A40,'Trips&amp;Operators'!$C$1:$G$99911,5,FALSE)</f>
        <v>WILLIAMS DONTE</v>
      </c>
      <c r="M40" s="6">
        <f t="shared" si="1"/>
        <v>2.4594907401478849E-2</v>
      </c>
      <c r="N40" s="7">
        <f t="shared" si="22"/>
        <v>35.416666658129543</v>
      </c>
      <c r="O40" s="7"/>
      <c r="P40" s="7"/>
      <c r="Q40" s="22"/>
      <c r="R40" s="174"/>
      <c r="S40" s="221">
        <f t="shared" si="23"/>
        <v>1</v>
      </c>
      <c r="T40" s="174" t="str">
        <f t="shared" si="4"/>
        <v>NorthBound</v>
      </c>
      <c r="U40" s="198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16" t="str">
        <f t="shared" si="5"/>
        <v>https://d0f6bd738d7f1b3e5a7ca70fe4ff75f0.us-east-1.aws.found.io/app/kibana#/discover/Steve-Slow-Train-Analysis-(2080s-and-2083s)?_g=(refreshInterval:(display:Off,pause:!f,section:0,value:0),time:(from:'2017-09-24T05:53:21-0600',mode:absolute,to:'2017-09-24T08:35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40" s="204" t="str">
        <f>IF(AA40&lt;VLOOKUP(AG40,Variables!$AC$3:$AD$8,2,FALSE),"Y","N")</f>
        <v>N</v>
      </c>
      <c r="X40" s="204">
        <f t="shared" si="6"/>
        <v>1</v>
      </c>
      <c r="Y40" s="204">
        <f t="shared" si="7"/>
        <v>4.7500000000000001E-2</v>
      </c>
      <c r="Z40" s="204">
        <f t="shared" si="8"/>
        <v>23.328600000000002</v>
      </c>
      <c r="AA40" s="204">
        <f t="shared" si="9"/>
        <v>23.281100000000002</v>
      </c>
      <c r="AB40" s="54" t="e">
        <f>VLOOKUP(A40,Enforcements!$C$7:$K$11,8,0)</f>
        <v>#N/A</v>
      </c>
      <c r="AC40" s="51" t="e">
        <f>VLOOKUP(A40,Enforcements!$C$7:$E$11,3,0)</f>
        <v>#N/A</v>
      </c>
      <c r="AD40" s="179">
        <f t="shared" si="10"/>
        <v>127</v>
      </c>
      <c r="AE40" s="77" t="str">
        <f t="shared" si="11"/>
        <v>aws s3 cp s3://rtdc.mdm.uploadarchive.raw/RTDC4024/ "%USERPROFILE%\AppData\Local\Temp\OnboardLogs"\RTDC4024\2017-09-24 --exclude "*" --recursive --include "*20170924*" &amp; "%USERPROFILE%\Documents\GitHub\mrs-test-scripts\Headless Mode &amp; Sideloading\WalkAndUnGZ.bat" "%USERPROFILE%\AppData\Local\Temp\OnboardLogs"\RTDC4024\2017-09-24 &amp; aws s3 cp s3://rtdc.mdm.uploadarchive.raw/RTDC4024/ "%USERPROFILE%\AppData\Local\Temp\OnboardLogs"\RTDC4024\2017-09-25 --exclude "*" --recursive --include "*20170925*" &amp; "%USERPROFILE%\Documents\GitHub\mrs-test-scripts\Headless Mode &amp; Sideloading\WalkAndUnGZ.bat" "%USERPROFILE%\AppData\Local\Temp\OnboardLogs"\RTDC4024\2017-09-25</v>
      </c>
      <c r="AF40" s="74" t="str">
        <f t="shared" si="12"/>
        <v>"C:\Program Files (x86)\AstroGrep\AstroGrep.exe" /e /r /s /spath="%USERPROFILE%\AppData\Local\Temp\OnboardLogs" /stypes="app*4024*20170924*" /stext=" 13:.+((SYSTEM_STATE.+slice.+state.+changed )|(ment ac)|(multiple cpu faults)|(system.+state.+changed )|(\[timeout)|(PRM\|1\|D)|(kpr)|(kdp)|(train st.+moving)|(\|lc)|(penalty))"</v>
      </c>
      <c r="AG40" s="182" t="str">
        <f t="shared" si="13"/>
        <v>EC</v>
      </c>
      <c r="AH40" s="78" t="str">
        <f t="shared" si="18"/>
        <v>"%USERPROFILE%\Documents\GitHub\eaglep3\Utilities\RefineRTDCRunTimes.py" --tripid 127-24 --locoid 4024 --swversion DE.1.0.9.0 --startMP 204:475 --initTime 2017-09-24T06:53:21 --startdatetime 2017-09-24T07:00:18 --delay 101 --endMP 204:233286 --enddatetime 2017-09-24T07:35:43 --enforcementcount 0 &gt;&gt;c:\users\stu\Documents\GitHub\eaglep3-reporting\EC\2017-09-24-refined-times.txt</v>
      </c>
      <c r="AI40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{"issue":{"subject":"","project_id":79,"tracker_id":40,"status_id":1,"priority_id":2,"assigned_to_id":338,"start_date":"2017-09-24","description":"","custom_fields":[{"id":1,"name":"Subdivision","value":"EC"},{"id":4,"name":"Milepost","value":"23.3286"},{"id":17,"name":"Train ID","value":"127-24"},{"id":16,"name":"Locomotive ID","value":"4024"},{"id":130,"name":"Impact","value":""},{"id":150,"name":"Time of Event (Mountain Time)","value":"07:35:43"},{"id":151,"name":"Denver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2" t="str">
        <f t="shared" si="20"/>
        <v>start /low /b %USERPROFILE%\Documents\GitHub\eaglep3\Utilities\DownloadLogsFromS3.py --loco 4024 --day 2017-09-24</v>
      </c>
      <c r="AN40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13:35:43"},{"id":29,"name":"Sharepoint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168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Message%20ID',Summary),filters:!(),index:'emp_*',interval:auto,query:"&amp;"(query_string:(analyze_wildcard:!t,query:'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-09-24T05:53:21-0600',mode:absolute,to:'2017-09-24T08:35:43-0600'))&amp;_a=(columns:!('Message%20ID',Summary),filters:!(),index:'emp_*',interval:auto,query:(query_string:(analyze_wildcard:!t,query:'%22rtdc.l.rtdc.4024%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669</v>
      </c>
      <c r="B41" s="7">
        <v>4023</v>
      </c>
      <c r="C41" s="21" t="s">
        <v>196</v>
      </c>
      <c r="D41" s="21" t="s">
        <v>842</v>
      </c>
      <c r="E41" s="13">
        <v>43002.326238425929</v>
      </c>
      <c r="F41" s="13">
        <v>43002.331435185188</v>
      </c>
      <c r="G41" s="7">
        <v>81</v>
      </c>
      <c r="H41" s="21" t="s">
        <v>834</v>
      </c>
      <c r="I41" s="13">
        <v>43002.358287037037</v>
      </c>
      <c r="J41" s="7">
        <v>0</v>
      </c>
      <c r="K41" s="89" t="str">
        <f t="shared" si="0"/>
        <v>4023/4024</v>
      </c>
      <c r="L41" s="185" t="str">
        <f>VLOOKUP(A41,'Trips&amp;Operators'!$C$1:$G$99911,5,FALSE)</f>
        <v>WILLIAMS DONTE</v>
      </c>
      <c r="M41" s="6">
        <f t="shared" si="1"/>
        <v>2.6851851849642117E-2</v>
      </c>
      <c r="N41" s="7">
        <f t="shared" si="22"/>
        <v>38.666666663484648</v>
      </c>
      <c r="O41" s="7"/>
      <c r="P41" s="7"/>
      <c r="Q41" s="22"/>
      <c r="R41" s="174"/>
      <c r="S41" s="221">
        <f t="shared" si="23"/>
        <v>1</v>
      </c>
      <c r="T41" s="174" t="str">
        <f t="shared" si="4"/>
        <v>Southbound</v>
      </c>
      <c r="U41" s="198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16" t="str">
        <f t="shared" si="5"/>
        <v>https://d0f6bd738d7f1b3e5a7ca70fe4ff75f0.us-east-1.aws.found.io/app/kibana#/discover/Steve-Slow-Train-Analysis-(2080s-and-2083s)?_g=(refreshInterval:(display:Off,pause:!f,section:0,value:0),time:(from:'2017-09-24T06:49:47-0600',mode:absolute,to:'2017-09-24T09:35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1" s="204" t="str">
        <f>IF(AA41&lt;VLOOKUP(AG41,Variables!$AC$3:$AD$8,2,FALSE),"Y","N")</f>
        <v>N</v>
      </c>
      <c r="X41" s="204">
        <f t="shared" si="6"/>
        <v>1</v>
      </c>
      <c r="Y41" s="204">
        <f t="shared" si="7"/>
        <v>23.2959</v>
      </c>
      <c r="Z41" s="204">
        <f t="shared" si="8"/>
        <v>1.6500000000000001E-2</v>
      </c>
      <c r="AA41" s="204">
        <f t="shared" si="9"/>
        <v>23.279399999999999</v>
      </c>
      <c r="AB41" s="54" t="e">
        <f>VLOOKUP(A41,Enforcements!$C$7:$K$11,8,0)</f>
        <v>#N/A</v>
      </c>
      <c r="AC41" s="51" t="e">
        <f>VLOOKUP(A41,Enforcements!$C$7:$E$11,3,0)</f>
        <v>#N/A</v>
      </c>
      <c r="AD41" s="179">
        <f t="shared" si="10"/>
        <v>128</v>
      </c>
      <c r="AE41" s="77" t="str">
        <f t="shared" si="11"/>
        <v>aws s3 cp s3://rtdc.mdm.uploadarchive.raw/RTDC4023/ "%USERPROFILE%\AppData\Local\Temp\OnboardLogs"\RTDC4023\2017-09-24 --exclude "*" --recursive --include "*20170924*" &amp; "%USERPROFILE%\Documents\GitHub\mrs-test-scripts\Headless Mode &amp; Sideloading\WalkAndUnGZ.bat" "%USERPROFILE%\AppData\Local\Temp\OnboardLogs"\RTDC4023\2017-09-24 &amp; aws s3 cp s3://rtdc.mdm.uploadarchive.raw/RTDC4023/ "%USERPROFILE%\AppData\Local\Temp\OnboardLogs"\RTDC4023\2017-09-25 --exclude "*" --recursive --include "*20170925*" &amp; "%USERPROFILE%\Documents\GitHub\mrs-test-scripts\Headless Mode &amp; Sideloading\WalkAndUnGZ.bat" "%USERPROFILE%\AppData\Local\Temp\OnboardLogs"\RTDC4023\2017-09-25</v>
      </c>
      <c r="AF41" s="74" t="str">
        <f t="shared" si="12"/>
        <v>"C:\Program Files (x86)\AstroGrep\AstroGrep.exe" /e /r /s /spath="%USERPROFILE%\AppData\Local\Temp\OnboardLogs" /stypes="app*4023*20170924*" /stext=" 14:.+((SYSTEM_STATE.+slice.+state.+changed )|(ment ac)|(multiple cpu faults)|(system.+state.+changed )|(\[timeout)|(PRM\|1\|D)|(kpr)|(kdp)|(train st.+moving)|(\|lc)|(penalty))"</v>
      </c>
      <c r="AG41" s="182" t="str">
        <f t="shared" si="13"/>
        <v>EC</v>
      </c>
      <c r="AH41" s="78" t="str">
        <f t="shared" si="18"/>
        <v>"%USERPROFILE%\Documents\GitHub\eaglep3\Utilities\RefineRTDCRunTimes.py" --tripid 128-24 --locoid 4023 --swversion DE.1.0.9.0 --startMP 204:232959 --initTime 2017-09-24T07:49:47 --startdatetime 2017-09-24T07:57:16 --delay 81 --endMP 204:165 --enddatetime 2017-09-24T08:35:56 --enforcementcount 0 &gt;&gt;c:\users\stu\Documents\GitHub\eaglep3-reporting\EC\2017-09-24-refined-times.txt</v>
      </c>
      <c r="AI41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{"issue":{"subject":"","project_id":79,"tracker_id":40,"status_id":1,"priority_id":2,"assigned_to_id":338,"start_date":"2017-09-24","description":"","custom_fields":[{"id":1,"name":"Subdivision","value":"EC"},{"id":4,"name":"Milepost","value":"0.0165"},{"id":17,"name":"Train ID","value":"128-24"},{"id":16,"name":"Locomotive ID","value":"4023"},{"id":130,"name":"Impact","value":""},{"id":150,"name":"Time of Event (Mountain Time)","value":"08:35:56"},{"id":151,"name":"Denver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2" t="str">
        <f t="shared" si="20"/>
        <v>start /low /b %USERPROFILE%\Documents\GitHub\eaglep3\Utilities\DownloadLogsFromS3.py --loco 4023 --day 2017-09-24</v>
      </c>
      <c r="AN41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14:35:56"},{"id":29,"name":"Sharepoint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168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Message%20ID',Summary),filters:!(),index:'emp_*',interval:auto,query:"&amp;"(query_string:(analyze_wildcard:!t,query:'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-09-24T06:49:47-0600',mode:absolute,to:'2017-09-24T09:35:56-0600'))&amp;_a=(columns:!('Message%20ID',Summary),filters:!(),index:'emp_*',interval:auto,query:(query_string:(analyze_wildcard:!t,query:'%22rtdc.l.rtdc.4023%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665</v>
      </c>
      <c r="B42" s="7">
        <v>4064</v>
      </c>
      <c r="C42" s="21" t="s">
        <v>196</v>
      </c>
      <c r="D42" s="21" t="s">
        <v>843</v>
      </c>
      <c r="E42" s="13">
        <v>43002.298391203702</v>
      </c>
      <c r="F42" s="13">
        <v>43002.302453703705</v>
      </c>
      <c r="G42" s="7">
        <v>52</v>
      </c>
      <c r="H42" s="21" t="s">
        <v>446</v>
      </c>
      <c r="I42" s="13">
        <v>43002.328981481478</v>
      </c>
      <c r="J42" s="7">
        <v>0</v>
      </c>
      <c r="K42" s="89" t="str">
        <f t="shared" si="0"/>
        <v>4063/4064</v>
      </c>
      <c r="L42" s="185" t="str">
        <f>VLOOKUP(A42,'Trips&amp;Operators'!$C$1:$G$99911,5,FALSE)</f>
        <v>LANGERAK WILLIAM</v>
      </c>
      <c r="M42" s="6">
        <f t="shared" si="1"/>
        <v>2.6527777772571426E-2</v>
      </c>
      <c r="N42" s="7">
        <f t="shared" si="22"/>
        <v>38.199999992502853</v>
      </c>
      <c r="O42" s="7"/>
      <c r="P42" s="7"/>
      <c r="Q42" s="22"/>
      <c r="R42" s="174"/>
      <c r="S42" s="221">
        <f t="shared" si="23"/>
        <v>1</v>
      </c>
      <c r="T42" s="174" t="str">
        <f t="shared" si="4"/>
        <v>NorthBound</v>
      </c>
      <c r="U42" s="198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16" t="str">
        <f t="shared" si="5"/>
        <v>https://d0f6bd738d7f1b3e5a7ca70fe4ff75f0.us-east-1.aws.found.io/app/kibana#/discover/Steve-Slow-Train-Analysis-(2080s-and-2083s)?_g=(refreshInterval:(display:Off,pause:!f,section:0,value:0),time:(from:'2017-09-24T06:09:41-0600',mode:absolute,to:'2017-09-24T08:53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2" s="204" t="str">
        <f>IF(AA42&lt;VLOOKUP(AG42,Variables!$AC$3:$AD$8,2,FALSE),"Y","N")</f>
        <v>N</v>
      </c>
      <c r="X42" s="204">
        <f t="shared" si="6"/>
        <v>1</v>
      </c>
      <c r="Y42" s="204">
        <f t="shared" si="7"/>
        <v>4.7699999999999999E-2</v>
      </c>
      <c r="Z42" s="204">
        <f t="shared" si="8"/>
        <v>23.329499999999999</v>
      </c>
      <c r="AA42" s="204">
        <f t="shared" si="9"/>
        <v>23.2818</v>
      </c>
      <c r="AB42" s="54" t="e">
        <f>VLOOKUP(A42,Enforcements!$C$7:$K$11,8,0)</f>
        <v>#N/A</v>
      </c>
      <c r="AC42" s="51" t="e">
        <f>VLOOKUP(A42,Enforcements!$C$7:$E$11,3,0)</f>
        <v>#N/A</v>
      </c>
      <c r="AD42" s="179">
        <f t="shared" si="10"/>
        <v>129</v>
      </c>
      <c r="AE42" s="77" t="str">
        <f t="shared" si="11"/>
        <v>aws s3 cp s3://rtdc.mdm.uploadarchive.raw/RTDC4064/ "%USERPROFILE%\AppData\Local\Temp\OnboardLogs"\RTDC4064\2017-09-24 --exclude "*" --recursive --include "*20170924*" &amp; "%USERPROFILE%\Documents\GitHub\mrs-test-scripts\Headless Mode &amp; Sideloading\WalkAndUnGZ.bat" "%USERPROFILE%\AppData\Local\Temp\OnboardLogs"\RTDC4064\2017-09-24 &amp; aws s3 cp s3://rtdc.mdm.uploadarchive.raw/RTDC4064/ "%USERPROFILE%\AppData\Local\Temp\OnboardLogs"\RTDC4064\2017-09-25 --exclude "*" --recursive --include "*20170925*" &amp; "%USERPROFILE%\Documents\GitHub\mrs-test-scripts\Headless Mode &amp; Sideloading\WalkAndUnGZ.bat" "%USERPROFILE%\AppData\Local\Temp\OnboardLogs"\RTDC4064\2017-09-25</v>
      </c>
      <c r="AF42" s="74" t="str">
        <f t="shared" si="12"/>
        <v>"C:\Program Files (x86)\AstroGrep\AstroGrep.exe" /e /r /s /spath="%USERPROFILE%\AppData\Local\Temp\OnboardLogs" /stypes="app*4064*20170924*" /stext=" 13:.+((SYSTEM_STATE.+slice.+state.+changed )|(ment ac)|(multiple cpu faults)|(system.+state.+changed )|(\[timeout)|(PRM\|1\|D)|(kpr)|(kdp)|(train st.+moving)|(\|lc)|(penalty))"</v>
      </c>
      <c r="AG42" s="182" t="str">
        <f t="shared" si="13"/>
        <v>EC</v>
      </c>
      <c r="AH42" s="78" t="str">
        <f t="shared" si="18"/>
        <v>"%USERPROFILE%\Documents\GitHub\eaglep3\Utilities\RefineRTDCRunTimes.py" --tripid 129-24 --locoid 4064 --swversion DE.1.0.9.0 --startMP 204:477 --initTime 2017-09-24T07:09:41 --startdatetime 2017-09-24T07:15:32 --delay 52 --endMP 204:233295 --enddatetime 2017-09-24T07:53:44 --enforcementcount 0 &gt;&gt;c:\users\stu\Documents\GitHub\eaglep3-reporting\EC\2017-09-24-refined-times.txt</v>
      </c>
      <c r="AI42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{"issue":{"subject":"","project_id":79,"tracker_id":40,"status_id":1,"priority_id":2,"assigned_to_id":338,"start_date":"2017-09-24","description":"","custom_fields":[{"id":1,"name":"Subdivision","value":"EC"},{"id":4,"name":"Milepost","value":"23.3295"},{"id":17,"name":"Train ID","value":"129-24"},{"id":16,"name":"Locomotive ID","value":"4064"},{"id":130,"name":"Impact","value":""},{"id":150,"name":"Time of Event (Mountain Time)","value":"07:53:44"},{"id":151,"name":"Denver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2" t="str">
        <f t="shared" si="20"/>
        <v>start /low /b %USERPROFILE%\Documents\GitHub\eaglep3\Utilities\DownloadLogsFromS3.py --loco 4064 --day 2017-09-24</v>
      </c>
      <c r="AN42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13:53:44"},{"id":29,"name":"Sharepoint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168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Message%20ID',Summary),filters:!(),index:'emp_*',interval:auto,query:"&amp;"(query_string:(analyze_wildcard:!t,query:'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-09-24T06:09:41-0600',mode:absolute,to:'2017-09-24T08:53:44-0600'))&amp;_a=(columns:!('Message%20ID',Summary),filters:!(),index:'emp_*',interval:auto,query:(query_string:(analyze_wildcard:!t,query:'%22rtdc.l.rtdc.4064%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671</v>
      </c>
      <c r="B43" s="7">
        <v>4063</v>
      </c>
      <c r="C43" s="21" t="s">
        <v>196</v>
      </c>
      <c r="D43" s="21" t="s">
        <v>402</v>
      </c>
      <c r="E43" s="13">
        <v>43002.330451388887</v>
      </c>
      <c r="F43" s="13">
        <v>43002.341851851852</v>
      </c>
      <c r="G43" s="7">
        <v>57</v>
      </c>
      <c r="H43" s="21" t="s">
        <v>401</v>
      </c>
      <c r="I43" s="13">
        <v>43002.369363425925</v>
      </c>
      <c r="J43" s="7">
        <v>0</v>
      </c>
      <c r="K43" s="89" t="str">
        <f t="shared" si="0"/>
        <v>4063/4064</v>
      </c>
      <c r="L43" s="185" t="str">
        <f>VLOOKUP(A43,'Trips&amp;Operators'!$C$1:$G$99911,5,FALSE)</f>
        <v>LANGERAK WILLIAM</v>
      </c>
      <c r="M43" s="6">
        <f t="shared" si="1"/>
        <v>2.7511574073287193E-2</v>
      </c>
      <c r="N43" s="7">
        <f t="shared" si="22"/>
        <v>39.616666665533558</v>
      </c>
      <c r="O43" s="7"/>
      <c r="P43" s="7"/>
      <c r="Q43" s="22"/>
      <c r="R43" s="174"/>
      <c r="S43" s="221">
        <f t="shared" si="23"/>
        <v>1</v>
      </c>
      <c r="T43" s="174" t="str">
        <f t="shared" si="4"/>
        <v>Southbound</v>
      </c>
      <c r="U43" s="198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16" t="str">
        <f t="shared" si="5"/>
        <v>https://d0f6bd738d7f1b3e5a7ca70fe4ff75f0.us-east-1.aws.found.io/app/kibana#/discover/Steve-Slow-Train-Analysis-(2080s-and-2083s)?_g=(refreshInterval:(display:Off,pause:!f,section:0,value:0),time:(from:'2017-09-24T06:55:51-0600',mode:absolute,to:'2017-09-24T09:51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43" s="204" t="str">
        <f>IF(AA43&lt;VLOOKUP(AG43,Variables!$AC$3:$AD$8,2,FALSE),"Y","N")</f>
        <v>N</v>
      </c>
      <c r="X43" s="204">
        <f t="shared" si="6"/>
        <v>1</v>
      </c>
      <c r="Y43" s="204">
        <f t="shared" si="7"/>
        <v>23.298100000000002</v>
      </c>
      <c r="Z43" s="204">
        <f t="shared" si="8"/>
        <v>1.54E-2</v>
      </c>
      <c r="AA43" s="204">
        <f t="shared" si="9"/>
        <v>23.282700000000002</v>
      </c>
      <c r="AB43" s="54" t="e">
        <f>VLOOKUP(A43,Enforcements!$C$7:$K$11,8,0)</f>
        <v>#N/A</v>
      </c>
      <c r="AC43" s="51" t="e">
        <f>VLOOKUP(A43,Enforcements!$C$7:$E$11,3,0)</f>
        <v>#N/A</v>
      </c>
      <c r="AD43" s="179">
        <f t="shared" si="10"/>
        <v>130</v>
      </c>
      <c r="AE43" s="77" t="str">
        <f t="shared" si="11"/>
        <v>aws s3 cp s3://rtdc.mdm.uploadarchive.raw/RTDC4063/ "%USERPROFILE%\AppData\Local\Temp\OnboardLogs"\RTDC4063\2017-09-24 --exclude "*" --recursive --include "*20170924*" &amp; "%USERPROFILE%\Documents\GitHub\mrs-test-scripts\Headless Mode &amp; Sideloading\WalkAndUnGZ.bat" "%USERPROFILE%\AppData\Local\Temp\OnboardLogs"\RTDC4063\2017-09-24 &amp; aws s3 cp s3://rtdc.mdm.uploadarchive.raw/RTDC4063/ "%USERPROFILE%\AppData\Local\Temp\OnboardLogs"\RTDC4063\2017-09-25 --exclude "*" --recursive --include "*20170925*" &amp; "%USERPROFILE%\Documents\GitHub\mrs-test-scripts\Headless Mode &amp; Sideloading\WalkAndUnGZ.bat" "%USERPROFILE%\AppData\Local\Temp\OnboardLogs"\RTDC4063\2017-09-25</v>
      </c>
      <c r="AF43" s="74" t="str">
        <f t="shared" si="12"/>
        <v>"C:\Program Files (x86)\AstroGrep\AstroGrep.exe" /e /r /s /spath="%USERPROFILE%\AppData\Local\Temp\OnboardLogs" /stypes="app*4063*20170924*" /stext=" 14:.+((SYSTEM_STATE.+slice.+state.+changed )|(ment ac)|(multiple cpu faults)|(system.+state.+changed )|(\[timeout)|(PRM\|1\|D)|(kpr)|(kdp)|(train st.+moving)|(\|lc)|(penalty))"</v>
      </c>
      <c r="AG43" s="182" t="str">
        <f t="shared" si="13"/>
        <v>EC</v>
      </c>
      <c r="AH43" s="78" t="str">
        <f t="shared" si="18"/>
        <v>"%USERPROFILE%\Documents\GitHub\eaglep3\Utilities\RefineRTDCRunTimes.py" --tripid 130-24 --locoid 4063 --swversion DE.1.0.9.0 --startMP 204:232981 --initTime 2017-09-24T07:55:51 --startdatetime 2017-09-24T08:12:16 --delay 57 --endMP 204:154 --enddatetime 2017-09-24T08:51:53 --enforcementcount 0 &gt;&gt;c:\users\stu\Documents\GitHub\eaglep3-reporting\EC\2017-09-24-refined-times.txt</v>
      </c>
      <c r="AI43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{"issue":{"subject":"","project_id":79,"tracker_id":40,"status_id":1,"priority_id":2,"assigned_to_id":338,"start_date":"2017-09-24","description":"","custom_fields":[{"id":1,"name":"Subdivision","value":"EC"},{"id":4,"name":"Milepost","value":"0.0154"},{"id":17,"name":"Train ID","value":"130-24"},{"id":16,"name":"Locomotive ID","value":"4063"},{"id":130,"name":"Impact","value":""},{"id":150,"name":"Time of Event (Mountain Time)","value":"08:51:53"},{"id":151,"name":"Denver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2" t="str">
        <f t="shared" si="20"/>
        <v>start /low /b %USERPROFILE%\Documents\GitHub\eaglep3\Utilities\DownloadLogsFromS3.py --loco 4063 --day 2017-09-24</v>
      </c>
      <c r="AN43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14:51:53"},{"id":29,"name":"Sharepoint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168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Message%20ID',Summary),filters:!(),index:'emp_*',interval:auto,query:"&amp;"(query_string:(analyze_wildcard:!t,query:'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-09-24T06:55:51-0600',mode:absolute,to:'2017-09-24T09:51:53-0600'))&amp;_a=(columns:!('Message%20ID',Summary),filters:!(),index:'emp_*',interval:auto,query:(query_string:(analyze_wildcard:!t,query:'%22rtdc.l.rtdc.4063%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666</v>
      </c>
      <c r="B44" s="7">
        <v>4018</v>
      </c>
      <c r="C44" s="21" t="s">
        <v>196</v>
      </c>
      <c r="D44" s="21" t="s">
        <v>844</v>
      </c>
      <c r="E44" s="13">
        <v>43002.309918981482</v>
      </c>
      <c r="F44" s="13">
        <v>43002.312685185185</v>
      </c>
      <c r="G44" s="7">
        <v>52</v>
      </c>
      <c r="H44" s="21" t="s">
        <v>845</v>
      </c>
      <c r="I44" s="13">
        <v>43002.337523148148</v>
      </c>
      <c r="J44" s="7">
        <v>0</v>
      </c>
      <c r="K44" s="89" t="str">
        <f t="shared" si="0"/>
        <v>4017/4018</v>
      </c>
      <c r="L44" s="185" t="str">
        <f>VLOOKUP(A44,'Trips&amp;Operators'!$C$1:$G$99911,5,FALSE)</f>
        <v>LAMAR NEKESHA</v>
      </c>
      <c r="M44" s="6">
        <f t="shared" si="1"/>
        <v>2.4837962962919846E-2</v>
      </c>
      <c r="N44" s="7">
        <f t="shared" si="22"/>
        <v>35.766666666604578</v>
      </c>
      <c r="O44" s="7"/>
      <c r="P44" s="7"/>
      <c r="Q44" s="22"/>
      <c r="R44" s="174"/>
      <c r="S44" s="221">
        <f t="shared" si="23"/>
        <v>1</v>
      </c>
      <c r="T44" s="174" t="str">
        <f t="shared" si="4"/>
        <v>NorthBound</v>
      </c>
      <c r="U44" s="198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16" t="str">
        <f t="shared" si="5"/>
        <v>https://d0f6bd738d7f1b3e5a7ca70fe4ff75f0.us-east-1.aws.found.io/app/kibana#/discover/Steve-Slow-Train-Analysis-(2080s-and-2083s)?_g=(refreshInterval:(display:Off,pause:!f,section:0,value:0),time:(from:'2017-09-24T06:26:17-0600',mode:absolute,to:'2017-09-24T09:06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4" s="204" t="str">
        <f>IF(AA44&lt;VLOOKUP(AG44,Variables!$AC$3:$AD$8,2,FALSE),"Y","N")</f>
        <v>N</v>
      </c>
      <c r="X44" s="204">
        <f t="shared" si="6"/>
        <v>1</v>
      </c>
      <c r="Y44" s="204">
        <f t="shared" si="7"/>
        <v>4.9700000000000001E-2</v>
      </c>
      <c r="Z44" s="204">
        <f t="shared" si="8"/>
        <v>23.3276</v>
      </c>
      <c r="AA44" s="204">
        <f t="shared" si="9"/>
        <v>23.277899999999999</v>
      </c>
      <c r="AB44" s="54" t="e">
        <f>VLOOKUP(A44,Enforcements!$C$7:$K$11,8,0)</f>
        <v>#N/A</v>
      </c>
      <c r="AC44" s="51" t="e">
        <f>VLOOKUP(A44,Enforcements!$C$7:$E$11,3,0)</f>
        <v>#N/A</v>
      </c>
      <c r="AD44" s="179">
        <f t="shared" si="10"/>
        <v>131</v>
      </c>
      <c r="AE44" s="77" t="str">
        <f t="shared" si="11"/>
        <v>aws s3 cp s3://rtdc.mdm.uploadarchive.raw/RTDC4018/ "%USERPROFILE%\AppData\Local\Temp\OnboardLogs"\RTDC4018\2017-09-24 --exclude "*" --recursive --include "*20170924*" &amp; "%USERPROFILE%\Documents\GitHub\mrs-test-scripts\Headless Mode &amp; Sideloading\WalkAndUnGZ.bat" "%USERPROFILE%\AppData\Local\Temp\OnboardLogs"\RTDC4018\2017-09-24 &amp; aws s3 cp s3://rtdc.mdm.uploadarchive.raw/RTDC4018/ "%USERPROFILE%\AppData\Local\Temp\OnboardLogs"\RTDC4018\2017-09-25 --exclude "*" --recursive --include "*20170925*" &amp; "%USERPROFILE%\Documents\GitHub\mrs-test-scripts\Headless Mode &amp; Sideloading\WalkAndUnGZ.bat" "%USERPROFILE%\AppData\Local\Temp\OnboardLogs"\RTDC4018\2017-09-25</v>
      </c>
      <c r="AF44" s="74" t="str">
        <f t="shared" si="12"/>
        <v>"C:\Program Files (x86)\AstroGrep\AstroGrep.exe" /e /r /s /spath="%USERPROFILE%\AppData\Local\Temp\OnboardLogs" /stypes="app*4018*20170924*" /stext=" 14:.+((SYSTEM_STATE.+slice.+state.+changed )|(ment ac)|(multiple cpu faults)|(system.+state.+changed )|(\[timeout)|(PRM\|1\|D)|(kpr)|(kdp)|(train st.+moving)|(\|lc)|(penalty))"</v>
      </c>
      <c r="AG44" s="182" t="str">
        <f t="shared" si="13"/>
        <v>EC</v>
      </c>
      <c r="AH44" s="78" t="str">
        <f t="shared" si="18"/>
        <v>"%USERPROFILE%\Documents\GitHub\eaglep3\Utilities\RefineRTDCRunTimes.py" --tripid 131-24 --locoid 4018 --swversion DE.1.0.9.0 --startMP 204:497 --initTime 2017-09-24T07:26:17 --startdatetime 2017-09-24T07:30:16 --delay 52 --endMP 204:233276 --enddatetime 2017-09-24T08:06:02 --enforcementcount 0 &gt;&gt;c:\users\stu\Documents\GitHub\eaglep3-reporting\EC\2017-09-24-refined-times.txt</v>
      </c>
      <c r="AI44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{"issue":{"subject":"","project_id":79,"tracker_id":40,"status_id":1,"priority_id":2,"assigned_to_id":338,"start_date":"2017-09-24","description":"","custom_fields":[{"id":1,"name":"Subdivision","value":"EC"},{"id":4,"name":"Milepost","value":"23.3276"},{"id":17,"name":"Train ID","value":"131-24"},{"id":16,"name":"Locomotive ID","value":"4018"},{"id":130,"name":"Impact","value":""},{"id":150,"name":"Time of Event (Mountain Time)","value":"08:06:02"},{"id":151,"name":"Denver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2" t="str">
        <f t="shared" si="20"/>
        <v>start /low /b %USERPROFILE%\Documents\GitHub\eaglep3\Utilities\DownloadLogsFromS3.py --loco 4018 --day 2017-09-24</v>
      </c>
      <c r="AN44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14:06:02"},{"id":29,"name":"Sharepoint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168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Message%20ID',Summary),filters:!(),index:'emp_*',interval:auto,query:"&amp;"(query_string:(analyze_wildcard:!t,query:'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-09-24T06:26:17-0600',mode:absolute,to:'2017-09-24T09:06:02-0600'))&amp;_a=(columns:!('Message%20ID',Summary),filters:!(),index:'emp_*',interval:auto,query:(query_string:(analyze_wildcard:!t,query:'%22rtdc.l.rtdc.4018%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674</v>
      </c>
      <c r="B45" s="7">
        <v>4017</v>
      </c>
      <c r="C45" s="21" t="s">
        <v>196</v>
      </c>
      <c r="D45" s="21" t="s">
        <v>501</v>
      </c>
      <c r="E45" s="13">
        <v>43002.349548611113</v>
      </c>
      <c r="F45" s="13">
        <v>43002.352256944447</v>
      </c>
      <c r="G45" s="7">
        <v>54</v>
      </c>
      <c r="H45" s="21" t="s">
        <v>366</v>
      </c>
      <c r="I45" s="13">
        <v>43002.377754629626</v>
      </c>
      <c r="J45" s="7">
        <v>0</v>
      </c>
      <c r="K45" s="89" t="str">
        <f t="shared" si="0"/>
        <v>4017/4018</v>
      </c>
      <c r="L45" s="185" t="str">
        <f>VLOOKUP(A45,'Trips&amp;Operators'!$C$1:$G$99911,5,FALSE)</f>
        <v>LAMAR NEKESHA</v>
      </c>
      <c r="M45" s="6">
        <f t="shared" si="1"/>
        <v>2.5497685179288965E-2</v>
      </c>
      <c r="N45" s="7">
        <f t="shared" si="22"/>
        <v>36.716666658176109</v>
      </c>
      <c r="O45" s="7"/>
      <c r="P45" s="7"/>
      <c r="Q45" s="22"/>
      <c r="R45" s="174"/>
      <c r="S45" s="221">
        <f t="shared" si="23"/>
        <v>1</v>
      </c>
      <c r="T45" s="174" t="str">
        <f t="shared" si="4"/>
        <v>Southbound</v>
      </c>
      <c r="U45" s="198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16" t="str">
        <f t="shared" si="5"/>
        <v>https://d0f6bd738d7f1b3e5a7ca70fe4ff75f0.us-east-1.aws.found.io/app/kibana#/discover/Steve-Slow-Train-Analysis-(2080s-and-2083s)?_g=(refreshInterval:(display:Off,pause:!f,section:0,value:0),time:(from:'2017-09-24T07:23:21-0600',mode:absolute,to:'2017-09-24T10:03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5" s="204" t="str">
        <f>IF(AA45&lt;VLOOKUP(AG45,Variables!$AC$3:$AD$8,2,FALSE),"Y","N")</f>
        <v>N</v>
      </c>
      <c r="X45" s="204">
        <f t="shared" ref="X45:X76" si="24">VALUE(LEFT(AD45,4))-VALUE(LEFT(AD44,4))</f>
        <v>1</v>
      </c>
      <c r="Y45" s="204">
        <f t="shared" ref="Y45:Y76" si="25">RIGHT(D45,LEN(D45)-4)/10000</f>
        <v>23.296900000000001</v>
      </c>
      <c r="Z45" s="204">
        <f t="shared" ref="Z45:Z76" si="26">RIGHT(H45,LEN(H45)-4)/10000</f>
        <v>1.5599999999999999E-2</v>
      </c>
      <c r="AA45" s="204">
        <f t="shared" si="9"/>
        <v>23.281300000000002</v>
      </c>
      <c r="AB45" s="54" t="e">
        <f>VLOOKUP(A45,Enforcements!$C$7:$K$11,8,0)</f>
        <v>#N/A</v>
      </c>
      <c r="AC45" s="51" t="e">
        <f>VLOOKUP(A45,Enforcements!$C$7:$E$11,3,0)</f>
        <v>#N/A</v>
      </c>
      <c r="AD45" s="179">
        <f t="shared" si="10"/>
        <v>132</v>
      </c>
      <c r="AE45" s="77" t="str">
        <f t="shared" si="11"/>
        <v>aws s3 cp s3://rtdc.mdm.uploadarchive.raw/RTDC4017/ "%USERPROFILE%\AppData\Local\Temp\OnboardLogs"\RTDC4017\2017-09-24 --exclude "*" --recursive --include "*20170924*" &amp; "%USERPROFILE%\Documents\GitHub\mrs-test-scripts\Headless Mode &amp; Sideloading\WalkAndUnGZ.bat" "%USERPROFILE%\AppData\Local\Temp\OnboardLogs"\RTDC4017\2017-09-24 &amp; aws s3 cp s3://rtdc.mdm.uploadarchive.raw/RTDC4017/ "%USERPROFILE%\AppData\Local\Temp\OnboardLogs"\RTDC4017\2017-09-25 --exclude "*" --recursive --include "*20170925*" &amp; "%USERPROFILE%\Documents\GitHub\mrs-test-scripts\Headless Mode &amp; Sideloading\WalkAndUnGZ.bat" "%USERPROFILE%\AppData\Local\Temp\OnboardLogs"\RTDC4017\2017-09-25</v>
      </c>
      <c r="AF45" s="74" t="str">
        <f t="shared" si="12"/>
        <v>"C:\Program Files (x86)\AstroGrep\AstroGrep.exe" /e /r /s /spath="%USERPROFILE%\AppData\Local\Temp\OnboardLogs" /stypes="app*4017*20170924*" /stext=" 15:.+((SYSTEM_STATE.+slice.+state.+changed )|(ment ac)|(multiple cpu faults)|(system.+state.+changed )|(\[timeout)|(PRM\|1\|D)|(kpr)|(kdp)|(train st.+moving)|(\|lc)|(penalty))"</v>
      </c>
      <c r="AG45" s="182" t="str">
        <f t="shared" si="13"/>
        <v>EC</v>
      </c>
      <c r="AH45" s="78" t="str">
        <f t="shared" si="18"/>
        <v>"%USERPROFILE%\Documents\GitHub\eaglep3\Utilities\RefineRTDCRunTimes.py" --tripid 132-24 --locoid 4017 --swversion DE.1.0.9.0 --startMP 204:232969 --initTime 2017-09-24T08:23:21 --startdatetime 2017-09-24T08:27:15 --delay 54 --endMP 204:156 --enddatetime 2017-09-24T09:03:58 --enforcementcount 0 &gt;&gt;c:\users\stu\Documents\GitHub\eaglep3-reporting\EC\2017-09-24-refined-times.txt</v>
      </c>
      <c r="AI45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{"issue":{"subject":"","project_id":79,"tracker_id":40,"status_id":1,"priority_id":2,"assigned_to_id":338,"start_date":"2017-09-24","description":"","custom_fields":[{"id":1,"name":"Subdivision","value":"EC"},{"id":4,"name":"Milepost","value":"0.0156"},{"id":17,"name":"Train ID","value":"132-24"},{"id":16,"name":"Locomotive ID","value":"4017"},{"id":130,"name":"Impact","value":""},{"id":150,"name":"Time of Event (Mountain Time)","value":"09:03:58"},{"id":151,"name":"Denver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2" t="str">
        <f t="shared" si="20"/>
        <v>start /low /b %USERPROFILE%\Documents\GitHub\eaglep3\Utilities\DownloadLogsFromS3.py --loco 4017 --day 2017-09-24</v>
      </c>
      <c r="AN45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15:03:58"},{"id":29,"name":"Sharepoint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168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Message%20ID',Summary),filters:!(),index:'emp_*',interval:auto,query:"&amp;"(query_string:(analyze_wildcard:!t,query:'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-09-24T07:23:21-0600',mode:absolute,to:'2017-09-24T10:03:58-0600'))&amp;_a=(columns:!('Message%20ID',Summary),filters:!(),index:'emp_*',interval:auto,query:(query_string:(analyze_wildcard:!t,query:'%22rtdc.l.rtdc.4017%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668</v>
      </c>
      <c r="B46" s="7">
        <v>4046</v>
      </c>
      <c r="C46" s="21" t="s">
        <v>196</v>
      </c>
      <c r="D46" s="21" t="s">
        <v>359</v>
      </c>
      <c r="E46" s="13">
        <v>43002.319120370368</v>
      </c>
      <c r="F46" s="13">
        <v>43002.32309027778</v>
      </c>
      <c r="G46" s="7">
        <v>74</v>
      </c>
      <c r="H46" s="21" t="s">
        <v>444</v>
      </c>
      <c r="I46" s="13">
        <v>43002.349004629628</v>
      </c>
      <c r="J46" s="7">
        <v>0</v>
      </c>
      <c r="K46" s="89" t="str">
        <f t="shared" si="0"/>
        <v>4045/4046</v>
      </c>
      <c r="L46" s="185" t="str">
        <f>VLOOKUP(A46,'Trips&amp;Operators'!$C$1:$G$99911,5,FALSE)</f>
        <v>DAVIS WENDY</v>
      </c>
      <c r="M46" s="6">
        <f t="shared" si="1"/>
        <v>2.5914351848769002E-2</v>
      </c>
      <c r="N46" s="7">
        <f t="shared" si="22"/>
        <v>37.316666662227362</v>
      </c>
      <c r="O46" s="7"/>
      <c r="P46" s="7"/>
      <c r="Q46" s="22"/>
      <c r="R46" s="174"/>
      <c r="S46" s="221">
        <f t="shared" si="23"/>
        <v>1</v>
      </c>
      <c r="T46" s="174" t="str">
        <f t="shared" si="4"/>
        <v>NorthBound</v>
      </c>
      <c r="U46" s="198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16" t="str">
        <f t="shared" si="5"/>
        <v>https://d0f6bd738d7f1b3e5a7ca70fe4ff75f0.us-east-1.aws.found.io/app/kibana#/discover/Steve-Slow-Train-Analysis-(2080s-and-2083s)?_g=(refreshInterval:(display:Off,pause:!f,section:0,value:0),time:(from:'2017-09-24T06:39:32-0600',mode:absolute,to:'2017-09-24T09:22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6" s="204" t="str">
        <f>IF(AA46&lt;VLOOKUP(AG46,Variables!$AC$3:$AD$8,2,FALSE),"Y","N")</f>
        <v>N</v>
      </c>
      <c r="X46" s="204">
        <f t="shared" si="24"/>
        <v>1</v>
      </c>
      <c r="Y46" s="204">
        <f t="shared" si="25"/>
        <v>4.4900000000000002E-2</v>
      </c>
      <c r="Z46" s="204">
        <f t="shared" si="26"/>
        <v>23.3306</v>
      </c>
      <c r="AA46" s="204">
        <f t="shared" si="9"/>
        <v>23.285700000000002</v>
      </c>
      <c r="AB46" s="54" t="e">
        <f>VLOOKUP(A46,Enforcements!$C$7:$K$11,8,0)</f>
        <v>#N/A</v>
      </c>
      <c r="AC46" s="51" t="e">
        <f>VLOOKUP(A46,Enforcements!$C$7:$E$11,3,0)</f>
        <v>#N/A</v>
      </c>
      <c r="AD46" s="179">
        <f t="shared" si="10"/>
        <v>133</v>
      </c>
      <c r="AE46" s="77" t="str">
        <f t="shared" si="11"/>
        <v>aws s3 cp s3://rtdc.mdm.uploadarchive.raw/RTDC4046/ "%USERPROFILE%\AppData\Local\Temp\OnboardLogs"\RTDC4046\2017-09-24 --exclude "*" --recursive --include "*20170924*" &amp; "%USERPROFILE%\Documents\GitHub\mrs-test-scripts\Headless Mode &amp; Sideloading\WalkAndUnGZ.bat" "%USERPROFILE%\AppData\Local\Temp\OnboardLogs"\RTDC4046\2017-09-24 &amp; aws s3 cp s3://rtdc.mdm.uploadarchive.raw/RTDC4046/ "%USERPROFILE%\AppData\Local\Temp\OnboardLogs"\RTDC4046\2017-09-25 --exclude "*" --recursive --include "*20170925*" &amp; "%USERPROFILE%\Documents\GitHub\mrs-test-scripts\Headless Mode &amp; Sideloading\WalkAndUnGZ.bat" "%USERPROFILE%\AppData\Local\Temp\OnboardLogs"\RTDC4046\2017-09-25</v>
      </c>
      <c r="AF46" s="74" t="str">
        <f t="shared" si="12"/>
        <v>"C:\Program Files (x86)\AstroGrep\AstroGrep.exe" /e /r /s /spath="%USERPROFILE%\AppData\Local\Temp\OnboardLogs" /stypes="app*4046*20170924*" /stext=" 14:.+((SYSTEM_STATE.+slice.+state.+changed )|(ment ac)|(multiple cpu faults)|(system.+state.+changed )|(\[timeout)|(PRM\|1\|D)|(kpr)|(kdp)|(train st.+moving)|(\|lc)|(penalty))"</v>
      </c>
      <c r="AG46" s="182" t="str">
        <f t="shared" si="13"/>
        <v>EC</v>
      </c>
      <c r="AH46" s="78" t="str">
        <f t="shared" si="18"/>
        <v>"%USERPROFILE%\Documents\GitHub\eaglep3\Utilities\RefineRTDCRunTimes.py" --tripid 133-24 --locoid 4046 --swversion DE.1.0.9.0 --startMP 204:449 --initTime 2017-09-24T07:39:32 --startdatetime 2017-09-24T07:45:15 --delay 74 --endMP 204:233306 --enddatetime 2017-09-24T08:22:34 --enforcementcount 0 &gt;&gt;c:\users\stu\Documents\GitHub\eaglep3-reporting\EC\2017-09-24-refined-times.txt</v>
      </c>
      <c r="AI46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{"issue":{"subject":"","project_id":79,"tracker_id":40,"status_id":1,"priority_id":2,"assigned_to_id":338,"start_date":"2017-09-24","description":"","custom_fields":[{"id":1,"name":"Subdivision","value":"EC"},{"id":4,"name":"Milepost","value":"23.3306"},{"id":17,"name":"Train ID","value":"133-24"},{"id":16,"name":"Locomotive ID","value":"4046"},{"id":130,"name":"Impact","value":""},{"id":150,"name":"Time of Event (Mountain Time)","value":"08:22:34"},{"id":151,"name":"Denver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2" t="str">
        <f t="shared" si="20"/>
        <v>start /low /b %USERPROFILE%\Documents\GitHub\eaglep3\Utilities\DownloadLogsFromS3.py --loco 4046 --day 2017-09-24</v>
      </c>
      <c r="AN46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14:22:34"},{"id":29,"name":"Sharepoint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168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Message%20ID',Summary),filters:!(),index:'emp_*',interval:auto,query:"&amp;"(query_string:(analyze_wildcard:!t,query:'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-09-24T06:39:32-0600',mode:absolute,to:'2017-09-24T09:22:34-0600'))&amp;_a=(columns:!('Message%20ID',Summary),filters:!(),index:'emp_*',interval:auto,query:(query_string:(analyze_wildcard:!t,query:'%22rtdc.l.rtdc.4046%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675</v>
      </c>
      <c r="B47" s="7">
        <v>4045</v>
      </c>
      <c r="C47" s="21" t="s">
        <v>196</v>
      </c>
      <c r="D47" s="21" t="s">
        <v>846</v>
      </c>
      <c r="E47" s="13">
        <v>43002.355219907404</v>
      </c>
      <c r="F47" s="13">
        <v>43002.362685185188</v>
      </c>
      <c r="G47" s="7">
        <v>97</v>
      </c>
      <c r="H47" s="21" t="s">
        <v>363</v>
      </c>
      <c r="I47" s="13">
        <v>43002.389548611114</v>
      </c>
      <c r="J47" s="7">
        <v>0</v>
      </c>
      <c r="K47" s="89" t="str">
        <f t="shared" si="0"/>
        <v>4045/4046</v>
      </c>
      <c r="L47" s="185" t="str">
        <f>VLOOKUP(A47,'Trips&amp;Operators'!$C$1:$G$99911,5,FALSE)</f>
        <v>DAVIS WENDY</v>
      </c>
      <c r="M47" s="6">
        <f t="shared" si="1"/>
        <v>2.6863425926421769E-2</v>
      </c>
      <c r="N47" s="7">
        <f t="shared" si="22"/>
        <v>38.683333334047347</v>
      </c>
      <c r="O47" s="7"/>
      <c r="P47" s="7"/>
      <c r="Q47" s="22"/>
      <c r="R47" s="174"/>
      <c r="S47" s="221">
        <f t="shared" si="23"/>
        <v>1</v>
      </c>
      <c r="T47" s="174" t="str">
        <f t="shared" si="4"/>
        <v>Southbound</v>
      </c>
      <c r="U47" s="198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16" t="str">
        <f t="shared" si="5"/>
        <v>https://d0f6bd738d7f1b3e5a7ca70fe4ff75f0.us-east-1.aws.found.io/app/kibana#/discover/Steve-Slow-Train-Analysis-(2080s-and-2083s)?_g=(refreshInterval:(display:Off,pause:!f,section:0,value:0),time:(from:'2017-09-24T07:31:31-0600',mode:absolute,to:'2017-09-24T10:20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7" s="204" t="str">
        <f>IF(AA47&lt;VLOOKUP(AG47,Variables!$AC$3:$AD$8,2,FALSE),"Y","N")</f>
        <v>N</v>
      </c>
      <c r="X47" s="204">
        <f t="shared" si="24"/>
        <v>1</v>
      </c>
      <c r="Y47" s="204">
        <f t="shared" si="25"/>
        <v>23.298300000000001</v>
      </c>
      <c r="Z47" s="204">
        <f t="shared" si="26"/>
        <v>1.4500000000000001E-2</v>
      </c>
      <c r="AA47" s="204">
        <f t="shared" si="9"/>
        <v>23.283799999999999</v>
      </c>
      <c r="AB47" s="54" t="e">
        <f>VLOOKUP(A47,Enforcements!$C$7:$K$11,8,0)</f>
        <v>#N/A</v>
      </c>
      <c r="AC47" s="51" t="e">
        <f>VLOOKUP(A47,Enforcements!$C$7:$E$11,3,0)</f>
        <v>#N/A</v>
      </c>
      <c r="AD47" s="179">
        <f t="shared" si="10"/>
        <v>134</v>
      </c>
      <c r="AE47" s="77" t="str">
        <f t="shared" si="11"/>
        <v>aws s3 cp s3://rtdc.mdm.uploadarchive.raw/RTDC4045/ "%USERPROFILE%\AppData\Local\Temp\OnboardLogs"\RTDC4045\2017-09-24 --exclude "*" --recursive --include "*20170924*" &amp; "%USERPROFILE%\Documents\GitHub\mrs-test-scripts\Headless Mode &amp; Sideloading\WalkAndUnGZ.bat" "%USERPROFILE%\AppData\Local\Temp\OnboardLogs"\RTDC4045\2017-09-24 &amp; aws s3 cp s3://rtdc.mdm.uploadarchive.raw/RTDC4045/ "%USERPROFILE%\AppData\Local\Temp\OnboardLogs"\RTDC4045\2017-09-25 --exclude "*" --recursive --include "*20170925*" &amp; "%USERPROFILE%\Documents\GitHub\mrs-test-scripts\Headless Mode &amp; Sideloading\WalkAndUnGZ.bat" "%USERPROFILE%\AppData\Local\Temp\OnboardLogs"\RTDC4045\2017-09-25</v>
      </c>
      <c r="AF47" s="74" t="str">
        <f t="shared" si="12"/>
        <v>"C:\Program Files (x86)\AstroGrep\AstroGrep.exe" /e /r /s /spath="%USERPROFILE%\AppData\Local\Temp\OnboardLogs" /stypes="app*4045*20170924*" /stext=" 15:.+((SYSTEM_STATE.+slice.+state.+changed )|(ment ac)|(multiple cpu faults)|(system.+state.+changed )|(\[timeout)|(PRM\|1\|D)|(kpr)|(kdp)|(train st.+moving)|(\|lc)|(penalty))"</v>
      </c>
      <c r="AG47" s="182" t="str">
        <f t="shared" si="13"/>
        <v>EC</v>
      </c>
      <c r="AH47" s="78" t="str">
        <f t="shared" si="18"/>
        <v>"%USERPROFILE%\Documents\GitHub\eaglep3\Utilities\RefineRTDCRunTimes.py" --tripid 134-24 --locoid 4045 --swversion DE.1.0.9.0 --startMP 204:232983 --initTime 2017-09-24T08:31:31 --startdatetime 2017-09-24T08:42:16 --delay 97 --endMP 204:145 --enddatetime 2017-09-24T09:20:57 --enforcementcount 0 &gt;&gt;c:\users\stu\Documents\GitHub\eaglep3-reporting\EC\2017-09-24-refined-times.txt</v>
      </c>
      <c r="AI47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{"issue":{"subject":"","project_id":79,"tracker_id":40,"status_id":1,"priority_id":2,"assigned_to_id":338,"start_date":"2017-09-24","description":"","custom_fields":[{"id":1,"name":"Subdivision","value":"EC"},{"id":4,"name":"Milepost","value":"0.0145"},{"id":17,"name":"Train ID","value":"134-24"},{"id":16,"name":"Locomotive ID","value":"4045"},{"id":130,"name":"Impact","value":""},{"id":150,"name":"Time of Event (Mountain Time)","value":"09:20:57"},{"id":151,"name":"Denver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2" t="str">
        <f t="shared" si="20"/>
        <v>start /low /b %USERPROFILE%\Documents\GitHub\eaglep3\Utilities\DownloadLogsFromS3.py --loco 4045 --day 2017-09-24</v>
      </c>
      <c r="AN47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15:20:57"},{"id":29,"name":"Sharepoint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168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Message%20ID',Summary),filters:!(),index:'emp_*',interval:auto,query:"&amp;"(query_string:(analyze_wildcard:!t,query:'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-09-24T07:31:31-0600',mode:absolute,to:'2017-09-24T10:20:57-0600'))&amp;_a=(columns:!('Message%20ID',Summary),filters:!(),index:'emp_*',interval:auto,query:(query_string:(analyze_wildcard:!t,query:'%22rtdc.l.rtdc.4045%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670</v>
      </c>
      <c r="B48" s="7">
        <v>4060</v>
      </c>
      <c r="C48" s="21" t="s">
        <v>196</v>
      </c>
      <c r="D48" s="21" t="s">
        <v>348</v>
      </c>
      <c r="E48" s="13">
        <v>43002.328333333331</v>
      </c>
      <c r="F48" s="13">
        <v>43002.33353009259</v>
      </c>
      <c r="G48" s="7">
        <v>62</v>
      </c>
      <c r="H48" s="21" t="s">
        <v>433</v>
      </c>
      <c r="I48" s="13">
        <v>43002.357627314814</v>
      </c>
      <c r="J48" s="7">
        <v>0</v>
      </c>
      <c r="K48" s="89" t="str">
        <f t="shared" si="0"/>
        <v>4059/4060</v>
      </c>
      <c r="L48" s="185" t="str">
        <f>VLOOKUP(A48,'Trips&amp;Operators'!$C$1:$G$99911,5,FALSE)</f>
        <v>PAGE MARCUS</v>
      </c>
      <c r="M48" s="6">
        <f t="shared" si="1"/>
        <v>2.4097222223645076E-2</v>
      </c>
      <c r="N48" s="7">
        <f t="shared" si="22"/>
        <v>34.70000000204891</v>
      </c>
      <c r="O48" s="7"/>
      <c r="P48" s="7"/>
      <c r="Q48" s="22"/>
      <c r="R48" s="174"/>
      <c r="S48" s="221">
        <f t="shared" si="23"/>
        <v>1</v>
      </c>
      <c r="T48" s="174" t="str">
        <f t="shared" si="4"/>
        <v>NorthBound</v>
      </c>
      <c r="U48" s="198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16" t="str">
        <f t="shared" si="5"/>
        <v>https://d0f6bd738d7f1b3e5a7ca70fe4ff75f0.us-east-1.aws.found.io/app/kibana#/discover/Steve-Slow-Train-Analysis-(2080s-and-2083s)?_g=(refreshInterval:(display:Off,pause:!f,section:0,value:0),time:(from:'2017-09-24T06:52:48-0600',mode:absolute,to:'2017-09-24T09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48" s="204" t="str">
        <f>IF(AA48&lt;VLOOKUP(AG48,Variables!$AC$3:$AD$8,2,FALSE),"Y","N")</f>
        <v>N</v>
      </c>
      <c r="X48" s="204">
        <f t="shared" si="24"/>
        <v>1</v>
      </c>
      <c r="Y48" s="204">
        <f t="shared" si="25"/>
        <v>4.5499999999999999E-2</v>
      </c>
      <c r="Z48" s="204">
        <f t="shared" si="26"/>
        <v>23.332999999999998</v>
      </c>
      <c r="AA48" s="204">
        <f t="shared" si="9"/>
        <v>23.287499999999998</v>
      </c>
      <c r="AB48" s="54" t="e">
        <f>VLOOKUP(A48,Enforcements!$C$7:$K$11,8,0)</f>
        <v>#N/A</v>
      </c>
      <c r="AC48" s="51" t="e">
        <f>VLOOKUP(A48,Enforcements!$C$7:$E$11,3,0)</f>
        <v>#N/A</v>
      </c>
      <c r="AD48" s="179">
        <f t="shared" si="10"/>
        <v>135</v>
      </c>
      <c r="AE48" s="77" t="str">
        <f t="shared" si="11"/>
        <v>aws s3 cp s3://rtdc.mdm.uploadarchive.raw/RTDC4060/ "%USERPROFILE%\AppData\Local\Temp\OnboardLogs"\RTDC4060\2017-09-24 --exclude "*" --recursive --include "*20170924*" &amp; "%USERPROFILE%\Documents\GitHub\mrs-test-scripts\Headless Mode &amp; Sideloading\WalkAndUnGZ.bat" "%USERPROFILE%\AppData\Local\Temp\OnboardLogs"\RTDC4060\2017-09-24 &amp; aws s3 cp s3://rtdc.mdm.uploadarchive.raw/RTDC4060/ "%USERPROFILE%\AppData\Local\Temp\OnboardLogs"\RTDC4060\2017-09-25 --exclude "*" --recursive --include "*20170925*" &amp; "%USERPROFILE%\Documents\GitHub\mrs-test-scripts\Headless Mode &amp; Sideloading\WalkAndUnGZ.bat" "%USERPROFILE%\AppData\Local\Temp\OnboardLogs"\RTDC4060\2017-09-25</v>
      </c>
      <c r="AF48" s="74" t="str">
        <f t="shared" si="12"/>
        <v>"C:\Program Files (x86)\AstroGrep\AstroGrep.exe" /e /r /s /spath="%USERPROFILE%\AppData\Local\Temp\OnboardLogs" /stypes="app*4060*20170924*" /stext=" 14:.+((SYSTEM_STATE.+slice.+state.+changed )|(ment ac)|(multiple cpu faults)|(system.+state.+changed )|(\[timeout)|(PRM\|1\|D)|(kpr)|(kdp)|(train st.+moving)|(\|lc)|(penalty))"</v>
      </c>
      <c r="AG48" s="182" t="str">
        <f t="shared" si="13"/>
        <v>EC</v>
      </c>
      <c r="AH48" s="78" t="str">
        <f t="shared" si="18"/>
        <v>"%USERPROFILE%\Documents\GitHub\eaglep3\Utilities\RefineRTDCRunTimes.py" --tripid 135-24 --locoid 4060 --swversion DE.1.0.9.0 --startMP 204:455 --initTime 2017-09-24T07:52:48 --startdatetime 2017-09-24T08:00:17 --delay 62 --endMP 204:233330 --enddatetime 2017-09-24T08:34:59 --enforcementcount 0 &gt;&gt;c:\users\stu\Documents\GitHub\eaglep3-reporting\EC\2017-09-24-refined-times.txt</v>
      </c>
      <c r="AI48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{"issue":{"subject":"","project_id":79,"tracker_id":40,"status_id":1,"priority_id":2,"assigned_to_id":338,"start_date":"2017-09-24","description":"","custom_fields":[{"id":1,"name":"Subdivision","value":"EC"},{"id":4,"name":"Milepost","value":"23.333"},{"id":17,"name":"Train ID","value":"135-24"},{"id":16,"name":"Locomotive ID","value":"4060"},{"id":130,"name":"Impact","value":""},{"id":150,"name":"Time of Event (Mountain Time)","value":"08:34:59"},{"id":151,"name":"Denver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2" t="str">
        <f t="shared" si="20"/>
        <v>start /low /b %USERPROFILE%\Documents\GitHub\eaglep3\Utilities\DownloadLogsFromS3.py --loco 4060 --day 2017-09-24</v>
      </c>
      <c r="AN48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14:34:59"},{"id":29,"name":"Sharepoint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168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Message%20ID',Summary),filters:!(),index:'emp_*',interval:auto,query:"&amp;"(query_string:(analyze_wildcard:!t,query:'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-09-24T06:52:48-0600',mode:absolute,to:'2017-09-24T09:34:59-0600'))&amp;_a=(columns:!('Message%20ID',Summary),filters:!(),index:'emp_*',interval:auto,query:(query_string:(analyze_wildcard:!t,query:'%22rtdc.l.rtdc.4060%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677</v>
      </c>
      <c r="B49" s="7">
        <v>4059</v>
      </c>
      <c r="C49" s="21" t="s">
        <v>196</v>
      </c>
      <c r="D49" s="21" t="s">
        <v>450</v>
      </c>
      <c r="E49" s="13">
        <v>43002.368993055556</v>
      </c>
      <c r="F49" s="13">
        <v>43002.373090277775</v>
      </c>
      <c r="G49" s="7">
        <v>57</v>
      </c>
      <c r="H49" s="21" t="s">
        <v>342</v>
      </c>
      <c r="I49" s="13">
        <v>43002.398958333331</v>
      </c>
      <c r="J49" s="7">
        <v>0</v>
      </c>
      <c r="K49" s="89" t="str">
        <f t="shared" si="0"/>
        <v>4059/4060</v>
      </c>
      <c r="L49" s="185" t="str">
        <f>VLOOKUP(A49,'Trips&amp;Operators'!$C$1:$G$99911,5,FALSE)</f>
        <v>PAGE MARCUS</v>
      </c>
      <c r="M49" s="6">
        <f t="shared" si="1"/>
        <v>2.5868055556202307E-2</v>
      </c>
      <c r="N49" s="7">
        <f t="shared" si="22"/>
        <v>37.250000000931323</v>
      </c>
      <c r="O49" s="7"/>
      <c r="P49" s="7"/>
      <c r="Q49" s="22"/>
      <c r="R49" s="174"/>
      <c r="S49" s="221">
        <f t="shared" si="23"/>
        <v>1</v>
      </c>
      <c r="T49" s="174" t="str">
        <f t="shared" si="4"/>
        <v>Southbound</v>
      </c>
      <c r="U49" s="198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16" t="str">
        <f t="shared" si="5"/>
        <v>https://d0f6bd738d7f1b3e5a7ca70fe4ff75f0.us-east-1.aws.found.io/app/kibana#/discover/Steve-Slow-Train-Analysis-(2080s-and-2083s)?_g=(refreshInterval:(display:Off,pause:!f,section:0,value:0),time:(from:'2017-09-24T07:51:21-0600',mode:absolute,to:'2017-09-24T10:34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49" s="204" t="str">
        <f>IF(AA49&lt;VLOOKUP(AG49,Variables!$AC$3:$AD$8,2,FALSE),"Y","N")</f>
        <v>N</v>
      </c>
      <c r="X49" s="204">
        <f t="shared" si="24"/>
        <v>1</v>
      </c>
      <c r="Y49" s="204">
        <f t="shared" si="25"/>
        <v>23.2986</v>
      </c>
      <c r="Z49" s="204">
        <f t="shared" si="26"/>
        <v>1.47E-2</v>
      </c>
      <c r="AA49" s="204">
        <f t="shared" si="9"/>
        <v>23.283899999999999</v>
      </c>
      <c r="AB49" s="54" t="e">
        <f>VLOOKUP(A49,Enforcements!$C$7:$K$11,8,0)</f>
        <v>#N/A</v>
      </c>
      <c r="AC49" s="51" t="e">
        <f>VLOOKUP(A49,Enforcements!$C$7:$E$11,3,0)</f>
        <v>#N/A</v>
      </c>
      <c r="AD49" s="179">
        <f t="shared" si="10"/>
        <v>136</v>
      </c>
      <c r="AE49" s="77" t="str">
        <f t="shared" si="11"/>
        <v>aws s3 cp s3://rtdc.mdm.uploadarchive.raw/RTDC4059/ "%USERPROFILE%\AppData\Local\Temp\OnboardLogs"\RTDC4059\2017-09-24 --exclude "*" --recursive --include "*20170924*" &amp; "%USERPROFILE%\Documents\GitHub\mrs-test-scripts\Headless Mode &amp; Sideloading\WalkAndUnGZ.bat" "%USERPROFILE%\AppData\Local\Temp\OnboardLogs"\RTDC4059\2017-09-24 &amp; aws s3 cp s3://rtdc.mdm.uploadarchive.raw/RTDC4059/ "%USERPROFILE%\AppData\Local\Temp\OnboardLogs"\RTDC4059\2017-09-25 --exclude "*" --recursive --include "*20170925*" &amp; "%USERPROFILE%\Documents\GitHub\mrs-test-scripts\Headless Mode &amp; Sideloading\WalkAndUnGZ.bat" "%USERPROFILE%\AppData\Local\Temp\OnboardLogs"\RTDC4059\2017-09-25</v>
      </c>
      <c r="AF49" s="74" t="str">
        <f t="shared" si="12"/>
        <v>"C:\Program Files (x86)\AstroGrep\AstroGrep.exe" /e /r /s /spath="%USERPROFILE%\AppData\Local\Temp\OnboardLogs" /stypes="app*4059*20170924*" /stext=" 15:.+((SYSTEM_STATE.+slice.+state.+changed )|(ment ac)|(multiple cpu faults)|(system.+state.+changed )|(\[timeout)|(PRM\|1\|D)|(kpr)|(kdp)|(train st.+moving)|(\|lc)|(penalty))"</v>
      </c>
      <c r="AG49" s="182" t="str">
        <f t="shared" si="13"/>
        <v>EC</v>
      </c>
      <c r="AH49" s="78" t="str">
        <f t="shared" si="18"/>
        <v>"%USERPROFILE%\Documents\GitHub\eaglep3\Utilities\RefineRTDCRunTimes.py" --tripid 136-24 --locoid 4059 --swversion DE.1.0.9.0 --startMP 204:232986 --initTime 2017-09-24T08:51:21 --startdatetime 2017-09-24T08:57:15 --delay 57 --endMP 204:147 --enddatetime 2017-09-24T09:34:30 --enforcementcount 0 &gt;&gt;c:\users\stu\Documents\GitHub\eaglep3-reporting\EC\2017-09-24-refined-times.txt</v>
      </c>
      <c r="AI49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{"issue":{"subject":"","project_id":79,"tracker_id":40,"status_id":1,"priority_id":2,"assigned_to_id":338,"start_date":"2017-09-24","description":"","custom_fields":[{"id":1,"name":"Subdivision","value":"EC"},{"id":4,"name":"Milepost","value":"0.0147"},{"id":17,"name":"Train ID","value":"136-24"},{"id":16,"name":"Locomotive ID","value":"4059"},{"id":130,"name":"Impact","value":""},{"id":150,"name":"Time of Event (Mountain Time)","value":"09:34:30"},{"id":151,"name":"Denver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2" t="str">
        <f t="shared" si="20"/>
        <v>start /low /b %USERPROFILE%\Documents\GitHub\eaglep3\Utilities\DownloadLogsFromS3.py --loco 4059 --day 2017-09-24</v>
      </c>
      <c r="AN49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15:34:30"},{"id":29,"name":"Sharepoint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168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Message%20ID',Summary),filters:!(),index:'emp_*',interval:auto,query:"&amp;"(query_string:(analyze_wildcard:!t,query:'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-09-24T07:51:21-0600',mode:absolute,to:'2017-09-24T10:34:30-0600'))&amp;_a=(columns:!('Message%20ID',Summary),filters:!(),index:'emp_*',interval:auto,query:(query_string:(analyze_wildcard:!t,query:'%22rtdc.l.rtdc.4059%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673</v>
      </c>
      <c r="B50" s="7">
        <v>4062</v>
      </c>
      <c r="C50" s="21" t="s">
        <v>196</v>
      </c>
      <c r="D50" s="21" t="s">
        <v>847</v>
      </c>
      <c r="E50" s="13">
        <v>43002.338437500002</v>
      </c>
      <c r="F50" s="13">
        <v>43002.343923611108</v>
      </c>
      <c r="G50" s="7">
        <v>57</v>
      </c>
      <c r="H50" s="21" t="s">
        <v>835</v>
      </c>
      <c r="I50" s="13">
        <v>43002.368321759262</v>
      </c>
      <c r="J50" s="7">
        <v>0</v>
      </c>
      <c r="K50" s="89" t="str">
        <f t="shared" si="0"/>
        <v>4061/4062</v>
      </c>
      <c r="L50" s="185" t="str">
        <f>VLOOKUP(A50,'Trips&amp;Operators'!$C$1:$G$99911,5,FALSE)</f>
        <v>GEBRETEKLE DAGNEW</v>
      </c>
      <c r="M50" s="6">
        <f t="shared" si="1"/>
        <v>2.439814815443242E-2</v>
      </c>
      <c r="N50" s="7">
        <f t="shared" si="22"/>
        <v>35.133333342382684</v>
      </c>
      <c r="O50" s="7"/>
      <c r="P50" s="7"/>
      <c r="Q50" s="22"/>
      <c r="R50" s="174"/>
      <c r="S50" s="221">
        <f t="shared" si="23"/>
        <v>1</v>
      </c>
      <c r="T50" s="174" t="str">
        <f t="shared" si="4"/>
        <v>NorthBound</v>
      </c>
      <c r="U50" s="198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16" t="str">
        <f t="shared" si="5"/>
        <v>https://d0f6bd738d7f1b3e5a7ca70fe4ff75f0.us-east-1.aws.found.io/app/kibana#/discover/Steve-Slow-Train-Analysis-(2080s-and-2083s)?_g=(refreshInterval:(display:Off,pause:!f,section:0,value:0),time:(from:'2017-09-24T07:07:21-0600',mode:absolute,to:'2017-09-24T09:50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50" s="204" t="str">
        <f>IF(AA50&lt;VLOOKUP(AG50,Variables!$AC$3:$AD$8,2,FALSE),"Y","N")</f>
        <v>N</v>
      </c>
      <c r="X50" s="204">
        <f t="shared" si="24"/>
        <v>1</v>
      </c>
      <c r="Y50" s="204">
        <f t="shared" si="25"/>
        <v>4.8399999999999999E-2</v>
      </c>
      <c r="Z50" s="204">
        <f t="shared" si="26"/>
        <v>23.331399999999999</v>
      </c>
      <c r="AA50" s="204">
        <f t="shared" si="9"/>
        <v>23.282999999999998</v>
      </c>
      <c r="AB50" s="54" t="e">
        <f>VLOOKUP(A50,Enforcements!$C$7:$K$11,8,0)</f>
        <v>#N/A</v>
      </c>
      <c r="AC50" s="51" t="e">
        <f>VLOOKUP(A50,Enforcements!$C$7:$E$11,3,0)</f>
        <v>#N/A</v>
      </c>
      <c r="AD50" s="179">
        <f t="shared" si="10"/>
        <v>137</v>
      </c>
      <c r="AE50" s="77" t="str">
        <f t="shared" si="11"/>
        <v>aws s3 cp s3://rtdc.mdm.uploadarchive.raw/RTDC4062/ "%USERPROFILE%\AppData\Local\Temp\OnboardLogs"\RTDC4062\2017-09-24 --exclude "*" --recursive --include "*20170924*" &amp; "%USERPROFILE%\Documents\GitHub\mrs-test-scripts\Headless Mode &amp; Sideloading\WalkAndUnGZ.bat" "%USERPROFILE%\AppData\Local\Temp\OnboardLogs"\RTDC4062\2017-09-24 &amp; aws s3 cp s3://rtdc.mdm.uploadarchive.raw/RTDC4062/ "%USERPROFILE%\AppData\Local\Temp\OnboardLogs"\RTDC4062\2017-09-25 --exclude "*" --recursive --include "*20170925*" &amp; "%USERPROFILE%\Documents\GitHub\mrs-test-scripts\Headless Mode &amp; Sideloading\WalkAndUnGZ.bat" "%USERPROFILE%\AppData\Local\Temp\OnboardLogs"\RTDC4062\2017-09-25</v>
      </c>
      <c r="AF50" s="74" t="str">
        <f t="shared" si="12"/>
        <v>"C:\Program Files (x86)\AstroGrep\AstroGrep.exe" /e /r /s /spath="%USERPROFILE%\AppData\Local\Temp\OnboardLogs" /stypes="app*4062*20170924*" /stext=" 14:.+((SYSTEM_STATE.+slice.+state.+changed )|(ment ac)|(multiple cpu faults)|(system.+state.+changed )|(\[timeout)|(PRM\|1\|D)|(kpr)|(kdp)|(train st.+moving)|(\|lc)|(penalty))"</v>
      </c>
      <c r="AG50" s="182" t="str">
        <f t="shared" si="13"/>
        <v>EC</v>
      </c>
      <c r="AH50" s="78" t="str">
        <f t="shared" si="18"/>
        <v>"%USERPROFILE%\Documents\GitHub\eaglep3\Utilities\RefineRTDCRunTimes.py" --tripid 137-24 --locoid 4062 --swversion DE.1.0.9.0 --startMP 204:484 --initTime 2017-09-24T08:07:21 --startdatetime 2017-09-24T08:15:15 --delay 57 --endMP 204:233314 --enddatetime 2017-09-24T08:50:23 --enforcementcount 0 &gt;&gt;c:\users\stu\Documents\GitHub\eaglep3-reporting\EC\2017-09-24-refined-times.txt</v>
      </c>
      <c r="AI50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{"issue":{"subject":"","project_id":79,"tracker_id":40,"status_id":1,"priority_id":2,"assigned_to_id":338,"start_date":"2017-09-24","description":"","custom_fields":[{"id":1,"name":"Subdivision","value":"EC"},{"id":4,"name":"Milepost","value":"23.3314"},{"id":17,"name":"Train ID","value":"137-24"},{"id":16,"name":"Locomotive ID","value":"4062"},{"id":130,"name":"Impact","value":""},{"id":150,"name":"Time of Event (Mountain Time)","value":"08:50:23"},{"id":151,"name":"Denver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2" t="str">
        <f t="shared" si="20"/>
        <v>start /low /b %USERPROFILE%\Documents\GitHub\eaglep3\Utilities\DownloadLogsFromS3.py --loco 4062 --day 2017-09-24</v>
      </c>
      <c r="AN50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14:50:23"},{"id":29,"name":"Sharepoint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168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Message%20ID',Summary),filters:!(),index:'emp_*',interval:auto,query:"&amp;"(query_string:(analyze_wildcard:!t,query:'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-09-24T07:07:21-0600',mode:absolute,to:'2017-09-24T09:50:23-0600'))&amp;_a=(columns:!('Message%20ID',Summary),filters:!(),index:'emp_*',interval:auto,query:(query_string:(analyze_wildcard:!t,query:'%22rtdc.l.rtdc.4062%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678</v>
      </c>
      <c r="B51" s="7">
        <v>4061</v>
      </c>
      <c r="C51" s="21" t="s">
        <v>196</v>
      </c>
      <c r="D51" s="21" t="s">
        <v>422</v>
      </c>
      <c r="E51" s="13">
        <v>43002.369444444441</v>
      </c>
      <c r="F51" s="13">
        <v>43002.383483796293</v>
      </c>
      <c r="G51" s="7">
        <v>57</v>
      </c>
      <c r="H51" s="21" t="s">
        <v>338</v>
      </c>
      <c r="I51" s="13">
        <v>43002.408796296295</v>
      </c>
      <c r="J51" s="7">
        <v>0</v>
      </c>
      <c r="K51" s="89" t="str">
        <f t="shared" si="0"/>
        <v>4061/4062</v>
      </c>
      <c r="L51" s="185" t="str">
        <f>VLOOKUP(A51,'Trips&amp;Operators'!$C$1:$G$99911,5,FALSE)</f>
        <v>GEBRETEKLE DAGNEW</v>
      </c>
      <c r="M51" s="6">
        <f t="shared" si="1"/>
        <v>2.531250000174623E-2</v>
      </c>
      <c r="N51" s="7">
        <f t="shared" si="22"/>
        <v>36.450000002514571</v>
      </c>
      <c r="O51" s="7"/>
      <c r="P51" s="7"/>
      <c r="Q51" s="22"/>
      <c r="R51" s="174"/>
      <c r="S51" s="221">
        <f t="shared" si="23"/>
        <v>1</v>
      </c>
      <c r="T51" s="174" t="str">
        <f t="shared" si="4"/>
        <v>Southbound</v>
      </c>
      <c r="U51" s="198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16" t="str">
        <f t="shared" si="5"/>
        <v>https://d0f6bd738d7f1b3e5a7ca70fe4ff75f0.us-east-1.aws.found.io/app/kibana#/discover/Steve-Slow-Train-Analysis-(2080s-and-2083s)?_g=(refreshInterval:(display:Off,pause:!f,section:0,value:0),time:(from:'2017-09-24T07:52:00-0600',mode:absolute,to:'2017-09-24T10:48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51" s="204" t="str">
        <f>IF(AA51&lt;VLOOKUP(AG51,Variables!$AC$3:$AD$8,2,FALSE),"Y","N")</f>
        <v>N</v>
      </c>
      <c r="X51" s="204">
        <f t="shared" si="24"/>
        <v>1</v>
      </c>
      <c r="Y51" s="204">
        <f t="shared" si="25"/>
        <v>23.299299999999999</v>
      </c>
      <c r="Z51" s="204">
        <f t="shared" si="26"/>
        <v>1.49E-2</v>
      </c>
      <c r="AA51" s="204">
        <f t="shared" si="9"/>
        <v>23.284399999999998</v>
      </c>
      <c r="AB51" s="54" t="e">
        <f>VLOOKUP(A51,Enforcements!$C$7:$K$11,8,0)</f>
        <v>#N/A</v>
      </c>
      <c r="AC51" s="51" t="e">
        <f>VLOOKUP(A51,Enforcements!$C$7:$E$11,3,0)</f>
        <v>#N/A</v>
      </c>
      <c r="AD51" s="179">
        <f t="shared" si="10"/>
        <v>138</v>
      </c>
      <c r="AE51" s="77" t="str">
        <f t="shared" si="11"/>
        <v>aws s3 cp s3://rtdc.mdm.uploadarchive.raw/RTDC4061/ "%USERPROFILE%\AppData\Local\Temp\OnboardLogs"\RTDC4061\2017-09-24 --exclude "*" --recursive --include "*20170924*" &amp; "%USERPROFILE%\Documents\GitHub\mrs-test-scripts\Headless Mode &amp; Sideloading\WalkAndUnGZ.bat" "%USERPROFILE%\AppData\Local\Temp\OnboardLogs"\RTDC4061\2017-09-24 &amp; aws s3 cp s3://rtdc.mdm.uploadarchive.raw/RTDC4061/ "%USERPROFILE%\AppData\Local\Temp\OnboardLogs"\RTDC4061\2017-09-25 --exclude "*" --recursive --include "*20170925*" &amp; "%USERPROFILE%\Documents\GitHub\mrs-test-scripts\Headless Mode &amp; Sideloading\WalkAndUnGZ.bat" "%USERPROFILE%\AppData\Local\Temp\OnboardLogs"\RTDC4061\2017-09-25</v>
      </c>
      <c r="AF51" s="74" t="str">
        <f t="shared" si="12"/>
        <v>"C:\Program Files (x86)\AstroGrep\AstroGrep.exe" /e /r /s /spath="%USERPROFILE%\AppData\Local\Temp\OnboardLogs" /stypes="app*4061*20170924*" /stext=" 15:.+((SYSTEM_STATE.+slice.+state.+changed )|(ment ac)|(multiple cpu faults)|(system.+state.+changed )|(\[timeout)|(PRM\|1\|D)|(kpr)|(kdp)|(train st.+moving)|(\|lc)|(penalty))"</v>
      </c>
      <c r="AG51" s="182" t="str">
        <f t="shared" si="13"/>
        <v>EC</v>
      </c>
      <c r="AH51" s="78" t="str">
        <f t="shared" si="18"/>
        <v>"%USERPROFILE%\Documents\GitHub\eaglep3\Utilities\RefineRTDCRunTimes.py" --tripid 138-24 --locoid 4061 --swversion DE.1.0.9.0 --startMP 204:232993 --initTime 2017-09-24T08:52:00 --startdatetime 2017-09-24T09:12:13 --delay 57 --endMP 204:149 --enddatetime 2017-09-24T09:48:40 --enforcementcount 0 &gt;&gt;c:\users\stu\Documents\GitHub\eaglep3-reporting\EC\2017-09-24-refined-times.txt</v>
      </c>
      <c r="AI51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{"issue":{"subject":"","project_id":79,"tracker_id":40,"status_id":1,"priority_id":2,"assigned_to_id":338,"start_date":"2017-09-24","description":"","custom_fields":[{"id":1,"name":"Subdivision","value":"EC"},{"id":4,"name":"Milepost","value":"0.0149"},{"id":17,"name":"Train ID","value":"138-24"},{"id":16,"name":"Locomotive ID","value":"4061"},{"id":130,"name":"Impact","value":""},{"id":150,"name":"Time of Event (Mountain Time)","value":"09:48:40"},{"id":151,"name":"Denver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2" t="str">
        <f t="shared" si="20"/>
        <v>start /low /b %USERPROFILE%\Documents\GitHub\eaglep3\Utilities\DownloadLogsFromS3.py --loco 4061 --day 2017-09-24</v>
      </c>
      <c r="AN51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15:48:40"},{"id":29,"name":"Sharepoint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168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Message%20ID',Summary),filters:!(),index:'emp_*',interval:auto,query:"&amp;"(query_string:(analyze_wildcard:!t,query:'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-09-24T07:52:00-0600',mode:absolute,to:'2017-09-24T10:48:40-0600'))&amp;_a=(columns:!('Message%20ID',Summary),filters:!(),index:'emp_*',interval:auto,query:(query_string:(analyze_wildcard:!t,query:'%22rtdc.l.rtdc.4061%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587</v>
      </c>
      <c r="B52" s="7">
        <v>4066</v>
      </c>
      <c r="C52" s="21" t="s">
        <v>196</v>
      </c>
      <c r="D52" s="21" t="s">
        <v>362</v>
      </c>
      <c r="E52" s="13">
        <v>43002.352314814816</v>
      </c>
      <c r="F52" s="13">
        <v>43002.354479166665</v>
      </c>
      <c r="G52" s="7">
        <v>51</v>
      </c>
      <c r="H52" s="21" t="s">
        <v>459</v>
      </c>
      <c r="I52" s="13">
        <v>43002.378877314812</v>
      </c>
      <c r="J52" s="7">
        <v>0</v>
      </c>
      <c r="K52" s="89" t="str">
        <f t="shared" si="0"/>
        <v>4065/4066</v>
      </c>
      <c r="L52" s="185" t="str">
        <f>VLOOKUP(A52,'Trips&amp;Operators'!$C$1:$G$99911,5,FALSE)</f>
        <v>THOMPSON LESTER</v>
      </c>
      <c r="M52" s="6">
        <f t="shared" si="1"/>
        <v>2.4398148147156462E-2</v>
      </c>
      <c r="N52" s="7">
        <f t="shared" si="22"/>
        <v>35.133333331905305</v>
      </c>
      <c r="O52" s="7"/>
      <c r="P52" s="7"/>
      <c r="Q52" s="22"/>
      <c r="R52" s="174"/>
      <c r="S52" s="221">
        <f t="shared" si="23"/>
        <v>1</v>
      </c>
      <c r="T52" s="174" t="str">
        <f t="shared" si="4"/>
        <v>NorthBound</v>
      </c>
      <c r="U52" s="198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16" t="str">
        <f t="shared" si="5"/>
        <v>https://d0f6bd738d7f1b3e5a7ca70fe4ff75f0.us-east-1.aws.found.io/app/kibana#/discover/Steve-Slow-Train-Analysis-(2080s-and-2083s)?_g=(refreshInterval:(display:Off,pause:!f,section:0,value:0),time:(from:'2017-09-24T07:27:20-0600',mode:absolute,to:'2017-09-24T10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52" s="204" t="str">
        <f>IF(AA52&lt;VLOOKUP(AG52,Variables!$AC$3:$AD$8,2,FALSE),"Y","N")</f>
        <v>N</v>
      </c>
      <c r="X52" s="204">
        <f t="shared" si="24"/>
        <v>1</v>
      </c>
      <c r="Y52" s="204">
        <f t="shared" si="25"/>
        <v>4.6399999999999997E-2</v>
      </c>
      <c r="Z52" s="204">
        <f t="shared" si="26"/>
        <v>23.328600000000002</v>
      </c>
      <c r="AA52" s="204">
        <f t="shared" si="9"/>
        <v>23.282200000000003</v>
      </c>
      <c r="AB52" s="54" t="e">
        <f>VLOOKUP(A52,Enforcements!$C$7:$K$11,8,0)</f>
        <v>#N/A</v>
      </c>
      <c r="AC52" s="51" t="e">
        <f>VLOOKUP(A52,Enforcements!$C$7:$E$11,3,0)</f>
        <v>#N/A</v>
      </c>
      <c r="AD52" s="179">
        <f t="shared" si="10"/>
        <v>139</v>
      </c>
      <c r="AE52" s="77" t="str">
        <f t="shared" si="11"/>
        <v>aws s3 cp s3://rtdc.mdm.uploadarchive.raw/RTDC4066/ "%USERPROFILE%\AppData\Local\Temp\OnboardLogs"\RTDC4066\2017-09-24 --exclude "*" --recursive --include "*20170924*" &amp; "%USERPROFILE%\Documents\GitHub\mrs-test-scripts\Headless Mode &amp; Sideloading\WalkAndUnGZ.bat" "%USERPROFILE%\AppData\Local\Temp\OnboardLogs"\RTDC4066\2017-09-24 &amp; aws s3 cp s3://rtdc.mdm.uploadarchive.raw/RTDC4066/ "%USERPROFILE%\AppData\Local\Temp\OnboardLogs"\RTDC4066\2017-09-25 --exclude "*" --recursive --include "*20170925*" &amp; "%USERPROFILE%\Documents\GitHub\mrs-test-scripts\Headless Mode &amp; Sideloading\WalkAndUnGZ.bat" "%USERPROFILE%\AppData\Local\Temp\OnboardLogs"\RTDC4066\2017-09-25</v>
      </c>
      <c r="AF52" s="74" t="str">
        <f t="shared" si="12"/>
        <v>"C:\Program Files (x86)\AstroGrep\AstroGrep.exe" /e /r /s /spath="%USERPROFILE%\AppData\Local\Temp\OnboardLogs" /stypes="app*4066*20170924*" /stext=" 15:.+((SYSTEM_STATE.+slice.+state.+changed )|(ment ac)|(multiple cpu faults)|(system.+state.+changed )|(\[timeout)|(PRM\|1\|D)|(kpr)|(kdp)|(train st.+moving)|(\|lc)|(penalty))"</v>
      </c>
      <c r="AG52" s="182" t="str">
        <f t="shared" si="13"/>
        <v>EC</v>
      </c>
      <c r="AH52" s="78" t="str">
        <f t="shared" si="18"/>
        <v>"%USERPROFILE%\Documents\GitHub\eaglep3\Utilities\RefineRTDCRunTimes.py" --tripid 139-24 --locoid 4066 --swversion DE.1.0.9.0 --startMP 204:464 --initTime 2017-09-24T08:27:20 --startdatetime 2017-09-24T08:30:27 --delay 51 --endMP 204:233286 --enddatetime 2017-09-24T09:05:35 --enforcementcount 0 &gt;&gt;c:\users\stu\Documents\GitHub\eaglep3-reporting\EC\2017-09-24-refined-times.txt</v>
      </c>
      <c r="AI52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{"issue":{"subject":"","project_id":79,"tracker_id":40,"status_id":1,"priority_id":2,"assigned_to_id":338,"start_date":"2017-09-24","description":"","custom_fields":[{"id":1,"name":"Subdivision","value":"EC"},{"id":4,"name":"Milepost","value":"23.3286"},{"id":17,"name":"Train ID","value":"139-24"},{"id":16,"name":"Locomotive ID","value":"4066"},{"id":130,"name":"Impact","value":""},{"id":150,"name":"Time of Event (Mountain Time)","value":"09:05:35"},{"id":151,"name":"Denver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2" t="str">
        <f t="shared" si="20"/>
        <v>start /low /b %USERPROFILE%\Documents\GitHub\eaglep3\Utilities\DownloadLogsFromS3.py --loco 4066 --day 2017-09-24</v>
      </c>
      <c r="AN52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15:05:35"},{"id":29,"name":"Sharepoint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168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Message%20ID',Summary),filters:!(),index:'emp_*',interval:auto,query:"&amp;"(query_string:(analyze_wildcard:!t,query:'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-09-24T07:27:20-0600',mode:absolute,to:'2017-09-24T10:05:35-0600'))&amp;_a=(columns:!('Message%20ID',Summary),filters:!(),index:'emp_*',interval:auto,query:(query_string:(analyze_wildcard:!t,query:'%22rtdc.l.rtdc.4066%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589</v>
      </c>
      <c r="B53" s="7">
        <v>4065</v>
      </c>
      <c r="C53" s="21" t="s">
        <v>196</v>
      </c>
      <c r="D53" s="21" t="s">
        <v>848</v>
      </c>
      <c r="E53" s="13">
        <v>43002.391817129632</v>
      </c>
      <c r="F53" s="13">
        <v>43002.39403935185</v>
      </c>
      <c r="G53" s="7">
        <v>53</v>
      </c>
      <c r="H53" s="21" t="s">
        <v>342</v>
      </c>
      <c r="I53" s="13">
        <v>43002.423043981478</v>
      </c>
      <c r="J53" s="7">
        <v>0</v>
      </c>
      <c r="K53" s="89" t="str">
        <f t="shared" si="0"/>
        <v>4065/4066</v>
      </c>
      <c r="L53" s="185" t="str">
        <f>VLOOKUP(A53,'Trips&amp;Operators'!$C$1:$G$99911,5,FALSE)</f>
        <v>THOMPSON LESTER</v>
      </c>
      <c r="M53" s="6">
        <f t="shared" si="1"/>
        <v>2.9004629628616385E-2</v>
      </c>
      <c r="N53" s="7">
        <f t="shared" si="22"/>
        <v>41.766666665207595</v>
      </c>
      <c r="O53" s="7"/>
      <c r="P53" s="7"/>
      <c r="Q53" s="22"/>
      <c r="R53" s="174"/>
      <c r="S53" s="221">
        <f t="shared" si="23"/>
        <v>1</v>
      </c>
      <c r="T53" s="174" t="str">
        <f t="shared" si="4"/>
        <v>Southbound</v>
      </c>
      <c r="U53" s="198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16" t="str">
        <f t="shared" si="5"/>
        <v>https://d0f6bd738d7f1b3e5a7ca70fe4ff75f0.us-east-1.aws.found.io/app/kibana#/discover/Steve-Slow-Train-Analysis-(2080s-and-2083s)?_g=(refreshInterval:(display:Off,pause:!f,section:0,value:0),time:(from:'2017-09-24T08:24:13-0600',mode:absolute,to:'2017-09-24T11:09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53" s="204" t="str">
        <f>IF(AA53&lt;VLOOKUP(AG53,Variables!$AC$3:$AD$8,2,FALSE),"Y","N")</f>
        <v>N</v>
      </c>
      <c r="X53" s="204">
        <f t="shared" si="24"/>
        <v>1</v>
      </c>
      <c r="Y53" s="204">
        <f t="shared" si="25"/>
        <v>23.2957</v>
      </c>
      <c r="Z53" s="204">
        <f t="shared" si="26"/>
        <v>1.47E-2</v>
      </c>
      <c r="AA53" s="204">
        <f t="shared" si="9"/>
        <v>23.280999999999999</v>
      </c>
      <c r="AB53" s="54" t="e">
        <f>VLOOKUP(A53,Enforcements!$C$7:$K$11,8,0)</f>
        <v>#N/A</v>
      </c>
      <c r="AC53" s="51" t="e">
        <f>VLOOKUP(A53,Enforcements!$C$7:$E$11,3,0)</f>
        <v>#N/A</v>
      </c>
      <c r="AD53" s="179">
        <f t="shared" si="10"/>
        <v>140</v>
      </c>
      <c r="AE53" s="77" t="str">
        <f t="shared" si="11"/>
        <v>aws s3 cp s3://rtdc.mdm.uploadarchive.raw/RTDC4065/ "%USERPROFILE%\AppData\Local\Temp\OnboardLogs"\RTDC4065\2017-09-24 --exclude "*" --recursive --include "*20170924*" &amp; "%USERPROFILE%\Documents\GitHub\mrs-test-scripts\Headless Mode &amp; Sideloading\WalkAndUnGZ.bat" "%USERPROFILE%\AppData\Local\Temp\OnboardLogs"\RTDC4065\2017-09-24 &amp; aws s3 cp s3://rtdc.mdm.uploadarchive.raw/RTDC4065/ "%USERPROFILE%\AppData\Local\Temp\OnboardLogs"\RTDC4065\2017-09-25 --exclude "*" --recursive --include "*20170925*" &amp; "%USERPROFILE%\Documents\GitHub\mrs-test-scripts\Headless Mode &amp; Sideloading\WalkAndUnGZ.bat" "%USERPROFILE%\AppData\Local\Temp\OnboardLogs"\RTDC4065\2017-09-25</v>
      </c>
      <c r="AF53" s="74" t="str">
        <f t="shared" si="12"/>
        <v>"C:\Program Files (x86)\AstroGrep\AstroGrep.exe" /e /r /s /spath="%USERPROFILE%\AppData\Local\Temp\OnboardLogs" /stypes="app*4065*20170924*" /stext=" 16:.+((SYSTEM_STATE.+slice.+state.+changed )|(ment ac)|(multiple cpu faults)|(system.+state.+changed )|(\[timeout)|(PRM\|1\|D)|(kpr)|(kdp)|(train st.+moving)|(\|lc)|(penalty))"</v>
      </c>
      <c r="AG53" s="182" t="str">
        <f t="shared" si="13"/>
        <v>EC</v>
      </c>
      <c r="AH53" s="78" t="str">
        <f t="shared" si="18"/>
        <v>"%USERPROFILE%\Documents\GitHub\eaglep3\Utilities\RefineRTDCRunTimes.py" --tripid 140-24 --locoid 4065 --swversion DE.1.0.9.0 --startMP 204:232957 --initTime 2017-09-24T09:24:13 --startdatetime 2017-09-24T09:27:25 --delay 53 --endMP 204:147 --enddatetime 2017-09-24T10:09:11 --enforcementcount 0 &gt;&gt;c:\users\stu\Documents\GitHub\eaglep3-reporting\EC\2017-09-24-refined-times.txt</v>
      </c>
      <c r="AI53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{"issue":{"subject":"","project_id":79,"tracker_id":40,"status_id":1,"priority_id":2,"assigned_to_id":338,"start_date":"2017-09-24","description":"","custom_fields":[{"id":1,"name":"Subdivision","value":"EC"},{"id":4,"name":"Milepost","value":"0.0147"},{"id":17,"name":"Train ID","value":"140-24"},{"id":16,"name":"Locomotive ID","value":"4065"},{"id":130,"name":"Impact","value":""},{"id":150,"name":"Time of Event (Mountain Time)","value":"10:09:11"},{"id":151,"name":"Denver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2" t="str">
        <f t="shared" si="20"/>
        <v>start /low /b %USERPROFILE%\Documents\GitHub\eaglep3\Utilities\DownloadLogsFromS3.py --loco 4065 --day 2017-09-24</v>
      </c>
      <c r="AN53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16:09:11"},{"id":29,"name":"Sharepoint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168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Message%20ID',Summary),filters:!(),index:'emp_*',interval:auto,query:"&amp;"(query_string:(analyze_wildcard:!t,query:'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-09-24T08:24:13-0600',mode:absolute,to:'2017-09-24T11:09:11-0600'))&amp;_a=(columns:!('Message%20ID',Summary),filters:!(),index:'emp_*',interval:auto,query:(query_string:(analyze_wildcard:!t,query:'%22rtdc.l.rtdc.4065%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676</v>
      </c>
      <c r="B54" s="7">
        <v>4024</v>
      </c>
      <c r="C54" s="21" t="s">
        <v>196</v>
      </c>
      <c r="D54" s="21" t="s">
        <v>417</v>
      </c>
      <c r="E54" s="13">
        <v>43002.360092592593</v>
      </c>
      <c r="F54" s="13">
        <v>43002.364756944444</v>
      </c>
      <c r="G54" s="7">
        <v>74</v>
      </c>
      <c r="H54" s="21" t="s">
        <v>838</v>
      </c>
      <c r="I54" s="13">
        <v>43002.390162037038</v>
      </c>
      <c r="J54" s="7">
        <v>0</v>
      </c>
      <c r="K54" s="89" t="str">
        <f t="shared" si="0"/>
        <v>4023/4024</v>
      </c>
      <c r="L54" s="185" t="str">
        <f>VLOOKUP(A54,'Trips&amp;Operators'!$C$1:$G$99911,5,FALSE)</f>
        <v>WILLIAMS DONTE</v>
      </c>
      <c r="M54" s="6">
        <f t="shared" si="1"/>
        <v>2.5405092594155576E-2</v>
      </c>
      <c r="N54" s="7">
        <f t="shared" si="22"/>
        <v>36.58333333558403</v>
      </c>
      <c r="O54" s="7"/>
      <c r="P54" s="7"/>
      <c r="Q54" s="22"/>
      <c r="R54" s="174"/>
      <c r="S54" s="221">
        <f t="shared" si="23"/>
        <v>1</v>
      </c>
      <c r="T54" s="174" t="str">
        <f t="shared" si="4"/>
        <v>NorthBound</v>
      </c>
      <c r="U54" s="198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16" t="str">
        <f t="shared" si="5"/>
        <v>https://d0f6bd738d7f1b3e5a7ca70fe4ff75f0.us-east-1.aws.found.io/app/kibana#/discover/Steve-Slow-Train-Analysis-(2080s-and-2083s)?_g=(refreshInterval:(display:Off,pause:!f,section:0,value:0),time:(from:'2017-09-24T07:38:32-0600',mode:absolute,to:'2017-09-24T10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4" s="204" t="str">
        <f>IF(AA54&lt;VLOOKUP(AG54,Variables!$AC$3:$AD$8,2,FALSE),"Y","N")</f>
        <v>N</v>
      </c>
      <c r="X54" s="204">
        <f t="shared" si="24"/>
        <v>1</v>
      </c>
      <c r="Y54" s="204">
        <f t="shared" si="25"/>
        <v>4.7300000000000002E-2</v>
      </c>
      <c r="Z54" s="204">
        <f t="shared" si="26"/>
        <v>23.330400000000001</v>
      </c>
      <c r="AA54" s="204">
        <f t="shared" si="9"/>
        <v>23.283100000000001</v>
      </c>
      <c r="AB54" s="54" t="e">
        <f>VLOOKUP(A54,Enforcements!$C$7:$K$11,8,0)</f>
        <v>#N/A</v>
      </c>
      <c r="AC54" s="51" t="e">
        <f>VLOOKUP(A54,Enforcements!$C$7:$E$11,3,0)</f>
        <v>#N/A</v>
      </c>
      <c r="AD54" s="179">
        <f t="shared" si="10"/>
        <v>141</v>
      </c>
      <c r="AE54" s="77" t="str">
        <f t="shared" si="11"/>
        <v>aws s3 cp s3://rtdc.mdm.uploadarchive.raw/RTDC4024/ "%USERPROFILE%\AppData\Local\Temp\OnboardLogs"\RTDC4024\2017-09-24 --exclude "*" --recursive --include "*20170924*" &amp; "%USERPROFILE%\Documents\GitHub\mrs-test-scripts\Headless Mode &amp; Sideloading\WalkAndUnGZ.bat" "%USERPROFILE%\AppData\Local\Temp\OnboardLogs"\RTDC4024\2017-09-24 &amp; aws s3 cp s3://rtdc.mdm.uploadarchive.raw/RTDC4024/ "%USERPROFILE%\AppData\Local\Temp\OnboardLogs"\RTDC4024\2017-09-25 --exclude "*" --recursive --include "*20170925*" &amp; "%USERPROFILE%\Documents\GitHub\mrs-test-scripts\Headless Mode &amp; Sideloading\WalkAndUnGZ.bat" "%USERPROFILE%\AppData\Local\Temp\OnboardLogs"\RTDC4024\2017-09-25</v>
      </c>
      <c r="AF54" s="74" t="str">
        <f t="shared" si="12"/>
        <v>"C:\Program Files (x86)\AstroGrep\AstroGrep.exe" /e /r /s /spath="%USERPROFILE%\AppData\Local\Temp\OnboardLogs" /stypes="app*4024*20170924*" /stext=" 15:.+((SYSTEM_STATE.+slice.+state.+changed )|(ment ac)|(multiple cpu faults)|(system.+state.+changed )|(\[timeout)|(PRM\|1\|D)|(kpr)|(kdp)|(train st.+moving)|(\|lc)|(penalty))"</v>
      </c>
      <c r="AG54" s="182" t="str">
        <f t="shared" si="13"/>
        <v>EC</v>
      </c>
      <c r="AH54" s="78" t="str">
        <f t="shared" si="18"/>
        <v>"%USERPROFILE%\Documents\GitHub\eaglep3\Utilities\RefineRTDCRunTimes.py" --tripid 141-24 --locoid 4024 --swversion DE.1.0.9.0 --startMP 204:473 --initTime 2017-09-24T08:38:32 --startdatetime 2017-09-24T08:45:15 --delay 74 --endMP 204:233304 --enddatetime 2017-09-24T09:21:50 --enforcementcount 0 &gt;&gt;c:\users\stu\Documents\GitHub\eaglep3-reporting\EC\2017-09-24-refined-times.txt</v>
      </c>
      <c r="AI54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{"issue":{"subject":"","project_id":79,"tracker_id":40,"status_id":1,"priority_id":2,"assigned_to_id":338,"start_date":"2017-09-24","description":"","custom_fields":[{"id":1,"name":"Subdivision","value":"EC"},{"id":4,"name":"Milepost","value":"23.3304"},{"id":17,"name":"Train ID","value":"141-24"},{"id":16,"name":"Locomotive ID","value":"4024"},{"id":130,"name":"Impact","value":""},{"id":150,"name":"Time of Event (Mountain Time)","value":"09:21:50"},{"id":151,"name":"Denver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2" t="str">
        <f t="shared" si="20"/>
        <v>start /low /b %USERPROFILE%\Documents\GitHub\eaglep3\Utilities\DownloadLogsFromS3.py --loco 4024 --day 2017-09-24</v>
      </c>
      <c r="AN54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15:21:50"},{"id":29,"name":"Sharepoint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168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Message%20ID',Summary),filters:!(),index:'emp_*',interval:auto,query:"&amp;"(query_string:(analyze_wildcard:!t,query:'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-09-24T07:38:32-0600',mode:absolute,to:'2017-09-24T10:21:50-0600'))&amp;_a=(columns:!('Message%20ID',Summary),filters:!(),index:'emp_*',interval:auto,query:(query_string:(analyze_wildcard:!t,query:'%22rtdc.l.rtdc.4024%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683</v>
      </c>
      <c r="B55" s="7">
        <v>4023</v>
      </c>
      <c r="C55" s="21" t="s">
        <v>196</v>
      </c>
      <c r="D55" s="21" t="s">
        <v>402</v>
      </c>
      <c r="E55" s="13">
        <v>43002.400810185187</v>
      </c>
      <c r="F55" s="13">
        <v>43002.404374999998</v>
      </c>
      <c r="G55" s="7">
        <v>60</v>
      </c>
      <c r="H55" s="21" t="s">
        <v>358</v>
      </c>
      <c r="I55" s="13">
        <v>43002.431145833332</v>
      </c>
      <c r="J55" s="7">
        <v>0</v>
      </c>
      <c r="K55" s="89" t="str">
        <f t="shared" si="0"/>
        <v>4023/4024</v>
      </c>
      <c r="L55" s="185" t="str">
        <f>VLOOKUP(A55,'Trips&amp;Operators'!$C$1:$G$99911,5,FALSE)</f>
        <v>WILLIAMS DONTE</v>
      </c>
      <c r="M55" s="6">
        <f t="shared" si="1"/>
        <v>2.6770833334012423E-2</v>
      </c>
      <c r="N55" s="7">
        <f t="shared" si="22"/>
        <v>38.550000000977889</v>
      </c>
      <c r="O55" s="7"/>
      <c r="P55" s="7"/>
      <c r="Q55" s="22"/>
      <c r="R55" s="174"/>
      <c r="S55" s="221">
        <f t="shared" si="23"/>
        <v>1</v>
      </c>
      <c r="T55" s="174" t="str">
        <f t="shared" si="4"/>
        <v>Southbound</v>
      </c>
      <c r="U55" s="198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16" t="str">
        <f t="shared" si="5"/>
        <v>https://d0f6bd738d7f1b3e5a7ca70fe4ff75f0.us-east-1.aws.found.io/app/kibana#/discover/Steve-Slow-Train-Analysis-(2080s-and-2083s)?_g=(refreshInterval:(display:Off,pause:!f,section:0,value:0),time:(from:'2017-09-24T08:37:10-0600',mode:absolute,to:'2017-09-24T11:20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55" s="204" t="str">
        <f>IF(AA55&lt;VLOOKUP(AG55,Variables!$AC$3:$AD$8,2,FALSE),"Y","N")</f>
        <v>N</v>
      </c>
      <c r="X55" s="204">
        <f t="shared" si="24"/>
        <v>1</v>
      </c>
      <c r="Y55" s="204">
        <f t="shared" si="25"/>
        <v>23.298100000000002</v>
      </c>
      <c r="Z55" s="204">
        <f t="shared" si="26"/>
        <v>1.52E-2</v>
      </c>
      <c r="AA55" s="204">
        <f t="shared" si="9"/>
        <v>23.282900000000001</v>
      </c>
      <c r="AB55" s="54" t="e">
        <f>VLOOKUP(A55,Enforcements!$C$7:$K$11,8,0)</f>
        <v>#N/A</v>
      </c>
      <c r="AC55" s="51" t="e">
        <f>VLOOKUP(A55,Enforcements!$C$7:$E$11,3,0)</f>
        <v>#N/A</v>
      </c>
      <c r="AD55" s="179">
        <f t="shared" si="10"/>
        <v>142</v>
      </c>
      <c r="AE55" s="77" t="str">
        <f t="shared" si="11"/>
        <v>aws s3 cp s3://rtdc.mdm.uploadarchive.raw/RTDC4023/ "%USERPROFILE%\AppData\Local\Temp\OnboardLogs"\RTDC4023\2017-09-24 --exclude "*" --recursive --include "*20170924*" &amp; "%USERPROFILE%\Documents\GitHub\mrs-test-scripts\Headless Mode &amp; Sideloading\WalkAndUnGZ.bat" "%USERPROFILE%\AppData\Local\Temp\OnboardLogs"\RTDC4023\2017-09-24 &amp; aws s3 cp s3://rtdc.mdm.uploadarchive.raw/RTDC4023/ "%USERPROFILE%\AppData\Local\Temp\OnboardLogs"\RTDC4023\2017-09-25 --exclude "*" --recursive --include "*20170925*" &amp; "%USERPROFILE%\Documents\GitHub\mrs-test-scripts\Headless Mode &amp; Sideloading\WalkAndUnGZ.bat" "%USERPROFILE%\AppData\Local\Temp\OnboardLogs"\RTDC4023\2017-09-25</v>
      </c>
      <c r="AF55" s="74" t="str">
        <f t="shared" si="12"/>
        <v>"C:\Program Files (x86)\AstroGrep\AstroGrep.exe" /e /r /s /spath="%USERPROFILE%\AppData\Local\Temp\OnboardLogs" /stypes="app*4023*20170924*" /stext=" 16:.+((SYSTEM_STATE.+slice.+state.+changed )|(ment ac)|(multiple cpu faults)|(system.+state.+changed )|(\[timeout)|(PRM\|1\|D)|(kpr)|(kdp)|(train st.+moving)|(\|lc)|(penalty))"</v>
      </c>
      <c r="AG55" s="182" t="str">
        <f t="shared" si="13"/>
        <v>EC</v>
      </c>
      <c r="AH55" s="78" t="str">
        <f t="shared" si="18"/>
        <v>"%USERPROFILE%\Documents\GitHub\eaglep3\Utilities\RefineRTDCRunTimes.py" --tripid 142-24 --locoid 4023 --swversion DE.1.0.9.0 --startMP 204:232981 --initTime 2017-09-24T09:37:10 --startdatetime 2017-09-24T09:42:18 --delay 60 --endMP 204:152 --enddatetime 2017-09-24T10:20:51 --enforcementcount 0 &gt;&gt;c:\users\stu\Documents\GitHub\eaglep3-reporting\EC\2017-09-24-refined-times.txt</v>
      </c>
      <c r="AI55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{"issue":{"subject":"","project_id":79,"tracker_id":40,"status_id":1,"priority_id":2,"assigned_to_id":338,"start_date":"2017-09-24","description":"","custom_fields":[{"id":1,"name":"Subdivision","value":"EC"},{"id":4,"name":"Milepost","value":"0.0152"},{"id":17,"name":"Train ID","value":"142-24"},{"id":16,"name":"Locomotive ID","value":"4023"},{"id":130,"name":"Impact","value":""},{"id":150,"name":"Time of Event (Mountain Time)","value":"10:20:51"},{"id":151,"name":"Denver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2" t="str">
        <f t="shared" si="20"/>
        <v>start /low /b %USERPROFILE%\Documents\GitHub\eaglep3\Utilities\DownloadLogsFromS3.py --loco 4023 --day 2017-09-24</v>
      </c>
      <c r="AN55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16:20:51"},{"id":29,"name":"Sharepoint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168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Message%20ID',Summary),filters:!(),index:'emp_*',interval:auto,query:"&amp;"(query_string:(analyze_wildcard:!t,query:'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-09-24T08:37:10-0600',mode:absolute,to:'2017-09-24T11:20:51-0600'))&amp;_a=(columns:!('Message%20ID',Summary),filters:!(),index:'emp_*',interval:auto,query:(query_string:(analyze_wildcard:!t,query:'%22rtdc.l.rtdc.4023%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679</v>
      </c>
      <c r="B56" s="7">
        <v>4064</v>
      </c>
      <c r="C56" s="21" t="s">
        <v>196</v>
      </c>
      <c r="D56" s="21" t="s">
        <v>359</v>
      </c>
      <c r="E56" s="13">
        <v>43002.371354166666</v>
      </c>
      <c r="F56" s="13">
        <v>43002.375486111108</v>
      </c>
      <c r="G56" s="7">
        <v>51</v>
      </c>
      <c r="H56" s="21" t="s">
        <v>849</v>
      </c>
      <c r="I56" s="13">
        <v>43002.400879629633</v>
      </c>
      <c r="J56" s="7">
        <v>0</v>
      </c>
      <c r="K56" s="89" t="str">
        <f t="shared" si="0"/>
        <v>4063/4064</v>
      </c>
      <c r="L56" s="185" t="str">
        <f>VLOOKUP(A56,'Trips&amp;Operators'!$C$1:$G$99911,5,FALSE)</f>
        <v>LANGERAK WILLIAM</v>
      </c>
      <c r="M56" s="6">
        <f t="shared" si="1"/>
        <v>2.5393518524651881E-2</v>
      </c>
      <c r="N56" s="7">
        <f t="shared" si="22"/>
        <v>36.566666675498709</v>
      </c>
      <c r="O56" s="7"/>
      <c r="P56" s="7"/>
      <c r="Q56" s="22"/>
      <c r="R56" s="174"/>
      <c r="S56" s="221">
        <f t="shared" si="23"/>
        <v>1</v>
      </c>
      <c r="T56" s="174" t="str">
        <f t="shared" si="4"/>
        <v>NorthBound</v>
      </c>
      <c r="U56" s="198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16" t="str">
        <f t="shared" si="5"/>
        <v>https://d0f6bd738d7f1b3e5a7ca70fe4ff75f0.us-east-1.aws.found.io/app/kibana#/discover/Steve-Slow-Train-Analysis-(2080s-and-2083s)?_g=(refreshInterval:(display:Off,pause:!f,section:0,value:0),time:(from:'2017-09-24T07:54:45-0600',mode:absolute,to:'2017-09-24T10:37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56" s="204" t="str">
        <f>IF(AA56&lt;VLOOKUP(AG56,Variables!$AC$3:$AD$8,2,FALSE),"Y","N")</f>
        <v>N</v>
      </c>
      <c r="X56" s="204">
        <f t="shared" si="24"/>
        <v>1</v>
      </c>
      <c r="Y56" s="204">
        <f t="shared" si="25"/>
        <v>4.4900000000000002E-2</v>
      </c>
      <c r="Z56" s="204">
        <f t="shared" si="26"/>
        <v>23.326599999999999</v>
      </c>
      <c r="AA56" s="204">
        <f t="shared" si="9"/>
        <v>23.281700000000001</v>
      </c>
      <c r="AB56" s="54" t="e">
        <f>VLOOKUP(A56,Enforcements!$C$7:$K$11,8,0)</f>
        <v>#N/A</v>
      </c>
      <c r="AC56" s="51" t="e">
        <f>VLOOKUP(A56,Enforcements!$C$7:$E$11,3,0)</f>
        <v>#N/A</v>
      </c>
      <c r="AD56" s="179">
        <f t="shared" si="10"/>
        <v>143</v>
      </c>
      <c r="AE56" s="77" t="str">
        <f t="shared" si="11"/>
        <v>aws s3 cp s3://rtdc.mdm.uploadarchive.raw/RTDC4064/ "%USERPROFILE%\AppData\Local\Temp\OnboardLogs"\RTDC4064\2017-09-24 --exclude "*" --recursive --include "*20170924*" &amp; "%USERPROFILE%\Documents\GitHub\mrs-test-scripts\Headless Mode &amp; Sideloading\WalkAndUnGZ.bat" "%USERPROFILE%\AppData\Local\Temp\OnboardLogs"\RTDC4064\2017-09-24 &amp; aws s3 cp s3://rtdc.mdm.uploadarchive.raw/RTDC4064/ "%USERPROFILE%\AppData\Local\Temp\OnboardLogs"\RTDC4064\2017-09-25 --exclude "*" --recursive --include "*20170925*" &amp; "%USERPROFILE%\Documents\GitHub\mrs-test-scripts\Headless Mode &amp; Sideloading\WalkAndUnGZ.bat" "%USERPROFILE%\AppData\Local\Temp\OnboardLogs"\RTDC4064\2017-09-25</v>
      </c>
      <c r="AF56" s="74" t="str">
        <f t="shared" si="12"/>
        <v>"C:\Program Files (x86)\AstroGrep\AstroGrep.exe" /e /r /s /spath="%USERPROFILE%\AppData\Local\Temp\OnboardLogs" /stypes="app*4064*20170924*" /stext=" 15:.+((SYSTEM_STATE.+slice.+state.+changed )|(ment ac)|(multiple cpu faults)|(system.+state.+changed )|(\[timeout)|(PRM\|1\|D)|(kpr)|(kdp)|(train st.+moving)|(\|lc)|(penalty))"</v>
      </c>
      <c r="AG56" s="182" t="str">
        <f t="shared" si="13"/>
        <v>EC</v>
      </c>
      <c r="AH56" s="78" t="str">
        <f t="shared" si="18"/>
        <v>"%USERPROFILE%\Documents\GitHub\eaglep3\Utilities\RefineRTDCRunTimes.py" --tripid 143-24 --locoid 4064 --swversion DE.1.0.9.0 --startMP 204:449 --initTime 2017-09-24T08:54:45 --startdatetime 2017-09-24T09:00:42 --delay 51 --endMP 204:233266 --enddatetime 2017-09-24T09:37:16 --enforcementcount 0 &gt;&gt;c:\users\stu\Documents\GitHub\eaglep3-reporting\EC\2017-09-24-refined-times.txt</v>
      </c>
      <c r="AI56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{"issue":{"subject":"","project_id":79,"tracker_id":40,"status_id":1,"priority_id":2,"assigned_to_id":338,"start_date":"2017-09-24","description":"","custom_fields":[{"id":1,"name":"Subdivision","value":"EC"},{"id":4,"name":"Milepost","value":"23.3266"},{"id":17,"name":"Train ID","value":"143-24"},{"id":16,"name":"Locomotive ID","value":"4064"},{"id":130,"name":"Impact","value":""},{"id":150,"name":"Time of Event (Mountain Time)","value":"09:37:16"},{"id":151,"name":"Denver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2" t="str">
        <f t="shared" si="20"/>
        <v>start /low /b %USERPROFILE%\Documents\GitHub\eaglep3\Utilities\DownloadLogsFromS3.py --loco 4064 --day 2017-09-24</v>
      </c>
      <c r="AN56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15:37:16"},{"id":29,"name":"Sharepoint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168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Message%20ID',Summary),filters:!(),index:'emp_*',interval:auto,query:"&amp;"(query_string:(analyze_wildcard:!t,query:'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-09-24T07:54:45-0600',mode:absolute,to:'2017-09-24T10:37:16-0600'))&amp;_a=(columns:!('Message%20ID',Summary),filters:!(),index:'emp_*',interval:auto,query:(query_string:(analyze_wildcard:!t,query:'%22rtdc.l.rtdc.4064%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590</v>
      </c>
      <c r="B57" s="7">
        <v>4063</v>
      </c>
      <c r="C57" s="21" t="s">
        <v>196</v>
      </c>
      <c r="D57" s="21" t="s">
        <v>850</v>
      </c>
      <c r="E57" s="13">
        <v>43002.402395833335</v>
      </c>
      <c r="F57" s="13">
        <v>43002.414780092593</v>
      </c>
      <c r="G57" s="7">
        <v>56</v>
      </c>
      <c r="H57" s="21" t="s">
        <v>851</v>
      </c>
      <c r="I57" s="13">
        <v>43002.443252314813</v>
      </c>
      <c r="J57" s="7">
        <v>0</v>
      </c>
      <c r="K57" s="89" t="str">
        <f t="shared" si="0"/>
        <v>4063/4064</v>
      </c>
      <c r="L57" s="185" t="str">
        <f>VLOOKUP(A57,'Trips&amp;Operators'!$C$1:$G$99911,5,FALSE)</f>
        <v>LANGERAK WILLIAM</v>
      </c>
      <c r="M57" s="6">
        <f t="shared" si="1"/>
        <v>2.8472222220443655E-2</v>
      </c>
      <c r="N57" s="7">
        <f t="shared" si="22"/>
        <v>40.999999997438863</v>
      </c>
      <c r="O57" s="7"/>
      <c r="P57" s="7"/>
      <c r="Q57" s="22"/>
      <c r="R57" s="174"/>
      <c r="S57" s="221">
        <f t="shared" si="23"/>
        <v>1</v>
      </c>
      <c r="T57" s="174" t="str">
        <f t="shared" si="4"/>
        <v>Southbound</v>
      </c>
      <c r="U57" s="198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16" t="str">
        <f t="shared" si="5"/>
        <v>https://d0f6bd738d7f1b3e5a7ca70fe4ff75f0.us-east-1.aws.found.io/app/kibana#/discover/Steve-Slow-Train-Analysis-(2080s-and-2083s)?_g=(refreshInterval:(display:Off,pause:!f,section:0,value:0),time:(from:'2017-09-24T08:39:27-0600',mode:absolute,to:'2017-09-24T11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7" s="204" t="str">
        <f>IF(AA57&lt;VLOOKUP(AG57,Variables!$AC$3:$AD$8,2,FALSE),"Y","N")</f>
        <v>N</v>
      </c>
      <c r="X57" s="204">
        <f t="shared" si="24"/>
        <v>1</v>
      </c>
      <c r="Y57" s="204">
        <f t="shared" si="25"/>
        <v>23.295200000000001</v>
      </c>
      <c r="Z57" s="204">
        <f t="shared" si="26"/>
        <v>1.7000000000000001E-2</v>
      </c>
      <c r="AA57" s="204">
        <f t="shared" si="9"/>
        <v>23.278200000000002</v>
      </c>
      <c r="AB57" s="54" t="e">
        <f>VLOOKUP(A57,Enforcements!$C$7:$K$11,8,0)</f>
        <v>#N/A</v>
      </c>
      <c r="AC57" s="51" t="e">
        <f>VLOOKUP(A57,Enforcements!$C$7:$E$11,3,0)</f>
        <v>#N/A</v>
      </c>
      <c r="AD57" s="179">
        <f t="shared" si="10"/>
        <v>144</v>
      </c>
      <c r="AE57" s="77" t="str">
        <f t="shared" si="11"/>
        <v>aws s3 cp s3://rtdc.mdm.uploadarchive.raw/RTDC4063/ "%USERPROFILE%\AppData\Local\Temp\OnboardLogs"\RTDC4063\2017-09-24 --exclude "*" --recursive --include "*20170924*" &amp; "%USERPROFILE%\Documents\GitHub\mrs-test-scripts\Headless Mode &amp; Sideloading\WalkAndUnGZ.bat" "%USERPROFILE%\AppData\Local\Temp\OnboardLogs"\RTDC4063\2017-09-24 &amp; aws s3 cp s3://rtdc.mdm.uploadarchive.raw/RTDC4063/ "%USERPROFILE%\AppData\Local\Temp\OnboardLogs"\RTDC4063\2017-09-25 --exclude "*" --recursive --include "*20170925*" &amp; "%USERPROFILE%\Documents\GitHub\mrs-test-scripts\Headless Mode &amp; Sideloading\WalkAndUnGZ.bat" "%USERPROFILE%\AppData\Local\Temp\OnboardLogs"\RTDC4063\2017-09-25</v>
      </c>
      <c r="AF57" s="74" t="str">
        <f t="shared" si="12"/>
        <v>"C:\Program Files (x86)\AstroGrep\AstroGrep.exe" /e /r /s /spath="%USERPROFILE%\AppData\Local\Temp\OnboardLogs" /stypes="app*4063*20170924*" /stext=" 16:.+((SYSTEM_STATE.+slice.+state.+changed )|(ment ac)|(multiple cpu faults)|(system.+state.+changed )|(\[timeout)|(PRM\|1\|D)|(kpr)|(kdp)|(train st.+moving)|(\|lc)|(penalty))"</v>
      </c>
      <c r="AG57" s="182" t="str">
        <f t="shared" si="13"/>
        <v>EC</v>
      </c>
      <c r="AH57" s="78" t="str">
        <f t="shared" si="18"/>
        <v>"%USERPROFILE%\Documents\GitHub\eaglep3\Utilities\RefineRTDCRunTimes.py" --tripid 144-24 --locoid 4063 --swversion DE.1.0.9.0 --startMP 204:232952 --initTime 2017-09-24T09:39:27 --startdatetime 2017-09-24T09:57:17 --delay 56 --endMP 204:170 --enddatetime 2017-09-24T10:38:17 --enforcementcount 0 &gt;&gt;c:\users\stu\Documents\GitHub\eaglep3-reporting\EC\2017-09-24-refined-times.txt</v>
      </c>
      <c r="AI57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{"issue":{"subject":"","project_id":79,"tracker_id":40,"status_id":1,"priority_id":2,"assigned_to_id":338,"start_date":"2017-09-24","description":"","custom_fields":[{"id":1,"name":"Subdivision","value":"EC"},{"id":4,"name":"Milepost","value":"0.017"},{"id":17,"name":"Train ID","value":"144-24"},{"id":16,"name":"Locomotive ID","value":"4063"},{"id":130,"name":"Impact","value":""},{"id":150,"name":"Time of Event (Mountain Time)","value":"10:38:17"},{"id":151,"name":"Denver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2" t="str">
        <f t="shared" si="20"/>
        <v>start /low /b %USERPROFILE%\Documents\GitHub\eaglep3\Utilities\DownloadLogsFromS3.py --loco 4063 --day 2017-09-24</v>
      </c>
      <c r="AN57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16:38:17"},{"id":29,"name":"Sharepoint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168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Message%20ID',Summary),filters:!(),index:'emp_*',interval:auto,query:"&amp;"(query_string:(analyze_wildcard:!t,query:'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-09-24T08:39:27-0600',mode:absolute,to:'2017-09-24T11:38:17-0600'))&amp;_a=(columns:!('Message%20ID',Summary),filters:!(),index:'emp_*',interval:auto,query:(query_string:(analyze_wildcard:!t,query:'%22rtdc.l.rtdc.4063%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681</v>
      </c>
      <c r="B58" s="7">
        <v>4018</v>
      </c>
      <c r="C58" s="21" t="s">
        <v>196</v>
      </c>
      <c r="D58" s="21" t="s">
        <v>421</v>
      </c>
      <c r="E58" s="13">
        <v>43002.382175925923</v>
      </c>
      <c r="F58" s="13">
        <v>43002.385578703703</v>
      </c>
      <c r="G58" s="7">
        <v>57</v>
      </c>
      <c r="H58" s="21" t="s">
        <v>394</v>
      </c>
      <c r="I58" s="13">
        <v>43002.410185185188</v>
      </c>
      <c r="J58" s="7">
        <v>0</v>
      </c>
      <c r="K58" s="89" t="str">
        <f t="shared" si="0"/>
        <v>4017/4018</v>
      </c>
      <c r="L58" s="185" t="str">
        <f>VLOOKUP(A58,'Trips&amp;Operators'!$C$1:$G$99911,5,FALSE)</f>
        <v>LAMAR NEKESHA</v>
      </c>
      <c r="M58" s="6">
        <f t="shared" si="1"/>
        <v>2.4606481485534459E-2</v>
      </c>
      <c r="N58" s="7">
        <f t="shared" si="22"/>
        <v>35.433333339169621</v>
      </c>
      <c r="O58" s="7"/>
      <c r="P58" s="7"/>
      <c r="Q58" s="22"/>
      <c r="R58" s="174"/>
      <c r="S58" s="221">
        <f t="shared" si="23"/>
        <v>1</v>
      </c>
      <c r="T58" s="174" t="str">
        <f t="shared" si="4"/>
        <v>NorthBound</v>
      </c>
      <c r="U58" s="198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16" t="str">
        <f t="shared" si="5"/>
        <v>https://d0f6bd738d7f1b3e5a7ca70fe4ff75f0.us-east-1.aws.found.io/app/kibana#/discover/Steve-Slow-Train-Analysis-(2080s-and-2083s)?_g=(refreshInterval:(display:Off,pause:!f,section:0,value:0),time:(from:'2017-09-24T08:10:20-0600',mode:absolute,to:'2017-09-24T10:50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8" s="204" t="str">
        <f>IF(AA58&lt;VLOOKUP(AG58,Variables!$AC$3:$AD$8,2,FALSE),"Y","N")</f>
        <v>N</v>
      </c>
      <c r="X58" s="204">
        <f t="shared" si="24"/>
        <v>1</v>
      </c>
      <c r="Y58" s="204">
        <f t="shared" si="25"/>
        <v>4.7500000000000001E-2</v>
      </c>
      <c r="Z58" s="204">
        <f t="shared" si="26"/>
        <v>23.328900000000001</v>
      </c>
      <c r="AA58" s="204">
        <f t="shared" si="9"/>
        <v>23.281400000000001</v>
      </c>
      <c r="AB58" s="54" t="e">
        <f>VLOOKUP(A58,Enforcements!$C$7:$K$11,8,0)</f>
        <v>#N/A</v>
      </c>
      <c r="AC58" s="51" t="e">
        <f>VLOOKUP(A58,Enforcements!$C$7:$E$11,3,0)</f>
        <v>#N/A</v>
      </c>
      <c r="AD58" s="179">
        <f t="shared" si="10"/>
        <v>145</v>
      </c>
      <c r="AE58" s="77" t="str">
        <f t="shared" si="11"/>
        <v>aws s3 cp s3://rtdc.mdm.uploadarchive.raw/RTDC4018/ "%USERPROFILE%\AppData\Local\Temp\OnboardLogs"\RTDC4018\2017-09-24 --exclude "*" --recursive --include "*20170924*" &amp; "%USERPROFILE%\Documents\GitHub\mrs-test-scripts\Headless Mode &amp; Sideloading\WalkAndUnGZ.bat" "%USERPROFILE%\AppData\Local\Temp\OnboardLogs"\RTDC4018\2017-09-24 &amp; aws s3 cp s3://rtdc.mdm.uploadarchive.raw/RTDC4018/ "%USERPROFILE%\AppData\Local\Temp\OnboardLogs"\RTDC4018\2017-09-25 --exclude "*" --recursive --include "*20170925*" &amp; "%USERPROFILE%\Documents\GitHub\mrs-test-scripts\Headless Mode &amp; Sideloading\WalkAndUnGZ.bat" "%USERPROFILE%\AppData\Local\Temp\OnboardLogs"\RTDC4018\2017-09-25</v>
      </c>
      <c r="AF58" s="74" t="str">
        <f t="shared" si="12"/>
        <v>"C:\Program Files (x86)\AstroGrep\AstroGrep.exe" /e /r /s /spath="%USERPROFILE%\AppData\Local\Temp\OnboardLogs" /stypes="app*4018*20170924*" /stext=" 15:.+((SYSTEM_STATE.+slice.+state.+changed )|(ment ac)|(multiple cpu faults)|(system.+state.+changed )|(\[timeout)|(PRM\|1\|D)|(kpr)|(kdp)|(train st.+moving)|(\|lc)|(penalty))"</v>
      </c>
      <c r="AG58" s="182" t="str">
        <f t="shared" si="13"/>
        <v>EC</v>
      </c>
      <c r="AH58" s="78" t="str">
        <f t="shared" si="18"/>
        <v>"%USERPROFILE%\Documents\GitHub\eaglep3\Utilities\RefineRTDCRunTimes.py" --tripid 145-24 --locoid 4018 --swversion DE.1.0.9.0 --startMP 204:475 --initTime 2017-09-24T09:10:20 --startdatetime 2017-09-24T09:15:14 --delay 57 --endMP 204:233289 --enddatetime 2017-09-24T09:50:40 --enforcementcount 0 &gt;&gt;c:\users\stu\Documents\GitHub\eaglep3-reporting\EC\2017-09-24-refined-times.txt</v>
      </c>
      <c r="AI58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{"issue":{"subject":"","project_id":79,"tracker_id":40,"status_id":1,"priority_id":2,"assigned_to_id":338,"start_date":"2017-09-24","description":"","custom_fields":[{"id":1,"name":"Subdivision","value":"EC"},{"id":4,"name":"Milepost","value":"23.3289"},{"id":17,"name":"Train ID","value":"145-24"},{"id":16,"name":"Locomotive ID","value":"4018"},{"id":130,"name":"Impact","value":""},{"id":150,"name":"Time of Event (Mountain Time)","value":"09:50:40"},{"id":151,"name":"Denver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2" t="str">
        <f t="shared" si="20"/>
        <v>start /low /b %USERPROFILE%\Documents\GitHub\eaglep3\Utilities\DownloadLogsFromS3.py --loco 4018 --day 2017-09-24</v>
      </c>
      <c r="AN58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15:50:40"},{"id":29,"name":"Sharepoint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168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Message%20ID',Summary),filters:!(),index:'emp_*',interval:auto,query:"&amp;"(query_string:(analyze_wildcard:!t,query:'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-09-24T08:10:20-0600',mode:absolute,to:'2017-09-24T10:50:40-0600'))&amp;_a=(columns:!('Message%20ID',Summary),filters:!(),index:'emp_*',interval:auto,query:(query_string:(analyze_wildcard:!t,query:'%22rtdc.l.rtdc.4018%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688</v>
      </c>
      <c r="B59" s="7">
        <v>4017</v>
      </c>
      <c r="C59" s="21" t="s">
        <v>196</v>
      </c>
      <c r="D59" s="21" t="s">
        <v>558</v>
      </c>
      <c r="E59" s="13">
        <v>43002.422986111109</v>
      </c>
      <c r="F59" s="13">
        <v>43002.425185185188</v>
      </c>
      <c r="G59" s="7">
        <v>64</v>
      </c>
      <c r="H59" s="21" t="s">
        <v>852</v>
      </c>
      <c r="I59" s="13">
        <v>43002.450949074075</v>
      </c>
      <c r="J59" s="7">
        <v>0</v>
      </c>
      <c r="K59" s="89" t="str">
        <f t="shared" si="0"/>
        <v>4017/4018</v>
      </c>
      <c r="L59" s="185" t="str">
        <f>VLOOKUP(A59,'Trips&amp;Operators'!$C$1:$G$99911,5,FALSE)</f>
        <v>LAMAR NEKESHA</v>
      </c>
      <c r="M59" s="6">
        <f t="shared" si="1"/>
        <v>2.5763888887013309E-2</v>
      </c>
      <c r="N59" s="7">
        <f t="shared" si="22"/>
        <v>37.099999997299165</v>
      </c>
      <c r="O59" s="7"/>
      <c r="P59" s="7"/>
      <c r="Q59" s="22"/>
      <c r="R59" s="174"/>
      <c r="S59" s="221">
        <f t="shared" si="23"/>
        <v>1</v>
      </c>
      <c r="T59" s="174" t="str">
        <f t="shared" si="4"/>
        <v>Southbound</v>
      </c>
      <c r="U59" s="198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16" t="str">
        <f t="shared" si="5"/>
        <v>https://d0f6bd738d7f1b3e5a7ca70fe4ff75f0.us-east-1.aws.found.io/app/kibana#/discover/Steve-Slow-Train-Analysis-(2080s-and-2083s)?_g=(refreshInterval:(display:Off,pause:!f,section:0,value:0),time:(from:'2017-09-24T09:09:06-0600',mode:absolute,to:'2017-09-24T11:49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59" s="204" t="str">
        <f>IF(AA59&lt;VLOOKUP(AG59,Variables!$AC$3:$AD$8,2,FALSE),"Y","N")</f>
        <v>N</v>
      </c>
      <c r="X59" s="204">
        <f t="shared" si="24"/>
        <v>1</v>
      </c>
      <c r="Y59" s="204">
        <f t="shared" si="25"/>
        <v>23.297899999999998</v>
      </c>
      <c r="Z59" s="204">
        <f t="shared" si="26"/>
        <v>1.7600000000000001E-2</v>
      </c>
      <c r="AA59" s="204">
        <f t="shared" si="9"/>
        <v>23.280299999999997</v>
      </c>
      <c r="AB59" s="54" t="e">
        <f>VLOOKUP(A59,Enforcements!$C$7:$K$11,8,0)</f>
        <v>#N/A</v>
      </c>
      <c r="AC59" s="51" t="e">
        <f>VLOOKUP(A59,Enforcements!$C$7:$E$11,3,0)</f>
        <v>#N/A</v>
      </c>
      <c r="AD59" s="179">
        <f t="shared" si="10"/>
        <v>146</v>
      </c>
      <c r="AE59" s="77" t="str">
        <f t="shared" si="11"/>
        <v>aws s3 cp s3://rtdc.mdm.uploadarchive.raw/RTDC4017/ "%USERPROFILE%\AppData\Local\Temp\OnboardLogs"\RTDC4017\2017-09-24 --exclude "*" --recursive --include "*20170924*" &amp; "%USERPROFILE%\Documents\GitHub\mrs-test-scripts\Headless Mode &amp; Sideloading\WalkAndUnGZ.bat" "%USERPROFILE%\AppData\Local\Temp\OnboardLogs"\RTDC4017\2017-09-24 &amp; aws s3 cp s3://rtdc.mdm.uploadarchive.raw/RTDC4017/ "%USERPROFILE%\AppData\Local\Temp\OnboardLogs"\RTDC4017\2017-09-25 --exclude "*" --recursive --include "*20170925*" &amp; "%USERPROFILE%\Documents\GitHub\mrs-test-scripts\Headless Mode &amp; Sideloading\WalkAndUnGZ.bat" "%USERPROFILE%\AppData\Local\Temp\OnboardLogs"\RTDC4017\2017-09-25</v>
      </c>
      <c r="AF59" s="74" t="str">
        <f t="shared" si="12"/>
        <v>"C:\Program Files (x86)\AstroGrep\AstroGrep.exe" /e /r /s /spath="%USERPROFILE%\AppData\Local\Temp\OnboardLogs" /stypes="app*4017*20170924*" /stext=" 16:.+((SYSTEM_STATE.+slice.+state.+changed )|(ment ac)|(multiple cpu faults)|(system.+state.+changed )|(\[timeout)|(PRM\|1\|D)|(kpr)|(kdp)|(train st.+moving)|(\|lc)|(penalty))"</v>
      </c>
      <c r="AG59" s="182" t="str">
        <f t="shared" si="13"/>
        <v>EC</v>
      </c>
      <c r="AH59" s="78" t="str">
        <f t="shared" si="18"/>
        <v>"%USERPROFILE%\Documents\GitHub\eaglep3\Utilities\RefineRTDCRunTimes.py" --tripid 146-24 --locoid 4017 --swversion DE.1.0.9.0 --startMP 204:232979 --initTime 2017-09-24T10:09:06 --startdatetime 2017-09-24T10:12:16 --delay 64 --endMP 204:176 --enddatetime 2017-09-24T10:49:22 --enforcementcount 0 &gt;&gt;c:\users\stu\Documents\GitHub\eaglep3-reporting\EC\2017-09-24-refined-times.txt</v>
      </c>
      <c r="AI59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{"issue":{"subject":"","project_id":79,"tracker_id":40,"status_id":1,"priority_id":2,"assigned_to_id":338,"start_date":"2017-09-24","description":"","custom_fields":[{"id":1,"name":"Subdivision","value":"EC"},{"id":4,"name":"Milepost","value":"0.0176"},{"id":17,"name":"Train ID","value":"146-24"},{"id":16,"name":"Locomotive ID","value":"4017"},{"id":130,"name":"Impact","value":""},{"id":150,"name":"Time of Event (Mountain Time)","value":"10:49:22"},{"id":151,"name":"Denver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2" t="str">
        <f t="shared" si="20"/>
        <v>start /low /b %USERPROFILE%\Documents\GitHub\eaglep3\Utilities\DownloadLogsFromS3.py --loco 4017 --day 2017-09-24</v>
      </c>
      <c r="AN59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16:49:22"},{"id":29,"name":"Sharepoint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168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Message%20ID',Summary),filters:!(),index:'emp_*',interval:auto,query:"&amp;"(query_string:(analyze_wildcard:!t,query:'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-09-24T09:09:06-0600',mode:absolute,to:'2017-09-24T11:49:22-0600'))&amp;_a=(columns:!('Message%20ID',Summary),filters:!(),index:'emp_*',interval:auto,query:(query_string:(analyze_wildcard:!t,query:'%22rtdc.l.rtdc.4017%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682</v>
      </c>
      <c r="B60" s="7">
        <v>4046</v>
      </c>
      <c r="C60" s="21" t="s">
        <v>196</v>
      </c>
      <c r="D60" s="21" t="s">
        <v>340</v>
      </c>
      <c r="E60" s="13">
        <v>43002.391041666669</v>
      </c>
      <c r="F60" s="13">
        <v>43002.396053240744</v>
      </c>
      <c r="G60" s="7">
        <v>65</v>
      </c>
      <c r="H60" s="21" t="s">
        <v>497</v>
      </c>
      <c r="I60" s="13">
        <v>43002.421331018515</v>
      </c>
      <c r="J60" s="7">
        <v>0</v>
      </c>
      <c r="K60" s="89" t="str">
        <f t="shared" si="0"/>
        <v>4045/4046</v>
      </c>
      <c r="L60" s="185" t="str">
        <f>VLOOKUP(A60,'Trips&amp;Operators'!$C$1:$G$99911,5,FALSE)</f>
        <v>DAVIS WENDY</v>
      </c>
      <c r="M60" s="6">
        <f t="shared" si="1"/>
        <v>2.5277777771407273E-2</v>
      </c>
      <c r="N60" s="7">
        <f t="shared" si="22"/>
        <v>36.399999990826473</v>
      </c>
      <c r="O60" s="7"/>
      <c r="P60" s="7"/>
      <c r="Q60" s="22"/>
      <c r="R60" s="174"/>
      <c r="S60" s="221">
        <f t="shared" si="23"/>
        <v>1</v>
      </c>
      <c r="T60" s="174" t="str">
        <f t="shared" si="4"/>
        <v>NorthBound</v>
      </c>
      <c r="U60" s="198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16" t="str">
        <f t="shared" si="5"/>
        <v>https://d0f6bd738d7f1b3e5a7ca70fe4ff75f0.us-east-1.aws.found.io/app/kibana#/discover/Steve-Slow-Train-Analysis-(2080s-and-2083s)?_g=(refreshInterval:(display:Off,pause:!f,section:0,value:0),time:(from:'2017-09-24T08:23:06-0600',mode:absolute,to:'2017-09-24T11:06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0" s="204" t="str">
        <f>IF(AA60&lt;VLOOKUP(AG60,Variables!$AC$3:$AD$8,2,FALSE),"Y","N")</f>
        <v>N</v>
      </c>
      <c r="X60" s="204">
        <f t="shared" si="24"/>
        <v>1</v>
      </c>
      <c r="Y60" s="204">
        <f t="shared" si="25"/>
        <v>4.53E-2</v>
      </c>
      <c r="Z60" s="204">
        <f t="shared" si="26"/>
        <v>23.330100000000002</v>
      </c>
      <c r="AA60" s="204">
        <f t="shared" si="9"/>
        <v>23.284800000000001</v>
      </c>
      <c r="AB60" s="54" t="e">
        <f>VLOOKUP(A60,Enforcements!$C$7:$K$11,8,0)</f>
        <v>#N/A</v>
      </c>
      <c r="AC60" s="51" t="e">
        <f>VLOOKUP(A60,Enforcements!$C$7:$E$11,3,0)</f>
        <v>#N/A</v>
      </c>
      <c r="AD60" s="179">
        <f t="shared" si="10"/>
        <v>147</v>
      </c>
      <c r="AE60" s="77" t="str">
        <f t="shared" si="11"/>
        <v>aws s3 cp s3://rtdc.mdm.uploadarchive.raw/RTDC4046/ "%USERPROFILE%\AppData\Local\Temp\OnboardLogs"\RTDC4046\2017-09-24 --exclude "*" --recursive --include "*20170924*" &amp; "%USERPROFILE%\Documents\GitHub\mrs-test-scripts\Headless Mode &amp; Sideloading\WalkAndUnGZ.bat" "%USERPROFILE%\AppData\Local\Temp\OnboardLogs"\RTDC4046\2017-09-24 &amp; aws s3 cp s3://rtdc.mdm.uploadarchive.raw/RTDC4046/ "%USERPROFILE%\AppData\Local\Temp\OnboardLogs"\RTDC4046\2017-09-25 --exclude "*" --recursive --include "*20170925*" &amp; "%USERPROFILE%\Documents\GitHub\mrs-test-scripts\Headless Mode &amp; Sideloading\WalkAndUnGZ.bat" "%USERPROFILE%\AppData\Local\Temp\OnboardLogs"\RTDC4046\2017-09-25</v>
      </c>
      <c r="AF60" s="74" t="str">
        <f t="shared" si="12"/>
        <v>"C:\Program Files (x86)\AstroGrep\AstroGrep.exe" /e /r /s /spath="%USERPROFILE%\AppData\Local\Temp\OnboardLogs" /stypes="app*4046*20170924*" /stext=" 16:.+((SYSTEM_STATE.+slice.+state.+changed )|(ment ac)|(multiple cpu faults)|(system.+state.+changed )|(\[timeout)|(PRM\|1\|D)|(kpr)|(kdp)|(train st.+moving)|(\|lc)|(penalty))"</v>
      </c>
      <c r="AG60" s="182" t="str">
        <f t="shared" si="13"/>
        <v>EC</v>
      </c>
      <c r="AH60" s="78" t="str">
        <f t="shared" si="18"/>
        <v>"%USERPROFILE%\Documents\GitHub\eaglep3\Utilities\RefineRTDCRunTimes.py" --tripid 147-24 --locoid 4046 --swversion DE.1.0.9.0 --startMP 204:453 --initTime 2017-09-24T09:23:06 --startdatetime 2017-09-24T09:30:19 --delay 65 --endMP 204:233301 --enddatetime 2017-09-24T10:06:43 --enforcementcount 0 &gt;&gt;c:\users\stu\Documents\GitHub\eaglep3-reporting\EC\2017-09-24-refined-times.txt</v>
      </c>
      <c r="AI60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{"issue":{"subject":"","project_id":79,"tracker_id":40,"status_id":1,"priority_id":2,"assigned_to_id":338,"start_date":"2017-09-24","description":"","custom_fields":[{"id":1,"name":"Subdivision","value":"EC"},{"id":4,"name":"Milepost","value":"23.3301"},{"id":17,"name":"Train ID","value":"147-24"},{"id":16,"name":"Locomotive ID","value":"4046"},{"id":130,"name":"Impact","value":""},{"id":150,"name":"Time of Event (Mountain Time)","value":"10:06:43"},{"id":151,"name":"Denver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2" t="str">
        <f t="shared" si="20"/>
        <v>start /low /b %USERPROFILE%\Documents\GitHub\eaglep3\Utilities\DownloadLogsFromS3.py --loco 4046 --day 2017-09-24</v>
      </c>
      <c r="AN60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16:06:43"},{"id":29,"name":"Sharepoint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168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Message%20ID',Summary),filters:!(),index:'emp_*',interval:auto,query:"&amp;"(query_string:(analyze_wildcard:!t,query:'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-09-24T08:23:06-0600',mode:absolute,to:'2017-09-24T11:06:43-0600'))&amp;_a=(columns:!('Message%20ID',Summary),filters:!(),index:'emp_*',interval:auto,query:(query_string:(analyze_wildcard:!t,query:'%22rtdc.l.rtdc.4046%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690</v>
      </c>
      <c r="B61" s="7">
        <v>4045</v>
      </c>
      <c r="C61" s="21" t="s">
        <v>196</v>
      </c>
      <c r="D61" s="21" t="s">
        <v>420</v>
      </c>
      <c r="E61" s="13">
        <v>43002.42690972222</v>
      </c>
      <c r="F61" s="13">
        <v>43002.435590277775</v>
      </c>
      <c r="G61" s="7">
        <v>111</v>
      </c>
      <c r="H61" s="21" t="s">
        <v>377</v>
      </c>
      <c r="I61" s="13">
        <v>43002.463009259256</v>
      </c>
      <c r="J61" s="7">
        <v>0</v>
      </c>
      <c r="K61" s="89" t="str">
        <f t="shared" si="0"/>
        <v>4045/4046</v>
      </c>
      <c r="L61" s="185" t="str">
        <f>VLOOKUP(A61,'Trips&amp;Operators'!$C$1:$G$99911,5,FALSE)</f>
        <v>DAVIS WENDY</v>
      </c>
      <c r="M61" s="6">
        <f t="shared" si="1"/>
        <v>2.7418981480877846E-2</v>
      </c>
      <c r="N61" s="7">
        <f t="shared" si="22"/>
        <v>39.483333332464099</v>
      </c>
      <c r="O61" s="7"/>
      <c r="P61" s="7"/>
      <c r="Q61" s="22"/>
      <c r="R61" s="174"/>
      <c r="S61" s="221">
        <f t="shared" si="23"/>
        <v>1</v>
      </c>
      <c r="T61" s="174" t="str">
        <f t="shared" si="4"/>
        <v>Southbound</v>
      </c>
      <c r="U61" s="198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16" t="str">
        <f t="shared" si="5"/>
        <v>https://d0f6bd738d7f1b3e5a7ca70fe4ff75f0.us-east-1.aws.found.io/app/kibana#/discover/Steve-Slow-Train-Analysis-(2080s-and-2083s)?_g=(refreshInterval:(display:Off,pause:!f,section:0,value:0),time:(from:'2017-09-24T09:14:45-0600',mode:absolute,to:'2017-09-24T12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1" s="204" t="str">
        <f>IF(AA61&lt;VLOOKUP(AG61,Variables!$AC$3:$AD$8,2,FALSE),"Y","N")</f>
        <v>N</v>
      </c>
      <c r="X61" s="204">
        <f t="shared" si="24"/>
        <v>1</v>
      </c>
      <c r="Y61" s="204">
        <f t="shared" si="25"/>
        <v>23.298200000000001</v>
      </c>
      <c r="Z61" s="204">
        <f t="shared" si="26"/>
        <v>1.5800000000000002E-2</v>
      </c>
      <c r="AA61" s="204">
        <f t="shared" si="9"/>
        <v>23.282400000000003</v>
      </c>
      <c r="AB61" s="54" t="e">
        <f>VLOOKUP(A61,Enforcements!$C$7:$K$11,8,0)</f>
        <v>#N/A</v>
      </c>
      <c r="AC61" s="51" t="e">
        <f>VLOOKUP(A61,Enforcements!$C$7:$E$11,3,0)</f>
        <v>#N/A</v>
      </c>
      <c r="AD61" s="179">
        <f t="shared" si="10"/>
        <v>148</v>
      </c>
      <c r="AE61" s="77" t="str">
        <f t="shared" si="11"/>
        <v>aws s3 cp s3://rtdc.mdm.uploadarchive.raw/RTDC4045/ "%USERPROFILE%\AppData\Local\Temp\OnboardLogs"\RTDC4045\2017-09-24 --exclude "*" --recursive --include "*20170924*" &amp; "%USERPROFILE%\Documents\GitHub\mrs-test-scripts\Headless Mode &amp; Sideloading\WalkAndUnGZ.bat" "%USERPROFILE%\AppData\Local\Temp\OnboardLogs"\RTDC4045\2017-09-24 &amp; aws s3 cp s3://rtdc.mdm.uploadarchive.raw/RTDC4045/ "%USERPROFILE%\AppData\Local\Temp\OnboardLogs"\RTDC4045\2017-09-25 --exclude "*" --recursive --include "*20170925*" &amp; "%USERPROFILE%\Documents\GitHub\mrs-test-scripts\Headless Mode &amp; Sideloading\WalkAndUnGZ.bat" "%USERPROFILE%\AppData\Local\Temp\OnboardLogs"\RTDC4045\2017-09-25</v>
      </c>
      <c r="AF61" s="74" t="str">
        <f t="shared" si="12"/>
        <v>"C:\Program Files (x86)\AstroGrep\AstroGrep.exe" /e /r /s /spath="%USERPROFILE%\AppData\Local\Temp\OnboardLogs" /stypes="app*4045*20170924*" /stext=" 17:.+((SYSTEM_STATE.+slice.+state.+changed )|(ment ac)|(multiple cpu faults)|(system.+state.+changed )|(\[timeout)|(PRM\|1\|D)|(kpr)|(kdp)|(train st.+moving)|(\|lc)|(penalty))"</v>
      </c>
      <c r="AG61" s="182" t="str">
        <f t="shared" si="13"/>
        <v>EC</v>
      </c>
      <c r="AH61" s="78" t="str">
        <f t="shared" si="18"/>
        <v>"%USERPROFILE%\Documents\GitHub\eaglep3\Utilities\RefineRTDCRunTimes.py" --tripid 148-24 --locoid 4045 --swversion DE.1.0.9.0 --startMP 204:232982 --initTime 2017-09-24T10:14:45 --startdatetime 2017-09-24T10:27:15 --delay 111 --endMP 204:158 --enddatetime 2017-09-24T11:06:44 --enforcementcount 0 &gt;&gt;c:\users\stu\Documents\GitHub\eaglep3-reporting\EC\2017-09-24-refined-times.txt</v>
      </c>
      <c r="AI61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{"issue":{"subject":"","project_id":79,"tracker_id":40,"status_id":1,"priority_id":2,"assigned_to_id":338,"start_date":"2017-09-24","description":"","custom_fields":[{"id":1,"name":"Subdivision","value":"EC"},{"id":4,"name":"Milepost","value":"0.0158"},{"id":17,"name":"Train ID","value":"148-24"},{"id":16,"name":"Locomotive ID","value":"4045"},{"id":130,"name":"Impact","value":""},{"id":150,"name":"Time of Event (Mountain Time)","value":"11:06:44"},{"id":151,"name":"Denver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2" t="str">
        <f t="shared" si="20"/>
        <v>start /low /b %USERPROFILE%\Documents\GitHub\eaglep3\Utilities\DownloadLogsFromS3.py --loco 4045 --day 2017-09-24</v>
      </c>
      <c r="AN61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17:06:44"},{"id":29,"name":"Sharepoint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168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Message%20ID',Summary),filters:!(),index:'emp_*',interval:auto,query:"&amp;"(query_string:(analyze_wildcard:!t,query:'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-09-24T09:14:45-0600',mode:absolute,to:'2017-09-24T12:06:44-0600'))&amp;_a=(columns:!('Message%20ID',Summary),filters:!(),index:'emp_*',interval:auto,query:(query_string:(analyze_wildcard:!t,query:'%22rtdc.l.rtdc.4045%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685</v>
      </c>
      <c r="B62" s="7">
        <v>4060</v>
      </c>
      <c r="C62" s="21" t="s">
        <v>196</v>
      </c>
      <c r="D62" s="21" t="s">
        <v>376</v>
      </c>
      <c r="E62" s="13">
        <v>43002.401562500003</v>
      </c>
      <c r="F62" s="13">
        <v>43002.406435185185</v>
      </c>
      <c r="G62" s="7">
        <v>57</v>
      </c>
      <c r="H62" s="21" t="s">
        <v>408</v>
      </c>
      <c r="I62" s="13">
        <v>43002.430972222224</v>
      </c>
      <c r="J62" s="7">
        <v>0</v>
      </c>
      <c r="K62" s="89" t="str">
        <f t="shared" si="0"/>
        <v>4059/4060</v>
      </c>
      <c r="L62" s="185" t="str">
        <f>VLOOKUP(A62,'Trips&amp;Operators'!$C$1:$G$99911,5,FALSE)</f>
        <v>PAGE MARCUS</v>
      </c>
      <c r="M62" s="6">
        <f t="shared" si="1"/>
        <v>2.453703703940846E-2</v>
      </c>
      <c r="N62" s="7">
        <f t="shared" si="22"/>
        <v>35.333333336748183</v>
      </c>
      <c r="O62" s="7"/>
      <c r="P62" s="7"/>
      <c r="Q62" s="22"/>
      <c r="R62" s="174"/>
      <c r="S62" s="221">
        <f t="shared" si="23"/>
        <v>1</v>
      </c>
      <c r="T62" s="174" t="str">
        <f t="shared" si="4"/>
        <v>NorthBound</v>
      </c>
      <c r="U62" s="198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16" t="str">
        <f t="shared" si="5"/>
        <v>https://d0f6bd738d7f1b3e5a7ca70fe4ff75f0.us-east-1.aws.found.io/app/kibana#/discover/Steve-Slow-Train-Analysis-(2080s-and-2083s)?_g=(refreshInterval:(display:Off,pause:!f,section:0,value:0),time:(from:'2017-09-24T08:38:15-0600',mode:absolute,to:'2017-09-24T11:20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62" s="204" t="str">
        <f>IF(AA62&lt;VLOOKUP(AG62,Variables!$AC$3:$AD$8,2,FALSE),"Y","N")</f>
        <v>N</v>
      </c>
      <c r="X62" s="204">
        <f t="shared" si="24"/>
        <v>1</v>
      </c>
      <c r="Y62" s="204">
        <f t="shared" si="25"/>
        <v>4.5999999999999999E-2</v>
      </c>
      <c r="Z62" s="204">
        <f t="shared" si="26"/>
        <v>23.3293</v>
      </c>
      <c r="AA62" s="204">
        <f t="shared" si="9"/>
        <v>23.283300000000001</v>
      </c>
      <c r="AB62" s="54" t="e">
        <f>VLOOKUP(A62,Enforcements!$C$7:$K$11,8,0)</f>
        <v>#N/A</v>
      </c>
      <c r="AC62" s="51" t="e">
        <f>VLOOKUP(A62,Enforcements!$C$7:$E$11,3,0)</f>
        <v>#N/A</v>
      </c>
      <c r="AD62" s="179">
        <f t="shared" si="10"/>
        <v>149</v>
      </c>
      <c r="AE62" s="77" t="str">
        <f t="shared" si="11"/>
        <v>aws s3 cp s3://rtdc.mdm.uploadarchive.raw/RTDC4060/ "%USERPROFILE%\AppData\Local\Temp\OnboardLogs"\RTDC4060\2017-09-24 --exclude "*" --recursive --include "*20170924*" &amp; "%USERPROFILE%\Documents\GitHub\mrs-test-scripts\Headless Mode &amp; Sideloading\WalkAndUnGZ.bat" "%USERPROFILE%\AppData\Local\Temp\OnboardLogs"\RTDC4060\2017-09-24 &amp; aws s3 cp s3://rtdc.mdm.uploadarchive.raw/RTDC4060/ "%USERPROFILE%\AppData\Local\Temp\OnboardLogs"\RTDC4060\2017-09-25 --exclude "*" --recursive --include "*20170925*" &amp; "%USERPROFILE%\Documents\GitHub\mrs-test-scripts\Headless Mode &amp; Sideloading\WalkAndUnGZ.bat" "%USERPROFILE%\AppData\Local\Temp\OnboardLogs"\RTDC4060\2017-09-25</v>
      </c>
      <c r="AF62" s="74" t="str">
        <f t="shared" si="12"/>
        <v>"C:\Program Files (x86)\AstroGrep\AstroGrep.exe" /e /r /s /spath="%USERPROFILE%\AppData\Local\Temp\OnboardLogs" /stypes="app*4060*20170924*" /stext=" 16:.+((SYSTEM_STATE.+slice.+state.+changed )|(ment ac)|(multiple cpu faults)|(system.+state.+changed )|(\[timeout)|(PRM\|1\|D)|(kpr)|(kdp)|(train st.+moving)|(\|lc)|(penalty))"</v>
      </c>
      <c r="AG62" s="182" t="str">
        <f t="shared" si="13"/>
        <v>EC</v>
      </c>
      <c r="AH62" s="78" t="str">
        <f t="shared" si="18"/>
        <v>"%USERPROFILE%\Documents\GitHub\eaglep3\Utilities\RefineRTDCRunTimes.py" --tripid 149-24 --locoid 4060 --swversion DE.1.0.9.0 --startMP 204:460 --initTime 2017-09-24T09:38:15 --startdatetime 2017-09-24T09:45:16 --delay 57 --endMP 204:233293 --enddatetime 2017-09-24T10:20:36 --enforcementcount 0 &gt;&gt;c:\users\stu\Documents\GitHub\eaglep3-reporting\EC\2017-09-24-refined-times.txt</v>
      </c>
      <c r="AI62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{"issue":{"subject":"","project_id":79,"tracker_id":40,"status_id":1,"priority_id":2,"assigned_to_id":338,"start_date":"2017-09-24","description":"","custom_fields":[{"id":1,"name":"Subdivision","value":"EC"},{"id":4,"name":"Milepost","value":"23.3293"},{"id":17,"name":"Train ID","value":"149-24"},{"id":16,"name":"Locomotive ID","value":"4060"},{"id":130,"name":"Impact","value":""},{"id":150,"name":"Time of Event (Mountain Time)","value":"10:20:36"},{"id":151,"name":"Denver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2" t="str">
        <f t="shared" si="20"/>
        <v>start /low /b %USERPROFILE%\Documents\GitHub\eaglep3\Utilities\DownloadLogsFromS3.py --loco 4060 --day 2017-09-24</v>
      </c>
      <c r="AN62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16:20:36"},{"id":29,"name":"Sharepoint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168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Message%20ID',Summary),filters:!(),index:'emp_*',interval:auto,query:"&amp;"(query_string:(analyze_wildcard:!t,query:'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-09-24T08:38:15-0600',mode:absolute,to:'2017-09-24T11:20:36-0600'))&amp;_a=(columns:!('Message%20ID',Summary),filters:!(),index:'emp_*',interval:auto,query:(query_string:(analyze_wildcard:!t,query:'%22rtdc.l.rtdc.4060%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694</v>
      </c>
      <c r="B63" s="7">
        <v>4059</v>
      </c>
      <c r="C63" s="21" t="s">
        <v>196</v>
      </c>
      <c r="D63" s="21" t="s">
        <v>411</v>
      </c>
      <c r="E63" s="13">
        <v>43002.441944444443</v>
      </c>
      <c r="F63" s="13">
        <v>43002.446134259262</v>
      </c>
      <c r="G63" s="7">
        <v>49</v>
      </c>
      <c r="H63" s="21" t="s">
        <v>342</v>
      </c>
      <c r="I63" s="13">
        <v>43002.471608796295</v>
      </c>
      <c r="J63" s="7">
        <v>0</v>
      </c>
      <c r="K63" s="89" t="str">
        <f t="shared" si="0"/>
        <v>4059/4060</v>
      </c>
      <c r="L63" s="185" t="str">
        <f>VLOOKUP(A63,'Trips&amp;Operators'!$C$1:$G$99911,5,FALSE)</f>
        <v>PAGE MARCUS</v>
      </c>
      <c r="M63" s="6">
        <f t="shared" si="1"/>
        <v>2.5474537033005618E-2</v>
      </c>
      <c r="N63" s="7">
        <f t="shared" si="22"/>
        <v>36.683333327528089</v>
      </c>
      <c r="O63" s="7"/>
      <c r="P63" s="7"/>
      <c r="Q63" s="22"/>
      <c r="R63" s="174"/>
      <c r="S63" s="221">
        <f t="shared" si="23"/>
        <v>1</v>
      </c>
      <c r="T63" s="174" t="str">
        <f t="shared" si="4"/>
        <v>Southbound</v>
      </c>
      <c r="U63" s="198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16" t="str">
        <f t="shared" si="5"/>
        <v>https://d0f6bd738d7f1b3e5a7ca70fe4ff75f0.us-east-1.aws.found.io/app/kibana#/discover/Steve-Slow-Train-Analysis-(2080s-and-2083s)?_g=(refreshInterval:(display:Off,pause:!f,section:0,value:0),time:(from:'2017-09-24T09:36:24-0600',mode:absolute,to:'2017-09-24T12:19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63" s="204" t="str">
        <f>IF(AA63&lt;VLOOKUP(AG63,Variables!$AC$3:$AD$8,2,FALSE),"Y","N")</f>
        <v>N</v>
      </c>
      <c r="X63" s="204">
        <f t="shared" si="24"/>
        <v>1</v>
      </c>
      <c r="Y63" s="204">
        <f t="shared" si="25"/>
        <v>23.299099999999999</v>
      </c>
      <c r="Z63" s="204">
        <f t="shared" si="26"/>
        <v>1.47E-2</v>
      </c>
      <c r="AA63" s="204">
        <f t="shared" si="9"/>
        <v>23.284399999999998</v>
      </c>
      <c r="AB63" s="54" t="e">
        <f>VLOOKUP(A63,Enforcements!$C$7:$K$11,8,0)</f>
        <v>#N/A</v>
      </c>
      <c r="AC63" s="51" t="e">
        <f>VLOOKUP(A63,Enforcements!$C$7:$E$11,3,0)</f>
        <v>#N/A</v>
      </c>
      <c r="AD63" s="179">
        <f t="shared" si="10"/>
        <v>150</v>
      </c>
      <c r="AE63" s="77" t="str">
        <f t="shared" si="11"/>
        <v>aws s3 cp s3://rtdc.mdm.uploadarchive.raw/RTDC4059/ "%USERPROFILE%\AppData\Local\Temp\OnboardLogs"\RTDC4059\2017-09-24 --exclude "*" --recursive --include "*20170924*" &amp; "%USERPROFILE%\Documents\GitHub\mrs-test-scripts\Headless Mode &amp; Sideloading\WalkAndUnGZ.bat" "%USERPROFILE%\AppData\Local\Temp\OnboardLogs"\RTDC4059\2017-09-24 &amp; aws s3 cp s3://rtdc.mdm.uploadarchive.raw/RTDC4059/ "%USERPROFILE%\AppData\Local\Temp\OnboardLogs"\RTDC4059\2017-09-25 --exclude "*" --recursive --include "*20170925*" &amp; "%USERPROFILE%\Documents\GitHub\mrs-test-scripts\Headless Mode &amp; Sideloading\WalkAndUnGZ.bat" "%USERPROFILE%\AppData\Local\Temp\OnboardLogs"\RTDC4059\2017-09-25</v>
      </c>
      <c r="AF63" s="74" t="str">
        <f t="shared" si="12"/>
        <v>"C:\Program Files (x86)\AstroGrep\AstroGrep.exe" /e /r /s /spath="%USERPROFILE%\AppData\Local\Temp\OnboardLogs" /stypes="app*4059*20170924*" /stext=" 17:.+((SYSTEM_STATE.+slice.+state.+changed )|(ment ac)|(multiple cpu faults)|(system.+state.+changed )|(\[timeout)|(PRM\|1\|D)|(kpr)|(kdp)|(train st.+moving)|(\|lc)|(penalty))"</v>
      </c>
      <c r="AG63" s="182" t="str">
        <f t="shared" si="13"/>
        <v>EC</v>
      </c>
      <c r="AH63" s="78" t="str">
        <f t="shared" si="18"/>
        <v>"%USERPROFILE%\Documents\GitHub\eaglep3\Utilities\RefineRTDCRunTimes.py" --tripid 150-24 --locoid 4059 --swversion DE.1.0.9.0 --startMP 204:232991 --initTime 2017-09-24T10:36:24 --startdatetime 2017-09-24T10:42:26 --delay 49 --endMP 204:147 --enddatetime 2017-09-24T11:19:07 --enforcementcount 0 &gt;&gt;c:\users\stu\Documents\GitHub\eaglep3-reporting\EC\2017-09-24-refined-times.txt</v>
      </c>
      <c r="AI63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{"issue":{"subject":"","project_id":79,"tracker_id":40,"status_id":1,"priority_id":2,"assigned_to_id":338,"start_date":"2017-09-24","description":"","custom_fields":[{"id":1,"name":"Subdivision","value":"EC"},{"id":4,"name":"Milepost","value":"0.0147"},{"id":17,"name":"Train ID","value":"150-24"},{"id":16,"name":"Locomotive ID","value":"4059"},{"id":130,"name":"Impact","value":""},{"id":150,"name":"Time of Event (Mountain Time)","value":"11:19:07"},{"id":151,"name":"Denver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2" t="str">
        <f t="shared" si="20"/>
        <v>start /low /b %USERPROFILE%\Documents\GitHub\eaglep3\Utilities\DownloadLogsFromS3.py --loco 4059 --day 2017-09-24</v>
      </c>
      <c r="AN63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17:19:07"},{"id":29,"name":"Sharepoint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168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Message%20ID',Summary),filters:!(),index:'emp_*',interval:auto,query:"&amp;"(query_string:(analyze_wildcard:!t,query:'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-09-24T09:36:24-0600',mode:absolute,to:'2017-09-24T12:19:07-0600'))&amp;_a=(columns:!('Message%20ID',Summary),filters:!(),index:'emp_*',interval:auto,query:(query_string:(analyze_wildcard:!t,query:'%22rtdc.l.rtdc.4059%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686</v>
      </c>
      <c r="B64" s="7">
        <v>4062</v>
      </c>
      <c r="C64" s="21" t="s">
        <v>196</v>
      </c>
      <c r="D64" s="21" t="s">
        <v>405</v>
      </c>
      <c r="E64" s="13">
        <v>43002.411296296297</v>
      </c>
      <c r="F64" s="13">
        <v>43002.416863425926</v>
      </c>
      <c r="G64" s="7">
        <v>74</v>
      </c>
      <c r="H64" s="21" t="s">
        <v>394</v>
      </c>
      <c r="I64" s="13">
        <v>43002.440787037034</v>
      </c>
      <c r="J64" s="7">
        <v>0</v>
      </c>
      <c r="K64" s="89" t="str">
        <f t="shared" si="0"/>
        <v>4061/4062</v>
      </c>
      <c r="L64" s="185" t="str">
        <f>VLOOKUP(A64,'Trips&amp;Operators'!$C$1:$G$99911,5,FALSE)</f>
        <v>GEBRETEKLE DAGNEW</v>
      </c>
      <c r="M64" s="6">
        <f t="shared" si="1"/>
        <v>2.3923611108330078E-2</v>
      </c>
      <c r="N64" s="7">
        <f t="shared" si="22"/>
        <v>34.449999995995313</v>
      </c>
      <c r="O64" s="7"/>
      <c r="P64" s="7"/>
      <c r="Q64" s="22"/>
      <c r="R64" s="174"/>
      <c r="S64" s="221">
        <f t="shared" si="23"/>
        <v>1</v>
      </c>
      <c r="T64" s="174" t="str">
        <f t="shared" si="4"/>
        <v>NorthBound</v>
      </c>
      <c r="U64" s="198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16" t="str">
        <f t="shared" si="5"/>
        <v>https://d0f6bd738d7f1b3e5a7ca70fe4ff75f0.us-east-1.aws.found.io/app/kibana#/discover/Steve-Slow-Train-Analysis-(2080s-and-2083s)?_g=(refreshInterval:(display:Off,pause:!f,section:0,value:0),time:(from:'2017-09-24T08:52:16-0600',mode:absolute,to:'2017-09-24T11:34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64" s="204" t="str">
        <f>IF(AA64&lt;VLOOKUP(AG64,Variables!$AC$3:$AD$8,2,FALSE),"Y","N")</f>
        <v>N</v>
      </c>
      <c r="X64" s="204">
        <f t="shared" si="24"/>
        <v>1</v>
      </c>
      <c r="Y64" s="204">
        <f t="shared" si="25"/>
        <v>4.6600000000000003E-2</v>
      </c>
      <c r="Z64" s="204">
        <f t="shared" si="26"/>
        <v>23.328900000000001</v>
      </c>
      <c r="AA64" s="204">
        <f t="shared" si="9"/>
        <v>23.282299999999999</v>
      </c>
      <c r="AB64" s="54" t="e">
        <f>VLOOKUP(A64,Enforcements!$C$7:$K$11,8,0)</f>
        <v>#N/A</v>
      </c>
      <c r="AC64" s="51" t="e">
        <f>VLOOKUP(A64,Enforcements!$C$7:$E$11,3,0)</f>
        <v>#N/A</v>
      </c>
      <c r="AD64" s="179">
        <f t="shared" si="10"/>
        <v>151</v>
      </c>
      <c r="AE64" s="77" t="str">
        <f t="shared" si="11"/>
        <v>aws s3 cp s3://rtdc.mdm.uploadarchive.raw/RTDC4062/ "%USERPROFILE%\AppData\Local\Temp\OnboardLogs"\RTDC4062\2017-09-24 --exclude "*" --recursive --include "*20170924*" &amp; "%USERPROFILE%\Documents\GitHub\mrs-test-scripts\Headless Mode &amp; Sideloading\WalkAndUnGZ.bat" "%USERPROFILE%\AppData\Local\Temp\OnboardLogs"\RTDC4062\2017-09-24 &amp; aws s3 cp s3://rtdc.mdm.uploadarchive.raw/RTDC4062/ "%USERPROFILE%\AppData\Local\Temp\OnboardLogs"\RTDC4062\2017-09-25 --exclude "*" --recursive --include "*20170925*" &amp; "%USERPROFILE%\Documents\GitHub\mrs-test-scripts\Headless Mode &amp; Sideloading\WalkAndUnGZ.bat" "%USERPROFILE%\AppData\Local\Temp\OnboardLogs"\RTDC4062\2017-09-25</v>
      </c>
      <c r="AF64" s="74" t="str">
        <f t="shared" si="12"/>
        <v>"C:\Program Files (x86)\AstroGrep\AstroGrep.exe" /e /r /s /spath="%USERPROFILE%\AppData\Local\Temp\OnboardLogs" /stypes="app*4062*20170924*" /stext=" 16:.+((SYSTEM_STATE.+slice.+state.+changed )|(ment ac)|(multiple cpu faults)|(system.+state.+changed )|(\[timeout)|(PRM\|1\|D)|(kpr)|(kdp)|(train st.+moving)|(\|lc)|(penalty))"</v>
      </c>
      <c r="AG64" s="182" t="str">
        <f t="shared" si="13"/>
        <v>EC</v>
      </c>
      <c r="AH64" s="78" t="str">
        <f t="shared" si="18"/>
        <v>"%USERPROFILE%\Documents\GitHub\eaglep3\Utilities\RefineRTDCRunTimes.py" --tripid 151-24 --locoid 4062 --swversion DE.1.0.9.0 --startMP 204:466 --initTime 2017-09-24T09:52:16 --startdatetime 2017-09-24T10:00:17 --delay 74 --endMP 204:233289 --enddatetime 2017-09-24T10:34:44 --enforcementcount 0 &gt;&gt;c:\users\stu\Documents\GitHub\eaglep3-reporting\EC\2017-09-24-refined-times.txt</v>
      </c>
      <c r="AI64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{"issue":{"subject":"","project_id":79,"tracker_id":40,"status_id":1,"priority_id":2,"assigned_to_id":338,"start_date":"2017-09-24","description":"","custom_fields":[{"id":1,"name":"Subdivision","value":"EC"},{"id":4,"name":"Milepost","value":"23.3289"},{"id":17,"name":"Train ID","value":"151-24"},{"id":16,"name":"Locomotive ID","value":"4062"},{"id":130,"name":"Impact","value":""},{"id":150,"name":"Time of Event (Mountain Time)","value":"10:34:44"},{"id":151,"name":"Denver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2" t="str">
        <f t="shared" si="20"/>
        <v>start /low /b %USERPROFILE%\Documents\GitHub\eaglep3\Utilities\DownloadLogsFromS3.py --loco 4062 --day 2017-09-24</v>
      </c>
      <c r="AN64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16:34:44"},{"id":29,"name":"Sharepoint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168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Message%20ID',Summary),filters:!(),index:'emp_*',interval:auto,query:"&amp;"(query_string:(analyze_wildcard:!t,query:'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-09-24T08:52:16-0600',mode:absolute,to:'2017-09-24T11:34:44-0600'))&amp;_a=(columns:!('Message%20ID',Summary),filters:!(),index:'emp_*',interval:auto,query:(query_string:(analyze_wildcard:!t,query:'%22rtdc.l.rtdc.4062%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695</v>
      </c>
      <c r="B65" s="7">
        <v>4061</v>
      </c>
      <c r="C65" s="21" t="s">
        <v>196</v>
      </c>
      <c r="D65" s="21" t="s">
        <v>853</v>
      </c>
      <c r="E65" s="13">
        <v>43002.442175925928</v>
      </c>
      <c r="F65" s="13">
        <v>43002.456423611111</v>
      </c>
      <c r="G65" s="7">
        <v>60</v>
      </c>
      <c r="H65" s="21" t="s">
        <v>377</v>
      </c>
      <c r="I65" s="13">
        <v>43002.483090277776</v>
      </c>
      <c r="J65" s="7">
        <v>0</v>
      </c>
      <c r="K65" s="89" t="str">
        <f t="shared" si="0"/>
        <v>4061/4062</v>
      </c>
      <c r="L65" s="185" t="str">
        <f>VLOOKUP(A65,'Trips&amp;Operators'!$C$1:$G$99911,5,FALSE)</f>
        <v>GEBRETEKLE DAGNEW</v>
      </c>
      <c r="M65" s="6">
        <f t="shared" si="1"/>
        <v>2.6666666664823424E-2</v>
      </c>
      <c r="N65" s="7">
        <f t="shared" si="22"/>
        <v>38.399999997345731</v>
      </c>
      <c r="O65" s="7"/>
      <c r="P65" s="7"/>
      <c r="Q65" s="22"/>
      <c r="R65" s="174"/>
      <c r="S65" s="221">
        <f t="shared" si="23"/>
        <v>1</v>
      </c>
      <c r="T65" s="174" t="str">
        <f t="shared" si="4"/>
        <v>Southbound</v>
      </c>
      <c r="U65" s="198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16" t="str">
        <f t="shared" si="5"/>
        <v>https://d0f6bd738d7f1b3e5a7ca70fe4ff75f0.us-east-1.aws.found.io/app/kibana#/discover/Steve-Slow-Train-Analysis-(2080s-and-2083s)?_g=(refreshInterval:(display:Off,pause:!f,section:0,value:0),time:(from:'2017-09-24T09:36:44-0600',mode:absolute,to:'2017-09-24T12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65" s="204" t="str">
        <f>IF(AA65&lt;VLOOKUP(AG65,Variables!$AC$3:$AD$8,2,FALSE),"Y","N")</f>
        <v>N</v>
      </c>
      <c r="X65" s="204">
        <f t="shared" si="24"/>
        <v>1</v>
      </c>
      <c r="Y65" s="204">
        <f t="shared" si="25"/>
        <v>23.296299999999999</v>
      </c>
      <c r="Z65" s="204">
        <f t="shared" si="26"/>
        <v>1.5800000000000002E-2</v>
      </c>
      <c r="AA65" s="204">
        <f t="shared" si="9"/>
        <v>23.2805</v>
      </c>
      <c r="AB65" s="54" t="e">
        <f>VLOOKUP(A65,Enforcements!$C$7:$K$11,8,0)</f>
        <v>#N/A</v>
      </c>
      <c r="AC65" s="51" t="e">
        <f>VLOOKUP(A65,Enforcements!$C$7:$E$11,3,0)</f>
        <v>#N/A</v>
      </c>
      <c r="AD65" s="179">
        <f t="shared" si="10"/>
        <v>152</v>
      </c>
      <c r="AE65" s="77" t="str">
        <f t="shared" si="11"/>
        <v>aws s3 cp s3://rtdc.mdm.uploadarchive.raw/RTDC4061/ "%USERPROFILE%\AppData\Local\Temp\OnboardLogs"\RTDC4061\2017-09-24 --exclude "*" --recursive --include "*20170924*" &amp; "%USERPROFILE%\Documents\GitHub\mrs-test-scripts\Headless Mode &amp; Sideloading\WalkAndUnGZ.bat" "%USERPROFILE%\AppData\Local\Temp\OnboardLogs"\RTDC4061\2017-09-24 &amp; aws s3 cp s3://rtdc.mdm.uploadarchive.raw/RTDC4061/ "%USERPROFILE%\AppData\Local\Temp\OnboardLogs"\RTDC4061\2017-09-25 --exclude "*" --recursive --include "*20170925*" &amp; "%USERPROFILE%\Documents\GitHub\mrs-test-scripts\Headless Mode &amp; Sideloading\WalkAndUnGZ.bat" "%USERPROFILE%\AppData\Local\Temp\OnboardLogs"\RTDC4061\2017-09-25</v>
      </c>
      <c r="AF65" s="74" t="str">
        <f t="shared" si="12"/>
        <v>"C:\Program Files (x86)\AstroGrep\AstroGrep.exe" /e /r /s /spath="%USERPROFILE%\AppData\Local\Temp\OnboardLogs" /stypes="app*4061*20170924*" /stext=" 17:.+((SYSTEM_STATE.+slice.+state.+changed )|(ment ac)|(multiple cpu faults)|(system.+state.+changed )|(\[timeout)|(PRM\|1\|D)|(kpr)|(kdp)|(train st.+moving)|(\|lc)|(penalty))"</v>
      </c>
      <c r="AG65" s="182" t="str">
        <f t="shared" si="13"/>
        <v>EC</v>
      </c>
      <c r="AH65" s="78" t="str">
        <f t="shared" si="18"/>
        <v>"%USERPROFILE%\Documents\GitHub\eaglep3\Utilities\RefineRTDCRunTimes.py" --tripid 152-24 --locoid 4061 --swversion DE.1.0.9.0 --startMP 204:232963 --initTime 2017-09-24T10:36:44 --startdatetime 2017-09-24T10:57:15 --delay 60 --endMP 204:158 --enddatetime 2017-09-24T11:35:39 --enforcementcount 0 &gt;&gt;c:\users\stu\Documents\GitHub\eaglep3-reporting\EC\2017-09-24-refined-times.txt</v>
      </c>
      <c r="AI65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{"issue":{"subject":"","project_id":79,"tracker_id":40,"status_id":1,"priority_id":2,"assigned_to_id":338,"start_date":"2017-09-24","description":"","custom_fields":[{"id":1,"name":"Subdivision","value":"EC"},{"id":4,"name":"Milepost","value":"0.0158"},{"id":17,"name":"Train ID","value":"152-24"},{"id":16,"name":"Locomotive ID","value":"4061"},{"id":130,"name":"Impact","value":""},{"id":150,"name":"Time of Event (Mountain Time)","value":"11:35:39"},{"id":151,"name":"Denver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2" t="str">
        <f t="shared" si="20"/>
        <v>start /low /b %USERPROFILE%\Documents\GitHub\eaglep3\Utilities\DownloadLogsFromS3.py --loco 4061 --day 2017-09-24</v>
      </c>
      <c r="AN65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17:35:39"},{"id":29,"name":"Sharepoint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168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Message%20ID',Summary),filters:!(),index:'emp_*',interval:auto,query:"&amp;"(query_string:(analyze_wildcard:!t,query:'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-09-24T09:36:44-0600',mode:absolute,to:'2017-09-24T12:35:39-0600'))&amp;_a=(columns:!('Message%20ID',Summary),filters:!(),index:'emp_*',interval:auto,query:(query_string:(analyze_wildcard:!t,query:'%22rtdc.l.rtdc.4061%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689</v>
      </c>
      <c r="B66" s="7">
        <v>4066</v>
      </c>
      <c r="C66" s="21" t="s">
        <v>196</v>
      </c>
      <c r="D66" s="21" t="s">
        <v>854</v>
      </c>
      <c r="E66" s="13">
        <v>43002.424930555557</v>
      </c>
      <c r="F66" s="13">
        <v>43002.427256944444</v>
      </c>
      <c r="G66" s="7">
        <v>79</v>
      </c>
      <c r="H66" s="21" t="s">
        <v>500</v>
      </c>
      <c r="I66" s="13">
        <v>43002.452650462961</v>
      </c>
      <c r="J66" s="7">
        <v>0</v>
      </c>
      <c r="K66" s="89" t="str">
        <f t="shared" si="0"/>
        <v>4065/4066</v>
      </c>
      <c r="L66" s="185" t="str">
        <f>VLOOKUP(A66,'Trips&amp;Operators'!$C$1:$G$99911,5,FALSE)</f>
        <v>BADERTSCHER DIANE</v>
      </c>
      <c r="M66" s="6">
        <f t="shared" si="1"/>
        <v>2.5393518517375924E-2</v>
      </c>
      <c r="N66" s="7">
        <f t="shared" si="22"/>
        <v>36.56666666502133</v>
      </c>
      <c r="O66" s="7"/>
      <c r="P66" s="7"/>
      <c r="Q66" s="22"/>
      <c r="R66" s="174"/>
      <c r="S66" s="221">
        <f t="shared" si="23"/>
        <v>1</v>
      </c>
      <c r="T66" s="174" t="str">
        <f t="shared" si="4"/>
        <v>NorthBound</v>
      </c>
      <c r="U66" s="198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16" t="str">
        <f t="shared" si="5"/>
        <v>https://d0f6bd738d7f1b3e5a7ca70fe4ff75f0.us-east-1.aws.found.io/app/kibana#/discover/Steve-Slow-Train-Analysis-(2080s-and-2083s)?_g=(refreshInterval:(display:Off,pause:!f,section:0,value:0),time:(from:'2017-09-24T09:11:54-0600',mode:absolute,to:'2017-09-24T11:51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66" s="204" t="str">
        <f>IF(AA66&lt;VLOOKUP(AG66,Variables!$AC$3:$AD$8,2,FALSE),"Y","N")</f>
        <v>N</v>
      </c>
      <c r="X66" s="204">
        <f t="shared" si="24"/>
        <v>1</v>
      </c>
      <c r="Y66" s="204">
        <f t="shared" si="25"/>
        <v>4.4400000000000002E-2</v>
      </c>
      <c r="Z66" s="204">
        <f t="shared" si="26"/>
        <v>23.334199999999999</v>
      </c>
      <c r="AA66" s="204">
        <f t="shared" si="9"/>
        <v>23.2898</v>
      </c>
      <c r="AB66" s="54" t="e">
        <f>VLOOKUP(A66,Enforcements!$C$7:$K$11,8,0)</f>
        <v>#N/A</v>
      </c>
      <c r="AC66" s="51" t="e">
        <f>VLOOKUP(A66,Enforcements!$C$7:$E$11,3,0)</f>
        <v>#N/A</v>
      </c>
      <c r="AD66" s="179">
        <f t="shared" si="10"/>
        <v>153</v>
      </c>
      <c r="AE66" s="77" t="str">
        <f t="shared" si="11"/>
        <v>aws s3 cp s3://rtdc.mdm.uploadarchive.raw/RTDC4066/ "%USERPROFILE%\AppData\Local\Temp\OnboardLogs"\RTDC4066\2017-09-24 --exclude "*" --recursive --include "*20170924*" &amp; "%USERPROFILE%\Documents\GitHub\mrs-test-scripts\Headless Mode &amp; Sideloading\WalkAndUnGZ.bat" "%USERPROFILE%\AppData\Local\Temp\OnboardLogs"\RTDC4066\2017-09-24 &amp; aws s3 cp s3://rtdc.mdm.uploadarchive.raw/RTDC4066/ "%USERPROFILE%\AppData\Local\Temp\OnboardLogs"\RTDC4066\2017-09-25 --exclude "*" --recursive --include "*20170925*" &amp; "%USERPROFILE%\Documents\GitHub\mrs-test-scripts\Headless Mode &amp; Sideloading\WalkAndUnGZ.bat" "%USERPROFILE%\AppData\Local\Temp\OnboardLogs"\RTDC4066\2017-09-25</v>
      </c>
      <c r="AF66" s="74" t="str">
        <f t="shared" si="12"/>
        <v>"C:\Program Files (x86)\AstroGrep\AstroGrep.exe" /e /r /s /spath="%USERPROFILE%\AppData\Local\Temp\OnboardLogs" /stypes="app*4066*20170924*" /stext=" 16:.+((SYSTEM_STATE.+slice.+state.+changed )|(ment ac)|(multiple cpu faults)|(system.+state.+changed )|(\[timeout)|(PRM\|1\|D)|(kpr)|(kdp)|(train st.+moving)|(\|lc)|(penalty))"</v>
      </c>
      <c r="AG66" s="182" t="str">
        <f t="shared" si="13"/>
        <v>EC</v>
      </c>
      <c r="AH66" s="78" t="str">
        <f t="shared" si="18"/>
        <v>"%USERPROFILE%\Documents\GitHub\eaglep3\Utilities\RefineRTDCRunTimes.py" --tripid 153-24 --locoid 4066 --swversion DE.1.0.9.0 --startMP 204:444 --initTime 2017-09-24T10:11:54 --startdatetime 2017-09-24T10:15:15 --delay 79 --endMP 204:233342 --enddatetime 2017-09-24T10:51:49 --enforcementcount 0 &gt;&gt;c:\users\stu\Documents\GitHub\eaglep3-reporting\EC\2017-09-24-refined-times.txt</v>
      </c>
      <c r="AI66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{"issue":{"subject":"","project_id":79,"tracker_id":40,"status_id":1,"priority_id":2,"assigned_to_id":338,"start_date":"2017-09-24","description":"","custom_fields":[{"id":1,"name":"Subdivision","value":"EC"},{"id":4,"name":"Milepost","value":"23.3342"},{"id":17,"name":"Train ID","value":"153-24"},{"id":16,"name":"Locomotive ID","value":"4066"},{"id":130,"name":"Impact","value":""},{"id":150,"name":"Time of Event (Mountain Time)","value":"10:51:49"},{"id":151,"name":"Denver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2" t="str">
        <f t="shared" si="20"/>
        <v>start /low /b %USERPROFILE%\Documents\GitHub\eaglep3\Utilities\DownloadLogsFromS3.py --loco 4066 --day 2017-09-24</v>
      </c>
      <c r="AN66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16:51:49"},{"id":29,"name":"Sharepoint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168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Message%20ID',Summary),filters:!(),index:'emp_*',interval:auto,query:"&amp;"(query_string:(analyze_wildcard:!t,query:'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-09-24T09:11:54-0600',mode:absolute,to:'2017-09-24T11:51:49-0600'))&amp;_a=(columns:!('Message%20ID',Summary),filters:!(),index:'emp_*',interval:auto,query:(query_string:(analyze_wildcard:!t,query:'%22rtdc.l.rtdc.4066%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698</v>
      </c>
      <c r="B67" s="7">
        <v>4065</v>
      </c>
      <c r="C67" s="21" t="s">
        <v>196</v>
      </c>
      <c r="D67" s="21" t="s">
        <v>498</v>
      </c>
      <c r="E67" s="13">
        <v>43002.460474537038</v>
      </c>
      <c r="F67" s="13">
        <v>43002.466851851852</v>
      </c>
      <c r="G67" s="7">
        <v>76</v>
      </c>
      <c r="H67" s="21" t="s">
        <v>434</v>
      </c>
      <c r="I67" s="13">
        <v>43002.494826388887</v>
      </c>
      <c r="J67" s="7">
        <v>0</v>
      </c>
      <c r="K67" s="89" t="str">
        <f t="shared" si="0"/>
        <v>4065/4066</v>
      </c>
      <c r="L67" s="185" t="str">
        <f>VLOOKUP(A67,'Trips&amp;Operators'!$C$1:$G$99911,5,FALSE)</f>
        <v>BADERTSCHER DIANE</v>
      </c>
      <c r="M67" s="6">
        <f t="shared" si="1"/>
        <v>2.7974537035333924E-2</v>
      </c>
      <c r="N67" s="7">
        <f t="shared" si="22"/>
        <v>40.283333330880851</v>
      </c>
      <c r="O67" s="7"/>
      <c r="P67" s="7"/>
      <c r="Q67" s="22"/>
      <c r="R67" s="174"/>
      <c r="S67" s="221">
        <f t="shared" si="23"/>
        <v>1</v>
      </c>
      <c r="T67" s="174" t="str">
        <f t="shared" si="4"/>
        <v>Southbound</v>
      </c>
      <c r="U67" s="198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16" t="str">
        <f t="shared" si="5"/>
        <v>https://d0f6bd738d7f1b3e5a7ca70fe4ff75f0.us-east-1.aws.found.io/app/kibana#/discover/Steve-Slow-Train-Analysis-(2080s-and-2083s)?_g=(refreshInterval:(display:Off,pause:!f,section:0,value:0),time:(from:'2017-09-24T10:03:05-0600',mode:absolute,to:'2017-09-24T12:52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67" s="204" t="str">
        <f>IF(AA67&lt;VLOOKUP(AG67,Variables!$AC$3:$AD$8,2,FALSE),"Y","N")</f>
        <v>N</v>
      </c>
      <c r="X67" s="204">
        <f t="shared" si="24"/>
        <v>1</v>
      </c>
      <c r="Y67" s="204">
        <f t="shared" si="25"/>
        <v>23.301100000000002</v>
      </c>
      <c r="Z67" s="204">
        <f t="shared" si="26"/>
        <v>1.2999999999999999E-2</v>
      </c>
      <c r="AA67" s="204">
        <f t="shared" si="9"/>
        <v>23.2881</v>
      </c>
      <c r="AB67" s="54" t="e">
        <f>VLOOKUP(A67,Enforcements!$C$7:$K$11,8,0)</f>
        <v>#N/A</v>
      </c>
      <c r="AC67" s="51" t="e">
        <f>VLOOKUP(A67,Enforcements!$C$7:$E$11,3,0)</f>
        <v>#N/A</v>
      </c>
      <c r="AD67" s="179">
        <f t="shared" si="10"/>
        <v>154</v>
      </c>
      <c r="AE67" s="77" t="str">
        <f t="shared" si="11"/>
        <v>aws s3 cp s3://rtdc.mdm.uploadarchive.raw/RTDC4065/ "%USERPROFILE%\AppData\Local\Temp\OnboardLogs"\RTDC4065\2017-09-24 --exclude "*" --recursive --include "*20170924*" &amp; "%USERPROFILE%\Documents\GitHub\mrs-test-scripts\Headless Mode &amp; Sideloading\WalkAndUnGZ.bat" "%USERPROFILE%\AppData\Local\Temp\OnboardLogs"\RTDC4065\2017-09-24 &amp; aws s3 cp s3://rtdc.mdm.uploadarchive.raw/RTDC4065/ "%USERPROFILE%\AppData\Local\Temp\OnboardLogs"\RTDC4065\2017-09-25 --exclude "*" --recursive --include "*20170925*" &amp; "%USERPROFILE%\Documents\GitHub\mrs-test-scripts\Headless Mode &amp; Sideloading\WalkAndUnGZ.bat" "%USERPROFILE%\AppData\Local\Temp\OnboardLogs"\RTDC4065\2017-09-25</v>
      </c>
      <c r="AF67" s="74" t="str">
        <f t="shared" si="12"/>
        <v>"C:\Program Files (x86)\AstroGrep\AstroGrep.exe" /e /r /s /spath="%USERPROFILE%\AppData\Local\Temp\OnboardLogs" /stypes="app*4065*20170924*" /stext=" 17:.+((SYSTEM_STATE.+slice.+state.+changed )|(ment ac)|(multiple cpu faults)|(system.+state.+changed )|(\[timeout)|(PRM\|1\|D)|(kpr)|(kdp)|(train st.+moving)|(\|lc)|(penalty))"</v>
      </c>
      <c r="AG67" s="182" t="str">
        <f t="shared" si="13"/>
        <v>EC</v>
      </c>
      <c r="AH67" s="78" t="str">
        <f t="shared" si="18"/>
        <v>"%USERPROFILE%\Documents\GitHub\eaglep3\Utilities\RefineRTDCRunTimes.py" --tripid 154-24 --locoid 4065 --swversion DE.1.0.9.0 --startMP 204:233011 --initTime 2017-09-24T11:03:05 --startdatetime 2017-09-24T11:12:16 --delay 76 --endMP 204:130 --enddatetime 2017-09-24T11:52:33 --enforcementcount 0 &gt;&gt;c:\users\stu\Documents\GitHub\eaglep3-reporting\EC\2017-09-24-refined-times.txt</v>
      </c>
      <c r="AI67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{"issue":{"subject":"","project_id":79,"tracker_id":40,"status_id":1,"priority_id":2,"assigned_to_id":338,"start_date":"2017-09-24","description":"","custom_fields":[{"id":1,"name":"Subdivision","value":"EC"},{"id":4,"name":"Milepost","value":"0.013"},{"id":17,"name":"Train ID","value":"154-24"},{"id":16,"name":"Locomotive ID","value":"4065"},{"id":130,"name":"Impact","value":""},{"id":150,"name":"Time of Event (Mountain Time)","value":"11:52:33"},{"id":151,"name":"Denver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2" t="str">
        <f t="shared" si="20"/>
        <v>start /low /b %USERPROFILE%\Documents\GitHub\eaglep3\Utilities\DownloadLogsFromS3.py --loco 4065 --day 2017-09-24</v>
      </c>
      <c r="AN67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17:52:33"},{"id":29,"name":"Sharepoint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168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Message%20ID',Summary),filters:!(),index:'emp_*',interval:auto,query:"&amp;"(query_string:(analyze_wildcard:!t,query:'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-09-24T10:03:05-0600',mode:absolute,to:'2017-09-24T12:52:33-0600'))&amp;_a=(columns:!('Message%20ID',Summary),filters:!(),index:'emp_*',interval:auto,query:(query_string:(analyze_wildcard:!t,query:'%22rtdc.l.rtdc.4065%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691</v>
      </c>
      <c r="B68" s="7">
        <v>4024</v>
      </c>
      <c r="C68" s="21" t="s">
        <v>196</v>
      </c>
      <c r="D68" s="21" t="s">
        <v>421</v>
      </c>
      <c r="E68" s="13">
        <v>43002.432638888888</v>
      </c>
      <c r="F68" s="13">
        <v>43002.437685185185</v>
      </c>
      <c r="G68" s="7">
        <v>68</v>
      </c>
      <c r="H68" s="21" t="s">
        <v>565</v>
      </c>
      <c r="I68" s="13">
        <v>43002.463078703702</v>
      </c>
      <c r="J68" s="7">
        <v>0</v>
      </c>
      <c r="K68" s="89" t="str">
        <f t="shared" si="0"/>
        <v>4023/4024</v>
      </c>
      <c r="L68" s="185" t="str">
        <f>VLOOKUP(A68,'Trips&amp;Operators'!$C$1:$G$99911,5,FALSE)</f>
        <v>WILLIAMS DONTE</v>
      </c>
      <c r="M68" s="6">
        <f t="shared" si="1"/>
        <v>2.5393518517375924E-2</v>
      </c>
      <c r="N68" s="7">
        <f t="shared" si="22"/>
        <v>36.56666666502133</v>
      </c>
      <c r="O68" s="7"/>
      <c r="P68" s="7"/>
      <c r="Q68" s="22"/>
      <c r="R68" s="174"/>
      <c r="S68" s="221">
        <f t="shared" si="23"/>
        <v>1</v>
      </c>
      <c r="T68" s="174" t="str">
        <f t="shared" si="4"/>
        <v>NorthBound</v>
      </c>
      <c r="U68" s="198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16" t="str">
        <f t="shared" si="5"/>
        <v>https://d0f6bd738d7f1b3e5a7ca70fe4ff75f0.us-east-1.aws.found.io/app/kibana#/discover/Steve-Slow-Train-Analysis-(2080s-and-2083s)?_g=(refreshInterval:(display:Off,pause:!f,section:0,value:0),time:(from:'2017-09-24T09:23:00-0600',mode:absolute,to:'2017-09-24T12:06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68" s="204" t="str">
        <f>IF(AA68&lt;VLOOKUP(AG68,Variables!$AC$3:$AD$8,2,FALSE),"Y","N")</f>
        <v>N</v>
      </c>
      <c r="X68" s="204">
        <f t="shared" si="24"/>
        <v>1</v>
      </c>
      <c r="Y68" s="204">
        <f t="shared" si="25"/>
        <v>4.7500000000000001E-2</v>
      </c>
      <c r="Z68" s="204">
        <f t="shared" si="26"/>
        <v>23.3309</v>
      </c>
      <c r="AA68" s="204">
        <f t="shared" si="9"/>
        <v>23.2834</v>
      </c>
      <c r="AB68" s="54" t="e">
        <f>VLOOKUP(A68,Enforcements!$C$7:$K$11,8,0)</f>
        <v>#N/A</v>
      </c>
      <c r="AC68" s="51" t="e">
        <f>VLOOKUP(A68,Enforcements!$C$7:$E$11,3,0)</f>
        <v>#N/A</v>
      </c>
      <c r="AD68" s="179">
        <f t="shared" si="10"/>
        <v>155</v>
      </c>
      <c r="AE68" s="77" t="str">
        <f t="shared" si="11"/>
        <v>aws s3 cp s3://rtdc.mdm.uploadarchive.raw/RTDC4024/ "%USERPROFILE%\AppData\Local\Temp\OnboardLogs"\RTDC4024\2017-09-24 --exclude "*" --recursive --include "*20170924*" &amp; "%USERPROFILE%\Documents\GitHub\mrs-test-scripts\Headless Mode &amp; Sideloading\WalkAndUnGZ.bat" "%USERPROFILE%\AppData\Local\Temp\OnboardLogs"\RTDC4024\2017-09-24 &amp; aws s3 cp s3://rtdc.mdm.uploadarchive.raw/RTDC4024/ "%USERPROFILE%\AppData\Local\Temp\OnboardLogs"\RTDC4024\2017-09-25 --exclude "*" --recursive --include "*20170925*" &amp; "%USERPROFILE%\Documents\GitHub\mrs-test-scripts\Headless Mode &amp; Sideloading\WalkAndUnGZ.bat" "%USERPROFILE%\AppData\Local\Temp\OnboardLogs"\RTDC4024\2017-09-25</v>
      </c>
      <c r="AF68" s="74" t="str">
        <f t="shared" si="12"/>
        <v>"C:\Program Files (x86)\AstroGrep\AstroGrep.exe" /e /r /s /spath="%USERPROFILE%\AppData\Local\Temp\OnboardLogs" /stypes="app*4024*20170924*" /stext=" 17:.+((SYSTEM_STATE.+slice.+state.+changed )|(ment ac)|(multiple cpu faults)|(system.+state.+changed )|(\[timeout)|(PRM\|1\|D)|(kpr)|(kdp)|(train st.+moving)|(\|lc)|(penalty))"</v>
      </c>
      <c r="AG68" s="182" t="str">
        <f t="shared" si="13"/>
        <v>EC</v>
      </c>
      <c r="AH68" s="78" t="str">
        <f t="shared" si="18"/>
        <v>"%USERPROFILE%\Documents\GitHub\eaglep3\Utilities\RefineRTDCRunTimes.py" --tripid 155-24 --locoid 4024 --swversion DE.1.0.9.0 --startMP 204:475 --initTime 2017-09-24T10:23:00 --startdatetime 2017-09-24T10:30:16 --delay 68 --endMP 204:233309 --enddatetime 2017-09-24T11:06:50 --enforcementcount 0 &gt;&gt;c:\users\stu\Documents\GitHub\eaglep3-reporting\EC\2017-09-24-refined-times.txt</v>
      </c>
      <c r="AI68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{"issue":{"subject":"","project_id":79,"tracker_id":40,"status_id":1,"priority_id":2,"assigned_to_id":338,"start_date":"2017-09-24","description":"","custom_fields":[{"id":1,"name":"Subdivision","value":"EC"},{"id":4,"name":"Milepost","value":"23.3309"},{"id":17,"name":"Train ID","value":"155-24"},{"id":16,"name":"Locomotive ID","value":"4024"},{"id":130,"name":"Impact","value":""},{"id":150,"name":"Time of Event (Mountain Time)","value":"11:06:50"},{"id":151,"name":"Denver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2" t="str">
        <f t="shared" si="20"/>
        <v>start /low /b %USERPROFILE%\Documents\GitHub\eaglep3\Utilities\DownloadLogsFromS3.py --loco 4024 --day 2017-09-24</v>
      </c>
      <c r="AN68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17:06:50"},{"id":29,"name":"Sharepoint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168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Message%20ID',Summary),filters:!(),index:'emp_*',interval:auto,query:"&amp;"(query_string:(analyze_wildcard:!t,query:'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-09-24T09:23:00-0600',mode:absolute,to:'2017-09-24T12:06:50-0600'))&amp;_a=(columns:!('Message%20ID',Summary),filters:!(),index:'emp_*',interval:auto,query:(query_string:(analyze_wildcard:!t,query:'%22rtdc.l.rtdc.4024%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701</v>
      </c>
      <c r="B69" s="7">
        <v>4023</v>
      </c>
      <c r="C69" s="21" t="s">
        <v>196</v>
      </c>
      <c r="D69" s="21" t="s">
        <v>409</v>
      </c>
      <c r="E69" s="13">
        <v>43002.473379629628</v>
      </c>
      <c r="F69" s="13">
        <v>43002.477268518516</v>
      </c>
      <c r="G69" s="7">
        <v>89</v>
      </c>
      <c r="H69" s="21" t="s">
        <v>375</v>
      </c>
      <c r="I69" s="13">
        <v>43002.505185185182</v>
      </c>
      <c r="J69" s="7">
        <v>0</v>
      </c>
      <c r="K69" s="89" t="str">
        <f t="shared" si="0"/>
        <v>4023/4024</v>
      </c>
      <c r="L69" s="185" t="str">
        <f>VLOOKUP(A69,'Trips&amp;Operators'!$C$1:$G$99911,5,FALSE)</f>
        <v>WILLIAMS DONTE</v>
      </c>
      <c r="M69" s="6">
        <f t="shared" si="1"/>
        <v>2.7916666665987577E-2</v>
      </c>
      <c r="N69" s="7">
        <f t="shared" si="22"/>
        <v>40.199999999022111</v>
      </c>
      <c r="O69" s="7"/>
      <c r="P69" s="7"/>
      <c r="Q69" s="22"/>
      <c r="R69" s="174"/>
      <c r="S69" s="221">
        <f t="shared" si="23"/>
        <v>1</v>
      </c>
      <c r="T69" s="174" t="str">
        <f t="shared" si="4"/>
        <v>Southbound</v>
      </c>
      <c r="U69" s="198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16" t="str">
        <f t="shared" si="5"/>
        <v>https://d0f6bd738d7f1b3e5a7ca70fe4ff75f0.us-east-1.aws.found.io/app/kibana#/discover/Steve-Slow-Train-Analysis-(2080s-and-2083s)?_g=(refreshInterval:(display:Off,pause:!f,section:0,value:0),time:(from:'2017-09-24T10:21:40-0600',mode:absolute,to:'2017-09-24T13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9" s="204" t="str">
        <f>IF(AA69&lt;VLOOKUP(AG69,Variables!$AC$3:$AD$8,2,FALSE),"Y","N")</f>
        <v>N</v>
      </c>
      <c r="X69" s="204">
        <f t="shared" si="24"/>
        <v>1</v>
      </c>
      <c r="Y69" s="204">
        <f t="shared" si="25"/>
        <v>23.297799999999999</v>
      </c>
      <c r="Z69" s="204">
        <f t="shared" si="26"/>
        <v>1.6E-2</v>
      </c>
      <c r="AA69" s="204">
        <f t="shared" si="9"/>
        <v>23.2818</v>
      </c>
      <c r="AB69" s="54" t="e">
        <f>VLOOKUP(A69,Enforcements!$C$7:$K$11,8,0)</f>
        <v>#N/A</v>
      </c>
      <c r="AC69" s="51" t="e">
        <f>VLOOKUP(A69,Enforcements!$C$7:$E$11,3,0)</f>
        <v>#N/A</v>
      </c>
      <c r="AD69" s="179">
        <f t="shared" si="10"/>
        <v>156</v>
      </c>
      <c r="AE69" s="77" t="str">
        <f t="shared" si="11"/>
        <v>aws s3 cp s3://rtdc.mdm.uploadarchive.raw/RTDC4023/ "%USERPROFILE%\AppData\Local\Temp\OnboardLogs"\RTDC4023\2017-09-24 --exclude "*" --recursive --include "*20170924*" &amp; "%USERPROFILE%\Documents\GitHub\mrs-test-scripts\Headless Mode &amp; Sideloading\WalkAndUnGZ.bat" "%USERPROFILE%\AppData\Local\Temp\OnboardLogs"\RTDC4023\2017-09-24 &amp; aws s3 cp s3://rtdc.mdm.uploadarchive.raw/RTDC4023/ "%USERPROFILE%\AppData\Local\Temp\OnboardLogs"\RTDC4023\2017-09-25 --exclude "*" --recursive --include "*20170925*" &amp; "%USERPROFILE%\Documents\GitHub\mrs-test-scripts\Headless Mode &amp; Sideloading\WalkAndUnGZ.bat" "%USERPROFILE%\AppData\Local\Temp\OnboardLogs"\RTDC4023\2017-09-25</v>
      </c>
      <c r="AF69" s="74" t="str">
        <f t="shared" si="12"/>
        <v>"C:\Program Files (x86)\AstroGrep\AstroGrep.exe" /e /r /s /spath="%USERPROFILE%\AppData\Local\Temp\OnboardLogs" /stypes="app*4023*20170924*" /stext=" 18:.+((SYSTEM_STATE.+slice.+state.+changed )|(ment ac)|(multiple cpu faults)|(system.+state.+changed )|(\[timeout)|(PRM\|1\|D)|(kpr)|(kdp)|(train st.+moving)|(\|lc)|(penalty))"</v>
      </c>
      <c r="AG69" s="182" t="str">
        <f t="shared" si="13"/>
        <v>EC</v>
      </c>
      <c r="AH69" s="78" t="str">
        <f t="shared" si="18"/>
        <v>"%USERPROFILE%\Documents\GitHub\eaglep3\Utilities\RefineRTDCRunTimes.py" --tripid 156-24 --locoid 4023 --swversion DE.1.0.9.0 --startMP 204:232978 --initTime 2017-09-24T11:21:40 --startdatetime 2017-09-24T11:27:16 --delay 89 --endMP 204:160 --enddatetime 2017-09-24T12:07:28 --enforcementcount 0 &gt;&gt;c:\users\stu\Documents\GitHub\eaglep3-reporting\EC\2017-09-24-refined-times.txt</v>
      </c>
      <c r="AI69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{"issue":{"subject":"","project_id":79,"tracker_id":40,"status_id":1,"priority_id":2,"assigned_to_id":338,"start_date":"2017-09-24","description":"","custom_fields":[{"id":1,"name":"Subdivision","value":"EC"},{"id":4,"name":"Milepost","value":"0.016"},{"id":17,"name":"Train ID","value":"156-24"},{"id":16,"name":"Locomotive ID","value":"4023"},{"id":130,"name":"Impact","value":""},{"id":150,"name":"Time of Event (Mountain Time)","value":"12:07:28"},{"id":151,"name":"Denver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2" t="str">
        <f t="shared" si="20"/>
        <v>start /low /b %USERPROFILE%\Documents\GitHub\eaglep3\Utilities\DownloadLogsFromS3.py --loco 4023 --day 2017-09-24</v>
      </c>
      <c r="AN69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18:07:28"},{"id":29,"name":"Sharepoint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168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Message%20ID',Summary),filters:!(),index:'emp_*',interval:auto,query:"&amp;"(query_string:(analyze_wildcard:!t,query:'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-09-24T10:21:40-0600',mode:absolute,to:'2017-09-24T13:07:28-0600'))&amp;_a=(columns:!('Message%20ID',Summary),filters:!(),index:'emp_*',interval:auto,query:(query_string:(analyze_wildcard:!t,query:'%22rtdc.l.rtdc.4023%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591</v>
      </c>
      <c r="B70" s="7">
        <v>4064</v>
      </c>
      <c r="C70" s="21" t="s">
        <v>196</v>
      </c>
      <c r="D70" s="21" t="s">
        <v>396</v>
      </c>
      <c r="E70" s="13">
        <v>43002.44604166667</v>
      </c>
      <c r="F70" s="13">
        <v>43002.448113425926</v>
      </c>
      <c r="G70" s="7">
        <v>79</v>
      </c>
      <c r="H70" s="21" t="s">
        <v>430</v>
      </c>
      <c r="I70" s="13">
        <v>43002.475034722222</v>
      </c>
      <c r="J70" s="7">
        <v>0</v>
      </c>
      <c r="K70" s="89" t="str">
        <f t="shared" si="0"/>
        <v>4063/4064</v>
      </c>
      <c r="L70" s="185" t="str">
        <f>VLOOKUP(A70,'Trips&amp;Operators'!$C$1:$G$99911,5,FALSE)</f>
        <v>DAVIDSON DAVID</v>
      </c>
      <c r="M70" s="6">
        <f t="shared" si="1"/>
        <v>2.6921296295768116E-2</v>
      </c>
      <c r="N70" s="7">
        <f t="shared" si="22"/>
        <v>38.766666665906087</v>
      </c>
      <c r="O70" s="7"/>
      <c r="P70" s="7"/>
      <c r="Q70" s="22"/>
      <c r="R70" s="174"/>
      <c r="S70" s="221">
        <f t="shared" si="23"/>
        <v>1</v>
      </c>
      <c r="T70" s="174" t="str">
        <f t="shared" si="4"/>
        <v>NorthBound</v>
      </c>
      <c r="U70" s="198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16" t="str">
        <f t="shared" si="5"/>
        <v>https://d0f6bd738d7f1b3e5a7ca70fe4ff75f0.us-east-1.aws.found.io/app/kibana#/discover/Steve-Slow-Train-Analysis-(2080s-and-2083s)?_g=(refreshInterval:(display:Off,pause:!f,section:0,value:0),time:(from:'2017-09-24T09:42:18-0600',mode:absolute,to:'2017-09-24T12:24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0" s="204" t="str">
        <f>IF(AA70&lt;VLOOKUP(AG70,Variables!$AC$3:$AD$8,2,FALSE),"Y","N")</f>
        <v>N</v>
      </c>
      <c r="X70" s="204">
        <f t="shared" si="24"/>
        <v>1</v>
      </c>
      <c r="Y70" s="204">
        <f t="shared" si="25"/>
        <v>4.7100000000000003E-2</v>
      </c>
      <c r="Z70" s="204">
        <f t="shared" si="26"/>
        <v>23.331</v>
      </c>
      <c r="AA70" s="204">
        <f t="shared" si="9"/>
        <v>23.283899999999999</v>
      </c>
      <c r="AB70" s="54" t="str">
        <f>VLOOKUP(A70,Enforcements!$C$7:$K$11,8,0)</f>
        <v>Bulletin (2)</v>
      </c>
      <c r="AC70" s="51" t="str">
        <f>VLOOKUP(A70,Enforcements!$C$7:$E$11,3,0)</f>
        <v>GRADE CROSSING</v>
      </c>
      <c r="AD70" s="179">
        <f t="shared" si="10"/>
        <v>157</v>
      </c>
      <c r="AE70" s="77" t="str">
        <f t="shared" si="11"/>
        <v>aws s3 cp s3://rtdc.mdm.uploadarchive.raw/RTDC4064/ "%USERPROFILE%\AppData\Local\Temp\OnboardLogs"\RTDC4064\2017-09-24 --exclude "*" --recursive --include "*20170924*" &amp; "%USERPROFILE%\Documents\GitHub\mrs-test-scripts\Headless Mode &amp; Sideloading\WalkAndUnGZ.bat" "%USERPROFILE%\AppData\Local\Temp\OnboardLogs"\RTDC4064\2017-09-24 &amp; aws s3 cp s3://rtdc.mdm.uploadarchive.raw/RTDC4064/ "%USERPROFILE%\AppData\Local\Temp\OnboardLogs"\RTDC4064\2017-09-25 --exclude "*" --recursive --include "*20170925*" &amp; "%USERPROFILE%\Documents\GitHub\mrs-test-scripts\Headless Mode &amp; Sideloading\WalkAndUnGZ.bat" "%USERPROFILE%\AppData\Local\Temp\OnboardLogs"\RTDC4064\2017-09-25</v>
      </c>
      <c r="AF70" s="74" t="str">
        <f t="shared" si="12"/>
        <v>"C:\Program Files (x86)\AstroGrep\AstroGrep.exe" /e /r /s /spath="%USERPROFILE%\AppData\Local\Temp\OnboardLogs" /stypes="app*4064*20170924*" /stext=" 17:.+((SYSTEM_STATE.+slice.+state.+changed )|(ment ac)|(multiple cpu faults)|(system.+state.+changed )|(\[timeout)|(PRM\|1\|D)|(kpr)|(kdp)|(train st.+moving)|(\|lc)|(penalty))"</v>
      </c>
      <c r="AG70" s="182" t="str">
        <f t="shared" si="13"/>
        <v>EC</v>
      </c>
      <c r="AH70" s="78" t="str">
        <f t="shared" si="18"/>
        <v>"%USERPROFILE%\Documents\GitHub\eaglep3\Utilities\RefineRTDCRunTimes.py" --tripid 157-24 --locoid 4064 --swversion DE.1.0.9.0 --startMP 204:471 --initTime 2017-09-24T10:42:18 --startdatetime 2017-09-24T10:45:17 --delay 79 --endMP 204:233310 --enddatetime 2017-09-24T11:24:03 --enforcementcount 0 &gt;&gt;c:\users\stu\Documents\GitHub\eaglep3-reporting\EC\2017-09-24-refined-times.txt</v>
      </c>
      <c r="AI70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{"issue":{"subject":"","project_id":79,"tracker_id":40,"status_id":1,"priority_id":2,"assigned_to_id":338,"start_date":"2017-09-24","description":"","custom_fields":[{"id":1,"name":"Subdivision","value":"EC"},{"id":4,"name":"Milepost","value":"23.331"},{"id":17,"name":"Train ID","value":"157-24"},{"id":16,"name":"Locomotive ID","value":"4064"},{"id":130,"name":"Impact","value":""},{"id":150,"name":"Time of Event (Mountain Time)","value":"11:24:03"},{"id":151,"name":"Denver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2" t="str">
        <f t="shared" si="20"/>
        <v>start /low /b %USERPROFILE%\Documents\GitHub\eaglep3\Utilities\DownloadLogsFromS3.py --loco 4064 --day 2017-09-24</v>
      </c>
      <c r="AN70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17:24:03"},{"id":29,"name":"Sharepoint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168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Message%20ID',Summary),filters:!(),index:'emp_*',interval:auto,query:"&amp;"(query_string:(analyze_wildcard:!t,query:'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-09-24T09:42:18-0600',mode:absolute,to:'2017-09-24T12:24:03-0600'))&amp;_a=(columns:!('Message%20ID',Summary),filters:!(),index:'emp_*',interval:auto,query:(query_string:(analyze_wildcard:!t,query:'%22rtdc.l.rtdc.4064%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705</v>
      </c>
      <c r="B71" s="7">
        <v>4063</v>
      </c>
      <c r="C71" s="21" t="s">
        <v>196</v>
      </c>
      <c r="D71" s="21" t="s">
        <v>445</v>
      </c>
      <c r="E71" s="13">
        <v>43002.477407407408</v>
      </c>
      <c r="F71" s="13">
        <v>43002.487719907411</v>
      </c>
      <c r="G71" s="7">
        <v>73</v>
      </c>
      <c r="H71" s="21" t="s">
        <v>338</v>
      </c>
      <c r="I71" s="13">
        <v>43002.515266203707</v>
      </c>
      <c r="J71" s="7">
        <v>0</v>
      </c>
      <c r="K71" s="89" t="str">
        <f t="shared" si="0"/>
        <v>4063/4064</v>
      </c>
      <c r="L71" s="185" t="str">
        <f>VLOOKUP(A71,'Trips&amp;Operators'!$C$1:$G$99911,5,FALSE)</f>
        <v>DAVIDSON DAVID</v>
      </c>
      <c r="M71" s="6">
        <f t="shared" si="1"/>
        <v>2.7546296296350192E-2</v>
      </c>
      <c r="N71" s="7">
        <f t="shared" si="22"/>
        <v>39.666666666744277</v>
      </c>
      <c r="O71" s="7"/>
      <c r="P71" s="7"/>
      <c r="Q71" s="22"/>
      <c r="R71" s="174"/>
      <c r="S71" s="221">
        <f t="shared" ref="S71:S102" si="27">1/IF(AG71="EC",12,1)*SUM(U71:U71)</f>
        <v>1</v>
      </c>
      <c r="T71" s="174" t="str">
        <f t="shared" si="4"/>
        <v>Southbound</v>
      </c>
      <c r="U71" s="198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16" t="str">
        <f t="shared" si="5"/>
        <v>https://d0f6bd738d7f1b3e5a7ca70fe4ff75f0.us-east-1.aws.found.io/app/kibana#/discover/Steve-Slow-Train-Analysis-(2080s-and-2083s)?_g=(refreshInterval:(display:Off,pause:!f,section:0,value:0),time:(from:'2017-09-24T10:27:28-0600',mode:absolute,to:'2017-09-24T13:21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1" s="204" t="str">
        <f>IF(AA71&lt;VLOOKUP(AG71,Variables!$AC$3:$AD$8,2,FALSE),"Y","N")</f>
        <v>N</v>
      </c>
      <c r="X71" s="204">
        <f t="shared" si="24"/>
        <v>1</v>
      </c>
      <c r="Y71" s="204">
        <f t="shared" si="25"/>
        <v>23.2987</v>
      </c>
      <c r="Z71" s="204">
        <f t="shared" si="26"/>
        <v>1.49E-2</v>
      </c>
      <c r="AA71" s="204">
        <f t="shared" si="9"/>
        <v>23.283799999999999</v>
      </c>
      <c r="AB71" s="54" t="e">
        <f>VLOOKUP(A71,Enforcements!$C$7:$K$11,8,0)</f>
        <v>#N/A</v>
      </c>
      <c r="AC71" s="51" t="e">
        <f>VLOOKUP(A71,Enforcements!$C$7:$E$11,3,0)</f>
        <v>#N/A</v>
      </c>
      <c r="AD71" s="179">
        <f t="shared" si="10"/>
        <v>158</v>
      </c>
      <c r="AE71" s="77" t="str">
        <f t="shared" si="11"/>
        <v>aws s3 cp s3://rtdc.mdm.uploadarchive.raw/RTDC4063/ "%USERPROFILE%\AppData\Local\Temp\OnboardLogs"\RTDC4063\2017-09-24 --exclude "*" --recursive --include "*20170924*" &amp; "%USERPROFILE%\Documents\GitHub\mrs-test-scripts\Headless Mode &amp; Sideloading\WalkAndUnGZ.bat" "%USERPROFILE%\AppData\Local\Temp\OnboardLogs"\RTDC4063\2017-09-24 &amp; aws s3 cp s3://rtdc.mdm.uploadarchive.raw/RTDC4063/ "%USERPROFILE%\AppData\Local\Temp\OnboardLogs"\RTDC4063\2017-09-25 --exclude "*" --recursive --include "*20170925*" &amp; "%USERPROFILE%\Documents\GitHub\mrs-test-scripts\Headless Mode &amp; Sideloading\WalkAndUnGZ.bat" "%USERPROFILE%\AppData\Local\Temp\OnboardLogs"\RTDC4063\2017-09-25</v>
      </c>
      <c r="AF71" s="74" t="str">
        <f t="shared" si="12"/>
        <v>"C:\Program Files (x86)\AstroGrep\AstroGrep.exe" /e /r /s /spath="%USERPROFILE%\AppData\Local\Temp\OnboardLogs" /stypes="app*4063*20170924*" /stext=" 18:.+((SYSTEM_STATE.+slice.+state.+changed )|(ment ac)|(multiple cpu faults)|(system.+state.+changed )|(\[timeout)|(PRM\|1\|D)|(kpr)|(kdp)|(train st.+moving)|(\|lc)|(penalty))"</v>
      </c>
      <c r="AG71" s="182" t="str">
        <f t="shared" si="13"/>
        <v>EC</v>
      </c>
      <c r="AH71" s="78" t="str">
        <f t="shared" si="18"/>
        <v>"%USERPROFILE%\Documents\GitHub\eaglep3\Utilities\RefineRTDCRunTimes.py" --tripid 158-24 --locoid 4063 --swversion DE.1.0.9.0 --startMP 204:232987 --initTime 2017-09-24T11:27:28 --startdatetime 2017-09-24T11:42:19 --delay 73 --endMP 204:149 --enddatetime 2017-09-24T12:21:59 --enforcementcount 0 &gt;&gt;c:\users\stu\Documents\GitHub\eaglep3-reporting\EC\2017-09-24-refined-times.txt</v>
      </c>
      <c r="AI71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{"issue":{"subject":"","project_id":79,"tracker_id":40,"status_id":1,"priority_id":2,"assigned_to_id":338,"start_date":"2017-09-24","description":"","custom_fields":[{"id":1,"name":"Subdivision","value":"EC"},{"id":4,"name":"Milepost","value":"0.0149"},{"id":17,"name":"Train ID","value":"158-24"},{"id":16,"name":"Locomotive ID","value":"4063"},{"id":130,"name":"Impact","value":""},{"id":150,"name":"Time of Event (Mountain Time)","value":"12:21:59"},{"id":151,"name":"Denver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2" t="str">
        <f t="shared" si="20"/>
        <v>start /low /b %USERPROFILE%\Documents\GitHub\eaglep3\Utilities\DownloadLogsFromS3.py --loco 4063 --day 2017-09-24</v>
      </c>
      <c r="AN71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18:21:59"},{"id":29,"name":"Sharepoint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168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Message%20ID',Summary),filters:!(),index:'emp_*',interval:auto,query:"&amp;"(query_string:(analyze_wildcard:!t,query:'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-09-24T10:27:28-0600',mode:absolute,to:'2017-09-24T13:21:59-0600'))&amp;_a=(columns:!('Message%20ID',Summary),filters:!(),index:'emp_*',interval:auto,query:(query_string:(analyze_wildcard:!t,query:'%22rtdc.l.rtdc.4063%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697</v>
      </c>
      <c r="B72" s="7">
        <v>4018</v>
      </c>
      <c r="C72" s="21" t="s">
        <v>196</v>
      </c>
      <c r="D72" s="21" t="s">
        <v>417</v>
      </c>
      <c r="E72" s="13">
        <v>43002.455520833333</v>
      </c>
      <c r="F72" s="13">
        <v>43002.458506944444</v>
      </c>
      <c r="G72" s="7">
        <v>53</v>
      </c>
      <c r="H72" s="21" t="s">
        <v>394</v>
      </c>
      <c r="I72" s="13">
        <v>43002.482997685183</v>
      </c>
      <c r="J72" s="7">
        <v>0</v>
      </c>
      <c r="K72" s="89" t="str">
        <f t="shared" si="0"/>
        <v>4017/4018</v>
      </c>
      <c r="L72" s="185" t="str">
        <f>VLOOKUP(A72,'Trips&amp;Operators'!$C$1:$G$99911,5,FALSE)</f>
        <v>LAMAR NEKESHA</v>
      </c>
      <c r="M72" s="6">
        <f t="shared" si="1"/>
        <v>2.4490740739565808E-2</v>
      </c>
      <c r="N72" s="7">
        <f t="shared" si="22"/>
        <v>35.266666664974764</v>
      </c>
      <c r="O72" s="7"/>
      <c r="P72" s="7"/>
      <c r="Q72" s="22"/>
      <c r="R72" s="174"/>
      <c r="S72" s="221">
        <f t="shared" si="27"/>
        <v>1</v>
      </c>
      <c r="T72" s="174" t="str">
        <f t="shared" si="4"/>
        <v>NorthBound</v>
      </c>
      <c r="U72" s="198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16" t="str">
        <f t="shared" si="5"/>
        <v>https://d0f6bd738d7f1b3e5a7ca70fe4ff75f0.us-east-1.aws.found.io/app/kibana#/discover/Steve-Slow-Train-Analysis-(2080s-and-2083s)?_g=(refreshInterval:(display:Off,pause:!f,section:0,value:0),time:(from:'2017-09-24T09:55:57-0600',mode:absolute,to:'2017-09-24T12:35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2" s="204" t="str">
        <f>IF(AA72&lt;VLOOKUP(AG72,Variables!$AC$3:$AD$8,2,FALSE),"Y","N")</f>
        <v>N</v>
      </c>
      <c r="X72" s="204">
        <f t="shared" si="24"/>
        <v>1</v>
      </c>
      <c r="Y72" s="204">
        <f t="shared" si="25"/>
        <v>4.7300000000000002E-2</v>
      </c>
      <c r="Z72" s="204">
        <f t="shared" si="26"/>
        <v>23.328900000000001</v>
      </c>
      <c r="AA72" s="204">
        <f t="shared" si="9"/>
        <v>23.281600000000001</v>
      </c>
      <c r="AB72" s="54" t="e">
        <f>VLOOKUP(A72,Enforcements!$C$7:$K$11,8,0)</f>
        <v>#N/A</v>
      </c>
      <c r="AC72" s="51" t="e">
        <f>VLOOKUP(A72,Enforcements!$C$7:$E$11,3,0)</f>
        <v>#N/A</v>
      </c>
      <c r="AD72" s="179">
        <f t="shared" si="10"/>
        <v>159</v>
      </c>
      <c r="AE72" s="77" t="str">
        <f t="shared" si="11"/>
        <v>aws s3 cp s3://rtdc.mdm.uploadarchive.raw/RTDC4018/ "%USERPROFILE%\AppData\Local\Temp\OnboardLogs"\RTDC4018\2017-09-24 --exclude "*" --recursive --include "*20170924*" &amp; "%USERPROFILE%\Documents\GitHub\mrs-test-scripts\Headless Mode &amp; Sideloading\WalkAndUnGZ.bat" "%USERPROFILE%\AppData\Local\Temp\OnboardLogs"\RTDC4018\2017-09-24 &amp; aws s3 cp s3://rtdc.mdm.uploadarchive.raw/RTDC4018/ "%USERPROFILE%\AppData\Local\Temp\OnboardLogs"\RTDC4018\2017-09-25 --exclude "*" --recursive --include "*20170925*" &amp; "%USERPROFILE%\Documents\GitHub\mrs-test-scripts\Headless Mode &amp; Sideloading\WalkAndUnGZ.bat" "%USERPROFILE%\AppData\Local\Temp\OnboardLogs"\RTDC4018\2017-09-25</v>
      </c>
      <c r="AF72" s="74" t="str">
        <f t="shared" si="12"/>
        <v>"C:\Program Files (x86)\AstroGrep\AstroGrep.exe" /e /r /s /spath="%USERPROFILE%\AppData\Local\Temp\OnboardLogs" /stypes="app*4018*20170924*" /stext=" 17:.+((SYSTEM_STATE.+slice.+state.+changed )|(ment ac)|(multiple cpu faults)|(system.+state.+changed )|(\[timeout)|(PRM\|1\|D)|(kpr)|(kdp)|(train st.+moving)|(\|lc)|(penalty))"</v>
      </c>
      <c r="AG72" s="182" t="str">
        <f t="shared" si="13"/>
        <v>EC</v>
      </c>
      <c r="AH72" s="78" t="str">
        <f t="shared" si="18"/>
        <v>"%USERPROFILE%\Documents\GitHub\eaglep3\Utilities\RefineRTDCRunTimes.py" --tripid 159-24 --locoid 4018 --swversion DE.1.0.9.0 --startMP 204:473 --initTime 2017-09-24T10:55:57 --startdatetime 2017-09-24T11:00:15 --delay 53 --endMP 204:233289 --enddatetime 2017-09-24T11:35:31 --enforcementcount 0 &gt;&gt;c:\users\stu\Documents\GitHub\eaglep3-reporting\EC\2017-09-24-refined-times.txt</v>
      </c>
      <c r="AI72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{"issue":{"subject":"","project_id":79,"tracker_id":40,"status_id":1,"priority_id":2,"assigned_to_id":338,"start_date":"2017-09-24","description":"","custom_fields":[{"id":1,"name":"Subdivision","value":"EC"},{"id":4,"name":"Milepost","value":"23.3289"},{"id":17,"name":"Train ID","value":"159-24"},{"id":16,"name":"Locomotive ID","value":"4018"},{"id":130,"name":"Impact","value":""},{"id":150,"name":"Time of Event (Mountain Time)","value":"11:35:31"},{"id":151,"name":"Denver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2" t="str">
        <f t="shared" si="20"/>
        <v>start /low /b %USERPROFILE%\Documents\GitHub\eaglep3\Utilities\DownloadLogsFromS3.py --loco 4018 --day 2017-09-24</v>
      </c>
      <c r="AN72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17:35:31"},{"id":29,"name":"Sharepoint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168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Message%20ID',Summary),filters:!(),index:'emp_*',interval:auto,query:"&amp;"(query_string:(analyze_wildcard:!t,query:'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-09-24T09:55:57-0600',mode:absolute,to:'2017-09-24T12:35:31-0600'))&amp;_a=(columns:!('Message%20ID',Summary),filters:!(),index:'emp_*',interval:auto,query:(query_string:(analyze_wildcard:!t,query:'%22rtdc.l.rtdc.4018%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2" t="s">
        <v>710</v>
      </c>
      <c r="B73" s="7">
        <v>4017</v>
      </c>
      <c r="C73" s="21" t="s">
        <v>196</v>
      </c>
      <c r="D73" s="21" t="s">
        <v>369</v>
      </c>
      <c r="E73" s="13">
        <v>43002.495578703703</v>
      </c>
      <c r="F73" s="13">
        <v>43002.498101851852</v>
      </c>
      <c r="G73" s="7">
        <v>49</v>
      </c>
      <c r="H73" s="21" t="s">
        <v>561</v>
      </c>
      <c r="I73" s="13">
        <v>43002.51116898148</v>
      </c>
      <c r="J73" s="7">
        <v>0</v>
      </c>
      <c r="K73" s="89" t="str">
        <f t="shared" si="0"/>
        <v>4017/4018</v>
      </c>
      <c r="L73" s="185" t="str">
        <f>VLOOKUP(A73,'Trips&amp;Operators'!$C$1:$G$99911,5,FALSE)</f>
        <v>LAMAR NEKESHA</v>
      </c>
      <c r="M73" s="6">
        <f t="shared" si="1"/>
        <v>1.3067129628325347E-2</v>
      </c>
      <c r="N73" s="7"/>
      <c r="O73" s="7"/>
      <c r="P73" s="7">
        <f>24*60*SUM($M73:$M73)</f>
        <v>18.816666664788499</v>
      </c>
      <c r="Q73" s="22"/>
      <c r="R73" s="174" t="s">
        <v>979</v>
      </c>
      <c r="S73" s="221">
        <f t="shared" si="27"/>
        <v>1</v>
      </c>
      <c r="T73" s="174" t="str">
        <f t="shared" si="4"/>
        <v>Southbound</v>
      </c>
      <c r="U73" s="198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16" t="str">
        <f t="shared" si="5"/>
        <v>https://d0f6bd738d7f1b3e5a7ca70fe4ff75f0.us-east-1.aws.found.io/app/kibana#/discover/Steve-Slow-Train-Analysis-(2080s-and-2083s)?_g=(refreshInterval:(display:Off,pause:!f,section:0,value:0),time:(from:'2017-09-24T10:53:38-0600',mode:absolute,to:'2017-09-24T13:16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3" s="204" t="str">
        <f>IF(AA73&lt;VLOOKUP(AG73,Variables!$AC$3:$AD$8,2,FALSE),"Y","N")</f>
        <v>N</v>
      </c>
      <c r="X73" s="204">
        <f t="shared" si="24"/>
        <v>1</v>
      </c>
      <c r="Y73" s="204">
        <f t="shared" si="25"/>
        <v>23.297699999999999</v>
      </c>
      <c r="Z73" s="204">
        <f t="shared" si="26"/>
        <v>1.89E-2</v>
      </c>
      <c r="AA73" s="204">
        <f t="shared" si="9"/>
        <v>23.2788</v>
      </c>
      <c r="AB73" s="54" t="e">
        <f>VLOOKUP(A73,Enforcements!$C$7:$K$11,8,0)</f>
        <v>#N/A</v>
      </c>
      <c r="AC73" s="51" t="e">
        <f>VLOOKUP(A73,Enforcements!$C$7:$E$11,3,0)</f>
        <v>#N/A</v>
      </c>
      <c r="AD73" s="179">
        <f t="shared" si="10"/>
        <v>160</v>
      </c>
      <c r="AE73" s="77" t="str">
        <f t="shared" si="11"/>
        <v>aws s3 cp s3://rtdc.mdm.uploadarchive.raw/RTDC4017/ "%USERPROFILE%\AppData\Local\Temp\OnboardLogs"\RTDC4017\2017-09-24 --exclude "*" --recursive --include "*20170924*" &amp; "%USERPROFILE%\Documents\GitHub\mrs-test-scripts\Headless Mode &amp; Sideloading\WalkAndUnGZ.bat" "%USERPROFILE%\AppData\Local\Temp\OnboardLogs"\RTDC4017\2017-09-24 &amp; aws s3 cp s3://rtdc.mdm.uploadarchive.raw/RTDC4017/ "%USERPROFILE%\AppData\Local\Temp\OnboardLogs"\RTDC4017\2017-09-25 --exclude "*" --recursive --include "*20170925*" &amp; "%USERPROFILE%\Documents\GitHub\mrs-test-scripts\Headless Mode &amp; Sideloading\WalkAndUnGZ.bat" "%USERPROFILE%\AppData\Local\Temp\OnboardLogs"\RTDC4017\2017-09-25</v>
      </c>
      <c r="AF73" s="74" t="str">
        <f t="shared" si="12"/>
        <v>"C:\Program Files (x86)\AstroGrep\AstroGrep.exe" /e /r /s /spath="%USERPROFILE%\AppData\Local\Temp\OnboardLogs" /stypes="app*4017*20170924*" /stext=" 18:.+((SYSTEM_STATE.+slice.+state.+changed )|(ment ac)|(multiple cpu faults)|(system.+state.+changed )|(\[timeout)|(PRM\|1\|D)|(kpr)|(kdp)|(train st.+moving)|(\|lc)|(penalty))"</v>
      </c>
      <c r="AG73" s="182" t="str">
        <f t="shared" si="13"/>
        <v>EC</v>
      </c>
      <c r="AH73" s="78" t="str">
        <f t="shared" si="18"/>
        <v>"%USERPROFILE%\Documents\GitHub\eaglep3\Utilities\RefineRTDCRunTimes.py" --tripid 160-24 --locoid 4017 --swversion DE.1.0.9.0 --startMP 204:232977 --initTime 2017-09-24T11:53:38 --startdatetime 2017-09-24T11:57:16 --delay 49 --endMP 204:189 --enddatetime 2017-09-24T12:16:05 --enforcementcount 0 &gt;&gt;c:\users\stu\Documents\GitHub\eaglep3-reporting\EC\2017-09-24-refined-times.txt</v>
      </c>
      <c r="AI73" s="96" t="str">
        <f t="shared" si="19"/>
        <v>echo {"issue":{"subject":"Wheel tach slip / slide","project_id":79,"tracker_id":40,"status_id":1,"priority_id":2,"assigned_to_id":338,"start_date":"2017-09-24","description":"","custom_fields":[{"id":1,"name":"Subdivision","value":"EC"},{"id":4,"name":"Milepost","value":"0.0189"},{"id":17,"name":"Train ID","value":"160-24"},{"id":16,"name":"Locomotive ID","value":"4017"},{"id":130,"name":"Impact","value":""},{"id":150,"name":"Time of Event (Mountain Time)","value":"12:16:05"},{"id":151,"name":"Denver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2" t="str">
        <f t="shared" si="20"/>
        <v>start /low /b %USERPROFILE%\Documents\GitHub\eaglep3\Utilities\DownloadLogsFromS3.py --loco 4017 --day 2017-09-24</v>
      </c>
      <c r="AN73" s="151" t="str">
        <f t="shared" si="21"/>
        <v>echo {"issue":{"subject":"Wheel tach slip / slide","project_id":30,"tracker_id":4,"status_id":1,"priority_id":1,"assigned_to_id":10,"start_date":"2017-09-24","description":"","custom_fields":[{"id":30,"name":"Category","value":"Issue"},{"id":3,"name":"Functional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18:16:05"},{"id":29,"name":"Sharepoint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168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Message%20ID',Summary),filters:!(),index:'emp_*',interval:auto,query:"&amp;"(query_string:(analyze_wildcard:!t,query:'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-09-24T10:53:38-0600',mode:absolute,to:'2017-09-24T13:16:05-0600'))&amp;_a=(columns:!('Message%20ID',Summary),filters:!(),index:'emp_*',interval:auto,query:(query_string:(analyze_wildcard:!t,query:'%22rtdc.l.rtdc.4017%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700</v>
      </c>
      <c r="B74" s="7">
        <v>4046</v>
      </c>
      <c r="C74" s="21" t="s">
        <v>196</v>
      </c>
      <c r="D74" s="21" t="s">
        <v>407</v>
      </c>
      <c r="E74" s="13">
        <v>43002.465462962966</v>
      </c>
      <c r="F74" s="13">
        <v>43002.469039351854</v>
      </c>
      <c r="G74" s="7">
        <v>97</v>
      </c>
      <c r="H74" s="21" t="s">
        <v>425</v>
      </c>
      <c r="I74" s="13">
        <v>43002.496018518519</v>
      </c>
      <c r="J74" s="7">
        <v>0</v>
      </c>
      <c r="K74" s="89" t="str">
        <f t="shared" si="0"/>
        <v>4045/4046</v>
      </c>
      <c r="L74" s="185" t="str">
        <f>VLOOKUP(A74,'Trips&amp;Operators'!$C$1:$G$99911,5,FALSE)</f>
        <v>DAVIS MICHAEL</v>
      </c>
      <c r="M74" s="6">
        <f t="shared" si="1"/>
        <v>2.6979166665114462E-2</v>
      </c>
      <c r="N74" s="7">
        <f t="shared" ref="N74:N105" si="28">24*60*SUM($M74:$M74)</f>
        <v>38.849999997764826</v>
      </c>
      <c r="O74" s="7"/>
      <c r="P74" s="7"/>
      <c r="Q74" s="22"/>
      <c r="R74" s="174"/>
      <c r="S74" s="221">
        <f t="shared" si="27"/>
        <v>1</v>
      </c>
      <c r="T74" s="174" t="str">
        <f t="shared" si="4"/>
        <v>NorthBound</v>
      </c>
      <c r="U74" s="198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216" t="str">
        <f t="shared" si="5"/>
        <v>https://d0f6bd738d7f1b3e5a7ca70fe4ff75f0.us-east-1.aws.found.io/app/kibana#/discover/Steve-Slow-Train-Analysis-(2080s-and-2083s)?_g=(refreshInterval:(display:Off,pause:!f,section:0,value:0),time:(from:'2017-09-24T10:10:16-0600',mode:absolute,to:'2017-09-24T12:54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4" s="204" t="str">
        <f>IF(AA74&lt;VLOOKUP(AG74,Variables!$AC$3:$AD$8,2,FALSE),"Y","N")</f>
        <v>N</v>
      </c>
      <c r="X74" s="204">
        <f t="shared" si="24"/>
        <v>1</v>
      </c>
      <c r="Y74" s="204">
        <f t="shared" si="25"/>
        <v>4.4699999999999997E-2</v>
      </c>
      <c r="Z74" s="204">
        <f t="shared" si="26"/>
        <v>23.3325</v>
      </c>
      <c r="AA74" s="204">
        <f t="shared" si="9"/>
        <v>23.287800000000001</v>
      </c>
      <c r="AB74" s="54" t="e">
        <f>VLOOKUP(A74,Enforcements!$C$7:$K$11,8,0)</f>
        <v>#N/A</v>
      </c>
      <c r="AC74" s="51" t="e">
        <f>VLOOKUP(A74,Enforcements!$C$7:$E$11,3,0)</f>
        <v>#N/A</v>
      </c>
      <c r="AD74" s="179">
        <f t="shared" si="10"/>
        <v>161</v>
      </c>
      <c r="AE74" s="77" t="str">
        <f t="shared" si="11"/>
        <v>aws s3 cp s3://rtdc.mdm.uploadarchive.raw/RTDC4046/ "%USERPROFILE%\AppData\Local\Temp\OnboardLogs"\RTDC4046\2017-09-24 --exclude "*" --recursive --include "*20170924*" &amp; "%USERPROFILE%\Documents\GitHub\mrs-test-scripts\Headless Mode &amp; Sideloading\WalkAndUnGZ.bat" "%USERPROFILE%\AppData\Local\Temp\OnboardLogs"\RTDC4046\2017-09-24 &amp; aws s3 cp s3://rtdc.mdm.uploadarchive.raw/RTDC4046/ "%USERPROFILE%\AppData\Local\Temp\OnboardLogs"\RTDC4046\2017-09-25 --exclude "*" --recursive --include "*20170925*" &amp; "%USERPROFILE%\Documents\GitHub\mrs-test-scripts\Headless Mode &amp; Sideloading\WalkAndUnGZ.bat" "%USERPROFILE%\AppData\Local\Temp\OnboardLogs"\RTDC4046\2017-09-25</v>
      </c>
      <c r="AF74" s="74" t="str">
        <f t="shared" si="12"/>
        <v>"C:\Program Files (x86)\AstroGrep\AstroGrep.exe" /e /r /s /spath="%USERPROFILE%\AppData\Local\Temp\OnboardLogs" /stypes="app*4046*20170924*" /stext=" 17:.+((SYSTEM_STATE.+slice.+state.+changed )|(ment ac)|(multiple cpu faults)|(system.+state.+changed )|(\[timeout)|(PRM\|1\|D)|(kpr)|(kdp)|(train st.+moving)|(\|lc)|(penalty))"</v>
      </c>
      <c r="AG74" s="182" t="str">
        <f t="shared" si="13"/>
        <v>EC</v>
      </c>
      <c r="AH74" s="78" t="str">
        <f t="shared" si="18"/>
        <v>"%USERPROFILE%\Documents\GitHub\eaglep3\Utilities\RefineRTDCRunTimes.py" --tripid 161-24 --locoid 4046 --swversion DE.1.0.9.0 --startMP 204:447 --initTime 2017-09-24T11:10:16 --startdatetime 2017-09-24T11:15:25 --delay 97 --endMP 204:233325 --enddatetime 2017-09-24T11:54:16 --enforcementcount 0 &gt;&gt;c:\users\stu\Documents\GitHub\eaglep3-reporting\EC\2017-09-24-refined-times.txt</v>
      </c>
      <c r="AI74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{"issue":{"subject":"","project_id":79,"tracker_id":40,"status_id":1,"priority_id":2,"assigned_to_id":338,"start_date":"2017-09-24","description":"","custom_fields":[{"id":1,"name":"Subdivision","value":"EC"},{"id":4,"name":"Milepost","value":"23.3325"},{"id":17,"name":"Train ID","value":"161-24"},{"id":16,"name":"Locomotive ID","value":"4046"},{"id":130,"name":"Impact","value":""},{"id":150,"name":"Time of Event (Mountain Time)","value":"11:54:16"},{"id":151,"name":"Denver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2" t="str">
        <f t="shared" si="20"/>
        <v>start /low /b %USERPROFILE%\Documents\GitHub\eaglep3\Utilities\DownloadLogsFromS3.py --loco 4046 --day 2017-09-24</v>
      </c>
      <c r="AN74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17:54:16"},{"id":29,"name":"Sharepoint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168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Message%20ID',Summary),filters:!(),index:'emp_*',interval:auto,query:"&amp;"(query_string:(analyze_wildcard:!t,query:'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-09-24T10:10:16-0600',mode:absolute,to:'2017-09-24T12:54:16-0600'))&amp;_a=(columns:!('Message%20ID',Summary),filters:!(),index:'emp_*',interval:auto,query:(query_string:(analyze_wildcard:!t,query:'%22rtdc.l.rtdc.4046%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712</v>
      </c>
      <c r="B75" s="7">
        <v>4045</v>
      </c>
      <c r="C75" s="21" t="s">
        <v>196</v>
      </c>
      <c r="D75" s="21" t="s">
        <v>855</v>
      </c>
      <c r="E75" s="13">
        <v>43002.506111111114</v>
      </c>
      <c r="F75" s="13">
        <v>43002.508703703701</v>
      </c>
      <c r="G75" s="7">
        <v>72</v>
      </c>
      <c r="H75" s="21" t="s">
        <v>337</v>
      </c>
      <c r="I75" s="13">
        <v>43002.53670138889</v>
      </c>
      <c r="J75" s="7">
        <v>0</v>
      </c>
      <c r="K75" s="89" t="str">
        <f t="shared" si="0"/>
        <v>4045/4046</v>
      </c>
      <c r="L75" s="185" t="str">
        <f>VLOOKUP(A75,'Trips&amp;Operators'!$C$1:$G$99911,5,FALSE)</f>
        <v>DAVIS MICHAEL</v>
      </c>
      <c r="M75" s="6">
        <f t="shared" si="1"/>
        <v>2.7997685188893229E-2</v>
      </c>
      <c r="N75" s="7">
        <f t="shared" si="28"/>
        <v>40.316666672006249</v>
      </c>
      <c r="O75" s="7"/>
      <c r="P75" s="7"/>
      <c r="Q75" s="22"/>
      <c r="R75" s="174"/>
      <c r="S75" s="221">
        <f t="shared" si="27"/>
        <v>1</v>
      </c>
      <c r="T75" s="174" t="str">
        <f t="shared" si="4"/>
        <v>Southbound</v>
      </c>
      <c r="U75" s="198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16" t="str">
        <f t="shared" si="5"/>
        <v>https://d0f6bd738d7f1b3e5a7ca70fe4ff75f0.us-east-1.aws.found.io/app/kibana#/discover/Steve-Slow-Train-Analysis-(2080s-and-2083s)?_g=(refreshInterval:(display:Off,pause:!f,section:0,value:0),time:(from:'2017-09-24T11:08:48-0600',mode:absolute,to:'2017-09-24T13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5" s="204" t="str">
        <f>IF(AA75&lt;VLOOKUP(AG75,Variables!$AC$3:$AD$8,2,FALSE),"Y","N")</f>
        <v>N</v>
      </c>
      <c r="X75" s="204">
        <f t="shared" si="24"/>
        <v>1</v>
      </c>
      <c r="Y75" s="204">
        <f t="shared" si="25"/>
        <v>23.300999999999998</v>
      </c>
      <c r="Z75" s="204">
        <f t="shared" si="26"/>
        <v>1.4999999999999999E-2</v>
      </c>
      <c r="AA75" s="204">
        <f t="shared" si="9"/>
        <v>23.285999999999998</v>
      </c>
      <c r="AB75" s="54" t="e">
        <f>VLOOKUP(A75,Enforcements!$C$7:$K$11,8,0)</f>
        <v>#N/A</v>
      </c>
      <c r="AC75" s="51" t="e">
        <f>VLOOKUP(A75,Enforcements!$C$7:$E$11,3,0)</f>
        <v>#N/A</v>
      </c>
      <c r="AD75" s="179">
        <f t="shared" si="10"/>
        <v>162</v>
      </c>
      <c r="AE75" s="77" t="str">
        <f t="shared" si="11"/>
        <v>aws s3 cp s3://rtdc.mdm.uploadarchive.raw/RTDC4045/ "%USERPROFILE%\AppData\Local\Temp\OnboardLogs"\RTDC4045\2017-09-24 --exclude "*" --recursive --include "*20170924*" &amp; "%USERPROFILE%\Documents\GitHub\mrs-test-scripts\Headless Mode &amp; Sideloading\WalkAndUnGZ.bat" "%USERPROFILE%\AppData\Local\Temp\OnboardLogs"\RTDC4045\2017-09-24 &amp; aws s3 cp s3://rtdc.mdm.uploadarchive.raw/RTDC4045/ "%USERPROFILE%\AppData\Local\Temp\OnboardLogs"\RTDC4045\2017-09-25 --exclude "*" --recursive --include "*20170925*" &amp; "%USERPROFILE%\Documents\GitHub\mrs-test-scripts\Headless Mode &amp; Sideloading\WalkAndUnGZ.bat" "%USERPROFILE%\AppData\Local\Temp\OnboardLogs"\RTDC4045\2017-09-25</v>
      </c>
      <c r="AF75" s="74" t="str">
        <f t="shared" si="12"/>
        <v>"C:\Program Files (x86)\AstroGrep\AstroGrep.exe" /e /r /s /spath="%USERPROFILE%\AppData\Local\Temp\OnboardLogs" /stypes="app*4045*20170924*" /stext=" 18:.+((SYSTEM_STATE.+slice.+state.+changed )|(ment ac)|(multiple cpu faults)|(system.+state.+changed )|(\[timeout)|(PRM\|1\|D)|(kpr)|(kdp)|(train st.+moving)|(\|lc)|(penalty))"</v>
      </c>
      <c r="AG75" s="182" t="str">
        <f t="shared" si="13"/>
        <v>EC</v>
      </c>
      <c r="AH75" s="78" t="str">
        <f t="shared" si="18"/>
        <v>"%USERPROFILE%\Documents\GitHub\eaglep3\Utilities\RefineRTDCRunTimes.py" --tripid 162-24 --locoid 4045 --swversion DE.1.0.9.0 --startMP 204:233010 --initTime 2017-09-24T12:08:48 --startdatetime 2017-09-24T12:12:32 --delay 72 --endMP 204:150 --enddatetime 2017-09-24T12:52:51 --enforcementcount 0 &gt;&gt;c:\users\stu\Documents\GitHub\eaglep3-reporting\EC\2017-09-24-refined-times.txt</v>
      </c>
      <c r="AI75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{"issue":{"subject":"","project_id":79,"tracker_id":40,"status_id":1,"priority_id":2,"assigned_to_id":338,"start_date":"2017-09-24","description":"","custom_fields":[{"id":1,"name":"Subdivision","value":"EC"},{"id":4,"name":"Milepost","value":"0.015"},{"id":17,"name":"Train ID","value":"162-24"},{"id":16,"name":"Locomotive ID","value":"4045"},{"id":130,"name":"Impact","value":""},{"id":150,"name":"Time of Event (Mountain Time)","value":"12:52:51"},{"id":151,"name":"Denver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2" t="str">
        <f t="shared" si="20"/>
        <v>start /low /b %USERPROFILE%\Documents\GitHub\eaglep3\Utilities\DownloadLogsFromS3.py --loco 4045 --day 2017-09-24</v>
      </c>
      <c r="AN75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18:52:51"},{"id":29,"name":"Sharepoint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168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Message%20ID',Summary),filters:!(),index:'emp_*',interval:auto,query:"&amp;"(query_string:(analyze_wildcard:!t,query:'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-09-24T11:08:48-0600',mode:absolute,to:'2017-09-24T13:52:51-0600'))&amp;_a=(columns:!('Message%20ID',Summary),filters:!(),index:'emp_*',interval:auto,query:(query_string:(analyze_wildcard:!t,query:'%22rtdc.l.rtdc.4045%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702</v>
      </c>
      <c r="B76" s="7">
        <v>4060</v>
      </c>
      <c r="C76" s="21" t="s">
        <v>196</v>
      </c>
      <c r="D76" s="21" t="s">
        <v>843</v>
      </c>
      <c r="E76" s="13">
        <v>43002.476631944446</v>
      </c>
      <c r="F76" s="13">
        <v>43002.479363425926</v>
      </c>
      <c r="G76" s="7">
        <v>95</v>
      </c>
      <c r="H76" s="21" t="s">
        <v>856</v>
      </c>
      <c r="I76" s="13">
        <v>43002.504166666666</v>
      </c>
      <c r="J76" s="7">
        <v>0</v>
      </c>
      <c r="K76" s="89" t="str">
        <f t="shared" si="0"/>
        <v>4059/4060</v>
      </c>
      <c r="L76" s="185" t="str">
        <f>VLOOKUP(A76,'Trips&amp;Operators'!$C$1:$G$99911,5,FALSE)</f>
        <v>SAFIEF AEIMEN</v>
      </c>
      <c r="M76" s="6">
        <f t="shared" si="1"/>
        <v>2.4803240739856847E-2</v>
      </c>
      <c r="N76" s="7">
        <f t="shared" si="28"/>
        <v>35.716666665393859</v>
      </c>
      <c r="O76" s="7"/>
      <c r="P76" s="7"/>
      <c r="Q76" s="22"/>
      <c r="R76" s="174"/>
      <c r="S76" s="221">
        <f t="shared" si="27"/>
        <v>1</v>
      </c>
      <c r="T76" s="174" t="str">
        <f t="shared" si="4"/>
        <v>NorthBound</v>
      </c>
      <c r="U76" s="198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216" t="str">
        <f t="shared" si="5"/>
        <v>https://d0f6bd738d7f1b3e5a7ca70fe4ff75f0.us-east-1.aws.found.io/app/kibana#/discover/Steve-Slow-Train-Analysis-(2080s-and-2083s)?_g=(refreshInterval:(display:Off,pause:!f,section:0,value:0),time:(from:'2017-09-24T10:26:21-0600',mode:absolute,to:'2017-09-24T13:06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76" s="204" t="str">
        <f>IF(AA76&lt;VLOOKUP(AG76,Variables!$AC$3:$AD$8,2,FALSE),"Y","N")</f>
        <v>N</v>
      </c>
      <c r="X76" s="204">
        <f t="shared" si="24"/>
        <v>1</v>
      </c>
      <c r="Y76" s="204">
        <f t="shared" si="25"/>
        <v>4.7699999999999999E-2</v>
      </c>
      <c r="Z76" s="204">
        <f t="shared" si="26"/>
        <v>23.3339</v>
      </c>
      <c r="AA76" s="204">
        <f t="shared" si="9"/>
        <v>23.286200000000001</v>
      </c>
      <c r="AB76" s="54" t="e">
        <f>VLOOKUP(A76,Enforcements!$C$7:$K$11,8,0)</f>
        <v>#N/A</v>
      </c>
      <c r="AC76" s="51" t="e">
        <f>VLOOKUP(A76,Enforcements!$C$7:$E$11,3,0)</f>
        <v>#N/A</v>
      </c>
      <c r="AD76" s="179">
        <f t="shared" si="10"/>
        <v>163</v>
      </c>
      <c r="AE76" s="77" t="str">
        <f t="shared" si="11"/>
        <v>aws s3 cp s3://rtdc.mdm.uploadarchive.raw/RTDC4060/ "%USERPROFILE%\AppData\Local\Temp\OnboardLogs"\RTDC4060\2017-09-24 --exclude "*" --recursive --include "*20170924*" &amp; "%USERPROFILE%\Documents\GitHub\mrs-test-scripts\Headless Mode &amp; Sideloading\WalkAndUnGZ.bat" "%USERPROFILE%\AppData\Local\Temp\OnboardLogs"\RTDC4060\2017-09-24 &amp; aws s3 cp s3://rtdc.mdm.uploadarchive.raw/RTDC4060/ "%USERPROFILE%\AppData\Local\Temp\OnboardLogs"\RTDC4060\2017-09-25 --exclude "*" --recursive --include "*20170925*" &amp; "%USERPROFILE%\Documents\GitHub\mrs-test-scripts\Headless Mode &amp; Sideloading\WalkAndUnGZ.bat" "%USERPROFILE%\AppData\Local\Temp\OnboardLogs"\RTDC4060\2017-09-25</v>
      </c>
      <c r="AF76" s="74" t="str">
        <f t="shared" si="12"/>
        <v>"C:\Program Files (x86)\AstroGrep\AstroGrep.exe" /e /r /s /spath="%USERPROFILE%\AppData\Local\Temp\OnboardLogs" /stypes="app*4060*20170924*" /stext=" 18:.+((SYSTEM_STATE.+slice.+state.+changed )|(ment ac)|(multiple cpu faults)|(system.+state.+changed )|(\[timeout)|(PRM\|1\|D)|(kpr)|(kdp)|(train st.+moving)|(\|lc)|(penalty))"</v>
      </c>
      <c r="AG76" s="182" t="str">
        <f t="shared" si="13"/>
        <v>EC</v>
      </c>
      <c r="AH76" s="78" t="str">
        <f t="shared" si="18"/>
        <v>"%USERPROFILE%\Documents\GitHub\eaglep3\Utilities\RefineRTDCRunTimes.py" --tripid 163-24 --locoid 4060 --swversion DE.1.0.9.0 --startMP 204:477 --initTime 2017-09-24T11:26:21 --startdatetime 2017-09-24T11:30:17 --delay 95 --endMP 204:233339 --enddatetime 2017-09-24T12:06:00 --enforcementcount 0 &gt;&gt;c:\users\stu\Documents\GitHub\eaglep3-reporting\EC\2017-09-24-refined-times.txt</v>
      </c>
      <c r="AI76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{"issue":{"subject":"","project_id":79,"tracker_id":40,"status_id":1,"priority_id":2,"assigned_to_id":338,"start_date":"2017-09-24","description":"","custom_fields":[{"id":1,"name":"Subdivision","value":"EC"},{"id":4,"name":"Milepost","value":"23.3339"},{"id":17,"name":"Train ID","value":"163-24"},{"id":16,"name":"Locomotive ID","value":"4060"},{"id":130,"name":"Impact","value":""},{"id":150,"name":"Time of Event (Mountain Time)","value":"12:06:00"},{"id":151,"name":"Denver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2" t="str">
        <f t="shared" si="20"/>
        <v>start /low /b %USERPROFILE%\Documents\GitHub\eaglep3\Utilities\DownloadLogsFromS3.py --loco 4060 --day 2017-09-24</v>
      </c>
      <c r="AN76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18:06:00"},{"id":29,"name":"Sharepoint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168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Message%20ID',Summary),filters:!(),index:'emp_*',interval:auto,query:"&amp;"(query_string:(analyze_wildcard:!t,query:'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-09-24T10:26:21-0600',mode:absolute,to:'2017-09-24T13:06:00-0600'))&amp;_a=(columns:!('Message%20ID',Summary),filters:!(),index:'emp_*',interval:auto,query:(query_string:(analyze_wildcard:!t,query:'%22rtdc.l.rtdc.4060%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714</v>
      </c>
      <c r="B77" s="7">
        <v>4059</v>
      </c>
      <c r="C77" s="21" t="s">
        <v>196</v>
      </c>
      <c r="D77" s="21" t="s">
        <v>857</v>
      </c>
      <c r="E77" s="13">
        <v>43002.508703703701</v>
      </c>
      <c r="F77" s="13">
        <v>43002.518993055557</v>
      </c>
      <c r="G77" s="7">
        <v>131</v>
      </c>
      <c r="H77" s="21" t="s">
        <v>834</v>
      </c>
      <c r="I77" s="13">
        <v>43002.545428240737</v>
      </c>
      <c r="J77" s="7">
        <v>0</v>
      </c>
      <c r="K77" s="89" t="str">
        <f t="shared" ref="K77:K140" si="29">IF(ISEVEN(B77),(B77-1)&amp;"/"&amp;B77,B77&amp;"/"&amp;(B77+1))</f>
        <v>4059/4060</v>
      </c>
      <c r="L77" s="185" t="str">
        <f>VLOOKUP(A77,'Trips&amp;Operators'!$C$1:$G$99911,5,FALSE)</f>
        <v>SAFIEF AEIMEN</v>
      </c>
      <c r="M77" s="6">
        <f t="shared" ref="M77:M140" si="30">I77-F77</f>
        <v>2.643518518016208E-2</v>
      </c>
      <c r="N77" s="7">
        <f t="shared" si="28"/>
        <v>38.066666659433395</v>
      </c>
      <c r="O77" s="7"/>
      <c r="P77" s="7"/>
      <c r="Q77" s="22"/>
      <c r="R77" s="174"/>
      <c r="S77" s="221">
        <f t="shared" si="27"/>
        <v>1</v>
      </c>
      <c r="T77" s="174" t="str">
        <f t="shared" ref="T77:T140" si="31">IF(ISEVEN(LEFT(AD77,4)),"Southbound","NorthBound")</f>
        <v>Southbound</v>
      </c>
      <c r="U77" s="198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216" t="str">
        <f t="shared" ref="V77:V140" si="32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-09-24T11:12:32-0600',mode:absolute,to:'2017-09-24T14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77" s="204" t="str">
        <f>IF(AA77&lt;VLOOKUP(AG77,Variables!$AC$3:$AD$8,2,FALSE),"Y","N")</f>
        <v>N</v>
      </c>
      <c r="X77" s="204">
        <f t="shared" ref="X77:X98" si="33">VALUE(LEFT(AD77,4))-VALUE(LEFT(AD76,4))</f>
        <v>1</v>
      </c>
      <c r="Y77" s="204">
        <f t="shared" ref="Y77:Y98" si="34">RIGHT(D77,LEN(D77)-4)/10000</f>
        <v>23.304600000000001</v>
      </c>
      <c r="Z77" s="204">
        <f t="shared" ref="Z77:Z98" si="35">RIGHT(H77,LEN(H77)-4)/10000</f>
        <v>1.6500000000000001E-2</v>
      </c>
      <c r="AA77" s="204">
        <f t="shared" ref="AA77:AA140" si="36">ABS(Z77-Y77)</f>
        <v>23.2881</v>
      </c>
      <c r="AB77" s="54" t="e">
        <f>VLOOKUP(A77,Enforcements!$C$7:$K$11,8,0)</f>
        <v>#N/A</v>
      </c>
      <c r="AC77" s="51" t="e">
        <f>VLOOKUP(A77,Enforcements!$C$7:$E$11,3,0)</f>
        <v>#N/A</v>
      </c>
      <c r="AD77" s="179">
        <f t="shared" ref="AD77:AD140" si="37">VALUE(LEFT(A77,LEN(A77)-3))</f>
        <v>164</v>
      </c>
      <c r="AE77" s="77" t="str">
        <f t="shared" ref="AE77:AE140" si="38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s3://rtdc.mdm.uploadarchive.raw/RTDC4059/ "%USERPROFILE%\AppData\Local\Temp\OnboardLogs"\RTDC4059\2017-09-24 --exclude "*" --recursive --include "*20170924*" &amp; "%USERPROFILE%\Documents\GitHub\mrs-test-scripts\Headless Mode &amp; Sideloading\WalkAndUnGZ.bat" "%USERPROFILE%\AppData\Local\Temp\OnboardLogs"\RTDC4059\2017-09-24 &amp; aws s3 cp s3://rtdc.mdm.uploadarchive.raw/RTDC4059/ "%USERPROFILE%\AppData\Local\Temp\OnboardLogs"\RTDC4059\2017-09-25 --exclude "*" --recursive --include "*20170925*" &amp; "%USERPROFILE%\Documents\GitHub\mrs-test-scripts\Headless Mode &amp; Sideloading\WalkAndUnGZ.bat" "%USERPROFILE%\AppData\Local\Temp\OnboardLogs"\RTDC4059\2017-09-25</v>
      </c>
      <c r="AF77" s="74" t="str">
        <f t="shared" ref="AF77:AF140" si="39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/stypes="app*4059*20170924*" /stext=" 19:.+((SYSTEM_STATE.+slice.+state.+changed )|(ment ac)|(multiple cpu faults)|(system.+state.+changed )|(\[timeout)|(PRM\|1\|D)|(kpr)|(kdp)|(train st.+moving)|(\|lc)|(penalty))"</v>
      </c>
      <c r="AG77" s="182" t="str">
        <f t="shared" ref="AG77:AG140" si="40">DetSubdiv(A77)</f>
        <v>EC</v>
      </c>
      <c r="AH77" s="78" t="str">
        <f t="shared" si="18"/>
        <v>"%USERPROFILE%\Documents\GitHub\eaglep3\Utilities\RefineRTDCRunTimes.py" --tripid 164-24 --locoid 4059 --swversion DE.1.0.9.0 --startMP 204:233046 --initTime 2017-09-24T12:12:32 --startdatetime 2017-09-24T12:27:21 --delay 131 --endMP 204:165 --enddatetime 2017-09-24T13:05:25 --enforcementcount 0 &gt;&gt;c:\users\stu\Documents\GitHub\eaglep3-reporting\EC\2017-09-24-refined-times.txt</v>
      </c>
      <c r="AI77" s="96" t="str">
        <f t="shared" si="19"/>
        <v>echo {"issue":{"subject":"","project_id":79,"tracker_id":40,"status_id":1,"priority_id":2,"assigned_to_id":338,"start_date":"2017-09-24","description":"","custom_fields":[{"id":1,"name":"Subdivision","value":"EC"},{"id":4,"name":"Milepost","value":"0.0165"},{"id":17,"name":"Train ID","value":"164-24"},{"id":16,"name":"Locomotive ID","value":"4059"},{"id":130,"name":"Impact","value":""},{"id":150,"name":"Time of Event (Mountain Time)","value":"13:05:25"},{"id":151,"name":"Denver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2" t="str">
        <f t="shared" si="20"/>
        <v>start /low /b %USERPROFILE%\Documents\GitHub\eaglep3\Utilities\DownloadLogsFromS3.py --loco 4059 --day 2017-09-24</v>
      </c>
      <c r="AN77" s="151" t="str">
        <f t="shared" si="21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19:05:25"},{"id":29,"name":"Sharepoint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168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Message%20ID',Summary),filters:!(),index:'emp_*',interval:auto,query:"&amp;"(query_string:(analyze_wildcard:!t,query:'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-09-24T11:12:32-0600',mode:absolute,to:'2017-09-24T14:05:25-0600'))&amp;_a=(columns:!('Message%20ID',Summary),filters:!(),index:'emp_*',interval:auto,query:(query_string:(analyze_wildcard:!t,query:'%22rtdc.l.rtdc.4059%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707</v>
      </c>
      <c r="B78" s="7">
        <v>4062</v>
      </c>
      <c r="C78" s="21" t="s">
        <v>196</v>
      </c>
      <c r="D78" s="21" t="s">
        <v>390</v>
      </c>
      <c r="E78" s="13">
        <v>43002.485046296293</v>
      </c>
      <c r="F78" s="13">
        <v>43002.489849537036</v>
      </c>
      <c r="G78" s="7">
        <v>59</v>
      </c>
      <c r="H78" s="21" t="s">
        <v>444</v>
      </c>
      <c r="I78" s="13">
        <v>43002.514768518522</v>
      </c>
      <c r="J78" s="7">
        <v>0</v>
      </c>
      <c r="K78" s="89" t="str">
        <f t="shared" si="29"/>
        <v>4061/4062</v>
      </c>
      <c r="L78" s="185" t="str">
        <f>VLOOKUP(A78,'Trips&amp;Operators'!$C$1:$G$99911,5,FALSE)</f>
        <v>GUZMAN DANNY</v>
      </c>
      <c r="M78" s="6">
        <f t="shared" si="30"/>
        <v>2.4918981485825498E-2</v>
      </c>
      <c r="N78" s="7">
        <f t="shared" si="28"/>
        <v>35.883333339588717</v>
      </c>
      <c r="O78" s="7"/>
      <c r="P78" s="7"/>
      <c r="Q78" s="22"/>
      <c r="R78" s="174"/>
      <c r="S78" s="221">
        <f t="shared" si="27"/>
        <v>1</v>
      </c>
      <c r="T78" s="174" t="str">
        <f t="shared" si="31"/>
        <v>NorthBound</v>
      </c>
      <c r="U78" s="198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16" t="str">
        <f t="shared" si="32"/>
        <v>https://d0f6bd738d7f1b3e5a7ca70fe4ff75f0.us-east-1.aws.found.io/app/kibana#/discover/Steve-Slow-Train-Analysis-(2080s-and-2083s)?_g=(refreshInterval:(display:Off,pause:!f,section:0,value:0),time:(from:'2017-09-24T10:38:28-0600',mode:absolute,to:'2017-09-24T13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78" s="204" t="str">
        <f>IF(AA78&lt;VLOOKUP(AG78,Variables!$AC$3:$AD$8,2,FALSE),"Y","N")</f>
        <v>N</v>
      </c>
      <c r="X78" s="204">
        <f t="shared" si="33"/>
        <v>1</v>
      </c>
      <c r="Y78" s="204">
        <f t="shared" si="34"/>
        <v>4.6199999999999998E-2</v>
      </c>
      <c r="Z78" s="204">
        <f t="shared" si="35"/>
        <v>23.3306</v>
      </c>
      <c r="AA78" s="204">
        <f t="shared" si="36"/>
        <v>23.284400000000002</v>
      </c>
      <c r="AB78" s="54" t="e">
        <f>VLOOKUP(A78,Enforcements!$C$7:$K$11,8,0)</f>
        <v>#N/A</v>
      </c>
      <c r="AC78" s="51" t="e">
        <f>VLOOKUP(A78,Enforcements!$C$7:$E$11,3,0)</f>
        <v>#N/A</v>
      </c>
      <c r="AD78" s="179">
        <f t="shared" si="37"/>
        <v>165</v>
      </c>
      <c r="AE78" s="77" t="str">
        <f t="shared" si="38"/>
        <v>aws s3 cp s3://rtdc.mdm.uploadarchive.raw/RTDC4062/ "%USERPROFILE%\AppData\Local\Temp\OnboardLogs"\RTDC4062\2017-09-24 --exclude "*" --recursive --include "*20170924*" &amp; "%USERPROFILE%\Documents\GitHub\mrs-test-scripts\Headless Mode &amp; Sideloading\WalkAndUnGZ.bat" "%USERPROFILE%\AppData\Local\Temp\OnboardLogs"\RTDC4062\2017-09-24 &amp; aws s3 cp s3://rtdc.mdm.uploadarchive.raw/RTDC4062/ "%USERPROFILE%\AppData\Local\Temp\OnboardLogs"\RTDC4062\2017-09-25 --exclude "*" --recursive --include "*20170925*" &amp; "%USERPROFILE%\Documents\GitHub\mrs-test-scripts\Headless Mode &amp; Sideloading\WalkAndUnGZ.bat" "%USERPROFILE%\AppData\Local\Temp\OnboardLogs"\RTDC4062\2017-09-25</v>
      </c>
      <c r="AF78" s="74" t="str">
        <f t="shared" si="39"/>
        <v>"C:\Program Files (x86)\AstroGrep\AstroGrep.exe" /e /r /s /spath="%USERPROFILE%\AppData\Local\Temp\OnboardLogs" /stypes="app*4062*20170924*" /stext=" 18:.+((SYSTEM_STATE.+slice.+state.+changed )|(ment ac)|(multiple cpu faults)|(system.+state.+changed )|(\[timeout)|(PRM\|1\|D)|(kpr)|(kdp)|(train st.+moving)|(\|lc)|(penalty))"</v>
      </c>
      <c r="AG78" s="182" t="str">
        <f t="shared" si="40"/>
        <v>EC</v>
      </c>
      <c r="AH78" s="78" t="str">
        <f t="shared" ref="AH78:AH142" si="41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165-24 --locoid 4062 --swversion DE.1.0.9.0 --startMP 204:462 --initTime 2017-09-24T11:38:28 --startdatetime 2017-09-24T11:45:23 --delay 59 --endMP 204:233306 --enddatetime 2017-09-24T12:21:16 --enforcementcount 0 &gt;&gt;c:\users\stu\Documents\GitHub\eaglep3-reporting\EC\2017-09-24-refined-times.txt</v>
      </c>
      <c r="AI78" s="96" t="str">
        <f t="shared" ref="AI78:AI142" si="42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{"issue":{"subject":"","project_id":79,"tracker_id":40,"status_id":1,"priority_id":2,"assigned_to_id":338,"start_date":"2017-09-24","description":"","custom_fields":[{"id":1,"name":"Subdivision","value":"EC"},{"id":4,"name":"Milepost","value":"23.3306"},{"id":17,"name":"Train ID","value":"165-24"},{"id":16,"name":"Locomotive ID","value":"4062"},{"id":130,"name":"Impact","value":""},{"id":150,"name":"Time of Event (Mountain Time)","value":"12:21:16"},{"id":151,"name":"Denver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2" t="str">
        <f t="shared" ref="AM78:AM142" si="43">"start /low /b "&amp;dls3logs&amp;" --loco "&amp;B78&amp;" --day "&amp;TEXT(F78,"YYYY-MM-DD")</f>
        <v>start /low /b %USERPROFILE%\Documents\GitHub\eaglep3\Utilities\DownloadLogsFromS3.py --loco 4062 --day 2017-09-24</v>
      </c>
      <c r="AN78" s="151" t="str">
        <f t="shared" ref="AN78:AN142" si="44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18:21:16"},{"id":29,"name":"Sharepoint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168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Message%20ID',Summary),filters:!(),index:'emp_*',interval:auto,query:"&amp;"(query_string:(analyze_wildcard:!t,query:'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-09-24T10:38:28-0600',mode:absolute,to:'2017-09-24T13:21:16-0600'))&amp;_a=(columns:!('Message%20ID',Summary),filters:!(),index:'emp_*',interval:auto,query:(query_string:(analyze_wildcard:!t,query:'%22rtdc.l.rtdc.4062%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715</v>
      </c>
      <c r="B79" s="7">
        <v>4061</v>
      </c>
      <c r="C79" s="21" t="s">
        <v>196</v>
      </c>
      <c r="D79" s="21" t="s">
        <v>423</v>
      </c>
      <c r="E79" s="13">
        <v>43002.515949074077</v>
      </c>
      <c r="F79" s="13">
        <v>43002.529328703706</v>
      </c>
      <c r="G79" s="7">
        <v>60</v>
      </c>
      <c r="H79" s="21" t="s">
        <v>388</v>
      </c>
      <c r="I79" s="13">
        <v>43002.555162037039</v>
      </c>
      <c r="J79" s="7">
        <v>0</v>
      </c>
      <c r="K79" s="89" t="str">
        <f t="shared" si="29"/>
        <v>4061/4062</v>
      </c>
      <c r="L79" s="185" t="str">
        <f>VLOOKUP(A79,'Trips&amp;Operators'!$C$1:$G$99911,5,FALSE)</f>
        <v>GUZMAN DANNY</v>
      </c>
      <c r="M79" s="6">
        <f t="shared" si="30"/>
        <v>2.5833333333139308E-2</v>
      </c>
      <c r="N79" s="7">
        <f t="shared" si="28"/>
        <v>37.199999999720603</v>
      </c>
      <c r="O79" s="7"/>
      <c r="P79" s="7"/>
      <c r="Q79" s="22"/>
      <c r="R79" s="174"/>
      <c r="S79" s="221">
        <f t="shared" si="27"/>
        <v>1</v>
      </c>
      <c r="T79" s="174" t="str">
        <f t="shared" si="31"/>
        <v>Southbound</v>
      </c>
      <c r="U79" s="198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16" t="str">
        <f t="shared" si="32"/>
        <v>https://d0f6bd738d7f1b3e5a7ca70fe4ff75f0.us-east-1.aws.found.io/app/kibana#/discover/Steve-Slow-Train-Analysis-(2080s-and-2083s)?_g=(refreshInterval:(display:Off,pause:!f,section:0,value:0),time:(from:'2017-09-24T11:22:58-0600',mode:absolute,to:'2017-09-24T14:19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79" s="204" t="str">
        <f>IF(AA79&lt;VLOOKUP(AG79,Variables!$AC$3:$AD$8,2,FALSE),"Y","N")</f>
        <v>N</v>
      </c>
      <c r="X79" s="204">
        <f t="shared" si="33"/>
        <v>1</v>
      </c>
      <c r="Y79" s="204">
        <f t="shared" si="34"/>
        <v>23.298500000000001</v>
      </c>
      <c r="Z79" s="204">
        <f t="shared" si="35"/>
        <v>1.3599999999999999E-2</v>
      </c>
      <c r="AA79" s="204">
        <f t="shared" si="36"/>
        <v>23.2849</v>
      </c>
      <c r="AB79" s="54" t="e">
        <f>VLOOKUP(A79,Enforcements!$C$7:$K$11,8,0)</f>
        <v>#N/A</v>
      </c>
      <c r="AC79" s="51" t="e">
        <f>VLOOKUP(A79,Enforcements!$C$7:$E$11,3,0)</f>
        <v>#N/A</v>
      </c>
      <c r="AD79" s="179">
        <f t="shared" si="37"/>
        <v>166</v>
      </c>
      <c r="AE79" s="77" t="str">
        <f t="shared" si="38"/>
        <v>aws s3 cp s3://rtdc.mdm.uploadarchive.raw/RTDC4061/ "%USERPROFILE%\AppData\Local\Temp\OnboardLogs"\RTDC4061\2017-09-24 --exclude "*" --recursive --include "*20170924*" &amp; "%USERPROFILE%\Documents\GitHub\mrs-test-scripts\Headless Mode &amp; Sideloading\WalkAndUnGZ.bat" "%USERPROFILE%\AppData\Local\Temp\OnboardLogs"\RTDC4061\2017-09-24 &amp; aws s3 cp s3://rtdc.mdm.uploadarchive.raw/RTDC4061/ "%USERPROFILE%\AppData\Local\Temp\OnboardLogs"\RTDC4061\2017-09-25 --exclude "*" --recursive --include "*20170925*" &amp; "%USERPROFILE%\Documents\GitHub\mrs-test-scripts\Headless Mode &amp; Sideloading\WalkAndUnGZ.bat" "%USERPROFILE%\AppData\Local\Temp\OnboardLogs"\RTDC4061\2017-09-25</v>
      </c>
      <c r="AF79" s="74" t="str">
        <f t="shared" si="39"/>
        <v>"C:\Program Files (x86)\AstroGrep\AstroGrep.exe" /e /r /s /spath="%USERPROFILE%\AppData\Local\Temp\OnboardLogs" /stypes="app*4061*20170924*" /stext=" 19:.+((SYSTEM_STATE.+slice.+state.+changed )|(ment ac)|(multiple cpu faults)|(system.+state.+changed )|(\[timeout)|(PRM\|1\|D)|(kpr)|(kdp)|(train st.+moving)|(\|lc)|(penalty))"</v>
      </c>
      <c r="AG79" s="182" t="str">
        <f t="shared" si="40"/>
        <v>EC</v>
      </c>
      <c r="AH79" s="78" t="str">
        <f t="shared" si="41"/>
        <v>"%USERPROFILE%\Documents\GitHub\eaglep3\Utilities\RefineRTDCRunTimes.py" --tripid 166-24 --locoid 4061 --swversion DE.1.0.9.0 --startMP 204:232985 --initTime 2017-09-24T12:22:58 --startdatetime 2017-09-24T12:42:14 --delay 60 --endMP 204:136 --enddatetime 2017-09-24T13:19:26 --enforcementcount 0 &gt;&gt;c:\users\stu\Documents\GitHub\eaglep3-reporting\EC\2017-09-24-refined-times.txt</v>
      </c>
      <c r="AI79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{"issue":{"subject":"","project_id":79,"tracker_id":40,"status_id":1,"priority_id":2,"assigned_to_id":338,"start_date":"2017-09-24","description":"","custom_fields":[{"id":1,"name":"Subdivision","value":"EC"},{"id":4,"name":"Milepost","value":"0.0136"},{"id":17,"name":"Train ID","value":"166-24"},{"id":16,"name":"Locomotive ID","value":"4061"},{"id":130,"name":"Impact","value":""},{"id":150,"name":"Time of Event (Mountain Time)","value":"13:19:26"},{"id":151,"name":"Denver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2" t="str">
        <f t="shared" si="43"/>
        <v>start /low /b %USERPROFILE%\Documents\GitHub\eaglep3\Utilities\DownloadLogsFromS3.py --loco 4061 --day 2017-09-24</v>
      </c>
      <c r="AN79" s="151" t="str">
        <f t="shared" si="4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19:19:26"},{"id":29,"name":"Sharepoint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168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Message%20ID',Summary),filters:!(),index:'emp_*',interval:auto,query:"&amp;"(query_string:(analyze_wildcard:!t,query:'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-09-24T11:22:58-0600',mode:absolute,to:'2017-09-24T14:19:26-0600'))&amp;_a=(columns:!('Message%20ID',Summary),filters:!(),index:'emp_*',interval:auto,query:(query_string:(analyze_wildcard:!t,query:'%22rtdc.l.rtdc.4061%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594</v>
      </c>
      <c r="B80" s="7">
        <v>4066</v>
      </c>
      <c r="C80" s="21" t="s">
        <v>196</v>
      </c>
      <c r="D80" s="21" t="s">
        <v>348</v>
      </c>
      <c r="E80" s="13">
        <v>43002.496863425928</v>
      </c>
      <c r="F80" s="13">
        <v>43002.500173611108</v>
      </c>
      <c r="G80" s="7">
        <v>112</v>
      </c>
      <c r="H80" s="21" t="s">
        <v>858</v>
      </c>
      <c r="I80" s="13">
        <v>43002.526458333334</v>
      </c>
      <c r="J80" s="7">
        <v>0</v>
      </c>
      <c r="K80" s="89" t="str">
        <f t="shared" si="29"/>
        <v>4065/4066</v>
      </c>
      <c r="L80" s="185" t="str">
        <f>VLOOKUP(A80,'Trips&amp;Operators'!$C$1:$G$99911,5,FALSE)</f>
        <v>BADERTSCHER DIANE</v>
      </c>
      <c r="M80" s="6">
        <f t="shared" si="30"/>
        <v>2.6284722225682344E-2</v>
      </c>
      <c r="N80" s="7">
        <f t="shared" si="28"/>
        <v>37.850000004982576</v>
      </c>
      <c r="O80" s="7"/>
      <c r="P80" s="7"/>
      <c r="Q80" s="22"/>
      <c r="R80" s="174"/>
      <c r="S80" s="221">
        <f t="shared" si="27"/>
        <v>1</v>
      </c>
      <c r="T80" s="174" t="str">
        <f t="shared" si="31"/>
        <v>NorthBound</v>
      </c>
      <c r="U80" s="198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16" t="str">
        <f t="shared" si="32"/>
        <v>https://d0f6bd738d7f1b3e5a7ca70fe4ff75f0.us-east-1.aws.found.io/app/kibana#/discover/Steve-Slow-Train-Analysis-(2080s-and-2083s)?_g=(refreshInterval:(display:Off,pause:!f,section:0,value:0),time:(from:'2017-09-24T10:55:29-0600',mode:absolute,to:'2017-09-24T13:38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80" s="204" t="str">
        <f>IF(AA80&lt;VLOOKUP(AG80,Variables!$AC$3:$AD$8,2,FALSE),"Y","N")</f>
        <v>N</v>
      </c>
      <c r="X80" s="204">
        <f t="shared" si="33"/>
        <v>1</v>
      </c>
      <c r="Y80" s="204">
        <f t="shared" si="34"/>
        <v>4.5499999999999999E-2</v>
      </c>
      <c r="Z80" s="204">
        <f t="shared" si="35"/>
        <v>23.332599999999999</v>
      </c>
      <c r="AA80" s="204">
        <f t="shared" si="36"/>
        <v>23.287099999999999</v>
      </c>
      <c r="AB80" s="54" t="str">
        <f>VLOOKUP(A80,Enforcements!$C$7:$K$11,8,0)</f>
        <v>Bulletin (2)</v>
      </c>
      <c r="AC80" s="51" t="str">
        <f>VLOOKUP(A80,Enforcements!$C$7:$E$11,3,0)</f>
        <v>GRADE CROSSING</v>
      </c>
      <c r="AD80" s="179">
        <f t="shared" si="37"/>
        <v>167</v>
      </c>
      <c r="AE80" s="77" t="str">
        <f t="shared" si="38"/>
        <v>aws s3 cp s3://rtdc.mdm.uploadarchive.raw/RTDC4066/ "%USERPROFILE%\AppData\Local\Temp\OnboardLogs"\RTDC4066\2017-09-24 --exclude "*" --recursive --include "*20170924*" &amp; "%USERPROFILE%\Documents\GitHub\mrs-test-scripts\Headless Mode &amp; Sideloading\WalkAndUnGZ.bat" "%USERPROFILE%\AppData\Local\Temp\OnboardLogs"\RTDC4066\2017-09-24 &amp; aws s3 cp s3://rtdc.mdm.uploadarchive.raw/RTDC4066/ "%USERPROFILE%\AppData\Local\Temp\OnboardLogs"\RTDC4066\2017-09-25 --exclude "*" --recursive --include "*20170925*" &amp; "%USERPROFILE%\Documents\GitHub\mrs-test-scripts\Headless Mode &amp; Sideloading\WalkAndUnGZ.bat" "%USERPROFILE%\AppData\Local\Temp\OnboardLogs"\RTDC4066\2017-09-25</v>
      </c>
      <c r="AF80" s="74" t="str">
        <f t="shared" si="39"/>
        <v>"C:\Program Files (x86)\AstroGrep\AstroGrep.exe" /e /r /s /spath="%USERPROFILE%\AppData\Local\Temp\OnboardLogs" /stypes="app*4066*20170924*" /stext=" 18:.+((SYSTEM_STATE.+slice.+state.+changed )|(ment ac)|(multiple cpu faults)|(system.+state.+changed )|(\[timeout)|(PRM\|1\|D)|(kpr)|(kdp)|(train st.+moving)|(\|lc)|(penalty))"</v>
      </c>
      <c r="AG80" s="182" t="str">
        <f t="shared" si="40"/>
        <v>EC</v>
      </c>
      <c r="AH80" s="78" t="str">
        <f t="shared" si="41"/>
        <v>"%USERPROFILE%\Documents\GitHub\eaglep3\Utilities\RefineRTDCRunTimes.py" --tripid 167-24 --locoid 4066 --swversion DE.1.0.9.0 --startMP 204:455 --initTime 2017-09-24T11:55:29 --startdatetime 2017-09-24T12:00:15 --delay 112 --endMP 204:233326 --enddatetime 2017-09-24T12:38:06 --enforcementcount 0 &gt;&gt;c:\users\stu\Documents\GitHub\eaglep3-reporting\EC\2017-09-24-refined-times.txt</v>
      </c>
      <c r="AI80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{"issue":{"subject":"","project_id":79,"tracker_id":40,"status_id":1,"priority_id":2,"assigned_to_id":338,"start_date":"2017-09-24","description":"","custom_fields":[{"id":1,"name":"Subdivision","value":"EC"},{"id":4,"name":"Milepost","value":"23.3326"},{"id":17,"name":"Train ID","value":"167-24"},{"id":16,"name":"Locomotive ID","value":"4066"},{"id":130,"name":"Impact","value":""},{"id":150,"name":"Time of Event (Mountain Time)","value":"12:38:06"},{"id":151,"name":"Denver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2" t="str">
        <f t="shared" si="43"/>
        <v>start /low /b %USERPROFILE%\Documents\GitHub\eaglep3\Utilities\DownloadLogsFromS3.py --loco 4066 --day 2017-09-24</v>
      </c>
      <c r="AN80" s="151" t="str">
        <f t="shared" si="4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18:38:06"},{"id":29,"name":"Sharepoint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168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Message%20ID',Summary),filters:!(),index:'emp_*',interval:auto,query:"&amp;"(query_string:(analyze_wildcard:!t,query:'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-09-24T10:55:29-0600',mode:absolute,to:'2017-09-24T13:38:06-0600'))&amp;_a=(columns:!('Message%20ID',Summary),filters:!(),index:'emp_*',interval:auto,query:(query_string:(analyze_wildcard:!t,query:'%22rtdc.l.rtdc.4066%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720</v>
      </c>
      <c r="B81" s="7">
        <v>4065</v>
      </c>
      <c r="C81" s="21" t="s">
        <v>196</v>
      </c>
      <c r="D81" s="21" t="s">
        <v>449</v>
      </c>
      <c r="E81" s="13">
        <v>43002.534513888888</v>
      </c>
      <c r="F81" s="13">
        <v>43002.539814814816</v>
      </c>
      <c r="G81" s="7">
        <v>51</v>
      </c>
      <c r="H81" s="21" t="s">
        <v>363</v>
      </c>
      <c r="I81" s="13">
        <v>43002.567060185182</v>
      </c>
      <c r="J81" s="7">
        <v>0</v>
      </c>
      <c r="K81" s="89" t="str">
        <f t="shared" si="29"/>
        <v>4065/4066</v>
      </c>
      <c r="L81" s="185" t="str">
        <f>VLOOKUP(A81,'Trips&amp;Operators'!$C$1:$G$99911,5,FALSE)</f>
        <v>BADERTSCHER DIANE</v>
      </c>
      <c r="M81" s="6">
        <f t="shared" si="30"/>
        <v>2.7245370365562849E-2</v>
      </c>
      <c r="N81" s="7">
        <f t="shared" si="28"/>
        <v>39.233333326410502</v>
      </c>
      <c r="O81" s="7"/>
      <c r="P81" s="7"/>
      <c r="Q81" s="22"/>
      <c r="R81" s="174"/>
      <c r="S81" s="221">
        <f t="shared" si="27"/>
        <v>1</v>
      </c>
      <c r="T81" s="174" t="str">
        <f t="shared" si="31"/>
        <v>Southbound</v>
      </c>
      <c r="U81" s="198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16" t="str">
        <f t="shared" si="32"/>
        <v>https://d0f6bd738d7f1b3e5a7ca70fe4ff75f0.us-east-1.aws.found.io/app/kibana#/discover/Steve-Slow-Train-Analysis-(2080s-and-2083s)?_g=(refreshInterval:(display:Off,pause:!f,section:0,value:0),time:(from:'2017-09-24T11:49:42-0600',mode:absolute,to:'2017-09-24T14:36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81" s="204" t="str">
        <f>IF(AA81&lt;VLOOKUP(AG81,Variables!$AC$3:$AD$8,2,FALSE),"Y","N")</f>
        <v>N</v>
      </c>
      <c r="X81" s="204">
        <f t="shared" si="33"/>
        <v>1</v>
      </c>
      <c r="Y81" s="204">
        <f t="shared" si="34"/>
        <v>23.2988</v>
      </c>
      <c r="Z81" s="204">
        <f t="shared" si="35"/>
        <v>1.4500000000000001E-2</v>
      </c>
      <c r="AA81" s="204">
        <f t="shared" si="36"/>
        <v>23.284299999999998</v>
      </c>
      <c r="AB81" s="54" t="e">
        <f>VLOOKUP(A81,Enforcements!$C$7:$K$11,8,0)</f>
        <v>#N/A</v>
      </c>
      <c r="AC81" s="51" t="e">
        <f>VLOOKUP(A81,Enforcements!$C$7:$E$11,3,0)</f>
        <v>#N/A</v>
      </c>
      <c r="AD81" s="179">
        <f t="shared" si="37"/>
        <v>168</v>
      </c>
      <c r="AE81" s="77" t="str">
        <f t="shared" si="38"/>
        <v>aws s3 cp s3://rtdc.mdm.uploadarchive.raw/RTDC4065/ "%USERPROFILE%\AppData\Local\Temp\OnboardLogs"\RTDC4065\2017-09-24 --exclude "*" --recursive --include "*20170924*" &amp; "%USERPROFILE%\Documents\GitHub\mrs-test-scripts\Headless Mode &amp; Sideloading\WalkAndUnGZ.bat" "%USERPROFILE%\AppData\Local\Temp\OnboardLogs"\RTDC4065\2017-09-24 &amp; aws s3 cp s3://rtdc.mdm.uploadarchive.raw/RTDC4065/ "%USERPROFILE%\AppData\Local\Temp\OnboardLogs"\RTDC4065\2017-09-25 --exclude "*" --recursive --include "*20170925*" &amp; "%USERPROFILE%\Documents\GitHub\mrs-test-scripts\Headless Mode &amp; Sideloading\WalkAndUnGZ.bat" "%USERPROFILE%\AppData\Local\Temp\OnboardLogs"\RTDC4065\2017-09-25</v>
      </c>
      <c r="AF81" s="74" t="str">
        <f t="shared" si="39"/>
        <v>"C:\Program Files (x86)\AstroGrep\AstroGrep.exe" /e /r /s /spath="%USERPROFILE%\AppData\Local\Temp\OnboardLogs" /stypes="app*4065*20170924*" /stext=" 19:.+((SYSTEM_STATE.+slice.+state.+changed )|(ment ac)|(multiple cpu faults)|(system.+state.+changed )|(\[timeout)|(PRM\|1\|D)|(kpr)|(kdp)|(train st.+moving)|(\|lc)|(penalty))"</v>
      </c>
      <c r="AG81" s="182" t="str">
        <f t="shared" si="40"/>
        <v>EC</v>
      </c>
      <c r="AH81" s="78" t="str">
        <f t="shared" si="41"/>
        <v>"%USERPROFILE%\Documents\GitHub\eaglep3\Utilities\RefineRTDCRunTimes.py" --tripid 168-24 --locoid 4065 --swversion DE.1.0.9.0 --startMP 204:232988 --initTime 2017-09-24T12:49:42 --startdatetime 2017-09-24T12:57:20 --delay 51 --endMP 204:145 --enddatetime 2017-09-24T13:36:34 --enforcementcount 0 &gt;&gt;c:\users\stu\Documents\GitHub\eaglep3-reporting\EC\2017-09-24-refined-times.txt</v>
      </c>
      <c r="AI81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{"issue":{"subject":"","project_id":79,"tracker_id":40,"status_id":1,"priority_id":2,"assigned_to_id":338,"start_date":"2017-09-24","description":"","custom_fields":[{"id":1,"name":"Subdivision","value":"EC"},{"id":4,"name":"Milepost","value":"0.0145"},{"id":17,"name":"Train ID","value":"168-24"},{"id":16,"name":"Locomotive ID","value":"4065"},{"id":130,"name":"Impact","value":""},{"id":150,"name":"Time of Event (Mountain Time)","value":"13:36:34"},{"id":151,"name":"Denver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2" t="str">
        <f t="shared" si="43"/>
        <v>start /low /b %USERPROFILE%\Documents\GitHub\eaglep3\Utilities\DownloadLogsFromS3.py --loco 4065 --day 2017-09-24</v>
      </c>
      <c r="AN81" s="151" t="str">
        <f t="shared" si="4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19:36:34"},{"id":29,"name":"Sharepoint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168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Message%20ID',Summary),filters:!(),index:'emp_*',interval:auto,query:"&amp;"(query_string:(analyze_wildcard:!t,query:'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-09-24T11:49:42-0600',mode:absolute,to:'2017-09-24T14:36:34-0600'))&amp;_a=(columns:!('Message%20ID',Summary),filters:!(),index:'emp_*',interval:auto,query:(query_string:(analyze_wildcard:!t,query:'%22rtdc.l.rtdc.4065%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713</v>
      </c>
      <c r="B82" s="7">
        <v>4024</v>
      </c>
      <c r="C82" s="21" t="s">
        <v>196</v>
      </c>
      <c r="D82" s="21" t="s">
        <v>435</v>
      </c>
      <c r="E82" s="13">
        <v>43002.506956018522</v>
      </c>
      <c r="F82" s="13">
        <v>43002.510613425926</v>
      </c>
      <c r="G82" s="7">
        <v>84</v>
      </c>
      <c r="H82" s="21" t="s">
        <v>448</v>
      </c>
      <c r="I82" s="13">
        <v>43002.535405092596</v>
      </c>
      <c r="J82" s="7">
        <v>0</v>
      </c>
      <c r="K82" s="89" t="str">
        <f t="shared" si="29"/>
        <v>4023/4024</v>
      </c>
      <c r="L82" s="185" t="str">
        <f>VLOOKUP(A82,'Trips&amp;Operators'!$C$1:$G$99911,5,FALSE)</f>
        <v>BERLING GARY</v>
      </c>
      <c r="M82" s="6">
        <f t="shared" si="30"/>
        <v>2.4791666670353152E-2</v>
      </c>
      <c r="N82" s="7">
        <f t="shared" si="28"/>
        <v>35.700000005308539</v>
      </c>
      <c r="O82" s="7"/>
      <c r="P82" s="7"/>
      <c r="Q82" s="22"/>
      <c r="R82" s="174"/>
      <c r="S82" s="221">
        <f t="shared" si="27"/>
        <v>1</v>
      </c>
      <c r="T82" s="174" t="str">
        <f t="shared" si="31"/>
        <v>NorthBound</v>
      </c>
      <c r="U82" s="198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16" t="str">
        <f t="shared" si="32"/>
        <v>https://d0f6bd738d7f1b3e5a7ca70fe4ff75f0.us-east-1.aws.found.io/app/kibana#/discover/Steve-Slow-Train-Analysis-(2080s-and-2083s)?_g=(refreshInterval:(display:Off,pause:!f,section:0,value:0),time:(from:'2017-09-24T11:10:01-0600',mode:absolute,to:'2017-09-24T13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2" s="204" t="str">
        <f>IF(AA82&lt;VLOOKUP(AG82,Variables!$AC$3:$AD$8,2,FALSE),"Y","N")</f>
        <v>N</v>
      </c>
      <c r="X82" s="204">
        <f t="shared" si="33"/>
        <v>1</v>
      </c>
      <c r="Y82" s="204">
        <f t="shared" si="34"/>
        <v>4.5699999999999998E-2</v>
      </c>
      <c r="Z82" s="204">
        <f t="shared" si="35"/>
        <v>23.331700000000001</v>
      </c>
      <c r="AA82" s="204">
        <f t="shared" si="36"/>
        <v>23.286000000000001</v>
      </c>
      <c r="AB82" s="54" t="e">
        <f>VLOOKUP(A82,Enforcements!$C$7:$K$11,8,0)</f>
        <v>#N/A</v>
      </c>
      <c r="AC82" s="51" t="e">
        <f>VLOOKUP(A82,Enforcements!$C$7:$E$11,3,0)</f>
        <v>#N/A</v>
      </c>
      <c r="AD82" s="179">
        <f t="shared" si="37"/>
        <v>169</v>
      </c>
      <c r="AE82" s="77" t="str">
        <f t="shared" si="38"/>
        <v>aws s3 cp s3://rtdc.mdm.uploadarchive.raw/RTDC4024/ "%USERPROFILE%\AppData\Local\Temp\OnboardLogs"\RTDC4024\2017-09-24 --exclude "*" --recursive --include "*20170924*" &amp; "%USERPROFILE%\Documents\GitHub\mrs-test-scripts\Headless Mode &amp; Sideloading\WalkAndUnGZ.bat" "%USERPROFILE%\AppData\Local\Temp\OnboardLogs"\RTDC4024\2017-09-24 &amp; aws s3 cp s3://rtdc.mdm.uploadarchive.raw/RTDC4024/ "%USERPROFILE%\AppData\Local\Temp\OnboardLogs"\RTDC4024\2017-09-25 --exclude "*" --recursive --include "*20170925*" &amp; "%USERPROFILE%\Documents\GitHub\mrs-test-scripts\Headless Mode &amp; Sideloading\WalkAndUnGZ.bat" "%USERPROFILE%\AppData\Local\Temp\OnboardLogs"\RTDC4024\2017-09-25</v>
      </c>
      <c r="AF82" s="74" t="str">
        <f t="shared" si="39"/>
        <v>"C:\Program Files (x86)\AstroGrep\AstroGrep.exe" /e /r /s /spath="%USERPROFILE%\AppData\Local\Temp\OnboardLogs" /stypes="app*4024*20170924*" /stext=" 18:.+((SYSTEM_STATE.+slice.+state.+changed )|(ment ac)|(multiple cpu faults)|(system.+state.+changed )|(\[timeout)|(PRM\|1\|D)|(kpr)|(kdp)|(train st.+moving)|(\|lc)|(penalty))"</v>
      </c>
      <c r="AG82" s="182" t="str">
        <f t="shared" si="40"/>
        <v>EC</v>
      </c>
      <c r="AH82" s="78" t="str">
        <f t="shared" si="41"/>
        <v>"%USERPROFILE%\Documents\GitHub\eaglep3\Utilities\RefineRTDCRunTimes.py" --tripid 169-24 --locoid 4024 --swversion DE.1.0.9.0 --startMP 204:457 --initTime 2017-09-24T12:10:01 --startdatetime 2017-09-24T12:15:17 --delay 84 --endMP 204:233317 --enddatetime 2017-09-24T12:50:59 --enforcementcount 0 &gt;&gt;c:\users\stu\Documents\GitHub\eaglep3-reporting\EC\2017-09-24-refined-times.txt</v>
      </c>
      <c r="AI82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{"issue":{"subject":"","project_id":79,"tracker_id":40,"status_id":1,"priority_id":2,"assigned_to_id":338,"start_date":"2017-09-24","description":"","custom_fields":[{"id":1,"name":"Subdivision","value":"EC"},{"id":4,"name":"Milepost","value":"23.3317"},{"id":17,"name":"Train ID","value":"169-24"},{"id":16,"name":"Locomotive ID","value":"4024"},{"id":130,"name":"Impact","value":""},{"id":150,"name":"Time of Event (Mountain Time)","value":"12:50:59"},{"id":151,"name":"Denver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2" t="str">
        <f t="shared" si="43"/>
        <v>start /low /b %USERPROFILE%\Documents\GitHub\eaglep3\Utilities\DownloadLogsFromS3.py --loco 4024 --day 2017-09-24</v>
      </c>
      <c r="AN82" s="151" t="str">
        <f t="shared" si="4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18:50:59"},{"id":29,"name":"Sharepoint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168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Message%20ID',Summary),filters:!(),index:'emp_*',interval:auto,query:"&amp;"(query_string:(analyze_wildcard:!t,query:'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-09-24T11:10:01-0600',mode:absolute,to:'2017-09-24T13:50:59-0600'))&amp;_a=(columns:!('Message%20ID',Summary),filters:!(),index:'emp_*',interval:auto,query:(query_string:(analyze_wildcard:!t,query:'%22rtdc.l.rtdc.4024%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595</v>
      </c>
      <c r="B83" s="7">
        <v>4023</v>
      </c>
      <c r="C83" s="21" t="s">
        <v>196</v>
      </c>
      <c r="D83" s="21" t="s">
        <v>494</v>
      </c>
      <c r="E83" s="13">
        <v>43002.546469907407</v>
      </c>
      <c r="F83" s="13">
        <v>43002.550162037034</v>
      </c>
      <c r="G83" s="7">
        <v>90</v>
      </c>
      <c r="H83" s="21" t="s">
        <v>563</v>
      </c>
      <c r="I83" s="13">
        <v>43002.576504629629</v>
      </c>
      <c r="J83" s="7">
        <v>0</v>
      </c>
      <c r="K83" s="89" t="str">
        <f t="shared" si="29"/>
        <v>4023/4024</v>
      </c>
      <c r="L83" s="185" t="str">
        <f>VLOOKUP(A83,'Trips&amp;Operators'!$C$1:$G$99911,5,FALSE)</f>
        <v>BERLING GARY</v>
      </c>
      <c r="M83" s="6">
        <f t="shared" si="30"/>
        <v>2.6342592595028691E-2</v>
      </c>
      <c r="N83" s="7">
        <f t="shared" si="28"/>
        <v>37.933333336841315</v>
      </c>
      <c r="O83" s="7"/>
      <c r="P83" s="7"/>
      <c r="Q83" s="22"/>
      <c r="R83" s="174"/>
      <c r="S83" s="221">
        <f t="shared" si="27"/>
        <v>1</v>
      </c>
      <c r="T83" s="174" t="str">
        <f t="shared" si="31"/>
        <v>Southbound</v>
      </c>
      <c r="U83" s="198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16" t="str">
        <f t="shared" si="32"/>
        <v>https://d0f6bd738d7f1b3e5a7ca70fe4ff75f0.us-east-1.aws.found.io/app/kibana#/discover/Steve-Slow-Train-Analysis-(2080s-and-2083s)?_g=(refreshInterval:(display:Off,pause:!f,section:0,value:0),time:(from:'2017-09-24T12:06:55-0600',mode:absolute,to:'2017-09-24T14:50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3" s="204" t="str">
        <f>IF(AA83&lt;VLOOKUP(AG83,Variables!$AC$3:$AD$8,2,FALSE),"Y","N")</f>
        <v>N</v>
      </c>
      <c r="X83" s="204">
        <f t="shared" si="33"/>
        <v>1</v>
      </c>
      <c r="Y83" s="204">
        <f t="shared" si="34"/>
        <v>23.3002</v>
      </c>
      <c r="Z83" s="204">
        <f t="shared" si="35"/>
        <v>1.34E-2</v>
      </c>
      <c r="AA83" s="204">
        <f t="shared" si="36"/>
        <v>23.286799999999999</v>
      </c>
      <c r="AB83" s="54" t="e">
        <f>VLOOKUP(A83,Enforcements!$C$7:$K$11,8,0)</f>
        <v>#N/A</v>
      </c>
      <c r="AC83" s="51" t="e">
        <f>VLOOKUP(A83,Enforcements!$C$7:$E$11,3,0)</f>
        <v>#N/A</v>
      </c>
      <c r="AD83" s="179">
        <f t="shared" si="37"/>
        <v>170</v>
      </c>
      <c r="AE83" s="77" t="str">
        <f t="shared" si="38"/>
        <v>aws s3 cp s3://rtdc.mdm.uploadarchive.raw/RTDC4023/ "%USERPROFILE%\AppData\Local\Temp\OnboardLogs"\RTDC4023\2017-09-24 --exclude "*" --recursive --include "*20170924*" &amp; "%USERPROFILE%\Documents\GitHub\mrs-test-scripts\Headless Mode &amp; Sideloading\WalkAndUnGZ.bat" "%USERPROFILE%\AppData\Local\Temp\OnboardLogs"\RTDC4023\2017-09-24 &amp; aws s3 cp s3://rtdc.mdm.uploadarchive.raw/RTDC4023/ "%USERPROFILE%\AppData\Local\Temp\OnboardLogs"\RTDC4023\2017-09-25 --exclude "*" --recursive --include "*20170925*" &amp; "%USERPROFILE%\Documents\GitHub\mrs-test-scripts\Headless Mode &amp; Sideloading\WalkAndUnGZ.bat" "%USERPROFILE%\AppData\Local\Temp\OnboardLogs"\RTDC4023\2017-09-25</v>
      </c>
      <c r="AF83" s="74" t="str">
        <f t="shared" si="39"/>
        <v>"C:\Program Files (x86)\AstroGrep\AstroGrep.exe" /e /r /s /spath="%USERPROFILE%\AppData\Local\Temp\OnboardLogs" /stypes="app*4023*20170924*" /stext=" 19:.+((SYSTEM_STATE.+slice.+state.+changed )|(ment ac)|(multiple cpu faults)|(system.+state.+changed )|(\[timeout)|(PRM\|1\|D)|(kpr)|(kdp)|(train st.+moving)|(\|lc)|(penalty))"</v>
      </c>
      <c r="AG83" s="182" t="str">
        <f t="shared" si="40"/>
        <v>EC</v>
      </c>
      <c r="AH83" s="78" t="str">
        <f t="shared" si="41"/>
        <v>"%USERPROFILE%\Documents\GitHub\eaglep3\Utilities\RefineRTDCRunTimes.py" --tripid 170-24 --locoid 4023 --swversion DE.1.0.9.0 --startMP 204:233002 --initTime 2017-09-24T13:06:55 --startdatetime 2017-09-24T13:12:14 --delay 90 --endMP 204:134 --enddatetime 2017-09-24T13:50:10 --enforcementcount 0 &gt;&gt;c:\users\stu\Documents\GitHub\eaglep3-reporting\EC\2017-09-24-refined-times.txt</v>
      </c>
      <c r="AI83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{"issue":{"subject":"","project_id":79,"tracker_id":40,"status_id":1,"priority_id":2,"assigned_to_id":338,"start_date":"2017-09-24","description":"","custom_fields":[{"id":1,"name":"Subdivision","value":"EC"},{"id":4,"name":"Milepost","value":"0.0134"},{"id":17,"name":"Train ID","value":"170-24"},{"id":16,"name":"Locomotive ID","value":"4023"},{"id":130,"name":"Impact","value":""},{"id":150,"name":"Time of Event (Mountain Time)","value":"13:50:10"},{"id":151,"name":"Denver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2" t="str">
        <f t="shared" si="43"/>
        <v>start /low /b %USERPROFILE%\Documents\GitHub\eaglep3\Utilities\DownloadLogsFromS3.py --loco 4023 --day 2017-09-24</v>
      </c>
      <c r="AN83" s="151" t="str">
        <f t="shared" si="4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19:50:10"},{"id":29,"name":"Sharepoint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168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Message%20ID',Summary),filters:!(),index:'emp_*',interval:auto,query:"&amp;"(query_string:(analyze_wildcard:!t,query:'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-09-24T12:06:55-0600',mode:absolute,to:'2017-09-24T14:50:10-0600'))&amp;_a=(columns:!('Message%20ID',Summary),filters:!(),index:'emp_*',interval:auto,query:(query_string:(analyze_wildcard:!t,query:'%22rtdc.l.rtdc.4023%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716</v>
      </c>
      <c r="B84" s="7">
        <v>4064</v>
      </c>
      <c r="C84" s="21" t="s">
        <v>196</v>
      </c>
      <c r="D84" s="21" t="s">
        <v>362</v>
      </c>
      <c r="E84" s="13">
        <v>43002.516712962963</v>
      </c>
      <c r="F84" s="13">
        <v>43002.52103009259</v>
      </c>
      <c r="G84" s="7">
        <v>59</v>
      </c>
      <c r="H84" s="21" t="s">
        <v>837</v>
      </c>
      <c r="I84" s="13">
        <v>43002.546365740738</v>
      </c>
      <c r="J84" s="7">
        <v>0</v>
      </c>
      <c r="K84" s="89" t="str">
        <f t="shared" si="29"/>
        <v>4063/4064</v>
      </c>
      <c r="L84" s="185" t="str">
        <f>VLOOKUP(A84,'Trips&amp;Operators'!$C$1:$G$99911,5,FALSE)</f>
        <v>DAVIDSON DAVID</v>
      </c>
      <c r="M84" s="6">
        <f t="shared" si="30"/>
        <v>2.5335648148029577E-2</v>
      </c>
      <c r="N84" s="7">
        <f t="shared" si="28"/>
        <v>36.483333333162591</v>
      </c>
      <c r="O84" s="7"/>
      <c r="P84" s="7"/>
      <c r="Q84" s="22"/>
      <c r="R84" s="174"/>
      <c r="S84" s="221">
        <f t="shared" si="27"/>
        <v>1</v>
      </c>
      <c r="T84" s="174" t="str">
        <f t="shared" si="31"/>
        <v>NorthBound</v>
      </c>
      <c r="U84" s="198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16" t="str">
        <f t="shared" si="32"/>
        <v>https://d0f6bd738d7f1b3e5a7ca70fe4ff75f0.us-east-1.aws.found.io/app/kibana#/discover/Steve-Slow-Train-Analysis-(2080s-and-2083s)?_g=(refreshInterval:(display:Off,pause:!f,section:0,value:0),time:(from:'2017-09-24T11:24:04-0600',mode:absolute,to:'2017-09-24T14:06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84" s="204" t="str">
        <f>IF(AA84&lt;VLOOKUP(AG84,Variables!$AC$3:$AD$8,2,FALSE),"Y","N")</f>
        <v>N</v>
      </c>
      <c r="X84" s="204">
        <f t="shared" si="33"/>
        <v>1</v>
      </c>
      <c r="Y84" s="204">
        <f t="shared" si="34"/>
        <v>4.6399999999999997E-2</v>
      </c>
      <c r="Z84" s="204">
        <f t="shared" si="35"/>
        <v>23.328800000000001</v>
      </c>
      <c r="AA84" s="204">
        <f t="shared" si="36"/>
        <v>23.282400000000003</v>
      </c>
      <c r="AB84" s="54" t="e">
        <f>VLOOKUP(A84,Enforcements!$C$7:$K$11,8,0)</f>
        <v>#N/A</v>
      </c>
      <c r="AC84" s="51" t="e">
        <f>VLOOKUP(A84,Enforcements!$C$7:$E$11,3,0)</f>
        <v>#N/A</v>
      </c>
      <c r="AD84" s="179">
        <f t="shared" si="37"/>
        <v>171</v>
      </c>
      <c r="AE84" s="77" t="str">
        <f t="shared" si="38"/>
        <v>aws s3 cp s3://rtdc.mdm.uploadarchive.raw/RTDC4064/ "%USERPROFILE%\AppData\Local\Temp\OnboardLogs"\RTDC4064\2017-09-24 --exclude "*" --recursive --include "*20170924*" &amp; "%USERPROFILE%\Documents\GitHub\mrs-test-scripts\Headless Mode &amp; Sideloading\WalkAndUnGZ.bat" "%USERPROFILE%\AppData\Local\Temp\OnboardLogs"\RTDC4064\2017-09-24 &amp; aws s3 cp s3://rtdc.mdm.uploadarchive.raw/RTDC4064/ "%USERPROFILE%\AppData\Local\Temp\OnboardLogs"\RTDC4064\2017-09-25 --exclude "*" --recursive --include "*20170925*" &amp; "%USERPROFILE%\Documents\GitHub\mrs-test-scripts\Headless Mode &amp; Sideloading\WalkAndUnGZ.bat" "%USERPROFILE%\AppData\Local\Temp\OnboardLogs"\RTDC4064\2017-09-25</v>
      </c>
      <c r="AF84" s="74" t="str">
        <f t="shared" si="39"/>
        <v>"C:\Program Files (x86)\AstroGrep\AstroGrep.exe" /e /r /s /spath="%USERPROFILE%\AppData\Local\Temp\OnboardLogs" /stypes="app*4064*20170924*" /stext=" 19:.+((SYSTEM_STATE.+slice.+state.+changed )|(ment ac)|(multiple cpu faults)|(system.+state.+changed )|(\[timeout)|(PRM\|1\|D)|(kpr)|(kdp)|(train st.+moving)|(\|lc)|(penalty))"</v>
      </c>
      <c r="AG84" s="182" t="str">
        <f t="shared" si="40"/>
        <v>EC</v>
      </c>
      <c r="AH84" s="78" t="str">
        <f t="shared" si="41"/>
        <v>"%USERPROFILE%\Documents\GitHub\eaglep3\Utilities\RefineRTDCRunTimes.py" --tripid 171-24 --locoid 4064 --swversion DE.1.0.9.0 --startMP 204:464 --initTime 2017-09-24T12:24:04 --startdatetime 2017-09-24T12:30:17 --delay 59 --endMP 204:233288 --enddatetime 2017-09-24T13:06:46 --enforcementcount 0 &gt;&gt;c:\users\stu\Documents\GitHub\eaglep3-reporting\EC\2017-09-24-refined-times.txt</v>
      </c>
      <c r="AI84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{"issue":{"subject":"","project_id":79,"tracker_id":40,"status_id":1,"priority_id":2,"assigned_to_id":338,"start_date":"2017-09-24","description":"","custom_fields":[{"id":1,"name":"Subdivision","value":"EC"},{"id":4,"name":"Milepost","value":"23.3288"},{"id":17,"name":"Train ID","value":"171-24"},{"id":16,"name":"Locomotive ID","value":"4064"},{"id":130,"name":"Impact","value":""},{"id":150,"name":"Time of Event (Mountain Time)","value":"13:06:46"},{"id":151,"name":"Denver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2" t="str">
        <f t="shared" si="43"/>
        <v>start /low /b %USERPROFILE%\Documents\GitHub\eaglep3\Utilities\DownloadLogsFromS3.py --loco 4064 --day 2017-09-24</v>
      </c>
      <c r="AN84" s="151" t="str">
        <f t="shared" si="4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19:06:46"},{"id":29,"name":"Sharepoint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168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Message%20ID',Summary),filters:!(),index:'emp_*',interval:auto,query:"&amp;"(query_string:(analyze_wildcard:!t,query:'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-09-24T11:24:04-0600',mode:absolute,to:'2017-09-24T14:06:46-0600'))&amp;_a=(columns:!('Message%20ID',Summary),filters:!(),index:'emp_*',interval:auto,query:(query_string:(analyze_wildcard:!t,query:'%22rtdc.l.rtdc.4064%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723</v>
      </c>
      <c r="B85" s="7">
        <v>4063</v>
      </c>
      <c r="C85" s="21" t="s">
        <v>196</v>
      </c>
      <c r="D85" s="21" t="s">
        <v>568</v>
      </c>
      <c r="E85" s="13">
        <v>43002.548055555555</v>
      </c>
      <c r="F85" s="13">
        <v>43002.560624999998</v>
      </c>
      <c r="G85" s="7">
        <v>62</v>
      </c>
      <c r="H85" s="21" t="s">
        <v>339</v>
      </c>
      <c r="I85" s="13">
        <v>43002.588148148148</v>
      </c>
      <c r="J85" s="7">
        <v>0</v>
      </c>
      <c r="K85" s="89" t="str">
        <f t="shared" si="29"/>
        <v>4063/4064</v>
      </c>
      <c r="L85" s="185" t="str">
        <f>VLOOKUP(A85,'Trips&amp;Operators'!$C$1:$G$99911,5,FALSE)</f>
        <v>DAVIDSON DAVID</v>
      </c>
      <c r="M85" s="6">
        <f t="shared" si="30"/>
        <v>2.7523148150066845E-2</v>
      </c>
      <c r="N85" s="7">
        <f t="shared" si="28"/>
        <v>39.633333336096257</v>
      </c>
      <c r="O85" s="7"/>
      <c r="P85" s="7"/>
      <c r="Q85" s="22"/>
      <c r="R85" s="174"/>
      <c r="S85" s="221">
        <f t="shared" si="27"/>
        <v>1</v>
      </c>
      <c r="T85" s="174" t="str">
        <f t="shared" si="31"/>
        <v>Southbound</v>
      </c>
      <c r="U85" s="198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16" t="str">
        <f t="shared" si="32"/>
        <v>https://d0f6bd738d7f1b3e5a7ca70fe4ff75f0.us-east-1.aws.found.io/app/kibana#/discover/Steve-Slow-Train-Analysis-(2080s-and-2083s)?_g=(refreshInterval:(display:Off,pause:!f,section:0,value:0),time:(from:'2017-09-24T12:09:12-0600',mode:absolute,to:'2017-09-24T15:06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85" s="204" t="str">
        <f>IF(AA85&lt;VLOOKUP(AG85,Variables!$AC$3:$AD$8,2,FALSE),"Y","N")</f>
        <v>N</v>
      </c>
      <c r="X85" s="204">
        <f t="shared" si="33"/>
        <v>1</v>
      </c>
      <c r="Y85" s="204">
        <f t="shared" si="34"/>
        <v>23.296099999999999</v>
      </c>
      <c r="Z85" s="204">
        <f t="shared" si="35"/>
        <v>1.43E-2</v>
      </c>
      <c r="AA85" s="204">
        <f t="shared" si="36"/>
        <v>23.2818</v>
      </c>
      <c r="AB85" s="54" t="e">
        <f>VLOOKUP(A85,Enforcements!$C$7:$K$11,8,0)</f>
        <v>#N/A</v>
      </c>
      <c r="AC85" s="51" t="e">
        <f>VLOOKUP(A85,Enforcements!$C$7:$E$11,3,0)</f>
        <v>#N/A</v>
      </c>
      <c r="AD85" s="179">
        <f t="shared" si="37"/>
        <v>172</v>
      </c>
      <c r="AE85" s="77" t="str">
        <f t="shared" si="38"/>
        <v>aws s3 cp s3://rtdc.mdm.uploadarchive.raw/RTDC4063/ "%USERPROFILE%\AppData\Local\Temp\OnboardLogs"\RTDC4063\2017-09-24 --exclude "*" --recursive --include "*20170924*" &amp; "%USERPROFILE%\Documents\GitHub\mrs-test-scripts\Headless Mode &amp; Sideloading\WalkAndUnGZ.bat" "%USERPROFILE%\AppData\Local\Temp\OnboardLogs"\RTDC4063\2017-09-24 &amp; aws s3 cp s3://rtdc.mdm.uploadarchive.raw/RTDC4063/ "%USERPROFILE%\AppData\Local\Temp\OnboardLogs"\RTDC4063\2017-09-25 --exclude "*" --recursive --include "*20170925*" &amp; "%USERPROFILE%\Documents\GitHub\mrs-test-scripts\Headless Mode &amp; Sideloading\WalkAndUnGZ.bat" "%USERPROFILE%\AppData\Local\Temp\OnboardLogs"\RTDC4063\2017-09-25</v>
      </c>
      <c r="AF85" s="74" t="str">
        <f t="shared" si="39"/>
        <v>"C:\Program Files (x86)\AstroGrep\AstroGrep.exe" /e /r /s /spath="%USERPROFILE%\AppData\Local\Temp\OnboardLogs" /stypes="app*4063*20170924*" /stext=" 20:.+((SYSTEM_STATE.+slice.+state.+changed )|(ment ac)|(multiple cpu faults)|(system.+state.+changed )|(\[timeout)|(PRM\|1\|D)|(kpr)|(kdp)|(train st.+moving)|(\|lc)|(penalty))"</v>
      </c>
      <c r="AG85" s="182" t="str">
        <f t="shared" si="40"/>
        <v>EC</v>
      </c>
      <c r="AH85" s="78" t="str">
        <f t="shared" si="41"/>
        <v>"%USERPROFILE%\Documents\GitHub\eaglep3\Utilities\RefineRTDCRunTimes.py" --tripid 172-24 --locoid 4063 --swversion DE.1.0.9.0 --startMP 204:232961 --initTime 2017-09-24T13:09:12 --startdatetime 2017-09-24T13:27:18 --delay 62 --endMP 204:143 --enddatetime 2017-09-24T14:06:56 --enforcementcount 0 &gt;&gt;c:\users\stu\Documents\GitHub\eaglep3-reporting\EC\2017-09-24-refined-times.txt</v>
      </c>
      <c r="AI85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{"issue":{"subject":"","project_id":79,"tracker_id":40,"status_id":1,"priority_id":2,"assigned_to_id":338,"start_date":"2017-09-24","description":"","custom_fields":[{"id":1,"name":"Subdivision","value":"EC"},{"id":4,"name":"Milepost","value":"0.0143"},{"id":17,"name":"Train ID","value":"172-24"},{"id":16,"name":"Locomotive ID","value":"4063"},{"id":130,"name":"Impact","value":""},{"id":150,"name":"Time of Event (Mountain Time)","value":"14:06:56"},{"id":151,"name":"Denver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2" t="str">
        <f t="shared" si="43"/>
        <v>start /low /b %USERPROFILE%\Documents\GitHub\eaglep3\Utilities\DownloadLogsFromS3.py --loco 4063 --day 2017-09-24</v>
      </c>
      <c r="AN85" s="151" t="str">
        <f t="shared" si="4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20:06:56"},{"id":29,"name":"Sharepoint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168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Message%20ID',Summary),filters:!(),index:'emp_*',interval:auto,query:"&amp;"(query_string:(analyze_wildcard:!t,query:'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-09-24T12:09:12-0600',mode:absolute,to:'2017-09-24T15:06:56-0600'))&amp;_a=(columns:!('Message%20ID',Summary),filters:!(),index:'emp_*',interval:auto,query:(query_string:(analyze_wildcard:!t,query:'%22rtdc.l.rtdc.4063%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2" t="s">
        <v>718</v>
      </c>
      <c r="B86" s="7">
        <v>4018</v>
      </c>
      <c r="C86" s="21" t="s">
        <v>196</v>
      </c>
      <c r="D86" s="21" t="s">
        <v>859</v>
      </c>
      <c r="E86" s="13">
        <v>43002.528935185182</v>
      </c>
      <c r="F86" s="13">
        <v>43002.531504629631</v>
      </c>
      <c r="G86" s="7">
        <v>63</v>
      </c>
      <c r="H86" s="21" t="s">
        <v>446</v>
      </c>
      <c r="I86" s="13">
        <v>43002.55636574074</v>
      </c>
      <c r="J86" s="7">
        <v>0</v>
      </c>
      <c r="K86" s="89" t="str">
        <f t="shared" si="29"/>
        <v>4017/4018</v>
      </c>
      <c r="L86" s="185" t="str">
        <f>VLOOKUP(A86,'Trips&amp;Operators'!$C$1:$G$99911,5,FALSE)</f>
        <v>SMITH MICHAEL</v>
      </c>
      <c r="M86" s="6">
        <f t="shared" si="30"/>
        <v>2.4861111109203193E-2</v>
      </c>
      <c r="N86" s="7">
        <f t="shared" si="28"/>
        <v>35.799999997252598</v>
      </c>
      <c r="O86" s="7"/>
      <c r="P86" s="7"/>
      <c r="Q86" s="22"/>
      <c r="R86" s="174"/>
      <c r="S86" s="221">
        <f t="shared" si="27"/>
        <v>1</v>
      </c>
      <c r="T86" s="174" t="str">
        <f t="shared" si="31"/>
        <v>NorthBound</v>
      </c>
      <c r="U86" s="198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16" t="str">
        <f t="shared" si="32"/>
        <v>https://d0f6bd738d7f1b3e5a7ca70fe4ff75f0.us-east-1.aws.found.io/app/kibana#/discover/Steve-Slow-Train-Analysis-(2080s-and-2083s)?_g=(refreshInterval:(display:Off,pause:!f,section:0,value:0),time:(from:'2017-09-24T11:41:40-0600',mode:absolute,to:'2017-09-24T14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6" s="204" t="str">
        <f>IF(AA86&lt;VLOOKUP(AG86,Variables!$AC$3:$AD$8,2,FALSE),"Y","N")</f>
        <v>N</v>
      </c>
      <c r="X86" s="204">
        <f t="shared" si="33"/>
        <v>1</v>
      </c>
      <c r="Y86" s="204">
        <f t="shared" si="34"/>
        <v>4.9799999999999997E-2</v>
      </c>
      <c r="Z86" s="204">
        <f t="shared" si="35"/>
        <v>23.329499999999999</v>
      </c>
      <c r="AA86" s="204">
        <f t="shared" si="36"/>
        <v>23.279699999999998</v>
      </c>
      <c r="AB86" s="54" t="e">
        <f>VLOOKUP(A86,Enforcements!$C$7:$K$11,8,0)</f>
        <v>#N/A</v>
      </c>
      <c r="AC86" s="51" t="e">
        <f>VLOOKUP(A86,Enforcements!$C$7:$E$11,3,0)</f>
        <v>#N/A</v>
      </c>
      <c r="AD86" s="179">
        <f t="shared" si="37"/>
        <v>173</v>
      </c>
      <c r="AE86" s="77" t="str">
        <f t="shared" si="38"/>
        <v>aws s3 cp s3://rtdc.mdm.uploadarchive.raw/RTDC4018/ "%USERPROFILE%\AppData\Local\Temp\OnboardLogs"\RTDC4018\2017-09-24 --exclude "*" --recursive --include "*20170924*" &amp; "%USERPROFILE%\Documents\GitHub\mrs-test-scripts\Headless Mode &amp; Sideloading\WalkAndUnGZ.bat" "%USERPROFILE%\AppData\Local\Temp\OnboardLogs"\RTDC4018\2017-09-24 &amp; aws s3 cp s3://rtdc.mdm.uploadarchive.raw/RTDC4018/ "%USERPROFILE%\AppData\Local\Temp\OnboardLogs"\RTDC4018\2017-09-25 --exclude "*" --recursive --include "*20170925*" &amp; "%USERPROFILE%\Documents\GitHub\mrs-test-scripts\Headless Mode &amp; Sideloading\WalkAndUnGZ.bat" "%USERPROFILE%\AppData\Local\Temp\OnboardLogs"\RTDC4018\2017-09-25</v>
      </c>
      <c r="AF86" s="74" t="str">
        <f t="shared" si="39"/>
        <v>"C:\Program Files (x86)\AstroGrep\AstroGrep.exe" /e /r /s /spath="%USERPROFILE%\AppData\Local\Temp\OnboardLogs" /stypes="app*4018*20170924*" /stext=" 19:.+((SYSTEM_STATE.+slice.+state.+changed )|(ment ac)|(multiple cpu faults)|(system.+state.+changed )|(\[timeout)|(PRM\|1\|D)|(kpr)|(kdp)|(train st.+moving)|(\|lc)|(penalty))"</v>
      </c>
      <c r="AG86" s="182" t="str">
        <f t="shared" si="40"/>
        <v>EC</v>
      </c>
      <c r="AH86" s="78" t="str">
        <f t="shared" si="41"/>
        <v>"%USERPROFILE%\Documents\GitHub\eaglep3\Utilities\RefineRTDCRunTimes.py" --tripid 173-24 --locoid 4018 --swversion DE.1.0.9.0 --startMP 204:498 --initTime 2017-09-24T12:41:40 --startdatetime 2017-09-24T12:45:22 --delay 63 --endMP 204:233295 --enddatetime 2017-09-24T13:21:10 --enforcementcount 0 &gt;&gt;c:\users\stu\Documents\GitHub\eaglep3-reporting\EC\2017-09-24-refined-times.txt</v>
      </c>
      <c r="AI86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{"issue":{"subject":"","project_id":79,"tracker_id":40,"status_id":1,"priority_id":2,"assigned_to_id":338,"start_date":"2017-09-24","description":"","custom_fields":[{"id":1,"name":"Subdivision","value":"EC"},{"id":4,"name":"Milepost","value":"23.3295"},{"id":17,"name":"Train ID","value":"173-24"},{"id":16,"name":"Locomotive ID","value":"4018"},{"id":130,"name":"Impact","value":""},{"id":150,"name":"Time of Event (Mountain Time)","value":"13:21:10"},{"id":151,"name":"Denver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6" s="20"/>
      <c r="AK86" s="47"/>
      <c r="AL86" s="47"/>
      <c r="AM86" s="142" t="str">
        <f t="shared" si="43"/>
        <v>start /low /b %USERPROFILE%\Documents\GitHub\eaglep3\Utilities\DownloadLogsFromS3.py --loco 4018 --day 2017-09-24</v>
      </c>
      <c r="AN86" s="151" t="str">
        <f t="shared" si="4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19:21:10"},{"id":29,"name":"Sharepoint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168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Message%20ID',Summary),filters:!(),index:'emp_*',interval:auto,query:"&amp;"(query_string:(analyze_wildcard:!t,query:'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-09-24T11:41:40-0600',mode:absolute,to:'2017-09-24T14:21:10-0600'))&amp;_a=(columns:!('Message%20ID',Summary),filters:!(),index:'emp_*',interval:auto,query:(query_string:(analyze_wildcard:!t,query:'%22rtdc.l.rtdc.4018%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2" t="s">
        <v>726</v>
      </c>
      <c r="B87" s="7">
        <v>4017</v>
      </c>
      <c r="C87" s="21" t="s">
        <v>196</v>
      </c>
      <c r="D87" s="21" t="s">
        <v>423</v>
      </c>
      <c r="E87" s="13">
        <v>43002.564710648148</v>
      </c>
      <c r="F87" s="13">
        <v>43002.571076388886</v>
      </c>
      <c r="G87" s="7">
        <v>95</v>
      </c>
      <c r="H87" s="21" t="s">
        <v>388</v>
      </c>
      <c r="I87" s="13">
        <v>43002.596678240741</v>
      </c>
      <c r="J87" s="7">
        <v>0</v>
      </c>
      <c r="K87" s="89" t="str">
        <f t="shared" si="29"/>
        <v>4017/4018</v>
      </c>
      <c r="L87" s="185" t="str">
        <f>VLOOKUP(A87,'Trips&amp;Operators'!$C$1:$G$99911,5,FALSE)</f>
        <v>SMITH MICHAEL</v>
      </c>
      <c r="M87" s="6">
        <f t="shared" si="30"/>
        <v>2.5601851855753921E-2</v>
      </c>
      <c r="N87" s="7">
        <f t="shared" si="28"/>
        <v>36.866666672285646</v>
      </c>
      <c r="O87" s="7"/>
      <c r="P87" s="7"/>
      <c r="Q87" s="22"/>
      <c r="R87" s="174"/>
      <c r="S87" s="221">
        <f t="shared" si="27"/>
        <v>1</v>
      </c>
      <c r="T87" s="174" t="str">
        <f t="shared" si="31"/>
        <v>Southbound</v>
      </c>
      <c r="U87" s="198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16" t="str">
        <f t="shared" si="32"/>
        <v>https://d0f6bd738d7f1b3e5a7ca70fe4ff75f0.us-east-1.aws.found.io/app/kibana#/discover/Steve-Slow-Train-Analysis-(2080s-and-2083s)?_g=(refreshInterval:(display:Off,pause:!f,section:0,value:0),time:(from:'2017-09-24T12:33:11-0600',mode:absolute,to:'2017-09-24T15:19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7" s="204" t="str">
        <f>IF(AA87&lt;VLOOKUP(AG87,Variables!$AC$3:$AD$8,2,FALSE),"Y","N")</f>
        <v>N</v>
      </c>
      <c r="X87" s="204">
        <f t="shared" si="33"/>
        <v>1</v>
      </c>
      <c r="Y87" s="204">
        <f t="shared" si="34"/>
        <v>23.298500000000001</v>
      </c>
      <c r="Z87" s="204">
        <f t="shared" si="35"/>
        <v>1.3599999999999999E-2</v>
      </c>
      <c r="AA87" s="204">
        <f t="shared" si="36"/>
        <v>23.2849</v>
      </c>
      <c r="AB87" s="54" t="e">
        <f>VLOOKUP(A87,Enforcements!$C$7:$K$11,8,0)</f>
        <v>#N/A</v>
      </c>
      <c r="AC87" s="51" t="e">
        <f>VLOOKUP(A87,Enforcements!$C$7:$E$11,3,0)</f>
        <v>#N/A</v>
      </c>
      <c r="AD87" s="179">
        <f t="shared" si="37"/>
        <v>174</v>
      </c>
      <c r="AE87" s="77" t="str">
        <f t="shared" si="38"/>
        <v>aws s3 cp s3://rtdc.mdm.uploadarchive.raw/RTDC4017/ "%USERPROFILE%\AppData\Local\Temp\OnboardLogs"\RTDC4017\2017-09-24 --exclude "*" --recursive --include "*20170924*" &amp; "%USERPROFILE%\Documents\GitHub\mrs-test-scripts\Headless Mode &amp; Sideloading\WalkAndUnGZ.bat" "%USERPROFILE%\AppData\Local\Temp\OnboardLogs"\RTDC4017\2017-09-24 &amp; aws s3 cp s3://rtdc.mdm.uploadarchive.raw/RTDC4017/ "%USERPROFILE%\AppData\Local\Temp\OnboardLogs"\RTDC4017\2017-09-25 --exclude "*" --recursive --include "*20170925*" &amp; "%USERPROFILE%\Documents\GitHub\mrs-test-scripts\Headless Mode &amp; Sideloading\WalkAndUnGZ.bat" "%USERPROFILE%\AppData\Local\Temp\OnboardLogs"\RTDC4017\2017-09-25</v>
      </c>
      <c r="AF87" s="74" t="str">
        <f t="shared" si="39"/>
        <v>"C:\Program Files (x86)\AstroGrep\AstroGrep.exe" /e /r /s /spath="%USERPROFILE%\AppData\Local\Temp\OnboardLogs" /stypes="app*4017*20170924*" /stext=" 20:.+((SYSTEM_STATE.+slice.+state.+changed )|(ment ac)|(multiple cpu faults)|(system.+state.+changed )|(\[timeout)|(PRM\|1\|D)|(kpr)|(kdp)|(train st.+moving)|(\|lc)|(penalty))"</v>
      </c>
      <c r="AG87" s="182" t="str">
        <f t="shared" si="40"/>
        <v>EC</v>
      </c>
      <c r="AH87" s="78" t="str">
        <f t="shared" si="41"/>
        <v>"%USERPROFILE%\Documents\GitHub\eaglep3\Utilities\RefineRTDCRunTimes.py" --tripid 174-24 --locoid 4017 --swversion DE.1.0.9.0 --startMP 204:232985 --initTime 2017-09-24T13:33:11 --startdatetime 2017-09-24T13:42:21 --delay 95 --endMP 204:136 --enddatetime 2017-09-24T14:19:13 --enforcementcount 0 &gt;&gt;c:\users\stu\Documents\GitHub\eaglep3-reporting\EC\2017-09-24-refined-times.txt</v>
      </c>
      <c r="AI87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{"issue":{"subject":"","project_id":79,"tracker_id":40,"status_id":1,"priority_id":2,"assigned_to_id":338,"start_date":"2017-09-24","description":"","custom_fields":[{"id":1,"name":"Subdivision","value":"EC"},{"id":4,"name":"Milepost","value":"0.0136"},{"id":17,"name":"Train ID","value":"174-24"},{"id":16,"name":"Locomotive ID","value":"4017"},{"id":130,"name":"Impact","value":""},{"id":150,"name":"Time of Event (Mountain Time)","value":"14:19:13"},{"id":151,"name":"Denver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7" s="20"/>
      <c r="AK87" s="47"/>
      <c r="AL87" s="47"/>
      <c r="AM87" s="142" t="str">
        <f t="shared" si="43"/>
        <v>start /low /b %USERPROFILE%\Documents\GitHub\eaglep3\Utilities\DownloadLogsFromS3.py --loco 4017 --day 2017-09-24</v>
      </c>
      <c r="AN87" s="151" t="str">
        <f t="shared" si="4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20:19:13"},{"id":29,"name":"Sharepoint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168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Message%20ID',Summary),filters:!(),index:'emp_*',interval:auto,query:"&amp;"(query_string:(analyze_wildcard:!t,query:'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-09-24T12:33:11-0600',mode:absolute,to:'2017-09-24T15:19:13-0600'))&amp;_a=(columns:!('Message%20ID',Summary),filters:!(),index:'emp_*',interval:auto,query:(query_string:(analyze_wildcard:!t,query:'%22rtdc.l.rtdc.4017%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2" t="s">
        <v>721</v>
      </c>
      <c r="B88" s="7">
        <v>4046</v>
      </c>
      <c r="C88" s="21" t="s">
        <v>196</v>
      </c>
      <c r="D88" s="21" t="s">
        <v>357</v>
      </c>
      <c r="E88" s="13">
        <v>43002.538819444446</v>
      </c>
      <c r="F88" s="13">
        <v>43002.542210648149</v>
      </c>
      <c r="G88" s="7">
        <v>96</v>
      </c>
      <c r="H88" s="21" t="s">
        <v>860</v>
      </c>
      <c r="I88" s="13">
        <v>43002.568310185183</v>
      </c>
      <c r="J88" s="7">
        <v>0</v>
      </c>
      <c r="K88" s="89" t="str">
        <f t="shared" si="29"/>
        <v>4045/4046</v>
      </c>
      <c r="L88" s="185" t="str">
        <f>VLOOKUP(A88,'Trips&amp;Operators'!$C$1:$G$99911,5,FALSE)</f>
        <v>DAVIS MICHAEL</v>
      </c>
      <c r="M88" s="6">
        <f t="shared" si="30"/>
        <v>2.6099537033587694E-2</v>
      </c>
      <c r="N88" s="7">
        <f t="shared" si="28"/>
        <v>37.58333332836628</v>
      </c>
      <c r="O88" s="7"/>
      <c r="P88" s="7"/>
      <c r="Q88" s="22"/>
      <c r="R88" s="174"/>
      <c r="S88" s="221">
        <f t="shared" si="27"/>
        <v>1</v>
      </c>
      <c r="T88" s="174" t="str">
        <f t="shared" si="31"/>
        <v>NorthBound</v>
      </c>
      <c r="U88" s="198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16" t="str">
        <f t="shared" si="32"/>
        <v>https://d0f6bd738d7f1b3e5a7ca70fe4ff75f0.us-east-1.aws.found.io/app/kibana#/discover/Steve-Slow-Train-Analysis-(2080s-and-2083s)?_g=(refreshInterval:(display:Off,pause:!f,section:0,value:0),time:(from:'2017-09-24T11:55:54-0600',mode:absolute,to:'2017-09-24T14:38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8" s="204" t="str">
        <f>IF(AA88&lt;VLOOKUP(AG88,Variables!$AC$3:$AD$8,2,FALSE),"Y","N")</f>
        <v>N</v>
      </c>
      <c r="X88" s="204">
        <f t="shared" si="33"/>
        <v>1</v>
      </c>
      <c r="Y88" s="204">
        <f t="shared" si="34"/>
        <v>4.58E-2</v>
      </c>
      <c r="Z88" s="204">
        <f t="shared" si="35"/>
        <v>23.3355</v>
      </c>
      <c r="AA88" s="204">
        <f t="shared" si="36"/>
        <v>23.2897</v>
      </c>
      <c r="AB88" s="54" t="e">
        <f>VLOOKUP(A88,Enforcements!$C$7:$K$11,8,0)</f>
        <v>#N/A</v>
      </c>
      <c r="AC88" s="51" t="e">
        <f>VLOOKUP(A88,Enforcements!$C$7:$E$11,3,0)</f>
        <v>#N/A</v>
      </c>
      <c r="AD88" s="179">
        <f t="shared" si="37"/>
        <v>175</v>
      </c>
      <c r="AE88" s="77" t="str">
        <f t="shared" si="38"/>
        <v>aws s3 cp s3://rtdc.mdm.uploadarchive.raw/RTDC4046/ "%USERPROFILE%\AppData\Local\Temp\OnboardLogs"\RTDC4046\2017-09-24 --exclude "*" --recursive --include "*20170924*" &amp; "%USERPROFILE%\Documents\GitHub\mrs-test-scripts\Headless Mode &amp; Sideloading\WalkAndUnGZ.bat" "%USERPROFILE%\AppData\Local\Temp\OnboardLogs"\RTDC4046\2017-09-24 &amp; aws s3 cp s3://rtdc.mdm.uploadarchive.raw/RTDC4046/ "%USERPROFILE%\AppData\Local\Temp\OnboardLogs"\RTDC4046\2017-09-25 --exclude "*" --recursive --include "*20170925*" &amp; "%USERPROFILE%\Documents\GitHub\mrs-test-scripts\Headless Mode &amp; Sideloading\WalkAndUnGZ.bat" "%USERPROFILE%\AppData\Local\Temp\OnboardLogs"\RTDC4046\2017-09-25</v>
      </c>
      <c r="AF88" s="74" t="str">
        <f t="shared" si="39"/>
        <v>"C:\Program Files (x86)\AstroGrep\AstroGrep.exe" /e /r /s /spath="%USERPROFILE%\AppData\Local\Temp\OnboardLogs" /stypes="app*4046*20170924*" /stext=" 19:.+((SYSTEM_STATE.+slice.+state.+changed )|(ment ac)|(multiple cpu faults)|(system.+state.+changed )|(\[timeout)|(PRM\|1\|D)|(kpr)|(kdp)|(train st.+moving)|(\|lc)|(penalty))"</v>
      </c>
      <c r="AG88" s="182" t="str">
        <f t="shared" si="40"/>
        <v>EC</v>
      </c>
      <c r="AH88" s="78" t="str">
        <f t="shared" si="41"/>
        <v>"%USERPROFILE%\Documents\GitHub\eaglep3\Utilities\RefineRTDCRunTimes.py" --tripid 175-24 --locoid 4046 --swversion DE.1.0.9.0 --startMP 204:458 --initTime 2017-09-24T12:55:54 --startdatetime 2017-09-24T13:00:47 --delay 96 --endMP 204:233355 --enddatetime 2017-09-24T13:38:22 --enforcementcount 0 &gt;&gt;c:\users\stu\Documents\GitHub\eaglep3-reporting\EC\2017-09-24-refined-times.txt</v>
      </c>
      <c r="AI88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{"issue":{"subject":"","project_id":79,"tracker_id":40,"status_id":1,"priority_id":2,"assigned_to_id":338,"start_date":"2017-09-24","description":"","custom_fields":[{"id":1,"name":"Subdivision","value":"EC"},{"id":4,"name":"Milepost","value":"23.3355"},{"id":17,"name":"Train ID","value":"175-24"},{"id":16,"name":"Locomotive ID","value":"4046"},{"id":130,"name":"Impact","value":""},{"id":150,"name":"Time of Event (Mountain Time)","value":"13:38:22"},{"id":151,"name":"Denver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2" t="str">
        <f t="shared" si="43"/>
        <v>start /low /b %USERPROFILE%\Documents\GitHub\eaglep3\Utilities\DownloadLogsFromS3.py --loco 4046 --day 2017-09-24</v>
      </c>
      <c r="AN88" s="151" t="str">
        <f t="shared" si="4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19:38:22"},{"id":29,"name":"Sharepoint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168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Message%20ID',Summary),filters:!(),index:'emp_*',interval:auto,query:"&amp;"(query_string:(analyze_wildcard:!t,query:'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-09-24T11:55:54-0600',mode:absolute,to:'2017-09-24T14:38:22-0600'))&amp;_a=(columns:!('Message%20ID',Summary),filters:!(),index:'emp_*',interval:auto,query:(query_string:(analyze_wildcard:!t,query:'%22rtdc.l.rtdc.4046%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2" t="s">
        <v>729</v>
      </c>
      <c r="B89" s="7">
        <v>4045</v>
      </c>
      <c r="C89" s="21" t="s">
        <v>196</v>
      </c>
      <c r="D89" s="21" t="s">
        <v>861</v>
      </c>
      <c r="E89" s="13">
        <v>43002.578530092593</v>
      </c>
      <c r="F89" s="13">
        <v>43002.581585648149</v>
      </c>
      <c r="G89" s="7">
        <v>61</v>
      </c>
      <c r="H89" s="21" t="s">
        <v>363</v>
      </c>
      <c r="I89" s="13">
        <v>43002.609571759262</v>
      </c>
      <c r="J89" s="7">
        <v>0</v>
      </c>
      <c r="K89" s="89" t="str">
        <f t="shared" si="29"/>
        <v>4045/4046</v>
      </c>
      <c r="L89" s="185" t="str">
        <f>VLOOKUP(A89,'Trips&amp;Operators'!$C$1:$G$99911,5,FALSE)</f>
        <v>DAVIS MICHAEL</v>
      </c>
      <c r="M89" s="6">
        <f t="shared" si="30"/>
        <v>2.7986111112113576E-2</v>
      </c>
      <c r="N89" s="7">
        <f t="shared" si="28"/>
        <v>40.30000000144355</v>
      </c>
      <c r="O89" s="7"/>
      <c r="P89" s="7"/>
      <c r="Q89" s="22"/>
      <c r="R89" s="174"/>
      <c r="S89" s="221">
        <f t="shared" si="27"/>
        <v>1</v>
      </c>
      <c r="T89" s="174" t="str">
        <f t="shared" si="31"/>
        <v>Southbound</v>
      </c>
      <c r="U89" s="198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16" t="str">
        <f t="shared" si="32"/>
        <v>https://d0f6bd738d7f1b3e5a7ca70fe4ff75f0.us-east-1.aws.found.io/app/kibana#/discover/Steve-Slow-Train-Analysis-(2080s-and-2083s)?_g=(refreshInterval:(display:Off,pause:!f,section:0,value:0),time:(from:'2017-09-24T12:53:05-0600',mode:absolute,to:'2017-09-24T15:37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9" s="204" t="str">
        <f>IF(AA89&lt;VLOOKUP(AG89,Variables!$AC$3:$AD$8,2,FALSE),"Y","N")</f>
        <v>N</v>
      </c>
      <c r="X89" s="204">
        <f t="shared" si="33"/>
        <v>1</v>
      </c>
      <c r="Y89" s="204">
        <f t="shared" si="34"/>
        <v>23.300899999999999</v>
      </c>
      <c r="Z89" s="204">
        <f t="shared" si="35"/>
        <v>1.4500000000000001E-2</v>
      </c>
      <c r="AA89" s="204">
        <f t="shared" si="36"/>
        <v>23.286399999999997</v>
      </c>
      <c r="AB89" s="54" t="e">
        <f>VLOOKUP(A89,Enforcements!$C$7:$K$11,8,0)</f>
        <v>#N/A</v>
      </c>
      <c r="AC89" s="51" t="e">
        <f>VLOOKUP(A89,Enforcements!$C$7:$E$11,3,0)</f>
        <v>#N/A</v>
      </c>
      <c r="AD89" s="179">
        <f t="shared" si="37"/>
        <v>176</v>
      </c>
      <c r="AE89" s="77" t="str">
        <f t="shared" si="38"/>
        <v>aws s3 cp s3://rtdc.mdm.uploadarchive.raw/RTDC4045/ "%USERPROFILE%\AppData\Local\Temp\OnboardLogs"\RTDC4045\2017-09-24 --exclude "*" --recursive --include "*20170924*" &amp; "%USERPROFILE%\Documents\GitHub\mrs-test-scripts\Headless Mode &amp; Sideloading\WalkAndUnGZ.bat" "%USERPROFILE%\AppData\Local\Temp\OnboardLogs"\RTDC4045\2017-09-24 &amp; aws s3 cp s3://rtdc.mdm.uploadarchive.raw/RTDC4045/ "%USERPROFILE%\AppData\Local\Temp\OnboardLogs"\RTDC4045\2017-09-25 --exclude "*" --recursive --include "*20170925*" &amp; "%USERPROFILE%\Documents\GitHub\mrs-test-scripts\Headless Mode &amp; Sideloading\WalkAndUnGZ.bat" "%USERPROFILE%\AppData\Local\Temp\OnboardLogs"\RTDC4045\2017-09-25</v>
      </c>
      <c r="AF89" s="74" t="str">
        <f t="shared" si="39"/>
        <v>"C:\Program Files (x86)\AstroGrep\AstroGrep.exe" /e /r /s /spath="%USERPROFILE%\AppData\Local\Temp\OnboardLogs" /stypes="app*4045*20170924*" /stext=" 20:.+((SYSTEM_STATE.+slice.+state.+changed )|(ment ac)|(multiple cpu faults)|(system.+state.+changed )|(\[timeout)|(PRM\|1\|D)|(kpr)|(kdp)|(train st.+moving)|(\|lc)|(penalty))"</v>
      </c>
      <c r="AG89" s="182" t="str">
        <f t="shared" si="40"/>
        <v>EC</v>
      </c>
      <c r="AH89" s="78" t="str">
        <f t="shared" si="41"/>
        <v>"%USERPROFILE%\Documents\GitHub\eaglep3\Utilities\RefineRTDCRunTimes.py" --tripid 176-24 --locoid 4045 --swversion DE.1.0.9.0 --startMP 204:233009 --initTime 2017-09-24T13:53:05 --startdatetime 2017-09-24T13:57:29 --delay 61 --endMP 204:145 --enddatetime 2017-09-24T14:37:47 --enforcementcount 0 &gt;&gt;c:\users\stu\Documents\GitHub\eaglep3-reporting\EC\2017-09-24-refined-times.txt</v>
      </c>
      <c r="AI89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{"issue":{"subject":"","project_id":79,"tracker_id":40,"status_id":1,"priority_id":2,"assigned_to_id":338,"start_date":"2017-09-24","description":"","custom_fields":[{"id":1,"name":"Subdivision","value":"EC"},{"id":4,"name":"Milepost","value":"0.0145"},{"id":17,"name":"Train ID","value":"176-24"},{"id":16,"name":"Locomotive ID","value":"4045"},{"id":130,"name":"Impact","value":""},{"id":150,"name":"Time of Event (Mountain Time)","value":"14:37:47"},{"id":151,"name":"Denver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89" s="20"/>
      <c r="AK89" s="47"/>
      <c r="AL89" s="47"/>
      <c r="AM89" s="142" t="str">
        <f t="shared" si="43"/>
        <v>start /low /b %USERPROFILE%\Documents\GitHub\eaglep3\Utilities\DownloadLogsFromS3.py --loco 4045 --day 2017-09-24</v>
      </c>
      <c r="AN89" s="151" t="str">
        <f t="shared" si="4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20:37:47"},{"id":29,"name":"Sharepoint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168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Message%20ID',Summary),filters:!(),index:'emp_*',interval:auto,query:"&amp;"(query_string:(analyze_wildcard:!t,query:'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-09-24T12:53:05-0600',mode:absolute,to:'2017-09-24T15:37:47-0600'))&amp;_a=(columns:!('Message%20ID',Summary),filters:!(),index:'emp_*',interval:auto,query:(query_string:(analyze_wildcard:!t,query:'%22rtdc.l.rtdc.4045%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25">
      <c r="A90" s="32" t="s">
        <v>724</v>
      </c>
      <c r="B90" s="7">
        <v>4060</v>
      </c>
      <c r="C90" s="21" t="s">
        <v>196</v>
      </c>
      <c r="D90" s="21" t="s">
        <v>384</v>
      </c>
      <c r="E90" s="13">
        <v>43002.548483796294</v>
      </c>
      <c r="F90" s="13">
        <v>43002.552384259259</v>
      </c>
      <c r="G90" s="7">
        <v>102</v>
      </c>
      <c r="H90" s="21" t="s">
        <v>564</v>
      </c>
      <c r="I90" s="13">
        <v>43002.577187499999</v>
      </c>
      <c r="J90" s="7">
        <v>0</v>
      </c>
      <c r="K90" s="89" t="str">
        <f t="shared" si="29"/>
        <v>4059/4060</v>
      </c>
      <c r="L90" s="185" t="str">
        <f>VLOOKUP(A90,'Trips&amp;Operators'!$C$1:$G$99911,5,FALSE)</f>
        <v>SAFIEF AEIMEN</v>
      </c>
      <c r="M90" s="6">
        <f t="shared" si="30"/>
        <v>2.4803240739856847E-2</v>
      </c>
      <c r="N90" s="7">
        <f t="shared" si="28"/>
        <v>35.716666665393859</v>
      </c>
      <c r="O90" s="7"/>
      <c r="P90" s="7"/>
      <c r="Q90" s="22"/>
      <c r="R90" s="174"/>
      <c r="S90" s="221">
        <f t="shared" si="27"/>
        <v>1</v>
      </c>
      <c r="T90" s="174" t="str">
        <f t="shared" si="31"/>
        <v>NorthBound</v>
      </c>
      <c r="U90" s="198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216" t="str">
        <f t="shared" si="32"/>
        <v>https://d0f6bd738d7f1b3e5a7ca70fe4ff75f0.us-east-1.aws.found.io/app/kibana#/discover/Steve-Slow-Train-Analysis-(2080s-and-2083s)?_g=(refreshInterval:(display:Off,pause:!f,section:0,value:0),time:(from:'2017-09-24T12:09:49-0600',mode:absolute,to:'2017-09-24T14:51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90" s="204" t="str">
        <f>IF(AA90&lt;VLOOKUP(AG90,Variables!$AC$3:$AD$8,2,FALSE),"Y","N")</f>
        <v>N</v>
      </c>
      <c r="X90" s="204">
        <f t="shared" si="33"/>
        <v>1</v>
      </c>
      <c r="Y90" s="204">
        <f t="shared" si="34"/>
        <v>4.3999999999999997E-2</v>
      </c>
      <c r="Z90" s="204">
        <f t="shared" si="35"/>
        <v>23.333400000000001</v>
      </c>
      <c r="AA90" s="204">
        <f t="shared" si="36"/>
        <v>23.289400000000001</v>
      </c>
      <c r="AB90" s="54" t="e">
        <f>VLOOKUP(A90,Enforcements!$C$7:$K$11,8,0)</f>
        <v>#N/A</v>
      </c>
      <c r="AC90" s="51" t="e">
        <f>VLOOKUP(A90,Enforcements!$C$7:$E$11,3,0)</f>
        <v>#N/A</v>
      </c>
      <c r="AD90" s="179">
        <f t="shared" si="37"/>
        <v>177</v>
      </c>
      <c r="AE90" s="77" t="str">
        <f t="shared" si="38"/>
        <v>aws s3 cp s3://rtdc.mdm.uploadarchive.raw/RTDC4060/ "%USERPROFILE%\AppData\Local\Temp\OnboardLogs"\RTDC4060\2017-09-24 --exclude "*" --recursive --include "*20170924*" &amp; "%USERPROFILE%\Documents\GitHub\mrs-test-scripts\Headless Mode &amp; Sideloading\WalkAndUnGZ.bat" "%USERPROFILE%\AppData\Local\Temp\OnboardLogs"\RTDC4060\2017-09-24 &amp; aws s3 cp s3://rtdc.mdm.uploadarchive.raw/RTDC4060/ "%USERPROFILE%\AppData\Local\Temp\OnboardLogs"\RTDC4060\2017-09-25 --exclude "*" --recursive --include "*20170925*" &amp; "%USERPROFILE%\Documents\GitHub\mrs-test-scripts\Headless Mode &amp; Sideloading\WalkAndUnGZ.bat" "%USERPROFILE%\AppData\Local\Temp\OnboardLogs"\RTDC4060\2017-09-25</v>
      </c>
      <c r="AF90" s="74" t="str">
        <f t="shared" si="39"/>
        <v>"C:\Program Files (x86)\AstroGrep\AstroGrep.exe" /e /r /s /spath="%USERPROFILE%\AppData\Local\Temp\OnboardLogs" /stypes="app*4060*20170924*" /stext=" 19:.+((SYSTEM_STATE.+slice.+state.+changed )|(ment ac)|(multiple cpu faults)|(system.+state.+changed )|(\[timeout)|(PRM\|1\|D)|(kpr)|(kdp)|(train st.+moving)|(\|lc)|(penalty))"</v>
      </c>
      <c r="AG90" s="182" t="str">
        <f t="shared" si="40"/>
        <v>EC</v>
      </c>
      <c r="AH90" s="78" t="str">
        <f t="shared" si="41"/>
        <v>"%USERPROFILE%\Documents\GitHub\eaglep3\Utilities\RefineRTDCRunTimes.py" --tripid 177-24 --locoid 4060 --swversion DE.1.0.9.0 --startMP 204:440 --initTime 2017-09-24T13:09:49 --startdatetime 2017-09-24T13:15:26 --delay 102 --endMP 204:233334 --enddatetime 2017-09-24T13:51:09 --enforcementcount 0 &gt;&gt;c:\users\stu\Documents\GitHub\eaglep3-reporting\EC\2017-09-24-refined-times.txt</v>
      </c>
      <c r="AI90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{"issue":{"subject":"","project_id":79,"tracker_id":40,"status_id":1,"priority_id":2,"assigned_to_id":338,"start_date":"2017-09-24","description":"","custom_fields":[{"id":1,"name":"Subdivision","value":"EC"},{"id":4,"name":"Milepost","value":"23.3334"},{"id":17,"name":"Train ID","value":"177-24"},{"id":16,"name":"Locomotive ID","value":"4060"},{"id":130,"name":"Impact","value":""},{"id":150,"name":"Time of Event (Mountain Time)","value":"13:51:09"},{"id":151,"name":"Denver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0" s="20"/>
      <c r="AK90" s="47"/>
      <c r="AL90" s="47"/>
      <c r="AM90" s="142" t="str">
        <f t="shared" si="43"/>
        <v>start /low /b %USERPROFILE%\Documents\GitHub\eaglep3\Utilities\DownloadLogsFromS3.py --loco 4060 --day 2017-09-24</v>
      </c>
      <c r="AN90" s="151" t="str">
        <f t="shared" si="4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19:51:09"},{"id":29,"name":"Sharepoint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168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Message%20ID',Summary),filters:!(),index:'emp_*',interval:auto,query:"&amp;"(query_string:(analyze_wildcard:!t,query:'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-09-24T12:09:49-0600',mode:absolute,to:'2017-09-24T14:51:09-0600'))&amp;_a=(columns:!('Message%20ID',Summary),filters:!(),index:'emp_*',interval:auto,query:(query_string:(analyze_wildcard:!t,query:'%22rtdc.l.rtdc.4060%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25">
      <c r="A91" s="32" t="s">
        <v>731</v>
      </c>
      <c r="B91" s="7">
        <v>4059</v>
      </c>
      <c r="C91" s="21" t="s">
        <v>196</v>
      </c>
      <c r="D91" s="21" t="s">
        <v>862</v>
      </c>
      <c r="E91" s="13">
        <v>43002.580925925926</v>
      </c>
      <c r="F91" s="13">
        <v>43002.591828703706</v>
      </c>
      <c r="G91" s="7">
        <v>67</v>
      </c>
      <c r="H91" s="21" t="s">
        <v>385</v>
      </c>
      <c r="I91" s="13">
        <v>43002.617627314816</v>
      </c>
      <c r="J91" s="7">
        <v>0</v>
      </c>
      <c r="K91" s="89" t="str">
        <f t="shared" si="29"/>
        <v>4059/4060</v>
      </c>
      <c r="L91" s="185" t="str">
        <f>VLOOKUP(A91,'Trips&amp;Operators'!$C$1:$G$99911,5,FALSE)</f>
        <v>SAFIEF AEIMEN</v>
      </c>
      <c r="M91" s="6">
        <f t="shared" si="30"/>
        <v>2.5798611110076308E-2</v>
      </c>
      <c r="N91" s="7">
        <f t="shared" si="28"/>
        <v>37.149999998509884</v>
      </c>
      <c r="O91" s="7"/>
      <c r="P91" s="7"/>
      <c r="Q91" s="22"/>
      <c r="R91" s="174"/>
      <c r="S91" s="221">
        <f t="shared" si="27"/>
        <v>1</v>
      </c>
      <c r="T91" s="174" t="str">
        <f t="shared" si="31"/>
        <v>Southbound</v>
      </c>
      <c r="U91" s="198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16" t="str">
        <f t="shared" si="32"/>
        <v>https://d0f6bd738d7f1b3e5a7ca70fe4ff75f0.us-east-1.aws.found.io/app/kibana#/discover/Steve-Slow-Train-Analysis-(2080s-and-2083s)?_g=(refreshInterval:(display:Off,pause:!f,section:0,value:0),time:(from:'2017-09-24T12:56:32-0600',mode:absolute,to:'2017-09-24T15:49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91" s="204" t="str">
        <f>IF(AA91&lt;VLOOKUP(AG91,Variables!$AC$3:$AD$8,2,FALSE),"Y","N")</f>
        <v>N</v>
      </c>
      <c r="X91" s="204">
        <f t="shared" si="33"/>
        <v>1</v>
      </c>
      <c r="Y91" s="204">
        <f t="shared" si="34"/>
        <v>23.302700000000002</v>
      </c>
      <c r="Z91" s="204">
        <f t="shared" si="35"/>
        <v>1.3899999999999999E-2</v>
      </c>
      <c r="AA91" s="204">
        <f t="shared" si="36"/>
        <v>23.288800000000002</v>
      </c>
      <c r="AB91" s="54" t="e">
        <f>VLOOKUP(A91,Enforcements!$C$7:$K$11,8,0)</f>
        <v>#N/A</v>
      </c>
      <c r="AC91" s="51" t="e">
        <f>VLOOKUP(A91,Enforcements!$C$7:$E$11,3,0)</f>
        <v>#N/A</v>
      </c>
      <c r="AD91" s="179">
        <f t="shared" si="37"/>
        <v>178</v>
      </c>
      <c r="AE91" s="77" t="str">
        <f t="shared" si="38"/>
        <v>aws s3 cp s3://rtdc.mdm.uploadarchive.raw/RTDC4059/ "%USERPROFILE%\AppData\Local\Temp\OnboardLogs"\RTDC4059\2017-09-24 --exclude "*" --recursive --include "*20170924*" &amp; "%USERPROFILE%\Documents\GitHub\mrs-test-scripts\Headless Mode &amp; Sideloading\WalkAndUnGZ.bat" "%USERPROFILE%\AppData\Local\Temp\OnboardLogs"\RTDC4059\2017-09-24 &amp; aws s3 cp s3://rtdc.mdm.uploadarchive.raw/RTDC4059/ "%USERPROFILE%\AppData\Local\Temp\OnboardLogs"\RTDC4059\2017-09-25 --exclude "*" --recursive --include "*20170925*" &amp; "%USERPROFILE%\Documents\GitHub\mrs-test-scripts\Headless Mode &amp; Sideloading\WalkAndUnGZ.bat" "%USERPROFILE%\AppData\Local\Temp\OnboardLogs"\RTDC4059\2017-09-25</v>
      </c>
      <c r="AF91" s="74" t="str">
        <f t="shared" si="39"/>
        <v>"C:\Program Files (x86)\AstroGrep\AstroGrep.exe" /e /r /s /spath="%USERPROFILE%\AppData\Local\Temp\OnboardLogs" /stypes="app*4059*20170924*" /stext=" 20:.+((SYSTEM_STATE.+slice.+state.+changed )|(ment ac)|(multiple cpu faults)|(system.+state.+changed )|(\[timeout)|(PRM\|1\|D)|(kpr)|(kdp)|(train st.+moving)|(\|lc)|(penalty))"</v>
      </c>
      <c r="AG91" s="182" t="str">
        <f t="shared" si="40"/>
        <v>EC</v>
      </c>
      <c r="AH91" s="78" t="str">
        <f t="shared" si="41"/>
        <v>"%USERPROFILE%\Documents\GitHub\eaglep3\Utilities\RefineRTDCRunTimes.py" --tripid 178-24 --locoid 4059 --swversion DE.1.0.9.0 --startMP 204:233027 --initTime 2017-09-24T13:56:32 --startdatetime 2017-09-24T14:12:14 --delay 67 --endMP 204:139 --enddatetime 2017-09-24T14:49:23 --enforcementcount 0 &gt;&gt;c:\users\stu\Documents\GitHub\eaglep3-reporting\EC\2017-09-24-refined-times.txt</v>
      </c>
      <c r="AI91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{"issue":{"subject":"","project_id":79,"tracker_id":40,"status_id":1,"priority_id":2,"assigned_to_id":338,"start_date":"2017-09-24","description":"","custom_fields":[{"id":1,"name":"Subdivision","value":"EC"},{"id":4,"name":"Milepost","value":"0.0139"},{"id":17,"name":"Train ID","value":"178-24"},{"id":16,"name":"Locomotive ID","value":"4059"},{"id":130,"name":"Impact","value":""},{"id":150,"name":"Time of Event (Mountain Time)","value":"14:49:23"},{"id":151,"name":"Denver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1" s="20"/>
      <c r="AK91" s="47"/>
      <c r="AL91" s="47"/>
      <c r="AM91" s="142" t="str">
        <f t="shared" si="43"/>
        <v>start /low /b %USERPROFILE%\Documents\GitHub\eaglep3\Utilities\DownloadLogsFromS3.py --loco 4059 --day 2017-09-24</v>
      </c>
      <c r="AN91" s="151" t="str">
        <f t="shared" si="4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20:49:23"},{"id":29,"name":"Sharepoint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168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Message%20ID',Summary),filters:!(),index:'emp_*',interval:auto,query:"&amp;"(query_string:(analyze_wildcard:!t,query:'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-09-24T12:56:32-0600',mode:absolute,to:'2017-09-24T15:49:23-0600'))&amp;_a=(columns:!('Message%20ID',Summary),filters:!(),index:'emp_*',interval:auto,query:(query_string:(analyze_wildcard:!t,query:'%22rtdc.l.rtdc.4059%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25">
      <c r="A92" s="32" t="s">
        <v>725</v>
      </c>
      <c r="B92" s="7">
        <v>4062</v>
      </c>
      <c r="C92" s="21" t="s">
        <v>196</v>
      </c>
      <c r="D92" s="21" t="s">
        <v>348</v>
      </c>
      <c r="E92" s="13">
        <v>43002.556493055556</v>
      </c>
      <c r="F92" s="13">
        <v>43002.562662037039</v>
      </c>
      <c r="G92" s="7">
        <v>48</v>
      </c>
      <c r="H92" s="21" t="s">
        <v>863</v>
      </c>
      <c r="I92" s="13">
        <v>43002.586909722224</v>
      </c>
      <c r="J92" s="7">
        <v>0</v>
      </c>
      <c r="K92" s="89" t="str">
        <f t="shared" si="29"/>
        <v>4061/4062</v>
      </c>
      <c r="L92" s="185" t="str">
        <f>VLOOKUP(A92,'Trips&amp;Operators'!$C$1:$G$99911,5,FALSE)</f>
        <v>GUZMAN DANNY</v>
      </c>
      <c r="M92" s="6">
        <f t="shared" si="30"/>
        <v>2.4247685185400769E-2</v>
      </c>
      <c r="N92" s="7">
        <f t="shared" si="28"/>
        <v>34.916666666977108</v>
      </c>
      <c r="O92" s="7"/>
      <c r="P92" s="7"/>
      <c r="Q92" s="22"/>
      <c r="R92" s="174"/>
      <c r="S92" s="221">
        <f t="shared" si="27"/>
        <v>1</v>
      </c>
      <c r="T92" s="174" t="str">
        <f t="shared" si="31"/>
        <v>NorthBound</v>
      </c>
      <c r="U92" s="198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16" t="str">
        <f t="shared" si="32"/>
        <v>https://d0f6bd738d7f1b3e5a7ca70fe4ff75f0.us-east-1.aws.found.io/app/kibana#/discover/Steve-Slow-Train-Analysis-(2080s-and-2083s)?_g=(refreshInterval:(display:Off,pause:!f,section:0,value:0),time:(from:'2017-09-24T12:21:21-0600',mode:absolute,to:'2017-09-24T15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92" s="204" t="str">
        <f>IF(AA92&lt;VLOOKUP(AG92,Variables!$AC$3:$AD$8,2,FALSE),"Y","N")</f>
        <v>N</v>
      </c>
      <c r="X92" s="204">
        <f t="shared" si="33"/>
        <v>1</v>
      </c>
      <c r="Y92" s="204">
        <f t="shared" si="34"/>
        <v>4.5499999999999999E-2</v>
      </c>
      <c r="Z92" s="204">
        <f t="shared" si="35"/>
        <v>23.327200000000001</v>
      </c>
      <c r="AA92" s="204">
        <f t="shared" si="36"/>
        <v>23.281700000000001</v>
      </c>
      <c r="AB92" s="54" t="e">
        <f>VLOOKUP(A92,Enforcements!$C$7:$K$11,8,0)</f>
        <v>#N/A</v>
      </c>
      <c r="AC92" s="51" t="e">
        <f>VLOOKUP(A92,Enforcements!$C$7:$E$11,3,0)</f>
        <v>#N/A</v>
      </c>
      <c r="AD92" s="179">
        <f t="shared" si="37"/>
        <v>179</v>
      </c>
      <c r="AE92" s="77" t="str">
        <f t="shared" si="38"/>
        <v>aws s3 cp s3://rtdc.mdm.uploadarchive.raw/RTDC4062/ "%USERPROFILE%\AppData\Local\Temp\OnboardLogs"\RTDC4062\2017-09-24 --exclude "*" --recursive --include "*20170924*" &amp; "%USERPROFILE%\Documents\GitHub\mrs-test-scripts\Headless Mode &amp; Sideloading\WalkAndUnGZ.bat" "%USERPROFILE%\AppData\Local\Temp\OnboardLogs"\RTDC4062\2017-09-24 &amp; aws s3 cp s3://rtdc.mdm.uploadarchive.raw/RTDC4062/ "%USERPROFILE%\AppData\Local\Temp\OnboardLogs"\RTDC4062\2017-09-25 --exclude "*" --recursive --include "*20170925*" &amp; "%USERPROFILE%\Documents\GitHub\mrs-test-scripts\Headless Mode &amp; Sideloading\WalkAndUnGZ.bat" "%USERPROFILE%\AppData\Local\Temp\OnboardLogs"\RTDC4062\2017-09-25</v>
      </c>
      <c r="AF92" s="74" t="str">
        <f t="shared" si="39"/>
        <v>"C:\Program Files (x86)\AstroGrep\AstroGrep.exe" /e /r /s /spath="%USERPROFILE%\AppData\Local\Temp\OnboardLogs" /stypes="app*4062*20170924*" /stext=" 20:.+((SYSTEM_STATE.+slice.+state.+changed )|(ment ac)|(multiple cpu faults)|(system.+state.+changed )|(\[timeout)|(PRM\|1\|D)|(kpr)|(kdp)|(train st.+moving)|(\|lc)|(penalty))"</v>
      </c>
      <c r="AG92" s="182" t="str">
        <f t="shared" si="40"/>
        <v>EC</v>
      </c>
      <c r="AH92" s="78" t="str">
        <f t="shared" si="41"/>
        <v>"%USERPROFILE%\Documents\GitHub\eaglep3\Utilities\RefineRTDCRunTimes.py" --tripid 179-24 --locoid 4062 --swversion DE.1.0.9.0 --startMP 204:455 --initTime 2017-09-24T13:21:21 --startdatetime 2017-09-24T13:30:14 --delay 48 --endMP 204:233272 --enddatetime 2017-09-24T14:05:09 --enforcementcount 0 &gt;&gt;c:\users\stu\Documents\GitHub\eaglep3-reporting\EC\2017-09-24-refined-times.txt</v>
      </c>
      <c r="AI92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{"issue":{"subject":"","project_id":79,"tracker_id":40,"status_id":1,"priority_id":2,"assigned_to_id":338,"start_date":"2017-09-24","description":"","custom_fields":[{"id":1,"name":"Subdivision","value":"EC"},{"id":4,"name":"Milepost","value":"23.3272"},{"id":17,"name":"Train ID","value":"179-24"},{"id":16,"name":"Locomotive ID","value":"4062"},{"id":130,"name":"Impact","value":""},{"id":150,"name":"Time of Event (Mountain Time)","value":"14:05:09"},{"id":151,"name":"Denver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2" s="20"/>
      <c r="AK92" s="47"/>
      <c r="AL92" s="47"/>
      <c r="AM92" s="142" t="str">
        <f t="shared" si="43"/>
        <v>start /low /b %USERPROFILE%\Documents\GitHub\eaglep3\Utilities\DownloadLogsFromS3.py --loco 4062 --day 2017-09-24</v>
      </c>
      <c r="AN92" s="151" t="str">
        <f t="shared" si="4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20:05:09"},{"id":29,"name":"Sharepoint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168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Message%20ID',Summary),filters:!(),index:'emp_*',interval:auto,query:"&amp;"(query_string:(analyze_wildcard:!t,query:'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-09-24T12:21:21-0600',mode:absolute,to:'2017-09-24T15:05:09-0600'))&amp;_a=(columns:!('Message%20ID',Summary),filters:!(),index:'emp_*',interval:auto,query:(query_string:(analyze_wildcard:!t,query:'%22rtdc.l.rtdc.4062%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25">
      <c r="A93" s="32" t="s">
        <v>732</v>
      </c>
      <c r="B93" s="7">
        <v>4061</v>
      </c>
      <c r="C93" s="21" t="s">
        <v>196</v>
      </c>
      <c r="D93" s="21" t="s">
        <v>431</v>
      </c>
      <c r="E93" s="13">
        <v>43002.588495370372</v>
      </c>
      <c r="F93" s="13">
        <v>43002.602337962962</v>
      </c>
      <c r="G93" s="7">
        <v>59</v>
      </c>
      <c r="H93" s="21" t="s">
        <v>366</v>
      </c>
      <c r="I93" s="13">
        <v>43002.628206018519</v>
      </c>
      <c r="J93" s="7">
        <v>0</v>
      </c>
      <c r="K93" s="89" t="str">
        <f t="shared" si="29"/>
        <v>4061/4062</v>
      </c>
      <c r="L93" s="185" t="str">
        <f>VLOOKUP(A93,'Trips&amp;Operators'!$C$1:$G$99911,5,FALSE)</f>
        <v>GUZMAN DANNY</v>
      </c>
      <c r="M93" s="6">
        <f t="shared" si="30"/>
        <v>2.5868055556202307E-2</v>
      </c>
      <c r="N93" s="7">
        <f t="shared" si="28"/>
        <v>37.250000000931323</v>
      </c>
      <c r="O93" s="7"/>
      <c r="P93" s="7"/>
      <c r="Q93" s="22"/>
      <c r="R93" s="174"/>
      <c r="S93" s="221">
        <f t="shared" si="27"/>
        <v>1</v>
      </c>
      <c r="T93" s="174" t="str">
        <f t="shared" si="31"/>
        <v>Southbound</v>
      </c>
      <c r="U93" s="198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16" t="str">
        <f t="shared" si="32"/>
        <v>https://d0f6bd738d7f1b3e5a7ca70fe4ff75f0.us-east-1.aws.found.io/app/kibana#/discover/Steve-Slow-Train-Analysis-(2080s-and-2083s)?_g=(refreshInterval:(display:Off,pause:!f,section:0,value:0),time:(from:'2017-09-24T13:07:26-0600',mode:absolute,to:'2017-09-24T16:04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93" s="204" t="str">
        <f>IF(AA93&lt;VLOOKUP(AG93,Variables!$AC$3:$AD$8,2,FALSE),"Y","N")</f>
        <v>N</v>
      </c>
      <c r="X93" s="204">
        <f t="shared" si="33"/>
        <v>1</v>
      </c>
      <c r="Y93" s="204">
        <f t="shared" si="34"/>
        <v>23.297499999999999</v>
      </c>
      <c r="Z93" s="204">
        <f t="shared" si="35"/>
        <v>1.5599999999999999E-2</v>
      </c>
      <c r="AA93" s="204">
        <f t="shared" si="36"/>
        <v>23.2819</v>
      </c>
      <c r="AB93" s="54" t="e">
        <f>VLOOKUP(A93,Enforcements!$C$7:$K$11,8,0)</f>
        <v>#N/A</v>
      </c>
      <c r="AC93" s="51" t="e">
        <f>VLOOKUP(A93,Enforcements!$C$7:$E$11,3,0)</f>
        <v>#N/A</v>
      </c>
      <c r="AD93" s="179">
        <f t="shared" si="37"/>
        <v>180</v>
      </c>
      <c r="AE93" s="77" t="str">
        <f t="shared" si="38"/>
        <v>aws s3 cp s3://rtdc.mdm.uploadarchive.raw/RTDC4061/ "%USERPROFILE%\AppData\Local\Temp\OnboardLogs"\RTDC4061\2017-09-24 --exclude "*" --recursive --include "*20170924*" &amp; "%USERPROFILE%\Documents\GitHub\mrs-test-scripts\Headless Mode &amp; Sideloading\WalkAndUnGZ.bat" "%USERPROFILE%\AppData\Local\Temp\OnboardLogs"\RTDC4061\2017-09-24 &amp; aws s3 cp s3://rtdc.mdm.uploadarchive.raw/RTDC4061/ "%USERPROFILE%\AppData\Local\Temp\OnboardLogs"\RTDC4061\2017-09-25 --exclude "*" --recursive --include "*20170925*" &amp; "%USERPROFILE%\Documents\GitHub\mrs-test-scripts\Headless Mode &amp; Sideloading\WalkAndUnGZ.bat" "%USERPROFILE%\AppData\Local\Temp\OnboardLogs"\RTDC4061\2017-09-25</v>
      </c>
      <c r="AF93" s="74" t="str">
        <f t="shared" si="39"/>
        <v>"C:\Program Files (x86)\AstroGrep\AstroGrep.exe" /e /r /s /spath="%USERPROFILE%\AppData\Local\Temp\OnboardLogs" /stypes="app*4061*20170924*" /stext=" 21:.+((SYSTEM_STATE.+slice.+state.+changed )|(ment ac)|(multiple cpu faults)|(system.+state.+changed )|(\[timeout)|(PRM\|1\|D)|(kpr)|(kdp)|(train st.+moving)|(\|lc)|(penalty))"</v>
      </c>
      <c r="AG93" s="182" t="str">
        <f t="shared" si="40"/>
        <v>EC</v>
      </c>
      <c r="AH93" s="78" t="str">
        <f t="shared" si="41"/>
        <v>"%USERPROFILE%\Documents\GitHub\eaglep3\Utilities\RefineRTDCRunTimes.py" --tripid 180-24 --locoid 4061 --swversion DE.1.0.9.0 --startMP 204:232975 --initTime 2017-09-24T14:07:26 --startdatetime 2017-09-24T14:27:22 --delay 59 --endMP 204:156 --enddatetime 2017-09-24T15:04:37 --enforcementcount 0 &gt;&gt;c:\users\stu\Documents\GitHub\eaglep3-reporting\EC\2017-09-24-refined-times.txt</v>
      </c>
      <c r="AI93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{"issue":{"subject":"","project_id":79,"tracker_id":40,"status_id":1,"priority_id":2,"assigned_to_id":338,"start_date":"2017-09-24","description":"","custom_fields":[{"id":1,"name":"Subdivision","value":"EC"},{"id":4,"name":"Milepost","value":"0.0156"},{"id":17,"name":"Train ID","value":"180-24"},{"id":16,"name":"Locomotive ID","value":"4061"},{"id":130,"name":"Impact","value":""},{"id":150,"name":"Time of Event (Mountain Time)","value":"15:04:37"},{"id":151,"name":"Denver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2" t="str">
        <f t="shared" si="43"/>
        <v>start /low /b %USERPROFILE%\Documents\GitHub\eaglep3\Utilities\DownloadLogsFromS3.py --loco 4061 --day 2017-09-24</v>
      </c>
      <c r="AN93" s="151" t="str">
        <f t="shared" si="4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21:04:37"},{"id":29,"name":"Sharepoint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168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Message%20ID',Summary),filters:!(),index:'emp_*',interval:auto,query:"&amp;"(query_string:(analyze_wildcard:!t,query:'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-09-24T13:07:26-0600',mode:absolute,to:'2017-09-24T16:04:37-0600'))&amp;_a=(columns:!('Message%20ID',Summary),filters:!(),index:'emp_*',interval:auto,query:(query_string:(analyze_wildcard:!t,query:'%22rtdc.l.rtdc.4061%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25">
      <c r="A94" s="32" t="s">
        <v>728</v>
      </c>
      <c r="B94" s="7">
        <v>4066</v>
      </c>
      <c r="C94" s="21" t="s">
        <v>196</v>
      </c>
      <c r="D94" s="21" t="s">
        <v>359</v>
      </c>
      <c r="E94" s="13">
        <v>43002.569201388891</v>
      </c>
      <c r="F94" s="13">
        <v>43002.57309027778</v>
      </c>
      <c r="G94" s="7">
        <v>62</v>
      </c>
      <c r="H94" s="21" t="s">
        <v>430</v>
      </c>
      <c r="I94" s="13">
        <v>43002.598425925928</v>
      </c>
      <c r="J94" s="7">
        <v>0</v>
      </c>
      <c r="K94" s="89" t="str">
        <f t="shared" si="29"/>
        <v>4065/4066</v>
      </c>
      <c r="L94" s="185" t="str">
        <f>VLOOKUP(A94,'Trips&amp;Operators'!$C$1:$G$99911,5,FALSE)</f>
        <v>BADERTSCHER DIANE</v>
      </c>
      <c r="M94" s="6">
        <f t="shared" si="30"/>
        <v>2.5335648148029577E-2</v>
      </c>
      <c r="N94" s="7">
        <f t="shared" si="28"/>
        <v>36.483333333162591</v>
      </c>
      <c r="O94" s="7"/>
      <c r="P94" s="7"/>
      <c r="Q94" s="22"/>
      <c r="R94" s="174"/>
      <c r="S94" s="221">
        <f t="shared" si="27"/>
        <v>1</v>
      </c>
      <c r="T94" s="174" t="str">
        <f t="shared" si="31"/>
        <v>NorthBound</v>
      </c>
      <c r="U94" s="198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16" t="str">
        <f t="shared" si="32"/>
        <v>https://d0f6bd738d7f1b3e5a7ca70fe4ff75f0.us-east-1.aws.found.io/app/kibana#/discover/Steve-Slow-Train-Analysis-(2080s-and-2083s)?_g=(refreshInterval:(display:Off,pause:!f,section:0,value:0),time:(from:'2017-09-24T12:39:39-0600',mode:absolute,to:'2017-09-24T15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94" s="204" t="str">
        <f>IF(AA94&lt;VLOOKUP(AG94,Variables!$AC$3:$AD$8,2,FALSE),"Y","N")</f>
        <v>N</v>
      </c>
      <c r="X94" s="204">
        <f t="shared" si="33"/>
        <v>1</v>
      </c>
      <c r="Y94" s="204">
        <f t="shared" si="34"/>
        <v>4.4900000000000002E-2</v>
      </c>
      <c r="Z94" s="204">
        <f t="shared" si="35"/>
        <v>23.331</v>
      </c>
      <c r="AA94" s="204">
        <f t="shared" si="36"/>
        <v>23.286100000000001</v>
      </c>
      <c r="AB94" s="54" t="e">
        <f>VLOOKUP(A94,Enforcements!$C$7:$K$11,8,0)</f>
        <v>#N/A</v>
      </c>
      <c r="AC94" s="51" t="e">
        <f>VLOOKUP(A94,Enforcements!$C$7:$E$11,3,0)</f>
        <v>#N/A</v>
      </c>
      <c r="AD94" s="179">
        <f t="shared" si="37"/>
        <v>181</v>
      </c>
      <c r="AE94" s="77" t="str">
        <f t="shared" si="38"/>
        <v>aws s3 cp s3://rtdc.mdm.uploadarchive.raw/RTDC4066/ "%USERPROFILE%\AppData\Local\Temp\OnboardLogs"\RTDC4066\2017-09-24 --exclude "*" --recursive --include "*20170924*" &amp; "%USERPROFILE%\Documents\GitHub\mrs-test-scripts\Headless Mode &amp; Sideloading\WalkAndUnGZ.bat" "%USERPROFILE%\AppData\Local\Temp\OnboardLogs"\RTDC4066\2017-09-24 &amp; aws s3 cp s3://rtdc.mdm.uploadarchive.raw/RTDC4066/ "%USERPROFILE%\AppData\Local\Temp\OnboardLogs"\RTDC4066\2017-09-25 --exclude "*" --recursive --include "*20170925*" &amp; "%USERPROFILE%\Documents\GitHub\mrs-test-scripts\Headless Mode &amp; Sideloading\WalkAndUnGZ.bat" "%USERPROFILE%\AppData\Local\Temp\OnboardLogs"\RTDC4066\2017-09-25</v>
      </c>
      <c r="AF94" s="74" t="str">
        <f t="shared" si="39"/>
        <v>"C:\Program Files (x86)\AstroGrep\AstroGrep.exe" /e /r /s /spath="%USERPROFILE%\AppData\Local\Temp\OnboardLogs" /stypes="app*4066*20170924*" /stext=" 20:.+((SYSTEM_STATE.+slice.+state.+changed )|(ment ac)|(multiple cpu faults)|(system.+state.+changed )|(\[timeout)|(PRM\|1\|D)|(kpr)|(kdp)|(train st.+moving)|(\|lc)|(penalty))"</v>
      </c>
      <c r="AG94" s="182" t="str">
        <f t="shared" si="40"/>
        <v>EC</v>
      </c>
      <c r="AH94" s="78" t="str">
        <f t="shared" si="41"/>
        <v>"%USERPROFILE%\Documents\GitHub\eaglep3\Utilities\RefineRTDCRunTimes.py" --tripid 181-24 --locoid 4066 --swversion DE.1.0.9.0 --startMP 204:449 --initTime 2017-09-24T13:39:39 --startdatetime 2017-09-24T13:45:15 --delay 62 --endMP 204:233310 --enddatetime 2017-09-24T14:21:44 --enforcementcount 0 &gt;&gt;c:\users\stu\Documents\GitHub\eaglep3-reporting\EC\2017-09-24-refined-times.txt</v>
      </c>
      <c r="AI94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{"issue":{"subject":"","project_id":79,"tracker_id":40,"status_id":1,"priority_id":2,"assigned_to_id":338,"start_date":"2017-09-24","description":"","custom_fields":[{"id":1,"name":"Subdivision","value":"EC"},{"id":4,"name":"Milepost","value":"23.331"},{"id":17,"name":"Train ID","value":"181-24"},{"id":16,"name":"Locomotive ID","value":"4066"},{"id":130,"name":"Impact","value":""},{"id":150,"name":"Time of Event (Mountain Time)","value":"14:21:44"},{"id":151,"name":"Denver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2" t="str">
        <f t="shared" si="43"/>
        <v>start /low /b %USERPROFILE%\Documents\GitHub\eaglep3\Utilities\DownloadLogsFromS3.py --loco 4066 --day 2017-09-24</v>
      </c>
      <c r="AN94" s="151" t="str">
        <f t="shared" si="4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20:21:44"},{"id":29,"name":"Sharepoint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168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Message%20ID',Summary),filters:!(),index:'emp_*',interval:auto,query:"&amp;"(query_string:(analyze_wildcard:!t,query:'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-09-24T12:39:39-0600',mode:absolute,to:'2017-09-24T15:21:44-0600'))&amp;_a=(columns:!('Message%20ID',Summary),filters:!(),index:'emp_*',interval:auto,query:(query_string:(analyze_wildcard:!t,query:'%22rtdc.l.rtdc.4066%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25">
      <c r="A95" s="32" t="s">
        <v>735</v>
      </c>
      <c r="B95" s="7">
        <v>4065</v>
      </c>
      <c r="C95" s="21" t="s">
        <v>196</v>
      </c>
      <c r="D95" s="21" t="s">
        <v>422</v>
      </c>
      <c r="E95" s="13">
        <v>43002.60628472222</v>
      </c>
      <c r="F95" s="13">
        <v>43002.61310185185</v>
      </c>
      <c r="G95" s="7">
        <v>89</v>
      </c>
      <c r="H95" s="21" t="s">
        <v>341</v>
      </c>
      <c r="I95" s="13">
        <v>43002.639687499999</v>
      </c>
      <c r="J95" s="7">
        <v>0</v>
      </c>
      <c r="K95" s="89" t="str">
        <f t="shared" si="29"/>
        <v>4065/4066</v>
      </c>
      <c r="L95" s="185" t="str">
        <f>VLOOKUP(A95,'Trips&amp;Operators'!$C$1:$G$99911,5,FALSE)</f>
        <v>BADERTSCHER DIANE</v>
      </c>
      <c r="M95" s="6">
        <f t="shared" si="30"/>
        <v>2.658564814919373E-2</v>
      </c>
      <c r="N95" s="7">
        <f t="shared" si="28"/>
        <v>38.283333334838971</v>
      </c>
      <c r="O95" s="7"/>
      <c r="P95" s="7"/>
      <c r="Q95" s="22"/>
      <c r="R95" s="174"/>
      <c r="S95" s="221">
        <f t="shared" si="27"/>
        <v>1</v>
      </c>
      <c r="T95" s="174" t="str">
        <f t="shared" si="31"/>
        <v>Southbound</v>
      </c>
      <c r="U95" s="198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16" t="str">
        <f t="shared" si="32"/>
        <v>https://d0f6bd738d7f1b3e5a7ca70fe4ff75f0.us-east-1.aws.found.io/app/kibana#/discover/Steve-Slow-Train-Analysis-(2080s-and-2083s)?_g=(refreshInterval:(display:Off,pause:!f,section:0,value:0),time:(from:'2017-09-24T13:33:03-0600',mode:absolute,to:'2017-09-24T16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95" s="204" t="str">
        <f>IF(AA95&lt;VLOOKUP(AG95,Variables!$AC$3:$AD$8,2,FALSE),"Y","N")</f>
        <v>N</v>
      </c>
      <c r="X95" s="204">
        <f t="shared" si="33"/>
        <v>1</v>
      </c>
      <c r="Y95" s="204">
        <f t="shared" si="34"/>
        <v>23.299299999999999</v>
      </c>
      <c r="Z95" s="204">
        <f t="shared" si="35"/>
        <v>1.41E-2</v>
      </c>
      <c r="AA95" s="204">
        <f t="shared" si="36"/>
        <v>23.2852</v>
      </c>
      <c r="AB95" s="54" t="e">
        <f>VLOOKUP(A95,Enforcements!$C$7:$K$11,8,0)</f>
        <v>#N/A</v>
      </c>
      <c r="AC95" s="51" t="e">
        <f>VLOOKUP(A95,Enforcements!$C$7:$E$11,3,0)</f>
        <v>#N/A</v>
      </c>
      <c r="AD95" s="179">
        <f t="shared" si="37"/>
        <v>182</v>
      </c>
      <c r="AE95" s="77" t="str">
        <f t="shared" si="38"/>
        <v>aws s3 cp s3://rtdc.mdm.uploadarchive.raw/RTDC4065/ "%USERPROFILE%\AppData\Local\Temp\OnboardLogs"\RTDC4065\2017-09-24 --exclude "*" --recursive --include "*20170924*" &amp; "%USERPROFILE%\Documents\GitHub\mrs-test-scripts\Headless Mode &amp; Sideloading\WalkAndUnGZ.bat" "%USERPROFILE%\AppData\Local\Temp\OnboardLogs"\RTDC4065\2017-09-24 &amp; aws s3 cp s3://rtdc.mdm.uploadarchive.raw/RTDC4065/ "%USERPROFILE%\AppData\Local\Temp\OnboardLogs"\RTDC4065\2017-09-25 --exclude "*" --recursive --include "*20170925*" &amp; "%USERPROFILE%\Documents\GitHub\mrs-test-scripts\Headless Mode &amp; Sideloading\WalkAndUnGZ.bat" "%USERPROFILE%\AppData\Local\Temp\OnboardLogs"\RTDC4065\2017-09-25</v>
      </c>
      <c r="AF95" s="74" t="str">
        <f t="shared" si="39"/>
        <v>"C:\Program Files (x86)\AstroGrep\AstroGrep.exe" /e /r /s /spath="%USERPROFILE%\AppData\Local\Temp\OnboardLogs" /stypes="app*4065*20170924*" /stext=" 21:.+((SYSTEM_STATE.+slice.+state.+changed )|(ment ac)|(multiple cpu faults)|(system.+state.+changed )|(\[timeout)|(PRM\|1\|D)|(kpr)|(kdp)|(train st.+moving)|(\|lc)|(penalty))"</v>
      </c>
      <c r="AG95" s="182" t="str">
        <f t="shared" si="40"/>
        <v>EC</v>
      </c>
      <c r="AH95" s="78" t="str">
        <f t="shared" si="41"/>
        <v>"%USERPROFILE%\Documents\GitHub\eaglep3\Utilities\RefineRTDCRunTimes.py" --tripid 182-24 --locoid 4065 --swversion DE.1.0.9.0 --startMP 204:232993 --initTime 2017-09-24T14:33:03 --startdatetime 2017-09-24T14:42:52 --delay 89 --endMP 204:141 --enddatetime 2017-09-24T15:21:09 --enforcementcount 0 &gt;&gt;c:\users\stu\Documents\GitHub\eaglep3-reporting\EC\2017-09-24-refined-times.txt</v>
      </c>
      <c r="AI95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{"issue":{"subject":"","project_id":79,"tracker_id":40,"status_id":1,"priority_id":2,"assigned_to_id":338,"start_date":"2017-09-24","description":"","custom_fields":[{"id":1,"name":"Subdivision","value":"EC"},{"id":4,"name":"Milepost","value":"0.0141"},{"id":17,"name":"Train ID","value":"182-24"},{"id":16,"name":"Locomotive ID","value":"4065"},{"id":130,"name":"Impact","value":""},{"id":150,"name":"Time of Event (Mountain Time)","value":"15:21:09"},{"id":151,"name":"Denver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5" s="20"/>
      <c r="AK95" s="47"/>
      <c r="AL95" s="47"/>
      <c r="AM95" s="142" t="str">
        <f t="shared" si="43"/>
        <v>start /low /b %USERPROFILE%\Documents\GitHub\eaglep3\Utilities\DownloadLogsFromS3.py --loco 4065 --day 2017-09-24</v>
      </c>
      <c r="AN95" s="151" t="str">
        <f t="shared" si="4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21:21:09"},{"id":29,"name":"Sharepoint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168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Message%20ID',Summary),filters:!(),index:'emp_*',interval:auto,query:"&amp;"(query_string:(analyze_wildcard:!t,query:'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-09-24T13:33:03-0600',mode:absolute,to:'2017-09-24T16:21:09-0600'))&amp;_a=(columns:!('Message%20ID',Summary),filters:!(),index:'emp_*',interval:auto,query:(query_string:(analyze_wildcard:!t,query:'%22rtdc.l.rtdc.4065%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25">
      <c r="A96" s="32" t="s">
        <v>730</v>
      </c>
      <c r="B96" s="7">
        <v>4024</v>
      </c>
      <c r="C96" s="21" t="s">
        <v>196</v>
      </c>
      <c r="D96" s="21" t="s">
        <v>373</v>
      </c>
      <c r="E96" s="13">
        <v>43002.580011574071</v>
      </c>
      <c r="F96" s="13">
        <v>43002.583506944444</v>
      </c>
      <c r="G96" s="7">
        <v>81</v>
      </c>
      <c r="H96" s="21" t="s">
        <v>910</v>
      </c>
      <c r="I96" s="13">
        <v>43002.608506944445</v>
      </c>
      <c r="J96" s="7">
        <v>0</v>
      </c>
      <c r="K96" s="89" t="str">
        <f t="shared" si="29"/>
        <v>4023/4024</v>
      </c>
      <c r="L96" s="185" t="str">
        <f>VLOOKUP(A96,'Trips&amp;Operators'!$C$1:$G$99911,5,FALSE)</f>
        <v>BERLING GARY</v>
      </c>
      <c r="M96" s="6">
        <f t="shared" si="30"/>
        <v>2.5000000001455192E-2</v>
      </c>
      <c r="N96" s="7">
        <f t="shared" si="28"/>
        <v>36.000000002095476</v>
      </c>
      <c r="O96" s="7"/>
      <c r="P96" s="7"/>
      <c r="Q96" s="22"/>
      <c r="R96" s="174"/>
      <c r="S96" s="221">
        <f t="shared" si="27"/>
        <v>1</v>
      </c>
      <c r="T96" s="174" t="str">
        <f t="shared" si="31"/>
        <v>NorthBound</v>
      </c>
      <c r="U96" s="198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16" t="str">
        <f t="shared" si="32"/>
        <v>https://d0f6bd738d7f1b3e5a7ca70fe4ff75f0.us-east-1.aws.found.io/app/kibana#/discover/Steve-Slow-Train-Analysis-(2080s-and-2083s)?_g=(refreshInterval:(display:Off,pause:!f,section:0,value:0),time:(from:'2017-09-24T12:55:13-0600',mode:absolute,to:'2017-09-24T15:36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6" s="204" t="str">
        <f>IF(AA96&lt;VLOOKUP(AG96,Variables!$AC$3:$AD$8,2,FALSE),"Y","N")</f>
        <v>N</v>
      </c>
      <c r="X96" s="204">
        <f t="shared" si="33"/>
        <v>1</v>
      </c>
      <c r="Y96" s="204">
        <f t="shared" si="34"/>
        <v>4.4200000000000003E-2</v>
      </c>
      <c r="Z96" s="204">
        <f t="shared" si="35"/>
        <v>23.3324</v>
      </c>
      <c r="AA96" s="204">
        <f t="shared" si="36"/>
        <v>23.2882</v>
      </c>
      <c r="AB96" s="54" t="e">
        <f>VLOOKUP(A96,Enforcements!$C$7:$K$11,8,0)</f>
        <v>#N/A</v>
      </c>
      <c r="AC96" s="51" t="e">
        <f>VLOOKUP(A96,Enforcements!$C$7:$E$11,3,0)</f>
        <v>#N/A</v>
      </c>
      <c r="AD96" s="179">
        <f t="shared" si="37"/>
        <v>183</v>
      </c>
      <c r="AE96" s="77" t="str">
        <f t="shared" si="38"/>
        <v>aws s3 cp s3://rtdc.mdm.uploadarchive.raw/RTDC4024/ "%USERPROFILE%\AppData\Local\Temp\OnboardLogs"\RTDC4024\2017-09-24 --exclude "*" --recursive --include "*20170924*" &amp; "%USERPROFILE%\Documents\GitHub\mrs-test-scripts\Headless Mode &amp; Sideloading\WalkAndUnGZ.bat" "%USERPROFILE%\AppData\Local\Temp\OnboardLogs"\RTDC4024\2017-09-24 &amp; aws s3 cp s3://rtdc.mdm.uploadarchive.raw/RTDC4024/ "%USERPROFILE%\AppData\Local\Temp\OnboardLogs"\RTDC4024\2017-09-25 --exclude "*" --recursive --include "*20170925*" &amp; "%USERPROFILE%\Documents\GitHub\mrs-test-scripts\Headless Mode &amp; Sideloading\WalkAndUnGZ.bat" "%USERPROFILE%\AppData\Local\Temp\OnboardLogs"\RTDC4024\2017-09-25</v>
      </c>
      <c r="AF96" s="74" t="str">
        <f t="shared" si="39"/>
        <v>"C:\Program Files (x86)\AstroGrep\AstroGrep.exe" /e /r /s /spath="%USERPROFILE%\AppData\Local\Temp\OnboardLogs" /stypes="app*4024*20170924*" /stext=" 20:.+((SYSTEM_STATE.+slice.+state.+changed )|(ment ac)|(multiple cpu faults)|(system.+state.+changed )|(\[timeout)|(PRM\|1\|D)|(kpr)|(kdp)|(train st.+moving)|(\|lc)|(penalty))"</v>
      </c>
      <c r="AG96" s="182" t="str">
        <f t="shared" si="40"/>
        <v>EC</v>
      </c>
      <c r="AH96" s="78" t="str">
        <f t="shared" si="41"/>
        <v>"%USERPROFILE%\Documents\GitHub\eaglep3\Utilities\RefineRTDCRunTimes.py" --tripid 183-24 --locoid 4024 --swversion DE.1.0.9.0 --startMP 204:442 --initTime 2017-09-24T13:55:13 --startdatetime 2017-09-24T14:00:15 --delay 81 --endMP 204:233324 --enddatetime 2017-09-24T14:36:15 --enforcementcount 0 &gt;&gt;c:\users\stu\Documents\GitHub\eaglep3-reporting\EC\2017-09-24-refined-times.txt</v>
      </c>
      <c r="AI96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{"issue":{"subject":"","project_id":79,"tracker_id":40,"status_id":1,"priority_id":2,"assigned_to_id":338,"start_date":"2017-09-24","description":"","custom_fields":[{"id":1,"name":"Subdivision","value":"EC"},{"id":4,"name":"Milepost","value":"23.3324"},{"id":17,"name":"Train ID","value":"183-24"},{"id":16,"name":"Locomotive ID","value":"4024"},{"id":130,"name":"Impact","value":""},{"id":150,"name":"Time of Event (Mountain Time)","value":"14:36:15"},{"id":151,"name":"Denver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6" s="20"/>
      <c r="AK96" s="47"/>
      <c r="AL96" s="47"/>
      <c r="AM96" s="142" t="str">
        <f t="shared" si="43"/>
        <v>start /low /b %USERPROFILE%\Documents\GitHub\eaglep3\Utilities\DownloadLogsFromS3.py --loco 4024 --day 2017-09-24</v>
      </c>
      <c r="AN96" s="151" t="str">
        <f t="shared" si="4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20:36:15"},{"id":29,"name":"Sharepoint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168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Message%20ID',Summary),filters:!(),index:'emp_*',interval:auto,query:"&amp;"(query_string:(analyze_wildcard:!t,query:'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-09-24T12:55:13-0600',mode:absolute,to:'2017-09-24T15:36:15-0600'))&amp;_a=(columns:!('Message%20ID',Summary),filters:!(),index:'emp_*',interval:auto,query:(query_string:(analyze_wildcard:!t,query:'%22rtdc.l.rtdc.4024%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25">
      <c r="A97" s="32" t="s">
        <v>738</v>
      </c>
      <c r="B97" s="7">
        <v>4023</v>
      </c>
      <c r="C97" s="21" t="s">
        <v>196</v>
      </c>
      <c r="D97" s="21" t="s">
        <v>447</v>
      </c>
      <c r="E97" s="13">
        <v>43002.617534722223</v>
      </c>
      <c r="F97" s="13">
        <v>43002.623182870368</v>
      </c>
      <c r="G97" s="7">
        <v>96</v>
      </c>
      <c r="H97" s="21" t="s">
        <v>364</v>
      </c>
      <c r="I97" s="13">
        <v>43002.648969907408</v>
      </c>
      <c r="J97" s="7">
        <v>0</v>
      </c>
      <c r="K97" s="89" t="str">
        <f t="shared" si="29"/>
        <v>4023/4024</v>
      </c>
      <c r="L97" s="185" t="str">
        <f>VLOOKUP(A97,'Trips&amp;Operators'!$C$1:$G$99911,5,FALSE)</f>
        <v>BERLING GARY</v>
      </c>
      <c r="M97" s="6">
        <f t="shared" si="30"/>
        <v>2.5787037040572613E-2</v>
      </c>
      <c r="N97" s="7">
        <f t="shared" si="28"/>
        <v>37.133333338424563</v>
      </c>
      <c r="O97" s="7"/>
      <c r="P97" s="7"/>
      <c r="Q97" s="22"/>
      <c r="R97" s="174"/>
      <c r="S97" s="221">
        <f t="shared" si="27"/>
        <v>1</v>
      </c>
      <c r="T97" s="174" t="str">
        <f t="shared" si="31"/>
        <v>Southbound</v>
      </c>
      <c r="U97" s="198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16" t="str">
        <f t="shared" si="32"/>
        <v>https://d0f6bd738d7f1b3e5a7ca70fe4ff75f0.us-east-1.aws.found.io/app/kibana#/discover/Steve-Slow-Train-Analysis-(2080s-and-2083s)?_g=(refreshInterval:(display:Off,pause:!f,section:0,value:0),time:(from:'2017-09-24T13:49:15-0600',mode:absolute,to:'2017-09-24T16:34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97" s="204" t="str">
        <f>IF(AA97&lt;VLOOKUP(AG97,Variables!$AC$3:$AD$8,2,FALSE),"Y","N")</f>
        <v>N</v>
      </c>
      <c r="X97" s="204">
        <f t="shared" si="33"/>
        <v>1</v>
      </c>
      <c r="Y97" s="204">
        <f t="shared" si="34"/>
        <v>23.298400000000001</v>
      </c>
      <c r="Z97" s="204">
        <f t="shared" si="35"/>
        <v>1.38E-2</v>
      </c>
      <c r="AA97" s="204">
        <f t="shared" si="36"/>
        <v>23.284600000000001</v>
      </c>
      <c r="AB97" s="54" t="e">
        <f>VLOOKUP(A97,Enforcements!$C$7:$K$11,8,0)</f>
        <v>#N/A</v>
      </c>
      <c r="AC97" s="51" t="e">
        <f>VLOOKUP(A97,Enforcements!$C$7:$E$11,3,0)</f>
        <v>#N/A</v>
      </c>
      <c r="AD97" s="179">
        <f t="shared" si="37"/>
        <v>184</v>
      </c>
      <c r="AE97" s="77" t="str">
        <f t="shared" si="38"/>
        <v>aws s3 cp s3://rtdc.mdm.uploadarchive.raw/RTDC4023/ "%USERPROFILE%\AppData\Local\Temp\OnboardLogs"\RTDC4023\2017-09-24 --exclude "*" --recursive --include "*20170924*" &amp; "%USERPROFILE%\Documents\GitHub\mrs-test-scripts\Headless Mode &amp; Sideloading\WalkAndUnGZ.bat" "%USERPROFILE%\AppData\Local\Temp\OnboardLogs"\RTDC4023\2017-09-24 &amp; aws s3 cp s3://rtdc.mdm.uploadarchive.raw/RTDC4023/ "%USERPROFILE%\AppData\Local\Temp\OnboardLogs"\RTDC4023\2017-09-25 --exclude "*" --recursive --include "*20170925*" &amp; "%USERPROFILE%\Documents\GitHub\mrs-test-scripts\Headless Mode &amp; Sideloading\WalkAndUnGZ.bat" "%USERPROFILE%\AppData\Local\Temp\OnboardLogs"\RTDC4023\2017-09-25</v>
      </c>
      <c r="AF97" s="74" t="str">
        <f t="shared" si="39"/>
        <v>"C:\Program Files (x86)\AstroGrep\AstroGrep.exe" /e /r /s /spath="%USERPROFILE%\AppData\Local\Temp\OnboardLogs" /stypes="app*4023*20170924*" /stext=" 21:.+((SYSTEM_STATE.+slice.+state.+changed )|(ment ac)|(multiple cpu faults)|(system.+state.+changed )|(\[timeout)|(PRM\|1\|D)|(kpr)|(kdp)|(train st.+moving)|(\|lc)|(penalty))"</v>
      </c>
      <c r="AG97" s="182" t="str">
        <f t="shared" si="40"/>
        <v>EC</v>
      </c>
      <c r="AH97" s="78" t="str">
        <f t="shared" si="41"/>
        <v>"%USERPROFILE%\Documents\GitHub\eaglep3\Utilities\RefineRTDCRunTimes.py" --tripid 184-24 --locoid 4023 --swversion DE.1.0.9.0 --startMP 204:232984 --initTime 2017-09-24T14:49:15 --startdatetime 2017-09-24T14:57:23 --delay 96 --endMP 204:138 --enddatetime 2017-09-24T15:34:31 --enforcementcount 0 &gt;&gt;c:\users\stu\Documents\GitHub\eaglep3-reporting\EC\2017-09-24-refined-times.txt</v>
      </c>
      <c r="AI97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{"issue":{"subject":"","project_id":79,"tracker_id":40,"status_id":1,"priority_id":2,"assigned_to_id":338,"start_date":"2017-09-24","description":"","custom_fields":[{"id":1,"name":"Subdivision","value":"EC"},{"id":4,"name":"Milepost","value":"0.0138"},{"id":17,"name":"Train ID","value":"184-24"},{"id":16,"name":"Locomotive ID","value":"4023"},{"id":130,"name":"Impact","value":""},{"id":150,"name":"Time of Event (Mountain Time)","value":"15:34:31"},{"id":151,"name":"Denver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7" s="20"/>
      <c r="AK97" s="47"/>
      <c r="AL97" s="47"/>
      <c r="AM97" s="142" t="str">
        <f t="shared" si="43"/>
        <v>start /low /b %USERPROFILE%\Documents\GitHub\eaglep3\Utilities\DownloadLogsFromS3.py --loco 4023 --day 2017-09-24</v>
      </c>
      <c r="AN97" s="151" t="str">
        <f t="shared" si="4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21:34:31"},{"id":29,"name":"Sharepoint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168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Message%20ID',Summary),filters:!(),index:'emp_*',interval:auto,query:"&amp;"(query_string:(analyze_wildcard:!t,query:'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-09-24T13:49:15-0600',mode:absolute,to:'2017-09-24T16:34:31-0600'))&amp;_a=(columns:!('Message%20ID',Summary),filters:!(),index:'emp_*',interval:auto,query:(query_string:(analyze_wildcard:!t,query:'%22rtdc.l.rtdc.4023%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x14ac:dyDescent="0.25">
      <c r="A98" s="32" t="s">
        <v>733</v>
      </c>
      <c r="B98" s="7">
        <v>4064</v>
      </c>
      <c r="C98" s="21" t="s">
        <v>196</v>
      </c>
      <c r="D98" s="21" t="s">
        <v>376</v>
      </c>
      <c r="E98" s="13">
        <v>43002.589398148149</v>
      </c>
      <c r="F98" s="13">
        <v>43002.593993055554</v>
      </c>
      <c r="G98" s="7">
        <v>76</v>
      </c>
      <c r="H98" s="21" t="s">
        <v>430</v>
      </c>
      <c r="I98" s="13">
        <v>43002.618657407409</v>
      </c>
      <c r="J98" s="7">
        <v>0</v>
      </c>
      <c r="K98" s="89" t="str">
        <f t="shared" si="29"/>
        <v>4063/4064</v>
      </c>
      <c r="L98" s="185" t="str">
        <f>VLOOKUP(A98,'Trips&amp;Operators'!$C$1:$G$99911,5,FALSE)</f>
        <v>RESPASS AARON</v>
      </c>
      <c r="M98" s="6">
        <f t="shared" si="30"/>
        <v>2.4664351854880806E-2</v>
      </c>
      <c r="N98" s="7">
        <f t="shared" si="28"/>
        <v>35.516666671028361</v>
      </c>
      <c r="O98" s="7"/>
      <c r="P98" s="7"/>
      <c r="Q98" s="22"/>
      <c r="R98" s="174"/>
      <c r="S98" s="221">
        <f t="shared" si="27"/>
        <v>1</v>
      </c>
      <c r="T98" s="174" t="str">
        <f t="shared" si="31"/>
        <v>NorthBound</v>
      </c>
      <c r="U98" s="198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16" t="str">
        <f t="shared" si="32"/>
        <v>https://d0f6bd738d7f1b3e5a7ca70fe4ff75f0.us-east-1.aws.found.io/app/kibana#/discover/Steve-Slow-Train-Analysis-(2080s-and-2083s)?_g=(refreshInterval:(display:Off,pause:!f,section:0,value:0),time:(from:'2017-09-24T13:08:44-0600',mode:absolute,to:'2017-09-24T15:50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8" s="204" t="str">
        <f>IF(AA98&lt;VLOOKUP(AG98,Variables!$AC$3:$AD$8,2,FALSE),"Y","N")</f>
        <v>N</v>
      </c>
      <c r="X98" s="204">
        <f t="shared" si="33"/>
        <v>1</v>
      </c>
      <c r="Y98" s="204">
        <f t="shared" si="34"/>
        <v>4.5999999999999999E-2</v>
      </c>
      <c r="Z98" s="204">
        <f t="shared" si="35"/>
        <v>23.331</v>
      </c>
      <c r="AA98" s="204">
        <f t="shared" si="36"/>
        <v>23.285</v>
      </c>
      <c r="AB98" s="54" t="e">
        <f>VLOOKUP(A98,Enforcements!$C$7:$K$11,8,0)</f>
        <v>#N/A</v>
      </c>
      <c r="AC98" s="51" t="e">
        <f>VLOOKUP(A98,Enforcements!$C$7:$E$11,3,0)</f>
        <v>#N/A</v>
      </c>
      <c r="AD98" s="179">
        <f t="shared" si="37"/>
        <v>185</v>
      </c>
      <c r="AE98" s="77" t="str">
        <f t="shared" si="38"/>
        <v>aws s3 cp s3://rtdc.mdm.uploadarchive.raw/RTDC4064/ "%USERPROFILE%\AppData\Local\Temp\OnboardLogs"\RTDC4064\2017-09-24 --exclude "*" --recursive --include "*20170924*" &amp; "%USERPROFILE%\Documents\GitHub\mrs-test-scripts\Headless Mode &amp; Sideloading\WalkAndUnGZ.bat" "%USERPROFILE%\AppData\Local\Temp\OnboardLogs"\RTDC4064\2017-09-24 &amp; aws s3 cp s3://rtdc.mdm.uploadarchive.raw/RTDC4064/ "%USERPROFILE%\AppData\Local\Temp\OnboardLogs"\RTDC4064\2017-09-25 --exclude "*" --recursive --include "*20170925*" &amp; "%USERPROFILE%\Documents\GitHub\mrs-test-scripts\Headless Mode &amp; Sideloading\WalkAndUnGZ.bat" "%USERPROFILE%\AppData\Local\Temp\OnboardLogs"\RTDC4064\2017-09-25</v>
      </c>
      <c r="AF98" s="74" t="str">
        <f t="shared" si="39"/>
        <v>"C:\Program Files (x86)\AstroGrep\AstroGrep.exe" /e /r /s /spath="%USERPROFILE%\AppData\Local\Temp\OnboardLogs" /stypes="app*4064*20170924*" /stext=" 20:.+((SYSTEM_STATE.+slice.+state.+changed )|(ment ac)|(multiple cpu faults)|(system.+state.+changed )|(\[timeout)|(PRM\|1\|D)|(kpr)|(kdp)|(train st.+moving)|(\|lc)|(penalty))"</v>
      </c>
      <c r="AG98" s="182" t="str">
        <f t="shared" si="40"/>
        <v>EC</v>
      </c>
      <c r="AH98" s="78" t="str">
        <f t="shared" si="41"/>
        <v>"%USERPROFILE%\Documents\GitHub\eaglep3\Utilities\RefineRTDCRunTimes.py" --tripid 185-24 --locoid 4064 --swversion DE.1.0.9.0 --startMP 204:460 --initTime 2017-09-24T14:08:44 --startdatetime 2017-09-24T14:15:21 --delay 76 --endMP 204:233310 --enddatetime 2017-09-24T14:50:52 --enforcementcount 0 &gt;&gt;c:\users\stu\Documents\GitHub\eaglep3-reporting\EC\2017-09-24-refined-times.txt</v>
      </c>
      <c r="AI98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{"issue":{"subject":"","project_id":79,"tracker_id":40,"status_id":1,"priority_id":2,"assigned_to_id":338,"start_date":"2017-09-24","description":"","custom_fields":[{"id":1,"name":"Subdivision","value":"EC"},{"id":4,"name":"Milepost","value":"23.331"},{"id":17,"name":"Train ID","value":"185-24"},{"id":16,"name":"Locomotive ID","value":"4064"},{"id":130,"name":"Impact","value":""},{"id":150,"name":"Time of Event (Mountain Time)","value":"14:50:52"},{"id":151,"name":"Denver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98" s="20"/>
      <c r="AK98" s="47"/>
      <c r="AL98" s="47"/>
      <c r="AM98" s="142" t="str">
        <f t="shared" si="43"/>
        <v>start /low /b %USERPROFILE%\Documents\GitHub\eaglep3\Utilities\DownloadLogsFromS3.py --loco 4064 --day 2017-09-24</v>
      </c>
      <c r="AN98" s="151" t="str">
        <f t="shared" si="4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20:50:52"},{"id":29,"name":"Sharepoint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168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Message%20ID',Summary),filters:!(),index:'emp_*',interval:auto,query:"&amp;"(query_string:(analyze_wildcard:!t,query:'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-09-24T13:08:44-0600',mode:absolute,to:'2017-09-24T15:50:52-0600'))&amp;_a=(columns:!('Message%20ID',Summary),filters:!(),index:'emp_*',interval:auto,query:(query_string:(analyze_wildcard:!t,query:'%22rtdc.l.rtdc.4064%22')),sort:!(Time.ISO8601,asc))</v>
      </c>
    </row>
    <row r="99" spans="1:91" s="20" customFormat="1" x14ac:dyDescent="0.25">
      <c r="A99" s="32" t="s">
        <v>598</v>
      </c>
      <c r="B99" s="7">
        <v>4063</v>
      </c>
      <c r="C99" s="21" t="s">
        <v>196</v>
      </c>
      <c r="D99" s="21" t="s">
        <v>376</v>
      </c>
      <c r="E99" s="13">
        <v>43002.589398148149</v>
      </c>
      <c r="F99" s="13">
        <v>43002.633506944447</v>
      </c>
      <c r="G99" s="7">
        <v>76</v>
      </c>
      <c r="H99" s="21" t="s">
        <v>430</v>
      </c>
      <c r="I99" s="13">
        <v>43002.660115740742</v>
      </c>
      <c r="J99" s="7">
        <v>0</v>
      </c>
      <c r="K99" s="89" t="str">
        <f t="shared" si="29"/>
        <v>4063/4064</v>
      </c>
      <c r="L99" s="185" t="str">
        <f>VLOOKUP(A99,'Trips&amp;Operators'!$C$1:$G$99911,5,FALSE)</f>
        <v>RESPASS AARON</v>
      </c>
      <c r="M99" s="6">
        <f t="shared" si="30"/>
        <v>2.6608796295477077E-2</v>
      </c>
      <c r="N99" s="7">
        <f t="shared" si="28"/>
        <v>38.316666665486991</v>
      </c>
      <c r="O99" s="7"/>
      <c r="P99" s="7"/>
      <c r="Q99" s="22"/>
      <c r="R99" s="174"/>
      <c r="S99" s="221">
        <f t="shared" si="27"/>
        <v>1</v>
      </c>
      <c r="T99" s="174" t="str">
        <f t="shared" si="31"/>
        <v>Southbound</v>
      </c>
      <c r="U99" s="198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16" t="str">
        <f t="shared" si="32"/>
        <v>https://d0f6bd738d7f1b3e5a7ca70fe4ff75f0.us-east-1.aws.found.io/app/kibana#/discover/Steve-Slow-Train-Analysis-(2080s-and-2083s)?_g=(refreshInterval:(display:Off,pause:!f,section:0,value:0),time:(from:'2017-09-24T13:08:44-0600',mode:absolute,to:'2017-09-24T16:50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99" s="204" t="str">
        <f>IF(AA99&lt;VLOOKUP(AG99,Variables!$AC$3:$AD$8,2,FALSE),"Y","N")</f>
        <v>N</v>
      </c>
      <c r="X99" s="204">
        <f t="shared" ref="X99:X100" si="45">VALUE(LEFT(AD99,4))-VALUE(LEFT(AD98,4))</f>
        <v>1</v>
      </c>
      <c r="Y99" s="204">
        <v>23.298400000000001</v>
      </c>
      <c r="Z99" s="204">
        <v>1.38E-2</v>
      </c>
      <c r="AA99" s="204">
        <f t="shared" si="36"/>
        <v>23.284600000000001</v>
      </c>
      <c r="AB99" s="54" t="e">
        <f>VLOOKUP(A99,Enforcements!$C$7:$K$11,8,0)</f>
        <v>#N/A</v>
      </c>
      <c r="AC99" s="51" t="e">
        <f>VLOOKUP(A99,Enforcements!$C$7:$E$11,3,0)</f>
        <v>#N/A</v>
      </c>
      <c r="AD99" s="179">
        <f t="shared" si="37"/>
        <v>186</v>
      </c>
      <c r="AE99" s="77" t="str">
        <f t="shared" si="38"/>
        <v>aws s3 cp s3://rtdc.mdm.uploadarchive.raw/RTDC4063/ "%USERPROFILE%\AppData\Local\Temp\OnboardLogs"\RTDC4063\2017-09-24 --exclude "*" --recursive --include "*20170924*" &amp; "%USERPROFILE%\Documents\GitHub\mrs-test-scripts\Headless Mode &amp; Sideloading\WalkAndUnGZ.bat" "%USERPROFILE%\AppData\Local\Temp\OnboardLogs"\RTDC4063\2017-09-24 &amp; aws s3 cp s3://rtdc.mdm.uploadarchive.raw/RTDC4063/ "%USERPROFILE%\AppData\Local\Temp\OnboardLogs"\RTDC4063\2017-09-25 --exclude "*" --recursive --include "*20170925*" &amp; "%USERPROFILE%\Documents\GitHub\mrs-test-scripts\Headless Mode &amp; Sideloading\WalkAndUnGZ.bat" "%USERPROFILE%\AppData\Local\Temp\OnboardLogs"\RTDC4063\2017-09-25</v>
      </c>
      <c r="AF99" s="74" t="str">
        <f t="shared" si="39"/>
        <v>"C:\Program Files (x86)\AstroGrep\AstroGrep.exe" /e /r /s /spath="%USERPROFILE%\AppData\Local\Temp\OnboardLogs" /stypes="app*4063*20170924*" /stext=" 21:.+((SYSTEM_STATE.+slice.+state.+changed )|(ment ac)|(multiple cpu faults)|(system.+state.+changed )|(\[timeout)|(PRM\|1\|D)|(kpr)|(kdp)|(train st.+moving)|(\|lc)|(penalty))"</v>
      </c>
      <c r="AG99" s="182" t="str">
        <f t="shared" si="40"/>
        <v>EC</v>
      </c>
      <c r="AH99" s="78" t="str">
        <f t="shared" ref="AH99" si="46">refinertdcruntimes&amp;" --tripid "&amp;A99&amp;" --locoid "&amp;B99&amp;" --swversion "&amp;C99&amp;" --startMP "&amp;D99&amp;" --initTime "&amp;TEXT(E99,"yyyy-mm-ddTHH:MM:SS")&amp;" --startdatetime "&amp;TEXT(F99,"yyyy-mm-ddTHH:MM:SS")&amp;" --delay "&amp;G99&amp;" --endMP "&amp;H99&amp;" --enddatetime "&amp;TEXT(I99,"yyyy-mm-ddTHH:MM:SS")&amp;" --enforcementcount "&amp;J99&amp;IF(outputrefinedruntimes," &gt;&gt;"&amp;RefinedRTDCRunTimesOutputFile,"")</f>
        <v>"%USERPROFILE%\Documents\GitHub\eaglep3\Utilities\RefineRTDCRunTimes.py" --tripid 186-24 --locoid 4063 --swversion DE.1.0.9.0 --startMP 204:460 --initTime 2017-09-24T14:08:44 --startdatetime 2017-09-24T15:12:15 --delay 76 --endMP 204:233310 --enddatetime 2017-09-24T15:50:34 --enforcementcount 0 &gt;&gt;c:\users\stu\Documents\GitHub\eaglep3-reporting\EC\2017-09-24-refined-times.txt</v>
      </c>
      <c r="AI99" s="96" t="str">
        <f t="shared" ref="AI99" si="47">"echo {""issue"":{""subject"":"""&amp;R99&amp;""",""project_id"":79,""tracker_id"":40,""status_id"":"&amp;redmine_status&amp;",""priority_id"":"&amp;redmine_priority&amp;",""assigned_to_id"":"&amp;redmine_assignee&amp;",""start_date"":"""&amp;TEXT(I99,"YYYY-mm-dd")&amp;""",""description"":"""&amp;AJ99&amp;""",""custom_fields"":[{""id"":1,""name"":""Subdivision"",""value"":"""&amp;AG99&amp;"""},{""id"":4,""name"":""Milepost"",""value"":"""&amp;Z99&amp;"""},{""id"":17,""name"":""Train ID"",""value"":"""&amp;A99&amp;"""},{""id"":16,""name"":""Locomotive ID"",""value"":"""&amp;B99&amp;"""},{""id"":130,""name"":""Impact"",""value"":"""&amp;AK99&amp;"""},{""id"":150,""name"":""Time of Event (Mountain Time)"",""value"":"""&amp;TEXT(I99,"hh:mm:ss")&amp;"""},{""id"":151,""name"":""Denver Issue ID"",""value"":"""&amp;"""},{""id"":178,""name"":""Operational Impact"",""value"":"""&amp;redmine_op_impact&amp;"""},{""id"":179,""name"":""Denver Segment Assigned"",""value"":"""&amp;AL99&amp;"""}]}}"&amp;"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{"issue":{"subject":"","project_id":79,"tracker_id":40,"status_id":1,"priority_id":2,"assigned_to_id":338,"start_date":"2017-09-24","description":"","custom_fields":[{"id":1,"name":"Subdivision","value":"EC"},{"id":4,"name":"Milepost","value":"0.0138"},{"id":17,"name":"Train ID","value":"186-24"},{"id":16,"name":"Locomotive ID","value":"4063"},{"id":130,"name":"Impact","value":""},{"id":150,"name":"Time of Event (Mountain Time)","value":"15:50:34"},{"id":151,"name":"Denver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99" s="47"/>
      <c r="AL99" s="47"/>
      <c r="AM99" s="142" t="str">
        <f t="shared" ref="AM99" si="48">"start /low /b "&amp;dls3logs&amp;" --loco "&amp;B99&amp;" --day "&amp;TEXT(F99,"YYYY-MM-DD")</f>
        <v>start /low /b %USERPROFILE%\Documents\GitHub\eaglep3\Utilities\DownloadLogsFromS3.py --loco 4063 --day 2017-09-24</v>
      </c>
      <c r="AN99" s="151" t="str">
        <f t="shared" ref="AN99" si="49">"echo {""issue"":{""subject"":"""&amp;R99&amp;""",""project_id"":30,""tracker_id"":4,""status_id"":"&amp;redmine_status_wcr&amp;",""priority_id"":"&amp;redmine_priority_wcr&amp;",""assigned_to_id"":"&amp;redmine_assignee_wcr&amp;",""start_date"":"""&amp;TEXT(I99-utc_offset/24,"YYYY-mm-dd")&amp;""",""description"":"""&amp;AJ99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ID"",""value"":"""&amp;B99&amp;"""},{""id"":20,""name"":""RR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UTC"",""value"":"""&amp;TEXT(I99-utc_offset/24,"YYYY-MM-DD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21:50:34"},{"id":29,"name":"Sharepoint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168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Message%20ID',Summary),filters:!(),index:'emp_*',interval:auto,query:"&amp;"(query_string:(analyze_wildcard:!t,query:'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-09-24T13:08:44-0600',mode:absolute,to:'2017-09-24T16:50:34-0600'))&amp;_a=(columns:!('Message%20ID',Summary),filters:!(),index:'emp_*',interval:auto,query:(query_string:(analyze_wildcard:!t,query:'%22rtdc.l.rtdc.4063%22')),sort:!(Time.ISO8601,asc))</v>
      </c>
    </row>
    <row r="100" spans="1:91" s="20" customFormat="1" x14ac:dyDescent="0.25">
      <c r="A100" s="32" t="s">
        <v>734</v>
      </c>
      <c r="B100" s="7">
        <v>4018</v>
      </c>
      <c r="C100" s="21" t="s">
        <v>196</v>
      </c>
      <c r="D100" s="21" t="s">
        <v>384</v>
      </c>
      <c r="E100" s="13">
        <v>43002.598321759258</v>
      </c>
      <c r="F100" s="13">
        <v>43002.604629629626</v>
      </c>
      <c r="G100" s="7">
        <v>65</v>
      </c>
      <c r="H100" s="21" t="s">
        <v>913</v>
      </c>
      <c r="I100" s="13">
        <v>43002.629675925928</v>
      </c>
      <c r="J100" s="7">
        <v>0</v>
      </c>
      <c r="K100" s="89" t="str">
        <f t="shared" si="29"/>
        <v>4017/4018</v>
      </c>
      <c r="L100" s="185" t="str">
        <f>VLOOKUP(A100,'Trips&amp;Operators'!$C$1:$G$99911,5,FALSE)</f>
        <v>SMITH MICHAEL</v>
      </c>
      <c r="M100" s="6">
        <f t="shared" si="30"/>
        <v>2.5046296301297843E-2</v>
      </c>
      <c r="N100" s="7">
        <f t="shared" si="28"/>
        <v>36.066666673868895</v>
      </c>
      <c r="O100" s="7"/>
      <c r="P100" s="7"/>
      <c r="Q100" s="22"/>
      <c r="R100" s="174"/>
      <c r="S100" s="221">
        <f t="shared" si="27"/>
        <v>1</v>
      </c>
      <c r="T100" s="174" t="str">
        <f t="shared" si="31"/>
        <v>NorthBound</v>
      </c>
      <c r="U100" s="198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16" t="str">
        <f t="shared" si="32"/>
        <v>https://d0f6bd738d7f1b3e5a7ca70fe4ff75f0.us-east-1.aws.found.io/app/kibana#/discover/Steve-Slow-Train-Analysis-(2080s-and-2083s)?_g=(refreshInterval:(display:Off,pause:!f,section:0,value:0),time:(from:'2017-09-24T13:21:35-0600',mode:absolute,to:'2017-09-24T16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0" s="204" t="str">
        <f>IF(AA100&lt;VLOOKUP(AG100,Variables!$AC$3:$AD$8,2,FALSE),"Y","N")</f>
        <v>N</v>
      </c>
      <c r="X100" s="204">
        <f t="shared" si="45"/>
        <v>1</v>
      </c>
      <c r="Y100" s="204">
        <f t="shared" ref="Y100:Y131" si="50">RIGHT(D100,LEN(D100)-4)/10000</f>
        <v>4.3999999999999997E-2</v>
      </c>
      <c r="Z100" s="204">
        <f t="shared" ref="Z100:Z131" si="51">RIGHT(H100,LEN(H100)-4)/10000</f>
        <v>23.3291</v>
      </c>
      <c r="AA100" s="204">
        <f t="shared" si="36"/>
        <v>23.2851</v>
      </c>
      <c r="AB100" s="54" t="e">
        <f>VLOOKUP(A100,Enforcements!$C$7:$K$11,8,0)</f>
        <v>#N/A</v>
      </c>
      <c r="AC100" s="51" t="e">
        <f>VLOOKUP(A100,Enforcements!$C$7:$E$11,3,0)</f>
        <v>#N/A</v>
      </c>
      <c r="AD100" s="179">
        <f t="shared" si="37"/>
        <v>187</v>
      </c>
      <c r="AE100" s="77" t="str">
        <f t="shared" si="38"/>
        <v>aws s3 cp s3://rtdc.mdm.uploadarchive.raw/RTDC4018/ "%USERPROFILE%\AppData\Local\Temp\OnboardLogs"\RTDC4018\2017-09-24 --exclude "*" --recursive --include "*20170924*" &amp; "%USERPROFILE%\Documents\GitHub\mrs-test-scripts\Headless Mode &amp; Sideloading\WalkAndUnGZ.bat" "%USERPROFILE%\AppData\Local\Temp\OnboardLogs"\RTDC4018\2017-09-24 &amp; aws s3 cp s3://rtdc.mdm.uploadarchive.raw/RTDC4018/ "%USERPROFILE%\AppData\Local\Temp\OnboardLogs"\RTDC4018\2017-09-25 --exclude "*" --recursive --include "*20170925*" &amp; "%USERPROFILE%\Documents\GitHub\mrs-test-scripts\Headless Mode &amp; Sideloading\WalkAndUnGZ.bat" "%USERPROFILE%\AppData\Local\Temp\OnboardLogs"\RTDC4018\2017-09-25</v>
      </c>
      <c r="AF100" s="74" t="str">
        <f t="shared" si="39"/>
        <v>"C:\Program Files (x86)\AstroGrep\AstroGrep.exe" /e /r /s /spath="%USERPROFILE%\AppData\Local\Temp\OnboardLogs" /stypes="app*4018*20170924*" /stext=" 21:.+((SYSTEM_STATE.+slice.+state.+changed )|(ment ac)|(multiple cpu faults)|(system.+state.+changed )|(\[timeout)|(PRM\|1\|D)|(kpr)|(kdp)|(train st.+moving)|(\|lc)|(penalty))"</v>
      </c>
      <c r="AG100" s="182" t="str">
        <f t="shared" si="40"/>
        <v>EC</v>
      </c>
      <c r="AH100" s="78" t="str">
        <f t="shared" si="41"/>
        <v>"%USERPROFILE%\Documents\GitHub\eaglep3\Utilities\RefineRTDCRunTimes.py" --tripid 187-24 --locoid 4018 --swversion DE.1.0.9.0 --startMP 204:440 --initTime 2017-09-24T14:21:35 --startdatetime 2017-09-24T14:30:40 --delay 65 --endMP 204:233291 --enddatetime 2017-09-24T15:06:44 --enforcementcount 0 &gt;&gt;c:\users\stu\Documents\GitHub\eaglep3-reporting\EC\2017-09-24-refined-times.txt</v>
      </c>
      <c r="AI100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{"issue":{"subject":"","project_id":79,"tracker_id":40,"status_id":1,"priority_id":2,"assigned_to_id":338,"start_date":"2017-09-24","description":"","custom_fields":[{"id":1,"name":"Subdivision","value":"EC"},{"id":4,"name":"Milepost","value":"23.3291"},{"id":17,"name":"Train ID","value":"187-24"},{"id":16,"name":"Locomotive ID","value":"4018"},{"id":130,"name":"Impact","value":""},{"id":150,"name":"Time of Event (Mountain Time)","value":"15:06:44"},{"id":151,"name":"Denver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0" s="47"/>
      <c r="AL100" s="47"/>
      <c r="AM100" s="142" t="str">
        <f t="shared" si="43"/>
        <v>start /low /b %USERPROFILE%\Documents\GitHub\eaglep3\Utilities\DownloadLogsFromS3.py --loco 4018 --day 2017-09-24</v>
      </c>
      <c r="AN100" s="151" t="str">
        <f t="shared" si="4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21:06:44"},{"id":29,"name":"Sharepoint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168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Message%20ID',Summary),filters:!(),index:'emp_*',interval:auto,query:"&amp;"(query_string:(analyze_wildcard:!t,query:'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-09-24T13:21:35-0600',mode:absolute,to:'2017-09-24T16:06:44-0600'))&amp;_a=(columns:!('Message%20ID',Summary),filters:!(),index:'emp_*',interval:auto,query:(query_string:(analyze_wildcard:!t,query:'%22rtdc.l.rtdc.4018%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2" t="s">
        <v>742</v>
      </c>
      <c r="B101" s="7">
        <v>4017</v>
      </c>
      <c r="C101" s="21" t="s">
        <v>196</v>
      </c>
      <c r="D101" s="21" t="s">
        <v>409</v>
      </c>
      <c r="E101" s="13">
        <v>43002.63685185185</v>
      </c>
      <c r="F101" s="13">
        <v>43002.644016203703</v>
      </c>
      <c r="G101" s="7">
        <v>89</v>
      </c>
      <c r="H101" s="21" t="s">
        <v>358</v>
      </c>
      <c r="I101" s="13">
        <v>43002.669537037036</v>
      </c>
      <c r="J101" s="7">
        <v>0</v>
      </c>
      <c r="K101" s="89" t="str">
        <f t="shared" si="29"/>
        <v>4017/4018</v>
      </c>
      <c r="L101" s="185" t="str">
        <f>VLOOKUP(A101,'Trips&amp;Operators'!$C$1:$G$99911,5,FALSE)</f>
        <v>SMITH MICHAEL</v>
      </c>
      <c r="M101" s="6">
        <f t="shared" si="30"/>
        <v>2.5520833332848269E-2</v>
      </c>
      <c r="N101" s="7">
        <f t="shared" si="28"/>
        <v>36.749999999301508</v>
      </c>
      <c r="O101" s="7"/>
      <c r="P101" s="7"/>
      <c r="Q101" s="22"/>
      <c r="R101" s="174"/>
      <c r="S101" s="221">
        <f t="shared" si="27"/>
        <v>1</v>
      </c>
      <c r="T101" s="174" t="str">
        <f t="shared" si="31"/>
        <v>Southbound</v>
      </c>
      <c r="U101" s="198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16" t="str">
        <f t="shared" si="32"/>
        <v>https://d0f6bd738d7f1b3e5a7ca70fe4ff75f0.us-east-1.aws.found.io/app/kibana#/discover/Steve-Slow-Train-Analysis-(2080s-and-2083s)?_g=(refreshInterval:(display:Off,pause:!f,section:0,value:0),time:(from:'2017-09-24T14:17:04-0600',mode:absolute,to:'2017-09-24T17:04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1" s="204" t="str">
        <f>IF(AA101&lt;VLOOKUP(AG101,Variables!$AC$3:$AD$8,2,FALSE),"Y","N")</f>
        <v>N</v>
      </c>
      <c r="X101" s="204">
        <f t="shared" ref="X101:X132" si="52">VALUE(LEFT(AD101,4))-VALUE(LEFT(AD100,4))</f>
        <v>1</v>
      </c>
      <c r="Y101" s="204">
        <f t="shared" si="50"/>
        <v>23.297799999999999</v>
      </c>
      <c r="Z101" s="204">
        <f t="shared" si="51"/>
        <v>1.52E-2</v>
      </c>
      <c r="AA101" s="204">
        <f t="shared" si="36"/>
        <v>23.282599999999999</v>
      </c>
      <c r="AB101" s="54" t="e">
        <f>VLOOKUP(A101,Enforcements!$C$7:$K$11,8,0)</f>
        <v>#N/A</v>
      </c>
      <c r="AC101" s="51" t="e">
        <f>VLOOKUP(A101,Enforcements!$C$7:$E$11,3,0)</f>
        <v>#N/A</v>
      </c>
      <c r="AD101" s="179">
        <f t="shared" si="37"/>
        <v>188</v>
      </c>
      <c r="AE101" s="77" t="str">
        <f t="shared" si="38"/>
        <v>aws s3 cp s3://rtdc.mdm.uploadarchive.raw/RTDC4017/ "%USERPROFILE%\AppData\Local\Temp\OnboardLogs"\RTDC4017\2017-09-24 --exclude "*" --recursive --include "*20170924*" &amp; "%USERPROFILE%\Documents\GitHub\mrs-test-scripts\Headless Mode &amp; Sideloading\WalkAndUnGZ.bat" "%USERPROFILE%\AppData\Local\Temp\OnboardLogs"\RTDC4017\2017-09-24 &amp; aws s3 cp s3://rtdc.mdm.uploadarchive.raw/RTDC4017/ "%USERPROFILE%\AppData\Local\Temp\OnboardLogs"\RTDC4017\2017-09-25 --exclude "*" --recursive --include "*20170925*" &amp; "%USERPROFILE%\Documents\GitHub\mrs-test-scripts\Headless Mode &amp; Sideloading\WalkAndUnGZ.bat" "%USERPROFILE%\AppData\Local\Temp\OnboardLogs"\RTDC4017\2017-09-25</v>
      </c>
      <c r="AF101" s="74" t="str">
        <f t="shared" si="39"/>
        <v>"C:\Program Files (x86)\AstroGrep\AstroGrep.exe" /e /r /s /spath="%USERPROFILE%\AppData\Local\Temp\OnboardLogs" /stypes="app*4017*20170924*" /stext=" 22:.+((SYSTEM_STATE.+slice.+state.+changed )|(ment ac)|(multiple cpu faults)|(system.+state.+changed )|(\[timeout)|(PRM\|1\|D)|(kpr)|(kdp)|(train st.+moving)|(\|lc)|(penalty))"</v>
      </c>
      <c r="AG101" s="182" t="str">
        <f t="shared" si="40"/>
        <v>EC</v>
      </c>
      <c r="AH101" s="78" t="str">
        <f t="shared" si="41"/>
        <v>"%USERPROFILE%\Documents\GitHub\eaglep3\Utilities\RefineRTDCRunTimes.py" --tripid 188-24 --locoid 4017 --swversion DE.1.0.9.0 --startMP 204:232978 --initTime 2017-09-24T15:17:04 --startdatetime 2017-09-24T15:27:23 --delay 89 --endMP 204:152 --enddatetime 2017-09-24T16:04:08 --enforcementcount 0 &gt;&gt;c:\users\stu\Documents\GitHub\eaglep3-reporting\EC\2017-09-24-refined-times.txt</v>
      </c>
      <c r="AI101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{"issue":{"subject":"","project_id":79,"tracker_id":40,"status_id":1,"priority_id":2,"assigned_to_id":338,"start_date":"2017-09-24","description":"","custom_fields":[{"id":1,"name":"Subdivision","value":"EC"},{"id":4,"name":"Milepost","value":"0.0152"},{"id":17,"name":"Train ID","value":"188-24"},{"id":16,"name":"Locomotive ID","value":"4017"},{"id":130,"name":"Impact","value":""},{"id":150,"name":"Time of Event (Mountain Time)","value":"16:04:08"},{"id":151,"name":"Denver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1" s="47"/>
      <c r="AL101" s="47"/>
      <c r="AM101" s="142" t="str">
        <f t="shared" si="43"/>
        <v>start /low /b %USERPROFILE%\Documents\GitHub\eaglep3\Utilities\DownloadLogsFromS3.py --loco 4017 --day 2017-09-24</v>
      </c>
      <c r="AN101" s="151" t="str">
        <f t="shared" si="4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22:04:08"},{"id":29,"name":"Sharepoint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168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Message%20ID',Summary),filters:!(),index:'emp_*',interval:auto,query:"&amp;"(query_string:(analyze_wildcard:!t,query:'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-09-24T14:17:04-0600',mode:absolute,to:'2017-09-24T17:04:08-0600'))&amp;_a=(columns:!('Message%20ID',Summary),filters:!(),index:'emp_*',interval:auto,query:(query_string:(analyze_wildcard:!t,query:'%22rtdc.l.rtdc.4017%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737</v>
      </c>
      <c r="B102" s="7">
        <v>4046</v>
      </c>
      <c r="C102" s="21" t="s">
        <v>196</v>
      </c>
      <c r="D102" s="21" t="s">
        <v>336</v>
      </c>
      <c r="E102" s="13">
        <v>43002.612523148149</v>
      </c>
      <c r="F102" s="13">
        <v>43002.614872685182</v>
      </c>
      <c r="G102" s="7">
        <v>71</v>
      </c>
      <c r="H102" s="21" t="s">
        <v>914</v>
      </c>
      <c r="I102" s="13">
        <v>43002.640729166669</v>
      </c>
      <c r="J102" s="7">
        <v>0</v>
      </c>
      <c r="K102" s="89" t="str">
        <f t="shared" si="29"/>
        <v>4045/4046</v>
      </c>
      <c r="L102" s="185" t="str">
        <f>VLOOKUP(A102,'Trips&amp;Operators'!$C$1:$G$99911,5,FALSE)</f>
        <v>DAVIS MICHAEL</v>
      </c>
      <c r="M102" s="6">
        <f t="shared" si="30"/>
        <v>2.5856481486698613E-2</v>
      </c>
      <c r="N102" s="7">
        <f t="shared" si="28"/>
        <v>37.233333340846002</v>
      </c>
      <c r="O102" s="7"/>
      <c r="P102" s="7"/>
      <c r="Q102" s="22"/>
      <c r="R102" s="174"/>
      <c r="S102" s="221">
        <f t="shared" si="27"/>
        <v>1</v>
      </c>
      <c r="T102" s="174" t="str">
        <f t="shared" si="31"/>
        <v>NorthBound</v>
      </c>
      <c r="U102" s="198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16" t="str">
        <f t="shared" si="32"/>
        <v>https://d0f6bd738d7f1b3e5a7ca70fe4ff75f0.us-east-1.aws.found.io/app/kibana#/discover/Steve-Slow-Train-Analysis-(2080s-and-2083s)?_g=(refreshInterval:(display:Off,pause:!f,section:0,value:0),time:(from:'2017-09-24T13:42:02-0600',mode:absolute,to:'2017-09-24T16:22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2" s="204" t="str">
        <f>IF(AA102&lt;VLOOKUP(AG102,Variables!$AC$3:$AD$8,2,FALSE),"Y","N")</f>
        <v>N</v>
      </c>
      <c r="X102" s="204">
        <f t="shared" si="52"/>
        <v>1</v>
      </c>
      <c r="Y102" s="204">
        <f t="shared" si="50"/>
        <v>4.4600000000000001E-2</v>
      </c>
      <c r="Z102" s="204">
        <f t="shared" si="51"/>
        <v>23.3353</v>
      </c>
      <c r="AA102" s="204">
        <f t="shared" si="36"/>
        <v>23.290700000000001</v>
      </c>
      <c r="AB102" s="54" t="e">
        <f>VLOOKUP(A102,Enforcements!$C$7:$K$11,8,0)</f>
        <v>#N/A</v>
      </c>
      <c r="AC102" s="51" t="e">
        <f>VLOOKUP(A102,Enforcements!$C$7:$E$11,3,0)</f>
        <v>#N/A</v>
      </c>
      <c r="AD102" s="179">
        <f t="shared" si="37"/>
        <v>189</v>
      </c>
      <c r="AE102" s="77" t="str">
        <f t="shared" si="38"/>
        <v>aws s3 cp s3://rtdc.mdm.uploadarchive.raw/RTDC4046/ "%USERPROFILE%\AppData\Local\Temp\OnboardLogs"\RTDC4046\2017-09-24 --exclude "*" --recursive --include "*20170924*" &amp; "%USERPROFILE%\Documents\GitHub\mrs-test-scripts\Headless Mode &amp; Sideloading\WalkAndUnGZ.bat" "%USERPROFILE%\AppData\Local\Temp\OnboardLogs"\RTDC4046\2017-09-24 &amp; aws s3 cp s3://rtdc.mdm.uploadarchive.raw/RTDC4046/ "%USERPROFILE%\AppData\Local\Temp\OnboardLogs"\RTDC4046\2017-09-25 --exclude "*" --recursive --include "*20170925*" &amp; "%USERPROFILE%\Documents\GitHub\mrs-test-scripts\Headless Mode &amp; Sideloading\WalkAndUnGZ.bat" "%USERPROFILE%\AppData\Local\Temp\OnboardLogs"\RTDC4046\2017-09-25</v>
      </c>
      <c r="AF102" s="74" t="str">
        <f t="shared" si="39"/>
        <v>"C:\Program Files (x86)\AstroGrep\AstroGrep.exe" /e /r /s /spath="%USERPROFILE%\AppData\Local\Temp\OnboardLogs" /stypes="app*4046*20170924*" /stext=" 21:.+((SYSTEM_STATE.+slice.+state.+changed )|(ment ac)|(multiple cpu faults)|(system.+state.+changed )|(\[timeout)|(PRM\|1\|D)|(kpr)|(kdp)|(train st.+moving)|(\|lc)|(penalty))"</v>
      </c>
      <c r="AG102" s="182" t="str">
        <f t="shared" si="40"/>
        <v>EC</v>
      </c>
      <c r="AH102" s="78" t="str">
        <f t="shared" si="41"/>
        <v>"%USERPROFILE%\Documents\GitHub\eaglep3\Utilities\RefineRTDCRunTimes.py" --tripid 189-24 --locoid 4046 --swversion DE.1.0.9.0 --startMP 204:446 --initTime 2017-09-24T14:42:02 --startdatetime 2017-09-24T14:45:25 --delay 71 --endMP 204:233353 --enddatetime 2017-09-24T15:22:39 --enforcementcount 0 &gt;&gt;c:\users\stu\Documents\GitHub\eaglep3-reporting\EC\2017-09-24-refined-times.txt</v>
      </c>
      <c r="AI102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{"issue":{"subject":"","project_id":79,"tracker_id":40,"status_id":1,"priority_id":2,"assigned_to_id":338,"start_date":"2017-09-24","description":"","custom_fields":[{"id":1,"name":"Subdivision","value":"EC"},{"id":4,"name":"Milepost","value":"23.3353"},{"id":17,"name":"Train ID","value":"189-24"},{"id":16,"name":"Locomotive ID","value":"4046"},{"id":130,"name":"Impact","value":""},{"id":150,"name":"Time of Event (Mountain Time)","value":"15:22:39"},{"id":151,"name":"Denver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2" s="47"/>
      <c r="AL102" s="47"/>
      <c r="AM102" s="142" t="str">
        <f t="shared" si="43"/>
        <v>start /low /b %USERPROFILE%\Documents\GitHub\eaglep3\Utilities\DownloadLogsFromS3.py --loco 4046 --day 2017-09-24</v>
      </c>
      <c r="AN102" s="151" t="str">
        <f t="shared" si="4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21:22:39"},{"id":29,"name":"Sharepoint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168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Message%20ID',Summary),filters:!(),index:'emp_*',interval:auto,query:"&amp;"(query_string:(analyze_wildcard:!t,query:'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-09-24T13:42:02-0600',mode:absolute,to:'2017-09-24T16:22:39-0600'))&amp;_a=(columns:!('Message%20ID',Summary),filters:!(),index:'emp_*',interval:auto,query:(query_string:(analyze_wildcard:!t,query:'%22rtdc.l.rtdc.4046%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601</v>
      </c>
      <c r="B103" s="7">
        <v>4045</v>
      </c>
      <c r="C103" s="21" t="s">
        <v>196</v>
      </c>
      <c r="D103" s="21" t="s">
        <v>460</v>
      </c>
      <c r="E103" s="13">
        <v>43002.651828703703</v>
      </c>
      <c r="F103" s="13">
        <v>43002.654664351852</v>
      </c>
      <c r="G103" s="7">
        <v>59</v>
      </c>
      <c r="H103" s="21" t="s">
        <v>358</v>
      </c>
      <c r="I103" s="13">
        <v>43002.68136574074</v>
      </c>
      <c r="J103" s="7">
        <v>0</v>
      </c>
      <c r="K103" s="89" t="str">
        <f t="shared" si="29"/>
        <v>4045/4046</v>
      </c>
      <c r="L103" s="185" t="str">
        <f>VLOOKUP(A103,'Trips&amp;Operators'!$C$1:$G$99911,5,FALSE)</f>
        <v>DAVIS MICHAEL</v>
      </c>
      <c r="M103" s="6">
        <f t="shared" si="30"/>
        <v>2.6701388887886424E-2</v>
      </c>
      <c r="N103" s="7">
        <f t="shared" si="28"/>
        <v>38.44999999855645</v>
      </c>
      <c r="O103" s="7"/>
      <c r="P103" s="7"/>
      <c r="Q103" s="22"/>
      <c r="R103" s="174"/>
      <c r="S103" s="221">
        <f t="shared" ref="S103:S134" si="53">1/IF(AG103="EC",12,1)*SUM(U103:U103)</f>
        <v>1</v>
      </c>
      <c r="T103" s="174" t="str">
        <f t="shared" si="31"/>
        <v>Southbound</v>
      </c>
      <c r="U103" s="198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16" t="str">
        <f t="shared" si="32"/>
        <v>https://d0f6bd738d7f1b3e5a7ca70fe4ff75f0.us-east-1.aws.found.io/app/kibana#/discover/Steve-Slow-Train-Analysis-(2080s-and-2083s)?_g=(refreshInterval:(display:Off,pause:!f,section:0,value:0),time:(from:'2017-09-24T14:38:38-0600',mode:absolute,to:'2017-09-24T17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3" s="204" t="str">
        <f>IF(AA103&lt;VLOOKUP(AG103,Variables!$AC$3:$AD$8,2,FALSE),"Y","N")</f>
        <v>N</v>
      </c>
      <c r="X103" s="204">
        <f t="shared" si="52"/>
        <v>1</v>
      </c>
      <c r="Y103" s="204">
        <f t="shared" si="50"/>
        <v>23.300799999999999</v>
      </c>
      <c r="Z103" s="204">
        <f t="shared" si="51"/>
        <v>1.52E-2</v>
      </c>
      <c r="AA103" s="204">
        <f t="shared" si="36"/>
        <v>23.285599999999999</v>
      </c>
      <c r="AB103" s="54" t="e">
        <f>VLOOKUP(A103,Enforcements!$C$7:$K$11,8,0)</f>
        <v>#N/A</v>
      </c>
      <c r="AC103" s="51" t="e">
        <f>VLOOKUP(A103,Enforcements!$C$7:$E$11,3,0)</f>
        <v>#N/A</v>
      </c>
      <c r="AD103" s="179">
        <f t="shared" si="37"/>
        <v>190</v>
      </c>
      <c r="AE103" s="77" t="str">
        <f t="shared" si="38"/>
        <v>aws s3 cp s3://rtdc.mdm.uploadarchive.raw/RTDC4045/ "%USERPROFILE%\AppData\Local\Temp\OnboardLogs"\RTDC4045\2017-09-24 --exclude "*" --recursive --include "*20170924*" &amp; "%USERPROFILE%\Documents\GitHub\mrs-test-scripts\Headless Mode &amp; Sideloading\WalkAndUnGZ.bat" "%USERPROFILE%\AppData\Local\Temp\OnboardLogs"\RTDC4045\2017-09-24 &amp; aws s3 cp s3://rtdc.mdm.uploadarchive.raw/RTDC4045/ "%USERPROFILE%\AppData\Local\Temp\OnboardLogs"\RTDC4045\2017-09-25 --exclude "*" --recursive --include "*20170925*" &amp; "%USERPROFILE%\Documents\GitHub\mrs-test-scripts\Headless Mode &amp; Sideloading\WalkAndUnGZ.bat" "%USERPROFILE%\AppData\Local\Temp\OnboardLogs"\RTDC4045\2017-09-25</v>
      </c>
      <c r="AF103" s="74" t="str">
        <f t="shared" si="39"/>
        <v>"C:\Program Files (x86)\AstroGrep\AstroGrep.exe" /e /r /s /spath="%USERPROFILE%\AppData\Local\Temp\OnboardLogs" /stypes="app*4045*20170924*" /stext=" 22:.+((SYSTEM_STATE.+slice.+state.+changed )|(ment ac)|(multiple cpu faults)|(system.+state.+changed )|(\[timeout)|(PRM\|1\|D)|(kpr)|(kdp)|(train st.+moving)|(\|lc)|(penalty))"</v>
      </c>
      <c r="AG103" s="182" t="str">
        <f t="shared" si="40"/>
        <v>EC</v>
      </c>
      <c r="AH103" s="78" t="str">
        <f t="shared" si="41"/>
        <v>"%USERPROFILE%\Documents\GitHub\eaglep3\Utilities\RefineRTDCRunTimes.py" --tripid 190-24 --locoid 4045 --swversion DE.1.0.9.0 --startMP 204:233008 --initTime 2017-09-24T15:38:38 --startdatetime 2017-09-24T15:42:43 --delay 59 --endMP 204:152 --enddatetime 2017-09-24T16:21:10 --enforcementcount 0 &gt;&gt;c:\users\stu\Documents\GitHub\eaglep3-reporting\EC\2017-09-24-refined-times.txt</v>
      </c>
      <c r="AI103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{"issue":{"subject":"","project_id":79,"tracker_id":40,"status_id":1,"priority_id":2,"assigned_to_id":338,"start_date":"2017-09-24","description":"","custom_fields":[{"id":1,"name":"Subdivision","value":"EC"},{"id":4,"name":"Milepost","value":"0.0152"},{"id":17,"name":"Train ID","value":"190-24"},{"id":16,"name":"Locomotive ID","value":"4045"},{"id":130,"name":"Impact","value":""},{"id":150,"name":"Time of Event (Mountain Time)","value":"16:21:10"},{"id":151,"name":"Denver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3" s="47"/>
      <c r="AL103" s="47"/>
      <c r="AM103" s="142" t="str">
        <f t="shared" si="43"/>
        <v>start /low /b %USERPROFILE%\Documents\GitHub\eaglep3\Utilities\DownloadLogsFromS3.py --loco 4045 --day 2017-09-24</v>
      </c>
      <c r="AN103" s="151" t="str">
        <f t="shared" si="4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22:21:10"},{"id":29,"name":"Sharepoint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168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Message%20ID',Summary),filters:!(),index:'emp_*',interval:auto,query:"&amp;"(query_string:(analyze_wildcard:!t,query:'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-09-24T14:38:38-0600',mode:absolute,to:'2017-09-24T17:21:10-0600'))&amp;_a=(columns:!('Message%20ID',Summary),filters:!(),index:'emp_*',interval:auto,query:(query_string:(analyze_wildcard:!t,query:'%22rtdc.l.rtdc.4045%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739</v>
      </c>
      <c r="B104" s="7">
        <v>4060</v>
      </c>
      <c r="C104" s="21" t="s">
        <v>196</v>
      </c>
      <c r="D104" s="21" t="s">
        <v>373</v>
      </c>
      <c r="E104" s="13">
        <v>43002.623113425929</v>
      </c>
      <c r="F104" s="13">
        <v>43002.625254629631</v>
      </c>
      <c r="G104" s="7">
        <v>58</v>
      </c>
      <c r="H104" s="21" t="s">
        <v>491</v>
      </c>
      <c r="I104" s="13">
        <v>43002.65016203704</v>
      </c>
      <c r="J104" s="7">
        <v>0</v>
      </c>
      <c r="K104" s="89" t="str">
        <f t="shared" si="29"/>
        <v>4059/4060</v>
      </c>
      <c r="L104" s="185" t="str">
        <f>VLOOKUP(A104,'Trips&amp;Operators'!$C$1:$G$99911,5,FALSE)</f>
        <v>SAFIEF AEIMEN</v>
      </c>
      <c r="M104" s="6">
        <f t="shared" si="30"/>
        <v>2.4907407409045845E-2</v>
      </c>
      <c r="N104" s="7">
        <f t="shared" si="28"/>
        <v>35.866666669026017</v>
      </c>
      <c r="O104" s="7"/>
      <c r="P104" s="7"/>
      <c r="Q104" s="22"/>
      <c r="R104" s="174"/>
      <c r="S104" s="221">
        <f t="shared" si="53"/>
        <v>1</v>
      </c>
      <c r="T104" s="174" t="str">
        <f t="shared" si="31"/>
        <v>NorthBound</v>
      </c>
      <c r="U104" s="198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16" t="str">
        <f t="shared" si="32"/>
        <v>https://d0f6bd738d7f1b3e5a7ca70fe4ff75f0.us-east-1.aws.found.io/app/kibana#/discover/Steve-Slow-Train-Analysis-(2080s-and-2083s)?_g=(refreshInterval:(display:Off,pause:!f,section:0,value:0),time:(from:'2017-09-24T13:57:17-0600',mode:absolute,to:'2017-09-24T16:36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04" s="204" t="str">
        <f>IF(AA104&lt;VLOOKUP(AG104,Variables!$AC$3:$AD$8,2,FALSE),"Y","N")</f>
        <v>N</v>
      </c>
      <c r="X104" s="204">
        <f t="shared" si="52"/>
        <v>1</v>
      </c>
      <c r="Y104" s="204">
        <f t="shared" si="50"/>
        <v>4.4200000000000003E-2</v>
      </c>
      <c r="Z104" s="204">
        <f t="shared" si="51"/>
        <v>23.333600000000001</v>
      </c>
      <c r="AA104" s="204">
        <f t="shared" si="36"/>
        <v>23.289400000000001</v>
      </c>
      <c r="AB104" s="54" t="e">
        <f>VLOOKUP(A104,Enforcements!$C$7:$K$11,8,0)</f>
        <v>#N/A</v>
      </c>
      <c r="AC104" s="51" t="e">
        <f>VLOOKUP(A104,Enforcements!$C$7:$E$11,3,0)</f>
        <v>#N/A</v>
      </c>
      <c r="AD104" s="179">
        <f t="shared" si="37"/>
        <v>191</v>
      </c>
      <c r="AE104" s="77" t="str">
        <f t="shared" si="38"/>
        <v>aws s3 cp s3://rtdc.mdm.uploadarchive.raw/RTDC4060/ "%USERPROFILE%\AppData\Local\Temp\OnboardLogs"\RTDC4060\2017-09-24 --exclude "*" --recursive --include "*20170924*" &amp; "%USERPROFILE%\Documents\GitHub\mrs-test-scripts\Headless Mode &amp; Sideloading\WalkAndUnGZ.bat" "%USERPROFILE%\AppData\Local\Temp\OnboardLogs"\RTDC4060\2017-09-24 &amp; aws s3 cp s3://rtdc.mdm.uploadarchive.raw/RTDC4060/ "%USERPROFILE%\AppData\Local\Temp\OnboardLogs"\RTDC4060\2017-09-25 --exclude "*" --recursive --include "*20170925*" &amp; "%USERPROFILE%\Documents\GitHub\mrs-test-scripts\Headless Mode &amp; Sideloading\WalkAndUnGZ.bat" "%USERPROFILE%\AppData\Local\Temp\OnboardLogs"\RTDC4060\2017-09-25</v>
      </c>
      <c r="AF104" s="74" t="str">
        <f t="shared" si="39"/>
        <v>"C:\Program Files (x86)\AstroGrep\AstroGrep.exe" /e /r /s /spath="%USERPROFILE%\AppData\Local\Temp\OnboardLogs" /stypes="app*4060*20170924*" /stext=" 21:.+((SYSTEM_STATE.+slice.+state.+changed )|(ment ac)|(multiple cpu faults)|(system.+state.+changed )|(\[timeout)|(PRM\|1\|D)|(kpr)|(kdp)|(train st.+moving)|(\|lc)|(penalty))"</v>
      </c>
      <c r="AG104" s="182" t="str">
        <f t="shared" si="40"/>
        <v>EC</v>
      </c>
      <c r="AH104" s="78" t="str">
        <f t="shared" si="41"/>
        <v>"%USERPROFILE%\Documents\GitHub\eaglep3\Utilities\RefineRTDCRunTimes.py" --tripid 191-24 --locoid 4060 --swversion DE.1.0.9.0 --startMP 204:442 --initTime 2017-09-24T14:57:17 --startdatetime 2017-09-24T15:00:22 --delay 58 --endMP 204:233336 --enddatetime 2017-09-24T15:36:14 --enforcementcount 0 &gt;&gt;c:\users\stu\Documents\GitHub\eaglep3-reporting\EC\2017-09-24-refined-times.txt</v>
      </c>
      <c r="AI104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{"issue":{"subject":"","project_id":79,"tracker_id":40,"status_id":1,"priority_id":2,"assigned_to_id":338,"start_date":"2017-09-24","description":"","custom_fields":[{"id":1,"name":"Subdivision","value":"EC"},{"id":4,"name":"Milepost","value":"23.3336"},{"id":17,"name":"Train ID","value":"191-24"},{"id":16,"name":"Locomotive ID","value":"4060"},{"id":130,"name":"Impact","value":""},{"id":150,"name":"Time of Event (Mountain Time)","value":"15:36:14"},{"id":151,"name":"Denver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4" s="47"/>
      <c r="AL104" s="47"/>
      <c r="AM104" s="142" t="str">
        <f t="shared" si="43"/>
        <v>start /low /b %USERPROFILE%\Documents\GitHub\eaglep3\Utilities\DownloadLogsFromS3.py --loco 4060 --day 2017-09-24</v>
      </c>
      <c r="AN104" s="151" t="str">
        <f t="shared" si="4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21:36:14"},{"id":29,"name":"Sharepoint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168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Message%20ID',Summary),filters:!(),index:'emp_*',interval:auto,query:"&amp;"(query_string:(analyze_wildcard:!t,query:'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-09-24T13:57:17-0600',mode:absolute,to:'2017-09-24T16:36:14-0600'))&amp;_a=(columns:!('Message%20ID',Summary),filters:!(),index:'emp_*',interval:auto,query:(query_string:(analyze_wildcard:!t,query:'%22rtdc.l.rtdc.4060%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746</v>
      </c>
      <c r="B105" s="7">
        <v>4059</v>
      </c>
      <c r="C105" s="21" t="s">
        <v>196</v>
      </c>
      <c r="D105" s="21" t="s">
        <v>918</v>
      </c>
      <c r="E105" s="13">
        <v>43002.654120370367</v>
      </c>
      <c r="F105" s="13">
        <v>43002.66474537037</v>
      </c>
      <c r="G105" s="7">
        <v>63</v>
      </c>
      <c r="H105" s="21" t="s">
        <v>337</v>
      </c>
      <c r="I105" s="13">
        <v>43002.690648148149</v>
      </c>
      <c r="J105" s="7">
        <v>0</v>
      </c>
      <c r="K105" s="89" t="str">
        <f t="shared" si="29"/>
        <v>4059/4060</v>
      </c>
      <c r="L105" s="185" t="str">
        <f>VLOOKUP(A105,'Trips&amp;Operators'!$C$1:$G$99911,5,FALSE)</f>
        <v>SAFIEF AEIMEN</v>
      </c>
      <c r="M105" s="6">
        <f t="shared" si="30"/>
        <v>2.5902777779265307E-2</v>
      </c>
      <c r="N105" s="7">
        <f t="shared" si="28"/>
        <v>37.300000002142042</v>
      </c>
      <c r="O105" s="7"/>
      <c r="P105" s="7"/>
      <c r="Q105" s="22"/>
      <c r="R105" s="174"/>
      <c r="S105" s="221">
        <f t="shared" si="53"/>
        <v>1</v>
      </c>
      <c r="T105" s="174" t="str">
        <f t="shared" si="31"/>
        <v>Southbound</v>
      </c>
      <c r="U105" s="198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16" t="str">
        <f t="shared" si="32"/>
        <v>https://d0f6bd738d7f1b3e5a7ca70fe4ff75f0.us-east-1.aws.found.io/app/kibana#/discover/Steve-Slow-Train-Analysis-(2080s-and-2083s)?_g=(refreshInterval:(display:Off,pause:!f,section:0,value:0),time:(from:'2017-09-24T14:41:56-0600',mode:absolute,to:'2017-09-24T17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05" s="204" t="str">
        <f>IF(AA105&lt;VLOOKUP(AG105,Variables!$AC$3:$AD$8,2,FALSE),"Y","N")</f>
        <v>N</v>
      </c>
      <c r="X105" s="204">
        <f t="shared" si="52"/>
        <v>1</v>
      </c>
      <c r="Y105" s="204">
        <f t="shared" si="50"/>
        <v>23.302800000000001</v>
      </c>
      <c r="Z105" s="204">
        <f t="shared" si="51"/>
        <v>1.4999999999999999E-2</v>
      </c>
      <c r="AA105" s="204">
        <f t="shared" si="36"/>
        <v>23.287800000000001</v>
      </c>
      <c r="AB105" s="54" t="e">
        <f>VLOOKUP(A105,Enforcements!$C$7:$K$11,8,0)</f>
        <v>#N/A</v>
      </c>
      <c r="AC105" s="51" t="e">
        <f>VLOOKUP(A105,Enforcements!$C$7:$E$11,3,0)</f>
        <v>#N/A</v>
      </c>
      <c r="AD105" s="179">
        <f t="shared" si="37"/>
        <v>192</v>
      </c>
      <c r="AE105" s="77" t="str">
        <f t="shared" si="38"/>
        <v>aws s3 cp s3://rtdc.mdm.uploadarchive.raw/RTDC4059/ "%USERPROFILE%\AppData\Local\Temp\OnboardLogs"\RTDC4059\2017-09-24 --exclude "*" --recursive --include "*20170924*" &amp; "%USERPROFILE%\Documents\GitHub\mrs-test-scripts\Headless Mode &amp; Sideloading\WalkAndUnGZ.bat" "%USERPROFILE%\AppData\Local\Temp\OnboardLogs"\RTDC4059\2017-09-24 &amp; aws s3 cp s3://rtdc.mdm.uploadarchive.raw/RTDC4059/ "%USERPROFILE%\AppData\Local\Temp\OnboardLogs"\RTDC4059\2017-09-25 --exclude "*" --recursive --include "*20170925*" &amp; "%USERPROFILE%\Documents\GitHub\mrs-test-scripts\Headless Mode &amp; Sideloading\WalkAndUnGZ.bat" "%USERPROFILE%\AppData\Local\Temp\OnboardLogs"\RTDC4059\2017-09-25</v>
      </c>
      <c r="AF105" s="74" t="str">
        <f t="shared" si="39"/>
        <v>"C:\Program Files (x86)\AstroGrep\AstroGrep.exe" /e /r /s /spath="%USERPROFILE%\AppData\Local\Temp\OnboardLogs" /stypes="app*4059*20170924*" /stext=" 22:.+((SYSTEM_STATE.+slice.+state.+changed )|(ment ac)|(multiple cpu faults)|(system.+state.+changed )|(\[timeout)|(PRM\|1\|D)|(kpr)|(kdp)|(train st.+moving)|(\|lc)|(penalty))"</v>
      </c>
      <c r="AG105" s="182" t="str">
        <f t="shared" si="40"/>
        <v>EC</v>
      </c>
      <c r="AH105" s="78" t="str">
        <f t="shared" si="41"/>
        <v>"%USERPROFILE%\Documents\GitHub\eaglep3\Utilities\RefineRTDCRunTimes.py" --tripid 192-24 --locoid 4059 --swversion DE.1.0.9.0 --startMP 204:233028 --initTime 2017-09-24T15:41:56 --startdatetime 2017-09-24T15:57:14 --delay 63 --endMP 204:150 --enddatetime 2017-09-24T16:34:32 --enforcementcount 0 &gt;&gt;c:\users\stu\Documents\GitHub\eaglep3-reporting\EC\2017-09-24-refined-times.txt</v>
      </c>
      <c r="AI105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{"issue":{"subject":"","project_id":79,"tracker_id":40,"status_id":1,"priority_id":2,"assigned_to_id":338,"start_date":"2017-09-24","description":"","custom_fields":[{"id":1,"name":"Subdivision","value":"EC"},{"id":4,"name":"Milepost","value":"0.015"},{"id":17,"name":"Train ID","value":"192-24"},{"id":16,"name":"Locomotive ID","value":"4059"},{"id":130,"name":"Impact","value":""},{"id":150,"name":"Time of Event (Mountain Time)","value":"16:34:32"},{"id":151,"name":"Denver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5" s="47"/>
      <c r="AL105" s="47"/>
      <c r="AM105" s="142" t="str">
        <f t="shared" si="43"/>
        <v>start /low /b %USERPROFILE%\Documents\GitHub\eaglep3\Utilities\DownloadLogsFromS3.py --loco 4059 --day 2017-09-24</v>
      </c>
      <c r="AN105" s="151" t="str">
        <f t="shared" si="4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22:34:32"},{"id":29,"name":"Sharepoint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168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Message%20ID',Summary),filters:!(),index:'emp_*',interval:auto,query:"&amp;"(query_string:(analyze_wildcard:!t,query:'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-09-24T14:41:56-0600',mode:absolute,to:'2017-09-24T17:34:32-0600'))&amp;_a=(columns:!('Message%20ID',Summary),filters:!(),index:'emp_*',interval:auto,query:(query_string:(analyze_wildcard:!t,query:'%22rtdc.l.rtdc.4059%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741</v>
      </c>
      <c r="B106" s="7">
        <v>4062</v>
      </c>
      <c r="C106" s="21" t="s">
        <v>196</v>
      </c>
      <c r="D106" s="21" t="s">
        <v>396</v>
      </c>
      <c r="E106" s="13">
        <v>43002.630208333336</v>
      </c>
      <c r="F106" s="13">
        <v>43002.635578703703</v>
      </c>
      <c r="G106" s="7">
        <v>60</v>
      </c>
      <c r="H106" s="21" t="s">
        <v>424</v>
      </c>
      <c r="I106" s="13">
        <v>43002.660601851851</v>
      </c>
      <c r="J106" s="7">
        <v>0</v>
      </c>
      <c r="K106" s="89" t="str">
        <f t="shared" si="29"/>
        <v>4061/4062</v>
      </c>
      <c r="L106" s="185" t="str">
        <f>VLOOKUP(A106,'Trips&amp;Operators'!$C$1:$G$99911,5,FALSE)</f>
        <v>GUZMAN DANNY</v>
      </c>
      <c r="M106" s="6">
        <f t="shared" si="30"/>
        <v>2.5023148147738539E-2</v>
      </c>
      <c r="N106" s="7">
        <f t="shared" ref="N106:N141" si="54">24*60*SUM($M106:$M106)</f>
        <v>36.033333332743496</v>
      </c>
      <c r="O106" s="7"/>
      <c r="P106" s="7"/>
      <c r="Q106" s="22"/>
      <c r="R106" s="174"/>
      <c r="S106" s="221">
        <f t="shared" si="53"/>
        <v>1</v>
      </c>
      <c r="T106" s="174" t="str">
        <f t="shared" si="31"/>
        <v>NorthBound</v>
      </c>
      <c r="U106" s="198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16" t="str">
        <f t="shared" si="32"/>
        <v>https://d0f6bd738d7f1b3e5a7ca70fe4ff75f0.us-east-1.aws.found.io/app/kibana#/discover/Steve-Slow-Train-Analysis-(2080s-and-2083s)?_g=(refreshInterval:(display:Off,pause:!f,section:0,value:0),time:(from:'2017-09-24T14:07:30-0600',mode:absolute,to:'2017-09-24T16:51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06" s="204" t="str">
        <f>IF(AA106&lt;VLOOKUP(AG106,Variables!$AC$3:$AD$8,2,FALSE),"Y","N")</f>
        <v>N</v>
      </c>
      <c r="X106" s="204">
        <f t="shared" si="52"/>
        <v>1</v>
      </c>
      <c r="Y106" s="204">
        <f t="shared" si="50"/>
        <v>4.7100000000000003E-2</v>
      </c>
      <c r="Z106" s="204">
        <f t="shared" si="51"/>
        <v>23.333200000000001</v>
      </c>
      <c r="AA106" s="204">
        <f t="shared" si="36"/>
        <v>23.286100000000001</v>
      </c>
      <c r="AB106" s="54" t="e">
        <f>VLOOKUP(A106,Enforcements!$C$7:$K$11,8,0)</f>
        <v>#N/A</v>
      </c>
      <c r="AC106" s="51" t="e">
        <f>VLOOKUP(A106,Enforcements!$C$7:$E$11,3,0)</f>
        <v>#N/A</v>
      </c>
      <c r="AD106" s="179">
        <f t="shared" si="37"/>
        <v>193</v>
      </c>
      <c r="AE106" s="77" t="str">
        <f t="shared" si="38"/>
        <v>aws s3 cp s3://rtdc.mdm.uploadarchive.raw/RTDC4062/ "%USERPROFILE%\AppData\Local\Temp\OnboardLogs"\RTDC4062\2017-09-24 --exclude "*" --recursive --include "*20170924*" &amp; "%USERPROFILE%\Documents\GitHub\mrs-test-scripts\Headless Mode &amp; Sideloading\WalkAndUnGZ.bat" "%USERPROFILE%\AppData\Local\Temp\OnboardLogs"\RTDC4062\2017-09-24 &amp; aws s3 cp s3://rtdc.mdm.uploadarchive.raw/RTDC4062/ "%USERPROFILE%\AppData\Local\Temp\OnboardLogs"\RTDC4062\2017-09-25 --exclude "*" --recursive --include "*20170925*" &amp; "%USERPROFILE%\Documents\GitHub\mrs-test-scripts\Headless Mode &amp; Sideloading\WalkAndUnGZ.bat" "%USERPROFILE%\AppData\Local\Temp\OnboardLogs"\RTDC4062\2017-09-25</v>
      </c>
      <c r="AF106" s="74" t="str">
        <f t="shared" si="39"/>
        <v>"C:\Program Files (x86)\AstroGrep\AstroGrep.exe" /e /r /s /spath="%USERPROFILE%\AppData\Local\Temp\OnboardLogs" /stypes="app*4062*20170924*" /stext=" 21:.+((SYSTEM_STATE.+slice.+state.+changed )|(ment ac)|(multiple cpu faults)|(system.+state.+changed )|(\[timeout)|(PRM\|1\|D)|(kpr)|(kdp)|(train st.+moving)|(\|lc)|(penalty))"</v>
      </c>
      <c r="AG106" s="182" t="str">
        <f t="shared" si="40"/>
        <v>EC</v>
      </c>
      <c r="AH106" s="78" t="str">
        <f t="shared" si="41"/>
        <v>"%USERPROFILE%\Documents\GitHub\eaglep3\Utilities\RefineRTDCRunTimes.py" --tripid 193-24 --locoid 4062 --swversion DE.1.0.9.0 --startMP 204:471 --initTime 2017-09-24T15:07:30 --startdatetime 2017-09-24T15:15:14 --delay 60 --endMP 204:233332 --enddatetime 2017-09-24T15:51:16 --enforcementcount 0 &gt;&gt;c:\users\stu\Documents\GitHub\eaglep3-reporting\EC\2017-09-24-refined-times.txt</v>
      </c>
      <c r="AI106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{"issue":{"subject":"","project_id":79,"tracker_id":40,"status_id":1,"priority_id":2,"assigned_to_id":338,"start_date":"2017-09-24","description":"","custom_fields":[{"id":1,"name":"Subdivision","value":"EC"},{"id":4,"name":"Milepost","value":"23.3332"},{"id":17,"name":"Train ID","value":"193-24"},{"id":16,"name":"Locomotive ID","value":"4062"},{"id":130,"name":"Impact","value":""},{"id":150,"name":"Time of Event (Mountain Time)","value":"15:51:16"},{"id":151,"name":"Denver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6" s="47"/>
      <c r="AL106" s="47"/>
      <c r="AM106" s="142" t="str">
        <f t="shared" si="43"/>
        <v>start /low /b %USERPROFILE%\Documents\GitHub\eaglep3\Utilities\DownloadLogsFromS3.py --loco 4062 --day 2017-09-24</v>
      </c>
      <c r="AN106" s="151" t="str">
        <f t="shared" si="4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21:51:16"},{"id":29,"name":"Sharepoint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168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Message%20ID',Summary),filters:!(),index:'emp_*',interval:auto,query:"&amp;"(query_string:(analyze_wildcard:!t,query:'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-09-24T14:07:30-0600',mode:absolute,to:'2017-09-24T16:51:16-0600'))&amp;_a=(columns:!('Message%20ID',Summary),filters:!(),index:'emp_*',interval:auto,query:(query_string:(analyze_wildcard:!t,query:'%22rtdc.l.rtdc.4062%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748</v>
      </c>
      <c r="B107" s="7">
        <v>4061</v>
      </c>
      <c r="C107" s="21" t="s">
        <v>196</v>
      </c>
      <c r="D107" s="21" t="s">
        <v>862</v>
      </c>
      <c r="E107" s="13">
        <v>43002.662824074076</v>
      </c>
      <c r="F107" s="13">
        <v>43002.675300925926</v>
      </c>
      <c r="G107" s="7">
        <v>54</v>
      </c>
      <c r="H107" s="21" t="s">
        <v>337</v>
      </c>
      <c r="I107" s="13">
        <v>43002.703611111108</v>
      </c>
      <c r="J107" s="7">
        <v>0</v>
      </c>
      <c r="K107" s="89" t="str">
        <f t="shared" si="29"/>
        <v>4061/4062</v>
      </c>
      <c r="L107" s="185" t="str">
        <f>VLOOKUP(A107,'Trips&amp;Operators'!$C$1:$G$99911,5,FALSE)</f>
        <v>GUZMAN DANNY</v>
      </c>
      <c r="M107" s="6">
        <f t="shared" si="30"/>
        <v>2.8310185181908309E-2</v>
      </c>
      <c r="N107" s="7">
        <f t="shared" si="54"/>
        <v>40.766666661947966</v>
      </c>
      <c r="O107" s="7"/>
      <c r="P107" s="7"/>
      <c r="Q107" s="22"/>
      <c r="R107" s="174" t="s">
        <v>987</v>
      </c>
      <c r="S107" s="221">
        <f t="shared" si="53"/>
        <v>1</v>
      </c>
      <c r="T107" s="174" t="str">
        <f t="shared" si="31"/>
        <v>Southbound</v>
      </c>
      <c r="U107" s="198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16" t="str">
        <f t="shared" si="32"/>
        <v>https://d0f6bd738d7f1b3e5a7ca70fe4ff75f0.us-east-1.aws.found.io/app/kibana#/discover/Steve-Slow-Train-Analysis-(2080s-and-2083s)?_g=(refreshInterval:(display:Off,pause:!f,section:0,value:0),time:(from:'2017-09-24T14:54:28-0600',mode:absolute,to:'2017-09-24T17:53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07" s="204" t="str">
        <f>IF(AA107&lt;VLOOKUP(AG107,Variables!$AC$3:$AD$8,2,FALSE),"Y","N")</f>
        <v>N</v>
      </c>
      <c r="X107" s="204">
        <f t="shared" si="52"/>
        <v>1</v>
      </c>
      <c r="Y107" s="204">
        <f t="shared" si="50"/>
        <v>23.302700000000002</v>
      </c>
      <c r="Z107" s="204">
        <f t="shared" si="51"/>
        <v>1.4999999999999999E-2</v>
      </c>
      <c r="AA107" s="204">
        <f t="shared" si="36"/>
        <v>23.287700000000001</v>
      </c>
      <c r="AB107" s="54" t="e">
        <f>VLOOKUP(A107,Enforcements!$C$7:$K$11,8,0)</f>
        <v>#N/A</v>
      </c>
      <c r="AC107" s="51" t="e">
        <f>VLOOKUP(A107,Enforcements!$C$7:$E$11,3,0)</f>
        <v>#N/A</v>
      </c>
      <c r="AD107" s="179">
        <f t="shared" si="37"/>
        <v>194</v>
      </c>
      <c r="AE107" s="77" t="str">
        <f t="shared" si="38"/>
        <v>aws s3 cp s3://rtdc.mdm.uploadarchive.raw/RTDC4061/ "%USERPROFILE%\AppData\Local\Temp\OnboardLogs"\RTDC4061\2017-09-24 --exclude "*" --recursive --include "*20170924*" &amp; "%USERPROFILE%\Documents\GitHub\mrs-test-scripts\Headless Mode &amp; Sideloading\WalkAndUnGZ.bat" "%USERPROFILE%\AppData\Local\Temp\OnboardLogs"\RTDC4061\2017-09-24 &amp; aws s3 cp s3://rtdc.mdm.uploadarchive.raw/RTDC4061/ "%USERPROFILE%\AppData\Local\Temp\OnboardLogs"\RTDC4061\2017-09-25 --exclude "*" --recursive --include "*20170925*" &amp; "%USERPROFILE%\Documents\GitHub\mrs-test-scripts\Headless Mode &amp; Sideloading\WalkAndUnGZ.bat" "%USERPROFILE%\AppData\Local\Temp\OnboardLogs"\RTDC4061\2017-09-25</v>
      </c>
      <c r="AF107" s="74" t="str">
        <f t="shared" si="39"/>
        <v>"C:\Program Files (x86)\AstroGrep\AstroGrep.exe" /e /r /s /spath="%USERPROFILE%\AppData\Local\Temp\OnboardLogs" /stypes="app*4061*20170924*" /stext=" 22:.+((SYSTEM_STATE.+slice.+state.+changed )|(ment ac)|(multiple cpu faults)|(system.+state.+changed )|(\[timeout)|(PRM\|1\|D)|(kpr)|(kdp)|(train st.+moving)|(\|lc)|(penalty))"</v>
      </c>
      <c r="AG107" s="182" t="str">
        <f t="shared" si="40"/>
        <v>EC</v>
      </c>
      <c r="AH107" s="78" t="str">
        <f t="shared" si="41"/>
        <v>"%USERPROFILE%\Documents\GitHub\eaglep3\Utilities\RefineRTDCRunTimes.py" --tripid 194-24 --locoid 4061 --swversion DE.1.0.9.0 --startMP 204:233027 --initTime 2017-09-24T15:54:28 --startdatetime 2017-09-24T16:12:26 --delay 54 --endMP 204:150 --enddatetime 2017-09-24T16:53:12 --enforcementcount 0 &gt;&gt;c:\users\stu\Documents\GitHub\eaglep3-reporting\EC\2017-09-24-refined-times.txt</v>
      </c>
      <c r="AI107" s="96" t="str">
        <f t="shared" si="42"/>
        <v>echo {"issue":{"subject":"Observed wheel tach slip / slide, only went 0.1 miles w/o PTC","project_id":79,"tracker_id":40,"status_id":1,"priority_id":2,"assigned_to_id":338,"start_date":"2017-09-24","description":"","custom_fields":[{"id":1,"name":"Subdivision","value":"EC"},{"id":4,"name":"Milepost","value":"0.015"},{"id":17,"name":"Train ID","value":"194-24"},{"id":16,"name":"Locomotive ID","value":"4061"},{"id":130,"name":"Impact","value":""},{"id":150,"name":"Time of Event (Mountain Time)","value":"16:53:12"},{"id":151,"name":"Denver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7" s="47"/>
      <c r="AL107" s="47"/>
      <c r="AM107" s="142" t="str">
        <f t="shared" si="43"/>
        <v>start /low /b %USERPROFILE%\Documents\GitHub\eaglep3\Utilities\DownloadLogsFromS3.py --loco 4061 --day 2017-09-24</v>
      </c>
      <c r="AN107" s="151" t="str">
        <f t="shared" si="44"/>
        <v>echo {"issue":{"subject":"Observed wheel tach slip / slide, only went 0.1 miles w/o PTC","project_id":30,"tracker_id":4,"status_id":1,"priority_id":1,"assigned_to_id":10,"start_date":"2017-09-24","description":"","custom_fields":[{"id":30,"name":"Category","value":"Issue"},{"id":3,"name":"Functional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22:53:12"},{"id":29,"name":"Sharepoint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168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Message%20ID',Summary),filters:!(),index:'emp_*',interval:auto,query:"&amp;"(query_string:(analyze_wildcard:!t,query:'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-09-24T14:54:28-0600',mode:absolute,to:'2017-09-24T17:53:12-0600'))&amp;_a=(columns:!('Message%20ID',Summary),filters:!(),index:'emp_*',interval:auto,query:(query_string:(analyze_wildcard:!t,query:'%22rtdc.l.rtdc.4061%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743</v>
      </c>
      <c r="B108" s="7">
        <v>4066</v>
      </c>
      <c r="C108" s="21" t="s">
        <v>196</v>
      </c>
      <c r="D108" s="21" t="s">
        <v>435</v>
      </c>
      <c r="E108" s="13">
        <v>43002.641956018517</v>
      </c>
      <c r="F108" s="13">
        <v>43002.646006944444</v>
      </c>
      <c r="G108" s="7">
        <v>66</v>
      </c>
      <c r="H108" s="21" t="s">
        <v>424</v>
      </c>
      <c r="I108" s="13">
        <v>43002.671909722223</v>
      </c>
      <c r="J108" s="7">
        <v>0</v>
      </c>
      <c r="K108" s="89" t="str">
        <f t="shared" si="29"/>
        <v>4065/4066</v>
      </c>
      <c r="L108" s="185" t="str">
        <f>VLOOKUP(A108,'Trips&amp;Operators'!$C$1:$G$99911,5,FALSE)</f>
        <v>BADERTSCHER DIANE</v>
      </c>
      <c r="M108" s="6">
        <f t="shared" si="30"/>
        <v>2.5902777779265307E-2</v>
      </c>
      <c r="N108" s="7">
        <f t="shared" si="54"/>
        <v>37.300000002142042</v>
      </c>
      <c r="O108" s="7"/>
      <c r="P108" s="7"/>
      <c r="Q108" s="22"/>
      <c r="R108" s="174"/>
      <c r="S108" s="221">
        <f t="shared" si="53"/>
        <v>1</v>
      </c>
      <c r="T108" s="174" t="str">
        <f t="shared" si="31"/>
        <v>NorthBound</v>
      </c>
      <c r="U108" s="198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16" t="str">
        <f t="shared" si="32"/>
        <v>https://d0f6bd738d7f1b3e5a7ca70fe4ff75f0.us-east-1.aws.found.io/app/kibana#/discover/Steve-Slow-Train-Analysis-(2080s-and-2083s)?_g=(refreshInterval:(display:Off,pause:!f,section:0,value:0),time:(from:'2017-09-24T14:24:25-0600',mode:absolute,to:'2017-09-24T17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08" s="204" t="str">
        <f>IF(AA108&lt;VLOOKUP(AG108,Variables!$AC$3:$AD$8,2,FALSE),"Y","N")</f>
        <v>N</v>
      </c>
      <c r="X108" s="204">
        <f t="shared" si="52"/>
        <v>1</v>
      </c>
      <c r="Y108" s="204">
        <f t="shared" si="50"/>
        <v>4.5699999999999998E-2</v>
      </c>
      <c r="Z108" s="204">
        <f t="shared" si="51"/>
        <v>23.333200000000001</v>
      </c>
      <c r="AA108" s="204">
        <f t="shared" si="36"/>
        <v>23.287500000000001</v>
      </c>
      <c r="AB108" s="54" t="e">
        <f>VLOOKUP(A108,Enforcements!$C$7:$K$11,8,0)</f>
        <v>#N/A</v>
      </c>
      <c r="AC108" s="51" t="e">
        <f>VLOOKUP(A108,Enforcements!$C$7:$E$11,3,0)</f>
        <v>#N/A</v>
      </c>
      <c r="AD108" s="179">
        <f t="shared" si="37"/>
        <v>195</v>
      </c>
      <c r="AE108" s="77" t="str">
        <f t="shared" si="38"/>
        <v>aws s3 cp s3://rtdc.mdm.uploadarchive.raw/RTDC4066/ "%USERPROFILE%\AppData\Local\Temp\OnboardLogs"\RTDC4066\2017-09-24 --exclude "*" --recursive --include "*20170924*" &amp; "%USERPROFILE%\Documents\GitHub\mrs-test-scripts\Headless Mode &amp; Sideloading\WalkAndUnGZ.bat" "%USERPROFILE%\AppData\Local\Temp\OnboardLogs"\RTDC4066\2017-09-24 &amp; aws s3 cp s3://rtdc.mdm.uploadarchive.raw/RTDC4066/ "%USERPROFILE%\AppData\Local\Temp\OnboardLogs"\RTDC4066\2017-09-25 --exclude "*" --recursive --include "*20170925*" &amp; "%USERPROFILE%\Documents\GitHub\mrs-test-scripts\Headless Mode &amp; Sideloading\WalkAndUnGZ.bat" "%USERPROFILE%\AppData\Local\Temp\OnboardLogs"\RTDC4066\2017-09-25</v>
      </c>
      <c r="AF108" s="74" t="str">
        <f t="shared" si="39"/>
        <v>"C:\Program Files (x86)\AstroGrep\AstroGrep.exe" /e /r /s /spath="%USERPROFILE%\AppData\Local\Temp\OnboardLogs" /stypes="app*4066*20170924*" /stext=" 22:.+((SYSTEM_STATE.+slice.+state.+changed )|(ment ac)|(multiple cpu faults)|(system.+state.+changed )|(\[timeout)|(PRM\|1\|D)|(kpr)|(kdp)|(train st.+moving)|(\|lc)|(penalty))"</v>
      </c>
      <c r="AG108" s="182" t="str">
        <f t="shared" si="40"/>
        <v>EC</v>
      </c>
      <c r="AH108" s="78" t="str">
        <f t="shared" si="41"/>
        <v>"%USERPROFILE%\Documents\GitHub\eaglep3\Utilities\RefineRTDCRunTimes.py" --tripid 195-24 --locoid 4066 --swversion DE.1.0.9.0 --startMP 204:457 --initTime 2017-09-24T15:24:25 --startdatetime 2017-09-24T15:30:15 --delay 66 --endMP 204:233332 --enddatetime 2017-09-24T16:07:33 --enforcementcount 0 &gt;&gt;c:\users\stu\Documents\GitHub\eaglep3-reporting\EC\2017-09-24-refined-times.txt</v>
      </c>
      <c r="AI108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{"issue":{"subject":"","project_id":79,"tracker_id":40,"status_id":1,"priority_id":2,"assigned_to_id":338,"start_date":"2017-09-24","description":"","custom_fields":[{"id":1,"name":"Subdivision","value":"EC"},{"id":4,"name":"Milepost","value":"23.3332"},{"id":17,"name":"Train ID","value":"195-24"},{"id":16,"name":"Locomotive ID","value":"4066"},{"id":130,"name":"Impact","value":""},{"id":150,"name":"Time of Event (Mountain Time)","value":"16:07:33"},{"id":151,"name":"Denver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8" s="47"/>
      <c r="AL108" s="47"/>
      <c r="AM108" s="142" t="str">
        <f t="shared" si="43"/>
        <v>start /low /b %USERPROFILE%\Documents\GitHub\eaglep3\Utilities\DownloadLogsFromS3.py --loco 4066 --day 2017-09-24</v>
      </c>
      <c r="AN108" s="151" t="str">
        <f t="shared" si="4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22:07:33"},{"id":29,"name":"Sharepoint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168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Message%20ID',Summary),filters:!(),index:'emp_*',interval:auto,query:"&amp;"(query_string:(analyze_wildcard:!t,query:'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-09-24T14:24:25-0600',mode:absolute,to:'2017-09-24T17:07:33-0600'))&amp;_a=(columns:!('Message%20ID',Summary),filters:!(),index:'emp_*',interval:auto,query:(query_string:(analyze_wildcard:!t,query:'%22rtdc.l.rtdc.4066%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750</v>
      </c>
      <c r="B109" s="7">
        <v>4065</v>
      </c>
      <c r="C109" s="21" t="s">
        <v>196</v>
      </c>
      <c r="D109" s="21" t="s">
        <v>566</v>
      </c>
      <c r="E109" s="13">
        <v>43002.677604166667</v>
      </c>
      <c r="F109" s="13">
        <v>43002.685613425929</v>
      </c>
      <c r="G109" s="7">
        <v>60</v>
      </c>
      <c r="H109" s="21" t="s">
        <v>563</v>
      </c>
      <c r="I109" s="13">
        <v>43002.712314814817</v>
      </c>
      <c r="J109" s="7">
        <v>0</v>
      </c>
      <c r="K109" s="89" t="str">
        <f t="shared" si="29"/>
        <v>4065/4066</v>
      </c>
      <c r="L109" s="185" t="str">
        <f>VLOOKUP(A109,'Trips&amp;Operators'!$C$1:$G$99911,5,FALSE)</f>
        <v>BADERTSCHER DIANE</v>
      </c>
      <c r="M109" s="6">
        <f t="shared" si="30"/>
        <v>2.6701388887886424E-2</v>
      </c>
      <c r="N109" s="7">
        <f t="shared" si="54"/>
        <v>38.44999999855645</v>
      </c>
      <c r="O109" s="7"/>
      <c r="P109" s="7"/>
      <c r="Q109" s="22"/>
      <c r="R109" s="174"/>
      <c r="S109" s="221">
        <f t="shared" si="53"/>
        <v>1</v>
      </c>
      <c r="T109" s="174" t="str">
        <f t="shared" si="31"/>
        <v>Southbound</v>
      </c>
      <c r="U109" s="198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16" t="str">
        <f t="shared" si="32"/>
        <v>https://d0f6bd738d7f1b3e5a7ca70fe4ff75f0.us-east-1.aws.found.io/app/kibana#/discover/Steve-Slow-Train-Analysis-(2080s-and-2083s)?_g=(refreshInterval:(display:Off,pause:!f,section:0,value:0),time:(from:'2017-09-24T15:15:45-0600',mode:absolute,to:'2017-09-24T18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09" s="204" t="str">
        <f>IF(AA109&lt;VLOOKUP(AG109,Variables!$AC$3:$AD$8,2,FALSE),"Y","N")</f>
        <v>N</v>
      </c>
      <c r="X109" s="204">
        <f t="shared" si="52"/>
        <v>1</v>
      </c>
      <c r="Y109" s="204">
        <f t="shared" si="50"/>
        <v>23.3</v>
      </c>
      <c r="Z109" s="204">
        <f t="shared" si="51"/>
        <v>1.34E-2</v>
      </c>
      <c r="AA109" s="204">
        <f t="shared" si="36"/>
        <v>23.2866</v>
      </c>
      <c r="AB109" s="54" t="e">
        <f>VLOOKUP(A109,Enforcements!$C$7:$K$11,8,0)</f>
        <v>#N/A</v>
      </c>
      <c r="AC109" s="51" t="e">
        <f>VLOOKUP(A109,Enforcements!$C$7:$E$11,3,0)</f>
        <v>#N/A</v>
      </c>
      <c r="AD109" s="179">
        <f t="shared" si="37"/>
        <v>196</v>
      </c>
      <c r="AE109" s="77" t="str">
        <f t="shared" si="38"/>
        <v>aws s3 cp s3://rtdc.mdm.uploadarchive.raw/RTDC4065/ "%USERPROFILE%\AppData\Local\Temp\OnboardLogs"\RTDC4065\2017-09-24 --exclude "*" --recursive --include "*20170924*" &amp; "%USERPROFILE%\Documents\GitHub\mrs-test-scripts\Headless Mode &amp; Sideloading\WalkAndUnGZ.bat" "%USERPROFILE%\AppData\Local\Temp\OnboardLogs"\RTDC4065\2017-09-24 &amp; aws s3 cp s3://rtdc.mdm.uploadarchive.raw/RTDC4065/ "%USERPROFILE%\AppData\Local\Temp\OnboardLogs"\RTDC4065\2017-09-25 --exclude "*" --recursive --include "*20170925*" &amp; "%USERPROFILE%\Documents\GitHub\mrs-test-scripts\Headless Mode &amp; Sideloading\WalkAndUnGZ.bat" "%USERPROFILE%\AppData\Local\Temp\OnboardLogs"\RTDC4065\2017-09-25</v>
      </c>
      <c r="AF109" s="74" t="str">
        <f t="shared" si="39"/>
        <v>"C:\Program Files (x86)\AstroGrep\AstroGrep.exe" /e /r /s /spath="%USERPROFILE%\AppData\Local\Temp\OnboardLogs" /stypes="app*4065*20170924*" /stext=" 23:.+((SYSTEM_STATE.+slice.+state.+changed )|(ment ac)|(multiple cpu faults)|(system.+state.+changed )|(\[timeout)|(PRM\|1\|D)|(kpr)|(kdp)|(train st.+moving)|(\|lc)|(penalty))"</v>
      </c>
      <c r="AG109" s="182" t="str">
        <f t="shared" si="40"/>
        <v>EC</v>
      </c>
      <c r="AH109" s="78" t="str">
        <f t="shared" si="41"/>
        <v>"%USERPROFILE%\Documents\GitHub\eaglep3\Utilities\RefineRTDCRunTimes.py" --tripid 196-24 --locoid 4065 --swversion DE.1.0.9.0 --startMP 204:233000 --initTime 2017-09-24T16:15:45 --startdatetime 2017-09-24T16:27:17 --delay 60 --endMP 204:134 --enddatetime 2017-09-24T17:05:44 --enforcementcount 0 &gt;&gt;c:\users\stu\Documents\GitHub\eaglep3-reporting\EC\2017-09-24-refined-times.txt</v>
      </c>
      <c r="AI109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{"issue":{"subject":"","project_id":79,"tracker_id":40,"status_id":1,"priority_id":2,"assigned_to_id":338,"start_date":"2017-09-24","description":"","custom_fields":[{"id":1,"name":"Subdivision","value":"EC"},{"id":4,"name":"Milepost","value":"0.0134"},{"id":17,"name":"Train ID","value":"196-24"},{"id":16,"name":"Locomotive ID","value":"4065"},{"id":130,"name":"Impact","value":""},{"id":150,"name":"Time of Event (Mountain Time)","value":"17:05:44"},{"id":151,"name":"Denver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09" s="47"/>
      <c r="AL109" s="47"/>
      <c r="AM109" s="142" t="str">
        <f t="shared" si="43"/>
        <v>start /low /b %USERPROFILE%\Documents\GitHub\eaglep3\Utilities\DownloadLogsFromS3.py --loco 4065 --day 2017-09-24</v>
      </c>
      <c r="AN109" s="151" t="str">
        <f t="shared" si="4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23:05:44"},{"id":29,"name":"Sharepoint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168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Message%20ID',Summary),filters:!(),index:'emp_*',interval:auto,query:"&amp;"(query_string:(analyze_wildcard:!t,query:'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-09-24T15:15:45-0600',mode:absolute,to:'2017-09-24T18:05:44-0600'))&amp;_a=(columns:!('Message%20ID',Summary),filters:!(),index:'emp_*',interval:auto,query:(query_string:(analyze_wildcard:!t,query:'%22rtdc.l.rtdc.4065%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745</v>
      </c>
      <c r="B110" s="7">
        <v>4024</v>
      </c>
      <c r="C110" s="21" t="s">
        <v>196</v>
      </c>
      <c r="D110" s="21" t="s">
        <v>919</v>
      </c>
      <c r="E110" s="13">
        <v>43002.651273148149</v>
      </c>
      <c r="F110" s="13">
        <v>43002.656412037039</v>
      </c>
      <c r="G110" s="7">
        <v>86</v>
      </c>
      <c r="H110" s="21" t="s">
        <v>395</v>
      </c>
      <c r="I110" s="13">
        <v>43002.680995370371</v>
      </c>
      <c r="J110" s="7">
        <v>0</v>
      </c>
      <c r="K110" s="89" t="str">
        <f t="shared" si="29"/>
        <v>4023/4024</v>
      </c>
      <c r="L110" s="185" t="str">
        <f>VLOOKUP(A110,'Trips&amp;Operators'!$C$1:$G$99911,5,FALSE)</f>
        <v>BERLING GARY</v>
      </c>
      <c r="M110" s="6">
        <f t="shared" si="30"/>
        <v>2.4583333331975155E-2</v>
      </c>
      <c r="N110" s="7">
        <f t="shared" si="54"/>
        <v>35.399999998044223</v>
      </c>
      <c r="O110" s="7"/>
      <c r="P110" s="7"/>
      <c r="Q110" s="22"/>
      <c r="R110" s="174"/>
      <c r="S110" s="221">
        <f t="shared" si="53"/>
        <v>1</v>
      </c>
      <c r="T110" s="174" t="str">
        <f t="shared" si="31"/>
        <v>NorthBound</v>
      </c>
      <c r="U110" s="198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16" t="str">
        <f t="shared" si="32"/>
        <v>https://d0f6bd738d7f1b3e5a7ca70fe4ff75f0.us-east-1.aws.found.io/app/kibana#/discover/Steve-Slow-Train-Analysis-(2080s-and-2083s)?_g=(refreshInterval:(display:Off,pause:!f,section:0,value:0),time:(from:'2017-09-24T14:37:50-0600',mode:absolute,to:'2017-09-24T17:20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0" s="204" t="str">
        <f>IF(AA110&lt;VLOOKUP(AG110,Variables!$AC$3:$AD$8,2,FALSE),"Y","N")</f>
        <v>N</v>
      </c>
      <c r="X110" s="204">
        <f t="shared" si="52"/>
        <v>1</v>
      </c>
      <c r="Y110" s="204">
        <f t="shared" si="50"/>
        <v>5.0900000000000001E-2</v>
      </c>
      <c r="Z110" s="204">
        <f t="shared" si="51"/>
        <v>23.331199999999999</v>
      </c>
      <c r="AA110" s="204">
        <f t="shared" si="36"/>
        <v>23.2803</v>
      </c>
      <c r="AB110" s="54" t="e">
        <f>VLOOKUP(A110,Enforcements!$C$7:$K$11,8,0)</f>
        <v>#N/A</v>
      </c>
      <c r="AC110" s="51" t="e">
        <f>VLOOKUP(A110,Enforcements!$C$7:$E$11,3,0)</f>
        <v>#N/A</v>
      </c>
      <c r="AD110" s="179">
        <f t="shared" si="37"/>
        <v>197</v>
      </c>
      <c r="AE110" s="77" t="str">
        <f t="shared" si="38"/>
        <v>aws s3 cp s3://rtdc.mdm.uploadarchive.raw/RTDC4024/ "%USERPROFILE%\AppData\Local\Temp\OnboardLogs"\RTDC4024\2017-09-24 --exclude "*" --recursive --include "*20170924*" &amp; "%USERPROFILE%\Documents\GitHub\mrs-test-scripts\Headless Mode &amp; Sideloading\WalkAndUnGZ.bat" "%USERPROFILE%\AppData\Local\Temp\OnboardLogs"\RTDC4024\2017-09-24 &amp; aws s3 cp s3://rtdc.mdm.uploadarchive.raw/RTDC4024/ "%USERPROFILE%\AppData\Local\Temp\OnboardLogs"\RTDC4024\2017-09-25 --exclude "*" --recursive --include "*20170925*" &amp; "%USERPROFILE%\Documents\GitHub\mrs-test-scripts\Headless Mode &amp; Sideloading\WalkAndUnGZ.bat" "%USERPROFILE%\AppData\Local\Temp\OnboardLogs"\RTDC4024\2017-09-25</v>
      </c>
      <c r="AF110" s="74" t="str">
        <f t="shared" si="39"/>
        <v>"C:\Program Files (x86)\AstroGrep\AstroGrep.exe" /e /r /s /spath="%USERPROFILE%\AppData\Local\Temp\OnboardLogs" /stypes="app*4024*20170924*" /stext=" 22:.+((SYSTEM_STATE.+slice.+state.+changed )|(ment ac)|(multiple cpu faults)|(system.+state.+changed )|(\[timeout)|(PRM\|1\|D)|(kpr)|(kdp)|(train st.+moving)|(\|lc)|(penalty))"</v>
      </c>
      <c r="AG110" s="182" t="str">
        <f t="shared" si="40"/>
        <v>EC</v>
      </c>
      <c r="AH110" s="78" t="str">
        <f t="shared" si="41"/>
        <v>"%USERPROFILE%\Documents\GitHub\eaglep3\Utilities\RefineRTDCRunTimes.py" --tripid 197-24 --locoid 4024 --swversion DE.1.0.9.0 --startMP 204:509 --initTime 2017-09-24T15:37:50 --startdatetime 2017-09-24T15:45:14 --delay 86 --endMP 204:233312 --enddatetime 2017-09-24T16:20:38 --enforcementcount 0 &gt;&gt;c:\users\stu\Documents\GitHub\eaglep3-reporting\EC\2017-09-24-refined-times.txt</v>
      </c>
      <c r="AI110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{"issue":{"subject":"","project_id":79,"tracker_id":40,"status_id":1,"priority_id":2,"assigned_to_id":338,"start_date":"2017-09-24","description":"","custom_fields":[{"id":1,"name":"Subdivision","value":"EC"},{"id":4,"name":"Milepost","value":"23.3312"},{"id":17,"name":"Train ID","value":"197-24"},{"id":16,"name":"Locomotive ID","value":"4024"},{"id":130,"name":"Impact","value":""},{"id":150,"name":"Time of Event (Mountain Time)","value":"16:20:38"},{"id":151,"name":"Denver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0" s="47"/>
      <c r="AL110" s="47"/>
      <c r="AM110" s="142" t="str">
        <f t="shared" si="43"/>
        <v>start /low /b %USERPROFILE%\Documents\GitHub\eaglep3\Utilities\DownloadLogsFromS3.py --loco 4024 --day 2017-09-24</v>
      </c>
      <c r="AN110" s="151" t="str">
        <f t="shared" si="4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22:20:38"},{"id":29,"name":"Sharepoint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168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Message%20ID',Summary),filters:!(),index:'emp_*',interval:auto,query:"&amp;"(query_string:(analyze_wildcard:!t,query:'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-09-24T14:37:50-0600',mode:absolute,to:'2017-09-24T17:20:38-0600'))&amp;_a=(columns:!('Message%20ID',Summary),filters:!(),index:'emp_*',interval:auto,query:(query_string:(analyze_wildcard:!t,query:'%22rtdc.l.rtdc.4024%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755</v>
      </c>
      <c r="B111" s="7">
        <v>4023</v>
      </c>
      <c r="C111" s="21" t="s">
        <v>196</v>
      </c>
      <c r="D111" s="21" t="s">
        <v>411</v>
      </c>
      <c r="E111" s="13">
        <v>43002.687164351853</v>
      </c>
      <c r="F111" s="13">
        <v>43002.69599537037</v>
      </c>
      <c r="G111" s="7">
        <v>60</v>
      </c>
      <c r="H111" s="21" t="s">
        <v>920</v>
      </c>
      <c r="I111" s="13">
        <v>43002.722233796296</v>
      </c>
      <c r="J111" s="7">
        <v>0</v>
      </c>
      <c r="K111" s="89" t="str">
        <f t="shared" si="29"/>
        <v>4023/4024</v>
      </c>
      <c r="L111" s="185" t="str">
        <f>VLOOKUP(A111,'Trips&amp;Operators'!$C$1:$G$99911,5,FALSE)</f>
        <v>BERLING GARY</v>
      </c>
      <c r="M111" s="6">
        <f t="shared" si="30"/>
        <v>2.6238425925839692E-2</v>
      </c>
      <c r="N111" s="7">
        <f t="shared" si="54"/>
        <v>37.783333333209157</v>
      </c>
      <c r="O111" s="7"/>
      <c r="P111" s="7"/>
      <c r="Q111" s="22"/>
      <c r="R111" s="174"/>
      <c r="S111" s="221">
        <f t="shared" si="53"/>
        <v>1</v>
      </c>
      <c r="T111" s="174" t="str">
        <f t="shared" si="31"/>
        <v>Southbound</v>
      </c>
      <c r="U111" s="198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16" t="str">
        <f t="shared" si="32"/>
        <v>https://d0f6bd738d7f1b3e5a7ca70fe4ff75f0.us-east-1.aws.found.io/app/kibana#/discover/Steve-Slow-Train-Analysis-(2080s-and-2083s)?_g=(refreshInterval:(display:Off,pause:!f,section:0,value:0),time:(from:'2017-09-24T15:29:31-0600',mode:absolute,to:'2017-09-24T18:20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1" s="204" t="str">
        <f>IF(AA111&lt;VLOOKUP(AG111,Variables!$AC$3:$AD$8,2,FALSE),"Y","N")</f>
        <v>N</v>
      </c>
      <c r="X111" s="204">
        <f t="shared" si="52"/>
        <v>1</v>
      </c>
      <c r="Y111" s="204">
        <f t="shared" si="50"/>
        <v>23.299099999999999</v>
      </c>
      <c r="Z111" s="204">
        <f t="shared" si="51"/>
        <v>1.29E-2</v>
      </c>
      <c r="AA111" s="204">
        <f t="shared" si="36"/>
        <v>23.286200000000001</v>
      </c>
      <c r="AB111" s="54" t="e">
        <f>VLOOKUP(A111,Enforcements!$C$7:$K$11,8,0)</f>
        <v>#N/A</v>
      </c>
      <c r="AC111" s="51" t="e">
        <f>VLOOKUP(A111,Enforcements!$C$7:$E$11,3,0)</f>
        <v>#N/A</v>
      </c>
      <c r="AD111" s="179">
        <f t="shared" si="37"/>
        <v>198</v>
      </c>
      <c r="AE111" s="77" t="str">
        <f t="shared" si="38"/>
        <v>aws s3 cp s3://rtdc.mdm.uploadarchive.raw/RTDC4023/ "%USERPROFILE%\AppData\Local\Temp\OnboardLogs"\RTDC4023\2017-09-24 --exclude "*" --recursive --include "*20170924*" &amp; "%USERPROFILE%\Documents\GitHub\mrs-test-scripts\Headless Mode &amp; Sideloading\WalkAndUnGZ.bat" "%USERPROFILE%\AppData\Local\Temp\OnboardLogs"\RTDC4023\2017-09-24 &amp; aws s3 cp s3://rtdc.mdm.uploadarchive.raw/RTDC4023/ "%USERPROFILE%\AppData\Local\Temp\OnboardLogs"\RTDC4023\2017-09-25 --exclude "*" --recursive --include "*20170925*" &amp; "%USERPROFILE%\Documents\GitHub\mrs-test-scripts\Headless Mode &amp; Sideloading\WalkAndUnGZ.bat" "%USERPROFILE%\AppData\Local\Temp\OnboardLogs"\RTDC4023\2017-09-25</v>
      </c>
      <c r="AF111" s="74" t="str">
        <f t="shared" si="39"/>
        <v>"C:\Program Files (x86)\AstroGrep\AstroGrep.exe" /e /r /s /spath="%USERPROFILE%\AppData\Local\Temp\OnboardLogs" /stypes="app*4023*20170924*" /stext=" 23:.+((SYSTEM_STATE.+slice.+state.+changed )|(ment ac)|(multiple cpu faults)|(system.+state.+changed )|(\[timeout)|(PRM\|1\|D)|(kpr)|(kdp)|(train st.+moving)|(\|lc)|(penalty))"</v>
      </c>
      <c r="AG111" s="182" t="str">
        <f t="shared" si="40"/>
        <v>EC</v>
      </c>
      <c r="AH111" s="78" t="str">
        <f t="shared" si="41"/>
        <v>"%USERPROFILE%\Documents\GitHub\eaglep3\Utilities\RefineRTDCRunTimes.py" --tripid 198-24 --locoid 4023 --swversion DE.1.0.9.0 --startMP 204:232991 --initTime 2017-09-24T16:29:31 --startdatetime 2017-09-24T16:42:14 --delay 60 --endMP 204:129 --enddatetime 2017-09-24T17:20:01 --enforcementcount 0 &gt;&gt;c:\users\stu\Documents\GitHub\eaglep3-reporting\EC\2017-09-24-refined-times.txt</v>
      </c>
      <c r="AI111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{"issue":{"subject":"","project_id":79,"tracker_id":40,"status_id":1,"priority_id":2,"assigned_to_id":338,"start_date":"2017-09-24","description":"","custom_fields":[{"id":1,"name":"Subdivision","value":"EC"},{"id":4,"name":"Milepost","value":"0.0129"},{"id":17,"name":"Train ID","value":"198-24"},{"id":16,"name":"Locomotive ID","value":"4023"},{"id":130,"name":"Impact","value":""},{"id":150,"name":"Time of Event (Mountain Time)","value":"17:20:01"},{"id":151,"name":"Denver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1" s="47"/>
      <c r="AL111" s="47"/>
      <c r="AM111" s="142" t="str">
        <f t="shared" si="43"/>
        <v>start /low /b %USERPROFILE%\Documents\GitHub\eaglep3\Utilities\DownloadLogsFromS3.py --loco 4023 --day 2017-09-24</v>
      </c>
      <c r="AN111" s="151" t="str">
        <f t="shared" si="4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23:20:01"},{"id":29,"name":"Sharepoint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168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Message%20ID',Summary),filters:!(),index:'emp_*',interval:auto,query:"&amp;"(query_string:(analyze_wildcard:!t,query:'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-09-24T15:29:31-0600',mode:absolute,to:'2017-09-24T18:20:01-0600'))&amp;_a=(columns:!('Message%20ID',Summary),filters:!(),index:'emp_*',interval:auto,query:(query_string:(analyze_wildcard:!t,query:'%22rtdc.l.rtdc.4023%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747</v>
      </c>
      <c r="B112" s="7">
        <v>4064</v>
      </c>
      <c r="C112" s="21" t="s">
        <v>196</v>
      </c>
      <c r="D112" s="21" t="s">
        <v>921</v>
      </c>
      <c r="E112" s="13">
        <v>43002.661203703705</v>
      </c>
      <c r="F112" s="13">
        <v>43002.666886574072</v>
      </c>
      <c r="G112" s="7">
        <v>68</v>
      </c>
      <c r="H112" s="21" t="s">
        <v>408</v>
      </c>
      <c r="I112" s="13">
        <v>43002.692789351851</v>
      </c>
      <c r="J112" s="7">
        <v>0</v>
      </c>
      <c r="K112" s="89" t="str">
        <f t="shared" si="29"/>
        <v>4063/4064</v>
      </c>
      <c r="L112" s="185" t="str">
        <f>VLOOKUP(A112,'Trips&amp;Operators'!$C$1:$G$99911,5,FALSE)</f>
        <v>DAVIDSON DAVID</v>
      </c>
      <c r="M112" s="6">
        <f t="shared" si="30"/>
        <v>2.5902777779265307E-2</v>
      </c>
      <c r="N112" s="7">
        <f t="shared" si="54"/>
        <v>37.300000002142042</v>
      </c>
      <c r="O112" s="7"/>
      <c r="P112" s="7"/>
      <c r="Q112" s="22"/>
      <c r="R112" s="174"/>
      <c r="S112" s="221">
        <f t="shared" si="53"/>
        <v>1</v>
      </c>
      <c r="T112" s="174" t="str">
        <f t="shared" si="31"/>
        <v>NorthBound</v>
      </c>
      <c r="U112" s="198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16" t="str">
        <f t="shared" si="32"/>
        <v>https://d0f6bd738d7f1b3e5a7ca70fe4ff75f0.us-east-1.aws.found.io/app/kibana#/discover/Steve-Slow-Train-Analysis-(2080s-and-2083s)?_g=(refreshInterval:(display:Off,pause:!f,section:0,value:0),time:(from:'2017-09-24T14:52:08-0600',mode:absolute,to:'2017-09-24T17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12" s="204" t="str">
        <f>IF(AA112&lt;VLOOKUP(AG112,Variables!$AC$3:$AD$8,2,FALSE),"Y","N")</f>
        <v>N</v>
      </c>
      <c r="X112" s="204">
        <f t="shared" si="52"/>
        <v>1</v>
      </c>
      <c r="Y112" s="204">
        <f t="shared" si="50"/>
        <v>4.8599999999999997E-2</v>
      </c>
      <c r="Z112" s="204">
        <f t="shared" si="51"/>
        <v>23.3293</v>
      </c>
      <c r="AA112" s="204">
        <f t="shared" si="36"/>
        <v>23.2807</v>
      </c>
      <c r="AB112" s="54" t="e">
        <f>VLOOKUP(A112,Enforcements!$C$7:$K$11,8,0)</f>
        <v>#N/A</v>
      </c>
      <c r="AC112" s="51" t="e">
        <f>VLOOKUP(A112,Enforcements!$C$7:$E$11,3,0)</f>
        <v>#N/A</v>
      </c>
      <c r="AD112" s="179">
        <f t="shared" si="37"/>
        <v>199</v>
      </c>
      <c r="AE112" s="77" t="str">
        <f t="shared" si="38"/>
        <v>aws s3 cp s3://rtdc.mdm.uploadarchive.raw/RTDC4064/ "%USERPROFILE%\AppData\Local\Temp\OnboardLogs"\RTDC4064\2017-09-24 --exclude "*" --recursive --include "*20170924*" &amp; "%USERPROFILE%\Documents\GitHub\mrs-test-scripts\Headless Mode &amp; Sideloading\WalkAndUnGZ.bat" "%USERPROFILE%\AppData\Local\Temp\OnboardLogs"\RTDC4064\2017-09-24 &amp; aws s3 cp s3://rtdc.mdm.uploadarchive.raw/RTDC4064/ "%USERPROFILE%\AppData\Local\Temp\OnboardLogs"\RTDC4064\2017-09-25 --exclude "*" --recursive --include "*20170925*" &amp; "%USERPROFILE%\Documents\GitHub\mrs-test-scripts\Headless Mode &amp; Sideloading\WalkAndUnGZ.bat" "%USERPROFILE%\AppData\Local\Temp\OnboardLogs"\RTDC4064\2017-09-25</v>
      </c>
      <c r="AF112" s="74" t="str">
        <f t="shared" si="39"/>
        <v>"C:\Program Files (x86)\AstroGrep\AstroGrep.exe" /e /r /s /spath="%USERPROFILE%\AppData\Local\Temp\OnboardLogs" /stypes="app*4064*20170924*" /stext=" 22:.+((SYSTEM_STATE.+slice.+state.+changed )|(ment ac)|(multiple cpu faults)|(system.+state.+changed )|(\[timeout)|(PRM\|1\|D)|(kpr)|(kdp)|(train st.+moving)|(\|lc)|(penalty))"</v>
      </c>
      <c r="AG112" s="182" t="str">
        <f t="shared" si="40"/>
        <v>EC</v>
      </c>
      <c r="AH112" s="78" t="str">
        <f t="shared" si="41"/>
        <v>"%USERPROFILE%\Documents\GitHub\eaglep3\Utilities\RefineRTDCRunTimes.py" --tripid 199-24 --locoid 4064 --swversion DE.1.0.9.0 --startMP 204:486 --initTime 2017-09-24T15:52:08 --startdatetime 2017-09-24T16:00:19 --delay 68 --endMP 204:233293 --enddatetime 2017-09-24T16:37:37 --enforcementcount 0 &gt;&gt;c:\users\stu\Documents\GitHub\eaglep3-reporting\EC\2017-09-24-refined-times.txt</v>
      </c>
      <c r="AI112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{"issue":{"subject":"","project_id":79,"tracker_id":40,"status_id":1,"priority_id":2,"assigned_to_id":338,"start_date":"2017-09-24","description":"","custom_fields":[{"id":1,"name":"Subdivision","value":"EC"},{"id":4,"name":"Milepost","value":"23.3293"},{"id":17,"name":"Train ID","value":"199-24"},{"id":16,"name":"Locomotive ID","value":"4064"},{"id":130,"name":"Impact","value":""},{"id":150,"name":"Time of Event (Mountain Time)","value":"16:37:37"},{"id":151,"name":"Denver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2" s="47"/>
      <c r="AL112" s="47"/>
      <c r="AM112" s="142" t="str">
        <f t="shared" si="43"/>
        <v>start /low /b %USERPROFILE%\Documents\GitHub\eaglep3\Utilities\DownloadLogsFromS3.py --loco 4064 --day 2017-09-24</v>
      </c>
      <c r="AN112" s="151" t="str">
        <f t="shared" si="4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22:37:37"},{"id":29,"name":"Sharepoint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168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Message%20ID',Summary),filters:!(),index:'emp_*',interval:auto,query:"&amp;"(query_string:(analyze_wildcard:!t,query:'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-09-24T14:52:08-0600',mode:absolute,to:'2017-09-24T17:37:37-0600'))&amp;_a=(columns:!('Message%20ID',Summary),filters:!(),index:'emp_*',interval:auto,query:(query_string:(analyze_wildcard:!t,query:'%22rtdc.l.rtdc.4064%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757</v>
      </c>
      <c r="B113" s="7">
        <v>4063</v>
      </c>
      <c r="C113" s="21" t="s">
        <v>196</v>
      </c>
      <c r="D113" s="21" t="s">
        <v>853</v>
      </c>
      <c r="E113" s="13">
        <v>43002.694467592592</v>
      </c>
      <c r="F113" s="13">
        <v>43002.706458333334</v>
      </c>
      <c r="G113" s="7">
        <v>68</v>
      </c>
      <c r="H113" s="21" t="s">
        <v>372</v>
      </c>
      <c r="I113" s="13">
        <v>43002.733969907407</v>
      </c>
      <c r="J113" s="7">
        <v>0</v>
      </c>
      <c r="K113" s="89" t="str">
        <f t="shared" si="29"/>
        <v>4063/4064</v>
      </c>
      <c r="L113" s="185" t="str">
        <f>VLOOKUP(A113,'Trips&amp;Operators'!$C$1:$G$99911,5,FALSE)</f>
        <v>DAVIDSON DAVID</v>
      </c>
      <c r="M113" s="6">
        <f t="shared" si="30"/>
        <v>2.7511574073287193E-2</v>
      </c>
      <c r="N113" s="7">
        <f t="shared" si="54"/>
        <v>39.616666665533558</v>
      </c>
      <c r="O113" s="7"/>
      <c r="P113" s="7"/>
      <c r="Q113" s="22"/>
      <c r="R113" s="174"/>
      <c r="S113" s="221">
        <f t="shared" si="53"/>
        <v>1</v>
      </c>
      <c r="T113" s="174" t="str">
        <f t="shared" si="31"/>
        <v>Southbound</v>
      </c>
      <c r="U113" s="198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16" t="str">
        <f t="shared" si="32"/>
        <v>https://d0f6bd738d7f1b3e5a7ca70fe4ff75f0.us-east-1.aws.found.io/app/kibana#/discover/Steve-Slow-Train-Analysis-(2080s-and-2083s)?_g=(refreshInterval:(display:Off,pause:!f,section:0,value:0),time:(from:'2017-09-24T15:40:02-0600',mode:absolute,to:'2017-09-24T18:36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13" s="204" t="str">
        <f>IF(AA113&lt;VLOOKUP(AG113,Variables!$AC$3:$AD$8,2,FALSE),"Y","N")</f>
        <v>N</v>
      </c>
      <c r="X113" s="204">
        <f t="shared" si="52"/>
        <v>1</v>
      </c>
      <c r="Y113" s="204">
        <f t="shared" si="50"/>
        <v>23.296299999999999</v>
      </c>
      <c r="Z113" s="204">
        <f t="shared" si="51"/>
        <v>1.61E-2</v>
      </c>
      <c r="AA113" s="204">
        <f t="shared" si="36"/>
        <v>23.280199999999997</v>
      </c>
      <c r="AB113" s="54" t="e">
        <f>VLOOKUP(A113,Enforcements!$C$7:$K$11,8,0)</f>
        <v>#N/A</v>
      </c>
      <c r="AC113" s="51" t="e">
        <f>VLOOKUP(A113,Enforcements!$C$7:$E$11,3,0)</f>
        <v>#N/A</v>
      </c>
      <c r="AD113" s="179">
        <f t="shared" si="37"/>
        <v>200</v>
      </c>
      <c r="AE113" s="77" t="str">
        <f t="shared" si="38"/>
        <v>aws s3 cp s3://rtdc.mdm.uploadarchive.raw/RTDC4063/ "%USERPROFILE%\AppData\Local\Temp\OnboardLogs"\RTDC4063\2017-09-24 --exclude "*" --recursive --include "*20170924*" &amp; "%USERPROFILE%\Documents\GitHub\mrs-test-scripts\Headless Mode &amp; Sideloading\WalkAndUnGZ.bat" "%USERPROFILE%\AppData\Local\Temp\OnboardLogs"\RTDC4063\2017-09-24 &amp; aws s3 cp s3://rtdc.mdm.uploadarchive.raw/RTDC4063/ "%USERPROFILE%\AppData\Local\Temp\OnboardLogs"\RTDC4063\2017-09-25 --exclude "*" --recursive --include "*20170925*" &amp; "%USERPROFILE%\Documents\GitHub\mrs-test-scripts\Headless Mode &amp; Sideloading\WalkAndUnGZ.bat" "%USERPROFILE%\AppData\Local\Temp\OnboardLogs"\RTDC4063\2017-09-25</v>
      </c>
      <c r="AF113" s="74" t="str">
        <f t="shared" si="39"/>
        <v>"C:\Program Files (x86)\AstroGrep\AstroGrep.exe" /e /r /s /spath="%USERPROFILE%\AppData\Local\Temp\OnboardLogs" /stypes="app*4063*20170924*" /stext=" 23:.+((SYSTEM_STATE.+slice.+state.+changed )|(ment ac)|(multiple cpu faults)|(system.+state.+changed )|(\[timeout)|(PRM\|1\|D)|(kpr)|(kdp)|(train st.+moving)|(\|lc)|(penalty))"</v>
      </c>
      <c r="AG113" s="182" t="str">
        <f t="shared" si="40"/>
        <v>EC</v>
      </c>
      <c r="AH113" s="78" t="str">
        <f t="shared" si="41"/>
        <v>"%USERPROFILE%\Documents\GitHub\eaglep3\Utilities\RefineRTDCRunTimes.py" --tripid 200-24 --locoid 4063 --swversion DE.1.0.9.0 --startMP 204:232963 --initTime 2017-09-24T16:40:02 --startdatetime 2017-09-24T16:57:18 --delay 68 --endMP 204:161 --enddatetime 2017-09-24T17:36:55 --enforcementcount 0 &gt;&gt;c:\users\stu\Documents\GitHub\eaglep3-reporting\EC\2017-09-24-refined-times.txt</v>
      </c>
      <c r="AI113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{"issue":{"subject":"","project_id":79,"tracker_id":40,"status_id":1,"priority_id":2,"assigned_to_id":338,"start_date":"2017-09-24","description":"","custom_fields":[{"id":1,"name":"Subdivision","value":"EC"},{"id":4,"name":"Milepost","value":"0.0161"},{"id":17,"name":"Train ID","value":"200-24"},{"id":16,"name":"Locomotive ID","value":"4063"},{"id":130,"name":"Impact","value":""},{"id":150,"name":"Time of Event (Mountain Time)","value":"17:36:55"},{"id":151,"name":"Denver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3" s="47"/>
      <c r="AL113" s="47"/>
      <c r="AM113" s="142" t="str">
        <f t="shared" si="43"/>
        <v>start /low /b %USERPROFILE%\Documents\GitHub\eaglep3\Utilities\DownloadLogsFromS3.py --loco 4063 --day 2017-09-24</v>
      </c>
      <c r="AN113" s="151" t="str">
        <f t="shared" si="4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23:36:55"},{"id":29,"name":"Sharepoint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168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Message%20ID',Summary),filters:!(),index:'emp_*',interval:auto,query:"&amp;"(query_string:(analyze_wildcard:!t,query:'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-09-24T15:40:02-0600',mode:absolute,to:'2017-09-24T18:36:55-0600'))&amp;_a=(columns:!('Message%20ID',Summary),filters:!(),index:'emp_*',interval:auto,query:(query_string:(analyze_wildcard:!t,query:'%22rtdc.l.rtdc.4063%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749</v>
      </c>
      <c r="B114" s="7">
        <v>4018</v>
      </c>
      <c r="C114" s="21" t="s">
        <v>196</v>
      </c>
      <c r="D114" s="21" t="s">
        <v>340</v>
      </c>
      <c r="E114" s="13">
        <v>43002.6719212963</v>
      </c>
      <c r="F114" s="13">
        <v>43002.677384259259</v>
      </c>
      <c r="G114" s="7">
        <v>64</v>
      </c>
      <c r="H114" s="21" t="s">
        <v>444</v>
      </c>
      <c r="I114" s="13">
        <v>43002.702361111114</v>
      </c>
      <c r="J114" s="7">
        <v>0</v>
      </c>
      <c r="K114" s="89" t="str">
        <f t="shared" si="29"/>
        <v>4017/4018</v>
      </c>
      <c r="L114" s="185" t="str">
        <f>VLOOKUP(A114,'Trips&amp;Operators'!$C$1:$G$99911,5,FALSE)</f>
        <v>SMITH MICHAEL</v>
      </c>
      <c r="M114" s="6">
        <f t="shared" si="30"/>
        <v>2.4976851855171844E-2</v>
      </c>
      <c r="N114" s="7">
        <f t="shared" si="54"/>
        <v>35.966666671447456</v>
      </c>
      <c r="O114" s="7"/>
      <c r="P114" s="7"/>
      <c r="Q114" s="22"/>
      <c r="R114" s="174"/>
      <c r="S114" s="221">
        <f t="shared" si="53"/>
        <v>1</v>
      </c>
      <c r="T114" s="174" t="str">
        <f t="shared" si="31"/>
        <v>NorthBound</v>
      </c>
      <c r="U114" s="198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16" t="str">
        <f t="shared" si="32"/>
        <v>https://d0f6bd738d7f1b3e5a7ca70fe4ff75f0.us-east-1.aws.found.io/app/kibana#/discover/Steve-Slow-Train-Analysis-(2080s-and-2083s)?_g=(refreshInterval:(display:Off,pause:!f,section:0,value:0),time:(from:'2017-09-24T15:07:34-0600',mode:absolute,to:'2017-09-24T17:51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4" s="204" t="str">
        <f>IF(AA114&lt;VLOOKUP(AG114,Variables!$AC$3:$AD$8,2,FALSE),"Y","N")</f>
        <v>N</v>
      </c>
      <c r="X114" s="204">
        <f t="shared" si="52"/>
        <v>1</v>
      </c>
      <c r="Y114" s="204">
        <f t="shared" si="50"/>
        <v>4.53E-2</v>
      </c>
      <c r="Z114" s="204">
        <f t="shared" si="51"/>
        <v>23.3306</v>
      </c>
      <c r="AA114" s="204">
        <f t="shared" si="36"/>
        <v>23.285299999999999</v>
      </c>
      <c r="AB114" s="54" t="e">
        <f>VLOOKUP(A114,Enforcements!$C$7:$K$11,8,0)</f>
        <v>#N/A</v>
      </c>
      <c r="AC114" s="51" t="e">
        <f>VLOOKUP(A114,Enforcements!$C$7:$E$11,3,0)</f>
        <v>#N/A</v>
      </c>
      <c r="AD114" s="179">
        <f t="shared" si="37"/>
        <v>201</v>
      </c>
      <c r="AE114" s="77" t="str">
        <f t="shared" si="38"/>
        <v>aws s3 cp s3://rtdc.mdm.uploadarchive.raw/RTDC4018/ "%USERPROFILE%\AppData\Local\Temp\OnboardLogs"\RTDC4018\2017-09-24 --exclude "*" --recursive --include "*20170924*" &amp; "%USERPROFILE%\Documents\GitHub\mrs-test-scripts\Headless Mode &amp; Sideloading\WalkAndUnGZ.bat" "%USERPROFILE%\AppData\Local\Temp\OnboardLogs"\RTDC4018\2017-09-24 &amp; aws s3 cp s3://rtdc.mdm.uploadarchive.raw/RTDC4018/ "%USERPROFILE%\AppData\Local\Temp\OnboardLogs"\RTDC4018\2017-09-25 --exclude "*" --recursive --include "*20170925*" &amp; "%USERPROFILE%\Documents\GitHub\mrs-test-scripts\Headless Mode &amp; Sideloading\WalkAndUnGZ.bat" "%USERPROFILE%\AppData\Local\Temp\OnboardLogs"\RTDC4018\2017-09-25</v>
      </c>
      <c r="AF114" s="74" t="str">
        <f t="shared" si="39"/>
        <v>"C:\Program Files (x86)\AstroGrep\AstroGrep.exe" /e /r /s /spath="%USERPROFILE%\AppData\Local\Temp\OnboardLogs" /stypes="app*4018*20170924*" /stext=" 22:.+((SYSTEM_STATE.+slice.+state.+changed )|(ment ac)|(multiple cpu faults)|(system.+state.+changed )|(\[timeout)|(PRM\|1\|D)|(kpr)|(kdp)|(train st.+moving)|(\|lc)|(penalty))"</v>
      </c>
      <c r="AG114" s="182" t="str">
        <f t="shared" si="40"/>
        <v>EC</v>
      </c>
      <c r="AH114" s="78" t="str">
        <f t="shared" si="41"/>
        <v>"%USERPROFILE%\Documents\GitHub\eaglep3\Utilities\RefineRTDCRunTimes.py" --tripid 201-24 --locoid 4018 --swversion DE.1.0.9.0 --startMP 204:453 --initTime 2017-09-24T16:07:34 --startdatetime 2017-09-24T16:15:26 --delay 64 --endMP 204:233306 --enddatetime 2017-09-24T16:51:24 --enforcementcount 0 &gt;&gt;c:\users\stu\Documents\GitHub\eaglep3-reporting\EC\2017-09-24-refined-times.txt</v>
      </c>
      <c r="AI114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{"issue":{"subject":"","project_id":79,"tracker_id":40,"status_id":1,"priority_id":2,"assigned_to_id":338,"start_date":"2017-09-24","description":"","custom_fields":[{"id":1,"name":"Subdivision","value":"EC"},{"id":4,"name":"Milepost","value":"23.3306"},{"id":17,"name":"Train ID","value":"201-24"},{"id":16,"name":"Locomotive ID","value":"4018"},{"id":130,"name":"Impact","value":""},{"id":150,"name":"Time of Event (Mountain Time)","value":"16:51:24"},{"id":151,"name":"Denver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4" s="47"/>
      <c r="AL114" s="47"/>
      <c r="AM114" s="142" t="str">
        <f t="shared" si="43"/>
        <v>start /low /b %USERPROFILE%\Documents\GitHub\eaglep3\Utilities\DownloadLogsFromS3.py --loco 4018 --day 2017-09-24</v>
      </c>
      <c r="AN114" s="151" t="str">
        <f t="shared" si="4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22:51:24"},{"id":29,"name":"Sharepoint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168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Message%20ID',Summary),filters:!(),index:'emp_*',interval:auto,query:"&amp;"(query_string:(analyze_wildcard:!t,query:'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-09-24T15:07:34-0600',mode:absolute,to:'2017-09-24T17:51:24-0600'))&amp;_a=(columns:!('Message%20ID',Summary),filters:!(),index:'emp_*',interval:auto,query:(query_string:(analyze_wildcard:!t,query:'%22rtdc.l.rtdc.4018%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761</v>
      </c>
      <c r="B115" s="7">
        <v>4017</v>
      </c>
      <c r="C115" s="21" t="s">
        <v>196</v>
      </c>
      <c r="D115" s="21" t="s">
        <v>402</v>
      </c>
      <c r="E115" s="13">
        <v>43002.708506944444</v>
      </c>
      <c r="F115" s="13">
        <v>43002.716909722221</v>
      </c>
      <c r="G115" s="7">
        <v>97</v>
      </c>
      <c r="H115" s="21" t="s">
        <v>401</v>
      </c>
      <c r="I115" s="13">
        <v>43002.742708333331</v>
      </c>
      <c r="J115" s="7">
        <v>0</v>
      </c>
      <c r="K115" s="89" t="str">
        <f t="shared" si="29"/>
        <v>4017/4018</v>
      </c>
      <c r="L115" s="185" t="str">
        <f>VLOOKUP(A115,'Trips&amp;Operators'!$C$1:$G$99911,5,FALSE)</f>
        <v>SMITH MICHAEL</v>
      </c>
      <c r="M115" s="6">
        <f t="shared" si="30"/>
        <v>2.5798611110076308E-2</v>
      </c>
      <c r="N115" s="7">
        <f t="shared" si="54"/>
        <v>37.149999998509884</v>
      </c>
      <c r="O115" s="7"/>
      <c r="P115" s="7"/>
      <c r="Q115" s="22"/>
      <c r="R115" s="174"/>
      <c r="S115" s="221">
        <f t="shared" si="53"/>
        <v>1</v>
      </c>
      <c r="T115" s="174" t="str">
        <f t="shared" si="31"/>
        <v>Southbound</v>
      </c>
      <c r="U115" s="198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16" t="str">
        <f t="shared" si="32"/>
        <v>https://d0f6bd738d7f1b3e5a7ca70fe4ff75f0.us-east-1.aws.found.io/app/kibana#/discover/Steve-Slow-Train-Analysis-(2080s-and-2083s)?_g=(refreshInterval:(display:Off,pause:!f,section:0,value:0),time:(from:'2017-09-24T16:00:15-0600',mode:absolute,to:'2017-09-24T18:49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5" s="204" t="str">
        <f>IF(AA115&lt;VLOOKUP(AG115,Variables!$AC$3:$AD$8,2,FALSE),"Y","N")</f>
        <v>N</v>
      </c>
      <c r="X115" s="204">
        <f t="shared" si="52"/>
        <v>1</v>
      </c>
      <c r="Y115" s="204">
        <f t="shared" si="50"/>
        <v>23.298100000000002</v>
      </c>
      <c r="Z115" s="204">
        <f t="shared" si="51"/>
        <v>1.54E-2</v>
      </c>
      <c r="AA115" s="204">
        <f t="shared" si="36"/>
        <v>23.282700000000002</v>
      </c>
      <c r="AB115" s="54" t="e">
        <f>VLOOKUP(A115,Enforcements!$C$7:$K$11,8,0)</f>
        <v>#N/A</v>
      </c>
      <c r="AC115" s="51" t="e">
        <f>VLOOKUP(A115,Enforcements!$C$7:$E$11,3,0)</f>
        <v>#N/A</v>
      </c>
      <c r="AD115" s="179">
        <f t="shared" si="37"/>
        <v>202</v>
      </c>
      <c r="AE115" s="77" t="str">
        <f t="shared" si="38"/>
        <v>aws s3 cp s3://rtdc.mdm.uploadarchive.raw/RTDC4017/ "%USERPROFILE%\AppData\Local\Temp\OnboardLogs"\RTDC4017\2017-09-24 --exclude "*" --recursive --include "*20170924*" &amp; "%USERPROFILE%\Documents\GitHub\mrs-test-scripts\Headless Mode &amp; Sideloading\WalkAndUnGZ.bat" "%USERPROFILE%\AppData\Local\Temp\OnboardLogs"\RTDC4017\2017-09-24 &amp; aws s3 cp s3://rtdc.mdm.uploadarchive.raw/RTDC4017/ "%USERPROFILE%\AppData\Local\Temp\OnboardLogs"\RTDC4017\2017-09-25 --exclude "*" --recursive --include "*20170925*" &amp; "%USERPROFILE%\Documents\GitHub\mrs-test-scripts\Headless Mode &amp; Sideloading\WalkAndUnGZ.bat" "%USERPROFILE%\AppData\Local\Temp\OnboardLogs"\RTDC4017\2017-09-25</v>
      </c>
      <c r="AF115" s="74" t="str">
        <f t="shared" si="39"/>
        <v>"C:\Program Files (x86)\AstroGrep\AstroGrep.exe" /e /r /s /spath="%USERPROFILE%\AppData\Local\Temp\OnboardLogs" /stypes="app*4017*20170924*" /stext=" 23:.+((SYSTEM_STATE.+slice.+state.+changed )|(ment ac)|(multiple cpu faults)|(system.+state.+changed )|(\[timeout)|(PRM\|1\|D)|(kpr)|(kdp)|(train st.+moving)|(\|lc)|(penalty))"</v>
      </c>
      <c r="AG115" s="182" t="str">
        <f t="shared" si="40"/>
        <v>EC</v>
      </c>
      <c r="AH115" s="78" t="str">
        <f t="shared" si="41"/>
        <v>"%USERPROFILE%\Documents\GitHub\eaglep3\Utilities\RefineRTDCRunTimes.py" --tripid 202-24 --locoid 4017 --swversion DE.1.0.9.0 --startMP 204:232981 --initTime 2017-09-24T17:00:15 --startdatetime 2017-09-24T17:12:21 --delay 97 --endMP 204:154 --enddatetime 2017-09-24T17:49:30 --enforcementcount 0 &gt;&gt;c:\users\stu\Documents\GitHub\eaglep3-reporting\EC\2017-09-24-refined-times.txt</v>
      </c>
      <c r="AI115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{"issue":{"subject":"","project_id":79,"tracker_id":40,"status_id":1,"priority_id":2,"assigned_to_id":338,"start_date":"2017-09-24","description":"","custom_fields":[{"id":1,"name":"Subdivision","value":"EC"},{"id":4,"name":"Milepost","value":"0.0154"},{"id":17,"name":"Train ID","value":"202-24"},{"id":16,"name":"Locomotive ID","value":"4017"},{"id":130,"name":"Impact","value":""},{"id":150,"name":"Time of Event (Mountain Time)","value":"17:49:30"},{"id":151,"name":"Denver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5" s="47"/>
      <c r="AL115" s="47"/>
      <c r="AM115" s="142" t="str">
        <f t="shared" si="43"/>
        <v>start /low /b %USERPROFILE%\Documents\GitHub\eaglep3\Utilities\DownloadLogsFromS3.py --loco 4017 --day 2017-09-24</v>
      </c>
      <c r="AN115" s="151" t="str">
        <f t="shared" si="4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23:49:30"},{"id":29,"name":"Sharepoint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168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Message%20ID',Summary),filters:!(),index:'emp_*',interval:auto,query:"&amp;"(query_string:(analyze_wildcard:!t,query:'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-09-24T16:00:15-0600',mode:absolute,to:'2017-09-24T18:49:30-0600'))&amp;_a=(columns:!('Message%20ID',Summary),filters:!(),index:'emp_*',interval:auto,query:(query_string:(analyze_wildcard:!t,query:'%22rtdc.l.rtdc.4017%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754</v>
      </c>
      <c r="B116" s="7">
        <v>4046</v>
      </c>
      <c r="C116" s="21" t="s">
        <v>196</v>
      </c>
      <c r="D116" s="21" t="s">
        <v>371</v>
      </c>
      <c r="E116" s="13">
        <v>43002.685601851852</v>
      </c>
      <c r="F116" s="13">
        <v>43002.687835648147</v>
      </c>
      <c r="G116" s="7">
        <v>53</v>
      </c>
      <c r="H116" s="21" t="s">
        <v>856</v>
      </c>
      <c r="I116" s="13">
        <v>43002.714583333334</v>
      </c>
      <c r="J116" s="7">
        <v>0</v>
      </c>
      <c r="K116" s="89" t="str">
        <f t="shared" si="29"/>
        <v>4045/4046</v>
      </c>
      <c r="L116" s="185" t="str">
        <f>VLOOKUP(A116,'Trips&amp;Operators'!$C$1:$G$99911,5,FALSE)</f>
        <v>DAVIS MICHAEL</v>
      </c>
      <c r="M116" s="6">
        <f t="shared" si="30"/>
        <v>2.6747685187729076E-2</v>
      </c>
      <c r="N116" s="7">
        <f t="shared" si="54"/>
        <v>38.516666670329869</v>
      </c>
      <c r="O116" s="7"/>
      <c r="P116" s="7"/>
      <c r="Q116" s="22"/>
      <c r="R116" s="174"/>
      <c r="S116" s="221">
        <f t="shared" si="53"/>
        <v>1</v>
      </c>
      <c r="T116" s="174" t="str">
        <f t="shared" si="31"/>
        <v>NorthBound</v>
      </c>
      <c r="U116" s="198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16" t="str">
        <f t="shared" si="32"/>
        <v>https://d0f6bd738d7f1b3e5a7ca70fe4ff75f0.us-east-1.aws.found.io/app/kibana#/discover/Steve-Slow-Train-Analysis-(2080s-and-2083s)?_g=(refreshInterval:(display:Off,pause:!f,section:0,value:0),time:(from:'2017-09-24T15:27:16-0600',mode:absolute,to:'2017-09-24T18:09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6" s="204" t="str">
        <f>IF(AA116&lt;VLOOKUP(AG116,Variables!$AC$3:$AD$8,2,FALSE),"Y","N")</f>
        <v>N</v>
      </c>
      <c r="X116" s="204">
        <f t="shared" si="52"/>
        <v>1</v>
      </c>
      <c r="Y116" s="204">
        <f t="shared" si="50"/>
        <v>4.6899999999999997E-2</v>
      </c>
      <c r="Z116" s="204">
        <f t="shared" si="51"/>
        <v>23.3339</v>
      </c>
      <c r="AA116" s="204">
        <f t="shared" si="36"/>
        <v>23.286999999999999</v>
      </c>
      <c r="AB116" s="54" t="e">
        <f>VLOOKUP(A116,Enforcements!$C$7:$K$11,8,0)</f>
        <v>#N/A</v>
      </c>
      <c r="AC116" s="51" t="e">
        <f>VLOOKUP(A116,Enforcements!$C$7:$E$11,3,0)</f>
        <v>#N/A</v>
      </c>
      <c r="AD116" s="179">
        <f t="shared" si="37"/>
        <v>203</v>
      </c>
      <c r="AE116" s="77" t="str">
        <f t="shared" si="38"/>
        <v>aws s3 cp s3://rtdc.mdm.uploadarchive.raw/RTDC4046/ "%USERPROFILE%\AppData\Local\Temp\OnboardLogs"\RTDC4046\2017-09-24 --exclude "*" --recursive --include "*20170924*" &amp; "%USERPROFILE%\Documents\GitHub\mrs-test-scripts\Headless Mode &amp; Sideloading\WalkAndUnGZ.bat" "%USERPROFILE%\AppData\Local\Temp\OnboardLogs"\RTDC4046\2017-09-24 &amp; aws s3 cp s3://rtdc.mdm.uploadarchive.raw/RTDC4046/ "%USERPROFILE%\AppData\Local\Temp\OnboardLogs"\RTDC4046\2017-09-25 --exclude "*" --recursive --include "*20170925*" &amp; "%USERPROFILE%\Documents\GitHub\mrs-test-scripts\Headless Mode &amp; Sideloading\WalkAndUnGZ.bat" "%USERPROFILE%\AppData\Local\Temp\OnboardLogs"\RTDC4046\2017-09-25</v>
      </c>
      <c r="AF116" s="74" t="str">
        <f t="shared" si="39"/>
        <v>"C:\Program Files (x86)\AstroGrep\AstroGrep.exe" /e /r /s /spath="%USERPROFILE%\AppData\Local\Temp\OnboardLogs" /stypes="app*4046*20170924*" /stext=" 23:.+((SYSTEM_STATE.+slice.+state.+changed )|(ment ac)|(multiple cpu faults)|(system.+state.+changed )|(\[timeout)|(PRM\|1\|D)|(kpr)|(kdp)|(train st.+moving)|(\|lc)|(penalty))"</v>
      </c>
      <c r="AG116" s="182" t="str">
        <f t="shared" si="40"/>
        <v>EC</v>
      </c>
      <c r="AH116" s="78" t="str">
        <f t="shared" si="41"/>
        <v>"%USERPROFILE%\Documents\GitHub\eaglep3\Utilities\RefineRTDCRunTimes.py" --tripid 203-24 --locoid 4046 --swversion DE.1.0.9.0 --startMP 204:469 --initTime 2017-09-24T16:27:16 --startdatetime 2017-09-24T16:30:29 --delay 53 --endMP 204:233339 --enddatetime 2017-09-24T17:09:00 --enforcementcount 0 &gt;&gt;c:\users\stu\Documents\GitHub\eaglep3-reporting\EC\2017-09-24-refined-times.txt</v>
      </c>
      <c r="AI116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{"issue":{"subject":"","project_id":79,"tracker_id":40,"status_id":1,"priority_id":2,"assigned_to_id":338,"start_date":"2017-09-24","description":"","custom_fields":[{"id":1,"name":"Subdivision","value":"EC"},{"id":4,"name":"Milepost","value":"23.3339"},{"id":17,"name":"Train ID","value":"203-24"},{"id":16,"name":"Locomotive ID","value":"4046"},{"id":130,"name":"Impact","value":""},{"id":150,"name":"Time of Event (Mountain Time)","value":"17:09:00"},{"id":151,"name":"Denver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6" s="47"/>
      <c r="AL116" s="47"/>
      <c r="AM116" s="142" t="str">
        <f t="shared" si="43"/>
        <v>start /low /b %USERPROFILE%\Documents\GitHub\eaglep3\Utilities\DownloadLogsFromS3.py --loco 4046 --day 2017-09-24</v>
      </c>
      <c r="AN116" s="151" t="str">
        <f t="shared" si="4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23:09:00"},{"id":29,"name":"Sharepoint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168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Message%20ID',Summary),filters:!(),index:'emp_*',interval:auto,query:"&amp;"(query_string:(analyze_wildcard:!t,query:'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-09-24T15:27:16-0600',mode:absolute,to:'2017-09-24T18:09:00-0600'))&amp;_a=(columns:!('Message%20ID',Summary),filters:!(),index:'emp_*',interval:auto,query:(query_string:(analyze_wildcard:!t,query:'%22rtdc.l.rtdc.4046%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765</v>
      </c>
      <c r="B117" s="7">
        <v>4045</v>
      </c>
      <c r="C117" s="21" t="s">
        <v>196</v>
      </c>
      <c r="D117" s="21" t="s">
        <v>861</v>
      </c>
      <c r="E117" s="13">
        <v>43002.725671296299</v>
      </c>
      <c r="F117" s="13">
        <v>43002.727708333332</v>
      </c>
      <c r="G117" s="7">
        <v>69</v>
      </c>
      <c r="H117" s="21" t="s">
        <v>342</v>
      </c>
      <c r="I117" s="13">
        <v>43002.755497685182</v>
      </c>
      <c r="J117" s="7">
        <v>0</v>
      </c>
      <c r="K117" s="89" t="str">
        <f t="shared" si="29"/>
        <v>4045/4046</v>
      </c>
      <c r="L117" s="185" t="str">
        <f>VLOOKUP(A117,'Trips&amp;Operators'!$C$1:$G$99911,5,FALSE)</f>
        <v>DAVIS MICHAEL</v>
      </c>
      <c r="M117" s="6">
        <f t="shared" si="30"/>
        <v>2.7789351850515231E-2</v>
      </c>
      <c r="N117" s="7">
        <f t="shared" si="54"/>
        <v>40.016666664741933</v>
      </c>
      <c r="O117" s="7"/>
      <c r="P117" s="7"/>
      <c r="Q117" s="22"/>
      <c r="R117" s="174" t="s">
        <v>988</v>
      </c>
      <c r="S117" s="221">
        <f t="shared" si="53"/>
        <v>1</v>
      </c>
      <c r="T117" s="174" t="str">
        <f t="shared" si="31"/>
        <v>Southbound</v>
      </c>
      <c r="U117" s="198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216" t="str">
        <f t="shared" si="32"/>
        <v>https://d0f6bd738d7f1b3e5a7ca70fe4ff75f0.us-east-1.aws.found.io/app/kibana#/discover/Steve-Slow-Train-Analysis-(2080s-and-2083s)?_g=(refreshInterval:(display:Off,pause:!f,section:0,value:0),time:(from:'2017-09-24T16:24:58-0600',mode:absolute,to:'2017-09-24T19:07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7" s="204" t="str">
        <f>IF(AA117&lt;VLOOKUP(AG117,Variables!$AC$3:$AD$8,2,FALSE),"Y","N")</f>
        <v>N</v>
      </c>
      <c r="X117" s="204">
        <f t="shared" si="52"/>
        <v>1</v>
      </c>
      <c r="Y117" s="204">
        <f t="shared" si="50"/>
        <v>23.300899999999999</v>
      </c>
      <c r="Z117" s="204">
        <f t="shared" si="51"/>
        <v>1.47E-2</v>
      </c>
      <c r="AA117" s="204">
        <f t="shared" si="36"/>
        <v>23.286199999999997</v>
      </c>
      <c r="AB117" s="54" t="e">
        <f>VLOOKUP(A117,Enforcements!$C$7:$K$11,8,0)</f>
        <v>#N/A</v>
      </c>
      <c r="AC117" s="51" t="e">
        <f>VLOOKUP(A117,Enforcements!$C$7:$E$11,3,0)</f>
        <v>#N/A</v>
      </c>
      <c r="AD117" s="179">
        <f t="shared" si="37"/>
        <v>204</v>
      </c>
      <c r="AE117" s="77" t="str">
        <f t="shared" si="38"/>
        <v>aws s3 cp s3://rtdc.mdm.uploadarchive.raw/RTDC4045/ "%USERPROFILE%\AppData\Local\Temp\OnboardLogs"\RTDC4045\2017-09-24 --exclude "*" --recursive --include "*20170924*" &amp; "%USERPROFILE%\Documents\GitHub\mrs-test-scripts\Headless Mode &amp; Sideloading\WalkAndUnGZ.bat" "%USERPROFILE%\AppData\Local\Temp\OnboardLogs"\RTDC4045\2017-09-24 &amp; aws s3 cp s3://rtdc.mdm.uploadarchive.raw/RTDC4045/ "%USERPROFILE%\AppData\Local\Temp\OnboardLogs"\RTDC4045\2017-09-25 --exclude "*" --recursive --include "*20170925*" &amp; "%USERPROFILE%\Documents\GitHub\mrs-test-scripts\Headless Mode &amp; Sideloading\WalkAndUnGZ.bat" "%USERPROFILE%\AppData\Local\Temp\OnboardLogs"\RTDC4045\2017-09-25</v>
      </c>
      <c r="AF117" s="74" t="str">
        <f t="shared" si="39"/>
        <v>"C:\Program Files (x86)\AstroGrep\AstroGrep.exe" /e /r /s /spath="%USERPROFILE%\AppData\Local\Temp\OnboardLogs" /stypes="app*4045*20170925*" /stext=" 00:.+((SYSTEM_STATE.+slice.+state.+changed )|(ment ac)|(multiple cpu faults)|(system.+state.+changed )|(\[timeout)|(PRM\|1\|D)|(kpr)|(kdp)|(train st.+moving)|(\|lc)|(penalty))"</v>
      </c>
      <c r="AG117" s="182" t="str">
        <f t="shared" si="40"/>
        <v>EC</v>
      </c>
      <c r="AH117" s="78" t="str">
        <f t="shared" si="41"/>
        <v>"%USERPROFILE%\Documents\GitHub\eaglep3\Utilities\RefineRTDCRunTimes.py" --tripid 204-24 --locoid 4045 --swversion DE.1.0.9.0 --startMP 204:233009 --initTime 2017-09-24T17:24:58 --startdatetime 2017-09-24T17:27:54 --delay 69 --endMP 204:147 --enddatetime 2017-09-24T18:07:55 --enforcementcount 0 &gt;&gt;c:\users\stu\Documents\GitHub\eaglep3-reporting\EC\2017-09-24-refined-times.txt</v>
      </c>
      <c r="AI117" s="96" t="str">
        <f t="shared" si="42"/>
        <v>echo {"issue":{"subject":"Braking without banner against TRACK WARRANT target","project_id":79,"tracker_id":40,"status_id":1,"priority_id":2,"assigned_to_id":338,"start_date":"2017-09-24","description":"","custom_fields":[{"id":1,"name":"Subdivision","value":"EC"},{"id":4,"name":"Milepost","value":"0.0147"},{"id":17,"name":"Train ID","value":"204-24"},{"id":16,"name":"Locomotive ID","value":"4045"},{"id":130,"name":"Impact","value":""},{"id":150,"name":"Time of Event (Mountain Time)","value":"18:07:55"},{"id":151,"name":"Denver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7" s="47"/>
      <c r="AL117" s="47"/>
      <c r="AM117" s="142" t="str">
        <f t="shared" si="43"/>
        <v>start /low /b %USERPROFILE%\Documents\GitHub\eaglep3\Utilities\DownloadLogsFromS3.py --loco 4045 --day 2017-09-24</v>
      </c>
      <c r="AN117" s="151" t="str">
        <f t="shared" si="44"/>
        <v>echo {"issue":{"subject":"Braking without banner against TRACK WARRANT target","project_id":30,"tracker_id":4,"status_id":1,"priority_id":1,"assigned_to_id":10,"start_date":"2017-09-25","description":"","custom_fields":[{"id":30,"name":"Category","value":"Issue"},{"id":3,"name":"Functional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00:07:55"},{"id":29,"name":"Sharepoint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168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Message%20ID',Summary),filters:!(),index:'emp_*',interval:auto,query:"&amp;"(query_string:(analyze_wildcard:!t,query:'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-09-24T16:24:58-0600',mode:absolute,to:'2017-09-24T19:07:55-0600'))&amp;_a=(columns:!('Message%20ID',Summary),filters:!(),index:'emp_*',interval:auto,query:(query_string:(analyze_wildcard:!t,query:'%22rtdc.l.rtdc.4045%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2" t="s">
        <v>758</v>
      </c>
      <c r="B118" s="7">
        <v>4060</v>
      </c>
      <c r="C118" s="21" t="s">
        <v>196</v>
      </c>
      <c r="D118" s="21" t="s">
        <v>376</v>
      </c>
      <c r="E118" s="13">
        <v>43002.694988425923</v>
      </c>
      <c r="F118" s="13">
        <v>43002.698263888888</v>
      </c>
      <c r="G118" s="7">
        <v>88</v>
      </c>
      <c r="H118" s="21" t="s">
        <v>922</v>
      </c>
      <c r="I118" s="13">
        <v>43002.72284722222</v>
      </c>
      <c r="J118" s="7">
        <v>0</v>
      </c>
      <c r="K118" s="89" t="str">
        <f t="shared" si="29"/>
        <v>4059/4060</v>
      </c>
      <c r="L118" s="185" t="str">
        <f>VLOOKUP(A118,'Trips&amp;Operators'!$C$1:$G$99911,5,FALSE)</f>
        <v>SAFIEF AEIMEN</v>
      </c>
      <c r="M118" s="6">
        <f t="shared" si="30"/>
        <v>2.4583333331975155E-2</v>
      </c>
      <c r="N118" s="7">
        <f t="shared" si="54"/>
        <v>35.399999998044223</v>
      </c>
      <c r="O118" s="7"/>
      <c r="P118" s="7"/>
      <c r="Q118" s="22"/>
      <c r="R118" s="174"/>
      <c r="S118" s="221">
        <f t="shared" si="53"/>
        <v>1</v>
      </c>
      <c r="T118" s="174" t="str">
        <f t="shared" si="31"/>
        <v>NorthBound</v>
      </c>
      <c r="U118" s="198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216" t="str">
        <f t="shared" si="32"/>
        <v>https://d0f6bd738d7f1b3e5a7ca70fe4ff75f0.us-east-1.aws.found.io/app/kibana#/discover/Steve-Slow-Train-Analysis-(2080s-and-2083s)?_g=(refreshInterval:(display:Off,pause:!f,section:0,value:0),time:(from:'2017-09-24T15:40:47-0600',mode:absolute,to:'2017-09-24T18:20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18" s="204" t="str">
        <f>IF(AA118&lt;VLOOKUP(AG118,Variables!$AC$3:$AD$8,2,FALSE),"Y","N")</f>
        <v>N</v>
      </c>
      <c r="X118" s="204">
        <f t="shared" si="52"/>
        <v>1</v>
      </c>
      <c r="Y118" s="204">
        <f t="shared" si="50"/>
        <v>4.5999999999999999E-2</v>
      </c>
      <c r="Z118" s="204">
        <f t="shared" si="51"/>
        <v>23.336300000000001</v>
      </c>
      <c r="AA118" s="204">
        <f t="shared" si="36"/>
        <v>23.290300000000002</v>
      </c>
      <c r="AB118" s="54" t="e">
        <f>VLOOKUP(A118,Enforcements!$C$7:$K$11,8,0)</f>
        <v>#N/A</v>
      </c>
      <c r="AC118" s="51" t="e">
        <f>VLOOKUP(A118,Enforcements!$C$7:$E$11,3,0)</f>
        <v>#N/A</v>
      </c>
      <c r="AD118" s="179">
        <f t="shared" si="37"/>
        <v>205</v>
      </c>
      <c r="AE118" s="77" t="str">
        <f t="shared" si="38"/>
        <v>aws s3 cp s3://rtdc.mdm.uploadarchive.raw/RTDC4060/ "%USERPROFILE%\AppData\Local\Temp\OnboardLogs"\RTDC4060\2017-09-24 --exclude "*" --recursive --include "*20170924*" &amp; "%USERPROFILE%\Documents\GitHub\mrs-test-scripts\Headless Mode &amp; Sideloading\WalkAndUnGZ.bat" "%USERPROFILE%\AppData\Local\Temp\OnboardLogs"\RTDC4060\2017-09-24 &amp; aws s3 cp s3://rtdc.mdm.uploadarchive.raw/RTDC4060/ "%USERPROFILE%\AppData\Local\Temp\OnboardLogs"\RTDC4060\2017-09-25 --exclude "*" --recursive --include "*20170925*" &amp; "%USERPROFILE%\Documents\GitHub\mrs-test-scripts\Headless Mode &amp; Sideloading\WalkAndUnGZ.bat" "%USERPROFILE%\AppData\Local\Temp\OnboardLogs"\RTDC4060\2017-09-25</v>
      </c>
      <c r="AF118" s="74" t="str">
        <f t="shared" si="39"/>
        <v>"C:\Program Files (x86)\AstroGrep\AstroGrep.exe" /e /r /s /spath="%USERPROFILE%\AppData\Local\Temp\OnboardLogs" /stypes="app*4060*20170924*" /stext=" 23:.+((SYSTEM_STATE.+slice.+state.+changed )|(ment ac)|(multiple cpu faults)|(system.+state.+changed )|(\[timeout)|(PRM\|1\|D)|(kpr)|(kdp)|(train st.+moving)|(\|lc)|(penalty))"</v>
      </c>
      <c r="AG118" s="182" t="str">
        <f t="shared" si="40"/>
        <v>EC</v>
      </c>
      <c r="AH118" s="78" t="str">
        <f t="shared" si="41"/>
        <v>"%USERPROFILE%\Documents\GitHub\eaglep3\Utilities\RefineRTDCRunTimes.py" --tripid 205-24 --locoid 4060 --swversion DE.1.0.9.0 --startMP 204:460 --initTime 2017-09-24T16:40:47 --startdatetime 2017-09-24T16:45:30 --delay 88 --endMP 204:233363 --enddatetime 2017-09-24T17:20:54 --enforcementcount 0 &gt;&gt;c:\users\stu\Documents\GitHub\eaglep3-reporting\EC\2017-09-24-refined-times.txt</v>
      </c>
      <c r="AI118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{"issue":{"subject":"","project_id":79,"tracker_id":40,"status_id":1,"priority_id":2,"assigned_to_id":338,"start_date":"2017-09-24","description":"","custom_fields":[{"id":1,"name":"Subdivision","value":"EC"},{"id":4,"name":"Milepost","value":"23.3363"},{"id":17,"name":"Train ID","value":"205-24"},{"id":16,"name":"Locomotive ID","value":"4060"},{"id":130,"name":"Impact","value":""},{"id":150,"name":"Time of Event (Mountain Time)","value":"17:20:54"},{"id":151,"name":"Denver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8" s="47"/>
      <c r="AL118" s="47"/>
      <c r="AM118" s="142" t="str">
        <f t="shared" si="43"/>
        <v>start /low /b %USERPROFILE%\Documents\GitHub\eaglep3\Utilities\DownloadLogsFromS3.py --loco 4060 --day 2017-09-24</v>
      </c>
      <c r="AN118" s="151" t="str">
        <f t="shared" si="4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23:20:54"},{"id":29,"name":"Sharepoint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168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Message%20ID',Summary),filters:!(),index:'emp_*',interval:auto,query:"&amp;"(query_string:(analyze_wildcard:!t,query:'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-09-24T15:40:47-0600',mode:absolute,to:'2017-09-24T18:20:54-0600'))&amp;_a=(columns:!('Message%20ID',Summary),filters:!(),index:'emp_*',interval:auto,query:(query_string:(analyze_wildcard:!t,query:'%22rtdc.l.rtdc.4060%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2" t="s">
        <v>768</v>
      </c>
      <c r="B119" s="7">
        <v>4059</v>
      </c>
      <c r="C119" s="21" t="s">
        <v>196</v>
      </c>
      <c r="D119" s="21" t="s">
        <v>923</v>
      </c>
      <c r="E119" s="13">
        <v>43002.735775462963</v>
      </c>
      <c r="F119" s="13">
        <v>43002.737708333334</v>
      </c>
      <c r="G119" s="7">
        <v>69</v>
      </c>
      <c r="H119" s="21" t="s">
        <v>338</v>
      </c>
      <c r="I119" s="13">
        <v>43002.763472222221</v>
      </c>
      <c r="J119" s="7">
        <v>0</v>
      </c>
      <c r="K119" s="89" t="str">
        <f t="shared" si="29"/>
        <v>4059/4060</v>
      </c>
      <c r="L119" s="185" t="str">
        <f>VLOOKUP(A119,'Trips&amp;Operators'!$C$1:$G$99911,5,FALSE)</f>
        <v>SAFIEF AEIMEN</v>
      </c>
      <c r="M119" s="6">
        <f t="shared" si="30"/>
        <v>2.5763888887013309E-2</v>
      </c>
      <c r="N119" s="7">
        <f t="shared" si="54"/>
        <v>37.099999997299165</v>
      </c>
      <c r="O119" s="7"/>
      <c r="P119" s="7"/>
      <c r="Q119" s="22"/>
      <c r="R119" s="174"/>
      <c r="S119" s="221">
        <f t="shared" si="53"/>
        <v>1</v>
      </c>
      <c r="T119" s="174" t="str">
        <f t="shared" si="31"/>
        <v>Southbound</v>
      </c>
      <c r="U119" s="198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16" t="str">
        <f t="shared" si="32"/>
        <v>https://d0f6bd738d7f1b3e5a7ca70fe4ff75f0.us-east-1.aws.found.io/app/kibana#/discover/Steve-Slow-Train-Analysis-(2080s-and-2083s)?_g=(refreshInterval:(display:Off,pause:!f,section:0,value:0),time:(from:'2017-09-24T16:39:31-0600',mode:absolute,to:'2017-09-24T19:19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19" s="204" t="str">
        <f>IF(AA119&lt;VLOOKUP(AG119,Variables!$AC$3:$AD$8,2,FALSE),"Y","N")</f>
        <v>N</v>
      </c>
      <c r="X119" s="204">
        <f t="shared" si="52"/>
        <v>1</v>
      </c>
      <c r="Y119" s="204">
        <f t="shared" si="50"/>
        <v>23.303599999999999</v>
      </c>
      <c r="Z119" s="204">
        <f t="shared" si="51"/>
        <v>1.49E-2</v>
      </c>
      <c r="AA119" s="204">
        <f t="shared" si="36"/>
        <v>23.288699999999999</v>
      </c>
      <c r="AB119" s="54" t="e">
        <f>VLOOKUP(A119,Enforcements!$C$7:$K$11,8,0)</f>
        <v>#N/A</v>
      </c>
      <c r="AC119" s="51" t="e">
        <f>VLOOKUP(A119,Enforcements!$C$7:$E$11,3,0)</f>
        <v>#N/A</v>
      </c>
      <c r="AD119" s="179">
        <f t="shared" si="37"/>
        <v>206</v>
      </c>
      <c r="AE119" s="77" t="str">
        <f t="shared" si="38"/>
        <v>aws s3 cp s3://rtdc.mdm.uploadarchive.raw/RTDC4059/ "%USERPROFILE%\AppData\Local\Temp\OnboardLogs"\RTDC4059\2017-09-24 --exclude "*" --recursive --include "*20170924*" &amp; "%USERPROFILE%\Documents\GitHub\mrs-test-scripts\Headless Mode &amp; Sideloading\WalkAndUnGZ.bat" "%USERPROFILE%\AppData\Local\Temp\OnboardLogs"\RTDC4059\2017-09-24 &amp; aws s3 cp s3://rtdc.mdm.uploadarchive.raw/RTDC4059/ "%USERPROFILE%\AppData\Local\Temp\OnboardLogs"\RTDC4059\2017-09-25 --exclude "*" --recursive --include "*20170925*" &amp; "%USERPROFILE%\Documents\GitHub\mrs-test-scripts\Headless Mode &amp; Sideloading\WalkAndUnGZ.bat" "%USERPROFILE%\AppData\Local\Temp\OnboardLogs"\RTDC4059\2017-09-25</v>
      </c>
      <c r="AF119" s="74" t="str">
        <f t="shared" si="39"/>
        <v>"C:\Program Files (x86)\AstroGrep\AstroGrep.exe" /e /r /s /spath="%USERPROFILE%\AppData\Local\Temp\OnboardLogs" /stypes="app*4059*20170925*" /stext=" 00:.+((SYSTEM_STATE.+slice.+state.+changed )|(ment ac)|(multiple cpu faults)|(system.+state.+changed )|(\[timeout)|(PRM\|1\|D)|(kpr)|(kdp)|(train st.+moving)|(\|lc)|(penalty))"</v>
      </c>
      <c r="AG119" s="182" t="str">
        <f t="shared" si="40"/>
        <v>EC</v>
      </c>
      <c r="AH119" s="78" t="str">
        <f t="shared" si="41"/>
        <v>"%USERPROFILE%\Documents\GitHub\eaglep3\Utilities\RefineRTDCRunTimes.py" --tripid 206-24 --locoid 4059 --swversion DE.1.0.9.0 --startMP 204:233036 --initTime 2017-09-24T17:39:31 --startdatetime 2017-09-24T17:42:18 --delay 69 --endMP 204:149 --enddatetime 2017-09-24T18:19:24 --enforcementcount 0 &gt;&gt;c:\users\stu\Documents\GitHub\eaglep3-reporting\EC\2017-09-24-refined-times.txt</v>
      </c>
      <c r="AI119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{"issue":{"subject":"","project_id":79,"tracker_id":40,"status_id":1,"priority_id":2,"assigned_to_id":338,"start_date":"2017-09-24","description":"","custom_fields":[{"id":1,"name":"Subdivision","value":"EC"},{"id":4,"name":"Milepost","value":"0.0149"},{"id":17,"name":"Train ID","value":"206-24"},{"id":16,"name":"Locomotive ID","value":"4059"},{"id":130,"name":"Impact","value":""},{"id":150,"name":"Time of Event (Mountain Time)","value":"18:19:24"},{"id":151,"name":"Denver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19" s="47"/>
      <c r="AL119" s="47"/>
      <c r="AM119" s="142" t="str">
        <f t="shared" si="43"/>
        <v>start /low /b %USERPROFILE%\Documents\GitHub\eaglep3\Utilities\DownloadLogsFromS3.py --loco 4059 --day 2017-09-24</v>
      </c>
      <c r="AN119" s="151" t="str">
        <f t="shared" si="4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00:19:24"},{"id":29,"name":"Sharepoint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168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Message%20ID',Summary),filters:!(),index:'emp_*',interval:auto,query:"&amp;"(query_string:(analyze_wildcard:!t,query:'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-09-24T16:39:31-0600',mode:absolute,to:'2017-09-24T19:19:24-0600'))&amp;_a=(columns:!('Message%20ID',Summary),filters:!(),index:'emp_*',interval:auto,query:(query_string:(analyze_wildcard:!t,query:'%22rtdc.l.rtdc.4059%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759</v>
      </c>
      <c r="B120" s="7">
        <v>4062</v>
      </c>
      <c r="C120" s="21" t="s">
        <v>196</v>
      </c>
      <c r="D120" s="21" t="s">
        <v>376</v>
      </c>
      <c r="E120" s="13">
        <v>43002.705659722225</v>
      </c>
      <c r="F120" s="13">
        <v>43002.708495370367</v>
      </c>
      <c r="G120" s="7">
        <v>57</v>
      </c>
      <c r="H120" s="21" t="s">
        <v>924</v>
      </c>
      <c r="I120" s="13">
        <v>43002.733993055554</v>
      </c>
      <c r="J120" s="7">
        <v>0</v>
      </c>
      <c r="K120" s="89" t="str">
        <f t="shared" si="29"/>
        <v>4061/4062</v>
      </c>
      <c r="L120" s="185" t="str">
        <f>VLOOKUP(A120,'Trips&amp;Operators'!$C$1:$G$99911,5,FALSE)</f>
        <v>GUZMAN DANNY</v>
      </c>
      <c r="M120" s="6">
        <f t="shared" si="30"/>
        <v>2.5497685186564922E-2</v>
      </c>
      <c r="N120" s="7">
        <f t="shared" si="54"/>
        <v>36.716666668653488</v>
      </c>
      <c r="O120" s="7"/>
      <c r="P120" s="7"/>
      <c r="Q120" s="22"/>
      <c r="R120" s="174"/>
      <c r="S120" s="221">
        <f t="shared" si="53"/>
        <v>1</v>
      </c>
      <c r="T120" s="174" t="str">
        <f t="shared" si="31"/>
        <v>NorthBound</v>
      </c>
      <c r="U120" s="198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16" t="str">
        <f t="shared" si="32"/>
        <v>https://d0f6bd738d7f1b3e5a7ca70fe4ff75f0.us-east-1.aws.found.io/app/kibana#/discover/Steve-Slow-Train-Analysis-(2080s-and-2083s)?_g=(refreshInterval:(display:Off,pause:!f,section:0,value:0),time:(from:'2017-09-24T15:56:09-0600',mode:absolute,to:'2017-09-24T18:36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20" s="204" t="str">
        <f>IF(AA120&lt;VLOOKUP(AG120,Variables!$AC$3:$AD$8,2,FALSE),"Y","N")</f>
        <v>N</v>
      </c>
      <c r="X120" s="204">
        <f t="shared" si="52"/>
        <v>1</v>
      </c>
      <c r="Y120" s="204">
        <f t="shared" si="50"/>
        <v>4.5999999999999999E-2</v>
      </c>
      <c r="Z120" s="204">
        <f t="shared" si="51"/>
        <v>23.338200000000001</v>
      </c>
      <c r="AA120" s="204">
        <f t="shared" si="36"/>
        <v>23.292200000000001</v>
      </c>
      <c r="AB120" s="54" t="e">
        <f>VLOOKUP(A120,Enforcements!$C$7:$K$11,8,0)</f>
        <v>#N/A</v>
      </c>
      <c r="AC120" s="51" t="e">
        <f>VLOOKUP(A120,Enforcements!$C$7:$E$11,3,0)</f>
        <v>#N/A</v>
      </c>
      <c r="AD120" s="179">
        <f t="shared" si="37"/>
        <v>207</v>
      </c>
      <c r="AE120" s="77" t="str">
        <f t="shared" si="38"/>
        <v>aws s3 cp s3://rtdc.mdm.uploadarchive.raw/RTDC4062/ "%USERPROFILE%\AppData\Local\Temp\OnboardLogs"\RTDC4062\2017-09-24 --exclude "*" --recursive --include "*20170924*" &amp; "%USERPROFILE%\Documents\GitHub\mrs-test-scripts\Headless Mode &amp; Sideloading\WalkAndUnGZ.bat" "%USERPROFILE%\AppData\Local\Temp\OnboardLogs"\RTDC4062\2017-09-24 &amp; aws s3 cp s3://rtdc.mdm.uploadarchive.raw/RTDC4062/ "%USERPROFILE%\AppData\Local\Temp\OnboardLogs"\RTDC4062\2017-09-25 --exclude "*" --recursive --include "*20170925*" &amp; "%USERPROFILE%\Documents\GitHub\mrs-test-scripts\Headless Mode &amp; Sideloading\WalkAndUnGZ.bat" "%USERPROFILE%\AppData\Local\Temp\OnboardLogs"\RTDC4062\2017-09-25</v>
      </c>
      <c r="AF120" s="74" t="str">
        <f t="shared" si="39"/>
        <v>"C:\Program Files (x86)\AstroGrep\AstroGrep.exe" /e /r /s /spath="%USERPROFILE%\AppData\Local\Temp\OnboardLogs" /stypes="app*4062*20170924*" /stext=" 23:.+((SYSTEM_STATE.+slice.+state.+changed )|(ment ac)|(multiple cpu faults)|(system.+state.+changed )|(\[timeout)|(PRM\|1\|D)|(kpr)|(kdp)|(train st.+moving)|(\|lc)|(penalty))"</v>
      </c>
      <c r="AG120" s="182" t="str">
        <f t="shared" si="40"/>
        <v>EC</v>
      </c>
      <c r="AH120" s="78" t="str">
        <f t="shared" si="41"/>
        <v>"%USERPROFILE%\Documents\GitHub\eaglep3\Utilities\RefineRTDCRunTimes.py" --tripid 207-24 --locoid 4062 --swversion DE.1.0.9.0 --startMP 204:460 --initTime 2017-09-24T16:56:09 --startdatetime 2017-09-24T17:00:14 --delay 57 --endMP 204:233382 --enddatetime 2017-09-24T17:36:57 --enforcementcount 0 &gt;&gt;c:\users\stu\Documents\GitHub\eaglep3-reporting\EC\2017-09-24-refined-times.txt</v>
      </c>
      <c r="AI120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{"issue":{"subject":"","project_id":79,"tracker_id":40,"status_id":1,"priority_id":2,"assigned_to_id":338,"start_date":"2017-09-24","description":"","custom_fields":[{"id":1,"name":"Subdivision","value":"EC"},{"id":4,"name":"Milepost","value":"23.3382"},{"id":17,"name":"Train ID","value":"207-24"},{"id":16,"name":"Locomotive ID","value":"4062"},{"id":130,"name":"Impact","value":""},{"id":150,"name":"Time of Event (Mountain Time)","value":"17:36:57"},{"id":151,"name":"Denver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0" s="47"/>
      <c r="AL120" s="47"/>
      <c r="AM120" s="142" t="str">
        <f t="shared" si="43"/>
        <v>start /low /b %USERPROFILE%\Documents\GitHub\eaglep3\Utilities\DownloadLogsFromS3.py --loco 4062 --day 2017-09-24</v>
      </c>
      <c r="AN120" s="151" t="str">
        <f t="shared" si="4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23:36:57"},{"id":29,"name":"Sharepoint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168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Message%20ID',Summary),filters:!(),index:'emp_*',interval:auto,query:"&amp;"(query_string:(analyze_wildcard:!t,query:'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-09-24T15:56:09-0600',mode:absolute,to:'2017-09-24T18:36:57-0600'))&amp;_a=(columns:!('Message%20ID',Summary),filters:!(),index:'emp_*',interval:auto,query:(query_string:(analyze_wildcard:!t,query:'%22rtdc.l.rtdc.4062%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767</v>
      </c>
      <c r="B121" s="7">
        <v>4061</v>
      </c>
      <c r="C121" s="21" t="s">
        <v>196</v>
      </c>
      <c r="D121" s="21" t="s">
        <v>925</v>
      </c>
      <c r="E121" s="13">
        <v>43002.735856481479</v>
      </c>
      <c r="F121" s="13">
        <v>43002.748078703706</v>
      </c>
      <c r="G121" s="7">
        <v>48</v>
      </c>
      <c r="H121" s="21" t="s">
        <v>339</v>
      </c>
      <c r="I121" s="13">
        <v>43002.774398148147</v>
      </c>
      <c r="J121" s="7">
        <v>0</v>
      </c>
      <c r="K121" s="89" t="str">
        <f t="shared" si="29"/>
        <v>4061/4062</v>
      </c>
      <c r="L121" s="185" t="str">
        <f>VLOOKUP(A121,'Trips&amp;Operators'!$C$1:$G$99911,5,FALSE)</f>
        <v>GUZMAN DANNY</v>
      </c>
      <c r="M121" s="6">
        <f t="shared" si="30"/>
        <v>2.6319444441469386E-2</v>
      </c>
      <c r="N121" s="7">
        <f t="shared" si="54"/>
        <v>37.899999995715916</v>
      </c>
      <c r="O121" s="7"/>
      <c r="P121" s="7"/>
      <c r="Q121" s="22"/>
      <c r="R121" s="174"/>
      <c r="S121" s="221">
        <f t="shared" si="53"/>
        <v>1</v>
      </c>
      <c r="T121" s="174" t="str">
        <f t="shared" si="31"/>
        <v>Southbound</v>
      </c>
      <c r="U121" s="198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16" t="str">
        <f t="shared" si="32"/>
        <v>https://d0f6bd738d7f1b3e5a7ca70fe4ff75f0.us-east-1.aws.found.io/app/kibana#/discover/Steve-Slow-Train-Analysis-(2080s-and-2083s)?_g=(refreshInterval:(display:Off,pause:!f,section:0,value:0),time:(from:'2017-09-24T16:39:38-0600',mode:absolute,to:'2017-09-24T19:35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121" s="204" t="str">
        <f>IF(AA121&lt;VLOOKUP(AG121,Variables!$AC$3:$AD$8,2,FALSE),"Y","N")</f>
        <v>N</v>
      </c>
      <c r="X121" s="204">
        <f t="shared" si="52"/>
        <v>1</v>
      </c>
      <c r="Y121" s="204">
        <f t="shared" si="50"/>
        <v>23.300699999999999</v>
      </c>
      <c r="Z121" s="204">
        <f t="shared" si="51"/>
        <v>1.43E-2</v>
      </c>
      <c r="AA121" s="204">
        <f t="shared" si="36"/>
        <v>23.2864</v>
      </c>
      <c r="AB121" s="54" t="e">
        <f>VLOOKUP(A121,Enforcements!$C$7:$K$11,8,0)</f>
        <v>#N/A</v>
      </c>
      <c r="AC121" s="51" t="e">
        <f>VLOOKUP(A121,Enforcements!$C$7:$E$11,3,0)</f>
        <v>#N/A</v>
      </c>
      <c r="AD121" s="179">
        <f t="shared" si="37"/>
        <v>208</v>
      </c>
      <c r="AE121" s="77" t="str">
        <f t="shared" si="38"/>
        <v>aws s3 cp s3://rtdc.mdm.uploadarchive.raw/RTDC4061/ "%USERPROFILE%\AppData\Local\Temp\OnboardLogs"\RTDC4061\2017-09-24 --exclude "*" --recursive --include "*20170924*" &amp; "%USERPROFILE%\Documents\GitHub\mrs-test-scripts\Headless Mode &amp; Sideloading\WalkAndUnGZ.bat" "%USERPROFILE%\AppData\Local\Temp\OnboardLogs"\RTDC4061\2017-09-24 &amp; aws s3 cp s3://rtdc.mdm.uploadarchive.raw/RTDC4061/ "%USERPROFILE%\AppData\Local\Temp\OnboardLogs"\RTDC4061\2017-09-25 --exclude "*" --recursive --include "*20170925*" &amp; "%USERPROFILE%\Documents\GitHub\mrs-test-scripts\Headless Mode &amp; Sideloading\WalkAndUnGZ.bat" "%USERPROFILE%\AppData\Local\Temp\OnboardLogs"\RTDC4061\2017-09-25</v>
      </c>
      <c r="AF121" s="74" t="str">
        <f t="shared" si="39"/>
        <v>"C:\Program Files (x86)\AstroGrep\AstroGrep.exe" /e /r /s /spath="%USERPROFILE%\AppData\Local\Temp\OnboardLogs" /stypes="app*4061*20170925*" /stext=" 00:.+((SYSTEM_STATE.+slice.+state.+changed )|(ment ac)|(multiple cpu faults)|(system.+state.+changed )|(\[timeout)|(PRM\|1\|D)|(kpr)|(kdp)|(train st.+moving)|(\|lc)|(penalty))"</v>
      </c>
      <c r="AG121" s="182" t="str">
        <f t="shared" si="40"/>
        <v>EC</v>
      </c>
      <c r="AH121" s="78" t="str">
        <f t="shared" si="41"/>
        <v>"%USERPROFILE%\Documents\GitHub\eaglep3\Utilities\RefineRTDCRunTimes.py" --tripid 208-24 --locoid 4061 --swversion DE.1.0.9.0 --startMP 204:233007 --initTime 2017-09-24T17:39:38 --startdatetime 2017-09-24T17:57:14 --delay 48 --endMP 204:143 --enddatetime 2017-09-24T18:35:08 --enforcementcount 0 &gt;&gt;c:\users\stu\Documents\GitHub\eaglep3-reporting\EC\2017-09-24-refined-times.txt</v>
      </c>
      <c r="AI121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{"issue":{"subject":"","project_id":79,"tracker_id":40,"status_id":1,"priority_id":2,"assigned_to_id":338,"start_date":"2017-09-24","description":"","custom_fields":[{"id":1,"name":"Subdivision","value":"EC"},{"id":4,"name":"Milepost","value":"0.0143"},{"id":17,"name":"Train ID","value":"208-24"},{"id":16,"name":"Locomotive ID","value":"4061"},{"id":130,"name":"Impact","value":""},{"id":150,"name":"Time of Event (Mountain Time)","value":"18:35:08"},{"id":151,"name":"Denver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1" s="47"/>
      <c r="AL121" s="47"/>
      <c r="AM121" s="142" t="str">
        <f t="shared" si="43"/>
        <v>start /low /b %USERPROFILE%\Documents\GitHub\eaglep3\Utilities\DownloadLogsFromS3.py --loco 4061 --day 2017-09-24</v>
      </c>
      <c r="AN121" s="151" t="str">
        <f t="shared" si="4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00:35:08"},{"id":29,"name":"Sharepoint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168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Message%20ID',Summary),filters:!(),index:'emp_*',interval:auto,query:"&amp;"(query_string:(analyze_wildcard:!t,query:'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-09-24T16:39:38-0600',mode:absolute,to:'2017-09-24T19:35:08-0600'))&amp;_a=(columns:!('Message%20ID',Summary),filters:!(),index:'emp_*',interval:auto,query:(query_string:(analyze_wildcard:!t,query:'%22rtdc.l.rtdc.4061%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602</v>
      </c>
      <c r="B122" s="7">
        <v>4066</v>
      </c>
      <c r="C122" s="21" t="s">
        <v>196</v>
      </c>
      <c r="D122" s="21" t="s">
        <v>926</v>
      </c>
      <c r="E122" s="13">
        <v>43002.714872685188</v>
      </c>
      <c r="F122" s="13">
        <v>43002.719293981485</v>
      </c>
      <c r="G122" s="7">
        <v>115</v>
      </c>
      <c r="H122" s="21" t="s">
        <v>927</v>
      </c>
      <c r="I122" s="13">
        <v>43002.743483796294</v>
      </c>
      <c r="J122" s="7">
        <v>0</v>
      </c>
      <c r="K122" s="89" t="str">
        <f t="shared" si="29"/>
        <v>4065/4066</v>
      </c>
      <c r="L122" s="185" t="str">
        <f>VLOOKUP(A122,'Trips&amp;Operators'!$C$1:$G$99911,5,FALSE)</f>
        <v>STAMBAUGH JAMES</v>
      </c>
      <c r="M122" s="6">
        <f t="shared" si="30"/>
        <v>2.4189814808778465E-2</v>
      </c>
      <c r="N122" s="7">
        <f t="shared" si="54"/>
        <v>34.833333324640989</v>
      </c>
      <c r="O122" s="7"/>
      <c r="P122" s="7"/>
      <c r="Q122" s="22"/>
      <c r="R122" s="174"/>
      <c r="S122" s="221">
        <f t="shared" si="53"/>
        <v>1</v>
      </c>
      <c r="T122" s="174" t="str">
        <f t="shared" si="31"/>
        <v>NorthBound</v>
      </c>
      <c r="U122" s="198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16" t="str">
        <f t="shared" si="32"/>
        <v>https://d0f6bd738d7f1b3e5a7ca70fe4ff75f0.us-east-1.aws.found.io/app/kibana#/discover/Steve-Slow-Train-Analysis-(2080s-and-2083s)?_g=(refreshInterval:(display:Off,pause:!f,section:0,value:0),time:(from:'2017-09-24T16:09:25-0600',mode:absolute,to:'2017-09-24T18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22" s="204" t="str">
        <f>IF(AA122&lt;VLOOKUP(AG122,Variables!$AC$3:$AD$8,2,FALSE),"Y","N")</f>
        <v>N</v>
      </c>
      <c r="X122" s="204">
        <f t="shared" si="52"/>
        <v>1</v>
      </c>
      <c r="Y122" s="204">
        <f t="shared" si="50"/>
        <v>4.3099999999999999E-2</v>
      </c>
      <c r="Z122" s="204">
        <f t="shared" si="51"/>
        <v>23.334</v>
      </c>
      <c r="AA122" s="204">
        <f t="shared" si="36"/>
        <v>23.290900000000001</v>
      </c>
      <c r="AB122" s="54" t="e">
        <f>VLOOKUP(A122,Enforcements!$C$7:$K$11,8,0)</f>
        <v>#N/A</v>
      </c>
      <c r="AC122" s="51" t="e">
        <f>VLOOKUP(A122,Enforcements!$C$7:$E$11,3,0)</f>
        <v>#N/A</v>
      </c>
      <c r="AD122" s="179">
        <f t="shared" si="37"/>
        <v>209</v>
      </c>
      <c r="AE122" s="77" t="str">
        <f t="shared" si="38"/>
        <v>aws s3 cp s3://rtdc.mdm.uploadarchive.raw/RTDC4066/ "%USERPROFILE%\AppData\Local\Temp\OnboardLogs"\RTDC4066\2017-09-24 --exclude "*" --recursive --include "*20170924*" &amp; "%USERPROFILE%\Documents\GitHub\mrs-test-scripts\Headless Mode &amp; Sideloading\WalkAndUnGZ.bat" "%USERPROFILE%\AppData\Local\Temp\OnboardLogs"\RTDC4066\2017-09-24 &amp; aws s3 cp s3://rtdc.mdm.uploadarchive.raw/RTDC4066/ "%USERPROFILE%\AppData\Local\Temp\OnboardLogs"\RTDC4066\2017-09-25 --exclude "*" --recursive --include "*20170925*" &amp; "%USERPROFILE%\Documents\GitHub\mrs-test-scripts\Headless Mode &amp; Sideloading\WalkAndUnGZ.bat" "%USERPROFILE%\AppData\Local\Temp\OnboardLogs"\RTDC4066\2017-09-25</v>
      </c>
      <c r="AF122" s="74" t="str">
        <f t="shared" si="39"/>
        <v>"C:\Program Files (x86)\AstroGrep\AstroGrep.exe" /e /r /s /spath="%USERPROFILE%\AppData\Local\Temp\OnboardLogs" /stypes="app*4066*20170924*" /stext=" 23:.+((SYSTEM_STATE.+slice.+state.+changed )|(ment ac)|(multiple cpu faults)|(system.+state.+changed )|(\[timeout)|(PRM\|1\|D)|(kpr)|(kdp)|(train st.+moving)|(\|lc)|(penalty))"</v>
      </c>
      <c r="AG122" s="182" t="str">
        <f t="shared" si="40"/>
        <v>EC</v>
      </c>
      <c r="AH122" s="78" t="str">
        <f t="shared" si="41"/>
        <v>"%USERPROFILE%\Documents\GitHub\eaglep3\Utilities\RefineRTDCRunTimes.py" --tripid 209-24 --locoid 4066 --swversion DE.1.0.9.0 --startMP 204:431 --initTime 2017-09-24T17:09:25 --startdatetime 2017-09-24T17:15:47 --delay 115 --endMP 204:233340 --enddatetime 2017-09-24T17:50:37 --enforcementcount 0 &gt;&gt;c:\users\stu\Documents\GitHub\eaglep3-reporting\EC\2017-09-24-refined-times.txt</v>
      </c>
      <c r="AI122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{"issue":{"subject":"","project_id":79,"tracker_id":40,"status_id":1,"priority_id":2,"assigned_to_id":338,"start_date":"2017-09-24","description":"","custom_fields":[{"id":1,"name":"Subdivision","value":"EC"},{"id":4,"name":"Milepost","value":"23.334"},{"id":17,"name":"Train ID","value":"209-24"},{"id":16,"name":"Locomotive ID","value":"4066"},{"id":130,"name":"Impact","value":""},{"id":150,"name":"Time of Event (Mountain Time)","value":"17:50:37"},{"id":151,"name":"Denver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2" s="47"/>
      <c r="AL122" s="47"/>
      <c r="AM122" s="142" t="str">
        <f t="shared" si="43"/>
        <v>start /low /b %USERPROFILE%\Documents\GitHub\eaglep3\Utilities\DownloadLogsFromS3.py --loco 4066 --day 2017-09-24</v>
      </c>
      <c r="AN122" s="151" t="str">
        <f t="shared" si="44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23:50:37"},{"id":29,"name":"Sharepoint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168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Message%20ID',Summary),filters:!(),index:'emp_*',interval:auto,query:"&amp;"(query_string:(analyze_wildcard:!t,query:'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-09-24T16:09:25-0600',mode:absolute,to:'2017-09-24T18:50:37-0600'))&amp;_a=(columns:!('Message%20ID',Summary),filters:!(),index:'emp_*',interval:auto,query:(query_string:(analyze_wildcard:!t,query:'%22rtdc.l.rtdc.4066%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774</v>
      </c>
      <c r="B123" s="7">
        <v>4065</v>
      </c>
      <c r="C123" s="21" t="s">
        <v>196</v>
      </c>
      <c r="D123" s="21" t="s">
        <v>567</v>
      </c>
      <c r="E123" s="13">
        <v>43002.75371527778</v>
      </c>
      <c r="F123" s="13">
        <v>43002.758831018517</v>
      </c>
      <c r="G123" s="7">
        <v>75</v>
      </c>
      <c r="H123" s="21" t="s">
        <v>385</v>
      </c>
      <c r="I123" s="13">
        <v>43002.784745370373</v>
      </c>
      <c r="J123" s="7">
        <v>0</v>
      </c>
      <c r="K123" s="89" t="str">
        <f t="shared" si="29"/>
        <v>4065/4066</v>
      </c>
      <c r="L123" s="185" t="str">
        <f>VLOOKUP(A123,'Trips&amp;Operators'!$C$1:$G$99911,5,FALSE)</f>
        <v>STAMBAUGH JAMES</v>
      </c>
      <c r="M123" s="6">
        <f t="shared" si="30"/>
        <v>2.5914351856044959E-2</v>
      </c>
      <c r="N123" s="7">
        <f t="shared" si="54"/>
        <v>37.316666672704741</v>
      </c>
      <c r="O123" s="7"/>
      <c r="P123" s="7"/>
      <c r="Q123" s="22"/>
      <c r="R123" s="174"/>
      <c r="S123" s="221">
        <f t="shared" si="53"/>
        <v>1</v>
      </c>
      <c r="T123" s="174" t="str">
        <f t="shared" si="31"/>
        <v>Southbound</v>
      </c>
      <c r="U123" s="198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16" t="str">
        <f t="shared" si="32"/>
        <v>https://d0f6bd738d7f1b3e5a7ca70fe4ff75f0.us-east-1.aws.found.io/app/kibana#/discover/Steve-Slow-Train-Analysis-(2080s-and-2083s)?_g=(refreshInterval:(display:Off,pause:!f,section:0,value:0),time:(from:'2017-09-24T17:05:21-0600',mode:absolute,to:'2017-09-24T19:50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23" s="204" t="str">
        <f>IF(AA123&lt;VLOOKUP(AG123,Variables!$AC$3:$AD$8,2,FALSE),"Y","N")</f>
        <v>N</v>
      </c>
      <c r="X123" s="204">
        <f t="shared" si="52"/>
        <v>1</v>
      </c>
      <c r="Y123" s="204">
        <f t="shared" si="50"/>
        <v>23.302099999999999</v>
      </c>
      <c r="Z123" s="204">
        <f t="shared" si="51"/>
        <v>1.3899999999999999E-2</v>
      </c>
      <c r="AA123" s="204">
        <f t="shared" si="36"/>
        <v>23.2882</v>
      </c>
      <c r="AB123" s="54" t="e">
        <f>VLOOKUP(A123,Enforcements!$C$7:$K$11,8,0)</f>
        <v>#N/A</v>
      </c>
      <c r="AC123" s="51" t="e">
        <f>VLOOKUP(A123,Enforcements!$C$7:$E$11,3,0)</f>
        <v>#N/A</v>
      </c>
      <c r="AD123" s="179">
        <f t="shared" si="37"/>
        <v>210</v>
      </c>
      <c r="AE123" s="77" t="str">
        <f t="shared" si="38"/>
        <v>aws s3 cp s3://rtdc.mdm.uploadarchive.raw/RTDC4065/ "%USERPROFILE%\AppData\Local\Temp\OnboardLogs"\RTDC4065\2017-09-24 --exclude "*" --recursive --include "*20170924*" &amp; "%USERPROFILE%\Documents\GitHub\mrs-test-scripts\Headless Mode &amp; Sideloading\WalkAndUnGZ.bat" "%USERPROFILE%\AppData\Local\Temp\OnboardLogs"\RTDC4065\2017-09-24 &amp; aws s3 cp s3://rtdc.mdm.uploadarchive.raw/RTDC4065/ "%USERPROFILE%\AppData\Local\Temp\OnboardLogs"\RTDC4065\2017-09-25 --exclude "*" --recursive --include "*20170925*" &amp; "%USERPROFILE%\Documents\GitHub\mrs-test-scripts\Headless Mode &amp; Sideloading\WalkAndUnGZ.bat" "%USERPROFILE%\AppData\Local\Temp\OnboardLogs"\RTDC4065\2017-09-25</v>
      </c>
      <c r="AF123" s="74" t="str">
        <f t="shared" si="39"/>
        <v>"C:\Program Files (x86)\AstroGrep\AstroGrep.exe" /e /r /s /spath="%USERPROFILE%\AppData\Local\Temp\OnboardLogs" /stypes="app*4065*20170925*" /stext=" 00:.+((SYSTEM_STATE.+slice.+state.+changed )|(ment ac)|(multiple cpu faults)|(system.+state.+changed )|(\[timeout)|(PRM\|1\|D)|(kpr)|(kdp)|(train st.+moving)|(\|lc)|(penalty))"</v>
      </c>
      <c r="AG123" s="182" t="str">
        <f t="shared" si="40"/>
        <v>EC</v>
      </c>
      <c r="AH123" s="78" t="str">
        <f t="shared" si="41"/>
        <v>"%USERPROFILE%\Documents\GitHub\eaglep3\Utilities\RefineRTDCRunTimes.py" --tripid 210-24 --locoid 4065 --swversion DE.1.0.9.0 --startMP 204:233021 --initTime 2017-09-24T18:05:21 --startdatetime 2017-09-24T18:12:43 --delay 75 --endMP 204:139 --enddatetime 2017-09-24T18:50:02 --enforcementcount 0 &gt;&gt;c:\users\stu\Documents\GitHub\eaglep3-reporting\EC\2017-09-24-refined-times.txt</v>
      </c>
      <c r="AI123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{"issue":{"subject":"","project_id":79,"tracker_id":40,"status_id":1,"priority_id":2,"assigned_to_id":338,"start_date":"2017-09-24","description":"","custom_fields":[{"id":1,"name":"Subdivision","value":"EC"},{"id":4,"name":"Milepost","value":"0.0139"},{"id":17,"name":"Train ID","value":"210-24"},{"id":16,"name":"Locomotive ID","value":"4065"},{"id":130,"name":"Impact","value":""},{"id":150,"name":"Time of Event (Mountain Time)","value":"18:50:02"},{"id":151,"name":"Denver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3" s="47"/>
      <c r="AL123" s="47"/>
      <c r="AM123" s="142" t="str">
        <f t="shared" si="43"/>
        <v>start /low /b %USERPROFILE%\Documents\GitHub\eaglep3\Utilities\DownloadLogsFromS3.py --loco 4065 --day 2017-09-24</v>
      </c>
      <c r="AN123" s="151" t="str">
        <f t="shared" si="4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00:50:02"},{"id":29,"name":"Sharepoint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168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Message%20ID',Summary),filters:!(),index:'emp_*',interval:auto,query:"&amp;"(query_string:(analyze_wildcard:!t,query:'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-09-24T17:05:21-0600',mode:absolute,to:'2017-09-24T19:50:02-0600'))&amp;_a=(columns:!('Message%20ID',Summary),filters:!(),index:'emp_*',interval:auto,query:(query_string:(analyze_wildcard:!t,query:'%22rtdc.l.rtdc.4065%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764</v>
      </c>
      <c r="B124" s="7">
        <v>4024</v>
      </c>
      <c r="C124" s="21" t="s">
        <v>196</v>
      </c>
      <c r="D124" s="21" t="s">
        <v>336</v>
      </c>
      <c r="E124" s="13">
        <v>43002.724259259259</v>
      </c>
      <c r="F124" s="13">
        <v>43002.729351851849</v>
      </c>
      <c r="G124" s="7">
        <v>55</v>
      </c>
      <c r="H124" s="21" t="s">
        <v>497</v>
      </c>
      <c r="I124" s="13">
        <v>43002.754027777781</v>
      </c>
      <c r="J124" s="7">
        <v>0</v>
      </c>
      <c r="K124" s="89" t="str">
        <f t="shared" si="29"/>
        <v>4023/4024</v>
      </c>
      <c r="L124" s="185" t="str">
        <f>VLOOKUP(A124,'Trips&amp;Operators'!$C$1:$G$99911,5,FALSE)</f>
        <v>BERLING GARY</v>
      </c>
      <c r="M124" s="6">
        <f t="shared" si="30"/>
        <v>2.4675925931660458E-2</v>
      </c>
      <c r="N124" s="7">
        <f t="shared" si="54"/>
        <v>35.53333334159106</v>
      </c>
      <c r="O124" s="7"/>
      <c r="P124" s="7"/>
      <c r="Q124" s="22"/>
      <c r="R124" s="174"/>
      <c r="S124" s="221">
        <f t="shared" si="53"/>
        <v>1</v>
      </c>
      <c r="T124" s="174" t="str">
        <f t="shared" si="31"/>
        <v>NorthBound</v>
      </c>
      <c r="U124" s="198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16" t="str">
        <f t="shared" si="32"/>
        <v>https://d0f6bd738d7f1b3e5a7ca70fe4ff75f0.us-east-1.aws.found.io/app/kibana#/discover/Steve-Slow-Train-Analysis-(2080s-and-2083s)?_g=(refreshInterval:(display:Off,pause:!f,section:0,value:0),time:(from:'2017-09-24T16:22:56-0600',mode:absolute,to:'2017-09-24T19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4" s="204" t="str">
        <f>IF(AA124&lt;VLOOKUP(AG124,Variables!$AC$3:$AD$8,2,FALSE),"Y","N")</f>
        <v>N</v>
      </c>
      <c r="X124" s="204">
        <f t="shared" si="52"/>
        <v>1</v>
      </c>
      <c r="Y124" s="204">
        <f t="shared" si="50"/>
        <v>4.4600000000000001E-2</v>
      </c>
      <c r="Z124" s="204">
        <f t="shared" si="51"/>
        <v>23.330100000000002</v>
      </c>
      <c r="AA124" s="204">
        <f t="shared" si="36"/>
        <v>23.285500000000003</v>
      </c>
      <c r="AB124" s="54" t="e">
        <f>VLOOKUP(A124,Enforcements!$C$7:$K$11,8,0)</f>
        <v>#N/A</v>
      </c>
      <c r="AC124" s="51" t="e">
        <f>VLOOKUP(A124,Enforcements!$C$7:$E$11,3,0)</f>
        <v>#N/A</v>
      </c>
      <c r="AD124" s="179">
        <f t="shared" si="37"/>
        <v>211</v>
      </c>
      <c r="AE124" s="77" t="str">
        <f t="shared" si="38"/>
        <v>aws s3 cp s3://rtdc.mdm.uploadarchive.raw/RTDC4024/ "%USERPROFILE%\AppData\Local\Temp\OnboardLogs"\RTDC4024\2017-09-24 --exclude "*" --recursive --include "*20170924*" &amp; "%USERPROFILE%\Documents\GitHub\mrs-test-scripts\Headless Mode &amp; Sideloading\WalkAndUnGZ.bat" "%USERPROFILE%\AppData\Local\Temp\OnboardLogs"\RTDC4024\2017-09-24 &amp; aws s3 cp s3://rtdc.mdm.uploadarchive.raw/RTDC4024/ "%USERPROFILE%\AppData\Local\Temp\OnboardLogs"\RTDC4024\2017-09-25 --exclude "*" --recursive --include "*20170925*" &amp; "%USERPROFILE%\Documents\GitHub\mrs-test-scripts\Headless Mode &amp; Sideloading\WalkAndUnGZ.bat" "%USERPROFILE%\AppData\Local\Temp\OnboardLogs"\RTDC4024\2017-09-25</v>
      </c>
      <c r="AF124" s="74" t="str">
        <f t="shared" si="39"/>
        <v>"C:\Program Files (x86)\AstroGrep\AstroGrep.exe" /e /r /s /spath="%USERPROFILE%\AppData\Local\Temp\OnboardLogs" /stypes="app*4024*20170925*" /stext=" 00:.+((SYSTEM_STATE.+slice.+state.+changed )|(ment ac)|(multiple cpu faults)|(system.+state.+changed )|(\[timeout)|(PRM\|1\|D)|(kpr)|(kdp)|(train st.+moving)|(\|lc)|(penalty))"</v>
      </c>
      <c r="AG124" s="182" t="str">
        <f t="shared" si="40"/>
        <v>EC</v>
      </c>
      <c r="AH124" s="78" t="str">
        <f t="shared" si="41"/>
        <v>"%USERPROFILE%\Documents\GitHub\eaglep3\Utilities\RefineRTDCRunTimes.py" --tripid 211-24 --locoid 4024 --swversion DE.1.0.9.0 --startMP 204:446 --initTime 2017-09-24T17:22:56 --startdatetime 2017-09-24T17:30:16 --delay 55 --endMP 204:233301 --enddatetime 2017-09-24T18:05:48 --enforcementcount 0 &gt;&gt;c:\users\stu\Documents\GitHub\eaglep3-reporting\EC\2017-09-24-refined-times.txt</v>
      </c>
      <c r="AI124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{"issue":{"subject":"","project_id":79,"tracker_id":40,"status_id":1,"priority_id":2,"assigned_to_id":338,"start_date":"2017-09-24","description":"","custom_fields":[{"id":1,"name":"Subdivision","value":"EC"},{"id":4,"name":"Milepost","value":"23.3301"},{"id":17,"name":"Train ID","value":"211-24"},{"id":16,"name":"Locomotive ID","value":"4024"},{"id":130,"name":"Impact","value":""},{"id":150,"name":"Time of Event (Mountain Time)","value":"18:05:48"},{"id":151,"name":"Denver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4" s="47"/>
      <c r="AL124" s="47"/>
      <c r="AM124" s="142" t="str">
        <f t="shared" si="43"/>
        <v>start /low /b %USERPROFILE%\Documents\GitHub\eaglep3\Utilities\DownloadLogsFromS3.py --loco 4024 --day 2017-09-24</v>
      </c>
      <c r="AN124" s="151" t="str">
        <f t="shared" si="4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00:05:48"},{"id":29,"name":"Sharepoint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168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Message%20ID',Summary),filters:!(),index:'emp_*',interval:auto,query:"&amp;"(query_string:(analyze_wildcard:!t,query:'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-09-24T16:22:56-0600',mode:absolute,to:'2017-09-24T19:05:48-0600'))&amp;_a=(columns:!('Message%20ID',Summary),filters:!(),index:'emp_*',interval:auto,query:(query_string:(analyze_wildcard:!t,query:'%22rtdc.l.rtdc.4024%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604</v>
      </c>
      <c r="B125" s="7">
        <v>4023</v>
      </c>
      <c r="C125" s="21" t="s">
        <v>196</v>
      </c>
      <c r="D125" s="21" t="s">
        <v>501</v>
      </c>
      <c r="E125" s="13">
        <v>43002.76363425926</v>
      </c>
      <c r="F125" s="13">
        <v>43002.768993055557</v>
      </c>
      <c r="G125" s="7">
        <v>76</v>
      </c>
      <c r="H125" s="21" t="s">
        <v>563</v>
      </c>
      <c r="I125" s="13">
        <v>43002.795138888891</v>
      </c>
      <c r="J125" s="7">
        <v>0</v>
      </c>
      <c r="K125" s="89" t="str">
        <f t="shared" si="29"/>
        <v>4023/4024</v>
      </c>
      <c r="L125" s="185" t="str">
        <f>VLOOKUP(A125,'Trips&amp;Operators'!$C$1:$G$99911,5,FALSE)</f>
        <v>BERLING GARY</v>
      </c>
      <c r="M125" s="6">
        <f t="shared" si="30"/>
        <v>2.6145833333430346E-2</v>
      </c>
      <c r="N125" s="7">
        <f t="shared" si="54"/>
        <v>37.650000000139698</v>
      </c>
      <c r="O125" s="7"/>
      <c r="P125" s="7"/>
      <c r="Q125" s="22"/>
      <c r="R125" s="174"/>
      <c r="S125" s="221">
        <f t="shared" si="53"/>
        <v>1</v>
      </c>
      <c r="T125" s="174" t="str">
        <f t="shared" si="31"/>
        <v>Southbound</v>
      </c>
      <c r="U125" s="198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16" t="str">
        <f t="shared" si="32"/>
        <v>https://d0f6bd738d7f1b3e5a7ca70fe4ff75f0.us-east-1.aws.found.io/app/kibana#/discover/Steve-Slow-Train-Analysis-(2080s-and-2083s)?_g=(refreshInterval:(display:Off,pause:!f,section:0,value:0),time:(from:'2017-09-24T17:19:38-0600',mode:absolute,to:'2017-09-24T20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5" s="204" t="str">
        <f>IF(AA125&lt;VLOOKUP(AG125,Variables!$AC$3:$AD$8,2,FALSE),"Y","N")</f>
        <v>N</v>
      </c>
      <c r="X125" s="204">
        <f t="shared" si="52"/>
        <v>1</v>
      </c>
      <c r="Y125" s="204">
        <f t="shared" si="50"/>
        <v>23.296900000000001</v>
      </c>
      <c r="Z125" s="204">
        <f t="shared" si="51"/>
        <v>1.34E-2</v>
      </c>
      <c r="AA125" s="204">
        <f t="shared" si="36"/>
        <v>23.2835</v>
      </c>
      <c r="AB125" s="54" t="e">
        <f>VLOOKUP(A125,Enforcements!$C$7:$K$11,8,0)</f>
        <v>#N/A</v>
      </c>
      <c r="AC125" s="51" t="e">
        <f>VLOOKUP(A125,Enforcements!$C$7:$E$11,3,0)</f>
        <v>#N/A</v>
      </c>
      <c r="AD125" s="179">
        <f t="shared" si="37"/>
        <v>212</v>
      </c>
      <c r="AE125" s="77" t="str">
        <f t="shared" si="38"/>
        <v>aws s3 cp s3://rtdc.mdm.uploadarchive.raw/RTDC4023/ "%USERPROFILE%\AppData\Local\Temp\OnboardLogs"\RTDC4023\2017-09-24 --exclude "*" --recursive --include "*20170924*" &amp; "%USERPROFILE%\Documents\GitHub\mrs-test-scripts\Headless Mode &amp; Sideloading\WalkAndUnGZ.bat" "%USERPROFILE%\AppData\Local\Temp\OnboardLogs"\RTDC4023\2017-09-24 &amp; aws s3 cp s3://rtdc.mdm.uploadarchive.raw/RTDC4023/ "%USERPROFILE%\AppData\Local\Temp\OnboardLogs"\RTDC4023\2017-09-25 --exclude "*" --recursive --include "*20170925*" &amp; "%USERPROFILE%\Documents\GitHub\mrs-test-scripts\Headless Mode &amp; Sideloading\WalkAndUnGZ.bat" "%USERPROFILE%\AppData\Local\Temp\OnboardLogs"\RTDC4023\2017-09-25</v>
      </c>
      <c r="AF125" s="74" t="str">
        <f t="shared" si="39"/>
        <v>"C:\Program Files (x86)\AstroGrep\AstroGrep.exe" /e /r /s /spath="%USERPROFILE%\AppData\Local\Temp\OnboardLogs" /stypes="app*4023*20170925*" /stext=" 01:.+((SYSTEM_STATE.+slice.+state.+changed )|(ment ac)|(multiple cpu faults)|(system.+state.+changed )|(\[timeout)|(PRM\|1\|D)|(kpr)|(kdp)|(train st.+moving)|(\|lc)|(penalty))"</v>
      </c>
      <c r="AG125" s="182" t="str">
        <f t="shared" si="40"/>
        <v>EC</v>
      </c>
      <c r="AH125" s="78" t="str">
        <f t="shared" si="41"/>
        <v>"%USERPROFILE%\Documents\GitHub\eaglep3\Utilities\RefineRTDCRunTimes.py" --tripid 212-24 --locoid 4023 --swversion DE.1.0.9.0 --startMP 204:232969 --initTime 2017-09-24T18:19:38 --startdatetime 2017-09-24T18:27:21 --delay 76 --endMP 204:134 --enddatetime 2017-09-24T19:05:00 --enforcementcount 0 &gt;&gt;c:\users\stu\Documents\GitHub\eaglep3-reporting\EC\2017-09-24-refined-times.txt</v>
      </c>
      <c r="AI125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{"issue":{"subject":"","project_id":79,"tracker_id":40,"status_id":1,"priority_id":2,"assigned_to_id":338,"start_date":"2017-09-24","description":"","custom_fields":[{"id":1,"name":"Subdivision","value":"EC"},{"id":4,"name":"Milepost","value":"0.0134"},{"id":17,"name":"Train ID","value":"212-24"},{"id":16,"name":"Locomotive ID","value":"4023"},{"id":130,"name":"Impact","value":""},{"id":150,"name":"Time of Event (Mountain Time)","value":"19:05:00"},{"id":151,"name":"Denver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5" s="47"/>
      <c r="AL125" s="47"/>
      <c r="AM125" s="142" t="str">
        <f t="shared" si="43"/>
        <v>start /low /b %USERPROFILE%\Documents\GitHub\eaglep3\Utilities\DownloadLogsFromS3.py --loco 4023 --day 2017-09-24</v>
      </c>
      <c r="AN125" s="151" t="str">
        <f t="shared" si="4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01:05:00"},{"id":29,"name":"Sharepoint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168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Message%20ID',Summary),filters:!(),index:'emp_*',interval:auto,query:"&amp;"(query_string:(analyze_wildcard:!t,query:'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-09-24T17:19:38-0600',mode:absolute,to:'2017-09-24T20:05:00-0600'))&amp;_a=(columns:!('Message%20ID',Summary),filters:!(),index:'emp_*',interval:auto,query:(query_string:(analyze_wildcard:!t,query:'%22rtdc.l.rtdc.4023%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772</v>
      </c>
      <c r="B126" s="7">
        <v>4064</v>
      </c>
      <c r="C126" s="21" t="s">
        <v>196</v>
      </c>
      <c r="D126" s="21" t="s">
        <v>843</v>
      </c>
      <c r="E126" s="13">
        <v>43002.73715277778</v>
      </c>
      <c r="F126" s="13">
        <v>43002.739953703705</v>
      </c>
      <c r="G126" s="7">
        <v>165</v>
      </c>
      <c r="H126" s="21" t="s">
        <v>403</v>
      </c>
      <c r="I126" s="13">
        <v>43002.764131944445</v>
      </c>
      <c r="J126" s="7">
        <v>0</v>
      </c>
      <c r="K126" s="89" t="str">
        <f t="shared" si="29"/>
        <v>4063/4064</v>
      </c>
      <c r="L126" s="185" t="str">
        <f>VLOOKUP(A126,'Trips&amp;Operators'!$C$1:$G$99911,5,FALSE)</f>
        <v>LOZA FIDEL</v>
      </c>
      <c r="M126" s="6">
        <f t="shared" si="30"/>
        <v>2.417824073927477E-2</v>
      </c>
      <c r="N126" s="7">
        <f t="shared" si="54"/>
        <v>34.816666664555669</v>
      </c>
      <c r="O126" s="7"/>
      <c r="P126" s="7"/>
      <c r="Q126" s="22"/>
      <c r="R126" s="174"/>
      <c r="S126" s="221">
        <f t="shared" si="53"/>
        <v>1</v>
      </c>
      <c r="T126" s="174" t="str">
        <f t="shared" si="31"/>
        <v>NorthBound</v>
      </c>
      <c r="U126" s="198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16" t="str">
        <f t="shared" si="32"/>
        <v>https://d0f6bd738d7f1b3e5a7ca70fe4ff75f0.us-east-1.aws.found.io/app/kibana#/discover/Steve-Slow-Train-Analysis-(2080s-and-2083s)?_g=(refreshInterval:(display:Off,pause:!f,section:0,value:0),time:(from:'2017-09-24T16:41:30-0600',mode:absolute,to:'2017-09-24T19:20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6" s="204" t="str">
        <f>IF(AA126&lt;VLOOKUP(AG126,Variables!$AC$3:$AD$8,2,FALSE),"Y","N")</f>
        <v>N</v>
      </c>
      <c r="X126" s="204">
        <f t="shared" si="52"/>
        <v>1</v>
      </c>
      <c r="Y126" s="204">
        <f t="shared" si="50"/>
        <v>4.7699999999999999E-2</v>
      </c>
      <c r="Z126" s="204">
        <f t="shared" si="51"/>
        <v>23.331499999999998</v>
      </c>
      <c r="AA126" s="204">
        <f t="shared" si="36"/>
        <v>23.283799999999999</v>
      </c>
      <c r="AB126" s="54" t="e">
        <f>VLOOKUP(A126,Enforcements!$C$7:$K$11,8,0)</f>
        <v>#N/A</v>
      </c>
      <c r="AC126" s="51" t="e">
        <f>VLOOKUP(A126,Enforcements!$C$7:$E$11,3,0)</f>
        <v>#N/A</v>
      </c>
      <c r="AD126" s="179">
        <f t="shared" si="37"/>
        <v>213</v>
      </c>
      <c r="AE126" s="77" t="str">
        <f t="shared" si="38"/>
        <v>aws s3 cp s3://rtdc.mdm.uploadarchive.raw/RTDC4064/ "%USERPROFILE%\AppData\Local\Temp\OnboardLogs"\RTDC4064\2017-09-24 --exclude "*" --recursive --include "*20170924*" &amp; "%USERPROFILE%\Documents\GitHub\mrs-test-scripts\Headless Mode &amp; Sideloading\WalkAndUnGZ.bat" "%USERPROFILE%\AppData\Local\Temp\OnboardLogs"\RTDC4064\2017-09-24 &amp; aws s3 cp s3://rtdc.mdm.uploadarchive.raw/RTDC4064/ "%USERPROFILE%\AppData\Local\Temp\OnboardLogs"\RTDC4064\2017-09-25 --exclude "*" --recursive --include "*20170925*" &amp; "%USERPROFILE%\Documents\GitHub\mrs-test-scripts\Headless Mode &amp; Sideloading\WalkAndUnGZ.bat" "%USERPROFILE%\AppData\Local\Temp\OnboardLogs"\RTDC4064\2017-09-25</v>
      </c>
      <c r="AF126" s="74" t="str">
        <f t="shared" si="39"/>
        <v>"C:\Program Files (x86)\AstroGrep\AstroGrep.exe" /e /r /s /spath="%USERPROFILE%\AppData\Local\Temp\OnboardLogs" /stypes="app*4064*20170925*" /stext=" 00:.+((SYSTEM_STATE.+slice.+state.+changed )|(ment ac)|(multiple cpu faults)|(system.+state.+changed )|(\[timeout)|(PRM\|1\|D)|(kpr)|(kdp)|(train st.+moving)|(\|lc)|(penalty))"</v>
      </c>
      <c r="AG126" s="182" t="str">
        <f t="shared" si="40"/>
        <v>EC</v>
      </c>
      <c r="AH126" s="78" t="str">
        <f t="shared" si="41"/>
        <v>"%USERPROFILE%\Documents\GitHub\eaglep3\Utilities\RefineRTDCRunTimes.py" --tripid 213-24 --locoid 4064 --swversion DE.1.0.9.0 --startMP 204:477 --initTime 2017-09-24T17:41:30 --startdatetime 2017-09-24T17:45:32 --delay 165 --endMP 204:233315 --enddatetime 2017-09-24T18:20:21 --enforcementcount 0 &gt;&gt;c:\users\stu\Documents\GitHub\eaglep3-reporting\EC\2017-09-24-refined-times.txt</v>
      </c>
      <c r="AI126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{"issue":{"subject":"","project_id":79,"tracker_id":40,"status_id":1,"priority_id":2,"assigned_to_id":338,"start_date":"2017-09-24","description":"","custom_fields":[{"id":1,"name":"Subdivision","value":"EC"},{"id":4,"name":"Milepost","value":"23.3315"},{"id":17,"name":"Train ID","value":"213-24"},{"id":16,"name":"Locomotive ID","value":"4064"},{"id":130,"name":"Impact","value":""},{"id":150,"name":"Time of Event (Mountain Time)","value":"18:20:21"},{"id":151,"name":"Denver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6" s="47"/>
      <c r="AL126" s="47"/>
      <c r="AM126" s="142" t="str">
        <f t="shared" si="43"/>
        <v>start /low /b %USERPROFILE%\Documents\GitHub\eaglep3\Utilities\DownloadLogsFromS3.py --loco 4064 --day 2017-09-24</v>
      </c>
      <c r="AN126" s="151" t="str">
        <f t="shared" si="4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00:20:21"},{"id":29,"name":"Sharepoint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168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Message%20ID',Summary),filters:!(),index:'emp_*',interval:auto,query:"&amp;"(query_string:(analyze_wildcard:!t,query:'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-09-24T16:41:30-0600',mode:absolute,to:'2017-09-24T19:20:21-0600'))&amp;_a=(columns:!('Message%20ID',Summary),filters:!(),index:'emp_*',interval:auto,query:(query_string:(analyze_wildcard:!t,query:'%22rtdc.l.rtdc.4064%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779</v>
      </c>
      <c r="B127" s="7">
        <v>4063</v>
      </c>
      <c r="C127" s="21" t="s">
        <v>196</v>
      </c>
      <c r="D127" s="21" t="s">
        <v>432</v>
      </c>
      <c r="E127" s="13">
        <v>43002.776504629626</v>
      </c>
      <c r="F127" s="13">
        <v>43002.779398148145</v>
      </c>
      <c r="G127" s="7">
        <v>96</v>
      </c>
      <c r="H127" s="21" t="s">
        <v>834</v>
      </c>
      <c r="I127" s="13">
        <v>43002.805590277778</v>
      </c>
      <c r="J127" s="7">
        <v>0</v>
      </c>
      <c r="K127" s="89" t="str">
        <f t="shared" si="29"/>
        <v>4063/4064</v>
      </c>
      <c r="L127" s="185" t="str">
        <f>VLOOKUP(A127,'Trips&amp;Operators'!$C$1:$G$99911,5,FALSE)</f>
        <v>LOZA FIDEL</v>
      </c>
      <c r="M127" s="6">
        <f t="shared" si="30"/>
        <v>2.6192129633272998E-2</v>
      </c>
      <c r="N127" s="7">
        <f t="shared" si="54"/>
        <v>37.716666671913117</v>
      </c>
      <c r="O127" s="7"/>
      <c r="P127" s="7"/>
      <c r="Q127" s="22"/>
      <c r="R127" s="174"/>
      <c r="S127" s="221">
        <f t="shared" si="53"/>
        <v>1</v>
      </c>
      <c r="T127" s="174" t="str">
        <f t="shared" si="31"/>
        <v>Southbound</v>
      </c>
      <c r="U127" s="198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16" t="str">
        <f t="shared" si="32"/>
        <v>https://d0f6bd738d7f1b3e5a7ca70fe4ff75f0.us-east-1.aws.found.io/app/kibana#/discover/Steve-Slow-Train-Analysis-(2080s-and-2083s)?_g=(refreshInterval:(display:Off,pause:!f,section:0,value:0),time:(from:'2017-09-24T17:38:10-0600',mode:absolute,to:'2017-09-24T20:20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27" s="204" t="str">
        <f>IF(AA127&lt;VLOOKUP(AG127,Variables!$AC$3:$AD$8,2,FALSE),"Y","N")</f>
        <v>N</v>
      </c>
      <c r="X127" s="204">
        <f t="shared" si="52"/>
        <v>1</v>
      </c>
      <c r="Y127" s="204">
        <f t="shared" si="50"/>
        <v>23.3019</v>
      </c>
      <c r="Z127" s="204">
        <f t="shared" si="51"/>
        <v>1.6500000000000001E-2</v>
      </c>
      <c r="AA127" s="204">
        <f t="shared" si="36"/>
        <v>23.285399999999999</v>
      </c>
      <c r="AB127" s="54" t="e">
        <f>VLOOKUP(A127,Enforcements!$C$7:$K$11,8,0)</f>
        <v>#N/A</v>
      </c>
      <c r="AC127" s="51" t="e">
        <f>VLOOKUP(A127,Enforcements!$C$7:$E$11,3,0)</f>
        <v>#N/A</v>
      </c>
      <c r="AD127" s="179">
        <f t="shared" si="37"/>
        <v>214</v>
      </c>
      <c r="AE127" s="77" t="str">
        <f t="shared" si="38"/>
        <v>aws s3 cp s3://rtdc.mdm.uploadarchive.raw/RTDC4063/ "%USERPROFILE%\AppData\Local\Temp\OnboardLogs"\RTDC4063\2017-09-24 --exclude "*" --recursive --include "*20170924*" &amp; "%USERPROFILE%\Documents\GitHub\mrs-test-scripts\Headless Mode &amp; Sideloading\WalkAndUnGZ.bat" "%USERPROFILE%\AppData\Local\Temp\OnboardLogs"\RTDC4063\2017-09-24 &amp; aws s3 cp s3://rtdc.mdm.uploadarchive.raw/RTDC4063/ "%USERPROFILE%\AppData\Local\Temp\OnboardLogs"\RTDC4063\2017-09-25 --exclude "*" --recursive --include "*20170925*" &amp; "%USERPROFILE%\Documents\GitHub\mrs-test-scripts\Headless Mode &amp; Sideloading\WalkAndUnGZ.bat" "%USERPROFILE%\AppData\Local\Temp\OnboardLogs"\RTDC4063\2017-09-25</v>
      </c>
      <c r="AF127" s="74" t="str">
        <f t="shared" si="39"/>
        <v>"C:\Program Files (x86)\AstroGrep\AstroGrep.exe" /e /r /s /spath="%USERPROFILE%\AppData\Local\Temp\OnboardLogs" /stypes="app*4063*20170925*" /stext=" 01:.+((SYSTEM_STATE.+slice.+state.+changed )|(ment ac)|(multiple cpu faults)|(system.+state.+changed )|(\[timeout)|(PRM\|1\|D)|(kpr)|(kdp)|(train st.+moving)|(\|lc)|(penalty))"</v>
      </c>
      <c r="AG127" s="182" t="str">
        <f t="shared" si="40"/>
        <v>EC</v>
      </c>
      <c r="AH127" s="78" t="str">
        <f t="shared" si="41"/>
        <v>"%USERPROFILE%\Documents\GitHub\eaglep3\Utilities\RefineRTDCRunTimes.py" --tripid 214-24 --locoid 4063 --swversion DE.1.0.9.0 --startMP 204:233019 --initTime 2017-09-24T18:38:10 --startdatetime 2017-09-24T18:42:20 --delay 96 --endMP 204:165 --enddatetime 2017-09-24T19:20:03 --enforcementcount 0 &gt;&gt;c:\users\stu\Documents\GitHub\eaglep3-reporting\EC\2017-09-24-refined-times.txt</v>
      </c>
      <c r="AI127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{"issue":{"subject":"","project_id":79,"tracker_id":40,"status_id":1,"priority_id":2,"assigned_to_id":338,"start_date":"2017-09-24","description":"","custom_fields":[{"id":1,"name":"Subdivision","value":"EC"},{"id":4,"name":"Milepost","value":"0.0165"},{"id":17,"name":"Train ID","value":"214-24"},{"id":16,"name":"Locomotive ID","value":"4063"},{"id":130,"name":"Impact","value":""},{"id":150,"name":"Time of Event (Mountain Time)","value":"19:20:03"},{"id":151,"name":"Denver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7" s="47"/>
      <c r="AL127" s="47"/>
      <c r="AM127" s="142" t="str">
        <f t="shared" si="43"/>
        <v>start /low /b %USERPROFILE%\Documents\GitHub\eaglep3\Utilities\DownloadLogsFromS3.py --loco 4063 --day 2017-09-24</v>
      </c>
      <c r="AN127" s="151" t="str">
        <f t="shared" si="4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01:20:03"},{"id":29,"name":"Sharepoint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168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Message%20ID',Summary),filters:!(),index:'emp_*',interval:auto,query:"&amp;"(query_string:(analyze_wildcard:!t,query:'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-09-24T17:38:10-0600',mode:absolute,to:'2017-09-24T20:20:03-0600'))&amp;_a=(columns:!('Message%20ID',Summary),filters:!(),index:'emp_*',interval:auto,query:(query_string:(analyze_wildcard:!t,query:'%22rtdc.l.rtdc.4063%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773</v>
      </c>
      <c r="B128" s="7">
        <v>4018</v>
      </c>
      <c r="C128" s="21" t="s">
        <v>196</v>
      </c>
      <c r="D128" s="21" t="s">
        <v>357</v>
      </c>
      <c r="E128" s="13">
        <v>43002.744502314818</v>
      </c>
      <c r="F128" s="13">
        <v>43002.750254629631</v>
      </c>
      <c r="G128" s="7">
        <v>66</v>
      </c>
      <c r="H128" s="21" t="s">
        <v>928</v>
      </c>
      <c r="I128" s="13">
        <v>43002.775775462964</v>
      </c>
      <c r="J128" s="7">
        <v>0</v>
      </c>
      <c r="K128" s="89" t="str">
        <f t="shared" si="29"/>
        <v>4017/4018</v>
      </c>
      <c r="L128" s="185" t="str">
        <f>VLOOKUP(A128,'Trips&amp;Operators'!$C$1:$G$99911,5,FALSE)</f>
        <v>SMITH MICHAEL</v>
      </c>
      <c r="M128" s="6">
        <f t="shared" si="30"/>
        <v>2.5520833332848269E-2</v>
      </c>
      <c r="N128" s="7">
        <f t="shared" si="54"/>
        <v>36.749999999301508</v>
      </c>
      <c r="O128" s="7"/>
      <c r="P128" s="7"/>
      <c r="Q128" s="22"/>
      <c r="R128" s="174"/>
      <c r="S128" s="221">
        <f t="shared" si="53"/>
        <v>1</v>
      </c>
      <c r="T128" s="174" t="str">
        <f t="shared" si="31"/>
        <v>NorthBound</v>
      </c>
      <c r="U128" s="198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16" t="str">
        <f t="shared" si="32"/>
        <v>https://d0f6bd738d7f1b3e5a7ca70fe4ff75f0.us-east-1.aws.found.io/app/kibana#/discover/Steve-Slow-Train-Analysis-(2080s-and-2083s)?_g=(refreshInterval:(display:Off,pause:!f,section:0,value:0),time:(from:'2017-09-24T16:52:05-0600',mode:absolute,to:'2017-09-24T19:37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8" s="204" t="str">
        <f>IF(AA128&lt;VLOOKUP(AG128,Variables!$AC$3:$AD$8,2,FALSE),"Y","N")</f>
        <v>N</v>
      </c>
      <c r="X128" s="204">
        <f t="shared" si="52"/>
        <v>1</v>
      </c>
      <c r="Y128" s="204">
        <f t="shared" si="50"/>
        <v>4.58E-2</v>
      </c>
      <c r="Z128" s="204">
        <f t="shared" si="51"/>
        <v>23.332799999999999</v>
      </c>
      <c r="AA128" s="204">
        <f t="shared" si="36"/>
        <v>23.286999999999999</v>
      </c>
      <c r="AB128" s="54" t="e">
        <f>VLOOKUP(A128,Enforcements!$C$7:$K$11,8,0)</f>
        <v>#N/A</v>
      </c>
      <c r="AC128" s="51" t="e">
        <f>VLOOKUP(A128,Enforcements!$C$7:$E$11,3,0)</f>
        <v>#N/A</v>
      </c>
      <c r="AD128" s="179">
        <f t="shared" si="37"/>
        <v>215</v>
      </c>
      <c r="AE128" s="77" t="str">
        <f t="shared" si="38"/>
        <v>aws s3 cp s3://rtdc.mdm.uploadarchive.raw/RTDC4018/ "%USERPROFILE%\AppData\Local\Temp\OnboardLogs"\RTDC4018\2017-09-24 --exclude "*" --recursive --include "*20170924*" &amp; "%USERPROFILE%\Documents\GitHub\mrs-test-scripts\Headless Mode &amp; Sideloading\WalkAndUnGZ.bat" "%USERPROFILE%\AppData\Local\Temp\OnboardLogs"\RTDC4018\2017-09-24 &amp; aws s3 cp s3://rtdc.mdm.uploadarchive.raw/RTDC4018/ "%USERPROFILE%\AppData\Local\Temp\OnboardLogs"\RTDC4018\2017-09-25 --exclude "*" --recursive --include "*20170925*" &amp; "%USERPROFILE%\Documents\GitHub\mrs-test-scripts\Headless Mode &amp; Sideloading\WalkAndUnGZ.bat" "%USERPROFILE%\AppData\Local\Temp\OnboardLogs"\RTDC4018\2017-09-25</v>
      </c>
      <c r="AF128" s="74" t="str">
        <f t="shared" si="39"/>
        <v>"C:\Program Files (x86)\AstroGrep\AstroGrep.exe" /e /r /s /spath="%USERPROFILE%\AppData\Local\Temp\OnboardLogs" /stypes="app*4018*20170925*" /stext=" 00:.+((SYSTEM_STATE.+slice.+state.+changed )|(ment ac)|(multiple cpu faults)|(system.+state.+changed )|(\[timeout)|(PRM\|1\|D)|(kpr)|(kdp)|(train st.+moving)|(\|lc)|(penalty))"</v>
      </c>
      <c r="AG128" s="182" t="str">
        <f t="shared" si="40"/>
        <v>EC</v>
      </c>
      <c r="AH128" s="78" t="str">
        <f t="shared" si="41"/>
        <v>"%USERPROFILE%\Documents\GitHub\eaglep3\Utilities\RefineRTDCRunTimes.py" --tripid 215-24 --locoid 4018 --swversion DE.1.0.9.0 --startMP 204:458 --initTime 2017-09-24T17:52:05 --startdatetime 2017-09-24T18:00:22 --delay 66 --endMP 204:233328 --enddatetime 2017-09-24T18:37:07 --enforcementcount 0 &gt;&gt;c:\users\stu\Documents\GitHub\eaglep3-reporting\EC\2017-09-24-refined-times.txt</v>
      </c>
      <c r="AI128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{"issue":{"subject":"","project_id":79,"tracker_id":40,"status_id":1,"priority_id":2,"assigned_to_id":338,"start_date":"2017-09-24","description":"","custom_fields":[{"id":1,"name":"Subdivision","value":"EC"},{"id":4,"name":"Milepost","value":"23.3328"},{"id":17,"name":"Train ID","value":"215-24"},{"id":16,"name":"Locomotive ID","value":"4018"},{"id":130,"name":"Impact","value":""},{"id":150,"name":"Time of Event (Mountain Time)","value":"18:37:07"},{"id":151,"name":"Denver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8" s="47"/>
      <c r="AL128" s="47"/>
      <c r="AM128" s="142" t="str">
        <f t="shared" si="43"/>
        <v>start /low /b %USERPROFILE%\Documents\GitHub\eaglep3\Utilities\DownloadLogsFromS3.py --loco 4018 --day 2017-09-24</v>
      </c>
      <c r="AN128" s="151" t="str">
        <f t="shared" si="4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00:37:07"},{"id":29,"name":"Sharepoint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168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Message%20ID',Summary),filters:!(),index:'emp_*',interval:auto,query:"&amp;"(query_string:(analyze_wildcard:!t,query:'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-09-24T16:52:05-0600',mode:absolute,to:'2017-09-24T19:37:07-0600'))&amp;_a=(columns:!('Message%20ID',Summary),filters:!(),index:'emp_*',interval:auto,query:(query_string:(analyze_wildcard:!t,query:'%22rtdc.l.rtdc.4018%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780</v>
      </c>
      <c r="B129" s="7">
        <v>4017</v>
      </c>
      <c r="C129" s="21" t="s">
        <v>196</v>
      </c>
      <c r="D129" s="21" t="s">
        <v>925</v>
      </c>
      <c r="E129" s="13">
        <v>43002.779733796298</v>
      </c>
      <c r="F129" s="13">
        <v>43002.789849537039</v>
      </c>
      <c r="G129" s="7">
        <v>67</v>
      </c>
      <c r="H129" s="21" t="s">
        <v>401</v>
      </c>
      <c r="I129" s="13">
        <v>43002.815671296295</v>
      </c>
      <c r="J129" s="7">
        <v>0</v>
      </c>
      <c r="K129" s="89" t="str">
        <f t="shared" si="29"/>
        <v>4017/4018</v>
      </c>
      <c r="L129" s="185" t="str">
        <f>VLOOKUP(A129,'Trips&amp;Operators'!$C$1:$G$99911,5,FALSE)</f>
        <v>SMITH MICHAEL</v>
      </c>
      <c r="M129" s="6">
        <f t="shared" si="30"/>
        <v>2.5821759256359655E-2</v>
      </c>
      <c r="N129" s="7">
        <f t="shared" si="54"/>
        <v>37.183333329157904</v>
      </c>
      <c r="O129" s="7"/>
      <c r="P129" s="7"/>
      <c r="Q129" s="22"/>
      <c r="R129" s="174"/>
      <c r="S129" s="221">
        <f t="shared" si="53"/>
        <v>1</v>
      </c>
      <c r="T129" s="174" t="str">
        <f t="shared" si="31"/>
        <v>Southbound</v>
      </c>
      <c r="U129" s="198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16" t="str">
        <f t="shared" si="32"/>
        <v>https://d0f6bd738d7f1b3e5a7ca70fe4ff75f0.us-east-1.aws.found.io/app/kibana#/discover/Steve-Slow-Train-Analysis-(2080s-and-2083s)?_g=(refreshInterval:(display:Off,pause:!f,section:0,value:0),time:(from:'2017-09-24T17:42:49-0600',mode:absolute,to:'2017-09-24T20:34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29" s="204" t="str">
        <f>IF(AA129&lt;VLOOKUP(AG129,Variables!$AC$3:$AD$8,2,FALSE),"Y","N")</f>
        <v>N</v>
      </c>
      <c r="X129" s="204">
        <f t="shared" si="52"/>
        <v>1</v>
      </c>
      <c r="Y129" s="204">
        <f t="shared" si="50"/>
        <v>23.300699999999999</v>
      </c>
      <c r="Z129" s="204">
        <f t="shared" si="51"/>
        <v>1.54E-2</v>
      </c>
      <c r="AA129" s="204">
        <f t="shared" si="36"/>
        <v>23.285299999999999</v>
      </c>
      <c r="AB129" s="54" t="e">
        <f>VLOOKUP(A129,Enforcements!$C$7:$K$11,8,0)</f>
        <v>#N/A</v>
      </c>
      <c r="AC129" s="51" t="e">
        <f>VLOOKUP(A129,Enforcements!$C$7:$E$11,3,0)</f>
        <v>#N/A</v>
      </c>
      <c r="AD129" s="179">
        <f t="shared" si="37"/>
        <v>216</v>
      </c>
      <c r="AE129" s="77" t="str">
        <f t="shared" si="38"/>
        <v>aws s3 cp s3://rtdc.mdm.uploadarchive.raw/RTDC4017/ "%USERPROFILE%\AppData\Local\Temp\OnboardLogs"\RTDC4017\2017-09-24 --exclude "*" --recursive --include "*20170924*" &amp; "%USERPROFILE%\Documents\GitHub\mrs-test-scripts\Headless Mode &amp; Sideloading\WalkAndUnGZ.bat" "%USERPROFILE%\AppData\Local\Temp\OnboardLogs"\RTDC4017\2017-09-24 &amp; aws s3 cp s3://rtdc.mdm.uploadarchive.raw/RTDC4017/ "%USERPROFILE%\AppData\Local\Temp\OnboardLogs"\RTDC4017\2017-09-25 --exclude "*" --recursive --include "*20170925*" &amp; "%USERPROFILE%\Documents\GitHub\mrs-test-scripts\Headless Mode &amp; Sideloading\WalkAndUnGZ.bat" "%USERPROFILE%\AppData\Local\Temp\OnboardLogs"\RTDC4017\2017-09-25</v>
      </c>
      <c r="AF129" s="74" t="str">
        <f t="shared" si="39"/>
        <v>"C:\Program Files (x86)\AstroGrep\AstroGrep.exe" /e /r /s /spath="%USERPROFILE%\AppData\Local\Temp\OnboardLogs" /stypes="app*4017*20170925*" /stext=" 01:.+((SYSTEM_STATE.+slice.+state.+changed )|(ment ac)|(multiple cpu faults)|(system.+state.+changed )|(\[timeout)|(PRM\|1\|D)|(kpr)|(kdp)|(train st.+moving)|(\|lc)|(penalty))"</v>
      </c>
      <c r="AG129" s="182" t="str">
        <f t="shared" si="40"/>
        <v>EC</v>
      </c>
      <c r="AH129" s="78" t="str">
        <f t="shared" si="41"/>
        <v>"%USERPROFILE%\Documents\GitHub\eaglep3\Utilities\RefineRTDCRunTimes.py" --tripid 216-24 --locoid 4017 --swversion DE.1.0.9.0 --startMP 204:233007 --initTime 2017-09-24T18:42:49 --startdatetime 2017-09-24T18:57:23 --delay 67 --endMP 204:154 --enddatetime 2017-09-24T19:34:34 --enforcementcount 0 &gt;&gt;c:\users\stu\Documents\GitHub\eaglep3-reporting\EC\2017-09-24-refined-times.txt</v>
      </c>
      <c r="AI129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{"issue":{"subject":"","project_id":79,"tracker_id":40,"status_id":1,"priority_id":2,"assigned_to_id":338,"start_date":"2017-09-24","description":"","custom_fields":[{"id":1,"name":"Subdivision","value":"EC"},{"id":4,"name":"Milepost","value":"0.0154"},{"id":17,"name":"Train ID","value":"216-24"},{"id":16,"name":"Locomotive ID","value":"4017"},{"id":130,"name":"Impact","value":""},{"id":150,"name":"Time of Event (Mountain Time)","value":"19:34:34"},{"id":151,"name":"Denver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29" s="47"/>
      <c r="AL129" s="47"/>
      <c r="AM129" s="142" t="str">
        <f t="shared" si="43"/>
        <v>start /low /b %USERPROFILE%\Documents\GitHub\eaglep3\Utilities\DownloadLogsFromS3.py --loco 4017 --day 2017-09-24</v>
      </c>
      <c r="AN129" s="151" t="str">
        <f t="shared" si="4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01:34:34"},{"id":29,"name":"Sharepoint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168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Message%20ID',Summary),filters:!(),index:'emp_*',interval:auto,query:"&amp;"(query_string:(analyze_wildcard:!t,query:'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-09-24T17:42:49-0600',mode:absolute,to:'2017-09-24T20:34:34-0600'))&amp;_a=(columns:!('Message%20ID',Summary),filters:!(),index:'emp_*',interval:auto,query:(query_string:(analyze_wildcard:!t,query:'%22rtdc.l.rtdc.4017%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775</v>
      </c>
      <c r="B130" s="7">
        <v>4046</v>
      </c>
      <c r="C130" s="21" t="s">
        <v>196</v>
      </c>
      <c r="D130" s="21" t="s">
        <v>371</v>
      </c>
      <c r="E130" s="13">
        <v>43002.757557870369</v>
      </c>
      <c r="F130" s="13">
        <v>43002.760636574072</v>
      </c>
      <c r="G130" s="7">
        <v>87</v>
      </c>
      <c r="H130" s="21" t="s">
        <v>448</v>
      </c>
      <c r="I130" s="13">
        <v>43002.784988425927</v>
      </c>
      <c r="J130" s="7">
        <v>0</v>
      </c>
      <c r="K130" s="89" t="str">
        <f t="shared" si="29"/>
        <v>4045/4046</v>
      </c>
      <c r="L130" s="185" t="str">
        <f>VLOOKUP(A130,'Trips&amp;Operators'!$C$1:$G$99911,5,FALSE)</f>
        <v>ELBAUM MIKE</v>
      </c>
      <c r="M130" s="6">
        <f t="shared" si="30"/>
        <v>2.4351851854589768E-2</v>
      </c>
      <c r="N130" s="7">
        <f t="shared" si="54"/>
        <v>35.066666670609266</v>
      </c>
      <c r="O130" s="7"/>
      <c r="P130" s="7"/>
      <c r="Q130" s="22"/>
      <c r="R130" s="174"/>
      <c r="S130" s="221">
        <f t="shared" si="53"/>
        <v>1</v>
      </c>
      <c r="T130" s="174" t="str">
        <f t="shared" si="31"/>
        <v>NorthBound</v>
      </c>
      <c r="U130" s="198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16" t="str">
        <f t="shared" si="32"/>
        <v>https://d0f6bd738d7f1b3e5a7ca70fe4ff75f0.us-east-1.aws.found.io/app/kibana#/discover/Steve-Slow-Train-Analysis-(2080s-and-2083s)?_g=(refreshInterval:(display:Off,pause:!f,section:0,value:0),time:(from:'2017-09-24T17:10:53-0600',mode:absolute,to:'2017-09-24T19:50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0" s="204" t="str">
        <f>IF(AA130&lt;VLOOKUP(AG130,Variables!$AC$3:$AD$8,2,FALSE),"Y","N")</f>
        <v>N</v>
      </c>
      <c r="X130" s="204">
        <f t="shared" si="52"/>
        <v>1</v>
      </c>
      <c r="Y130" s="204">
        <f t="shared" si="50"/>
        <v>4.6899999999999997E-2</v>
      </c>
      <c r="Z130" s="204">
        <f t="shared" si="51"/>
        <v>23.331700000000001</v>
      </c>
      <c r="AA130" s="204">
        <f t="shared" si="36"/>
        <v>23.284800000000001</v>
      </c>
      <c r="AB130" s="54" t="e">
        <f>VLOOKUP(A130,Enforcements!$C$7:$K$11,8,0)</f>
        <v>#N/A</v>
      </c>
      <c r="AC130" s="51" t="e">
        <f>VLOOKUP(A130,Enforcements!$C$7:$E$11,3,0)</f>
        <v>#N/A</v>
      </c>
      <c r="AD130" s="179">
        <f t="shared" si="37"/>
        <v>217</v>
      </c>
      <c r="AE130" s="77" t="str">
        <f t="shared" si="38"/>
        <v>aws s3 cp s3://rtdc.mdm.uploadarchive.raw/RTDC4046/ "%USERPROFILE%\AppData\Local\Temp\OnboardLogs"\RTDC4046\2017-09-24 --exclude "*" --recursive --include "*20170924*" &amp; "%USERPROFILE%\Documents\GitHub\mrs-test-scripts\Headless Mode &amp; Sideloading\WalkAndUnGZ.bat" "%USERPROFILE%\AppData\Local\Temp\OnboardLogs"\RTDC4046\2017-09-24 &amp; aws s3 cp s3://rtdc.mdm.uploadarchive.raw/RTDC4046/ "%USERPROFILE%\AppData\Local\Temp\OnboardLogs"\RTDC4046\2017-09-25 --exclude "*" --recursive --include "*20170925*" &amp; "%USERPROFILE%\Documents\GitHub\mrs-test-scripts\Headless Mode &amp; Sideloading\WalkAndUnGZ.bat" "%USERPROFILE%\AppData\Local\Temp\OnboardLogs"\RTDC4046\2017-09-25</v>
      </c>
      <c r="AF130" s="74" t="str">
        <f t="shared" si="39"/>
        <v>"C:\Program Files (x86)\AstroGrep\AstroGrep.exe" /e /r /s /spath="%USERPROFILE%\AppData\Local\Temp\OnboardLogs" /stypes="app*4046*20170925*" /stext=" 00:.+((SYSTEM_STATE.+slice.+state.+changed )|(ment ac)|(multiple cpu faults)|(system.+state.+changed )|(\[timeout)|(PRM\|1\|D)|(kpr)|(kdp)|(train st.+moving)|(\|lc)|(penalty))"</v>
      </c>
      <c r="AG130" s="182" t="str">
        <f t="shared" si="40"/>
        <v>EC</v>
      </c>
      <c r="AH130" s="78" t="str">
        <f t="shared" si="41"/>
        <v>"%USERPROFILE%\Documents\GitHub\eaglep3\Utilities\RefineRTDCRunTimes.py" --tripid 217-24 --locoid 4046 --swversion DE.1.0.9.0 --startMP 204:469 --initTime 2017-09-24T18:10:53 --startdatetime 2017-09-24T18:15:19 --delay 87 --endMP 204:233317 --enddatetime 2017-09-24T18:50:23 --enforcementcount 0 &gt;&gt;c:\users\stu\Documents\GitHub\eaglep3-reporting\EC\2017-09-24-refined-times.txt</v>
      </c>
      <c r="AI130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{"issue":{"subject":"","project_id":79,"tracker_id":40,"status_id":1,"priority_id":2,"assigned_to_id":338,"start_date":"2017-09-24","description":"","custom_fields":[{"id":1,"name":"Subdivision","value":"EC"},{"id":4,"name":"Milepost","value":"23.3317"},{"id":17,"name":"Train ID","value":"217-24"},{"id":16,"name":"Locomotive ID","value":"4046"},{"id":130,"name":"Impact","value":""},{"id":150,"name":"Time of Event (Mountain Time)","value":"18:50:23"},{"id":151,"name":"Denver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0" s="47"/>
      <c r="AL130" s="47"/>
      <c r="AM130" s="142" t="str">
        <f t="shared" si="43"/>
        <v>start /low /b %USERPROFILE%\Documents\GitHub\eaglep3\Utilities\DownloadLogsFromS3.py --loco 4046 --day 2017-09-24</v>
      </c>
      <c r="AN130" s="151" t="str">
        <f t="shared" si="4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00:50:23"},{"id":29,"name":"Sharepoint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168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Message%20ID',Summary),filters:!(),index:'emp_*',interval:auto,query:"&amp;"(query_string:(analyze_wildcard:!t,query:'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-09-24T17:10:53-0600',mode:absolute,to:'2017-09-24T19:50:23-0600'))&amp;_a=(columns:!('Message%20ID',Summary),filters:!(),index:'emp_*',interval:auto,query:(query_string:(analyze_wildcard:!t,query:'%22rtdc.l.rtdc.4046%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781</v>
      </c>
      <c r="B131" s="7">
        <v>4045</v>
      </c>
      <c r="C131" s="21" t="s">
        <v>196</v>
      </c>
      <c r="D131" s="21" t="s">
        <v>929</v>
      </c>
      <c r="E131" s="13">
        <v>43002.786712962959</v>
      </c>
      <c r="F131" s="13">
        <v>43002.800150462965</v>
      </c>
      <c r="G131" s="7">
        <v>70</v>
      </c>
      <c r="H131" s="21" t="s">
        <v>366</v>
      </c>
      <c r="I131" s="13">
        <v>43002.825462962966</v>
      </c>
      <c r="J131" s="7">
        <v>0</v>
      </c>
      <c r="K131" s="89" t="str">
        <f t="shared" si="29"/>
        <v>4045/4046</v>
      </c>
      <c r="L131" s="185" t="str">
        <f>VLOOKUP(A131,'Trips&amp;Operators'!$C$1:$G$99911,5,FALSE)</f>
        <v>ELBAUM MIKE</v>
      </c>
      <c r="M131" s="6">
        <f t="shared" si="30"/>
        <v>2.531250000174623E-2</v>
      </c>
      <c r="N131" s="7">
        <f t="shared" si="54"/>
        <v>36.450000002514571</v>
      </c>
      <c r="O131" s="7"/>
      <c r="P131" s="7"/>
      <c r="Q131" s="22"/>
      <c r="R131" s="174"/>
      <c r="S131" s="221">
        <f t="shared" si="53"/>
        <v>1</v>
      </c>
      <c r="T131" s="174" t="str">
        <f t="shared" si="31"/>
        <v>Southbound</v>
      </c>
      <c r="U131" s="198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16" t="str">
        <f t="shared" si="32"/>
        <v>https://d0f6bd738d7f1b3e5a7ca70fe4ff75f0.us-east-1.aws.found.io/app/kibana#/discover/Steve-Slow-Train-Analysis-(2080s-and-2083s)?_g=(refreshInterval:(display:Off,pause:!f,section:0,value:0),time:(from:'2017-09-24T17:52:52-0600',mode:absolute,to:'2017-09-24T20:48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1" s="204" t="str">
        <f>IF(AA131&lt;VLOOKUP(AG131,Variables!$AC$3:$AD$8,2,FALSE),"Y","N")</f>
        <v>N</v>
      </c>
      <c r="X131" s="204">
        <f t="shared" si="52"/>
        <v>1</v>
      </c>
      <c r="Y131" s="204">
        <f t="shared" si="50"/>
        <v>23.3032</v>
      </c>
      <c r="Z131" s="204">
        <f t="shared" si="51"/>
        <v>1.5599999999999999E-2</v>
      </c>
      <c r="AA131" s="204">
        <f t="shared" si="36"/>
        <v>23.287600000000001</v>
      </c>
      <c r="AB131" s="54" t="e">
        <f>VLOOKUP(A131,Enforcements!$C$7:$K$11,8,0)</f>
        <v>#N/A</v>
      </c>
      <c r="AC131" s="51" t="e">
        <f>VLOOKUP(A131,Enforcements!$C$7:$E$11,3,0)</f>
        <v>#N/A</v>
      </c>
      <c r="AD131" s="179">
        <f t="shared" si="37"/>
        <v>218</v>
      </c>
      <c r="AE131" s="77" t="str">
        <f t="shared" si="38"/>
        <v>aws s3 cp s3://rtdc.mdm.uploadarchive.raw/RTDC4045/ "%USERPROFILE%\AppData\Local\Temp\OnboardLogs"\RTDC4045\2017-09-24 --exclude "*" --recursive --include "*20170924*" &amp; "%USERPROFILE%\Documents\GitHub\mrs-test-scripts\Headless Mode &amp; Sideloading\WalkAndUnGZ.bat" "%USERPROFILE%\AppData\Local\Temp\OnboardLogs"\RTDC4045\2017-09-24 &amp; aws s3 cp s3://rtdc.mdm.uploadarchive.raw/RTDC4045/ "%USERPROFILE%\AppData\Local\Temp\OnboardLogs"\RTDC4045\2017-09-25 --exclude "*" --recursive --include "*20170925*" &amp; "%USERPROFILE%\Documents\GitHub\mrs-test-scripts\Headless Mode &amp; Sideloading\WalkAndUnGZ.bat" "%USERPROFILE%\AppData\Local\Temp\OnboardLogs"\RTDC4045\2017-09-25</v>
      </c>
      <c r="AF131" s="74" t="str">
        <f t="shared" si="39"/>
        <v>"C:\Program Files (x86)\AstroGrep\AstroGrep.exe" /e /r /s /spath="%USERPROFILE%\AppData\Local\Temp\OnboardLogs" /stypes="app*4045*20170925*" /stext=" 01:.+((SYSTEM_STATE.+slice.+state.+changed )|(ment ac)|(multiple cpu faults)|(system.+state.+changed )|(\[timeout)|(PRM\|1\|D)|(kpr)|(kdp)|(train st.+moving)|(\|lc)|(penalty))"</v>
      </c>
      <c r="AG131" s="182" t="str">
        <f t="shared" si="40"/>
        <v>EC</v>
      </c>
      <c r="AH131" s="78" t="str">
        <f t="shared" si="41"/>
        <v>"%USERPROFILE%\Documents\GitHub\eaglep3\Utilities\RefineRTDCRunTimes.py" --tripid 218-24 --locoid 4045 --swversion DE.1.0.9.0 --startMP 204:233032 --initTime 2017-09-24T18:52:52 --startdatetime 2017-09-24T19:12:13 --delay 70 --endMP 204:156 --enddatetime 2017-09-24T19:48:40 --enforcementcount 0 &gt;&gt;c:\users\stu\Documents\GitHub\eaglep3-reporting\EC\2017-09-24-refined-times.txt</v>
      </c>
      <c r="AI131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{"issue":{"subject":"","project_id":79,"tracker_id":40,"status_id":1,"priority_id":2,"assigned_to_id":338,"start_date":"2017-09-24","description":"","custom_fields":[{"id":1,"name":"Subdivision","value":"EC"},{"id":4,"name":"Milepost","value":"0.0156"},{"id":17,"name":"Train ID","value":"218-24"},{"id":16,"name":"Locomotive ID","value":"4045"},{"id":130,"name":"Impact","value":""},{"id":150,"name":"Time of Event (Mountain Time)","value":"19:48:40"},{"id":151,"name":"Denver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1" s="47"/>
      <c r="AL131" s="47"/>
      <c r="AM131" s="142" t="str">
        <f t="shared" si="43"/>
        <v>start /low /b %USERPROFILE%\Documents\GitHub\eaglep3\Utilities\DownloadLogsFromS3.py --loco 4045 --day 2017-09-24</v>
      </c>
      <c r="AN131" s="151" t="str">
        <f t="shared" si="4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01:48:40"},{"id":29,"name":"Sharepoint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168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Message%20ID',Summary),filters:!(),index:'emp_*',interval:auto,query:"&amp;"(query_string:(analyze_wildcard:!t,query:'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-09-24T17:52:52-0600',mode:absolute,to:'2017-09-24T20:48:40-0600'))&amp;_a=(columns:!('Message%20ID',Summary),filters:!(),index:'emp_*',interval:auto,query:(query_string:(analyze_wildcard:!t,query:'%22rtdc.l.rtdc.4045%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776</v>
      </c>
      <c r="B132" s="7">
        <v>4060</v>
      </c>
      <c r="C132" s="21" t="s">
        <v>196</v>
      </c>
      <c r="D132" s="21" t="s">
        <v>390</v>
      </c>
      <c r="E132" s="13">
        <v>43002.764849537038</v>
      </c>
      <c r="F132" s="13">
        <v>43002.771006944444</v>
      </c>
      <c r="G132" s="7">
        <v>105</v>
      </c>
      <c r="H132" s="21" t="s">
        <v>930</v>
      </c>
      <c r="I132" s="13">
        <v>43002.796342592592</v>
      </c>
      <c r="J132" s="7">
        <v>0</v>
      </c>
      <c r="K132" s="89" t="str">
        <f t="shared" si="29"/>
        <v>4059/4060</v>
      </c>
      <c r="L132" s="185" t="str">
        <f>VLOOKUP(A132,'Trips&amp;Operators'!$C$1:$G$99911,5,FALSE)</f>
        <v>DUNCAN SHEILA</v>
      </c>
      <c r="M132" s="6">
        <f t="shared" si="30"/>
        <v>2.5335648148029577E-2</v>
      </c>
      <c r="N132" s="7">
        <f t="shared" si="54"/>
        <v>36.483333333162591</v>
      </c>
      <c r="O132" s="7"/>
      <c r="P132" s="7"/>
      <c r="Q132" s="22"/>
      <c r="R132" s="174"/>
      <c r="S132" s="221">
        <f t="shared" si="53"/>
        <v>1</v>
      </c>
      <c r="T132" s="174" t="str">
        <f t="shared" si="31"/>
        <v>NorthBound</v>
      </c>
      <c r="U132" s="198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16" t="str">
        <f t="shared" si="32"/>
        <v>https://d0f6bd738d7f1b3e5a7ca70fe4ff75f0.us-east-1.aws.found.io/app/kibana#/discover/Steve-Slow-Train-Analysis-(2080s-and-2083s)?_g=(refreshInterval:(display:Off,pause:!f,section:0,value:0),time:(from:'2017-09-24T17:21:23-0600',mode:absolute,to:'2017-09-24T20:06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32" s="204" t="str">
        <f>IF(AA132&lt;VLOOKUP(AG132,Variables!$AC$3:$AD$8,2,FALSE),"Y","N")</f>
        <v>N</v>
      </c>
      <c r="X132" s="204">
        <f t="shared" si="52"/>
        <v>1</v>
      </c>
      <c r="Y132" s="204">
        <f t="shared" ref="Y132:Y163" si="55">RIGHT(D132,LEN(D132)-4)/10000</f>
        <v>4.6199999999999998E-2</v>
      </c>
      <c r="Z132" s="204">
        <f t="shared" ref="Z132:Z163" si="56">RIGHT(H132,LEN(H132)-4)/10000</f>
        <v>23.336200000000002</v>
      </c>
      <c r="AA132" s="204">
        <f t="shared" si="36"/>
        <v>23.290000000000003</v>
      </c>
      <c r="AB132" s="54" t="e">
        <f>VLOOKUP(A132,Enforcements!$C$7:$K$11,8,0)</f>
        <v>#N/A</v>
      </c>
      <c r="AC132" s="51" t="e">
        <f>VLOOKUP(A132,Enforcements!$C$7:$E$11,3,0)</f>
        <v>#N/A</v>
      </c>
      <c r="AD132" s="179">
        <f t="shared" si="37"/>
        <v>219</v>
      </c>
      <c r="AE132" s="77" t="str">
        <f t="shared" si="38"/>
        <v>aws s3 cp s3://rtdc.mdm.uploadarchive.raw/RTDC4060/ "%USERPROFILE%\AppData\Local\Temp\OnboardLogs"\RTDC4060\2017-09-24 --exclude "*" --recursive --include "*20170924*" &amp; "%USERPROFILE%\Documents\GitHub\mrs-test-scripts\Headless Mode &amp; Sideloading\WalkAndUnGZ.bat" "%USERPROFILE%\AppData\Local\Temp\OnboardLogs"\RTDC4060\2017-09-24 &amp; aws s3 cp s3://rtdc.mdm.uploadarchive.raw/RTDC4060/ "%USERPROFILE%\AppData\Local\Temp\OnboardLogs"\RTDC4060\2017-09-25 --exclude "*" --recursive --include "*20170925*" &amp; "%USERPROFILE%\Documents\GitHub\mrs-test-scripts\Headless Mode &amp; Sideloading\WalkAndUnGZ.bat" "%USERPROFILE%\AppData\Local\Temp\OnboardLogs"\RTDC4060\2017-09-25</v>
      </c>
      <c r="AF132" s="74" t="str">
        <f t="shared" si="39"/>
        <v>"C:\Program Files (x86)\AstroGrep\AstroGrep.exe" /e /r /s /spath="%USERPROFILE%\AppData\Local\Temp\OnboardLogs" /stypes="app*4060*20170925*" /stext=" 01:.+((SYSTEM_STATE.+slice.+state.+changed )|(ment ac)|(multiple cpu faults)|(system.+state.+changed )|(\[timeout)|(PRM\|1\|D)|(kpr)|(kdp)|(train st.+moving)|(\|lc)|(penalty))"</v>
      </c>
      <c r="AG132" s="182" t="str">
        <f t="shared" si="40"/>
        <v>EC</v>
      </c>
      <c r="AH132" s="78" t="str">
        <f t="shared" si="41"/>
        <v>"%USERPROFILE%\Documents\GitHub\eaglep3\Utilities\RefineRTDCRunTimes.py" --tripid 219-24 --locoid 4060 --swversion DE.1.0.9.0 --startMP 204:462 --initTime 2017-09-24T18:21:23 --startdatetime 2017-09-24T18:30:15 --delay 105 --endMP 204:233362 --enddatetime 2017-09-24T19:06:44 --enforcementcount 0 &gt;&gt;c:\users\stu\Documents\GitHub\eaglep3-reporting\EC\2017-09-24-refined-times.txt</v>
      </c>
      <c r="AI132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{"issue":{"subject":"","project_id":79,"tracker_id":40,"status_id":1,"priority_id":2,"assigned_to_id":338,"start_date":"2017-09-24","description":"","custom_fields":[{"id":1,"name":"Subdivision","value":"EC"},{"id":4,"name":"Milepost","value":"23.3362"},{"id":17,"name":"Train ID","value":"219-24"},{"id":16,"name":"Locomotive ID","value":"4060"},{"id":130,"name":"Impact","value":""},{"id":150,"name":"Time of Event (Mountain Time)","value":"19:06:44"},{"id":151,"name":"Denver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2" s="47"/>
      <c r="AL132" s="47"/>
      <c r="AM132" s="142" t="str">
        <f t="shared" si="43"/>
        <v>start /low /b %USERPROFILE%\Documents\GitHub\eaglep3\Utilities\DownloadLogsFromS3.py --loco 4060 --day 2017-09-24</v>
      </c>
      <c r="AN132" s="151" t="str">
        <f t="shared" si="4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01:06:44"},{"id":29,"name":"Sharepoint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168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Message%20ID',Summary),filters:!(),index:'emp_*',interval:auto,query:"&amp;"(query_string:(analyze_wildcard:!t,query:'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-09-24T17:21:23-0600',mode:absolute,to:'2017-09-24T20:06:44-0600'))&amp;_a=(columns:!('Message%20ID',Summary),filters:!(),index:'emp_*',interval:auto,query:(query_string:(analyze_wildcard:!t,query:'%22rtdc.l.rtdc.4060%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783</v>
      </c>
      <c r="B133" s="7">
        <v>4059</v>
      </c>
      <c r="C133" s="21" t="s">
        <v>196</v>
      </c>
      <c r="D133" s="21" t="s">
        <v>931</v>
      </c>
      <c r="E133" s="13">
        <v>43002.802511574075</v>
      </c>
      <c r="F133" s="13">
        <v>43002.810578703706</v>
      </c>
      <c r="G133" s="7">
        <v>79</v>
      </c>
      <c r="H133" s="21" t="s">
        <v>358</v>
      </c>
      <c r="I133" s="13">
        <v>43002.836689814816</v>
      </c>
      <c r="J133" s="7">
        <v>0</v>
      </c>
      <c r="K133" s="89" t="str">
        <f t="shared" si="29"/>
        <v>4059/4060</v>
      </c>
      <c r="L133" s="185" t="str">
        <f>VLOOKUP(A133,'Trips&amp;Operators'!$C$1:$G$99911,5,FALSE)</f>
        <v>DUNCAN SHEILA</v>
      </c>
      <c r="M133" s="6">
        <f t="shared" si="30"/>
        <v>2.6111111110367347E-2</v>
      </c>
      <c r="N133" s="7">
        <f t="shared" si="54"/>
        <v>37.599999998928979</v>
      </c>
      <c r="O133" s="7"/>
      <c r="P133" s="7"/>
      <c r="Q133" s="22"/>
      <c r="R133" s="174"/>
      <c r="S133" s="221">
        <f t="shared" si="53"/>
        <v>1</v>
      </c>
      <c r="T133" s="174" t="str">
        <f t="shared" si="31"/>
        <v>Southbound</v>
      </c>
      <c r="U133" s="198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16" t="str">
        <f t="shared" si="32"/>
        <v>https://d0f6bd738d7f1b3e5a7ca70fe4ff75f0.us-east-1.aws.found.io/app/kibana#/discover/Steve-Slow-Train-Analysis-(2080s-and-2083s)?_g=(refreshInterval:(display:Off,pause:!f,section:0,value:0),time:(from:'2017-09-24T18:15:37-0600',mode:absolute,to:'2017-09-24T21:04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33" s="204" t="str">
        <f>IF(AA133&lt;VLOOKUP(AG133,Variables!$AC$3:$AD$8,2,FALSE),"Y","N")</f>
        <v>N</v>
      </c>
      <c r="X133" s="204">
        <f t="shared" ref="X133:X164" si="57">VALUE(LEFT(AD133,4))-VALUE(LEFT(AD132,4))</f>
        <v>1</v>
      </c>
      <c r="Y133" s="204">
        <f t="shared" si="55"/>
        <v>23.305499999999999</v>
      </c>
      <c r="Z133" s="204">
        <f t="shared" si="56"/>
        <v>1.52E-2</v>
      </c>
      <c r="AA133" s="204">
        <f t="shared" si="36"/>
        <v>23.290299999999998</v>
      </c>
      <c r="AB133" s="54" t="e">
        <f>VLOOKUP(A133,Enforcements!$C$7:$K$11,8,0)</f>
        <v>#N/A</v>
      </c>
      <c r="AC133" s="51" t="e">
        <f>VLOOKUP(A133,Enforcements!$C$7:$E$11,3,0)</f>
        <v>#N/A</v>
      </c>
      <c r="AD133" s="179">
        <f t="shared" si="37"/>
        <v>220</v>
      </c>
      <c r="AE133" s="77" t="str">
        <f t="shared" si="38"/>
        <v>aws s3 cp s3://rtdc.mdm.uploadarchive.raw/RTDC4059/ "%USERPROFILE%\AppData\Local\Temp\OnboardLogs"\RTDC4059\2017-09-24 --exclude "*" --recursive --include "*20170924*" &amp; "%USERPROFILE%\Documents\GitHub\mrs-test-scripts\Headless Mode &amp; Sideloading\WalkAndUnGZ.bat" "%USERPROFILE%\AppData\Local\Temp\OnboardLogs"\RTDC4059\2017-09-24 &amp; aws s3 cp s3://rtdc.mdm.uploadarchive.raw/RTDC4059/ "%USERPROFILE%\AppData\Local\Temp\OnboardLogs"\RTDC4059\2017-09-25 --exclude "*" --recursive --include "*20170925*" &amp; "%USERPROFILE%\Documents\GitHub\mrs-test-scripts\Headless Mode &amp; Sideloading\WalkAndUnGZ.bat" "%USERPROFILE%\AppData\Local\Temp\OnboardLogs"\RTDC4059\2017-09-25</v>
      </c>
      <c r="AF133" s="74" t="str">
        <f t="shared" si="39"/>
        <v>"C:\Program Files (x86)\AstroGrep\AstroGrep.exe" /e /r /s /spath="%USERPROFILE%\AppData\Local\Temp\OnboardLogs" /stypes="app*4059*20170925*" /stext=" 02:.+((SYSTEM_STATE.+slice.+state.+changed )|(ment ac)|(multiple cpu faults)|(system.+state.+changed )|(\[timeout)|(PRM\|1\|D)|(kpr)|(kdp)|(train st.+moving)|(\|lc)|(penalty))"</v>
      </c>
      <c r="AG133" s="182" t="str">
        <f t="shared" si="40"/>
        <v>EC</v>
      </c>
      <c r="AH133" s="78" t="str">
        <f t="shared" si="41"/>
        <v>"%USERPROFILE%\Documents\GitHub\eaglep3\Utilities\RefineRTDCRunTimes.py" --tripid 220-24 --locoid 4059 --swversion DE.1.0.9.0 --startMP 204:233055 --initTime 2017-09-24T19:15:37 --startdatetime 2017-09-24T19:27:14 --delay 79 --endMP 204:152 --enddatetime 2017-09-24T20:04:50 --enforcementcount 0 &gt;&gt;c:\users\stu\Documents\GitHub\eaglep3-reporting\EC\2017-09-24-refined-times.txt</v>
      </c>
      <c r="AI133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{"issue":{"subject":"","project_id":79,"tracker_id":40,"status_id":1,"priority_id":2,"assigned_to_id":338,"start_date":"2017-09-24","description":"","custom_fields":[{"id":1,"name":"Subdivision","value":"EC"},{"id":4,"name":"Milepost","value":"0.0152"},{"id":17,"name":"Train ID","value":"220-24"},{"id":16,"name":"Locomotive ID","value":"4059"},{"id":130,"name":"Impact","value":""},{"id":150,"name":"Time of Event (Mountain Time)","value":"20:04:50"},{"id":151,"name":"Denver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3" s="47"/>
      <c r="AL133" s="47"/>
      <c r="AM133" s="142" t="str">
        <f t="shared" si="43"/>
        <v>start /low /b %USERPROFILE%\Documents\GitHub\eaglep3\Utilities\DownloadLogsFromS3.py --loco 4059 --day 2017-09-24</v>
      </c>
      <c r="AN133" s="151" t="str">
        <f t="shared" si="4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02:04:50"},{"id":29,"name":"Sharepoint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168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Message%20ID',Summary),filters:!(),index:'emp_*',interval:auto,query:"&amp;"(query_string:(analyze_wildcard:!t,query:'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-09-24T18:15:37-0600',mode:absolute,to:'2017-09-24T21:04:50-0600'))&amp;_a=(columns:!('Message%20ID',Summary),filters:!(),index:'emp_*',interval:auto,query:(query_string:(analyze_wildcard:!t,query:'%22rtdc.l.rtdc.4059%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606</v>
      </c>
      <c r="B134" s="7">
        <v>4066</v>
      </c>
      <c r="C134" s="21" t="s">
        <v>196</v>
      </c>
      <c r="D134" s="21" t="s">
        <v>359</v>
      </c>
      <c r="E134" s="13">
        <v>43002.787812499999</v>
      </c>
      <c r="F134" s="13">
        <v>43002.791944444441</v>
      </c>
      <c r="G134" s="7">
        <v>113</v>
      </c>
      <c r="H134" s="21" t="s">
        <v>932</v>
      </c>
      <c r="I134" s="13">
        <v>43002.816319444442</v>
      </c>
      <c r="J134" s="7">
        <v>0</v>
      </c>
      <c r="K134" s="89" t="str">
        <f t="shared" si="29"/>
        <v>4065/4066</v>
      </c>
      <c r="L134" s="185" t="str">
        <f>VLOOKUP(A134,'Trips&amp;Operators'!$C$1:$G$99911,5,FALSE)</f>
        <v>STAMBAUGH JAMES</v>
      </c>
      <c r="M134" s="6">
        <f t="shared" si="30"/>
        <v>2.4375000000873115E-2</v>
      </c>
      <c r="N134" s="7">
        <f t="shared" si="54"/>
        <v>35.100000001257285</v>
      </c>
      <c r="O134" s="7"/>
      <c r="P134" s="7"/>
      <c r="Q134" s="22"/>
      <c r="R134" s="174"/>
      <c r="S134" s="221">
        <f t="shared" si="53"/>
        <v>1</v>
      </c>
      <c r="T134" s="174" t="str">
        <f t="shared" si="31"/>
        <v>NorthBound</v>
      </c>
      <c r="U134" s="198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16" t="str">
        <f t="shared" si="32"/>
        <v>https://d0f6bd738d7f1b3e5a7ca70fe4ff75f0.us-east-1.aws.found.io/app/kibana#/discover/Steve-Slow-Train-Analysis-(2080s-and-2083s)?_g=(refreshInterval:(display:Off,pause:!f,section:0,value:0),time:(from:'2017-09-24T17:54:27-0600',mode:absolute,to:'2017-09-24T20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34" s="204" t="str">
        <f>IF(AA134&lt;VLOOKUP(AG134,Variables!$AC$3:$AD$8,2,FALSE),"Y","N")</f>
        <v>N</v>
      </c>
      <c r="X134" s="204">
        <f t="shared" si="57"/>
        <v>1</v>
      </c>
      <c r="Y134" s="204">
        <f t="shared" si="55"/>
        <v>4.4900000000000002E-2</v>
      </c>
      <c r="Z134" s="204">
        <f t="shared" si="56"/>
        <v>23.337399999999999</v>
      </c>
      <c r="AA134" s="204">
        <f t="shared" si="36"/>
        <v>23.2925</v>
      </c>
      <c r="AB134" s="54" t="e">
        <f>VLOOKUP(A134,Enforcements!$C$7:$K$11,8,0)</f>
        <v>#N/A</v>
      </c>
      <c r="AC134" s="51" t="e">
        <f>VLOOKUP(A134,Enforcements!$C$7:$E$11,3,0)</f>
        <v>#N/A</v>
      </c>
      <c r="AD134" s="179">
        <f t="shared" si="37"/>
        <v>221</v>
      </c>
      <c r="AE134" s="77" t="str">
        <f t="shared" si="38"/>
        <v>aws s3 cp s3://rtdc.mdm.uploadarchive.raw/RTDC4066/ "%USERPROFILE%\AppData\Local\Temp\OnboardLogs"\RTDC4066\2017-09-24 --exclude "*" --recursive --include "*20170924*" &amp; "%USERPROFILE%\Documents\GitHub\mrs-test-scripts\Headless Mode &amp; Sideloading\WalkAndUnGZ.bat" "%USERPROFILE%\AppData\Local\Temp\OnboardLogs"\RTDC4066\2017-09-24 &amp; aws s3 cp s3://rtdc.mdm.uploadarchive.raw/RTDC4066/ "%USERPROFILE%\AppData\Local\Temp\OnboardLogs"\RTDC4066\2017-09-25 --exclude "*" --recursive --include "*20170925*" &amp; "%USERPROFILE%\Documents\GitHub\mrs-test-scripts\Headless Mode &amp; Sideloading\WalkAndUnGZ.bat" "%USERPROFILE%\AppData\Local\Temp\OnboardLogs"\RTDC4066\2017-09-25</v>
      </c>
      <c r="AF134" s="74" t="str">
        <f t="shared" si="39"/>
        <v>"C:\Program Files (x86)\AstroGrep\AstroGrep.exe" /e /r /s /spath="%USERPROFILE%\AppData\Local\Temp\OnboardLogs" /stypes="app*4066*20170925*" /stext=" 01:.+((SYSTEM_STATE.+slice.+state.+changed )|(ment ac)|(multiple cpu faults)|(system.+state.+changed )|(\[timeout)|(PRM\|1\|D)|(kpr)|(kdp)|(train st.+moving)|(\|lc)|(penalty))"</v>
      </c>
      <c r="AG134" s="182" t="str">
        <f t="shared" si="40"/>
        <v>EC</v>
      </c>
      <c r="AH134" s="78" t="str">
        <f t="shared" si="41"/>
        <v>"%USERPROFILE%\Documents\GitHub\eaglep3\Utilities\RefineRTDCRunTimes.py" --tripid 221-24 --locoid 4066 --swversion DE.1.0.9.0 --startMP 204:449 --initTime 2017-09-24T18:54:27 --startdatetime 2017-09-24T19:00:24 --delay 113 --endMP 204:233374 --enddatetime 2017-09-24T19:35:30 --enforcementcount 0 &gt;&gt;c:\users\stu\Documents\GitHub\eaglep3-reporting\EC\2017-09-24-refined-times.txt</v>
      </c>
      <c r="AI134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{"issue":{"subject":"","project_id":79,"tracker_id":40,"status_id":1,"priority_id":2,"assigned_to_id":338,"start_date":"2017-09-24","description":"","custom_fields":[{"id":1,"name":"Subdivision","value":"EC"},{"id":4,"name":"Milepost","value":"23.3374"},{"id":17,"name":"Train ID","value":"221-24"},{"id":16,"name":"Locomotive ID","value":"4066"},{"id":130,"name":"Impact","value":""},{"id":150,"name":"Time of Event (Mountain Time)","value":"19:35:30"},{"id":151,"name":"Denver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4" s="47"/>
      <c r="AL134" s="47"/>
      <c r="AM134" s="142" t="str">
        <f t="shared" si="43"/>
        <v>start /low /b %USERPROFILE%\Documents\GitHub\eaglep3\Utilities\DownloadLogsFromS3.py --loco 4066 --day 2017-09-24</v>
      </c>
      <c r="AN134" s="151" t="str">
        <f t="shared" si="4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01:35:30"},{"id":29,"name":"Sharepoint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168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Message%20ID',Summary),filters:!(),index:'emp_*',interval:auto,query:"&amp;"(query_string:(analyze_wildcard:!t,query:'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-09-24T17:54:27-0600',mode:absolute,to:'2017-09-24T20:35:30-0600'))&amp;_a=(columns:!('Message%20ID',Summary),filters:!(),index:'emp_*',interval:auto,query:(query_string:(analyze_wildcard:!t,query:'%22rtdc.l.rtdc.4066%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786</v>
      </c>
      <c r="B135" s="7">
        <v>4065</v>
      </c>
      <c r="C135" s="21" t="s">
        <v>196</v>
      </c>
      <c r="D135" s="21" t="s">
        <v>931</v>
      </c>
      <c r="E135" s="13">
        <v>43002.824143518519</v>
      </c>
      <c r="F135" s="13">
        <v>43002.83189814815</v>
      </c>
      <c r="G135" s="7">
        <v>76</v>
      </c>
      <c r="H135" s="21" t="s">
        <v>338</v>
      </c>
      <c r="I135" s="13">
        <v>43002.857314814813</v>
      </c>
      <c r="J135" s="7">
        <v>0</v>
      </c>
      <c r="K135" s="89" t="str">
        <f t="shared" si="29"/>
        <v>4065/4066</v>
      </c>
      <c r="L135" s="185" t="str">
        <f>VLOOKUP(A135,'Trips&amp;Operators'!$C$1:$G$99911,5,FALSE)</f>
        <v>STAMBAUGH JAMES</v>
      </c>
      <c r="M135" s="6">
        <f t="shared" si="30"/>
        <v>2.5416666663659271E-2</v>
      </c>
      <c r="N135" s="7">
        <f t="shared" si="54"/>
        <v>36.59999999566935</v>
      </c>
      <c r="O135" s="7"/>
      <c r="P135" s="7"/>
      <c r="Q135" s="22"/>
      <c r="R135" s="174"/>
      <c r="S135" s="221">
        <f t="shared" ref="S135:S141" si="58">1/IF(AG135="EC",12,1)*SUM(U135:U135)</f>
        <v>1</v>
      </c>
      <c r="T135" s="174" t="str">
        <f t="shared" si="31"/>
        <v>Southbound</v>
      </c>
      <c r="U135" s="198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16" t="str">
        <f t="shared" si="32"/>
        <v>https://d0f6bd738d7f1b3e5a7ca70fe4ff75f0.us-east-1.aws.found.io/app/kibana#/discover/Steve-Slow-Train-Analysis-(2080s-and-2083s)?_g=(refreshInterval:(display:Off,pause:!f,section:0,value:0),time:(from:'2017-09-24T18:46:46-0600',mode:absolute,to:'2017-09-24T21:34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35" s="204" t="str">
        <f>IF(AA135&lt;VLOOKUP(AG135,Variables!$AC$3:$AD$8,2,FALSE),"Y","N")</f>
        <v>N</v>
      </c>
      <c r="X135" s="204">
        <f t="shared" si="57"/>
        <v>1</v>
      </c>
      <c r="Y135" s="204">
        <f t="shared" si="55"/>
        <v>23.305499999999999</v>
      </c>
      <c r="Z135" s="204">
        <f t="shared" si="56"/>
        <v>1.49E-2</v>
      </c>
      <c r="AA135" s="204">
        <f t="shared" si="36"/>
        <v>23.290599999999998</v>
      </c>
      <c r="AB135" s="54" t="e">
        <f>VLOOKUP(A135,Enforcements!$C$7:$K$11,8,0)</f>
        <v>#N/A</v>
      </c>
      <c r="AC135" s="51" t="e">
        <f>VLOOKUP(A135,Enforcements!$C$7:$E$11,3,0)</f>
        <v>#N/A</v>
      </c>
      <c r="AD135" s="179">
        <f t="shared" si="37"/>
        <v>222</v>
      </c>
      <c r="AE135" s="77" t="str">
        <f t="shared" si="38"/>
        <v>aws s3 cp s3://rtdc.mdm.uploadarchive.raw/RTDC4065/ "%USERPROFILE%\AppData\Local\Temp\OnboardLogs"\RTDC4065\2017-09-24 --exclude "*" --recursive --include "*20170924*" &amp; "%USERPROFILE%\Documents\GitHub\mrs-test-scripts\Headless Mode &amp; Sideloading\WalkAndUnGZ.bat" "%USERPROFILE%\AppData\Local\Temp\OnboardLogs"\RTDC4065\2017-09-24 &amp; aws s3 cp s3://rtdc.mdm.uploadarchive.raw/RTDC4065/ "%USERPROFILE%\AppData\Local\Temp\OnboardLogs"\RTDC4065\2017-09-25 --exclude "*" --recursive --include "*20170925*" &amp; "%USERPROFILE%\Documents\GitHub\mrs-test-scripts\Headless Mode &amp; Sideloading\WalkAndUnGZ.bat" "%USERPROFILE%\AppData\Local\Temp\OnboardLogs"\RTDC4065\2017-09-25</v>
      </c>
      <c r="AF135" s="74" t="str">
        <f t="shared" si="39"/>
        <v>"C:\Program Files (x86)\AstroGrep\AstroGrep.exe" /e /r /s /spath="%USERPROFILE%\AppData\Local\Temp\OnboardLogs" /stypes="app*4065*20170925*" /stext=" 02:.+((SYSTEM_STATE.+slice.+state.+changed )|(ment ac)|(multiple cpu faults)|(system.+state.+changed )|(\[timeout)|(PRM\|1\|D)|(kpr)|(kdp)|(train st.+moving)|(\|lc)|(penalty))"</v>
      </c>
      <c r="AG135" s="182" t="str">
        <f t="shared" si="40"/>
        <v>EC</v>
      </c>
      <c r="AH135" s="78" t="str">
        <f t="shared" si="41"/>
        <v>"%USERPROFILE%\Documents\GitHub\eaglep3\Utilities\RefineRTDCRunTimes.py" --tripid 222-24 --locoid 4065 --swversion DE.1.0.9.0 --startMP 204:233055 --initTime 2017-09-24T19:46:46 --startdatetime 2017-09-24T19:57:56 --delay 76 --endMP 204:149 --enddatetime 2017-09-24T20:34:32 --enforcementcount 0 &gt;&gt;c:\users\stu\Documents\GitHub\eaglep3-reporting\EC\2017-09-24-refined-times.txt</v>
      </c>
      <c r="AI135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{"issue":{"subject":"","project_id":79,"tracker_id":40,"status_id":1,"priority_id":2,"assigned_to_id":338,"start_date":"2017-09-24","description":"","custom_fields":[{"id":1,"name":"Subdivision","value":"EC"},{"id":4,"name":"Milepost","value":"0.0149"},{"id":17,"name":"Train ID","value":"222-24"},{"id":16,"name":"Locomotive ID","value":"4065"},{"id":130,"name":"Impact","value":""},{"id":150,"name":"Time of Event (Mountain Time)","value":"20:34:32"},{"id":151,"name":"Denver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5" s="47"/>
      <c r="AL135" s="47"/>
      <c r="AM135" s="142" t="str">
        <f t="shared" si="43"/>
        <v>start /low /b %USERPROFILE%\Documents\GitHub\eaglep3\Utilities\DownloadLogsFromS3.py --loco 4065 --day 2017-09-24</v>
      </c>
      <c r="AN135" s="151" t="str">
        <f t="shared" si="4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02:34:32"},{"id":29,"name":"Sharepoint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168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Message%20ID',Summary),filters:!(),index:'emp_*',interval:auto,query:"&amp;"(query_string:(analyze_wildcard:!t,query:'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-09-24T18:46:46-0600',mode:absolute,to:'2017-09-24T21:34:32-0600'))&amp;_a=(columns:!('Message%20ID',Summary),filters:!(),index:'emp_*',interval:auto,query:(query_string:(analyze_wildcard:!t,query:'%22rtdc.l.rtdc.4065%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784</v>
      </c>
      <c r="B136" s="7">
        <v>4064</v>
      </c>
      <c r="C136" s="21" t="s">
        <v>196</v>
      </c>
      <c r="D136" s="21" t="s">
        <v>921</v>
      </c>
      <c r="E136" s="13">
        <v>43002.810590277775</v>
      </c>
      <c r="F136" s="13">
        <v>43002.812673611108</v>
      </c>
      <c r="G136" s="7">
        <v>58</v>
      </c>
      <c r="H136" s="21" t="s">
        <v>933</v>
      </c>
      <c r="I136" s="13">
        <v>43002.837175925924</v>
      </c>
      <c r="J136" s="7">
        <v>0</v>
      </c>
      <c r="K136" s="89" t="str">
        <f t="shared" si="29"/>
        <v>4063/4064</v>
      </c>
      <c r="L136" s="185" t="str">
        <f>VLOOKUP(A136,'Trips&amp;Operators'!$C$1:$G$99911,5,FALSE)</f>
        <v>LOZA FIDEL</v>
      </c>
      <c r="M136" s="6">
        <f t="shared" si="30"/>
        <v>2.4502314816345461E-2</v>
      </c>
      <c r="N136" s="7">
        <f t="shared" si="54"/>
        <v>35.283333335537463</v>
      </c>
      <c r="O136" s="7"/>
      <c r="P136" s="7"/>
      <c r="Q136" s="22"/>
      <c r="R136" s="174"/>
      <c r="S136" s="221">
        <f t="shared" si="58"/>
        <v>1</v>
      </c>
      <c r="T136" s="174" t="str">
        <f t="shared" si="31"/>
        <v>NorthBound</v>
      </c>
      <c r="U136" s="198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16" t="str">
        <f t="shared" si="32"/>
        <v>https://d0f6bd738d7f1b3e5a7ca70fe4ff75f0.us-east-1.aws.found.io/app/kibana#/discover/Steve-Slow-Train-Analysis-(2080s-and-2083s)?_g=(refreshInterval:(display:Off,pause:!f,section:0,value:0),time:(from:'2017-09-24T18:27:15-0600',mode:absolute,to:'2017-09-24T21:05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36" s="204" t="str">
        <f>IF(AA136&lt;VLOOKUP(AG136,Variables!$AC$3:$AD$8,2,FALSE),"Y","N")</f>
        <v>N</v>
      </c>
      <c r="X136" s="204">
        <f t="shared" si="57"/>
        <v>1</v>
      </c>
      <c r="Y136" s="204">
        <f t="shared" si="55"/>
        <v>4.8599999999999997E-2</v>
      </c>
      <c r="Z136" s="204">
        <f t="shared" si="56"/>
        <v>23.334399999999999</v>
      </c>
      <c r="AA136" s="204">
        <f t="shared" si="36"/>
        <v>23.285799999999998</v>
      </c>
      <c r="AB136" s="54" t="e">
        <f>VLOOKUP(A136,Enforcements!$C$7:$K$11,8,0)</f>
        <v>#N/A</v>
      </c>
      <c r="AC136" s="51" t="e">
        <f>VLOOKUP(A136,Enforcements!$C$7:$E$11,3,0)</f>
        <v>#N/A</v>
      </c>
      <c r="AD136" s="179">
        <f t="shared" si="37"/>
        <v>223</v>
      </c>
      <c r="AE136" s="77" t="str">
        <f t="shared" si="38"/>
        <v>aws s3 cp s3://rtdc.mdm.uploadarchive.raw/RTDC4064/ "%USERPROFILE%\AppData\Local\Temp\OnboardLogs"\RTDC4064\2017-09-24 --exclude "*" --recursive --include "*20170924*" &amp; "%USERPROFILE%\Documents\GitHub\mrs-test-scripts\Headless Mode &amp; Sideloading\WalkAndUnGZ.bat" "%USERPROFILE%\AppData\Local\Temp\OnboardLogs"\RTDC4064\2017-09-24 &amp; aws s3 cp s3://rtdc.mdm.uploadarchive.raw/RTDC4064/ "%USERPROFILE%\AppData\Local\Temp\OnboardLogs"\RTDC4064\2017-09-25 --exclude "*" --recursive --include "*20170925*" &amp; "%USERPROFILE%\Documents\GitHub\mrs-test-scripts\Headless Mode &amp; Sideloading\WalkAndUnGZ.bat" "%USERPROFILE%\AppData\Local\Temp\OnboardLogs"\RTDC4064\2017-09-25</v>
      </c>
      <c r="AF136" s="74" t="str">
        <f t="shared" si="39"/>
        <v>"C:\Program Files (x86)\AstroGrep\AstroGrep.exe" /e /r /s /spath="%USERPROFILE%\AppData\Local\Temp\OnboardLogs" /stypes="app*4064*20170925*" /stext=" 02:.+((SYSTEM_STATE.+slice.+state.+changed )|(ment ac)|(multiple cpu faults)|(system.+state.+changed )|(\[timeout)|(PRM\|1\|D)|(kpr)|(kdp)|(train st.+moving)|(\|lc)|(penalty))"</v>
      </c>
      <c r="AG136" s="182" t="str">
        <f t="shared" si="40"/>
        <v>EC</v>
      </c>
      <c r="AH136" s="78" t="str">
        <f t="shared" si="41"/>
        <v>"%USERPROFILE%\Documents\GitHub\eaglep3\Utilities\RefineRTDCRunTimes.py" --tripid 223-24 --locoid 4064 --swversion DE.1.0.9.0 --startMP 204:486 --initTime 2017-09-24T19:27:15 --startdatetime 2017-09-24T19:30:15 --delay 58 --endMP 204:233344 --enddatetime 2017-09-24T20:05:32 --enforcementcount 0 &gt;&gt;c:\users\stu\Documents\GitHub\eaglep3-reporting\EC\2017-09-24-refined-times.txt</v>
      </c>
      <c r="AI136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{"issue":{"subject":"","project_id":79,"tracker_id":40,"status_id":1,"priority_id":2,"assigned_to_id":338,"start_date":"2017-09-24","description":"","custom_fields":[{"id":1,"name":"Subdivision","value":"EC"},{"id":4,"name":"Milepost","value":"23.3344"},{"id":17,"name":"Train ID","value":"223-24"},{"id":16,"name":"Locomotive ID","value":"4064"},{"id":130,"name":"Impact","value":""},{"id":150,"name":"Time of Event (Mountain Time)","value":"20:05:32"},{"id":151,"name":"Denver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6" s="47"/>
      <c r="AL136" s="47"/>
      <c r="AM136" s="142" t="str">
        <f t="shared" si="43"/>
        <v>start /low /b %USERPROFILE%\Documents\GitHub\eaglep3\Utilities\DownloadLogsFromS3.py --loco 4064 --day 2017-09-24</v>
      </c>
      <c r="AN136" s="151" t="str">
        <f t="shared" si="4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02:05:32"},{"id":29,"name":"Sharepoint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168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Message%20ID',Summary),filters:!(),index:'emp_*',interval:auto,query:"&amp;"(query_string:(analyze_wildcard:!t,query:'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-09-24T18:27:15-0600',mode:absolute,to:'2017-09-24T21:05:32-0600'))&amp;_a=(columns:!('Message%20ID',Summary),filters:!(),index:'emp_*',interval:auto,query:(query_string:(analyze_wildcard:!t,query:'%22rtdc.l.rtdc.4064%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790</v>
      </c>
      <c r="B137" s="7">
        <v>4063</v>
      </c>
      <c r="C137" s="21" t="s">
        <v>196</v>
      </c>
      <c r="D137" s="21" t="s">
        <v>934</v>
      </c>
      <c r="E137" s="13">
        <v>43002.849456018521</v>
      </c>
      <c r="F137" s="13">
        <v>43002.852430555555</v>
      </c>
      <c r="G137" s="7">
        <v>91</v>
      </c>
      <c r="H137" s="21" t="s">
        <v>434</v>
      </c>
      <c r="I137" s="13">
        <v>43002.877789351849</v>
      </c>
      <c r="J137" s="7">
        <v>0</v>
      </c>
      <c r="K137" s="89" t="str">
        <f t="shared" si="29"/>
        <v>4063/4064</v>
      </c>
      <c r="L137" s="185" t="str">
        <f>VLOOKUP(A137,'Trips&amp;Operators'!$C$1:$G$99911,5,FALSE)</f>
        <v>LOZA FIDEL</v>
      </c>
      <c r="M137" s="6">
        <f t="shared" si="30"/>
        <v>2.5358796294312924E-2</v>
      </c>
      <c r="N137" s="7">
        <f t="shared" si="54"/>
        <v>36.516666663810611</v>
      </c>
      <c r="O137" s="7"/>
      <c r="P137" s="7"/>
      <c r="Q137" s="22"/>
      <c r="R137" s="174"/>
      <c r="S137" s="221">
        <f t="shared" si="58"/>
        <v>1</v>
      </c>
      <c r="T137" s="174" t="str">
        <f t="shared" si="31"/>
        <v>Southbound</v>
      </c>
      <c r="U137" s="198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16" t="str">
        <f t="shared" si="32"/>
        <v>https://d0f6bd738d7f1b3e5a7ca70fe4ff75f0.us-east-1.aws.found.io/app/kibana#/discover/Steve-Slow-Train-Analysis-(2080s-and-2083s)?_g=(refreshInterval:(display:Off,pause:!f,section:0,value:0),time:(from:'2017-09-24T19:23:13-0600',mode:absolute,to:'2017-09-24T22:04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37" s="204" t="str">
        <f>IF(AA137&lt;VLOOKUP(AG137,Variables!$AC$3:$AD$8,2,FALSE),"Y","N")</f>
        <v>N</v>
      </c>
      <c r="X137" s="204">
        <f t="shared" si="57"/>
        <v>1</v>
      </c>
      <c r="Y137" s="204">
        <f t="shared" si="55"/>
        <v>23.302499999999998</v>
      </c>
      <c r="Z137" s="204">
        <f t="shared" si="56"/>
        <v>1.2999999999999999E-2</v>
      </c>
      <c r="AA137" s="204">
        <f t="shared" si="36"/>
        <v>23.289499999999997</v>
      </c>
      <c r="AB137" s="54" t="e">
        <f>VLOOKUP(A137,Enforcements!$C$7:$K$11,8,0)</f>
        <v>#N/A</v>
      </c>
      <c r="AC137" s="51" t="e">
        <f>VLOOKUP(A137,Enforcements!$C$7:$E$11,3,0)</f>
        <v>#N/A</v>
      </c>
      <c r="AD137" s="179">
        <f t="shared" si="37"/>
        <v>224</v>
      </c>
      <c r="AE137" s="77" t="str">
        <f t="shared" si="38"/>
        <v>aws s3 cp s3://rtdc.mdm.uploadarchive.raw/RTDC4063/ "%USERPROFILE%\AppData\Local\Temp\OnboardLogs"\RTDC4063\2017-09-24 --exclude "*" --recursive --include "*20170924*" &amp; "%USERPROFILE%\Documents\GitHub\mrs-test-scripts\Headless Mode &amp; Sideloading\WalkAndUnGZ.bat" "%USERPROFILE%\AppData\Local\Temp\OnboardLogs"\RTDC4063\2017-09-24 &amp; aws s3 cp s3://rtdc.mdm.uploadarchive.raw/RTDC4063/ "%USERPROFILE%\AppData\Local\Temp\OnboardLogs"\RTDC4063\2017-09-25 --exclude "*" --recursive --include "*20170925*" &amp; "%USERPROFILE%\Documents\GitHub\mrs-test-scripts\Headless Mode &amp; Sideloading\WalkAndUnGZ.bat" "%USERPROFILE%\AppData\Local\Temp\OnboardLogs"\RTDC4063\2017-09-25</v>
      </c>
      <c r="AF137" s="74" t="str">
        <f t="shared" si="39"/>
        <v>"C:\Program Files (x86)\AstroGrep\AstroGrep.exe" /e /r /s /spath="%USERPROFILE%\AppData\Local\Temp\OnboardLogs" /stypes="app*4063*20170925*" /stext=" 03:.+((SYSTEM_STATE.+slice.+state.+changed )|(ment ac)|(multiple cpu faults)|(system.+state.+changed )|(\[timeout)|(PRM\|1\|D)|(kpr)|(kdp)|(train st.+moving)|(\|lc)|(penalty))"</v>
      </c>
      <c r="AG137" s="182" t="str">
        <f t="shared" si="40"/>
        <v>EC</v>
      </c>
      <c r="AH137" s="78" t="str">
        <f t="shared" si="41"/>
        <v>"%USERPROFILE%\Documents\GitHub\eaglep3\Utilities\RefineRTDCRunTimes.py" --tripid 224-24 --locoid 4063 --swversion DE.1.0.9.0 --startMP 204:233025 --initTime 2017-09-24T20:23:13 --startdatetime 2017-09-24T20:27:30 --delay 91 --endMP 204:130 --enddatetime 2017-09-24T21:04:01 --enforcementcount 0 &gt;&gt;c:\users\stu\Documents\GitHub\eaglep3-reporting\EC\2017-09-24-refined-times.txt</v>
      </c>
      <c r="AI137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{"issue":{"subject":"","project_id":79,"tracker_id":40,"status_id":1,"priority_id":2,"assigned_to_id":338,"start_date":"2017-09-24","description":"","custom_fields":[{"id":1,"name":"Subdivision","value":"EC"},{"id":4,"name":"Milepost","value":"0.013"},{"id":17,"name":"Train ID","value":"224-24"},{"id":16,"name":"Locomotive ID","value":"4063"},{"id":130,"name":"Impact","value":""},{"id":150,"name":"Time of Event (Mountain Time)","value":"21:04:01"},{"id":151,"name":"Denver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7" s="47"/>
      <c r="AL137" s="47"/>
      <c r="AM137" s="142" t="str">
        <f t="shared" si="43"/>
        <v>start /low /b %USERPROFILE%\Documents\GitHub\eaglep3\Utilities\DownloadLogsFromS3.py --loco 4063 --day 2017-09-24</v>
      </c>
      <c r="AN137" s="151" t="str">
        <f t="shared" si="4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03:04:01"},{"id":29,"name":"Sharepoint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168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Message%20ID',Summary),filters:!(),index:'emp_*',interval:auto,query:"&amp;"(query_string:(analyze_wildcard:!t,query:'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-09-24T19:23:13-0600',mode:absolute,to:'2017-09-24T22:04:01-0600'))&amp;_a=(columns:!('Message%20ID',Summary),filters:!(),index:'emp_*',interval:auto,query:(query_string:(analyze_wildcard:!t,query:'%22rtdc.l.rtdc.4063%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787</v>
      </c>
      <c r="B138" s="7">
        <v>4046</v>
      </c>
      <c r="C138" s="21" t="s">
        <v>196</v>
      </c>
      <c r="D138" s="21" t="s">
        <v>407</v>
      </c>
      <c r="E138" s="13">
        <v>43002.827048611114</v>
      </c>
      <c r="F138" s="13">
        <v>43002.833483796298</v>
      </c>
      <c r="G138" s="7">
        <v>59</v>
      </c>
      <c r="H138" s="21" t="s">
        <v>495</v>
      </c>
      <c r="I138" s="13">
        <v>43002.857974537037</v>
      </c>
      <c r="J138" s="7">
        <v>0</v>
      </c>
      <c r="K138" s="89" t="str">
        <f t="shared" si="29"/>
        <v>4045/4046</v>
      </c>
      <c r="L138" s="185" t="str">
        <f>VLOOKUP(A138,'Trips&amp;Operators'!$C$1:$G$99911,5,FALSE)</f>
        <v>ELBAUM MIKE</v>
      </c>
      <c r="M138" s="6">
        <f t="shared" si="30"/>
        <v>2.4490740739565808E-2</v>
      </c>
      <c r="N138" s="7">
        <f t="shared" si="54"/>
        <v>35.266666664974764</v>
      </c>
      <c r="O138" s="7"/>
      <c r="P138" s="7"/>
      <c r="Q138" s="22"/>
      <c r="R138" s="174"/>
      <c r="S138" s="221">
        <f t="shared" si="58"/>
        <v>1</v>
      </c>
      <c r="T138" s="174" t="str">
        <f t="shared" si="31"/>
        <v>NorthBound</v>
      </c>
      <c r="U138" s="198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16" t="str">
        <f t="shared" si="32"/>
        <v>https://d0f6bd738d7f1b3e5a7ca70fe4ff75f0.us-east-1.aws.found.io/app/kibana#/discover/Steve-Slow-Train-Analysis-(2080s-and-2083s)?_g=(refreshInterval:(display:Off,pause:!f,section:0,value:0),time:(from:'2017-09-24T18:50:57-0600',mode:absolute,to:'2017-09-24T21:35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8" s="204" t="str">
        <f>IF(AA138&lt;VLOOKUP(AG138,Variables!$AC$3:$AD$8,2,FALSE),"Y","N")</f>
        <v>N</v>
      </c>
      <c r="X138" s="204">
        <f t="shared" si="57"/>
        <v>1</v>
      </c>
      <c r="Y138" s="204">
        <f t="shared" si="55"/>
        <v>4.4699999999999997E-2</v>
      </c>
      <c r="Z138" s="204">
        <f t="shared" si="56"/>
        <v>23.3338</v>
      </c>
      <c r="AA138" s="204">
        <f t="shared" si="36"/>
        <v>23.289100000000001</v>
      </c>
      <c r="AB138" s="54" t="e">
        <f>VLOOKUP(A138,Enforcements!$C$7:$K$11,8,0)</f>
        <v>#N/A</v>
      </c>
      <c r="AC138" s="51" t="e">
        <f>VLOOKUP(A138,Enforcements!$C$7:$E$11,3,0)</f>
        <v>#N/A</v>
      </c>
      <c r="AD138" s="179">
        <f t="shared" si="37"/>
        <v>225</v>
      </c>
      <c r="AE138" s="77" t="str">
        <f t="shared" si="38"/>
        <v>aws s3 cp s3://rtdc.mdm.uploadarchive.raw/RTDC4046/ "%USERPROFILE%\AppData\Local\Temp\OnboardLogs"\RTDC4046\2017-09-24 --exclude "*" --recursive --include "*20170924*" &amp; "%USERPROFILE%\Documents\GitHub\mrs-test-scripts\Headless Mode &amp; Sideloading\WalkAndUnGZ.bat" "%USERPROFILE%\AppData\Local\Temp\OnboardLogs"\RTDC4046\2017-09-24 &amp; aws s3 cp s3://rtdc.mdm.uploadarchive.raw/RTDC4046/ "%USERPROFILE%\AppData\Local\Temp\OnboardLogs"\RTDC4046\2017-09-25 --exclude "*" --recursive --include "*20170925*" &amp; "%USERPROFILE%\Documents\GitHub\mrs-test-scripts\Headless Mode &amp; Sideloading\WalkAndUnGZ.bat" "%USERPROFILE%\AppData\Local\Temp\OnboardLogs"\RTDC4046\2017-09-25</v>
      </c>
      <c r="AF138" s="74" t="str">
        <f t="shared" si="39"/>
        <v>"C:\Program Files (x86)\AstroGrep\AstroGrep.exe" /e /r /s /spath="%USERPROFILE%\AppData\Local\Temp\OnboardLogs" /stypes="app*4046*20170925*" /stext=" 02:.+((SYSTEM_STATE.+slice.+state.+changed )|(ment ac)|(multiple cpu faults)|(system.+state.+changed )|(\[timeout)|(PRM\|1\|D)|(kpr)|(kdp)|(train st.+moving)|(\|lc)|(penalty))"</v>
      </c>
      <c r="AG138" s="182" t="str">
        <f t="shared" si="40"/>
        <v>EC</v>
      </c>
      <c r="AH138" s="78" t="str">
        <f t="shared" si="41"/>
        <v>"%USERPROFILE%\Documents\GitHub\eaglep3\Utilities\RefineRTDCRunTimes.py" --tripid 225-24 --locoid 4046 --swversion DE.1.0.9.0 --startMP 204:447 --initTime 2017-09-24T19:50:57 --startdatetime 2017-09-24T20:00:13 --delay 59 --endMP 204:233338 --enddatetime 2017-09-24T20:35:29 --enforcementcount 0 &gt;&gt;c:\users\stu\Documents\GitHub\eaglep3-reporting\EC\2017-09-24-refined-times.txt</v>
      </c>
      <c r="AI138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{"issue":{"subject":"","project_id":79,"tracker_id":40,"status_id":1,"priority_id":2,"assigned_to_id":338,"start_date":"2017-09-24","description":"","custom_fields":[{"id":1,"name":"Subdivision","value":"EC"},{"id":4,"name":"Milepost","value":"23.3338"},{"id":17,"name":"Train ID","value":"225-24"},{"id":16,"name":"Locomotive ID","value":"4046"},{"id":130,"name":"Impact","value":""},{"id":150,"name":"Time of Event (Mountain Time)","value":"20:35:29"},{"id":151,"name":"Denver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8" s="47"/>
      <c r="AL138" s="47"/>
      <c r="AM138" s="142" t="str">
        <f t="shared" si="43"/>
        <v>start /low /b %USERPROFILE%\Documents\GitHub\eaglep3\Utilities\DownloadLogsFromS3.py --loco 4046 --day 2017-09-24</v>
      </c>
      <c r="AN138" s="151" t="str">
        <f t="shared" si="4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02:35:29"},{"id":29,"name":"Sharepoint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168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Message%20ID',Summary),filters:!(),index:'emp_*',interval:auto,query:"&amp;"(query_string:(analyze_wildcard:!t,query:'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-09-24T18:50:57-0600',mode:absolute,to:'2017-09-24T21:35:29-0600'))&amp;_a=(columns:!('Message%20ID',Summary),filters:!(),index:'emp_*',interval:auto,query:(query_string:(analyze_wildcard:!t,query:'%22rtdc.l.rtdc.4046%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609</v>
      </c>
      <c r="B139" s="7">
        <v>4045</v>
      </c>
      <c r="C139" s="21" t="s">
        <v>196</v>
      </c>
      <c r="D139" s="21" t="s">
        <v>935</v>
      </c>
      <c r="E139" s="13">
        <v>43002.8591087963</v>
      </c>
      <c r="F139" s="13">
        <v>43002.873067129629</v>
      </c>
      <c r="G139" s="7">
        <v>60</v>
      </c>
      <c r="H139" s="21" t="s">
        <v>341</v>
      </c>
      <c r="I139" s="13">
        <v>43002.899027777778</v>
      </c>
      <c r="J139" s="7">
        <v>0</v>
      </c>
      <c r="K139" s="89" t="str">
        <f t="shared" si="29"/>
        <v>4045/4046</v>
      </c>
      <c r="L139" s="185" t="str">
        <f>VLOOKUP(A139,'Trips&amp;Operators'!$C$1:$G$99911,5,FALSE)</f>
        <v>ELBAUM MIKE</v>
      </c>
      <c r="M139" s="6">
        <f t="shared" si="30"/>
        <v>2.5960648148611654E-2</v>
      </c>
      <c r="N139" s="7">
        <f t="shared" si="54"/>
        <v>37.383333334000781</v>
      </c>
      <c r="O139" s="7"/>
      <c r="P139" s="7"/>
      <c r="Q139" s="22"/>
      <c r="R139" s="174"/>
      <c r="S139" s="221">
        <f t="shared" si="58"/>
        <v>1</v>
      </c>
      <c r="T139" s="174" t="str">
        <f t="shared" si="31"/>
        <v>Southbound</v>
      </c>
      <c r="U139" s="198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16" t="str">
        <f t="shared" si="32"/>
        <v>https://d0f6bd738d7f1b3e5a7ca70fe4ff75f0.us-east-1.aws.found.io/app/kibana#/discover/Steve-Slow-Train-Analysis-(2080s-and-2083s)?_g=(refreshInterval:(display:Off,pause:!f,section:0,value:0),time:(from:'2017-09-24T19:37:07-0600',mode:absolute,to:'2017-09-24T22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9" s="204" t="str">
        <f>IF(AA139&lt;VLOOKUP(AG139,Variables!$AC$3:$AD$8,2,FALSE),"Y","N")</f>
        <v>N</v>
      </c>
      <c r="X139" s="204">
        <f t="shared" si="57"/>
        <v>1</v>
      </c>
      <c r="Y139" s="204">
        <f t="shared" si="55"/>
        <v>23.303999999999998</v>
      </c>
      <c r="Z139" s="204">
        <f t="shared" si="56"/>
        <v>1.41E-2</v>
      </c>
      <c r="AA139" s="204">
        <f t="shared" si="36"/>
        <v>23.289899999999999</v>
      </c>
      <c r="AB139" s="54" t="str">
        <f>VLOOKUP(A139,Enforcements!$C$7:$K$11,8,0)</f>
        <v>Bulletin (2)</v>
      </c>
      <c r="AC139" s="51" t="str">
        <f>VLOOKUP(A139,Enforcements!$C$7:$E$11,3,0)</f>
        <v>GRADE CROSSING</v>
      </c>
      <c r="AD139" s="179">
        <f t="shared" si="37"/>
        <v>226</v>
      </c>
      <c r="AE139" s="77" t="str">
        <f t="shared" si="38"/>
        <v>aws s3 cp s3://rtdc.mdm.uploadarchive.raw/RTDC4045/ "%USERPROFILE%\AppData\Local\Temp\OnboardLogs"\RTDC4045\2017-09-24 --exclude "*" --recursive --include "*20170924*" &amp; "%USERPROFILE%\Documents\GitHub\mrs-test-scripts\Headless Mode &amp; Sideloading\WalkAndUnGZ.bat" "%USERPROFILE%\AppData\Local\Temp\OnboardLogs"\RTDC4045\2017-09-24 &amp; aws s3 cp s3://rtdc.mdm.uploadarchive.raw/RTDC4045/ "%USERPROFILE%\AppData\Local\Temp\OnboardLogs"\RTDC4045\2017-09-25 --exclude "*" --recursive --include "*20170925*" &amp; "%USERPROFILE%\Documents\GitHub\mrs-test-scripts\Headless Mode &amp; Sideloading\WalkAndUnGZ.bat" "%USERPROFILE%\AppData\Local\Temp\OnboardLogs"\RTDC4045\2017-09-25</v>
      </c>
      <c r="AF139" s="74" t="str">
        <f t="shared" si="39"/>
        <v>"C:\Program Files (x86)\AstroGrep\AstroGrep.exe" /e /r /s /spath="%USERPROFILE%\AppData\Local\Temp\OnboardLogs" /stypes="app*4045*20170925*" /stext=" 03:.+((SYSTEM_STATE.+slice.+state.+changed )|(ment ac)|(multiple cpu faults)|(system.+state.+changed )|(\[timeout)|(PRM\|1\|D)|(kpr)|(kdp)|(train st.+moving)|(\|lc)|(penalty))"</v>
      </c>
      <c r="AG139" s="182" t="str">
        <f t="shared" si="40"/>
        <v>EC</v>
      </c>
      <c r="AH139" s="78" t="str">
        <f t="shared" si="41"/>
        <v>"%USERPROFILE%\Documents\GitHub\eaglep3\Utilities\RefineRTDCRunTimes.py" --tripid 226-24 --locoid 4045 --swversion DE.1.0.9.0 --startMP 204:233040 --initTime 2017-09-24T20:37:07 --startdatetime 2017-09-24T20:57:13 --delay 60 --endMP 204:141 --enddatetime 2017-09-24T21:34:36 --enforcementcount 0 &gt;&gt;c:\users\stu\Documents\GitHub\eaglep3-reporting\EC\2017-09-24-refined-times.txt</v>
      </c>
      <c r="AI139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{"issue":{"subject":"","project_id":79,"tracker_id":40,"status_id":1,"priority_id":2,"assigned_to_id":338,"start_date":"2017-09-24","description":"","custom_fields":[{"id":1,"name":"Subdivision","value":"EC"},{"id":4,"name":"Milepost","value":"0.0141"},{"id":17,"name":"Train ID","value":"226-24"},{"id":16,"name":"Locomotive ID","value":"4045"},{"id":130,"name":"Impact","value":""},{"id":150,"name":"Time of Event (Mountain Time)","value":"21:34:36"},{"id":151,"name":"Denver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39" s="47"/>
      <c r="AL139" s="47"/>
      <c r="AM139" s="142" t="str">
        <f t="shared" si="43"/>
        <v>start /low /b %USERPROFILE%\Documents\GitHub\eaglep3\Utilities\DownloadLogsFromS3.py --loco 4045 --day 2017-09-24</v>
      </c>
      <c r="AN139" s="151" t="str">
        <f t="shared" si="4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03:34:36"},{"id":29,"name":"Sharepoint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168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Message%20ID',Summary),filters:!(),index:'emp_*',interval:auto,query:"&amp;"(query_string:(analyze_wildcard:!t,query:'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-09-24T19:37:07-0600',mode:absolute,to:'2017-09-24T22:34:36-0600'))&amp;_a=(columns:!('Message%20ID',Summary),filters:!(),index:'emp_*',interval:auto,query:(query_string:(analyze_wildcard:!t,query:'%22rtdc.l.rtdc.4045%22')),sort:!(Time.ISO8601,asc))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789</v>
      </c>
      <c r="B140" s="7">
        <v>4060</v>
      </c>
      <c r="C140" s="21" t="s">
        <v>196</v>
      </c>
      <c r="D140" s="21" t="s">
        <v>336</v>
      </c>
      <c r="E140" s="13">
        <v>43002.838090277779</v>
      </c>
      <c r="F140" s="13">
        <v>43002.854328703703</v>
      </c>
      <c r="G140" s="7">
        <v>57</v>
      </c>
      <c r="H140" s="21" t="s">
        <v>856</v>
      </c>
      <c r="I140" s="13">
        <v>43002.880046296297</v>
      </c>
      <c r="J140" s="7">
        <v>0</v>
      </c>
      <c r="K140" s="89" t="str">
        <f t="shared" si="29"/>
        <v>4059/4060</v>
      </c>
      <c r="L140" s="185" t="str">
        <f>VLOOKUP(A140,'Trips&amp;Operators'!$C$1:$G$99911,5,FALSE)</f>
        <v>DUNCAN SHEILA</v>
      </c>
      <c r="M140" s="6">
        <f t="shared" si="30"/>
        <v>2.5717592594446614E-2</v>
      </c>
      <c r="N140" s="7">
        <f t="shared" si="54"/>
        <v>37.033333336003125</v>
      </c>
      <c r="O140" s="7"/>
      <c r="P140" s="7"/>
      <c r="Q140" s="22"/>
      <c r="R140" s="174"/>
      <c r="S140" s="221">
        <f t="shared" si="58"/>
        <v>1</v>
      </c>
      <c r="T140" s="174" t="str">
        <f t="shared" si="31"/>
        <v>NorthBound</v>
      </c>
      <c r="U140" s="198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16" t="str">
        <f t="shared" si="32"/>
        <v>https://d0f6bd738d7f1b3e5a7ca70fe4ff75f0.us-east-1.aws.found.io/app/kibana#/discover/Steve-Slow-Train-Analysis-(2080s-and-2083s)?_g=(refreshInterval:(display:Off,pause:!f,section:0,value:0),time:(from:'2017-09-24T19:06:51-0600',mode:absolute,to:'2017-09-24T22:07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40" s="204" t="str">
        <f>IF(AA140&lt;VLOOKUP(AG140,Variables!$AC$3:$AD$8,2,FALSE),"Y","N")</f>
        <v>N</v>
      </c>
      <c r="X140" s="204">
        <f t="shared" si="57"/>
        <v>1</v>
      </c>
      <c r="Y140" s="204">
        <f t="shared" si="55"/>
        <v>4.4600000000000001E-2</v>
      </c>
      <c r="Z140" s="204">
        <f t="shared" si="56"/>
        <v>23.3339</v>
      </c>
      <c r="AA140" s="204">
        <f t="shared" si="36"/>
        <v>23.289300000000001</v>
      </c>
      <c r="AB140" s="54" t="e">
        <f>VLOOKUP(A140,Enforcements!$C$7:$K$11,8,0)</f>
        <v>#N/A</v>
      </c>
      <c r="AC140" s="51" t="e">
        <f>VLOOKUP(A140,Enforcements!$C$7:$E$11,3,0)</f>
        <v>#N/A</v>
      </c>
      <c r="AD140" s="179">
        <f t="shared" si="37"/>
        <v>227</v>
      </c>
      <c r="AE140" s="77" t="str">
        <f t="shared" si="38"/>
        <v>aws s3 cp s3://rtdc.mdm.uploadarchive.raw/RTDC4060/ "%USERPROFILE%\AppData\Local\Temp\OnboardLogs"\RTDC4060\2017-09-24 --exclude "*" --recursive --include "*20170924*" &amp; "%USERPROFILE%\Documents\GitHub\mrs-test-scripts\Headless Mode &amp; Sideloading\WalkAndUnGZ.bat" "%USERPROFILE%\AppData\Local\Temp\OnboardLogs"\RTDC4060\2017-09-24 &amp; aws s3 cp s3://rtdc.mdm.uploadarchive.raw/RTDC4060/ "%USERPROFILE%\AppData\Local\Temp\OnboardLogs"\RTDC4060\2017-09-25 --exclude "*" --recursive --include "*20170925*" &amp; "%USERPROFILE%\Documents\GitHub\mrs-test-scripts\Headless Mode &amp; Sideloading\WalkAndUnGZ.bat" "%USERPROFILE%\AppData\Local\Temp\OnboardLogs"\RTDC4060\2017-09-25</v>
      </c>
      <c r="AF140" s="74" t="str">
        <f t="shared" si="39"/>
        <v>"C:\Program Files (x86)\AstroGrep\AstroGrep.exe" /e /r /s /spath="%USERPROFILE%\AppData\Local\Temp\OnboardLogs" /stypes="app*4060*20170925*" /stext=" 03:.+((SYSTEM_STATE.+slice.+state.+changed )|(ment ac)|(multiple cpu faults)|(system.+state.+changed )|(\[timeout)|(PRM\|1\|D)|(kpr)|(kdp)|(train st.+moving)|(\|lc)|(penalty))"</v>
      </c>
      <c r="AG140" s="182" t="str">
        <f t="shared" si="40"/>
        <v>EC</v>
      </c>
      <c r="AH140" s="78" t="str">
        <f t="shared" si="41"/>
        <v>"%USERPROFILE%\Documents\GitHub\eaglep3\Utilities\RefineRTDCRunTimes.py" --tripid 227-24 --locoid 4060 --swversion DE.1.0.9.0 --startMP 204:446 --initTime 2017-09-24T20:06:51 --startdatetime 2017-09-24T20:30:14 --delay 57 --endMP 204:233339 --enddatetime 2017-09-24T21:07:16 --enforcementcount 0 &gt;&gt;c:\users\stu\Documents\GitHub\eaglep3-reporting\EC\2017-09-24-refined-times.txt</v>
      </c>
      <c r="AI140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{"issue":{"subject":"","project_id":79,"tracker_id":40,"status_id":1,"priority_id":2,"assigned_to_id":338,"start_date":"2017-09-24","description":"","custom_fields":[{"id":1,"name":"Subdivision","value":"EC"},{"id":4,"name":"Milepost","value":"23.3339"},{"id":17,"name":"Train ID","value":"227-24"},{"id":16,"name":"Locomotive ID","value":"4060"},{"id":130,"name":"Impact","value":""},{"id":150,"name":"Time of Event (Mountain Time)","value":"21:07:16"},{"id":151,"name":"Denver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0" s="47"/>
      <c r="AL140" s="47"/>
      <c r="AM140" s="142" t="str">
        <f t="shared" si="43"/>
        <v>start /low /b %USERPROFILE%\Documents\GitHub\eaglep3\Utilities\DownloadLogsFromS3.py --loco 4060 --day 2017-09-24</v>
      </c>
      <c r="AN140" s="151" t="str">
        <f t="shared" si="4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03:07:16"},{"id":29,"name":"Sharepoint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168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Message%20ID',Summary),filters:!(),index:'emp_*',interval:auto,query:"&amp;"(query_string:(analyze_wildcard:!t,query:'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-09-24T19:06:51-0600',mode:absolute,to:'2017-09-24T22:07:16-0600'))&amp;_a=(columns:!('Message%20ID',Summary),filters:!(),index:'emp_*',interval:auto,query:(query_string:(analyze_wildcard:!t,query:'%22rtdc.l.rtdc.4060%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795</v>
      </c>
      <c r="B141" s="7">
        <v>4059</v>
      </c>
      <c r="C141" s="21" t="s">
        <v>196</v>
      </c>
      <c r="D141" s="21" t="s">
        <v>925</v>
      </c>
      <c r="E141" s="13">
        <v>43002.881377314814</v>
      </c>
      <c r="F141" s="13">
        <v>43002.893923611111</v>
      </c>
      <c r="G141" s="7">
        <v>56</v>
      </c>
      <c r="H141" s="21" t="s">
        <v>339</v>
      </c>
      <c r="I141" s="13">
        <v>43002.920960648145</v>
      </c>
      <c r="J141" s="7">
        <v>0</v>
      </c>
      <c r="K141" s="89" t="str">
        <f t="shared" ref="K141:K206" si="59">IF(ISEVEN(B141),(B141-1)&amp;"/"&amp;B141,B141&amp;"/"&amp;(B141+1))</f>
        <v>4059/4060</v>
      </c>
      <c r="L141" s="185" t="str">
        <f>VLOOKUP(A141,'Trips&amp;Operators'!$C$1:$G$99911,5,FALSE)</f>
        <v>DUNCAN SHEILA</v>
      </c>
      <c r="M141" s="6">
        <f t="shared" ref="M141:M206" si="60">I141-F141</f>
        <v>2.7037037034460809E-2</v>
      </c>
      <c r="N141" s="7">
        <f t="shared" si="54"/>
        <v>38.933333329623565</v>
      </c>
      <c r="O141" s="7"/>
      <c r="P141" s="7"/>
      <c r="Q141" s="22"/>
      <c r="R141" s="174"/>
      <c r="S141" s="221">
        <f t="shared" si="58"/>
        <v>1</v>
      </c>
      <c r="T141" s="174" t="str">
        <f t="shared" ref="T141:T206" si="61">IF(ISEVEN(LEFT(AD141,4)),"Southbound","NorthBound")</f>
        <v>Southbound</v>
      </c>
      <c r="U141" s="198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16" t="str">
        <f t="shared" ref="V141:V206" si="62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-09-24T20:09:11-0600',mode:absolute,to:'2017-09-24T23:06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41" s="204" t="str">
        <f>IF(AA141&lt;VLOOKUP(AG141,Variables!$AC$3:$AD$8,2,FALSE),"Y","N")</f>
        <v>N</v>
      </c>
      <c r="X141" s="204">
        <f t="shared" si="57"/>
        <v>1</v>
      </c>
      <c r="Y141" s="204">
        <f t="shared" si="55"/>
        <v>23.300699999999999</v>
      </c>
      <c r="Z141" s="204">
        <f t="shared" si="56"/>
        <v>1.43E-2</v>
      </c>
      <c r="AA141" s="204">
        <f t="shared" ref="AA141:AA206" si="63">ABS(Z141-Y141)</f>
        <v>23.2864</v>
      </c>
      <c r="AB141" s="54" t="e">
        <f>VLOOKUP(A141,Enforcements!$C$7:$K$11,8,0)</f>
        <v>#N/A</v>
      </c>
      <c r="AC141" s="51" t="e">
        <f>VLOOKUP(A141,Enforcements!$C$7:$E$11,3,0)</f>
        <v>#N/A</v>
      </c>
      <c r="AD141" s="179">
        <f t="shared" ref="AD141:AD206" si="64">VALUE(LEFT(A141,LEN(A141)-3))</f>
        <v>228</v>
      </c>
      <c r="AE141" s="77" t="str">
        <f t="shared" ref="AE141:AE206" si="65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s3://rtdc.mdm.uploadarchive.raw/RTDC4059/ "%USERPROFILE%\AppData\Local\Temp\OnboardLogs"\RTDC4059\2017-09-24 --exclude "*" --recursive --include "*20170924*" &amp; "%USERPROFILE%\Documents\GitHub\mrs-test-scripts\Headless Mode &amp; Sideloading\WalkAndUnGZ.bat" "%USERPROFILE%\AppData\Local\Temp\OnboardLogs"\RTDC4059\2017-09-24 &amp; aws s3 cp s3://rtdc.mdm.uploadarchive.raw/RTDC4059/ "%USERPROFILE%\AppData\Local\Temp\OnboardLogs"\RTDC4059\2017-09-25 --exclude "*" --recursive --include "*20170925*" &amp; "%USERPROFILE%\Documents\GitHub\mrs-test-scripts\Headless Mode &amp; Sideloading\WalkAndUnGZ.bat" "%USERPROFILE%\AppData\Local\Temp\OnboardLogs"\RTDC4059\2017-09-25</v>
      </c>
      <c r="AF141" s="74" t="str">
        <f t="shared" ref="AF141:AF206" si="66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/stypes="app*4059*20170925*" /stext=" 04:.+((SYSTEM_STATE.+slice.+state.+changed )|(ment ac)|(multiple cpu faults)|(system.+state.+changed )|(\[timeout)|(PRM\|1\|D)|(kpr)|(kdp)|(train st.+moving)|(\|lc)|(penalty))"</v>
      </c>
      <c r="AG141" s="182" t="str">
        <f t="shared" ref="AG141:AG206" si="67">DetSubdiv(A141)</f>
        <v>EC</v>
      </c>
      <c r="AH141" s="78" t="str">
        <f t="shared" si="41"/>
        <v>"%USERPROFILE%\Documents\GitHub\eaglep3\Utilities\RefineRTDCRunTimes.py" --tripid 228-24 --locoid 4059 --swversion DE.1.0.9.0 --startMP 204:233007 --initTime 2017-09-24T21:09:11 --startdatetime 2017-09-24T21:27:15 --delay 56 --endMP 204:143 --enddatetime 2017-09-24T22:06:11 --enforcementcount 0 &gt;&gt;c:\users\stu\Documents\GitHub\eaglep3-reporting\EC\2017-09-24-refined-times.txt</v>
      </c>
      <c r="AI141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{"issue":{"subject":"","project_id":79,"tracker_id":40,"status_id":1,"priority_id":2,"assigned_to_id":338,"start_date":"2017-09-24","description":"","custom_fields":[{"id":1,"name":"Subdivision","value":"EC"},{"id":4,"name":"Milepost","value":"0.0143"},{"id":17,"name":"Train ID","value":"228-24"},{"id":16,"name":"Locomotive ID","value":"4059"},{"id":130,"name":"Impact","value":""},{"id":150,"name":"Time of Event (Mountain Time)","value":"22:06:11"},{"id":151,"name":"Denver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1" s="47"/>
      <c r="AL141" s="47"/>
      <c r="AM141" s="142" t="str">
        <f t="shared" si="43"/>
        <v>start /low /b %USERPROFILE%\Documents\GitHub\eaglep3\Utilities\DownloadLogsFromS3.py --loco 4059 --day 2017-09-24</v>
      </c>
      <c r="AN141" s="151" t="str">
        <f t="shared" si="4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04:06:11"},{"id":29,"name":"Sharepoint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168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Message%20ID',Summary),filters:!(),index:'emp_*',interval:auto,query:"&amp;"(query_string:(analyze_wildcard:!t,query:'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-09-24T20:09:11-0600',mode:absolute,to:'2017-09-24T23:06:11-0600'))&amp;_a=(columns:!('Message%20ID',Summary),filters:!(),index:'emp_*',interval:auto,query:(query_string:(analyze_wildcard:!t,query:'%22rtdc.l.rtdc.4059%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791</v>
      </c>
      <c r="B142" s="7">
        <v>4066</v>
      </c>
      <c r="C142" s="21" t="s">
        <v>196</v>
      </c>
      <c r="D142" s="21" t="s">
        <v>936</v>
      </c>
      <c r="E142" s="13">
        <v>43002.859907407408</v>
      </c>
      <c r="F142" s="13">
        <v>43002.875196759262</v>
      </c>
      <c r="G142" s="7">
        <v>53</v>
      </c>
      <c r="H142" s="21" t="s">
        <v>359</v>
      </c>
      <c r="I142" s="13">
        <v>43002.901226851849</v>
      </c>
      <c r="J142" s="7">
        <v>0</v>
      </c>
      <c r="K142" s="89" t="str">
        <f t="shared" si="59"/>
        <v>4065/4066</v>
      </c>
      <c r="L142" s="185" t="str">
        <f>VLOOKUP(A142,'Trips&amp;Operators'!$C$1:$G$99911,5,FALSE)</f>
        <v>STAMBAUGH JAMES</v>
      </c>
      <c r="M142" s="6">
        <f t="shared" si="60"/>
        <v>2.6030092587461695E-2</v>
      </c>
      <c r="N142" s="7"/>
      <c r="O142" s="7"/>
      <c r="P142" s="7"/>
      <c r="Q142" s="22"/>
      <c r="R142" s="174"/>
      <c r="S142" s="221"/>
      <c r="T142" s="174" t="str">
        <f t="shared" si="61"/>
        <v>NorthBound</v>
      </c>
      <c r="U142" s="198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0</v>
      </c>
      <c r="V142" s="216" t="str">
        <f t="shared" si="62"/>
        <v>https://d0f6bd738d7f1b3e5a7ca70fe4ff75f0.us-east-1.aws.found.io/app/kibana#/discover/Steve-Slow-Train-Analysis-(2080s-and-2083s)?_g=(refreshInterval:(display:Off,pause:!f,section:0,value:0),time:(from:'2017-09-24T19:38:16-0600',mode:absolute,to:'2017-09-24T22:37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42" s="204" t="str">
        <f>IF(AA142&lt;VLOOKUP(AG142,Variables!$AC$3:$AD$8,2,FALSE),"Y","N")</f>
        <v>Y</v>
      </c>
      <c r="X142" s="204">
        <f t="shared" si="57"/>
        <v>1</v>
      </c>
      <c r="Y142" s="204">
        <f t="shared" si="55"/>
        <v>4.2000000000000003E-2</v>
      </c>
      <c r="Z142" s="204">
        <f t="shared" si="56"/>
        <v>4.4900000000000002E-2</v>
      </c>
      <c r="AA142" s="204">
        <f t="shared" si="63"/>
        <v>2.8999999999999998E-3</v>
      </c>
      <c r="AB142" s="54" t="e">
        <f>VLOOKUP(A142,Enforcements!$C$7:$K$11,8,0)</f>
        <v>#N/A</v>
      </c>
      <c r="AC142" s="51" t="e">
        <f>VLOOKUP(A142,Enforcements!$C$7:$E$11,3,0)</f>
        <v>#N/A</v>
      </c>
      <c r="AD142" s="179">
        <f t="shared" si="64"/>
        <v>229</v>
      </c>
      <c r="AE142" s="77" t="str">
        <f t="shared" si="65"/>
        <v>aws s3 cp s3://rtdc.mdm.uploadarchive.raw/RTDC4066/ "%USERPROFILE%\AppData\Local\Temp\OnboardLogs"\RTDC4066\2017-09-24 --exclude "*" --recursive --include "*20170924*" &amp; "%USERPROFILE%\Documents\GitHub\mrs-test-scripts\Headless Mode &amp; Sideloading\WalkAndUnGZ.bat" "%USERPROFILE%\AppData\Local\Temp\OnboardLogs"\RTDC4066\2017-09-24 &amp; aws s3 cp s3://rtdc.mdm.uploadarchive.raw/RTDC4066/ "%USERPROFILE%\AppData\Local\Temp\OnboardLogs"\RTDC4066\2017-09-25 --exclude "*" --recursive --include "*20170925*" &amp; "%USERPROFILE%\Documents\GitHub\mrs-test-scripts\Headless Mode &amp; Sideloading\WalkAndUnGZ.bat" "%USERPROFILE%\AppData\Local\Temp\OnboardLogs"\RTDC4066\2017-09-25</v>
      </c>
      <c r="AF142" s="74" t="str">
        <f t="shared" si="66"/>
        <v>"C:\Program Files (x86)\AstroGrep\AstroGrep.exe" /e /r /s /spath="%USERPROFILE%\AppData\Local\Temp\OnboardLogs" /stypes="app*4066*20170925*" /stext=" 03:.+((SYSTEM_STATE.+slice.+state.+changed )|(ment ac)|(multiple cpu faults)|(system.+state.+changed )|(\[timeout)|(PRM\|1\|D)|(kpr)|(kdp)|(train st.+moving)|(\|lc)|(penalty))"</v>
      </c>
      <c r="AG142" s="182" t="str">
        <f t="shared" si="67"/>
        <v>EC</v>
      </c>
      <c r="AH142" s="78" t="str">
        <f t="shared" si="41"/>
        <v>"%USERPROFILE%\Documents\GitHub\eaglep3\Utilities\RefineRTDCRunTimes.py" --tripid 229-24 --locoid 4066 --swversion DE.1.0.9.0 --startMP 204:420 --initTime 2017-09-24T20:38:16 --startdatetime 2017-09-24T21:00:17 --delay 53 --endMP 204:449 --enddatetime 2017-09-24T21:37:46 --enforcementcount 0 &gt;&gt;c:\users\stu\Documents\GitHub\eaglep3-reporting\EC\2017-09-24-refined-times.txt</v>
      </c>
      <c r="AI142" s="96" t="str">
        <f t="shared" si="42"/>
        <v>echo {"issue":{"subject":"","project_id":79,"tracker_id":40,"status_id":1,"priority_id":2,"assigned_to_id":338,"start_date":"2017-09-24","description":"","custom_fields":[{"id":1,"name":"Subdivision","value":"EC"},{"id":4,"name":"Milepost","value":"0.0449"},{"id":17,"name":"Train ID","value":"229-24"},{"id":16,"name":"Locomotive ID","value":"4066"},{"id":130,"name":"Impact","value":""},{"id":150,"name":"Time of Event (Mountain Time)","value":"21:37:46"},{"id":151,"name":"Denver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2" s="47"/>
      <c r="AL142" s="47"/>
      <c r="AM142" s="142" t="str">
        <f t="shared" si="43"/>
        <v>start /low /b %USERPROFILE%\Documents\GitHub\eaglep3\Utilities\DownloadLogsFromS3.py --loco 4066 --day 2017-09-24</v>
      </c>
      <c r="AN142" s="151" t="str">
        <f t="shared" si="44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03:37:46"},{"id":29,"name":"Sharepoint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168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Message%20ID',Summary),filters:!(),index:'emp_*',interval:auto,query:"&amp;"(query_string:(analyze_wildcard:!t,query:'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-09-24T19:38:16-0600',mode:absolute,to:'2017-09-24T22:37:46-0600'))&amp;_a=(columns:!('Message%20ID',Summary),filters:!(),index:'emp_*',interval:auto,query:(query_string:(analyze_wildcard:!t,query:'%22rtdc.l.rtdc.4066%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791</v>
      </c>
      <c r="B143" s="7">
        <v>4066</v>
      </c>
      <c r="C143" s="21" t="s">
        <v>196</v>
      </c>
      <c r="D143" s="21" t="s">
        <v>384</v>
      </c>
      <c r="E143" s="13">
        <v>43002.863842592589</v>
      </c>
      <c r="F143" s="13">
        <v>43002.875196759262</v>
      </c>
      <c r="G143" s="7">
        <v>76</v>
      </c>
      <c r="H143" s="21" t="s">
        <v>410</v>
      </c>
      <c r="I143" s="13">
        <v>43002.901226851849</v>
      </c>
      <c r="J143" s="7">
        <v>0</v>
      </c>
      <c r="K143" s="89" t="str">
        <f t="shared" si="59"/>
        <v>4065/4066</v>
      </c>
      <c r="L143" s="185" t="str">
        <f>VLOOKUP(A143,'Trips&amp;Operators'!$C$1:$G$99911,5,FALSE)</f>
        <v>STAMBAUGH JAMES</v>
      </c>
      <c r="M143" s="6">
        <f t="shared" si="60"/>
        <v>2.6030092587461695E-2</v>
      </c>
      <c r="N143" s="7">
        <f t="shared" ref="N143:N162" si="68">24*60*SUM($M143:$M143)</f>
        <v>37.483333325944841</v>
      </c>
      <c r="O143" s="7"/>
      <c r="P143" s="7"/>
      <c r="Q143" s="22"/>
      <c r="R143" s="174"/>
      <c r="S143" s="221">
        <f t="shared" ref="S143:S162" si="69">1/IF(AG143="EC",12,1)*SUM(U143:U143)</f>
        <v>1</v>
      </c>
      <c r="T143" s="174" t="str">
        <f t="shared" si="61"/>
        <v>NorthBound</v>
      </c>
      <c r="U143" s="198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216" t="str">
        <f t="shared" si="62"/>
        <v>https://d0f6bd738d7f1b3e5a7ca70fe4ff75f0.us-east-1.aws.found.io/app/kibana#/discover/Steve-Slow-Train-Analysis-(2080s-and-2083s)?_g=(refreshInterval:(display:Off,pause:!f,section:0,value:0),time:(from:'2017-09-24T19:43:56-0600',mode:absolute,to:'2017-09-24T22:37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43" s="204" t="str">
        <f>IF(AA143&lt;VLOOKUP(AG143,Variables!$AC$3:$AD$8,2,FALSE),"Y","N")</f>
        <v>N</v>
      </c>
      <c r="X143" s="204">
        <f t="shared" si="57"/>
        <v>0</v>
      </c>
      <c r="Y143" s="204">
        <f t="shared" si="55"/>
        <v>4.3999999999999997E-2</v>
      </c>
      <c r="Z143" s="204">
        <f t="shared" si="56"/>
        <v>23.331900000000001</v>
      </c>
      <c r="AA143" s="204">
        <f t="shared" si="63"/>
        <v>23.2879</v>
      </c>
      <c r="AB143" s="54" t="e">
        <f>VLOOKUP(A143,Enforcements!$C$7:$K$11,8,0)</f>
        <v>#N/A</v>
      </c>
      <c r="AC143" s="51" t="e">
        <f>VLOOKUP(A143,Enforcements!$C$7:$E$11,3,0)</f>
        <v>#N/A</v>
      </c>
      <c r="AD143" s="179">
        <f t="shared" si="64"/>
        <v>229</v>
      </c>
      <c r="AE143" s="77" t="str">
        <f t="shared" si="65"/>
        <v>aws s3 cp s3://rtdc.mdm.uploadarchive.raw/RTDC4066/ "%USERPROFILE%\AppData\Local\Temp\OnboardLogs"\RTDC4066\2017-09-24 --exclude "*" --recursive --include "*20170924*" &amp; "%USERPROFILE%\Documents\GitHub\mrs-test-scripts\Headless Mode &amp; Sideloading\WalkAndUnGZ.bat" "%USERPROFILE%\AppData\Local\Temp\OnboardLogs"\RTDC4066\2017-09-24 &amp; aws s3 cp s3://rtdc.mdm.uploadarchive.raw/RTDC4066/ "%USERPROFILE%\AppData\Local\Temp\OnboardLogs"\RTDC4066\2017-09-25 --exclude "*" --recursive --include "*20170925*" &amp; "%USERPROFILE%\Documents\GitHub\mrs-test-scripts\Headless Mode &amp; Sideloading\WalkAndUnGZ.bat" "%USERPROFILE%\AppData\Local\Temp\OnboardLogs"\RTDC4066\2017-09-25</v>
      </c>
      <c r="AF143" s="74" t="str">
        <f t="shared" si="66"/>
        <v>"C:\Program Files (x86)\AstroGrep\AstroGrep.exe" /e /r /s /spath="%USERPROFILE%\AppData\Local\Temp\OnboardLogs" /stypes="app*4066*20170925*" /stext=" 03:.+((SYSTEM_STATE.+slice.+state.+changed )|(ment ac)|(multiple cpu faults)|(system.+state.+changed )|(\[timeout)|(PRM\|1\|D)|(kpr)|(kdp)|(train st.+moving)|(\|lc)|(penalty))"</v>
      </c>
      <c r="AG143" s="182" t="str">
        <f t="shared" si="67"/>
        <v>EC</v>
      </c>
      <c r="AH143" s="78" t="str">
        <f t="shared" ref="AH143:AH211" si="70">refinertdcruntimes&amp;" --tripid "&amp;A143&amp;" --locoid "&amp;B143&amp;" --swversion "&amp;C143&amp;" --startMP "&amp;D143&amp;" --initTime "&amp;TEXT(E143,"yyyy-mm-ddTHH:MM:SS")&amp;" --startdatetime "&amp;TEXT(F143,"yyyy-mm-ddTHH:MM:SS")&amp;" --delay "&amp;G143&amp;" --endMP "&amp;H143&amp;" --enddatetime "&amp;TEXT(I143,"yyyy-mm-ddTHH:MM:SS")&amp;" --enforcementcount "&amp;J143&amp;IF(outputrefinedruntimes," &gt;&gt;"&amp;RefinedRTDCRunTimesOutputFile,"")</f>
        <v>"%USERPROFILE%\Documents\GitHub\eaglep3\Utilities\RefineRTDCRunTimes.py" --tripid 229-24 --locoid 4066 --swversion DE.1.0.9.0 --startMP 204:440 --initTime 2017-09-24T20:43:56 --startdatetime 2017-09-24T21:00:17 --delay 76 --endMP 204:233319 --enddatetime 2017-09-24T21:37:46 --enforcementcount 0 &gt;&gt;c:\users\stu\Documents\GitHub\eaglep3-reporting\EC\2017-09-24-refined-times.txt</v>
      </c>
      <c r="AI143" s="96" t="str">
        <f t="shared" ref="AI143:AI211" si="71">"echo {""issue"":{""subject"":"""&amp;R143&amp;""",""project_id"":79,""tracker_id"":40,""status_id"":"&amp;redmine_status&amp;",""priority_id"":"&amp;redmine_priority&amp;",""assigned_to_id"":"&amp;redmine_assignee&amp;",""start_date"":"""&amp;TEXT(I143,"YYYY-mm-dd")&amp;""",""description"":"""&amp;AJ143&amp;""",""custom_fields"":[{""id"":1,""name"":""Subdivision"",""value"":"""&amp;AG143&amp;"""},{""id"":4,""name"":""Milepost"",""value"":"""&amp;Z143&amp;"""},{""id"":17,""name"":""Train ID"",""value"":"""&amp;A143&amp;"""},{""id"":16,""name"":""Locomotive ID"",""value"":"""&amp;B143&amp;"""},{""id"":130,""name"":""Impact"",""value"":"""&amp;AK143&amp;"""},{""id"":150,""name"":""Time of Event (Mountain Time)"",""value"":"""&amp;TEXT(I143,"hh:mm:ss")&amp;"""},{""id"":151,""name"":""Denver Issue ID"",""value"":"""&amp;"""},{""id"":178,""name"":""Operational Impact"",""value"":"""&amp;redmine_op_impact&amp;"""},{""id"":179,""name"":""Denver Segment Assigned"",""value"":"""&amp;AL143&amp;"""}]}}"&amp;"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{"issue":{"subject":"","project_id":79,"tracker_id":40,"status_id":1,"priority_id":2,"assigned_to_id":338,"start_date":"2017-09-24","description":"","custom_fields":[{"id":1,"name":"Subdivision","value":"EC"},{"id":4,"name":"Milepost","value":"23.3319"},{"id":17,"name":"Train ID","value":"229-24"},{"id":16,"name":"Locomotive ID","value":"4066"},{"id":130,"name":"Impact","value":""},{"id":150,"name":"Time of Event (Mountain Time)","value":"21:37:46"},{"id":151,"name":"Denver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3" s="47"/>
      <c r="AL143" s="47"/>
      <c r="AM143" s="142" t="str">
        <f t="shared" ref="AM143:AM211" si="72">"start /low /b "&amp;dls3logs&amp;" --loco "&amp;B143&amp;" --day "&amp;TEXT(F143,"YYYY-MM-DD")</f>
        <v>start /low /b %USERPROFILE%\Documents\GitHub\eaglep3\Utilities\DownloadLogsFromS3.py --loco 4066 --day 2017-09-24</v>
      </c>
      <c r="AN143" s="151" t="str">
        <f t="shared" ref="AN143:AN211" si="73">"echo {""issue"":{""subject"":"""&amp;R143&amp;""",""project_id"":30,""tracker_id"":4,""status_id"":"&amp;redmine_status_wcr&amp;",""priority_id"":"&amp;redmine_priority_wcr&amp;",""assigned_to_id"":"&amp;redmine_assignee_wcr&amp;",""start_date"":"""&amp;TEXT(I143-utc_offset/24,"YYYY-mm-dd")&amp;""",""description"":"""&amp;AJ143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03:37:46"},{"id":29,"name":"Sharepoint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168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Message%20ID',Summary),filters:!(),index:'emp_*',interval:auto,query:"&amp;"(query_string:(analyze_wildcard:!t,query:'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-09-24T19:43:56-0600',mode:absolute,to:'2017-09-24T22:37:46-0600'))&amp;_a=(columns:!('Message%20ID',Summary),filters:!(),index:'emp_*',interval:auto,query:(query_string:(analyze_wildcard:!t,query:'%22rtdc.l.rtdc.4066%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799</v>
      </c>
      <c r="B144" s="7">
        <v>4065</v>
      </c>
      <c r="C144" s="21" t="s">
        <v>196</v>
      </c>
      <c r="D144" s="21" t="s">
        <v>846</v>
      </c>
      <c r="E144" s="13">
        <v>43002.909872685188</v>
      </c>
      <c r="F144" s="13">
        <v>43002.914803240739</v>
      </c>
      <c r="G144" s="7">
        <v>64</v>
      </c>
      <c r="H144" s="21" t="s">
        <v>366</v>
      </c>
      <c r="I144" s="13">
        <v>43002.941655092596</v>
      </c>
      <c r="J144" s="7">
        <v>0</v>
      </c>
      <c r="K144" s="89" t="str">
        <f t="shared" si="59"/>
        <v>4065/4066</v>
      </c>
      <c r="L144" s="185" t="str">
        <f>VLOOKUP(A144,'Trips&amp;Operators'!$C$1:$G$99911,5,FALSE)</f>
        <v>GUNTHIER ERIC</v>
      </c>
      <c r="M144" s="6">
        <f t="shared" si="60"/>
        <v>2.6851851856918074E-2</v>
      </c>
      <c r="N144" s="7">
        <f t="shared" si="68"/>
        <v>38.666666673962027</v>
      </c>
      <c r="O144" s="7"/>
      <c r="P144" s="7"/>
      <c r="Q144" s="22"/>
      <c r="R144" s="174"/>
      <c r="S144" s="221">
        <f t="shared" si="69"/>
        <v>1</v>
      </c>
      <c r="T144" s="174" t="str">
        <f t="shared" si="61"/>
        <v>Southbound</v>
      </c>
      <c r="U144" s="198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16" t="str">
        <f t="shared" si="62"/>
        <v>https://d0f6bd738d7f1b3e5a7ca70fe4ff75f0.us-east-1.aws.found.io/app/kibana#/discover/Steve-Slow-Train-Analysis-(2080s-and-2083s)?_g=(refreshInterval:(display:Off,pause:!f,section:0,value:0),time:(from:'2017-09-24T20:50:13-0600',mode:absolute,to:'2017-09-24T23:35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44" s="204" t="str">
        <f>IF(AA144&lt;VLOOKUP(AG144,Variables!$AC$3:$AD$8,2,FALSE),"Y","N")</f>
        <v>N</v>
      </c>
      <c r="X144" s="204">
        <f t="shared" si="57"/>
        <v>1</v>
      </c>
      <c r="Y144" s="204">
        <f t="shared" si="55"/>
        <v>23.298300000000001</v>
      </c>
      <c r="Z144" s="204">
        <f t="shared" si="56"/>
        <v>1.5599999999999999E-2</v>
      </c>
      <c r="AA144" s="204">
        <f t="shared" si="63"/>
        <v>23.282700000000002</v>
      </c>
      <c r="AB144" s="54" t="e">
        <f>VLOOKUP(A144,Enforcements!$C$7:$K$11,8,0)</f>
        <v>#N/A</v>
      </c>
      <c r="AC144" s="51" t="e">
        <f>VLOOKUP(A144,Enforcements!$C$7:$E$11,3,0)</f>
        <v>#N/A</v>
      </c>
      <c r="AD144" s="179">
        <f t="shared" si="64"/>
        <v>230</v>
      </c>
      <c r="AE144" s="77" t="str">
        <f t="shared" si="65"/>
        <v>aws s3 cp s3://rtdc.mdm.uploadarchive.raw/RTDC4065/ "%USERPROFILE%\AppData\Local\Temp\OnboardLogs"\RTDC4065\2017-09-24 --exclude "*" --recursive --include "*20170924*" &amp; "%USERPROFILE%\Documents\GitHub\mrs-test-scripts\Headless Mode &amp; Sideloading\WalkAndUnGZ.bat" "%USERPROFILE%\AppData\Local\Temp\OnboardLogs"\RTDC4065\2017-09-24 &amp; aws s3 cp s3://rtdc.mdm.uploadarchive.raw/RTDC4065/ "%USERPROFILE%\AppData\Local\Temp\OnboardLogs"\RTDC4065\2017-09-25 --exclude "*" --recursive --include "*20170925*" &amp; "%USERPROFILE%\Documents\GitHub\mrs-test-scripts\Headless Mode &amp; Sideloading\WalkAndUnGZ.bat" "%USERPROFILE%\AppData\Local\Temp\OnboardLogs"\RTDC4065\2017-09-25</v>
      </c>
      <c r="AF144" s="74" t="str">
        <f t="shared" si="66"/>
        <v>"C:\Program Files (x86)\AstroGrep\AstroGrep.exe" /e /r /s /spath="%USERPROFILE%\AppData\Local\Temp\OnboardLogs" /stypes="app*4065*20170925*" /stext=" 04:.+((SYSTEM_STATE.+slice.+state.+changed )|(ment ac)|(multiple cpu faults)|(system.+state.+changed )|(\[timeout)|(PRM\|1\|D)|(kpr)|(kdp)|(train st.+moving)|(\|lc)|(penalty))"</v>
      </c>
      <c r="AG144" s="182" t="str">
        <f t="shared" si="67"/>
        <v>EC</v>
      </c>
      <c r="AH144" s="78" t="str">
        <f t="shared" si="70"/>
        <v>"%USERPROFILE%\Documents\GitHub\eaglep3\Utilities\RefineRTDCRunTimes.py" --tripid 230-24 --locoid 4065 --swversion DE.1.0.9.0 --startMP 204:232983 --initTime 2017-09-24T21:50:13 --startdatetime 2017-09-24T21:57:19 --delay 64 --endMP 204:156 --enddatetime 2017-09-24T22:35:59 --enforcementcount 0 &gt;&gt;c:\users\stu\Documents\GitHub\eaglep3-reporting\EC\2017-09-24-refined-times.txt</v>
      </c>
      <c r="AI144" s="96" t="str">
        <f t="shared" si="71"/>
        <v>echo {"issue":{"subject":"","project_id":79,"tracker_id":40,"status_id":1,"priority_id":2,"assigned_to_id":338,"start_date":"2017-09-24","description":"","custom_fields":[{"id":1,"name":"Subdivision","value":"EC"},{"id":4,"name":"Milepost","value":"0.0156"},{"id":17,"name":"Train ID","value":"230-24"},{"id":16,"name":"Locomotive ID","value":"4065"},{"id":130,"name":"Impact","value":""},{"id":150,"name":"Time of Event (Mountain Time)","value":"22:35:59"},{"id":151,"name":"Denver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4" s="47"/>
      <c r="AL144" s="47"/>
      <c r="AM144" s="142" t="str">
        <f t="shared" si="72"/>
        <v>start /low /b %USERPROFILE%\Documents\GitHub\eaglep3\Utilities\DownloadLogsFromS3.py --loco 4065 --day 2017-09-24</v>
      </c>
      <c r="AN144" s="151" t="str">
        <f t="shared" si="7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04:35:59"},{"id":29,"name":"Sharepoint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168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Message%20ID',Summary),filters:!(),index:'emp_*',interval:auto,query:"&amp;"(query_string:(analyze_wildcard:!t,query:'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-09-24T20:50:13-0600',mode:absolute,to:'2017-09-24T23:35:59-0600'))&amp;_a=(columns:!('Message%20ID',Summary),filters:!(),index:'emp_*',interval:auto,query:(query_string:(analyze_wildcard:!t,query:'%22rtdc.l.rtdc.4065%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796</v>
      </c>
      <c r="B145" s="7">
        <v>4064</v>
      </c>
      <c r="C145" s="21" t="s">
        <v>196</v>
      </c>
      <c r="D145" s="21" t="s">
        <v>359</v>
      </c>
      <c r="E145" s="13">
        <v>43002.883472222224</v>
      </c>
      <c r="F145" s="13">
        <v>43002.896018518521</v>
      </c>
      <c r="G145" s="7">
        <v>67</v>
      </c>
      <c r="H145" s="21" t="s">
        <v>937</v>
      </c>
      <c r="I145" s="13">
        <v>43002.920706018522</v>
      </c>
      <c r="J145" s="7">
        <v>0</v>
      </c>
      <c r="K145" s="89" t="str">
        <f t="shared" si="59"/>
        <v>4063/4064</v>
      </c>
      <c r="L145" s="185" t="str">
        <f>VLOOKUP(A145,'Trips&amp;Operators'!$C$1:$G$99911,5,FALSE)</f>
        <v>LOZA FIDEL</v>
      </c>
      <c r="M145" s="6">
        <f t="shared" si="60"/>
        <v>2.4687500001164153E-2</v>
      </c>
      <c r="N145" s="7">
        <f t="shared" si="68"/>
        <v>35.550000001676381</v>
      </c>
      <c r="O145" s="7"/>
      <c r="P145" s="7"/>
      <c r="Q145" s="22"/>
      <c r="R145" s="174"/>
      <c r="S145" s="221">
        <f t="shared" si="69"/>
        <v>1</v>
      </c>
      <c r="T145" s="174" t="str">
        <f t="shared" si="61"/>
        <v>NorthBound</v>
      </c>
      <c r="U145" s="198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16" t="str">
        <f t="shared" si="62"/>
        <v>https://d0f6bd738d7f1b3e5a7ca70fe4ff75f0.us-east-1.aws.found.io/app/kibana#/discover/Steve-Slow-Train-Analysis-(2080s-and-2083s)?_g=(refreshInterval:(display:Off,pause:!f,section:0,value:0),time:(from:'2017-09-24T20:12:12-0600',mode:absolute,to:'2017-09-24T23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45" s="204" t="str">
        <f>IF(AA145&lt;VLOOKUP(AG145,Variables!$AC$3:$AD$8,2,FALSE),"Y","N")</f>
        <v>N</v>
      </c>
      <c r="X145" s="204">
        <f t="shared" si="57"/>
        <v>1</v>
      </c>
      <c r="Y145" s="204">
        <f t="shared" si="55"/>
        <v>4.4900000000000002E-2</v>
      </c>
      <c r="Z145" s="204">
        <f t="shared" si="56"/>
        <v>23.3337</v>
      </c>
      <c r="AA145" s="204">
        <f t="shared" si="63"/>
        <v>23.288800000000002</v>
      </c>
      <c r="AB145" s="54" t="e">
        <f>VLOOKUP(A145,Enforcements!$C$7:$K$11,8,0)</f>
        <v>#N/A</v>
      </c>
      <c r="AC145" s="51" t="e">
        <f>VLOOKUP(A145,Enforcements!$C$7:$E$11,3,0)</f>
        <v>#N/A</v>
      </c>
      <c r="AD145" s="179">
        <f t="shared" si="64"/>
        <v>231</v>
      </c>
      <c r="AE145" s="77" t="str">
        <f t="shared" si="65"/>
        <v>aws s3 cp s3://rtdc.mdm.uploadarchive.raw/RTDC4064/ "%USERPROFILE%\AppData\Local\Temp\OnboardLogs"\RTDC4064\2017-09-24 --exclude "*" --recursive --include "*20170924*" &amp; "%USERPROFILE%\Documents\GitHub\mrs-test-scripts\Headless Mode &amp; Sideloading\WalkAndUnGZ.bat" "%USERPROFILE%\AppData\Local\Temp\OnboardLogs"\RTDC4064\2017-09-24 &amp; aws s3 cp s3://rtdc.mdm.uploadarchive.raw/RTDC4064/ "%USERPROFILE%\AppData\Local\Temp\OnboardLogs"\RTDC4064\2017-09-25 --exclude "*" --recursive --include "*20170925*" &amp; "%USERPROFILE%\Documents\GitHub\mrs-test-scripts\Headless Mode &amp; Sideloading\WalkAndUnGZ.bat" "%USERPROFILE%\AppData\Local\Temp\OnboardLogs"\RTDC4064\2017-09-25</v>
      </c>
      <c r="AF145" s="74" t="str">
        <f t="shared" si="66"/>
        <v>"C:\Program Files (x86)\AstroGrep\AstroGrep.exe" /e /r /s /spath="%USERPROFILE%\AppData\Local\Temp\OnboardLogs" /stypes="app*4064*20170925*" /stext=" 04:.+((SYSTEM_STATE.+slice.+state.+changed )|(ment ac)|(multiple cpu faults)|(system.+state.+changed )|(\[timeout)|(PRM\|1\|D)|(kpr)|(kdp)|(train st.+moving)|(\|lc)|(penalty))"</v>
      </c>
      <c r="AG145" s="182" t="str">
        <f t="shared" si="67"/>
        <v>EC</v>
      </c>
      <c r="AH145" s="78" t="str">
        <f t="shared" si="70"/>
        <v>"%USERPROFILE%\Documents\GitHub\eaglep3\Utilities\RefineRTDCRunTimes.py" --tripid 231-24 --locoid 4064 --swversion DE.1.0.9.0 --startMP 204:449 --initTime 2017-09-24T21:12:12 --startdatetime 2017-09-24T21:30:16 --delay 67 --endMP 204:233337 --enddatetime 2017-09-24T22:05:49 --enforcementcount 0 &gt;&gt;c:\users\stu\Documents\GitHub\eaglep3-reporting\EC\2017-09-24-refined-times.txt</v>
      </c>
      <c r="AI145" s="96" t="str">
        <f t="shared" si="71"/>
        <v>echo {"issue":{"subject":"","project_id":79,"tracker_id":40,"status_id":1,"priority_id":2,"assigned_to_id":338,"start_date":"2017-09-24","description":"","custom_fields":[{"id":1,"name":"Subdivision","value":"EC"},{"id":4,"name":"Milepost","value":"23.3337"},{"id":17,"name":"Train ID","value":"231-24"},{"id":16,"name":"Locomotive ID","value":"4064"},{"id":130,"name":"Impact","value":""},{"id":150,"name":"Time of Event (Mountain Time)","value":"22:05:49"},{"id":151,"name":"Denver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5" s="47"/>
      <c r="AL145" s="47"/>
      <c r="AM145" s="142" t="str">
        <f t="shared" si="72"/>
        <v>start /low /b %USERPROFILE%\Documents\GitHub\eaglep3\Utilities\DownloadLogsFromS3.py --loco 4064 --day 2017-09-24</v>
      </c>
      <c r="AN145" s="151" t="str">
        <f t="shared" si="7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04:05:49"},{"id":29,"name":"Sharepoint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168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Message%20ID',Summary),filters:!(),index:'emp_*',interval:auto,query:"&amp;"(query_string:(analyze_wildcard:!t,query:'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-09-24T20:12:12-0600',mode:absolute,to:'2017-09-24T23:05:49-0600'))&amp;_a=(columns:!('Message%20ID',Summary),filters:!(),index:'emp_*',interval:auto,query:(query_string:(analyze_wildcard:!t,query:'%22rtdc.l.rtdc.4064%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802</v>
      </c>
      <c r="B146" s="7">
        <v>4063</v>
      </c>
      <c r="C146" s="21" t="s">
        <v>196</v>
      </c>
      <c r="D146" s="21" t="s">
        <v>938</v>
      </c>
      <c r="E146" s="13">
        <v>43002.933275462965</v>
      </c>
      <c r="F146" s="13">
        <v>43002.935682870368</v>
      </c>
      <c r="G146" s="7">
        <v>66</v>
      </c>
      <c r="H146" s="21" t="s">
        <v>834</v>
      </c>
      <c r="I146" s="13">
        <v>43002.961817129632</v>
      </c>
      <c r="J146" s="7">
        <v>0</v>
      </c>
      <c r="K146" s="89" t="str">
        <f t="shared" si="59"/>
        <v>4063/4064</v>
      </c>
      <c r="L146" s="185" t="str">
        <f>VLOOKUP(A146,'Trips&amp;Operators'!$C$1:$G$99911,5,FALSE)</f>
        <v>LOZA FIDEL</v>
      </c>
      <c r="M146" s="6">
        <f t="shared" si="60"/>
        <v>2.6134259263926651E-2</v>
      </c>
      <c r="N146" s="7">
        <f t="shared" si="68"/>
        <v>37.633333340054378</v>
      </c>
      <c r="O146" s="7"/>
      <c r="P146" s="7"/>
      <c r="Q146" s="22"/>
      <c r="R146" s="174"/>
      <c r="S146" s="221">
        <f t="shared" si="69"/>
        <v>1</v>
      </c>
      <c r="T146" s="174" t="str">
        <f t="shared" si="61"/>
        <v>Southbound</v>
      </c>
      <c r="U146" s="198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16" t="str">
        <f t="shared" si="62"/>
        <v>https://d0f6bd738d7f1b3e5a7ca70fe4ff75f0.us-east-1.aws.found.io/app/kibana#/discover/Steve-Slow-Train-Analysis-(2080s-and-2083s)?_g=(refreshInterval:(display:Off,pause:!f,section:0,value:0),time:(from:'2017-09-24T21:23:55-0600',mode:absolute,to:'2017-09-25T00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46" s="204" t="str">
        <f>IF(AA146&lt;VLOOKUP(AG146,Variables!$AC$3:$AD$8,2,FALSE),"Y","N")</f>
        <v>N</v>
      </c>
      <c r="X146" s="204">
        <f t="shared" si="57"/>
        <v>1</v>
      </c>
      <c r="Y146" s="204">
        <f t="shared" si="55"/>
        <v>23.3017</v>
      </c>
      <c r="Z146" s="204">
        <f t="shared" si="56"/>
        <v>1.6500000000000001E-2</v>
      </c>
      <c r="AA146" s="204">
        <f t="shared" si="63"/>
        <v>23.2852</v>
      </c>
      <c r="AB146" s="54" t="e">
        <f>VLOOKUP(A146,Enforcements!$C$7:$K$11,8,0)</f>
        <v>#N/A</v>
      </c>
      <c r="AC146" s="51" t="e">
        <f>VLOOKUP(A146,Enforcements!$C$7:$E$11,3,0)</f>
        <v>#N/A</v>
      </c>
      <c r="AD146" s="179">
        <f t="shared" si="64"/>
        <v>232</v>
      </c>
      <c r="AE146" s="77" t="str">
        <f t="shared" si="65"/>
        <v>aws s3 cp s3://rtdc.mdm.uploadarchive.raw/RTDC4063/ "%USERPROFILE%\AppData\Local\Temp\OnboardLogs"\RTDC4063\2017-09-24 --exclude "*" --recursive --include "*20170924*" &amp; "%USERPROFILE%\Documents\GitHub\mrs-test-scripts\Headless Mode &amp; Sideloading\WalkAndUnGZ.bat" "%USERPROFILE%\AppData\Local\Temp\OnboardLogs"\RTDC4063\2017-09-24 &amp; aws s3 cp s3://rtdc.mdm.uploadarchive.raw/RTDC4063/ "%USERPROFILE%\AppData\Local\Temp\OnboardLogs"\RTDC4063\2017-09-25 --exclude "*" --recursive --include "*20170925*" &amp; "%USERPROFILE%\Documents\GitHub\mrs-test-scripts\Headless Mode &amp; Sideloading\WalkAndUnGZ.bat" "%USERPROFILE%\AppData\Local\Temp\OnboardLogs"\RTDC4063\2017-09-25</v>
      </c>
      <c r="AF146" s="74" t="str">
        <f t="shared" si="66"/>
        <v>"C:\Program Files (x86)\AstroGrep\AstroGrep.exe" /e /r /s /spath="%USERPROFILE%\AppData\Local\Temp\OnboardLogs" /stypes="app*4063*20170925*" /stext=" 05:.+((SYSTEM_STATE.+slice.+state.+changed )|(ment ac)|(multiple cpu faults)|(system.+state.+changed )|(\[timeout)|(PRM\|1\|D)|(kpr)|(kdp)|(train st.+moving)|(\|lc)|(penalty))"</v>
      </c>
      <c r="AG146" s="182" t="str">
        <f t="shared" si="67"/>
        <v>EC</v>
      </c>
      <c r="AH146" s="78" t="str">
        <f t="shared" si="70"/>
        <v>"%USERPROFILE%\Documents\GitHub\eaglep3\Utilities\RefineRTDCRunTimes.py" --tripid 232-24 --locoid 4063 --swversion DE.1.0.9.0 --startMP 204:233017 --initTime 2017-09-24T22:23:55 --startdatetime 2017-09-24T22:27:23 --delay 66 --endMP 204:165 --enddatetime 2017-09-24T23:05:01 --enforcementcount 0 &gt;&gt;c:\users\stu\Documents\GitHub\eaglep3-reporting\EC\2017-09-24-refined-times.txt</v>
      </c>
      <c r="AI146" s="96" t="str">
        <f t="shared" si="71"/>
        <v>echo {"issue":{"subject":"","project_id":79,"tracker_id":40,"status_id":1,"priority_id":2,"assigned_to_id":338,"start_date":"2017-09-24","description":"","custom_fields":[{"id":1,"name":"Subdivision","value":"EC"},{"id":4,"name":"Milepost","value":"0.0165"},{"id":17,"name":"Train ID","value":"232-24"},{"id":16,"name":"Locomotive ID","value":"4063"},{"id":130,"name":"Impact","value":""},{"id":150,"name":"Time of Event (Mountain Time)","value":"23:05:01"},{"id":151,"name":"Denver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6" s="47"/>
      <c r="AL146" s="47"/>
      <c r="AM146" s="142" t="str">
        <f t="shared" si="72"/>
        <v>start /low /b %USERPROFILE%\Documents\GitHub\eaglep3\Utilities\DownloadLogsFromS3.py --loco 4063 --day 2017-09-24</v>
      </c>
      <c r="AN146" s="151" t="str">
        <f t="shared" si="7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05:05:01"},{"id":29,"name":"Sharepoint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168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Message%20ID',Summary),filters:!(),index:'emp_*',interval:auto,query:"&amp;"(query_string:(analyze_wildcard:!t,query:'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-09-24T21:23:55-0600',mode:absolute,to:'2017-09-25T00:05:01-0600'))&amp;_a=(columns:!('Message%20ID',Summary),filters:!(),index:'emp_*',interval:auto,query:(query_string:(analyze_wildcard:!t,query:'%22rtdc.l.rtdc.4063%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798</v>
      </c>
      <c r="B147" s="7">
        <v>4046</v>
      </c>
      <c r="C147" s="21" t="s">
        <v>196</v>
      </c>
      <c r="D147" s="21" t="s">
        <v>404</v>
      </c>
      <c r="E147" s="13">
        <v>43002.900636574072</v>
      </c>
      <c r="F147" s="13">
        <v>43002.916805555556</v>
      </c>
      <c r="G147" s="7">
        <v>55</v>
      </c>
      <c r="H147" s="21" t="s">
        <v>927</v>
      </c>
      <c r="I147" s="13">
        <v>43002.941678240742</v>
      </c>
      <c r="J147" s="7">
        <v>0</v>
      </c>
      <c r="K147" s="89" t="str">
        <f t="shared" si="59"/>
        <v>4045/4046</v>
      </c>
      <c r="L147" s="185" t="str">
        <f>VLOOKUP(A147,'Trips&amp;Operators'!$C$1:$G$99911,5,FALSE)</f>
        <v>ELBAUM MIKE</v>
      </c>
      <c r="M147" s="6">
        <f t="shared" si="60"/>
        <v>2.4872685185982846E-2</v>
      </c>
      <c r="N147" s="7">
        <f t="shared" si="68"/>
        <v>35.816666667815298</v>
      </c>
      <c r="O147" s="7"/>
      <c r="P147" s="7"/>
      <c r="Q147" s="22"/>
      <c r="R147" s="174"/>
      <c r="S147" s="221">
        <f t="shared" si="69"/>
        <v>1</v>
      </c>
      <c r="T147" s="174" t="str">
        <f t="shared" si="61"/>
        <v>NorthBound</v>
      </c>
      <c r="U147" s="198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16" t="str">
        <f t="shared" si="62"/>
        <v>https://d0f6bd738d7f1b3e5a7ca70fe4ff75f0.us-east-1.aws.found.io/app/kibana#/discover/Steve-Slow-Train-Analysis-(2080s-and-2083s)?_g=(refreshInterval:(display:Off,pause:!f,section:0,value:0),time:(from:'2017-09-24T20:36:55-0600',mode:absolute,to:'2017-09-24T23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7" s="204" t="str">
        <f>IF(AA147&lt;VLOOKUP(AG147,Variables!$AC$3:$AD$8,2,FALSE),"Y","N")</f>
        <v>N</v>
      </c>
      <c r="X147" s="204">
        <f t="shared" si="57"/>
        <v>1</v>
      </c>
      <c r="Y147" s="204">
        <f t="shared" si="55"/>
        <v>4.3700000000000003E-2</v>
      </c>
      <c r="Z147" s="204">
        <f t="shared" si="56"/>
        <v>23.334</v>
      </c>
      <c r="AA147" s="204">
        <f t="shared" si="63"/>
        <v>23.290299999999998</v>
      </c>
      <c r="AB147" s="54" t="e">
        <f>VLOOKUP(A147,Enforcements!$C$7:$K$11,8,0)</f>
        <v>#N/A</v>
      </c>
      <c r="AC147" s="51" t="e">
        <f>VLOOKUP(A147,Enforcements!$C$7:$E$11,3,0)</f>
        <v>#N/A</v>
      </c>
      <c r="AD147" s="179">
        <f t="shared" si="64"/>
        <v>233</v>
      </c>
      <c r="AE147" s="77" t="str">
        <f t="shared" si="65"/>
        <v>aws s3 cp s3://rtdc.mdm.uploadarchive.raw/RTDC4046/ "%USERPROFILE%\AppData\Local\Temp\OnboardLogs"\RTDC4046\2017-09-24 --exclude "*" --recursive --include "*20170924*" &amp; "%USERPROFILE%\Documents\GitHub\mrs-test-scripts\Headless Mode &amp; Sideloading\WalkAndUnGZ.bat" "%USERPROFILE%\AppData\Local\Temp\OnboardLogs"\RTDC4046\2017-09-24 &amp; aws s3 cp s3://rtdc.mdm.uploadarchive.raw/RTDC4046/ "%USERPROFILE%\AppData\Local\Temp\OnboardLogs"\RTDC4046\2017-09-25 --exclude "*" --recursive --include "*20170925*" &amp; "%USERPROFILE%\Documents\GitHub\mrs-test-scripts\Headless Mode &amp; Sideloading\WalkAndUnGZ.bat" "%USERPROFILE%\AppData\Local\Temp\OnboardLogs"\RTDC4046\2017-09-25</v>
      </c>
      <c r="AF147" s="74" t="str">
        <f t="shared" si="66"/>
        <v>"C:\Program Files (x86)\AstroGrep\AstroGrep.exe" /e /r /s /spath="%USERPROFILE%\AppData\Local\Temp\OnboardLogs" /stypes="app*4046*20170925*" /stext=" 04:.+((SYSTEM_STATE.+slice.+state.+changed )|(ment ac)|(multiple cpu faults)|(system.+state.+changed )|(\[timeout)|(PRM\|1\|D)|(kpr)|(kdp)|(train st.+moving)|(\|lc)|(penalty))"</v>
      </c>
      <c r="AG147" s="182" t="str">
        <f t="shared" si="67"/>
        <v>EC</v>
      </c>
      <c r="AH147" s="78" t="str">
        <f t="shared" si="70"/>
        <v>"%USERPROFILE%\Documents\GitHub\eaglep3\Utilities\RefineRTDCRunTimes.py" --tripid 233-24 --locoid 4046 --swversion DE.1.0.9.0 --startMP 204:437 --initTime 2017-09-24T21:36:55 --startdatetime 2017-09-24T22:00:12 --delay 55 --endMP 204:233340 --enddatetime 2017-09-24T22:36:01 --enforcementcount 0 &gt;&gt;c:\users\stu\Documents\GitHub\eaglep3-reporting\EC\2017-09-24-refined-times.txt</v>
      </c>
      <c r="AI147" s="96" t="str">
        <f t="shared" si="71"/>
        <v>echo {"issue":{"subject":"","project_id":79,"tracker_id":40,"status_id":1,"priority_id":2,"assigned_to_id":338,"start_date":"2017-09-24","description":"","custom_fields":[{"id":1,"name":"Subdivision","value":"EC"},{"id":4,"name":"Milepost","value":"23.334"},{"id":17,"name":"Train ID","value":"233-24"},{"id":16,"name":"Locomotive ID","value":"4046"},{"id":130,"name":"Impact","value":""},{"id":150,"name":"Time of Event (Mountain Time)","value":"22:36:01"},{"id":151,"name":"Denver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7" s="47"/>
      <c r="AL147" s="47"/>
      <c r="AM147" s="142" t="str">
        <f t="shared" si="72"/>
        <v>start /low /b %USERPROFILE%\Documents\GitHub\eaglep3\Utilities\DownloadLogsFromS3.py --loco 4046 --day 2017-09-24</v>
      </c>
      <c r="AN147" s="151" t="str">
        <f t="shared" si="7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04:36:01"},{"id":29,"name":"Sharepoint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168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Message%20ID',Summary),filters:!(),index:'emp_*',interval:auto,query:"&amp;"(query_string:(analyze_wildcard:!t,query:'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-09-24T20:36:55-0600',mode:absolute,to:'2017-09-24T23:36:01-0600'))&amp;_a=(columns:!('Message%20ID',Summary),filters:!(),index:'emp_*',interval:auto,query:(query_string:(analyze_wildcard:!t,query:'%22rtdc.l.rtdc.4046%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804</v>
      </c>
      <c r="B148" s="7">
        <v>4045</v>
      </c>
      <c r="C148" s="21" t="s">
        <v>196</v>
      </c>
      <c r="D148" s="21" t="s">
        <v>939</v>
      </c>
      <c r="E148" s="13">
        <v>43002.942881944444</v>
      </c>
      <c r="F148" s="13">
        <v>43002.956469907411</v>
      </c>
      <c r="G148" s="7">
        <v>49</v>
      </c>
      <c r="H148" s="21" t="s">
        <v>339</v>
      </c>
      <c r="I148" s="13">
        <v>43002.982175925928</v>
      </c>
      <c r="J148" s="7">
        <v>0</v>
      </c>
      <c r="K148" s="89" t="str">
        <f t="shared" si="59"/>
        <v>4045/4046</v>
      </c>
      <c r="L148" s="185" t="str">
        <f>VLOOKUP(A148,'Trips&amp;Operators'!$C$1:$G$99911,5,FALSE)</f>
        <v>ELBAUM MIKE</v>
      </c>
      <c r="M148" s="6">
        <f t="shared" si="60"/>
        <v>2.5706018517666962E-2</v>
      </c>
      <c r="N148" s="7">
        <f t="shared" si="68"/>
        <v>37.016666665440425</v>
      </c>
      <c r="O148" s="7"/>
      <c r="P148" s="7"/>
      <c r="Q148" s="22"/>
      <c r="R148" s="174"/>
      <c r="S148" s="221">
        <f t="shared" si="69"/>
        <v>1</v>
      </c>
      <c r="T148" s="174" t="str">
        <f t="shared" si="61"/>
        <v>Southbound</v>
      </c>
      <c r="U148" s="198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16" t="str">
        <f t="shared" si="62"/>
        <v>https://d0f6bd738d7f1b3e5a7ca70fe4ff75f0.us-east-1.aws.found.io/app/kibana#/discover/Steve-Slow-Train-Analysis-(2080s-and-2083s)?_g=(refreshInterval:(display:Off,pause:!f,section:0,value:0),time:(from:'2017-09-24T21:37:45-0600',mode:absolute,to:'2017-09-25T00:34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8" s="204" t="str">
        <f>IF(AA148&lt;VLOOKUP(AG148,Variables!$AC$3:$AD$8,2,FALSE),"Y","N")</f>
        <v>N</v>
      </c>
      <c r="X148" s="204">
        <f t="shared" si="57"/>
        <v>1</v>
      </c>
      <c r="Y148" s="204">
        <f t="shared" si="55"/>
        <v>23.3034</v>
      </c>
      <c r="Z148" s="204">
        <f t="shared" si="56"/>
        <v>1.43E-2</v>
      </c>
      <c r="AA148" s="204">
        <f t="shared" si="63"/>
        <v>23.289100000000001</v>
      </c>
      <c r="AB148" s="54" t="e">
        <f>VLOOKUP(A148,Enforcements!$C$7:$K$11,8,0)</f>
        <v>#N/A</v>
      </c>
      <c r="AC148" s="51" t="e">
        <f>VLOOKUP(A148,Enforcements!$C$7:$E$11,3,0)</f>
        <v>#N/A</v>
      </c>
      <c r="AD148" s="179">
        <f t="shared" si="64"/>
        <v>234</v>
      </c>
      <c r="AE148" s="77" t="str">
        <f t="shared" si="65"/>
        <v>aws s3 cp s3://rtdc.mdm.uploadarchive.raw/RTDC4045/ "%USERPROFILE%\AppData\Local\Temp\OnboardLogs"\RTDC4045\2017-09-24 --exclude "*" --recursive --include "*20170924*" &amp; "%USERPROFILE%\Documents\GitHub\mrs-test-scripts\Headless Mode &amp; Sideloading\WalkAndUnGZ.bat" "%USERPROFILE%\AppData\Local\Temp\OnboardLogs"\RTDC4045\2017-09-24 &amp; aws s3 cp s3://rtdc.mdm.uploadarchive.raw/RTDC4045/ "%USERPROFILE%\AppData\Local\Temp\OnboardLogs"\RTDC4045\2017-09-25 --exclude "*" --recursive --include "*20170925*" &amp; "%USERPROFILE%\Documents\GitHub\mrs-test-scripts\Headless Mode &amp; Sideloading\WalkAndUnGZ.bat" "%USERPROFILE%\AppData\Local\Temp\OnboardLogs"\RTDC4045\2017-09-25</v>
      </c>
      <c r="AF148" s="74" t="str">
        <f t="shared" si="66"/>
        <v>"C:\Program Files (x86)\AstroGrep\AstroGrep.exe" /e /r /s /spath="%USERPROFILE%\AppData\Local\Temp\OnboardLogs" /stypes="app*4045*20170925*" /stext=" 05:.+((SYSTEM_STATE.+slice.+state.+changed )|(ment ac)|(multiple cpu faults)|(system.+state.+changed )|(\[timeout)|(PRM\|1\|D)|(kpr)|(kdp)|(train st.+moving)|(\|lc)|(penalty))"</v>
      </c>
      <c r="AG148" s="182" t="str">
        <f t="shared" si="67"/>
        <v>EC</v>
      </c>
      <c r="AH148" s="78" t="str">
        <f t="shared" si="70"/>
        <v>"%USERPROFILE%\Documents\GitHub\eaglep3\Utilities\RefineRTDCRunTimes.py" --tripid 234-24 --locoid 4045 --swversion DE.1.0.9.0 --startMP 204:233034 --initTime 2017-09-24T22:37:45 --startdatetime 2017-09-24T22:57:19 --delay 49 --endMP 204:143 --enddatetime 2017-09-24T23:34:20 --enforcementcount 0 &gt;&gt;c:\users\stu\Documents\GitHub\eaglep3-reporting\EC\2017-09-24-refined-times.txt</v>
      </c>
      <c r="AI148" s="96" t="str">
        <f t="shared" si="71"/>
        <v>echo {"issue":{"subject":"","project_id":79,"tracker_id":40,"status_id":1,"priority_id":2,"assigned_to_id":338,"start_date":"2017-09-24","description":"","custom_fields":[{"id":1,"name":"Subdivision","value":"EC"},{"id":4,"name":"Milepost","value":"0.0143"},{"id":17,"name":"Train ID","value":"234-24"},{"id":16,"name":"Locomotive ID","value":"4045"},{"id":130,"name":"Impact","value":""},{"id":150,"name":"Time of Event (Mountain Time)","value":"23:34:20"},{"id":151,"name":"Denver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8" s="47"/>
      <c r="AL148" s="47"/>
      <c r="AM148" s="142" t="str">
        <f t="shared" si="72"/>
        <v>start /low /b %USERPROFILE%\Documents\GitHub\eaglep3\Utilities\DownloadLogsFromS3.py --loco 4045 --day 2017-09-24</v>
      </c>
      <c r="AN148" s="151" t="str">
        <f t="shared" si="7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05:34:20"},{"id":29,"name":"Sharepoint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168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Message%20ID',Summary),filters:!(),index:'emp_*',interval:auto,query:"&amp;"(query_string:(analyze_wildcard:!t,query:'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-09-24T21:37:45-0600',mode:absolute,to:'2017-09-25T00:34:20-0600'))&amp;_a=(columns:!('Message%20ID',Summary),filters:!(),index:'emp_*',interval:auto,query:(query_string:(analyze_wildcard:!t,query:'%22rtdc.l.rtdc.4045%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801</v>
      </c>
      <c r="B149" s="7">
        <v>4060</v>
      </c>
      <c r="C149" s="21" t="s">
        <v>196</v>
      </c>
      <c r="D149" s="21" t="s">
        <v>348</v>
      </c>
      <c r="E149" s="13">
        <v>43002.922071759262</v>
      </c>
      <c r="F149" s="13">
        <v>43002.937685185185</v>
      </c>
      <c r="G149" s="7">
        <v>56</v>
      </c>
      <c r="H149" s="21" t="s">
        <v>940</v>
      </c>
      <c r="I149" s="13">
        <v>43002.962118055555</v>
      </c>
      <c r="J149" s="7">
        <v>0</v>
      </c>
      <c r="K149" s="89" t="str">
        <f t="shared" si="59"/>
        <v>4059/4060</v>
      </c>
      <c r="L149" s="185" t="str">
        <f>VLOOKUP(A149,'Trips&amp;Operators'!$C$1:$G$99911,5,FALSE)</f>
        <v>DUNCAN SHEILA</v>
      </c>
      <c r="M149" s="6">
        <f t="shared" si="60"/>
        <v>2.4432870370219462E-2</v>
      </c>
      <c r="N149" s="7">
        <f t="shared" si="68"/>
        <v>35.183333333116025</v>
      </c>
      <c r="O149" s="7"/>
      <c r="P149" s="7"/>
      <c r="Q149" s="22"/>
      <c r="R149" s="174"/>
      <c r="S149" s="221">
        <f t="shared" si="69"/>
        <v>1</v>
      </c>
      <c r="T149" s="174" t="str">
        <f t="shared" si="61"/>
        <v>NorthBound</v>
      </c>
      <c r="U149" s="198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16" t="str">
        <f t="shared" si="62"/>
        <v>https://d0f6bd738d7f1b3e5a7ca70fe4ff75f0.us-east-1.aws.found.io/app/kibana#/discover/Steve-Slow-Train-Analysis-(2080s-and-2083s)?_g=(refreshInterval:(display:Off,pause:!f,section:0,value:0),time:(from:'2017-09-24T21:07:47-0600',mode:absolute,to:'2017-09-25T00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49" s="204" t="str">
        <f>IF(AA149&lt;VLOOKUP(AG149,Variables!$AC$3:$AD$8,2,FALSE),"Y","N")</f>
        <v>N</v>
      </c>
      <c r="X149" s="204">
        <f t="shared" si="57"/>
        <v>1</v>
      </c>
      <c r="Y149" s="204">
        <f t="shared" si="55"/>
        <v>4.5499999999999999E-2</v>
      </c>
      <c r="Z149" s="204">
        <f t="shared" si="56"/>
        <v>23.338000000000001</v>
      </c>
      <c r="AA149" s="204">
        <f t="shared" si="63"/>
        <v>23.2925</v>
      </c>
      <c r="AB149" s="54" t="e">
        <f>VLOOKUP(A149,Enforcements!$C$7:$K$11,8,0)</f>
        <v>#N/A</v>
      </c>
      <c r="AC149" s="51" t="e">
        <f>VLOOKUP(A149,Enforcements!$C$7:$E$11,3,0)</f>
        <v>#N/A</v>
      </c>
      <c r="AD149" s="179">
        <f t="shared" si="64"/>
        <v>235</v>
      </c>
      <c r="AE149" s="77" t="str">
        <f t="shared" si="65"/>
        <v>aws s3 cp s3://rtdc.mdm.uploadarchive.raw/RTDC4060/ "%USERPROFILE%\AppData\Local\Temp\OnboardLogs"\RTDC4060\2017-09-24 --exclude "*" --recursive --include "*20170924*" &amp; "%USERPROFILE%\Documents\GitHub\mrs-test-scripts\Headless Mode &amp; Sideloading\WalkAndUnGZ.bat" "%USERPROFILE%\AppData\Local\Temp\OnboardLogs"\RTDC4060\2017-09-24 &amp; aws s3 cp s3://rtdc.mdm.uploadarchive.raw/RTDC4060/ "%USERPROFILE%\AppData\Local\Temp\OnboardLogs"\RTDC4060\2017-09-25 --exclude "*" --recursive --include "*20170925*" &amp; "%USERPROFILE%\Documents\GitHub\mrs-test-scripts\Headless Mode &amp; Sideloading\WalkAndUnGZ.bat" "%USERPROFILE%\AppData\Local\Temp\OnboardLogs"\RTDC4060\2017-09-25</v>
      </c>
      <c r="AF149" s="74" t="str">
        <f t="shared" si="66"/>
        <v>"C:\Program Files (x86)\AstroGrep\AstroGrep.exe" /e /r /s /spath="%USERPROFILE%\AppData\Local\Temp\OnboardLogs" /stypes="app*4060*20170925*" /stext=" 05:.+((SYSTEM_STATE.+slice.+state.+changed )|(ment ac)|(multiple cpu faults)|(system.+state.+changed )|(\[timeout)|(PRM\|1\|D)|(kpr)|(kdp)|(train st.+moving)|(\|lc)|(penalty))"</v>
      </c>
      <c r="AG149" s="182" t="str">
        <f t="shared" si="67"/>
        <v>EC</v>
      </c>
      <c r="AH149" s="78" t="str">
        <f t="shared" si="70"/>
        <v>"%USERPROFILE%\Documents\GitHub\eaglep3\Utilities\RefineRTDCRunTimes.py" --tripid 235-24 --locoid 4060 --swversion DE.1.0.9.0 --startMP 204:455 --initTime 2017-09-24T22:07:47 --startdatetime 2017-09-24T22:30:16 --delay 56 --endMP 204:233380 --enddatetime 2017-09-24T23:05:27 --enforcementcount 0 &gt;&gt;c:\users\stu\Documents\GitHub\eaglep3-reporting\EC\2017-09-24-refined-times.txt</v>
      </c>
      <c r="AI149" s="96" t="str">
        <f t="shared" si="71"/>
        <v>echo {"issue":{"subject":"","project_id":79,"tracker_id":40,"status_id":1,"priority_id":2,"assigned_to_id":338,"start_date":"2017-09-24","description":"","custom_fields":[{"id":1,"name":"Subdivision","value":"EC"},{"id":4,"name":"Milepost","value":"23.338"},{"id":17,"name":"Train ID","value":"235-24"},{"id":16,"name":"Locomotive ID","value":"4060"},{"id":130,"name":"Impact","value":""},{"id":150,"name":"Time of Event (Mountain Time)","value":"23:05:27"},{"id":151,"name":"Denver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49" s="47"/>
      <c r="AL149" s="47"/>
      <c r="AM149" s="142" t="str">
        <f t="shared" si="72"/>
        <v>start /low /b %USERPROFILE%\Documents\GitHub\eaglep3\Utilities\DownloadLogsFromS3.py --loco 4060 --day 2017-09-24</v>
      </c>
      <c r="AN149" s="151" t="str">
        <f t="shared" si="7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05:05:27"},{"id":29,"name":"Sharepoint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168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Message%20ID',Summary),filters:!(),index:'emp_*',interval:auto,query:"&amp;"(query_string:(analyze_wildcard:!t,query:'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-09-24T21:07:47-0600',mode:absolute,to:'2017-09-25T00:05:27-0600'))&amp;_a=(columns:!('Message%20ID',Summary),filters:!(),index:'emp_*',interval:auto,query:(query_string:(analyze_wildcard:!t,query:'%22rtdc.l.rtdc.4060%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2" t="s">
        <v>806</v>
      </c>
      <c r="B150" s="7">
        <v>4059</v>
      </c>
      <c r="C150" s="21" t="s">
        <v>196</v>
      </c>
      <c r="D150" s="21" t="s">
        <v>941</v>
      </c>
      <c r="E150" s="13">
        <v>43002.963263888887</v>
      </c>
      <c r="F150" s="13">
        <v>43002.977256944447</v>
      </c>
      <c r="G150" s="7">
        <v>49</v>
      </c>
      <c r="H150" s="21" t="s">
        <v>377</v>
      </c>
      <c r="I150" s="13">
        <v>43003.003761574073</v>
      </c>
      <c r="J150" s="7">
        <v>0</v>
      </c>
      <c r="K150" s="89" t="str">
        <f t="shared" si="59"/>
        <v>4059/4060</v>
      </c>
      <c r="L150" s="185" t="str">
        <f>VLOOKUP(A150,'Trips&amp;Operators'!$C$1:$G$99911,5,FALSE)</f>
        <v>DUNCAN SHEILA</v>
      </c>
      <c r="M150" s="6">
        <f t="shared" si="60"/>
        <v>2.6504629626288079E-2</v>
      </c>
      <c r="N150" s="7">
        <f t="shared" si="68"/>
        <v>38.166666661854833</v>
      </c>
      <c r="O150" s="7"/>
      <c r="P150" s="7"/>
      <c r="Q150" s="22"/>
      <c r="R150" s="174"/>
      <c r="S150" s="221">
        <f t="shared" si="69"/>
        <v>1</v>
      </c>
      <c r="T150" s="174" t="str">
        <f t="shared" si="61"/>
        <v>Southbound</v>
      </c>
      <c r="U150" s="198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16" t="str">
        <f t="shared" si="62"/>
        <v>https://d0f6bd738d7f1b3e5a7ca70fe4ff75f0.us-east-1.aws.found.io/app/kibana#/discover/Steve-Slow-Train-Analysis-(2080s-and-2083s)?_g=(refreshInterval:(display:Off,pause:!f,section:0,value:0),time:(from:'2017-09-24T22:07:06-0600',mode:absolute,to:'2017-09-25T01:05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0" s="204" t="str">
        <f>IF(AA150&lt;VLOOKUP(AG150,Variables!$AC$3:$AD$8,2,FALSE),"Y","N")</f>
        <v>N</v>
      </c>
      <c r="X150" s="204">
        <f t="shared" si="57"/>
        <v>1</v>
      </c>
      <c r="Y150" s="204">
        <f t="shared" si="55"/>
        <v>23.303000000000001</v>
      </c>
      <c r="Z150" s="204">
        <f t="shared" si="56"/>
        <v>1.5800000000000002E-2</v>
      </c>
      <c r="AA150" s="204">
        <f t="shared" si="63"/>
        <v>23.287200000000002</v>
      </c>
      <c r="AB150" s="54" t="e">
        <f>VLOOKUP(A150,Enforcements!$C$7:$K$11,8,0)</f>
        <v>#N/A</v>
      </c>
      <c r="AC150" s="51" t="e">
        <f>VLOOKUP(A150,Enforcements!$C$7:$E$11,3,0)</f>
        <v>#N/A</v>
      </c>
      <c r="AD150" s="179">
        <f t="shared" si="64"/>
        <v>236</v>
      </c>
      <c r="AE150" s="77" t="str">
        <f t="shared" si="65"/>
        <v>aws s3 cp s3://rtdc.mdm.uploadarchive.raw/RTDC4059/ "%USERPROFILE%\AppData\Local\Temp\OnboardLogs"\RTDC4059\2017-09-24 --exclude "*" --recursive --include "*20170924*" &amp; "%USERPROFILE%\Documents\GitHub\mrs-test-scripts\Headless Mode &amp; Sideloading\WalkAndUnGZ.bat" "%USERPROFILE%\AppData\Local\Temp\OnboardLogs"\RTDC4059\2017-09-24 &amp; aws s3 cp s3://rtdc.mdm.uploadarchive.raw/RTDC4059/ "%USERPROFILE%\AppData\Local\Temp\OnboardLogs"\RTDC4059\2017-09-25 --exclude "*" --recursive --include "*20170925*" &amp; "%USERPROFILE%\Documents\GitHub\mrs-test-scripts\Headless Mode &amp; Sideloading\WalkAndUnGZ.bat" "%USERPROFILE%\AppData\Local\Temp\OnboardLogs"\RTDC4059\2017-09-25</v>
      </c>
      <c r="AF150" s="74" t="str">
        <f t="shared" si="66"/>
        <v>"C:\Program Files (x86)\AstroGrep\AstroGrep.exe" /e /r /s /spath="%USERPROFILE%\AppData\Local\Temp\OnboardLogs" /stypes="app*4059*20170925*" /stext=" 06:.+((SYSTEM_STATE.+slice.+state.+changed )|(ment ac)|(multiple cpu faults)|(system.+state.+changed )|(\[timeout)|(PRM\|1\|D)|(kpr)|(kdp)|(train st.+moving)|(\|lc)|(penalty))"</v>
      </c>
      <c r="AG150" s="182" t="str">
        <f t="shared" si="67"/>
        <v>EC</v>
      </c>
      <c r="AH150" s="78" t="str">
        <f t="shared" si="70"/>
        <v>"%USERPROFILE%\Documents\GitHub\eaglep3\Utilities\RefineRTDCRunTimes.py" --tripid 236-24 --locoid 4059 --swversion DE.1.0.9.0 --startMP 204:233030 --initTime 2017-09-24T23:07:06 --startdatetime 2017-09-24T23:27:15 --delay 49 --endMP 204:158 --enddatetime 2017-09-25T00:05:25 --enforcementcount 0 &gt;&gt;c:\users\stu\Documents\GitHub\eaglep3-reporting\EC\2017-09-24-refined-times.txt</v>
      </c>
      <c r="AI150" s="96" t="str">
        <f t="shared" si="71"/>
        <v>echo {"issue":{"subject":"","project_id":79,"tracker_id":40,"status_id":1,"priority_id":2,"assigned_to_id":338,"start_date":"2017-09-25","description":"","custom_fields":[{"id":1,"name":"Subdivision","value":"EC"},{"id":4,"name":"Milepost","value":"0.0158"},{"id":17,"name":"Train ID","value":"236-24"},{"id":16,"name":"Locomotive ID","value":"4059"},{"id":130,"name":"Impact","value":""},{"id":150,"name":"Time of Event (Mountain Time)","value":"00:05:25"},{"id":151,"name":"Denver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0" s="47"/>
      <c r="AL150" s="47"/>
      <c r="AM150" s="142" t="str">
        <f t="shared" si="72"/>
        <v>start /low /b %USERPROFILE%\Documents\GitHub\eaglep3\Utilities\DownloadLogsFromS3.py --loco 4059 --day 2017-09-24</v>
      </c>
      <c r="AN150" s="151" t="str">
        <f t="shared" si="7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06:05:25"},{"id":29,"name":"Sharepoint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168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Message%20ID',Summary),filters:!(),index:'emp_*',interval:auto,query:"&amp;"(query_string:(analyze_wildcard:!t,query:'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-09-24T22:07:06-0600',mode:absolute,to:'2017-09-25T01:05:25-0600'))&amp;_a=(columns:!('Message%20ID',Summary),filters:!(),index:'emp_*',interval:auto,query:(query_string:(analyze_wildcard:!t,query:'%22rtdc.l.rtdc.4059%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25">
      <c r="A151" s="32" t="s">
        <v>610</v>
      </c>
      <c r="B151" s="7">
        <v>4066</v>
      </c>
      <c r="C151" s="21" t="s">
        <v>196</v>
      </c>
      <c r="D151" s="21" t="s">
        <v>357</v>
      </c>
      <c r="E151" s="13">
        <v>43002.95244212963</v>
      </c>
      <c r="F151" s="13">
        <v>43002.958622685182</v>
      </c>
      <c r="G151" s="7">
        <v>76</v>
      </c>
      <c r="H151" s="21" t="s">
        <v>942</v>
      </c>
      <c r="I151" s="13">
        <v>43002.983703703707</v>
      </c>
      <c r="J151" s="7">
        <v>0</v>
      </c>
      <c r="K151" s="89" t="str">
        <f t="shared" si="59"/>
        <v>4065/4066</v>
      </c>
      <c r="L151" s="185" t="str">
        <f>VLOOKUP(A151,'Trips&amp;Operators'!$C$1:$G$99911,5,FALSE)</f>
        <v>STAMBAUGH JAMES</v>
      </c>
      <c r="M151" s="6">
        <f t="shared" si="60"/>
        <v>2.5081018524360843E-2</v>
      </c>
      <c r="N151" s="7">
        <f t="shared" si="68"/>
        <v>36.116666675079614</v>
      </c>
      <c r="O151" s="7"/>
      <c r="P151" s="7"/>
      <c r="Q151" s="22"/>
      <c r="R151" s="174"/>
      <c r="S151" s="221">
        <f t="shared" si="69"/>
        <v>1</v>
      </c>
      <c r="T151" s="174" t="str">
        <f t="shared" si="61"/>
        <v>NorthBound</v>
      </c>
      <c r="U151" s="198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16" t="str">
        <f t="shared" si="62"/>
        <v>https://d0f6bd738d7f1b3e5a7ca70fe4ff75f0.us-east-1.aws.found.io/app/kibana#/discover/Steve-Slow-Train-Analysis-(2080s-and-2083s)?_g=(refreshInterval:(display:Off,pause:!f,section:0,value:0),time:(from:'2017-09-24T21:51:31-0600',mode:absolute,to:'2017-09-25T00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151" s="204" t="str">
        <f>IF(AA151&lt;VLOOKUP(AG151,Variables!$AC$3:$AD$8,2,FALSE),"Y","N")</f>
        <v>N</v>
      </c>
      <c r="X151" s="204">
        <f t="shared" si="57"/>
        <v>1</v>
      </c>
      <c r="Y151" s="204">
        <f t="shared" si="55"/>
        <v>4.58E-2</v>
      </c>
      <c r="Z151" s="204">
        <f t="shared" si="56"/>
        <v>23.3368</v>
      </c>
      <c r="AA151" s="204">
        <f t="shared" si="63"/>
        <v>23.291</v>
      </c>
      <c r="AB151" s="54" t="e">
        <f>VLOOKUP(A151,Enforcements!$C$7:$K$11,8,0)</f>
        <v>#N/A</v>
      </c>
      <c r="AC151" s="51" t="e">
        <f>VLOOKUP(A151,Enforcements!$C$7:$E$11,3,0)</f>
        <v>#N/A</v>
      </c>
      <c r="AD151" s="179">
        <f t="shared" si="64"/>
        <v>237</v>
      </c>
      <c r="AE151" s="77" t="str">
        <f t="shared" si="65"/>
        <v>aws s3 cp s3://rtdc.mdm.uploadarchive.raw/RTDC4066/ "%USERPROFILE%\AppData\Local\Temp\OnboardLogs"\RTDC4066\2017-09-24 --exclude "*" --recursive --include "*20170924*" &amp; "%USERPROFILE%\Documents\GitHub\mrs-test-scripts\Headless Mode &amp; Sideloading\WalkAndUnGZ.bat" "%USERPROFILE%\AppData\Local\Temp\OnboardLogs"\RTDC4066\2017-09-24 &amp; aws s3 cp s3://rtdc.mdm.uploadarchive.raw/RTDC4066/ "%USERPROFILE%\AppData\Local\Temp\OnboardLogs"\RTDC4066\2017-09-25 --exclude "*" --recursive --include "*20170925*" &amp; "%USERPROFILE%\Documents\GitHub\mrs-test-scripts\Headless Mode &amp; Sideloading\WalkAndUnGZ.bat" "%USERPROFILE%\AppData\Local\Temp\OnboardLogs"\RTDC4066\2017-09-25</v>
      </c>
      <c r="AF151" s="74" t="str">
        <f t="shared" si="66"/>
        <v>"C:\Program Files (x86)\AstroGrep\AstroGrep.exe" /e /r /s /spath="%USERPROFILE%\AppData\Local\Temp\OnboardLogs" /stypes="app*4066*20170925*" /stext=" 05:.+((SYSTEM_STATE.+slice.+state.+changed )|(ment ac)|(multiple cpu faults)|(system.+state.+changed )|(\[timeout)|(PRM\|1\|D)|(kpr)|(kdp)|(train st.+moving)|(\|lc)|(penalty))"</v>
      </c>
      <c r="AG151" s="182" t="str">
        <f t="shared" si="67"/>
        <v>EC</v>
      </c>
      <c r="AH151" s="78" t="str">
        <f t="shared" si="70"/>
        <v>"%USERPROFILE%\Documents\GitHub\eaglep3\Utilities\RefineRTDCRunTimes.py" --tripid 237-24 --locoid 4066 --swversion DE.1.0.9.0 --startMP 204:458 --initTime 2017-09-24T22:51:31 --startdatetime 2017-09-24T23:00:25 --delay 76 --endMP 204:233368 --enddatetime 2017-09-24T23:36:32 --enforcementcount 0 &gt;&gt;c:\users\stu\Documents\GitHub\eaglep3-reporting\EC\2017-09-24-refined-times.txt</v>
      </c>
      <c r="AI151" s="96" t="str">
        <f t="shared" si="71"/>
        <v>echo {"issue":{"subject":"","project_id":79,"tracker_id":40,"status_id":1,"priority_id":2,"assigned_to_id":338,"start_date":"2017-09-24","description":"","custom_fields":[{"id":1,"name":"Subdivision","value":"EC"},{"id":4,"name":"Milepost","value":"23.3368"},{"id":17,"name":"Train ID","value":"237-24"},{"id":16,"name":"Locomotive ID","value":"4066"},{"id":130,"name":"Impact","value":""},{"id":150,"name":"Time of Event (Mountain Time)","value":"23:36:32"},{"id":151,"name":"Denver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1" s="47"/>
      <c r="AL151" s="47"/>
      <c r="AM151" s="142" t="str">
        <f t="shared" si="72"/>
        <v>start /low /b %USERPROFILE%\Documents\GitHub\eaglep3\Utilities\DownloadLogsFromS3.py --loco 4066 --day 2017-09-24</v>
      </c>
      <c r="AN151" s="151" t="str">
        <f t="shared" si="7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05:36:32"},{"id":29,"name":"Sharepoint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168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Message%20ID',Summary),filters:!(),index:'emp_*',interval:auto,query:"&amp;"(query_string:(analyze_wildcard:!t,query:'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-09-24T21:51:31-0600',mode:absolute,to:'2017-09-25T00:36:32-0600'))&amp;_a=(columns:!('Message%20ID',Summary),filters:!(),index:'emp_*',interval:auto,query:(query_string:(analyze_wildcard:!t,query:'%22rtdc.l.rtdc.4066%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809</v>
      </c>
      <c r="B152" s="7">
        <v>4065</v>
      </c>
      <c r="C152" s="21" t="s">
        <v>196</v>
      </c>
      <c r="D152" s="21" t="s">
        <v>931</v>
      </c>
      <c r="E152" s="13">
        <v>43002.992442129631</v>
      </c>
      <c r="F152" s="13">
        <v>43002.998229166667</v>
      </c>
      <c r="G152" s="7">
        <v>122</v>
      </c>
      <c r="H152" s="21" t="s">
        <v>375</v>
      </c>
      <c r="I152" s="13">
        <v>43003.024525462963</v>
      </c>
      <c r="J152" s="7">
        <v>0</v>
      </c>
      <c r="K152" s="89" t="str">
        <f t="shared" si="59"/>
        <v>4065/4066</v>
      </c>
      <c r="L152" s="185" t="str">
        <f>VLOOKUP(A152,'Trips&amp;Operators'!$C$1:$G$99911,5,FALSE)</f>
        <v>STAMBAUGH JAMES</v>
      </c>
      <c r="M152" s="6">
        <f t="shared" si="60"/>
        <v>2.6296296295186039E-2</v>
      </c>
      <c r="N152" s="7">
        <f t="shared" si="68"/>
        <v>37.866666665067896</v>
      </c>
      <c r="O152" s="7"/>
      <c r="P152" s="7"/>
      <c r="Q152" s="22"/>
      <c r="R152" s="174"/>
      <c r="S152" s="221">
        <f t="shared" si="69"/>
        <v>1</v>
      </c>
      <c r="T152" s="174" t="str">
        <f t="shared" si="61"/>
        <v>Southbound</v>
      </c>
      <c r="U152" s="198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16" t="str">
        <f t="shared" si="62"/>
        <v>https://d0f6bd738d7f1b3e5a7ca70fe4ff75f0.us-east-1.aws.found.io/app/kibana#/discover/Steve-Slow-Train-Analysis-(2080s-and-2083s)?_g=(refreshInterval:(display:Off,pause:!f,section:0,value:0),time:(from:'2017-09-24T22:49:07-0600',mode:absolute,to:'2017-09-25T01:35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W152" s="204" t="str">
        <f>IF(AA152&lt;VLOOKUP(AG152,Variables!$AC$3:$AD$8,2,FALSE),"Y","N")</f>
        <v>N</v>
      </c>
      <c r="X152" s="204">
        <f t="shared" si="57"/>
        <v>1</v>
      </c>
      <c r="Y152" s="204">
        <f t="shared" si="55"/>
        <v>23.305499999999999</v>
      </c>
      <c r="Z152" s="204">
        <f t="shared" si="56"/>
        <v>1.6E-2</v>
      </c>
      <c r="AA152" s="204">
        <f t="shared" si="63"/>
        <v>23.2895</v>
      </c>
      <c r="AB152" s="54" t="e">
        <f>VLOOKUP(A152,Enforcements!$C$7:$K$11,8,0)</f>
        <v>#N/A</v>
      </c>
      <c r="AC152" s="51" t="e">
        <f>VLOOKUP(A152,Enforcements!$C$7:$E$11,3,0)</f>
        <v>#N/A</v>
      </c>
      <c r="AD152" s="179">
        <f t="shared" si="64"/>
        <v>238</v>
      </c>
      <c r="AE152" s="77" t="str">
        <f t="shared" si="65"/>
        <v>aws s3 cp s3://rtdc.mdm.uploadarchive.raw/RTDC4065/ "%USERPROFILE%\AppData\Local\Temp\OnboardLogs"\RTDC4065\2017-09-24 --exclude "*" --recursive --include "*20170924*" &amp; "%USERPROFILE%\Documents\GitHub\mrs-test-scripts\Headless Mode &amp; Sideloading\WalkAndUnGZ.bat" "%USERPROFILE%\AppData\Local\Temp\OnboardLogs"\RTDC4065\2017-09-24 &amp; aws s3 cp s3://rtdc.mdm.uploadarchive.raw/RTDC4065/ "%USERPROFILE%\AppData\Local\Temp\OnboardLogs"\RTDC4065\2017-09-25 --exclude "*" --recursive --include "*20170925*" &amp; "%USERPROFILE%\Documents\GitHub\mrs-test-scripts\Headless Mode &amp; Sideloading\WalkAndUnGZ.bat" "%USERPROFILE%\AppData\Local\Temp\OnboardLogs"\RTDC4065\2017-09-25</v>
      </c>
      <c r="AF152" s="74" t="str">
        <f t="shared" si="66"/>
        <v>"C:\Program Files (x86)\AstroGrep\AstroGrep.exe" /e /r /s /spath="%USERPROFILE%\AppData\Local\Temp\OnboardLogs" /stypes="app*4065*20170925*" /stext=" 06:.+((SYSTEM_STATE.+slice.+state.+changed )|(ment ac)|(multiple cpu faults)|(system.+state.+changed )|(\[timeout)|(PRM\|1\|D)|(kpr)|(kdp)|(train st.+moving)|(\|lc)|(penalty))"</v>
      </c>
      <c r="AG152" s="182" t="str">
        <f t="shared" si="67"/>
        <v>EC</v>
      </c>
      <c r="AH152" s="78" t="str">
        <f t="shared" si="70"/>
        <v>"%USERPROFILE%\Documents\GitHub\eaglep3\Utilities\RefineRTDCRunTimes.py" --tripid 238-24 --locoid 4065 --swversion DE.1.0.9.0 --startMP 204:233055 --initTime 2017-09-24T23:49:07 --startdatetime 2017-09-24T23:57:27 --delay 122 --endMP 204:160 --enddatetime 2017-09-25T00:35:19 --enforcementcount 0 &gt;&gt;c:\users\stu\Documents\GitHub\eaglep3-reporting\EC\2017-09-24-refined-times.txt</v>
      </c>
      <c r="AI152" s="96" t="str">
        <f t="shared" si="71"/>
        <v>echo {"issue":{"subject":"","project_id":79,"tracker_id":40,"status_id":1,"priority_id":2,"assigned_to_id":338,"start_date":"2017-09-25","description":"","custom_fields":[{"id":1,"name":"Subdivision","value":"EC"},{"id":4,"name":"Milepost","value":"0.016"},{"id":17,"name":"Train ID","value":"238-24"},{"id":16,"name":"Locomotive ID","value":"4065"},{"id":130,"name":"Impact","value":""},{"id":150,"name":"Time of Event (Mountain Time)","value":"00:35:19"},{"id":151,"name":"Denver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2" s="47"/>
      <c r="AL152" s="47"/>
      <c r="AM152" s="142" t="str">
        <f t="shared" si="72"/>
        <v>start /low /b %USERPROFILE%\Documents\GitHub\eaglep3\Utilities\DownloadLogsFromS3.py --loco 4065 --day 2017-09-24</v>
      </c>
      <c r="AN152" s="151" t="str">
        <f t="shared" si="7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ID","value":"4065"},{"id":20,"name":"RR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06:35:19"},{"id":29,"name":"Sharepoint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168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Message%20ID',Summary),filters:!(),index:'emp_*',interval:auto,query:"&amp;"(query_string:(analyze_wildcard:!t,query:'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-09-24T22:49:07-0600',mode:absolute,to:'2017-09-25T01:35:19-0600'))&amp;_a=(columns:!('Message%20ID',Summary),filters:!(),index:'emp_*',interval:auto,query:(query_string:(analyze_wildcard:!t,query:'%22rtdc.l.rtdc.4065%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808</v>
      </c>
      <c r="B153" s="7">
        <v>4064</v>
      </c>
      <c r="C153" s="21" t="s">
        <v>196</v>
      </c>
      <c r="D153" s="21" t="s">
        <v>390</v>
      </c>
      <c r="E153" s="13">
        <v>43002.9765162037</v>
      </c>
      <c r="F153" s="13">
        <v>43002.979351851849</v>
      </c>
      <c r="G153" s="7">
        <v>64</v>
      </c>
      <c r="H153" s="21" t="s">
        <v>910</v>
      </c>
      <c r="I153" s="13">
        <v>43003.003113425926</v>
      </c>
      <c r="J153" s="7">
        <v>0</v>
      </c>
      <c r="K153" s="89" t="str">
        <f t="shared" si="59"/>
        <v>4063/4064</v>
      </c>
      <c r="L153" s="185" t="str">
        <f>VLOOKUP(A153,'Trips&amp;Operators'!$C$1:$G$99911,5,FALSE)</f>
        <v>LOZA FIDEL</v>
      </c>
      <c r="M153" s="6">
        <f t="shared" si="60"/>
        <v>2.3761574077070691E-2</v>
      </c>
      <c r="N153" s="7">
        <f t="shared" si="68"/>
        <v>34.216666670981795</v>
      </c>
      <c r="O153" s="7"/>
      <c r="P153" s="7"/>
      <c r="Q153" s="22"/>
      <c r="R153" s="174"/>
      <c r="S153" s="221">
        <f t="shared" si="69"/>
        <v>1</v>
      </c>
      <c r="T153" s="174" t="str">
        <f t="shared" si="61"/>
        <v>NorthBound</v>
      </c>
      <c r="U153" s="198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16" t="str">
        <f t="shared" si="62"/>
        <v>https://d0f6bd738d7f1b3e5a7ca70fe4ff75f0.us-east-1.aws.found.io/app/kibana#/discover/Steve-Slow-Train-Analysis-(2080s-and-2083s)?_g=(refreshInterval:(display:Off,pause:!f,section:0,value:0),time:(from:'2017-09-24T22:26:11-0600',mode:absolute,to:'2017-09-25T01:04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53" s="204" t="str">
        <f>IF(AA153&lt;VLOOKUP(AG153,Variables!$AC$3:$AD$8,2,FALSE),"Y","N")</f>
        <v>N</v>
      </c>
      <c r="X153" s="204">
        <f t="shared" si="57"/>
        <v>1</v>
      </c>
      <c r="Y153" s="204">
        <f t="shared" si="55"/>
        <v>4.6199999999999998E-2</v>
      </c>
      <c r="Z153" s="204">
        <f t="shared" si="56"/>
        <v>23.3324</v>
      </c>
      <c r="AA153" s="204">
        <f t="shared" si="63"/>
        <v>23.286200000000001</v>
      </c>
      <c r="AB153" s="54" t="e">
        <f>VLOOKUP(A153,Enforcements!$C$7:$K$11,8,0)</f>
        <v>#N/A</v>
      </c>
      <c r="AC153" s="51" t="e">
        <f>VLOOKUP(A153,Enforcements!$C$7:$E$11,3,0)</f>
        <v>#N/A</v>
      </c>
      <c r="AD153" s="179">
        <f t="shared" si="64"/>
        <v>239</v>
      </c>
      <c r="AE153" s="77" t="str">
        <f t="shared" si="65"/>
        <v>aws s3 cp s3://rtdc.mdm.uploadarchive.raw/RTDC4064/ "%USERPROFILE%\AppData\Local\Temp\OnboardLogs"\RTDC4064\2017-09-24 --exclude "*" --recursive --include "*20170924*" &amp; "%USERPROFILE%\Documents\GitHub\mrs-test-scripts\Headless Mode &amp; Sideloading\WalkAndUnGZ.bat" "%USERPROFILE%\AppData\Local\Temp\OnboardLogs"\RTDC4064\2017-09-24 &amp; aws s3 cp s3://rtdc.mdm.uploadarchive.raw/RTDC4064/ "%USERPROFILE%\AppData\Local\Temp\OnboardLogs"\RTDC4064\2017-09-25 --exclude "*" --recursive --include "*20170925*" &amp; "%USERPROFILE%\Documents\GitHub\mrs-test-scripts\Headless Mode &amp; Sideloading\WalkAndUnGZ.bat" "%USERPROFILE%\AppData\Local\Temp\OnboardLogs"\RTDC4064\2017-09-25</v>
      </c>
      <c r="AF153" s="74" t="str">
        <f t="shared" si="66"/>
        <v>"C:\Program Files (x86)\AstroGrep\AstroGrep.exe" /e /r /s /spath="%USERPROFILE%\AppData\Local\Temp\OnboardLogs" /stypes="app*4064*20170925*" /stext=" 06:.+((SYSTEM_STATE.+slice.+state.+changed )|(ment ac)|(multiple cpu faults)|(system.+state.+changed )|(\[timeout)|(PRM\|1\|D)|(kpr)|(kdp)|(train st.+moving)|(\|lc)|(penalty))"</v>
      </c>
      <c r="AG153" s="182" t="str">
        <f t="shared" si="67"/>
        <v>EC</v>
      </c>
      <c r="AH153" s="78" t="str">
        <f t="shared" si="70"/>
        <v>"%USERPROFILE%\Documents\GitHub\eaglep3\Utilities\RefineRTDCRunTimes.py" --tripid 239-24 --locoid 4064 --swversion DE.1.0.9.0 --startMP 204:462 --initTime 2017-09-24T23:26:11 --startdatetime 2017-09-24T23:30:16 --delay 64 --endMP 204:233324 --enddatetime 2017-09-25T00:04:29 --enforcementcount 0 &gt;&gt;c:\users\stu\Documents\GitHub\eaglep3-reporting\EC\2017-09-24-refined-times.txt</v>
      </c>
      <c r="AI153" s="96" t="str">
        <f t="shared" si="71"/>
        <v>echo {"issue":{"subject":"","project_id":79,"tracker_id":40,"status_id":1,"priority_id":2,"assigned_to_id":338,"start_date":"2017-09-25","description":"","custom_fields":[{"id":1,"name":"Subdivision","value":"EC"},{"id":4,"name":"Milepost","value":"23.3324"},{"id":17,"name":"Train ID","value":"239-24"},{"id":16,"name":"Locomotive ID","value":"4064"},{"id":130,"name":"Impact","value":""},{"id":150,"name":"Time of Event (Mountain Time)","value":"00:04:29"},{"id":151,"name":"Denver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3" s="47"/>
      <c r="AL153" s="47"/>
      <c r="AM153" s="142" t="str">
        <f t="shared" si="72"/>
        <v>start /low /b %USERPROFILE%\Documents\GitHub\eaglep3\Utilities\DownloadLogsFromS3.py --loco 4064 --day 2017-09-24</v>
      </c>
      <c r="AN153" s="151" t="str">
        <f t="shared" si="7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06:04:29"},{"id":29,"name":"Sharepoint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168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Message%20ID',Summary),filters:!(),index:'emp_*',interval:auto,query:"&amp;"(query_string:(analyze_wildcard:!t,query:'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-09-24T22:26:11-0600',mode:absolute,to:'2017-09-25T01:04:29-0600'))&amp;_a=(columns:!('Message%20ID',Summary),filters:!(),index:'emp_*',interval:auto,query:(query_string:(analyze_wildcard:!t,query:'%22rtdc.l.rtdc.4064%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812</v>
      </c>
      <c r="B154" s="7">
        <v>4063</v>
      </c>
      <c r="C154" s="21" t="s">
        <v>196</v>
      </c>
      <c r="D154" s="21" t="s">
        <v>399</v>
      </c>
      <c r="E154" s="13">
        <v>43003.017118055555</v>
      </c>
      <c r="F154" s="13">
        <v>43003.018946759257</v>
      </c>
      <c r="G154" s="7">
        <v>59</v>
      </c>
      <c r="H154" s="21" t="s">
        <v>364</v>
      </c>
      <c r="I154" s="13">
        <v>43003.044594907406</v>
      </c>
      <c r="J154" s="7">
        <v>0</v>
      </c>
      <c r="K154" s="89" t="str">
        <f t="shared" si="59"/>
        <v>4063/4064</v>
      </c>
      <c r="L154" s="185" t="str">
        <f>VLOOKUP(A154,'Trips&amp;Operators'!$C$1:$G$99911,5,FALSE)</f>
        <v>LOZA FIDEL</v>
      </c>
      <c r="M154" s="6">
        <f t="shared" si="60"/>
        <v>2.5648148148320615E-2</v>
      </c>
      <c r="N154" s="7">
        <f t="shared" si="68"/>
        <v>36.933333333581686</v>
      </c>
      <c r="O154" s="7"/>
      <c r="P154" s="7"/>
      <c r="Q154" s="22"/>
      <c r="R154" s="174"/>
      <c r="S154" s="221">
        <f t="shared" si="69"/>
        <v>1</v>
      </c>
      <c r="T154" s="174" t="str">
        <f t="shared" si="61"/>
        <v>Southbound</v>
      </c>
      <c r="U154" s="198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16" t="str">
        <f t="shared" si="62"/>
        <v>https://d0f6bd738d7f1b3e5a7ca70fe4ff75f0.us-east-1.aws.found.io/app/kibana#/discover/Steve-Slow-Train-Analysis-(2080s-and-2083s)?_g=(refreshInterval:(display:Off,pause:!f,section:0,value:0),time:(from:'2017-09-24T23:24:39-0600',mode:absolute,to:'2017-09-25T02:04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54" s="204" t="str">
        <f>IF(AA154&lt;VLOOKUP(AG154,Variables!$AC$3:$AD$8,2,FALSE),"Y","N")</f>
        <v>N</v>
      </c>
      <c r="X154" s="204">
        <f t="shared" si="57"/>
        <v>1</v>
      </c>
      <c r="Y154" s="204">
        <f t="shared" si="55"/>
        <v>23.301300000000001</v>
      </c>
      <c r="Z154" s="204">
        <f t="shared" si="56"/>
        <v>1.38E-2</v>
      </c>
      <c r="AA154" s="204">
        <f t="shared" si="63"/>
        <v>23.287500000000001</v>
      </c>
      <c r="AB154" s="54" t="e">
        <f>VLOOKUP(A154,Enforcements!$C$7:$K$11,8,0)</f>
        <v>#N/A</v>
      </c>
      <c r="AC154" s="51" t="e">
        <f>VLOOKUP(A154,Enforcements!$C$7:$E$11,3,0)</f>
        <v>#N/A</v>
      </c>
      <c r="AD154" s="179">
        <f t="shared" si="64"/>
        <v>240</v>
      </c>
      <c r="AE154" s="77" t="str">
        <f t="shared" si="65"/>
        <v>aws s3 cp s3://rtdc.mdm.uploadarchive.raw/RTDC4063/ "%USERPROFILE%\AppData\Local\Temp\OnboardLogs"\RTDC4063\2017-09-25 --exclude "*" --recursive --include "*20170925*" &amp; "%USERPROFILE%\Documents\GitHub\mrs-test-scripts\Headless Mode &amp; Sideloading\WalkAndUnGZ.bat" "%USERPROFILE%\AppData\Local\Temp\OnboardLogs"\RTDC4063\2017-09-25 &amp; aws s3 cp s3://rtdc.mdm.uploadarchive.raw/RTDC4063/ "%USERPROFILE%\AppData\Local\Temp\OnboardLogs"\RTDC4063\2017-09-26 --exclude "*" --recursive --include "*20170926*" &amp; "%USERPROFILE%\Documents\GitHub\mrs-test-scripts\Headless Mode &amp; Sideloading\WalkAndUnGZ.bat" "%USERPROFILE%\AppData\Local\Temp\OnboardLogs"\RTDC4063\2017-09-26</v>
      </c>
      <c r="AF154" s="74" t="str">
        <f t="shared" si="66"/>
        <v>"C:\Program Files (x86)\AstroGrep\AstroGrep.exe" /e /r /s /spath="%USERPROFILE%\AppData\Local\Temp\OnboardLogs" /stypes="app*4063*20170925*" /stext=" 07:.+((SYSTEM_STATE.+slice.+state.+changed )|(ment ac)|(multiple cpu faults)|(system.+state.+changed )|(\[timeout)|(PRM\|1\|D)|(kpr)|(kdp)|(train st.+moving)|(\|lc)|(penalty))"</v>
      </c>
      <c r="AG154" s="182" t="str">
        <f t="shared" si="67"/>
        <v>EC</v>
      </c>
      <c r="AH154" s="78" t="str">
        <f t="shared" si="70"/>
        <v>"%USERPROFILE%\Documents\GitHub\eaglep3\Utilities\RefineRTDCRunTimes.py" --tripid 240-24 --locoid 4063 --swversion DE.1.0.9.0 --startMP 204:233013 --initTime 2017-09-25T00:24:39 --startdatetime 2017-09-25T00:27:17 --delay 59 --endMP 204:138 --enddatetime 2017-09-25T01:04:13 --enforcementcount 0 &gt;&gt;c:\users\stu\Documents\GitHub\eaglep3-reporting\EC\2017-09-24-refined-times.txt</v>
      </c>
      <c r="AI154" s="96" t="str">
        <f t="shared" si="71"/>
        <v>echo {"issue":{"subject":"","project_id":79,"tracker_id":40,"status_id":1,"priority_id":2,"assigned_to_id":338,"start_date":"2017-09-25","description":"","custom_fields":[{"id":1,"name":"Subdivision","value":"EC"},{"id":4,"name":"Milepost","value":"0.0138"},{"id":17,"name":"Train ID","value":"240-24"},{"id":16,"name":"Locomotive ID","value":"4063"},{"id":130,"name":"Impact","value":""},{"id":150,"name":"Time of Event (Mountain Time)","value":"01:04:13"},{"id":151,"name":"Denver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4" s="47"/>
      <c r="AL154" s="47"/>
      <c r="AM154" s="142" t="str">
        <f t="shared" si="72"/>
        <v>start /low /b %USERPROFILE%\Documents\GitHub\eaglep3\Utilities\DownloadLogsFromS3.py --loco 4063 --day 2017-09-25</v>
      </c>
      <c r="AN154" s="151" t="str">
        <f t="shared" si="7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07:04:13"},{"id":29,"name":"Sharepoint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168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Message%20ID',Summary),filters:!(),index:'emp_*',interval:auto,query:"&amp;"(query_string:(analyze_wildcard:!t,query:'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-09-24T23:24:39-0600',mode:absolute,to:'2017-09-25T02:04:13-0600'))&amp;_a=(columns:!('Message%20ID',Summary),filters:!(),index:'emp_*',interval:auto,query:(query_string:(analyze_wildcard:!t,query:'%22rtdc.l.rtdc.4063%22')),sort:!(Time.ISO8601,asc))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810</v>
      </c>
      <c r="B155" s="7">
        <v>4046</v>
      </c>
      <c r="C155" s="21" t="s">
        <v>196</v>
      </c>
      <c r="D155" s="21" t="s">
        <v>373</v>
      </c>
      <c r="E155" s="13">
        <v>43002.997488425928</v>
      </c>
      <c r="F155" s="13">
        <v>43003.000150462962</v>
      </c>
      <c r="G155" s="7">
        <v>53</v>
      </c>
      <c r="H155" s="21" t="s">
        <v>425</v>
      </c>
      <c r="I155" s="13">
        <v>43003.024756944447</v>
      </c>
      <c r="J155" s="7">
        <v>0</v>
      </c>
      <c r="K155" s="89" t="str">
        <f t="shared" si="59"/>
        <v>4045/4046</v>
      </c>
      <c r="L155" s="185" t="str">
        <f>VLOOKUP(A155,'Trips&amp;Operators'!$C$1:$G$99911,5,FALSE)</f>
        <v>ELBAUM MIKE</v>
      </c>
      <c r="M155" s="6">
        <f t="shared" si="60"/>
        <v>2.4606481485534459E-2</v>
      </c>
      <c r="N155" s="7">
        <f t="shared" si="68"/>
        <v>35.433333339169621</v>
      </c>
      <c r="O155" s="7"/>
      <c r="P155" s="7"/>
      <c r="Q155" s="22"/>
      <c r="R155" s="174"/>
      <c r="S155" s="221">
        <f t="shared" si="69"/>
        <v>1</v>
      </c>
      <c r="T155" s="174" t="str">
        <f t="shared" si="61"/>
        <v>NorthBound</v>
      </c>
      <c r="U155" s="198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16" t="str">
        <f t="shared" si="62"/>
        <v>https://d0f6bd738d7f1b3e5a7ca70fe4ff75f0.us-east-1.aws.found.io/app/kibana#/discover/Steve-Slow-Train-Analysis-(2080s-and-2083s)?_g=(refreshInterval:(display:Off,pause:!f,section:0,value:0),time:(from:'2017-09-24T22:56:23-0600',mode:absolute,to:'2017-09-25T01:35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5" s="204" t="str">
        <f>IF(AA155&lt;VLOOKUP(AG155,Variables!$AC$3:$AD$8,2,FALSE),"Y","N")</f>
        <v>N</v>
      </c>
      <c r="X155" s="204">
        <f t="shared" si="57"/>
        <v>1</v>
      </c>
      <c r="Y155" s="204">
        <f t="shared" si="55"/>
        <v>4.4200000000000003E-2</v>
      </c>
      <c r="Z155" s="204">
        <f t="shared" si="56"/>
        <v>23.3325</v>
      </c>
      <c r="AA155" s="204">
        <f t="shared" si="63"/>
        <v>23.2883</v>
      </c>
      <c r="AB155" s="54" t="e">
        <f>VLOOKUP(A155,Enforcements!$C$7:$K$11,8,0)</f>
        <v>#N/A</v>
      </c>
      <c r="AC155" s="51" t="e">
        <f>VLOOKUP(A155,Enforcements!$C$7:$E$11,3,0)</f>
        <v>#N/A</v>
      </c>
      <c r="AD155" s="179">
        <f t="shared" si="64"/>
        <v>241</v>
      </c>
      <c r="AE155" s="77" t="str">
        <f t="shared" si="65"/>
        <v>aws s3 cp s3://rtdc.mdm.uploadarchive.raw/RTDC4046/ "%USERPROFILE%\AppData\Local\Temp\OnboardLogs"\RTDC4046\2017-09-25 --exclude "*" --recursive --include "*20170925*" &amp; "%USERPROFILE%\Documents\GitHub\mrs-test-scripts\Headless Mode &amp; Sideloading\WalkAndUnGZ.bat" "%USERPROFILE%\AppData\Local\Temp\OnboardLogs"\RTDC4046\2017-09-25 &amp; aws s3 cp s3://rtdc.mdm.uploadarchive.raw/RTDC4046/ "%USERPROFILE%\AppData\Local\Temp\OnboardLogs"\RTDC4046\2017-09-26 --exclude "*" --recursive --include "*20170926*" &amp; "%USERPROFILE%\Documents\GitHub\mrs-test-scripts\Headless Mode &amp; Sideloading\WalkAndUnGZ.bat" "%USERPROFILE%\AppData\Local\Temp\OnboardLogs"\RTDC4046\2017-09-26</v>
      </c>
      <c r="AF155" s="74" t="str">
        <f t="shared" si="66"/>
        <v>"C:\Program Files (x86)\AstroGrep\AstroGrep.exe" /e /r /s /spath="%USERPROFILE%\AppData\Local\Temp\OnboardLogs" /stypes="app*4046*20170925*" /stext=" 06:.+((SYSTEM_STATE.+slice.+state.+changed )|(ment ac)|(multiple cpu faults)|(system.+state.+changed )|(\[timeout)|(PRM\|1\|D)|(kpr)|(kdp)|(train st.+moving)|(\|lc)|(penalty))"</v>
      </c>
      <c r="AG155" s="182" t="str">
        <f t="shared" si="67"/>
        <v>EC</v>
      </c>
      <c r="AH155" s="78" t="str">
        <f t="shared" si="70"/>
        <v>"%USERPROFILE%\Documents\GitHub\eaglep3\Utilities\RefineRTDCRunTimes.py" --tripid 241-24 --locoid 4046 --swversion DE.1.0.9.0 --startMP 204:442 --initTime 2017-09-24T23:56:23 --startdatetime 2017-09-25T00:00:13 --delay 53 --endMP 204:233325 --enddatetime 2017-09-25T00:35:39 --enforcementcount 0 &gt;&gt;c:\users\stu\Documents\GitHub\eaglep3-reporting\EC\2017-09-24-refined-times.txt</v>
      </c>
      <c r="AI155" s="96" t="str">
        <f t="shared" si="71"/>
        <v>echo {"issue":{"subject":"","project_id":79,"tracker_id":40,"status_id":1,"priority_id":2,"assigned_to_id":338,"start_date":"2017-09-25","description":"","custom_fields":[{"id":1,"name":"Subdivision","value":"EC"},{"id":4,"name":"Milepost","value":"23.3325"},{"id":17,"name":"Train ID","value":"241-24"},{"id":16,"name":"Locomotive ID","value":"4046"},{"id":130,"name":"Impact","value":""},{"id":150,"name":"Time of Event (Mountain Time)","value":"00:35:39"},{"id":151,"name":"Denver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5" s="47"/>
      <c r="AL155" s="47"/>
      <c r="AM155" s="142" t="str">
        <f t="shared" si="72"/>
        <v>start /low /b %USERPROFILE%\Documents\GitHub\eaglep3\Utilities\DownloadLogsFromS3.py --loco 4046 --day 2017-09-25</v>
      </c>
      <c r="AN155" s="151" t="str">
        <f t="shared" si="7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06:35:39"},{"id":29,"name":"Sharepoint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168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Message%20ID',Summary),filters:!(),index:'emp_*',interval:auto,query:"&amp;"(query_string:(analyze_wildcard:!t,query:'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-09-24T22:56:23-0600',mode:absolute,to:'2017-09-25T01:35:39-0600'))&amp;_a=(columns:!('Message%20ID',Summary),filters:!(),index:'emp_*',interval:auto,query:(query_string:(analyze_wildcard:!t,query:'%22rtdc.l.rtdc.4046%22')),sort:!(Time.ISO8601,asc))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2" t="s">
        <v>813</v>
      </c>
      <c r="B156" s="7">
        <v>4045</v>
      </c>
      <c r="C156" s="21" t="s">
        <v>196</v>
      </c>
      <c r="D156" s="21" t="s">
        <v>436</v>
      </c>
      <c r="E156" s="13">
        <v>43003.026365740741</v>
      </c>
      <c r="F156" s="13">
        <v>43003.039733796293</v>
      </c>
      <c r="G156" s="7">
        <v>54</v>
      </c>
      <c r="H156" s="21" t="s">
        <v>943</v>
      </c>
      <c r="I156" s="13">
        <v>43003.064965277779</v>
      </c>
      <c r="J156" s="7">
        <v>0</v>
      </c>
      <c r="K156" s="89" t="str">
        <f t="shared" si="59"/>
        <v>4045/4046</v>
      </c>
      <c r="L156" s="185" t="str">
        <f>VLOOKUP(A156,'Trips&amp;Operators'!$C$1:$G$99911,5,FALSE)</f>
        <v>ELBAUM MIKE</v>
      </c>
      <c r="M156" s="6">
        <f t="shared" si="60"/>
        <v>2.5231481486116536E-2</v>
      </c>
      <c r="N156" s="7">
        <f t="shared" si="68"/>
        <v>36.333333340007812</v>
      </c>
      <c r="O156" s="7"/>
      <c r="P156" s="7"/>
      <c r="Q156" s="22"/>
      <c r="R156" s="174"/>
      <c r="S156" s="221">
        <f t="shared" si="69"/>
        <v>1</v>
      </c>
      <c r="T156" s="174" t="str">
        <f t="shared" si="61"/>
        <v>Southbound</v>
      </c>
      <c r="U156" s="198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16" t="str">
        <f t="shared" si="62"/>
        <v>https://d0f6bd738d7f1b3e5a7ca70fe4ff75f0.us-east-1.aws.found.io/app/kibana#/discover/Steve-Slow-Train-Analysis-(2080s-and-2083s)?_g=(refreshInterval:(display:Off,pause:!f,section:0,value:0),time:(from:'2017-09-24T23:37:58-0600',mode:absolute,to:'2017-09-25T02:33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6" s="204" t="str">
        <f>IF(AA156&lt;VLOOKUP(AG156,Variables!$AC$3:$AD$8,2,FALSE),"Y","N")</f>
        <v>N</v>
      </c>
      <c r="X156" s="204">
        <f t="shared" si="57"/>
        <v>1</v>
      </c>
      <c r="Y156" s="204">
        <f t="shared" si="55"/>
        <v>23.302299999999999</v>
      </c>
      <c r="Z156" s="204">
        <f t="shared" si="56"/>
        <v>2.0500000000000001E-2</v>
      </c>
      <c r="AA156" s="204">
        <f t="shared" si="63"/>
        <v>23.2818</v>
      </c>
      <c r="AB156" s="54" t="e">
        <f>VLOOKUP(A156,Enforcements!$C$7:$K$11,8,0)</f>
        <v>#N/A</v>
      </c>
      <c r="AC156" s="51" t="e">
        <f>VLOOKUP(A156,Enforcements!$C$7:$E$11,3,0)</f>
        <v>#N/A</v>
      </c>
      <c r="AD156" s="179">
        <f t="shared" si="64"/>
        <v>242</v>
      </c>
      <c r="AE156" s="77" t="str">
        <f t="shared" si="65"/>
        <v>aws s3 cp s3://rtdc.mdm.uploadarchive.raw/RTDC4045/ "%USERPROFILE%\AppData\Local\Temp\OnboardLogs"\RTDC4045\2017-09-25 --exclude "*" --recursive --include "*20170925*" &amp; "%USERPROFILE%\Documents\GitHub\mrs-test-scripts\Headless Mode &amp; Sideloading\WalkAndUnGZ.bat" "%USERPROFILE%\AppData\Local\Temp\OnboardLogs"\RTDC4045\2017-09-25 &amp; aws s3 cp s3://rtdc.mdm.uploadarchive.raw/RTDC4045/ "%USERPROFILE%\AppData\Local\Temp\OnboardLogs"\RTDC4045\2017-09-26 --exclude "*" --recursive --include "*20170926*" &amp; "%USERPROFILE%\Documents\GitHub\mrs-test-scripts\Headless Mode &amp; Sideloading\WalkAndUnGZ.bat" "%USERPROFILE%\AppData\Local\Temp\OnboardLogs"\RTDC4045\2017-09-26</v>
      </c>
      <c r="AF156" s="74" t="str">
        <f t="shared" si="66"/>
        <v>"C:\Program Files (x86)\AstroGrep\AstroGrep.exe" /e /r /s /spath="%USERPROFILE%\AppData\Local\Temp\OnboardLogs" /stypes="app*4045*20170925*" /stext=" 07:.+((SYSTEM_STATE.+slice.+state.+changed )|(ment ac)|(multiple cpu faults)|(system.+state.+changed )|(\[timeout)|(PRM\|1\|D)|(kpr)|(kdp)|(train st.+moving)|(\|lc)|(penalty))"</v>
      </c>
      <c r="AG156" s="182" t="str">
        <f t="shared" si="67"/>
        <v>EC</v>
      </c>
      <c r="AH156" s="78" t="str">
        <f t="shared" si="70"/>
        <v>"%USERPROFILE%\Documents\GitHub\eaglep3\Utilities\RefineRTDCRunTimes.py" --tripid 242-24 --locoid 4045 --swversion DE.1.0.9.0 --startMP 204:233023 --initTime 2017-09-25T00:37:58 --startdatetime 2017-09-25T00:57:13 --delay 54 --endMP 204:205 --enddatetime 2017-09-25T01:33:33 --enforcementcount 0 &gt;&gt;c:\users\stu\Documents\GitHub\eaglep3-reporting\EC\2017-09-24-refined-times.txt</v>
      </c>
      <c r="AI156" s="96" t="str">
        <f t="shared" si="71"/>
        <v>echo {"issue":{"subject":"","project_id":79,"tracker_id":40,"status_id":1,"priority_id":2,"assigned_to_id":338,"start_date":"2017-09-25","description":"","custom_fields":[{"id":1,"name":"Subdivision","value":"EC"},{"id":4,"name":"Milepost","value":"0.0205"},{"id":17,"name":"Train ID","value":"242-24"},{"id":16,"name":"Locomotive ID","value":"4045"},{"id":130,"name":"Impact","value":""},{"id":150,"name":"Time of Event (Mountain Time)","value":"01:33:33"},{"id":151,"name":"Denver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6" s="47"/>
      <c r="AL156" s="47"/>
      <c r="AM156" s="142" t="str">
        <f t="shared" si="72"/>
        <v>start /low /b %USERPROFILE%\Documents\GitHub\eaglep3\Utilities\DownloadLogsFromS3.py --loco 4045 --day 2017-09-25</v>
      </c>
      <c r="AN156" s="151" t="str">
        <f t="shared" si="7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07:33:33"},{"id":29,"name":"Sharepoint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168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Message%20ID',Summary),filters:!(),index:'emp_*',interval:auto,query:"&amp;"(query_string:(analyze_wildcard:!t,query:'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-09-24T23:37:58-0600',mode:absolute,to:'2017-09-25T02:33:33-0600'))&amp;_a=(columns:!('Message%20ID',Summary),filters:!(),index:'emp_*',interval:auto,query:(query_string:(analyze_wildcard:!t,query:'%22rtdc.l.rtdc.4045%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0" customFormat="1" x14ac:dyDescent="0.25">
      <c r="A157" s="32" t="s">
        <v>811</v>
      </c>
      <c r="B157" s="7">
        <v>4060</v>
      </c>
      <c r="C157" s="21" t="s">
        <v>196</v>
      </c>
      <c r="D157" s="21" t="s">
        <v>392</v>
      </c>
      <c r="E157" s="13">
        <v>43003.009629629632</v>
      </c>
      <c r="F157" s="13">
        <v>43003.02103009259</v>
      </c>
      <c r="G157" s="7">
        <v>98</v>
      </c>
      <c r="H157" s="21" t="s">
        <v>944</v>
      </c>
      <c r="I157" s="13">
        <v>43003.045185185183</v>
      </c>
      <c r="J157" s="7">
        <v>0</v>
      </c>
      <c r="K157" s="89" t="str">
        <f t="shared" si="59"/>
        <v>4059/4060</v>
      </c>
      <c r="L157" s="185" t="str">
        <f>VLOOKUP(A157,'Trips&amp;Operators'!$C$1:$G$99911,5,FALSE)</f>
        <v>DUNCAN SHEILA</v>
      </c>
      <c r="M157" s="6">
        <f t="shared" si="60"/>
        <v>2.4155092592991423E-2</v>
      </c>
      <c r="N157" s="7">
        <f t="shared" si="68"/>
        <v>34.783333333907649</v>
      </c>
      <c r="O157" s="7"/>
      <c r="P157" s="7"/>
      <c r="Q157" s="22"/>
      <c r="R157" s="174"/>
      <c r="S157" s="221">
        <f t="shared" si="69"/>
        <v>1</v>
      </c>
      <c r="T157" s="174" t="str">
        <f t="shared" si="61"/>
        <v>NorthBound</v>
      </c>
      <c r="U157" s="198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16" t="str">
        <f t="shared" si="62"/>
        <v>https://d0f6bd738d7f1b3e5a7ca70fe4ff75f0.us-east-1.aws.found.io/app/kibana#/discover/Steve-Slow-Train-Analysis-(2080s-and-2083s)?_g=(refreshInterval:(display:Off,pause:!f,section:0,value:0),time:(from:'2017-09-24T23:13:52-0600',mode:absolute,to:'2017-09-25T02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157" s="204" t="str">
        <f>IF(AA157&lt;VLOOKUP(AG157,Variables!$AC$3:$AD$8,2,FALSE),"Y","N")</f>
        <v>N</v>
      </c>
      <c r="X157" s="204">
        <f t="shared" si="57"/>
        <v>1</v>
      </c>
      <c r="Y157" s="204">
        <f t="shared" si="55"/>
        <v>4.5100000000000001E-2</v>
      </c>
      <c r="Z157" s="204">
        <f t="shared" si="56"/>
        <v>23.334700000000002</v>
      </c>
      <c r="AA157" s="204">
        <f t="shared" si="63"/>
        <v>23.2896</v>
      </c>
      <c r="AB157" s="54" t="e">
        <f>VLOOKUP(A157,Enforcements!$C$7:$K$11,8,0)</f>
        <v>#N/A</v>
      </c>
      <c r="AC157" s="51" t="e">
        <f>VLOOKUP(A157,Enforcements!$C$7:$E$11,3,0)</f>
        <v>#N/A</v>
      </c>
      <c r="AD157" s="179">
        <f t="shared" si="64"/>
        <v>243</v>
      </c>
      <c r="AE157" s="77" t="str">
        <f t="shared" si="65"/>
        <v>aws s3 cp s3://rtdc.mdm.uploadarchive.raw/RTDC4060/ "%USERPROFILE%\AppData\Local\Temp\OnboardLogs"\RTDC4060\2017-09-25 --exclude "*" --recursive --include "*20170925*" &amp; "%USERPROFILE%\Documents\GitHub\mrs-test-scripts\Headless Mode &amp; Sideloading\WalkAndUnGZ.bat" "%USERPROFILE%\AppData\Local\Temp\OnboardLogs"\RTDC4060\2017-09-25 &amp; aws s3 cp s3://rtdc.mdm.uploadarchive.raw/RTDC4060/ "%USERPROFILE%\AppData\Local\Temp\OnboardLogs"\RTDC4060\2017-09-26 --exclude "*" --recursive --include "*20170926*" &amp; "%USERPROFILE%\Documents\GitHub\mrs-test-scripts\Headless Mode &amp; Sideloading\WalkAndUnGZ.bat" "%USERPROFILE%\AppData\Local\Temp\OnboardLogs"\RTDC4060\2017-09-26</v>
      </c>
      <c r="AF157" s="74" t="str">
        <f t="shared" si="66"/>
        <v>"C:\Program Files (x86)\AstroGrep\AstroGrep.exe" /e /r /s /spath="%USERPROFILE%\AppData\Local\Temp\OnboardLogs" /stypes="app*4060*20170925*" /stext=" 07:.+((SYSTEM_STATE.+slice.+state.+changed )|(ment ac)|(multiple cpu faults)|(system.+state.+changed )|(\[timeout)|(PRM\|1\|D)|(kpr)|(kdp)|(train st.+moving)|(\|lc)|(penalty))"</v>
      </c>
      <c r="AG157" s="182" t="str">
        <f t="shared" si="67"/>
        <v>EC</v>
      </c>
      <c r="AH157" s="78" t="str">
        <f t="shared" si="70"/>
        <v>"%USERPROFILE%\Documents\GitHub\eaglep3\Utilities\RefineRTDCRunTimes.py" --tripid 243-24 --locoid 4060 --swversion DE.1.0.9.0 --startMP 204:451 --initTime 2017-09-25T00:13:52 --startdatetime 2017-09-25T00:30:17 --delay 98 --endMP 204:233347 --enddatetime 2017-09-25T01:05:04 --enforcementcount 0 &gt;&gt;c:\users\stu\Documents\GitHub\eaglep3-reporting\EC\2017-09-24-refined-times.txt</v>
      </c>
      <c r="AI157" s="96" t="str">
        <f t="shared" si="71"/>
        <v>echo {"issue":{"subject":"","project_id":79,"tracker_id":40,"status_id":1,"priority_id":2,"assigned_to_id":338,"start_date":"2017-09-25","description":"","custom_fields":[{"id":1,"name":"Subdivision","value":"EC"},{"id":4,"name":"Milepost","value":"23.3347"},{"id":17,"name":"Train ID","value":"243-24"},{"id":16,"name":"Locomotive ID","value":"4060"},{"id":130,"name":"Impact","value":""},{"id":150,"name":"Time of Event (Mountain Time)","value":"01:05:04"},{"id":151,"name":"Denver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7" s="47"/>
      <c r="AL157" s="47"/>
      <c r="AM157" s="142" t="str">
        <f t="shared" si="72"/>
        <v>start /low /b %USERPROFILE%\Documents\GitHub\eaglep3\Utilities\DownloadLogsFromS3.py --loco 4060 --day 2017-09-25</v>
      </c>
      <c r="AN157" s="151" t="str">
        <f t="shared" si="7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07:05:04"},{"id":29,"name":"Sharepoint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168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Message%20ID',Summary),filters:!(),index:'emp_*',interval:auto,query:"&amp;"(query_string:(analyze_wildcard:!t,query:'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-09-24T23:13:52-0600',mode:absolute,to:'2017-09-25T02:05:04-0600'))&amp;_a=(columns:!('Message%20ID',Summary),filters:!(),index:'emp_*',interval:auto,query:(query_string:(analyze_wildcard:!t,query:'%22rtdc.l.rtdc.4060%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815</v>
      </c>
      <c r="B158" s="7">
        <v>4059</v>
      </c>
      <c r="C158" s="21" t="s">
        <v>196</v>
      </c>
      <c r="D158" s="21" t="s">
        <v>941</v>
      </c>
      <c r="E158" s="13">
        <v>43003.046458333331</v>
      </c>
      <c r="F158" s="13">
        <v>43003.060740740744</v>
      </c>
      <c r="G158" s="7">
        <v>57</v>
      </c>
      <c r="H158" s="21" t="s">
        <v>339</v>
      </c>
      <c r="I158" s="13">
        <v>43003.086273148147</v>
      </c>
      <c r="J158" s="7">
        <v>0</v>
      </c>
      <c r="K158" s="89" t="str">
        <f t="shared" si="59"/>
        <v>4059/4060</v>
      </c>
      <c r="L158" s="185" t="str">
        <f>VLOOKUP(A158,'Trips&amp;Operators'!$C$1:$G$99911,5,FALSE)</f>
        <v>DUNCAN SHEILA</v>
      </c>
      <c r="M158" s="6">
        <f t="shared" si="60"/>
        <v>2.5532407402351964E-2</v>
      </c>
      <c r="N158" s="7">
        <f t="shared" si="68"/>
        <v>36.766666659386829</v>
      </c>
      <c r="O158" s="7"/>
      <c r="P158" s="7"/>
      <c r="Q158" s="22"/>
      <c r="R158" s="174"/>
      <c r="S158" s="221">
        <f t="shared" si="69"/>
        <v>1</v>
      </c>
      <c r="T158" s="174" t="str">
        <f t="shared" si="61"/>
        <v>Southbound</v>
      </c>
      <c r="U158" s="198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216" t="str">
        <f t="shared" si="62"/>
        <v>https://d0f6bd738d7f1b3e5a7ca70fe4ff75f0.us-east-1.aws.found.io/app/kibana#/discover/Steve-Slow-Train-Analysis-(2080s-and-2083s)?_g=(refreshInterval:(display:Off,pause:!f,section:0,value:0),time:(from:'2017-09-25T00:06:54-0600',mode:absolute,to:'2017-09-25T03:04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158" s="204" t="str">
        <f>IF(AA158&lt;VLOOKUP(AG158,Variables!$AC$3:$AD$8,2,FALSE),"Y","N")</f>
        <v>N</v>
      </c>
      <c r="X158" s="204">
        <f t="shared" si="57"/>
        <v>1</v>
      </c>
      <c r="Y158" s="204">
        <f t="shared" si="55"/>
        <v>23.303000000000001</v>
      </c>
      <c r="Z158" s="204">
        <f t="shared" si="56"/>
        <v>1.43E-2</v>
      </c>
      <c r="AA158" s="204">
        <f t="shared" si="63"/>
        <v>23.288700000000002</v>
      </c>
      <c r="AB158" s="54" t="e">
        <f>VLOOKUP(A158,Enforcements!$C$7:$K$11,8,0)</f>
        <v>#N/A</v>
      </c>
      <c r="AC158" s="51" t="e">
        <f>VLOOKUP(A158,Enforcements!$C$7:$E$11,3,0)</f>
        <v>#N/A</v>
      </c>
      <c r="AD158" s="179">
        <f t="shared" si="64"/>
        <v>244</v>
      </c>
      <c r="AE158" s="77" t="str">
        <f t="shared" si="65"/>
        <v>aws s3 cp s3://rtdc.mdm.uploadarchive.raw/RTDC4059/ "%USERPROFILE%\AppData\Local\Temp\OnboardLogs"\RTDC4059\2017-09-25 --exclude "*" --recursive --include "*20170925*" &amp; "%USERPROFILE%\Documents\GitHub\mrs-test-scripts\Headless Mode &amp; Sideloading\WalkAndUnGZ.bat" "%USERPROFILE%\AppData\Local\Temp\OnboardLogs"\RTDC4059\2017-09-25 &amp; aws s3 cp s3://rtdc.mdm.uploadarchive.raw/RTDC4059/ "%USERPROFILE%\AppData\Local\Temp\OnboardLogs"\RTDC4059\2017-09-26 --exclude "*" --recursive --include "*20170926*" &amp; "%USERPROFILE%\Documents\GitHub\mrs-test-scripts\Headless Mode &amp; Sideloading\WalkAndUnGZ.bat" "%USERPROFILE%\AppData\Local\Temp\OnboardLogs"\RTDC4059\2017-09-26</v>
      </c>
      <c r="AF158" s="74" t="str">
        <f t="shared" si="66"/>
        <v>"C:\Program Files (x86)\AstroGrep\AstroGrep.exe" /e /r /s /spath="%USERPROFILE%\AppData\Local\Temp\OnboardLogs" /stypes="app*4059*20170925*" /stext=" 08:.+((SYSTEM_STATE.+slice.+state.+changed )|(ment ac)|(multiple cpu faults)|(system.+state.+changed )|(\[timeout)|(PRM\|1\|D)|(kpr)|(kdp)|(train st.+moving)|(\|lc)|(penalty))"</v>
      </c>
      <c r="AG158" s="182" t="str">
        <f t="shared" si="67"/>
        <v>EC</v>
      </c>
      <c r="AH158" s="78" t="str">
        <f t="shared" si="70"/>
        <v>"%USERPROFILE%\Documents\GitHub\eaglep3\Utilities\RefineRTDCRunTimes.py" --tripid 244-24 --locoid 4059 --swversion DE.1.0.9.0 --startMP 204:233030 --initTime 2017-09-25T01:06:54 --startdatetime 2017-09-25T01:27:28 --delay 57 --endMP 204:143 --enddatetime 2017-09-25T02:04:14 --enforcementcount 0 &gt;&gt;c:\users\stu\Documents\GitHub\eaglep3-reporting\EC\2017-09-24-refined-times.txt</v>
      </c>
      <c r="AI158" s="96" t="str">
        <f t="shared" si="71"/>
        <v>echo {"issue":{"subject":"","project_id":79,"tracker_id":40,"status_id":1,"priority_id":2,"assigned_to_id":338,"start_date":"2017-09-25","description":"","custom_fields":[{"id":1,"name":"Subdivision","value":"EC"},{"id":4,"name":"Milepost","value":"0.0143"},{"id":17,"name":"Train ID","value":"244-24"},{"id":16,"name":"Locomotive ID","value":"4059"},{"id":130,"name":"Impact","value":""},{"id":150,"name":"Time of Event (Mountain Time)","value":"02:04:14"},{"id":151,"name":"Denver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8" s="47"/>
      <c r="AL158" s="47"/>
      <c r="AM158" s="142" t="str">
        <f t="shared" si="72"/>
        <v>start /low /b %USERPROFILE%\Documents\GitHub\eaglep3\Utilities\DownloadLogsFromS3.py --loco 4059 --day 2017-09-25</v>
      </c>
      <c r="AN158" s="151" t="str">
        <f t="shared" si="7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08:04:14"},{"id":29,"name":"Sharepoint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168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Message%20ID',Summary),filters:!(),index:'emp_*',interval:auto,query:"&amp;"(query_string:(analyze_wildcard:!t,query:'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-09-25T00:06:54-0600',mode:absolute,to:'2017-09-25T03:04:14-0600'))&amp;_a=(columns:!('Message%20ID',Summary),filters:!(),index:'emp_*',interval:auto,query:(query_string:(analyze_wildcard:!t,query:'%22rtdc.l.rtdc.4059%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2" t="s">
        <v>582</v>
      </c>
      <c r="B159" s="7">
        <v>4049</v>
      </c>
      <c r="C159" s="21" t="s">
        <v>196</v>
      </c>
      <c r="D159" s="21" t="s">
        <v>864</v>
      </c>
      <c r="E159" s="13">
        <v>43002.231412037036</v>
      </c>
      <c r="F159" s="13">
        <v>43002.23673611111</v>
      </c>
      <c r="G159" s="7">
        <v>362</v>
      </c>
      <c r="H159" s="21" t="s">
        <v>865</v>
      </c>
      <c r="I159" s="13">
        <v>43002.248217592591</v>
      </c>
      <c r="J159" s="7">
        <v>0</v>
      </c>
      <c r="K159" s="89" t="str">
        <f t="shared" si="59"/>
        <v>4049/4050</v>
      </c>
      <c r="L159" s="185" t="str">
        <f>VLOOKUP(A159,'Trips&amp;Operators'!$C$1:$G$99911,5,FALSE)</f>
        <v>MACDONALD THOMAS</v>
      </c>
      <c r="M159" s="6">
        <f t="shared" si="60"/>
        <v>1.1481481480586808E-2</v>
      </c>
      <c r="N159" s="7">
        <f t="shared" si="68"/>
        <v>16.533333332045004</v>
      </c>
      <c r="O159" s="7"/>
      <c r="P159" s="7"/>
      <c r="Q159" s="22"/>
      <c r="R159" s="174"/>
      <c r="S159" s="221">
        <f t="shared" si="69"/>
        <v>1</v>
      </c>
      <c r="T159" s="174" t="str">
        <f t="shared" si="61"/>
        <v>Southbound</v>
      </c>
      <c r="U159" s="198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216" t="str">
        <f t="shared" si="62"/>
        <v>https://d0f6bd738d7f1b3e5a7ca70fe4ff75f0.us-east-1.aws.found.io/app/kibana#/discover/Steve-Slow-Train-Analysis-(2080s-and-2083s)?_g=(refreshInterval:(display:Off,pause:!f,section:0,value:0),time:(from:'2017-09-24T04:33:14-0600',mode:absolute,to:'2017-09-24T06:57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59" s="204" t="str">
        <f>IF(AA159&lt;VLOOKUP(AG159,Variables!$AC$3:$AD$8,2,FALSE),"Y","N")</f>
        <v>N</v>
      </c>
      <c r="X159" s="204">
        <f t="shared" si="57"/>
        <v>1556</v>
      </c>
      <c r="Y159" s="204">
        <f t="shared" si="55"/>
        <v>5.8604000000000003</v>
      </c>
      <c r="Z159" s="204">
        <f t="shared" si="56"/>
        <v>6.5000000000000002E-2</v>
      </c>
      <c r="AA159" s="204">
        <f t="shared" si="63"/>
        <v>5.7953999999999999</v>
      </c>
      <c r="AB159" s="54" t="e">
        <f>VLOOKUP(A159,Enforcements!$C$7:$K$11,8,0)</f>
        <v>#N/A</v>
      </c>
      <c r="AC159" s="51" t="e">
        <f>VLOOKUP(A159,Enforcements!$C$7:$E$11,3,0)</f>
        <v>#N/A</v>
      </c>
      <c r="AD159" s="179">
        <f t="shared" si="64"/>
        <v>1800</v>
      </c>
      <c r="AE159" s="77" t="str">
        <f t="shared" si="65"/>
        <v>aws s3 cp s3://rtdc.mdm.uploadarchive.raw/RTDC4049/ "%USERPROFILE%\AppData\Local\Temp\OnboardLogs"\RTDC4049\2017-09-24 --exclude "*" --recursive --include "*20170924*" &amp; "%USERPROFILE%\Documents\GitHub\mrs-test-scripts\Headless Mode &amp; Sideloading\WalkAndUnGZ.bat" "%USERPROFILE%\AppData\Local\Temp\OnboardLogs"\RTDC4049\2017-09-24 &amp; 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</v>
      </c>
      <c r="AF159" s="74" t="str">
        <f t="shared" si="66"/>
        <v>"C:\Program Files (x86)\AstroGrep\AstroGrep.exe" /e /r /s /spath="%USERPROFILE%\AppData\Local\Temp\OnboardLogs" /stypes="app*4049*20170924*" /stext=" 11:.+((SYSTEM_STATE.+slice.+state.+changed )|(ment ac)|(multiple cpu faults)|(system.+state.+changed )|(\[timeout)|(PRM\|1\|D)|(kpr)|(kdp)|(train st.+moving)|(\|lc)|(penalty))"</v>
      </c>
      <c r="AG159" s="182" t="str">
        <f t="shared" si="67"/>
        <v>NW</v>
      </c>
      <c r="AH159" s="78" t="str">
        <f t="shared" si="70"/>
        <v>"%USERPROFILE%\Documents\GitHub\eaglep3\Utilities\RefineRTDCRunTimes.py" --tripid 1800-24 --locoid 4049 --swversion DE.1.0.9.0 --startMP 300:58604 --initTime 2017-09-24T05:33:14 --startdatetime 2017-09-24T05:40:54 --delay 362 --endMP 204:650 --enddatetime 2017-09-24T05:57:26 --enforcementcount 0 &gt;&gt;c:\users\stu\Documents\GitHub\eaglep3-reporting\EC\2017-09-24-refined-times.txt</v>
      </c>
      <c r="AI159" s="96" t="str">
        <f t="shared" si="71"/>
        <v>echo {"issue":{"subject":"","project_id":79,"tracker_id":40,"status_id":1,"priority_id":2,"assigned_to_id":338,"start_date":"2017-09-24","description":"","custom_fields":[{"id":1,"name":"Subdivision","value":"NW"},{"id":4,"name":"Milepost","value":"0.065"},{"id":17,"name":"Train ID","value":"1800-24"},{"id":16,"name":"Locomotive ID","value":"4049"},{"id":130,"name":"Impact","value":""},{"id":150,"name":"Time of Event (Mountain Time)","value":"05:57:26"},{"id":151,"name":"Denver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59" s="47"/>
      <c r="AL159" s="47"/>
      <c r="AM159" s="142" t="str">
        <f t="shared" si="72"/>
        <v>start /low /b %USERPROFILE%\Documents\GitHub\eaglep3\Utilities\DownloadLogsFromS3.py --loco 4049 --day 2017-09-24</v>
      </c>
      <c r="AN159" s="151" t="str">
        <f t="shared" si="73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11:57:26"},{"id":29,"name":"Sharepoint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168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Message%20ID',Summary),filters:!(),index:'emp_*',interval:auto,query:"&amp;"(query_string:(analyze_wildcard:!t,query:'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-09-24T04:33:14-0600',mode:absolute,to:'2017-09-24T06:57:26-0600'))&amp;_a=(columns:!('Message%20ID',Summary),filters:!(),index:'emp_*',interval:auto,query:(query_string:(analyze_wildcard:!t,query:'%22rtdc.l.rtdc.4049%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2" t="s">
        <v>654</v>
      </c>
      <c r="B160" s="7">
        <v>4050</v>
      </c>
      <c r="C160" s="21" t="s">
        <v>196</v>
      </c>
      <c r="D160" s="21" t="s">
        <v>866</v>
      </c>
      <c r="E160" s="13">
        <v>43002.253993055558</v>
      </c>
      <c r="F160" s="13">
        <v>43002.256481481483</v>
      </c>
      <c r="G160" s="7">
        <v>44</v>
      </c>
      <c r="H160" s="21" t="s">
        <v>867</v>
      </c>
      <c r="I160" s="13">
        <v>43002.265370370369</v>
      </c>
      <c r="J160" s="7">
        <v>0</v>
      </c>
      <c r="K160" s="89" t="str">
        <f t="shared" si="59"/>
        <v>4049/4050</v>
      </c>
      <c r="L160" s="185" t="str">
        <f>VLOOKUP(A160,'Trips&amp;Operators'!$C$1:$G$99911,5,FALSE)</f>
        <v>MACDONALD THOMAS</v>
      </c>
      <c r="M160" s="6">
        <f t="shared" si="60"/>
        <v>8.8888888858491555E-3</v>
      </c>
      <c r="N160" s="7">
        <f t="shared" si="68"/>
        <v>12.799999995622784</v>
      </c>
      <c r="O160" s="7"/>
      <c r="P160" s="7"/>
      <c r="Q160" s="22"/>
      <c r="R160" s="174"/>
      <c r="S160" s="221">
        <f t="shared" si="69"/>
        <v>1</v>
      </c>
      <c r="T160" s="174" t="str">
        <f t="shared" si="61"/>
        <v>NorthBound</v>
      </c>
      <c r="U160" s="198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16" t="str">
        <f t="shared" si="62"/>
        <v>https://d0f6bd738d7f1b3e5a7ca70fe4ff75f0.us-east-1.aws.found.io/app/kibana#/discover/Steve-Slow-Train-Analysis-(2080s-and-2083s)?_g=(refreshInterval:(display:Off,pause:!f,section:0,value:0),time:(from:'2017-09-24T05:05:45-0600',mode:absolute,to:'2017-09-24T07:22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0" s="204" t="str">
        <f>IF(AA160&lt;VLOOKUP(AG160,Variables!$AC$3:$AD$8,2,FALSE),"Y","N")</f>
        <v>N</v>
      </c>
      <c r="X160" s="204">
        <f t="shared" si="57"/>
        <v>1</v>
      </c>
      <c r="Y160" s="204">
        <f t="shared" si="55"/>
        <v>9.6199999999999994E-2</v>
      </c>
      <c r="Z160" s="204">
        <f t="shared" si="56"/>
        <v>5.8901000000000003</v>
      </c>
      <c r="AA160" s="204">
        <f t="shared" si="63"/>
        <v>5.7939000000000007</v>
      </c>
      <c r="AB160" s="54" t="e">
        <f>VLOOKUP(A160,Enforcements!$C$7:$K$11,8,0)</f>
        <v>#N/A</v>
      </c>
      <c r="AC160" s="51" t="e">
        <f>VLOOKUP(A160,Enforcements!$C$7:$E$11,3,0)</f>
        <v>#N/A</v>
      </c>
      <c r="AD160" s="179">
        <f t="shared" si="64"/>
        <v>1801</v>
      </c>
      <c r="AE160" s="77" t="str">
        <f t="shared" si="65"/>
        <v>aws s3 cp s3://rtdc.mdm.uploadarchive.raw/RTDC4050/ "%USERPROFILE%\AppData\Local\Temp\OnboardLogs"\RTDC4050\2017-09-24 --exclude "*" --recursive --include "*20170924*" &amp; "%USERPROFILE%\Documents\GitHub\mrs-test-scripts\Headless Mode &amp; Sideloading\WalkAndUnGZ.bat" "%USERPROFILE%\AppData\Local\Temp\OnboardLogs"\RTDC4050\2017-09-24 &amp; 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</v>
      </c>
      <c r="AF160" s="74" t="str">
        <f t="shared" si="66"/>
        <v>"C:\Program Files (x86)\AstroGrep\AstroGrep.exe" /e /r /s /spath="%USERPROFILE%\AppData\Local\Temp\OnboardLogs" /stypes="app*4050*20170924*" /stext=" 12:.+((SYSTEM_STATE.+slice.+state.+changed )|(ment ac)|(multiple cpu faults)|(system.+state.+changed )|(\[timeout)|(PRM\|1\|D)|(kpr)|(kdp)|(train st.+moving)|(\|lc)|(penalty))"</v>
      </c>
      <c r="AG160" s="182" t="str">
        <f t="shared" si="67"/>
        <v>NW</v>
      </c>
      <c r="AH160" s="78" t="str">
        <f t="shared" si="70"/>
        <v>"%USERPROFILE%\Documents\GitHub\eaglep3\Utilities\RefineRTDCRunTimes.py" --tripid 1801-24 --locoid 4050 --swversion DE.1.0.9.0 --startMP 204:962 --initTime 2017-09-24T06:05:45 --startdatetime 2017-09-24T06:09:20 --delay 44 --endMP 300:58901 --enddatetime 2017-09-24T06:22:08 --enforcementcount 0 &gt;&gt;c:\users\stu\Documents\GitHub\eaglep3-reporting\EC\2017-09-24-refined-times.txt</v>
      </c>
      <c r="AI160" s="96" t="str">
        <f t="shared" si="71"/>
        <v>echo {"issue":{"subject":"","project_id":79,"tracker_id":40,"status_id":1,"priority_id":2,"assigned_to_id":338,"start_date":"2017-09-24","description":"","custom_fields":[{"id":1,"name":"Subdivision","value":"NW"},{"id":4,"name":"Milepost","value":"5.8901"},{"id":17,"name":"Train ID","value":"1801-24"},{"id":16,"name":"Locomotive ID","value":"4050"},{"id":130,"name":"Impact","value":""},{"id":150,"name":"Time of Event (Mountain Time)","value":"06:22:08"},{"id":151,"name":"Denver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0" s="47"/>
      <c r="AL160" s="47"/>
      <c r="AM160" s="142" t="str">
        <f t="shared" si="72"/>
        <v>start /low /b %USERPROFILE%\Documents\GitHub\eaglep3\Utilities\DownloadLogsFromS3.py --loco 4050 --day 2017-09-24</v>
      </c>
      <c r="AN160" s="151" t="str">
        <f t="shared" si="73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12:22:08"},{"id":29,"name":"Sharepoint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168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Message%20ID',Summary),filters:!(),index:'emp_*',interval:auto,query:"&amp;"(query_string:(analyze_wildcard:!t,query:'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-09-24T05:05:45-0600',mode:absolute,to:'2017-09-24T07:22:08-0600'))&amp;_a=(columns:!('Message%20ID',Summary),filters:!(),index:'emp_*',interval:auto,query:(query_string:(analyze_wildcard:!t,query:'%22rtdc.l.rtdc.4050%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2" t="s">
        <v>658</v>
      </c>
      <c r="B161" s="7">
        <v>4049</v>
      </c>
      <c r="C161" s="21" t="s">
        <v>196</v>
      </c>
      <c r="D161" s="21" t="s">
        <v>868</v>
      </c>
      <c r="E161" s="13">
        <v>43002.266018518516</v>
      </c>
      <c r="F161" s="13">
        <v>43002.277858796297</v>
      </c>
      <c r="G161" s="7">
        <v>954</v>
      </c>
      <c r="H161" s="21" t="s">
        <v>869</v>
      </c>
      <c r="I161" s="13">
        <v>43002.288634259261</v>
      </c>
      <c r="J161" s="7">
        <v>0</v>
      </c>
      <c r="K161" s="89" t="str">
        <f t="shared" si="59"/>
        <v>4049/4050</v>
      </c>
      <c r="L161" s="185" t="str">
        <f>VLOOKUP(A161,'Trips&amp;Operators'!$C$1:$G$99911,5,FALSE)</f>
        <v>MACDONALD THOMAS</v>
      </c>
      <c r="M161" s="6">
        <f t="shared" si="60"/>
        <v>1.0775462964375038E-2</v>
      </c>
      <c r="N161" s="7">
        <f t="shared" si="68"/>
        <v>15.516666668700054</v>
      </c>
      <c r="O161" s="7"/>
      <c r="P161" s="7"/>
      <c r="Q161" s="22"/>
      <c r="R161" s="174"/>
      <c r="S161" s="221">
        <f t="shared" si="69"/>
        <v>1</v>
      </c>
      <c r="T161" s="174" t="str">
        <f t="shared" si="61"/>
        <v>Southbound</v>
      </c>
      <c r="U161" s="198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16" t="str">
        <f t="shared" si="62"/>
        <v>https://d0f6bd738d7f1b3e5a7ca70fe4ff75f0.us-east-1.aws.found.io/app/kibana#/discover/Steve-Slow-Train-Analysis-(2080s-and-2083s)?_g=(refreshInterval:(display:Off,pause:!f,section:0,value:0),time:(from:'2017-09-24T05:23:04-0600',mode:absolute,to:'2017-09-24T07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1" s="204" t="str">
        <f>IF(AA161&lt;VLOOKUP(AG161,Variables!$AC$3:$AD$8,2,FALSE),"Y","N")</f>
        <v>N</v>
      </c>
      <c r="X161" s="204">
        <f t="shared" si="57"/>
        <v>1</v>
      </c>
      <c r="Y161" s="204">
        <f t="shared" si="55"/>
        <v>5.8596000000000004</v>
      </c>
      <c r="Z161" s="204">
        <f t="shared" si="56"/>
        <v>7.1199999999999999E-2</v>
      </c>
      <c r="AA161" s="204">
        <f t="shared" si="63"/>
        <v>5.7884000000000002</v>
      </c>
      <c r="AB161" s="54" t="e">
        <f>VLOOKUP(A161,Enforcements!$C$7:$K$11,8,0)</f>
        <v>#N/A</v>
      </c>
      <c r="AC161" s="51" t="e">
        <f>VLOOKUP(A161,Enforcements!$C$7:$E$11,3,0)</f>
        <v>#N/A</v>
      </c>
      <c r="AD161" s="179">
        <f t="shared" si="64"/>
        <v>1802</v>
      </c>
      <c r="AE161" s="77" t="str">
        <f t="shared" si="65"/>
        <v>aws s3 cp s3://rtdc.mdm.uploadarchive.raw/RTDC4049/ "%USERPROFILE%\AppData\Local\Temp\OnboardLogs"\RTDC4049\2017-09-24 --exclude "*" --recursive --include "*20170924*" &amp; "%USERPROFILE%\Documents\GitHub\mrs-test-scripts\Headless Mode &amp; Sideloading\WalkAndUnGZ.bat" "%USERPROFILE%\AppData\Local\Temp\OnboardLogs"\RTDC4049\2017-09-24 &amp; 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</v>
      </c>
      <c r="AF161" s="74" t="str">
        <f t="shared" si="66"/>
        <v>"C:\Program Files (x86)\AstroGrep\AstroGrep.exe" /e /r /s /spath="%USERPROFILE%\AppData\Local\Temp\OnboardLogs" /stypes="app*4049*20170924*" /stext=" 12:.+((SYSTEM_STATE.+slice.+state.+changed )|(ment ac)|(multiple cpu faults)|(system.+state.+changed )|(\[timeout)|(PRM\|1\|D)|(kpr)|(kdp)|(train st.+moving)|(\|lc)|(penalty))"</v>
      </c>
      <c r="AG161" s="182" t="str">
        <f t="shared" si="67"/>
        <v>NW</v>
      </c>
      <c r="AH161" s="78" t="str">
        <f t="shared" si="70"/>
        <v>"%USERPROFILE%\Documents\GitHub\eaglep3\Utilities\RefineRTDCRunTimes.py" --tripid 1802-24 --locoid 4049 --swversion DE.1.0.9.0 --startMP 300:58596 --initTime 2017-09-24T06:23:04 --startdatetime 2017-09-24T06:40:07 --delay 954 --endMP 204:712 --enddatetime 2017-09-24T06:55:38 --enforcementcount 0 &gt;&gt;c:\users\stu\Documents\GitHub\eaglep3-reporting\EC\2017-09-24-refined-times.txt</v>
      </c>
      <c r="AI161" s="96" t="str">
        <f t="shared" si="71"/>
        <v>echo {"issue":{"subject":"","project_id":79,"tracker_id":40,"status_id":1,"priority_id":2,"assigned_to_id":338,"start_date":"2017-09-24","description":"","custom_fields":[{"id":1,"name":"Subdivision","value":"NW"},{"id":4,"name":"Milepost","value":"0.0712"},{"id":17,"name":"Train ID","value":"1802-24"},{"id":16,"name":"Locomotive ID","value":"4049"},{"id":130,"name":"Impact","value":""},{"id":150,"name":"Time of Event (Mountain Time)","value":"06:55:38"},{"id":151,"name":"Denver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1" s="47"/>
      <c r="AL161" s="47"/>
      <c r="AM161" s="142" t="str">
        <f t="shared" si="72"/>
        <v>start /low /b %USERPROFILE%\Documents\GitHub\eaglep3\Utilities\DownloadLogsFromS3.py --loco 4049 --day 2017-09-24</v>
      </c>
      <c r="AN161" s="151" t="str">
        <f t="shared" si="73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12:55:38"},{"id":29,"name":"Sharepoint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168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Message%20ID',Summary),filters:!(),index:'emp_*',interval:auto,query:"&amp;"(query_string:(analyze_wildcard:!t,query:'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-09-24T05:23:04-0600',mode:absolute,to:'2017-09-24T07:55:38-0600'))&amp;_a=(columns:!('Message%20ID',Summary),filters:!(),index:'emp_*',interval:auto,query:(query_string:(analyze_wildcard:!t,query:'%22rtdc.l.rtdc.4049%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2" t="s">
        <v>662</v>
      </c>
      <c r="B162" s="7">
        <v>4050</v>
      </c>
      <c r="C162" s="21" t="s">
        <v>196</v>
      </c>
      <c r="D162" s="21" t="s">
        <v>452</v>
      </c>
      <c r="E162" s="13">
        <v>43002.295856481483</v>
      </c>
      <c r="F162" s="13">
        <v>43002.298402777778</v>
      </c>
      <c r="G162" s="7">
        <v>58</v>
      </c>
      <c r="H162" s="21" t="s">
        <v>870</v>
      </c>
      <c r="I162" s="13">
        <v>43002.307523148149</v>
      </c>
      <c r="J162" s="7">
        <v>0</v>
      </c>
      <c r="K162" s="89" t="str">
        <f t="shared" si="59"/>
        <v>4049/4050</v>
      </c>
      <c r="L162" s="185" t="str">
        <f>VLOOKUP(A162,'Trips&amp;Operators'!$C$1:$G$99911,5,FALSE)</f>
        <v>MACDONALD THOMAS</v>
      </c>
      <c r="M162" s="6">
        <f t="shared" si="60"/>
        <v>9.1203703705104999E-3</v>
      </c>
      <c r="N162" s="7">
        <f t="shared" si="68"/>
        <v>13.13333333353512</v>
      </c>
      <c r="O162" s="7"/>
      <c r="P162" s="7"/>
      <c r="Q162" s="22"/>
      <c r="R162" s="174"/>
      <c r="S162" s="221">
        <f t="shared" si="69"/>
        <v>1</v>
      </c>
      <c r="T162" s="174" t="str">
        <f t="shared" si="61"/>
        <v>NorthBound</v>
      </c>
      <c r="U162" s="198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16" t="str">
        <f t="shared" si="62"/>
        <v>https://d0f6bd738d7f1b3e5a7ca70fe4ff75f0.us-east-1.aws.found.io/app/kibana#/discover/Steve-Slow-Train-Analysis-(2080s-and-2083s)?_g=(refreshInterval:(display:Off,pause:!f,section:0,value:0),time:(from:'2017-09-24T06:06:02-0600',mode:absolute,to:'2017-09-24T08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2" s="204" t="str">
        <f>IF(AA162&lt;VLOOKUP(AG162,Variables!$AC$3:$AD$8,2,FALSE),"Y","N")</f>
        <v>N</v>
      </c>
      <c r="X162" s="204">
        <f t="shared" si="57"/>
        <v>1</v>
      </c>
      <c r="Y162" s="204">
        <f t="shared" si="55"/>
        <v>0.1002</v>
      </c>
      <c r="Z162" s="204">
        <f t="shared" si="56"/>
        <v>5.8916000000000004</v>
      </c>
      <c r="AA162" s="204">
        <f t="shared" si="63"/>
        <v>5.7914000000000003</v>
      </c>
      <c r="AB162" s="54" t="e">
        <f>VLOOKUP(A162,Enforcements!$C$7:$K$11,8,0)</f>
        <v>#N/A</v>
      </c>
      <c r="AC162" s="51" t="e">
        <f>VLOOKUP(A162,Enforcements!$C$7:$E$11,3,0)</f>
        <v>#N/A</v>
      </c>
      <c r="AD162" s="179">
        <f t="shared" si="64"/>
        <v>1803</v>
      </c>
      <c r="AE162" s="77" t="str">
        <f t="shared" si="65"/>
        <v>aws s3 cp s3://rtdc.mdm.uploadarchive.raw/RTDC4050/ "%USERPROFILE%\AppData\Local\Temp\OnboardLogs"\RTDC4050\2017-09-24 --exclude "*" --recursive --include "*20170924*" &amp; "%USERPROFILE%\Documents\GitHub\mrs-test-scripts\Headless Mode &amp; Sideloading\WalkAndUnGZ.bat" "%USERPROFILE%\AppData\Local\Temp\OnboardLogs"\RTDC4050\2017-09-24 &amp; 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</v>
      </c>
      <c r="AF162" s="74" t="str">
        <f t="shared" si="66"/>
        <v>"C:\Program Files (x86)\AstroGrep\AstroGrep.exe" /e /r /s /spath="%USERPROFILE%\AppData\Local\Temp\OnboardLogs" /stypes="app*4050*20170924*" /stext=" 13:.+((SYSTEM_STATE.+slice.+state.+changed )|(ment ac)|(multiple cpu faults)|(system.+state.+changed )|(\[timeout)|(PRM\|1\|D)|(kpr)|(kdp)|(train st.+moving)|(\|lc)|(penalty))"</v>
      </c>
      <c r="AG162" s="182" t="str">
        <f t="shared" si="67"/>
        <v>NW</v>
      </c>
      <c r="AH162" s="78" t="str">
        <f t="shared" si="70"/>
        <v>"%USERPROFILE%\Documents\GitHub\eaglep3\Utilities\RefineRTDCRunTimes.py" --tripid 1803-24 --locoid 4050 --swversion DE.1.0.9.0 --startMP 204:1002 --initTime 2017-09-24T07:06:02 --startdatetime 2017-09-24T07:09:42 --delay 58 --endMP 300:58916 --enddatetime 2017-09-24T07:22:50 --enforcementcount 0 &gt;&gt;c:\users\stu\Documents\GitHub\eaglep3-reporting\EC\2017-09-24-refined-times.txt</v>
      </c>
      <c r="AI162" s="96" t="str">
        <f t="shared" si="71"/>
        <v>echo {"issue":{"subject":"","project_id":79,"tracker_id":40,"status_id":1,"priority_id":2,"assigned_to_id":338,"start_date":"2017-09-24","description":"","custom_fields":[{"id":1,"name":"Subdivision","value":"NW"},{"id":4,"name":"Milepost","value":"5.8916"},{"id":17,"name":"Train ID","value":"1803-24"},{"id":16,"name":"Locomotive ID","value":"4050"},{"id":130,"name":"Impact","value":""},{"id":150,"name":"Time of Event (Mountain Time)","value":"07:22:50"},{"id":151,"name":"Denver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2" s="47"/>
      <c r="AL162" s="47"/>
      <c r="AM162" s="142" t="str">
        <f t="shared" si="72"/>
        <v>start /low /b %USERPROFILE%\Documents\GitHub\eaglep3\Utilities\DownloadLogsFromS3.py --loco 4050 --day 2017-09-24</v>
      </c>
      <c r="AN162" s="151" t="str">
        <f t="shared" si="73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13:22:50"},{"id":29,"name":"Sharepoint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168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Message%20ID',Summary),filters:!(),index:'emp_*',interval:auto,query:"&amp;"(query_string:(analyze_wildcard:!t,query:'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-09-24T06:06:02-0600',mode:absolute,to:'2017-09-24T08:22:50-0600'))&amp;_a=(columns:!('Message%20ID',Summary),filters:!(),index:'emp_*',interval:auto,query:(query_string:(analyze_wildcard:!t,query:'%22rtdc.l.rtdc.4050%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2" t="s">
        <v>585</v>
      </c>
      <c r="B163" s="7">
        <v>4049</v>
      </c>
      <c r="C163" s="21" t="s">
        <v>196</v>
      </c>
      <c r="D163" s="21" t="s">
        <v>871</v>
      </c>
      <c r="E163" s="13">
        <v>43002.318414351852</v>
      </c>
      <c r="F163" s="13">
        <v>43002.32271990741</v>
      </c>
      <c r="G163" s="7">
        <v>71</v>
      </c>
      <c r="H163" s="21" t="s">
        <v>872</v>
      </c>
      <c r="I163" s="13">
        <v>43002.332974537036</v>
      </c>
      <c r="J163" s="7">
        <v>0</v>
      </c>
      <c r="K163" s="89" t="str">
        <f t="shared" si="59"/>
        <v>4049/4050</v>
      </c>
      <c r="L163" s="185" t="str">
        <f>VLOOKUP(A163,'Trips&amp;Operators'!$C$1:$G$99911,5,FALSE)</f>
        <v>MACDONALD THOMAS</v>
      </c>
      <c r="M163" s="6">
        <f t="shared" si="60"/>
        <v>1.0254629625706002E-2</v>
      </c>
      <c r="N163" s="7"/>
      <c r="O163" s="7"/>
      <c r="P163" s="7"/>
      <c r="Q163" s="22"/>
      <c r="R163" s="174"/>
      <c r="S163" s="221"/>
      <c r="T163" s="174" t="str">
        <f t="shared" si="61"/>
        <v>Southbound</v>
      </c>
      <c r="U163" s="198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0</v>
      </c>
      <c r="V163" s="216" t="str">
        <f t="shared" si="62"/>
        <v>https://d0f6bd738d7f1b3e5a7ca70fe4ff75f0.us-east-1.aws.found.io/app/kibana#/discover/Steve-Slow-Train-Analysis-(2080s-and-2083s)?_g=(refreshInterval:(display:Off,pause:!f,section:0,value:0),time:(from:'2017-09-24T06:38:31-0600',mode:absolute,to:'2017-09-24T08:59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3" s="204" t="str">
        <f>IF(AA163&lt;VLOOKUP(AG163,Variables!$AC$3:$AD$8,2,FALSE),"Y","N")</f>
        <v>Y</v>
      </c>
      <c r="X163" s="204">
        <f t="shared" si="57"/>
        <v>1</v>
      </c>
      <c r="Y163" s="204">
        <f t="shared" si="55"/>
        <v>5.8608000000000002</v>
      </c>
      <c r="Z163" s="204">
        <f t="shared" si="56"/>
        <v>5.8392999999999997</v>
      </c>
      <c r="AA163" s="204">
        <f t="shared" si="63"/>
        <v>2.1500000000000519E-2</v>
      </c>
      <c r="AB163" s="54" t="e">
        <f>VLOOKUP(A163,Enforcements!$C$7:$K$11,8,0)</f>
        <v>#N/A</v>
      </c>
      <c r="AC163" s="51" t="e">
        <f>VLOOKUP(A163,Enforcements!$C$7:$E$11,3,0)</f>
        <v>#N/A</v>
      </c>
      <c r="AD163" s="179">
        <f t="shared" si="64"/>
        <v>1804</v>
      </c>
      <c r="AE163" s="77" t="str">
        <f t="shared" si="65"/>
        <v>aws s3 cp s3://rtdc.mdm.uploadarchive.raw/RTDC4049/ "%USERPROFILE%\AppData\Local\Temp\OnboardLogs"\RTDC4049\2017-09-24 --exclude "*" --recursive --include "*20170924*" &amp; "%USERPROFILE%\Documents\GitHub\mrs-test-scripts\Headless Mode &amp; Sideloading\WalkAndUnGZ.bat" "%USERPROFILE%\AppData\Local\Temp\OnboardLogs"\RTDC4049\2017-09-24 &amp; 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</v>
      </c>
      <c r="AF163" s="74" t="str">
        <f t="shared" si="66"/>
        <v>"C:\Program Files (x86)\AstroGrep\AstroGrep.exe" /e /r /s /spath="%USERPROFILE%\AppData\Local\Temp\OnboardLogs" /stypes="app*4049*20170924*" /stext=" 13:.+((SYSTEM_STATE.+slice.+state.+changed )|(ment ac)|(multiple cpu faults)|(system.+state.+changed )|(\[timeout)|(PRM\|1\|D)|(kpr)|(kdp)|(train st.+moving)|(\|lc)|(penalty))"</v>
      </c>
      <c r="AG163" s="182" t="str">
        <f t="shared" si="67"/>
        <v>NW</v>
      </c>
      <c r="AH163" s="78" t="str">
        <f t="shared" si="70"/>
        <v>"%USERPROFILE%\Documents\GitHub\eaglep3\Utilities\RefineRTDCRunTimes.py" --tripid 1804-24 --locoid 4049 --swversion DE.1.0.9.0 --startMP 300:58608 --initTime 2017-09-24T07:38:31 --startdatetime 2017-09-24T07:44:43 --delay 71 --endMP 300:58393 --enddatetime 2017-09-24T07:59:29 --enforcementcount 0 &gt;&gt;c:\users\stu\Documents\GitHub\eaglep3-reporting\EC\2017-09-24-refined-times.txt</v>
      </c>
      <c r="AI163" s="96" t="str">
        <f t="shared" si="71"/>
        <v>echo {"issue":{"subject":"","project_id":79,"tracker_id":40,"status_id":1,"priority_id":2,"assigned_to_id":338,"start_date":"2017-09-24","description":"","custom_fields":[{"id":1,"name":"Subdivision","value":"NW"},{"id":4,"name":"Milepost","value":"5.8393"},{"id":17,"name":"Train ID","value":"1804-24"},{"id":16,"name":"Locomotive ID","value":"4049"},{"id":130,"name":"Impact","value":""},{"id":150,"name":"Time of Event (Mountain Time)","value":"07:59:29"},{"id":151,"name":"Denver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3" s="47"/>
      <c r="AL163" s="47"/>
      <c r="AM163" s="142" t="str">
        <f t="shared" si="72"/>
        <v>start /low /b %USERPROFILE%\Documents\GitHub\eaglep3\Utilities\DownloadLogsFromS3.py --loco 4049 --day 2017-09-24</v>
      </c>
      <c r="AN163" s="151" t="str">
        <f t="shared" si="73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13:59:29"},{"id":29,"name":"Sharepoint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168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Message%20ID',Summary),filters:!(),index:'emp_*',interval:auto,query:"&amp;"(query_string:(analyze_wildcard:!t,query:'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-09-24T06:38:31-0600',mode:absolute,to:'2017-09-24T08:59:29-0600'))&amp;_a=(columns:!('Message%20ID',Summary),filters:!(),index:'emp_*',interval:auto,query:(query_string:(analyze_wildcard:!t,query:'%22rtdc.l.rtdc.4049%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25">
      <c r="A164" s="32" t="s">
        <v>585</v>
      </c>
      <c r="B164" s="7">
        <v>4049</v>
      </c>
      <c r="C164" s="21" t="s">
        <v>196</v>
      </c>
      <c r="D164" s="21" t="s">
        <v>873</v>
      </c>
      <c r="E164" s="13">
        <v>43002.321747685186</v>
      </c>
      <c r="F164" s="13">
        <v>43002.32271990741</v>
      </c>
      <c r="G164" s="7">
        <v>51</v>
      </c>
      <c r="H164" s="21" t="s">
        <v>874</v>
      </c>
      <c r="I164" s="13">
        <v>43002.332974537036</v>
      </c>
      <c r="J164" s="7">
        <v>0</v>
      </c>
      <c r="K164" s="89" t="str">
        <f t="shared" si="59"/>
        <v>4049/4050</v>
      </c>
      <c r="L164" s="185" t="str">
        <f>VLOOKUP(A164,'Trips&amp;Operators'!$C$1:$G$99911,5,FALSE)</f>
        <v>MACDONALD THOMAS</v>
      </c>
      <c r="M164" s="6">
        <f t="shared" si="60"/>
        <v>1.0254629625706002E-2</v>
      </c>
      <c r="N164" s="7">
        <f t="shared" ref="N164:N188" si="74">24*60*SUM($M164:$M164)</f>
        <v>14.766666661016643</v>
      </c>
      <c r="O164" s="7"/>
      <c r="P164" s="7"/>
      <c r="Q164" s="22"/>
      <c r="R164" s="174"/>
      <c r="S164" s="221">
        <f t="shared" ref="S164:S188" si="75">1/IF(AG164="EC",12,1)*SUM(U164:U164)</f>
        <v>1</v>
      </c>
      <c r="T164" s="174" t="str">
        <f t="shared" si="61"/>
        <v>Southbound</v>
      </c>
      <c r="U164" s="198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16" t="str">
        <f t="shared" si="62"/>
        <v>https://d0f6bd738d7f1b3e5a7ca70fe4ff75f0.us-east-1.aws.found.io/app/kibana#/discover/Steve-Slow-Train-Analysis-(2080s-and-2083s)?_g=(refreshInterval:(display:Off,pause:!f,section:0,value:0),time:(from:'2017-09-24T06:43:19-0600',mode:absolute,to:'2017-09-24T08:59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4" s="204" t="str">
        <f>IF(AA164&lt;VLOOKUP(AG164,Variables!$AC$3:$AD$8,2,FALSE),"Y","N")</f>
        <v>N</v>
      </c>
      <c r="X164" s="204">
        <f t="shared" si="57"/>
        <v>0</v>
      </c>
      <c r="Y164" s="204">
        <f t="shared" ref="Y164:Y184" si="76">RIGHT(D164,LEN(D164)-4)/10000</f>
        <v>5.7358000000000002</v>
      </c>
      <c r="Z164" s="204">
        <f t="shared" ref="Z164:Z184" si="77">RIGHT(H164,LEN(H164)-4)/10000</f>
        <v>7.1499999999999994E-2</v>
      </c>
      <c r="AA164" s="204">
        <f t="shared" si="63"/>
        <v>5.6642999999999999</v>
      </c>
      <c r="AB164" s="54" t="e">
        <f>VLOOKUP(A164,Enforcements!$C$7:$K$11,8,0)</f>
        <v>#N/A</v>
      </c>
      <c r="AC164" s="51" t="e">
        <f>VLOOKUP(A164,Enforcements!$C$7:$E$11,3,0)</f>
        <v>#N/A</v>
      </c>
      <c r="AD164" s="179">
        <f t="shared" si="64"/>
        <v>1804</v>
      </c>
      <c r="AE164" s="77" t="str">
        <f t="shared" si="65"/>
        <v>aws s3 cp s3://rtdc.mdm.uploadarchive.raw/RTDC4049/ "%USERPROFILE%\AppData\Local\Temp\OnboardLogs"\RTDC4049\2017-09-24 --exclude "*" --recursive --include "*20170924*" &amp; "%USERPROFILE%\Documents\GitHub\mrs-test-scripts\Headless Mode &amp; Sideloading\WalkAndUnGZ.bat" "%USERPROFILE%\AppData\Local\Temp\OnboardLogs"\RTDC4049\2017-09-24 &amp; 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</v>
      </c>
      <c r="AF164" s="74" t="str">
        <f t="shared" si="66"/>
        <v>"C:\Program Files (x86)\AstroGrep\AstroGrep.exe" /e /r /s /spath="%USERPROFILE%\AppData\Local\Temp\OnboardLogs" /stypes="app*4049*20170924*" /stext=" 13:.+((SYSTEM_STATE.+slice.+state.+changed )|(ment ac)|(multiple cpu faults)|(system.+state.+changed )|(\[timeout)|(PRM\|1\|D)|(kpr)|(kdp)|(train st.+moving)|(\|lc)|(penalty))"</v>
      </c>
      <c r="AG164" s="182" t="str">
        <f t="shared" si="67"/>
        <v>NW</v>
      </c>
      <c r="AH164" s="78" t="str">
        <f t="shared" si="70"/>
        <v>"%USERPROFILE%\Documents\GitHub\eaglep3\Utilities\RefineRTDCRunTimes.py" --tripid 1804-24 --locoid 4049 --swversion DE.1.0.9.0 --startMP 300:57358 --initTime 2017-09-24T07:43:19 --startdatetime 2017-09-24T07:44:43 --delay 51 --endMP 204:715 --enddatetime 2017-09-24T07:59:29 --enforcementcount 0 &gt;&gt;c:\users\stu\Documents\GitHub\eaglep3-reporting\EC\2017-09-24-refined-times.txt</v>
      </c>
      <c r="AI164" s="96" t="str">
        <f t="shared" si="71"/>
        <v>echo {"issue":{"subject":"","project_id":79,"tracker_id":40,"status_id":1,"priority_id":2,"assigned_to_id":338,"start_date":"2017-09-24","description":"","custom_fields":[{"id":1,"name":"Subdivision","value":"NW"},{"id":4,"name":"Milepost","value":"0.0715"},{"id":17,"name":"Train ID","value":"1804-24"},{"id":16,"name":"Locomotive ID","value":"4049"},{"id":130,"name":"Impact","value":""},{"id":150,"name":"Time of Event (Mountain Time)","value":"07:59:29"},{"id":151,"name":"Denver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4" s="47"/>
      <c r="AL164" s="47"/>
      <c r="AM164" s="142" t="str">
        <f t="shared" si="72"/>
        <v>start /low /b %USERPROFILE%\Documents\GitHub\eaglep3\Utilities\DownloadLogsFromS3.py --loco 4049 --day 2017-09-24</v>
      </c>
      <c r="AN164" s="151" t="str">
        <f t="shared" si="73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13:59:29"},{"id":29,"name":"Sharepoint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168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Message%20ID',Summary),filters:!(),index:'emp_*',interval:auto,query:"&amp;"(query_string:(analyze_wildcard:!t,query:'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-09-24T06:43:19-0600',mode:absolute,to:'2017-09-24T08:59:29-0600'))&amp;_a=(columns:!('Message%20ID',Summary),filters:!(),index:'emp_*',interval:auto,query:(query_string:(analyze_wildcard:!t,query:'%22rtdc.l.rtdc.4049%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0" customFormat="1" x14ac:dyDescent="0.25">
      <c r="A165" s="32" t="s">
        <v>672</v>
      </c>
      <c r="B165" s="7">
        <v>4050</v>
      </c>
      <c r="C165" s="21" t="s">
        <v>196</v>
      </c>
      <c r="D165" s="21" t="s">
        <v>875</v>
      </c>
      <c r="E165" s="13">
        <v>43002.337708333333</v>
      </c>
      <c r="F165" s="13">
        <v>43002.339872685188</v>
      </c>
      <c r="G165" s="7">
        <v>56</v>
      </c>
      <c r="H165" s="21" t="s">
        <v>573</v>
      </c>
      <c r="I165" s="13">
        <v>43002.349374999998</v>
      </c>
      <c r="J165" s="7">
        <v>0</v>
      </c>
      <c r="K165" s="89" t="str">
        <f t="shared" si="59"/>
        <v>4049/4050</v>
      </c>
      <c r="L165" s="185" t="str">
        <f>VLOOKUP(A165,'Trips&amp;Operators'!$C$1:$G$99911,5,FALSE)</f>
        <v>MACDONALD THOMAS</v>
      </c>
      <c r="M165" s="6">
        <f t="shared" si="60"/>
        <v>9.5023148096515797E-3</v>
      </c>
      <c r="N165" s="7">
        <f t="shared" si="74"/>
        <v>13.683333325898275</v>
      </c>
      <c r="O165" s="7"/>
      <c r="P165" s="7"/>
      <c r="Q165" s="22"/>
      <c r="R165" s="174"/>
      <c r="S165" s="221">
        <f t="shared" si="75"/>
        <v>1</v>
      </c>
      <c r="T165" s="174" t="str">
        <f t="shared" si="61"/>
        <v>NorthBound</v>
      </c>
      <c r="U165" s="198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16" t="str">
        <f t="shared" si="62"/>
        <v>https://d0f6bd738d7f1b3e5a7ca70fe4ff75f0.us-east-1.aws.found.io/app/kibana#/discover/Steve-Slow-Train-Analysis-(2080s-and-2083s)?_g=(refreshInterval:(display:Off,pause:!f,section:0,value:0),time:(from:'2017-09-24T07:06:18-0600',mode:absolute,to:'2017-09-24T09:23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5" s="204" t="str">
        <f>IF(AA165&lt;VLOOKUP(AG165,Variables!$AC$3:$AD$8,2,FALSE),"Y","N")</f>
        <v>N</v>
      </c>
      <c r="X165" s="204">
        <f t="shared" ref="X165:X198" si="78">VALUE(LEFT(AD165,4))-VALUE(LEFT(AD164,4))</f>
        <v>1</v>
      </c>
      <c r="Y165" s="204">
        <f t="shared" si="76"/>
        <v>0.1004</v>
      </c>
      <c r="Z165" s="204">
        <f t="shared" si="77"/>
        <v>5.8924000000000003</v>
      </c>
      <c r="AA165" s="204">
        <f t="shared" si="63"/>
        <v>5.7920000000000007</v>
      </c>
      <c r="AB165" s="54" t="e">
        <f>VLOOKUP(A165,Enforcements!$C$7:$K$11,8,0)</f>
        <v>#N/A</v>
      </c>
      <c r="AC165" s="51" t="e">
        <f>VLOOKUP(A165,Enforcements!$C$7:$E$11,3,0)</f>
        <v>#N/A</v>
      </c>
      <c r="AD165" s="179">
        <f t="shared" si="64"/>
        <v>1805</v>
      </c>
      <c r="AE165" s="77" t="str">
        <f t="shared" si="65"/>
        <v>aws s3 cp s3://rtdc.mdm.uploadarchive.raw/RTDC4050/ "%USERPROFILE%\AppData\Local\Temp\OnboardLogs"\RTDC4050\2017-09-24 --exclude "*" --recursive --include "*20170924*" &amp; "%USERPROFILE%\Documents\GitHub\mrs-test-scripts\Headless Mode &amp; Sideloading\WalkAndUnGZ.bat" "%USERPROFILE%\AppData\Local\Temp\OnboardLogs"\RTDC4050\2017-09-24 &amp; 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</v>
      </c>
      <c r="AF165" s="74" t="str">
        <f t="shared" si="66"/>
        <v>"C:\Program Files (x86)\AstroGrep\AstroGrep.exe" /e /r /s /spath="%USERPROFILE%\AppData\Local\Temp\OnboardLogs" /stypes="app*4050*20170924*" /stext=" 14:.+((SYSTEM_STATE.+slice.+state.+changed )|(ment ac)|(multiple cpu faults)|(system.+state.+changed )|(\[timeout)|(PRM\|1\|D)|(kpr)|(kdp)|(train st.+moving)|(\|lc)|(penalty))"</v>
      </c>
      <c r="AG165" s="182" t="str">
        <f t="shared" si="67"/>
        <v>NW</v>
      </c>
      <c r="AH165" s="78" t="str">
        <f t="shared" si="70"/>
        <v>"%USERPROFILE%\Documents\GitHub\eaglep3\Utilities\RefineRTDCRunTimes.py" --tripid 1805-24 --locoid 4050 --swversion DE.1.0.9.0 --startMP 204:1004 --initTime 2017-09-24T08:06:18 --startdatetime 2017-09-24T08:09:25 --delay 56 --endMP 300:58924 --enddatetime 2017-09-24T08:23:06 --enforcementcount 0 &gt;&gt;c:\users\stu\Documents\GitHub\eaglep3-reporting\EC\2017-09-24-refined-times.txt</v>
      </c>
      <c r="AI165" s="96" t="str">
        <f t="shared" si="71"/>
        <v>echo {"issue":{"subject":"","project_id":79,"tracker_id":40,"status_id":1,"priority_id":2,"assigned_to_id":338,"start_date":"2017-09-24","description":"","custom_fields":[{"id":1,"name":"Subdivision","value":"NW"},{"id":4,"name":"Milepost","value":"5.8924"},{"id":17,"name":"Train ID","value":"1805-24"},{"id":16,"name":"Locomotive ID","value":"4050"},{"id":130,"name":"Impact","value":""},{"id":150,"name":"Time of Event (Mountain Time)","value":"08:23:06"},{"id":151,"name":"Denver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5" s="47"/>
      <c r="AL165" s="47"/>
      <c r="AM165" s="142" t="str">
        <f t="shared" si="72"/>
        <v>start /low /b %USERPROFILE%\Documents\GitHub\eaglep3\Utilities\DownloadLogsFromS3.py --loco 4050 --day 2017-09-24</v>
      </c>
      <c r="AN165" s="151" t="str">
        <f t="shared" si="73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14:23:06"},{"id":29,"name":"Sharepoint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168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Message%20ID',Summary),filters:!(),index:'emp_*',interval:auto,query:"&amp;"(query_string:(analyze_wildcard:!t,query:'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-09-24T07:06:18-0600',mode:absolute,to:'2017-09-24T09:23:06-0600'))&amp;_a=(columns:!('Message%20ID',Summary),filters:!(),index:'emp_*',interval:auto,query:(query_string:(analyze_wildcard:!t,query:'%22rtdc.l.rtdc.4050%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0" customFormat="1" x14ac:dyDescent="0.25">
      <c r="A166" s="32" t="s">
        <v>586</v>
      </c>
      <c r="B166" s="7">
        <v>4049</v>
      </c>
      <c r="C166" s="21" t="s">
        <v>196</v>
      </c>
      <c r="D166" s="21" t="s">
        <v>876</v>
      </c>
      <c r="E166" s="13">
        <v>43002.350046296298</v>
      </c>
      <c r="F166" s="13">
        <v>43002.360358796293</v>
      </c>
      <c r="G166" s="7">
        <v>846</v>
      </c>
      <c r="H166" s="21" t="s">
        <v>869</v>
      </c>
      <c r="I166" s="13">
        <v>43002.372002314813</v>
      </c>
      <c r="J166" s="7">
        <v>0</v>
      </c>
      <c r="K166" s="89" t="str">
        <f t="shared" si="59"/>
        <v>4049/4050</v>
      </c>
      <c r="L166" s="185" t="str">
        <f>VLOOKUP(A166,'Trips&amp;Operators'!$C$1:$G$99911,5,FALSE)</f>
        <v>MACDONALD THOMAS</v>
      </c>
      <c r="M166" s="6">
        <f t="shared" si="60"/>
        <v>1.1643518519122154E-2</v>
      </c>
      <c r="N166" s="7">
        <f t="shared" si="74"/>
        <v>16.766666667535901</v>
      </c>
      <c r="O166" s="7"/>
      <c r="P166" s="7"/>
      <c r="Q166" s="22"/>
      <c r="R166" s="174"/>
      <c r="S166" s="221">
        <f t="shared" si="75"/>
        <v>1</v>
      </c>
      <c r="T166" s="174" t="str">
        <f t="shared" si="61"/>
        <v>Southbound</v>
      </c>
      <c r="U166" s="198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16" t="str">
        <f t="shared" si="62"/>
        <v>https://d0f6bd738d7f1b3e5a7ca70fe4ff75f0.us-east-1.aws.found.io/app/kibana#/discover/Steve-Slow-Train-Analysis-(2080s-and-2083s)?_g=(refreshInterval:(display:Off,pause:!f,section:0,value:0),time:(from:'2017-09-24T07:24:04-0600',mode:absolute,to:'2017-09-24T09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6" s="204" t="str">
        <f>IF(AA166&lt;VLOOKUP(AG166,Variables!$AC$3:$AD$8,2,FALSE),"Y","N")</f>
        <v>N</v>
      </c>
      <c r="X166" s="204">
        <f t="shared" si="78"/>
        <v>1</v>
      </c>
      <c r="Y166" s="204">
        <f t="shared" si="76"/>
        <v>5.8611000000000004</v>
      </c>
      <c r="Z166" s="204">
        <f t="shared" si="77"/>
        <v>7.1199999999999999E-2</v>
      </c>
      <c r="AA166" s="204">
        <f t="shared" si="63"/>
        <v>5.7899000000000003</v>
      </c>
      <c r="AB166" s="54" t="e">
        <f>VLOOKUP(A166,Enforcements!$C$7:$K$11,8,0)</f>
        <v>#N/A</v>
      </c>
      <c r="AC166" s="51" t="e">
        <f>VLOOKUP(A166,Enforcements!$C$7:$E$11,3,0)</f>
        <v>#N/A</v>
      </c>
      <c r="AD166" s="179">
        <f t="shared" si="64"/>
        <v>1806</v>
      </c>
      <c r="AE166" s="77" t="str">
        <f t="shared" si="65"/>
        <v>aws s3 cp s3://rtdc.mdm.uploadarchive.raw/RTDC4049/ "%USERPROFILE%\AppData\Local\Temp\OnboardLogs"\RTDC4049\2017-09-24 --exclude "*" --recursive --include "*20170924*" &amp; "%USERPROFILE%\Documents\GitHub\mrs-test-scripts\Headless Mode &amp; Sideloading\WalkAndUnGZ.bat" "%USERPROFILE%\AppData\Local\Temp\OnboardLogs"\RTDC4049\2017-09-24 &amp; 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</v>
      </c>
      <c r="AF166" s="74" t="str">
        <f t="shared" si="66"/>
        <v>"C:\Program Files (x86)\AstroGrep\AstroGrep.exe" /e /r /s /spath="%USERPROFILE%\AppData\Local\Temp\OnboardLogs" /stypes="app*4049*20170924*" /stext=" 14:.+((SYSTEM_STATE.+slice.+state.+changed )|(ment ac)|(multiple cpu faults)|(system.+state.+changed )|(\[timeout)|(PRM\|1\|D)|(kpr)|(kdp)|(train st.+moving)|(\|lc)|(penalty))"</v>
      </c>
      <c r="AG166" s="182" t="str">
        <f t="shared" si="67"/>
        <v>NW</v>
      </c>
      <c r="AH166" s="78" t="str">
        <f t="shared" si="70"/>
        <v>"%USERPROFILE%\Documents\GitHub\eaglep3\Utilities\RefineRTDCRunTimes.py" --tripid 1806-24 --locoid 4049 --swversion DE.1.0.9.0 --startMP 300:58611 --initTime 2017-09-24T08:24:04 --startdatetime 2017-09-24T08:38:55 --delay 846 --endMP 204:712 --enddatetime 2017-09-24T08:55:41 --enforcementcount 0 &gt;&gt;c:\users\stu\Documents\GitHub\eaglep3-reporting\EC\2017-09-24-refined-times.txt</v>
      </c>
      <c r="AI166" s="96" t="str">
        <f t="shared" si="71"/>
        <v>echo {"issue":{"subject":"","project_id":79,"tracker_id":40,"status_id":1,"priority_id":2,"assigned_to_id":338,"start_date":"2017-09-24","description":"","custom_fields":[{"id":1,"name":"Subdivision","value":"NW"},{"id":4,"name":"Milepost","value":"0.0712"},{"id":17,"name":"Train ID","value":"1806-24"},{"id":16,"name":"Locomotive ID","value":"4049"},{"id":130,"name":"Impact","value":""},{"id":150,"name":"Time of Event (Mountain Time)","value":"08:55:41"},{"id":151,"name":"Denver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6" s="47"/>
      <c r="AL166" s="47"/>
      <c r="AM166" s="142" t="str">
        <f t="shared" si="72"/>
        <v>start /low /b %USERPROFILE%\Documents\GitHub\eaglep3\Utilities\DownloadLogsFromS3.py --loco 4049 --day 2017-09-24</v>
      </c>
      <c r="AN166" s="151" t="str">
        <f t="shared" si="73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14:55:41"},{"id":29,"name":"Sharepoint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168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Message%20ID',Summary),filters:!(),index:'emp_*',interval:auto,query:"&amp;"(query_string:(analyze_wildcard:!t,query:'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-09-24T07:24:04-0600',mode:absolute,to:'2017-09-24T09:55:41-0600'))&amp;_a=(columns:!('Message%20ID',Summary),filters:!(),index:'emp_*',interval:auto,query:(query_string:(analyze_wildcard:!t,query:'%22rtdc.l.rtdc.4049%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680</v>
      </c>
      <c r="B167" s="7">
        <v>4050</v>
      </c>
      <c r="C167" s="21" t="s">
        <v>196</v>
      </c>
      <c r="D167" s="21" t="s">
        <v>877</v>
      </c>
      <c r="E167" s="13">
        <v>43002.380277777775</v>
      </c>
      <c r="F167" s="13">
        <v>43002.381458333337</v>
      </c>
      <c r="G167" s="7">
        <v>52</v>
      </c>
      <c r="H167" s="21" t="s">
        <v>878</v>
      </c>
      <c r="I167" s="13">
        <v>43002.390625</v>
      </c>
      <c r="J167" s="7">
        <v>0</v>
      </c>
      <c r="K167" s="89" t="str">
        <f t="shared" si="59"/>
        <v>4049/4050</v>
      </c>
      <c r="L167" s="185" t="str">
        <f>VLOOKUP(A167,'Trips&amp;Operators'!$C$1:$G$99911,5,FALSE)</f>
        <v>MACDONALD THOMAS</v>
      </c>
      <c r="M167" s="6">
        <f t="shared" si="60"/>
        <v>9.1666666630771942E-3</v>
      </c>
      <c r="N167" s="7">
        <f t="shared" si="74"/>
        <v>13.19999999483116</v>
      </c>
      <c r="O167" s="7"/>
      <c r="P167" s="7"/>
      <c r="Q167" s="22"/>
      <c r="R167" s="174"/>
      <c r="S167" s="221">
        <f t="shared" si="75"/>
        <v>1</v>
      </c>
      <c r="T167" s="174" t="str">
        <f t="shared" si="61"/>
        <v>NorthBound</v>
      </c>
      <c r="U167" s="198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16" t="str">
        <f t="shared" si="62"/>
        <v>https://d0f6bd738d7f1b3e5a7ca70fe4ff75f0.us-east-1.aws.found.io/app/kibana#/discover/Steve-Slow-Train-Analysis-(2080s-and-2083s)?_g=(refreshInterval:(display:Off,pause:!f,section:0,value:0),time:(from:'2017-09-24T08:07:36-0600',mode:absolute,to:'2017-09-24T10:22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7" s="204" t="str">
        <f>IF(AA167&lt;VLOOKUP(AG167,Variables!$AC$3:$AD$8,2,FALSE),"Y","N")</f>
        <v>N</v>
      </c>
      <c r="X167" s="204">
        <f t="shared" si="78"/>
        <v>1</v>
      </c>
      <c r="Y167" s="204">
        <f t="shared" si="76"/>
        <v>9.9199999999999997E-2</v>
      </c>
      <c r="Z167" s="204">
        <f t="shared" si="77"/>
        <v>5.8910999999999998</v>
      </c>
      <c r="AA167" s="204">
        <f t="shared" si="63"/>
        <v>5.7919</v>
      </c>
      <c r="AB167" s="54" t="e">
        <f>VLOOKUP(A167,Enforcements!$C$7:$K$11,8,0)</f>
        <v>#N/A</v>
      </c>
      <c r="AC167" s="51" t="e">
        <f>VLOOKUP(A167,Enforcements!$C$7:$E$11,3,0)</f>
        <v>#N/A</v>
      </c>
      <c r="AD167" s="179">
        <f t="shared" si="64"/>
        <v>1807</v>
      </c>
      <c r="AE167" s="77" t="str">
        <f t="shared" si="65"/>
        <v>aws s3 cp s3://rtdc.mdm.uploadarchive.raw/RTDC4050/ "%USERPROFILE%\AppData\Local\Temp\OnboardLogs"\RTDC4050\2017-09-24 --exclude "*" --recursive --include "*20170924*" &amp; "%USERPROFILE%\Documents\GitHub\mrs-test-scripts\Headless Mode &amp; Sideloading\WalkAndUnGZ.bat" "%USERPROFILE%\AppData\Local\Temp\OnboardLogs"\RTDC4050\2017-09-24 &amp; 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</v>
      </c>
      <c r="AF167" s="74" t="str">
        <f t="shared" si="66"/>
        <v>"C:\Program Files (x86)\AstroGrep\AstroGrep.exe" /e /r /s /spath="%USERPROFILE%\AppData\Local\Temp\OnboardLogs" /stypes="app*4050*20170924*" /stext=" 15:.+((SYSTEM_STATE.+slice.+state.+changed )|(ment ac)|(multiple cpu faults)|(system.+state.+changed )|(\[timeout)|(PRM\|1\|D)|(kpr)|(kdp)|(train st.+moving)|(\|lc)|(penalty))"</v>
      </c>
      <c r="AG167" s="182" t="str">
        <f t="shared" si="67"/>
        <v>NW</v>
      </c>
      <c r="AH167" s="78" t="str">
        <f t="shared" si="70"/>
        <v>"%USERPROFILE%\Documents\GitHub\eaglep3\Utilities\RefineRTDCRunTimes.py" --tripid 1807-24 --locoid 4050 --swversion DE.1.0.9.0 --startMP 204:992 --initTime 2017-09-24T09:07:36 --startdatetime 2017-09-24T09:09:18 --delay 52 --endMP 300:58911 --enddatetime 2017-09-24T09:22:30 --enforcementcount 0 &gt;&gt;c:\users\stu\Documents\GitHub\eaglep3-reporting\EC\2017-09-24-refined-times.txt</v>
      </c>
      <c r="AI167" s="96" t="str">
        <f t="shared" si="71"/>
        <v>echo {"issue":{"subject":"","project_id":79,"tracker_id":40,"status_id":1,"priority_id":2,"assigned_to_id":338,"start_date":"2017-09-24","description":"","custom_fields":[{"id":1,"name":"Subdivision","value":"NW"},{"id":4,"name":"Milepost","value":"5.8911"},{"id":17,"name":"Train ID","value":"1807-24"},{"id":16,"name":"Locomotive ID","value":"4050"},{"id":130,"name":"Impact","value":""},{"id":150,"name":"Time of Event (Mountain Time)","value":"09:22:30"},{"id":151,"name":"Denver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7" s="47"/>
      <c r="AL167" s="47"/>
      <c r="AM167" s="142" t="str">
        <f t="shared" si="72"/>
        <v>start /low /b %USERPROFILE%\Documents\GitHub\eaglep3\Utilities\DownloadLogsFromS3.py --loco 4050 --day 2017-09-24</v>
      </c>
      <c r="AN167" s="151" t="str">
        <f t="shared" si="73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15:22:30"},{"id":29,"name":"Sharepoint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168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Message%20ID',Summary),filters:!(),index:'emp_*',interval:auto,query:"&amp;"(query_string:(analyze_wildcard:!t,query:'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-09-24T08:07:36-0600',mode:absolute,to:'2017-09-24T10:22:30-0600'))&amp;_a=(columns:!('Message%20ID',Summary),filters:!(),index:'emp_*',interval:auto,query:(query_string:(analyze_wildcard:!t,query:'%22rtdc.l.rtdc.4050%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2" t="s">
        <v>684</v>
      </c>
      <c r="B168" s="7">
        <v>4049</v>
      </c>
      <c r="C168" s="21" t="s">
        <v>196</v>
      </c>
      <c r="D168" s="21" t="s">
        <v>879</v>
      </c>
      <c r="E168" s="13">
        <v>43002.391377314816</v>
      </c>
      <c r="F168" s="13">
        <v>43002.402673611112</v>
      </c>
      <c r="G168" s="7">
        <v>928</v>
      </c>
      <c r="H168" s="21" t="s">
        <v>880</v>
      </c>
      <c r="I168" s="13">
        <v>43002.413553240738</v>
      </c>
      <c r="J168" s="7">
        <v>0</v>
      </c>
      <c r="K168" s="89" t="str">
        <f t="shared" si="59"/>
        <v>4049/4050</v>
      </c>
      <c r="L168" s="185" t="str">
        <f>VLOOKUP(A168,'Trips&amp;Operators'!$C$1:$G$99911,5,FALSE)</f>
        <v>MACDONALD THOMAS</v>
      </c>
      <c r="M168" s="6">
        <f t="shared" si="60"/>
        <v>1.0879629626288079E-2</v>
      </c>
      <c r="N168" s="7">
        <f t="shared" si="74"/>
        <v>15.666666661854833</v>
      </c>
      <c r="O168" s="7"/>
      <c r="P168" s="7"/>
      <c r="Q168" s="22"/>
      <c r="R168" s="174"/>
      <c r="S168" s="221">
        <f t="shared" si="75"/>
        <v>1</v>
      </c>
      <c r="T168" s="174" t="str">
        <f t="shared" si="61"/>
        <v>Southbound</v>
      </c>
      <c r="U168" s="198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16" t="str">
        <f t="shared" si="62"/>
        <v>https://d0f6bd738d7f1b3e5a7ca70fe4ff75f0.us-east-1.aws.found.io/app/kibana#/discover/Steve-Slow-Train-Analysis-(2080s-and-2083s)?_g=(refreshInterval:(display:Off,pause:!f,section:0,value:0),time:(from:'2017-09-24T08:23:35-0600',mode:absolute,to:'2017-09-24T10:55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68" s="204" t="str">
        <f>IF(AA168&lt;VLOOKUP(AG168,Variables!$AC$3:$AD$8,2,FALSE),"Y","N")</f>
        <v>N</v>
      </c>
      <c r="X168" s="204">
        <f t="shared" si="78"/>
        <v>1</v>
      </c>
      <c r="Y168" s="204">
        <f t="shared" si="76"/>
        <v>5.8590999999999998</v>
      </c>
      <c r="Z168" s="204">
        <f t="shared" si="77"/>
        <v>6.9199999999999998E-2</v>
      </c>
      <c r="AA168" s="204">
        <f t="shared" si="63"/>
        <v>5.7898999999999994</v>
      </c>
      <c r="AB168" s="54" t="e">
        <f>VLOOKUP(A168,Enforcements!$C$7:$K$11,8,0)</f>
        <v>#N/A</v>
      </c>
      <c r="AC168" s="51" t="e">
        <f>VLOOKUP(A168,Enforcements!$C$7:$E$11,3,0)</f>
        <v>#N/A</v>
      </c>
      <c r="AD168" s="179">
        <f t="shared" si="64"/>
        <v>1808</v>
      </c>
      <c r="AE168" s="77" t="str">
        <f t="shared" si="65"/>
        <v>aws s3 cp s3://rtdc.mdm.uploadarchive.raw/RTDC4049/ "%USERPROFILE%\AppData\Local\Temp\OnboardLogs"\RTDC4049\2017-09-24 --exclude "*" --recursive --include "*20170924*" &amp; "%USERPROFILE%\Documents\GitHub\mrs-test-scripts\Headless Mode &amp; Sideloading\WalkAndUnGZ.bat" "%USERPROFILE%\AppData\Local\Temp\OnboardLogs"\RTDC4049\2017-09-24 &amp; 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</v>
      </c>
      <c r="AF168" s="74" t="str">
        <f t="shared" si="66"/>
        <v>"C:\Program Files (x86)\AstroGrep\AstroGrep.exe" /e /r /s /spath="%USERPROFILE%\AppData\Local\Temp\OnboardLogs" /stypes="app*4049*20170924*" /stext=" 15:.+((SYSTEM_STATE.+slice.+state.+changed )|(ment ac)|(multiple cpu faults)|(system.+state.+changed )|(\[timeout)|(PRM\|1\|D)|(kpr)|(kdp)|(train st.+moving)|(\|lc)|(penalty))"</v>
      </c>
      <c r="AG168" s="182" t="str">
        <f t="shared" si="67"/>
        <v>NW</v>
      </c>
      <c r="AH168" s="78" t="str">
        <f t="shared" si="70"/>
        <v>"%USERPROFILE%\Documents\GitHub\eaglep3\Utilities\RefineRTDCRunTimes.py" --tripid 1808-24 --locoid 4049 --swversion DE.1.0.9.0 --startMP 300:58591 --initTime 2017-09-24T09:23:35 --startdatetime 2017-09-24T09:39:51 --delay 928 --endMP 204:692 --enddatetime 2017-09-24T09:55:31 --enforcementcount 0 &gt;&gt;c:\users\stu\Documents\GitHub\eaglep3-reporting\EC\2017-09-24-refined-times.txt</v>
      </c>
      <c r="AI168" s="96" t="str">
        <f t="shared" si="71"/>
        <v>echo {"issue":{"subject":"","project_id":79,"tracker_id":40,"status_id":1,"priority_id":2,"assigned_to_id":338,"start_date":"2017-09-24","description":"","custom_fields":[{"id":1,"name":"Subdivision","value":"NW"},{"id":4,"name":"Milepost","value":"0.0692"},{"id":17,"name":"Train ID","value":"1808-24"},{"id":16,"name":"Locomotive ID","value":"4049"},{"id":130,"name":"Impact","value":""},{"id":150,"name":"Time of Event (Mountain Time)","value":"09:55:31"},{"id":151,"name":"Denver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8" s="47"/>
      <c r="AL168" s="47"/>
      <c r="AM168" s="142" t="str">
        <f t="shared" si="72"/>
        <v>start /low /b %USERPROFILE%\Documents\GitHub\eaglep3\Utilities\DownloadLogsFromS3.py --loco 4049 --day 2017-09-24</v>
      </c>
      <c r="AN168" s="151" t="str">
        <f t="shared" si="73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15:55:31"},{"id":29,"name":"Sharepoint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168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Message%20ID',Summary),filters:!(),index:'emp_*',interval:auto,query:"&amp;"(query_string:(analyze_wildcard:!t,query:'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-09-24T08:23:35-0600',mode:absolute,to:'2017-09-24T10:55:31-0600'))&amp;_a=(columns:!('Message%20ID',Summary),filters:!(),index:'emp_*',interval:auto,query:(query_string:(analyze_wildcard:!t,query:'%22rtdc.l.rtdc.4049%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2" t="s">
        <v>687</v>
      </c>
      <c r="B169" s="7">
        <v>4050</v>
      </c>
      <c r="C169" s="21" t="s">
        <v>196</v>
      </c>
      <c r="D169" s="21" t="s">
        <v>881</v>
      </c>
      <c r="E169" s="13">
        <v>43002.415752314817</v>
      </c>
      <c r="F169" s="13">
        <v>43002.423136574071</v>
      </c>
      <c r="G169" s="7">
        <v>83</v>
      </c>
      <c r="H169" s="21" t="s">
        <v>882</v>
      </c>
      <c r="I169" s="13">
        <v>43002.432268518518</v>
      </c>
      <c r="J169" s="7">
        <v>0</v>
      </c>
      <c r="K169" s="89" t="str">
        <f t="shared" si="59"/>
        <v>4049/4050</v>
      </c>
      <c r="L169" s="185" t="str">
        <f>VLOOKUP(A169,'Trips&amp;Operators'!$C$1:$G$99911,5,FALSE)</f>
        <v>MACDONALD THOMAS</v>
      </c>
      <c r="M169" s="6">
        <f t="shared" si="60"/>
        <v>9.1319444472901523E-3</v>
      </c>
      <c r="N169" s="7">
        <f t="shared" si="74"/>
        <v>13.150000004097819</v>
      </c>
      <c r="O169" s="7"/>
      <c r="P169" s="7"/>
      <c r="Q169" s="22"/>
      <c r="R169" s="174"/>
      <c r="S169" s="221">
        <f t="shared" si="75"/>
        <v>1</v>
      </c>
      <c r="T169" s="174" t="str">
        <f t="shared" si="61"/>
        <v>NorthBound</v>
      </c>
      <c r="U169" s="198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16" t="str">
        <f t="shared" si="62"/>
        <v>https://d0f6bd738d7f1b3e5a7ca70fe4ff75f0.us-east-1.aws.found.io/app/kibana#/discover/Steve-Slow-Train-Analysis-(2080s-and-2083s)?_g=(refreshInterval:(display:Off,pause:!f,section:0,value:0),time:(from:'2017-09-24T08:58:41-0600',mode:absolute,to:'2017-09-24T11:22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69" s="204" t="str">
        <f>IF(AA169&lt;VLOOKUP(AG169,Variables!$AC$3:$AD$8,2,FALSE),"Y","N")</f>
        <v>N</v>
      </c>
      <c r="X169" s="204">
        <f t="shared" si="78"/>
        <v>1</v>
      </c>
      <c r="Y169" s="204">
        <f t="shared" si="76"/>
        <v>9.9299999999999999E-2</v>
      </c>
      <c r="Z169" s="204">
        <f t="shared" si="77"/>
        <v>5.8898999999999999</v>
      </c>
      <c r="AA169" s="204">
        <f t="shared" si="63"/>
        <v>5.7905999999999995</v>
      </c>
      <c r="AB169" s="54" t="e">
        <f>VLOOKUP(A169,Enforcements!$C$7:$K$11,8,0)</f>
        <v>#N/A</v>
      </c>
      <c r="AC169" s="51" t="e">
        <f>VLOOKUP(A169,Enforcements!$C$7:$E$11,3,0)</f>
        <v>#N/A</v>
      </c>
      <c r="AD169" s="179">
        <f t="shared" si="64"/>
        <v>1809</v>
      </c>
      <c r="AE169" s="77" t="str">
        <f t="shared" si="65"/>
        <v>aws s3 cp s3://rtdc.mdm.uploadarchive.raw/RTDC4050/ "%USERPROFILE%\AppData\Local\Temp\OnboardLogs"\RTDC4050\2017-09-24 --exclude "*" --recursive --include "*20170924*" &amp; "%USERPROFILE%\Documents\GitHub\mrs-test-scripts\Headless Mode &amp; Sideloading\WalkAndUnGZ.bat" "%USERPROFILE%\AppData\Local\Temp\OnboardLogs"\RTDC4050\2017-09-24 &amp; 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</v>
      </c>
      <c r="AF169" s="74" t="str">
        <f t="shared" si="66"/>
        <v>"C:\Program Files (x86)\AstroGrep\AstroGrep.exe" /e /r /s /spath="%USERPROFILE%\AppData\Local\Temp\OnboardLogs" /stypes="app*4050*20170924*" /stext=" 16:.+((SYSTEM_STATE.+slice.+state.+changed )|(ment ac)|(multiple cpu faults)|(system.+state.+changed )|(\[timeout)|(PRM\|1\|D)|(kpr)|(kdp)|(train st.+moving)|(\|lc)|(penalty))"</v>
      </c>
      <c r="AG169" s="182" t="str">
        <f t="shared" si="67"/>
        <v>NW</v>
      </c>
      <c r="AH169" s="78" t="str">
        <f t="shared" si="70"/>
        <v>"%USERPROFILE%\Documents\GitHub\eaglep3\Utilities\RefineRTDCRunTimes.py" --tripid 1809-24 --locoid 4050 --swversion DE.1.0.9.0 --startMP 204:993 --initTime 2017-09-24T09:58:41 --startdatetime 2017-09-24T10:09:19 --delay 83 --endMP 300:58899 --enddatetime 2017-09-24T10:22:28 --enforcementcount 0 &gt;&gt;c:\users\stu\Documents\GitHub\eaglep3-reporting\EC\2017-09-24-refined-times.txt</v>
      </c>
      <c r="AI169" s="96" t="str">
        <f t="shared" si="71"/>
        <v>echo {"issue":{"subject":"","project_id":79,"tracker_id":40,"status_id":1,"priority_id":2,"assigned_to_id":338,"start_date":"2017-09-24","description":"","custom_fields":[{"id":1,"name":"Subdivision","value":"NW"},{"id":4,"name":"Milepost","value":"5.8899"},{"id":17,"name":"Train ID","value":"1809-24"},{"id":16,"name":"Locomotive ID","value":"4050"},{"id":130,"name":"Impact","value":""},{"id":150,"name":"Time of Event (Mountain Time)","value":"10:22:28"},{"id":151,"name":"Denver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69" s="47"/>
      <c r="AL169" s="47"/>
      <c r="AM169" s="142" t="str">
        <f t="shared" si="72"/>
        <v>start /low /b %USERPROFILE%\Documents\GitHub\eaglep3\Utilities\DownloadLogsFromS3.py --loco 4050 --day 2017-09-24</v>
      </c>
      <c r="AN169" s="151" t="str">
        <f t="shared" si="73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16:22:28"},{"id":29,"name":"Sharepoint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168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Message%20ID',Summary),filters:!(),index:'emp_*',interval:auto,query:"&amp;"(query_string:(analyze_wildcard:!t,query:'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-09-24T08:58:41-0600',mode:absolute,to:'2017-09-24T11:22:28-0600'))&amp;_a=(columns:!('Message%20ID',Summary),filters:!(),index:'emp_*',interval:auto,query:(query_string:(analyze_wildcard:!t,query:'%22rtdc.l.rtdc.4050%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25">
      <c r="A170" s="32" t="s">
        <v>696</v>
      </c>
      <c r="B170" s="7">
        <v>4049</v>
      </c>
      <c r="C170" s="21" t="s">
        <v>196</v>
      </c>
      <c r="D170" s="21" t="s">
        <v>883</v>
      </c>
      <c r="E170" s="13">
        <v>43002.432962962965</v>
      </c>
      <c r="F170" s="13">
        <v>43002.444768518515</v>
      </c>
      <c r="G170" s="7">
        <v>959</v>
      </c>
      <c r="H170" s="21" t="s">
        <v>884</v>
      </c>
      <c r="I170" s="13">
        <v>43002.455300925925</v>
      </c>
      <c r="J170" s="7">
        <v>0</v>
      </c>
      <c r="K170" s="89" t="str">
        <f t="shared" si="59"/>
        <v>4049/4050</v>
      </c>
      <c r="L170" s="185" t="str">
        <f>VLOOKUP(A170,'Trips&amp;Operators'!$C$1:$G$99911,5,FALSE)</f>
        <v>MACDONALD THOMAS</v>
      </c>
      <c r="M170" s="6">
        <f t="shared" si="60"/>
        <v>1.0532407410209998E-2</v>
      </c>
      <c r="N170" s="7">
        <f t="shared" si="74"/>
        <v>15.166666670702398</v>
      </c>
      <c r="O170" s="7"/>
      <c r="P170" s="7"/>
      <c r="Q170" s="22"/>
      <c r="R170" s="174"/>
      <c r="S170" s="221">
        <f t="shared" si="75"/>
        <v>1</v>
      </c>
      <c r="T170" s="174" t="str">
        <f t="shared" si="61"/>
        <v>Southbound</v>
      </c>
      <c r="U170" s="198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16" t="str">
        <f t="shared" si="62"/>
        <v>https://d0f6bd738d7f1b3e5a7ca70fe4ff75f0.us-east-1.aws.found.io/app/kibana#/discover/Steve-Slow-Train-Analysis-(2080s-and-2083s)?_g=(refreshInterval:(display:Off,pause:!f,section:0,value:0),time:(from:'2017-09-24T09:23:28-0600',mode:absolute,to:'2017-09-24T11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0" s="204" t="str">
        <f>IF(AA170&lt;VLOOKUP(AG170,Variables!$AC$3:$AD$8,2,FALSE),"Y","N")</f>
        <v>N</v>
      </c>
      <c r="X170" s="204">
        <f t="shared" si="78"/>
        <v>1</v>
      </c>
      <c r="Y170" s="204">
        <f t="shared" si="76"/>
        <v>5.8592000000000004</v>
      </c>
      <c r="Z170" s="204">
        <f t="shared" si="77"/>
        <v>7.0499999999999993E-2</v>
      </c>
      <c r="AA170" s="204">
        <f t="shared" si="63"/>
        <v>5.7887000000000004</v>
      </c>
      <c r="AB170" s="54" t="e">
        <f>VLOOKUP(A170,Enforcements!$C$7:$K$11,8,0)</f>
        <v>#N/A</v>
      </c>
      <c r="AC170" s="51" t="e">
        <f>VLOOKUP(A170,Enforcements!$C$7:$E$11,3,0)</f>
        <v>#N/A</v>
      </c>
      <c r="AD170" s="179">
        <f t="shared" si="64"/>
        <v>1810</v>
      </c>
      <c r="AE170" s="77" t="str">
        <f t="shared" si="65"/>
        <v>aws s3 cp s3://rtdc.mdm.uploadarchive.raw/RTDC4049/ "%USERPROFILE%\AppData\Local\Temp\OnboardLogs"\RTDC4049\2017-09-24 --exclude "*" --recursive --include "*20170924*" &amp; "%USERPROFILE%\Documents\GitHub\mrs-test-scripts\Headless Mode &amp; Sideloading\WalkAndUnGZ.bat" "%USERPROFILE%\AppData\Local\Temp\OnboardLogs"\RTDC4049\2017-09-24 &amp; 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</v>
      </c>
      <c r="AF170" s="74" t="str">
        <f t="shared" si="66"/>
        <v>"C:\Program Files (x86)\AstroGrep\AstroGrep.exe" /e /r /s /spath="%USERPROFILE%\AppData\Local\Temp\OnboardLogs" /stypes="app*4049*20170924*" /stext=" 16:.+((SYSTEM_STATE.+slice.+state.+changed )|(ment ac)|(multiple cpu faults)|(system.+state.+changed )|(\[timeout)|(PRM\|1\|D)|(kpr)|(kdp)|(train st.+moving)|(\|lc)|(penalty))"</v>
      </c>
      <c r="AG170" s="182" t="str">
        <f t="shared" si="67"/>
        <v>NW</v>
      </c>
      <c r="AH170" s="78" t="str">
        <f t="shared" si="70"/>
        <v>"%USERPROFILE%\Documents\GitHub\eaglep3\Utilities\RefineRTDCRunTimes.py" --tripid 1810-24 --locoid 4049 --swversion DE.1.0.9.0 --startMP 300:58592 --initTime 2017-09-24T10:23:28 --startdatetime 2017-09-24T10:40:28 --delay 959 --endMP 204:705 --enddatetime 2017-09-24T10:55:38 --enforcementcount 0 &gt;&gt;c:\users\stu\Documents\GitHub\eaglep3-reporting\EC\2017-09-24-refined-times.txt</v>
      </c>
      <c r="AI170" s="96" t="str">
        <f t="shared" si="71"/>
        <v>echo {"issue":{"subject":"","project_id":79,"tracker_id":40,"status_id":1,"priority_id":2,"assigned_to_id":338,"start_date":"2017-09-24","description":"","custom_fields":[{"id":1,"name":"Subdivision","value":"NW"},{"id":4,"name":"Milepost","value":"0.0705"},{"id":17,"name":"Train ID","value":"1810-24"},{"id":16,"name":"Locomotive ID","value":"4049"},{"id":130,"name":"Impact","value":""},{"id":150,"name":"Time of Event (Mountain Time)","value":"10:55:38"},{"id":151,"name":"Denver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0" s="47"/>
      <c r="AL170" s="47"/>
      <c r="AM170" s="142" t="str">
        <f t="shared" si="72"/>
        <v>start /low /b %USERPROFILE%\Documents\GitHub\eaglep3\Utilities\DownloadLogsFromS3.py --loco 4049 --day 2017-09-24</v>
      </c>
      <c r="AN170" s="151" t="str">
        <f t="shared" si="73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16:55:38"},{"id":29,"name":"Sharepoint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168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Message%20ID',Summary),filters:!(),index:'emp_*',interval:auto,query:"&amp;"(query_string:(analyze_wildcard:!t,query:'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-09-24T09:23:28-0600',mode:absolute,to:'2017-09-24T11:55:38-0600'))&amp;_a=(columns:!('Message%20ID',Summary),filters:!(),index:'emp_*',interval:auto,query:(query_string:(analyze_wildcard:!t,query:'%22rtdc.l.rtdc.4049%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25">
      <c r="A171" s="32" t="s">
        <v>699</v>
      </c>
      <c r="B171" s="7">
        <v>4050</v>
      </c>
      <c r="C171" s="21" t="s">
        <v>196</v>
      </c>
      <c r="D171" s="21" t="s">
        <v>885</v>
      </c>
      <c r="E171" s="13">
        <v>43002.46366898148</v>
      </c>
      <c r="F171" s="13">
        <v>43002.464814814812</v>
      </c>
      <c r="G171" s="7">
        <v>48</v>
      </c>
      <c r="H171" s="21" t="s">
        <v>886</v>
      </c>
      <c r="I171" s="13">
        <v>43002.473738425928</v>
      </c>
      <c r="J171" s="7">
        <v>0</v>
      </c>
      <c r="K171" s="89" t="str">
        <f t="shared" si="59"/>
        <v>4049/4050</v>
      </c>
      <c r="L171" s="185" t="str">
        <f>VLOOKUP(A171,'Trips&amp;Operators'!$C$1:$G$99911,5,FALSE)</f>
        <v>MACDONALD THOMAS</v>
      </c>
      <c r="M171" s="6">
        <f t="shared" si="60"/>
        <v>8.9236111161881126E-3</v>
      </c>
      <c r="N171" s="7">
        <f t="shared" si="74"/>
        <v>12.850000007310882</v>
      </c>
      <c r="O171" s="7"/>
      <c r="P171" s="7"/>
      <c r="Q171" s="22"/>
      <c r="R171" s="174"/>
      <c r="S171" s="221">
        <f t="shared" si="75"/>
        <v>1</v>
      </c>
      <c r="T171" s="174" t="str">
        <f t="shared" si="61"/>
        <v>NorthBound</v>
      </c>
      <c r="U171" s="198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16" t="str">
        <f t="shared" si="62"/>
        <v>https://d0f6bd738d7f1b3e5a7ca70fe4ff75f0.us-east-1.aws.found.io/app/kibana#/discover/Steve-Slow-Train-Analysis-(2080s-and-2083s)?_g=(refreshInterval:(display:Off,pause:!f,section:0,value:0),time:(from:'2017-09-24T10:07:41-0600',mode:absolute,to:'2017-09-24T12:22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1" s="204" t="str">
        <f>IF(AA171&lt;VLOOKUP(AG171,Variables!$AC$3:$AD$8,2,FALSE),"Y","N")</f>
        <v>N</v>
      </c>
      <c r="X171" s="204">
        <f t="shared" si="78"/>
        <v>1</v>
      </c>
      <c r="Y171" s="204">
        <f t="shared" si="76"/>
        <v>0.1</v>
      </c>
      <c r="Z171" s="204">
        <f t="shared" si="77"/>
        <v>5.8902999999999999</v>
      </c>
      <c r="AA171" s="204">
        <f t="shared" si="63"/>
        <v>5.7903000000000002</v>
      </c>
      <c r="AB171" s="54" t="e">
        <f>VLOOKUP(A171,Enforcements!$C$7:$K$11,8,0)</f>
        <v>#N/A</v>
      </c>
      <c r="AC171" s="51" t="e">
        <f>VLOOKUP(A171,Enforcements!$C$7:$E$11,3,0)</f>
        <v>#N/A</v>
      </c>
      <c r="AD171" s="179">
        <f t="shared" si="64"/>
        <v>1811</v>
      </c>
      <c r="AE171" s="77" t="str">
        <f t="shared" si="65"/>
        <v>aws s3 cp s3://rtdc.mdm.uploadarchive.raw/RTDC4050/ "%USERPROFILE%\AppData\Local\Temp\OnboardLogs"\RTDC4050\2017-09-24 --exclude "*" --recursive --include "*20170924*" &amp; "%USERPROFILE%\Documents\GitHub\mrs-test-scripts\Headless Mode &amp; Sideloading\WalkAndUnGZ.bat" "%USERPROFILE%\AppData\Local\Temp\OnboardLogs"\RTDC4050\2017-09-24 &amp; 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</v>
      </c>
      <c r="AF171" s="74" t="str">
        <f t="shared" si="66"/>
        <v>"C:\Program Files (x86)\AstroGrep\AstroGrep.exe" /e /r /s /spath="%USERPROFILE%\AppData\Local\Temp\OnboardLogs" /stypes="app*4050*20170924*" /stext=" 17:.+((SYSTEM_STATE.+slice.+state.+changed )|(ment ac)|(multiple cpu faults)|(system.+state.+changed )|(\[timeout)|(PRM\|1\|D)|(kpr)|(kdp)|(train st.+moving)|(\|lc)|(penalty))"</v>
      </c>
      <c r="AG171" s="182" t="str">
        <f t="shared" si="67"/>
        <v>NW</v>
      </c>
      <c r="AH171" s="78" t="str">
        <f t="shared" si="70"/>
        <v>"%USERPROFILE%\Documents\GitHub\eaglep3\Utilities\RefineRTDCRunTimes.py" --tripid 1811-24 --locoid 4050 --swversion DE.1.0.9.0 --startMP 204:1000 --initTime 2017-09-24T11:07:41 --startdatetime 2017-09-24T11:09:20 --delay 48 --endMP 300:58903 --enddatetime 2017-09-24T11:22:11 --enforcementcount 0 &gt;&gt;c:\users\stu\Documents\GitHub\eaglep3-reporting\EC\2017-09-24-refined-times.txt</v>
      </c>
      <c r="AI171" s="96" t="str">
        <f t="shared" si="71"/>
        <v>echo {"issue":{"subject":"","project_id":79,"tracker_id":40,"status_id":1,"priority_id":2,"assigned_to_id":338,"start_date":"2017-09-24","description":"","custom_fields":[{"id":1,"name":"Subdivision","value":"NW"},{"id":4,"name":"Milepost","value":"5.8903"},{"id":17,"name":"Train ID","value":"1811-24"},{"id":16,"name":"Locomotive ID","value":"4050"},{"id":130,"name":"Impact","value":""},{"id":150,"name":"Time of Event (Mountain Time)","value":"11:22:11"},{"id":151,"name":"Denver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1" s="47"/>
      <c r="AL171" s="47"/>
      <c r="AM171" s="142" t="str">
        <f t="shared" si="72"/>
        <v>start /low /b %USERPROFILE%\Documents\GitHub\eaglep3\Utilities\DownloadLogsFromS3.py --loco 4050 --day 2017-09-24</v>
      </c>
      <c r="AN171" s="151" t="str">
        <f t="shared" si="73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17:22:11"},{"id":29,"name":"Sharepoint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168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Message%20ID',Summary),filters:!(),index:'emp_*',interval:auto,query:"&amp;"(query_string:(analyze_wildcard:!t,query:'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-09-24T10:07:41-0600',mode:absolute,to:'2017-09-24T12:22:11-0600'))&amp;_a=(columns:!('Message%20ID',Summary),filters:!(),index:'emp_*',interval:auto,query:(query_string:(analyze_wildcard:!t,query:'%22rtdc.l.rtdc.4050%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25">
      <c r="A172" s="32" t="s">
        <v>593</v>
      </c>
      <c r="B172" s="7">
        <v>4049</v>
      </c>
      <c r="C172" s="21" t="s">
        <v>196</v>
      </c>
      <c r="D172" s="21" t="s">
        <v>887</v>
      </c>
      <c r="E172" s="13">
        <v>43002.47452546296</v>
      </c>
      <c r="F172" s="13">
        <v>43002.486631944441</v>
      </c>
      <c r="G172" s="7">
        <v>1000</v>
      </c>
      <c r="H172" s="21" t="s">
        <v>888</v>
      </c>
      <c r="I172" s="13">
        <v>43002.49931712963</v>
      </c>
      <c r="J172" s="7">
        <v>0</v>
      </c>
      <c r="K172" s="89" t="str">
        <f t="shared" si="59"/>
        <v>4049/4050</v>
      </c>
      <c r="L172" s="185" t="str">
        <f>VLOOKUP(A172,'Trips&amp;Operators'!$C$1:$G$99911,5,FALSE)</f>
        <v>MACDONALD THOMAS</v>
      </c>
      <c r="M172" s="6">
        <f t="shared" si="60"/>
        <v>1.2685185189184267E-2</v>
      </c>
      <c r="N172" s="7">
        <f t="shared" si="74"/>
        <v>18.266666672425345</v>
      </c>
      <c r="O172" s="7"/>
      <c r="P172" s="7"/>
      <c r="Q172" s="22"/>
      <c r="R172" s="174"/>
      <c r="S172" s="221">
        <f t="shared" si="75"/>
        <v>1</v>
      </c>
      <c r="T172" s="174" t="str">
        <f t="shared" si="61"/>
        <v>Southbound</v>
      </c>
      <c r="U172" s="198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16" t="str">
        <f t="shared" si="62"/>
        <v>https://d0f6bd738d7f1b3e5a7ca70fe4ff75f0.us-east-1.aws.found.io/app/kibana#/discover/Steve-Slow-Train-Analysis-(2080s-and-2083s)?_g=(refreshInterval:(display:Off,pause:!f,section:0,value:0),time:(from:'2017-09-24T10:23:19-0600',mode:absolute,to:'2017-09-24T12:59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2" s="204" t="str">
        <f>IF(AA172&lt;VLOOKUP(AG172,Variables!$AC$3:$AD$8,2,FALSE),"Y","N")</f>
        <v>N</v>
      </c>
      <c r="X172" s="204">
        <f t="shared" si="78"/>
        <v>1</v>
      </c>
      <c r="Y172" s="204">
        <f t="shared" si="76"/>
        <v>5.8589000000000002</v>
      </c>
      <c r="Z172" s="204">
        <f t="shared" si="77"/>
        <v>7.3400000000000007E-2</v>
      </c>
      <c r="AA172" s="204">
        <f t="shared" si="63"/>
        <v>5.7854999999999999</v>
      </c>
      <c r="AB172" s="54" t="e">
        <f>VLOOKUP(A172,Enforcements!$C$7:$K$11,8,0)</f>
        <v>#N/A</v>
      </c>
      <c r="AC172" s="51" t="e">
        <f>VLOOKUP(A172,Enforcements!$C$7:$E$11,3,0)</f>
        <v>#N/A</v>
      </c>
      <c r="AD172" s="179">
        <f t="shared" si="64"/>
        <v>1812</v>
      </c>
      <c r="AE172" s="77" t="str">
        <f t="shared" si="65"/>
        <v>aws s3 cp s3://rtdc.mdm.uploadarchive.raw/RTDC4049/ "%USERPROFILE%\AppData\Local\Temp\OnboardLogs"\RTDC4049\2017-09-24 --exclude "*" --recursive --include "*20170924*" &amp; "%USERPROFILE%\Documents\GitHub\mrs-test-scripts\Headless Mode &amp; Sideloading\WalkAndUnGZ.bat" "%USERPROFILE%\AppData\Local\Temp\OnboardLogs"\RTDC4049\2017-09-24 &amp; 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</v>
      </c>
      <c r="AF172" s="74" t="str">
        <f t="shared" si="66"/>
        <v>"C:\Program Files (x86)\AstroGrep\AstroGrep.exe" /e /r /s /spath="%USERPROFILE%\AppData\Local\Temp\OnboardLogs" /stypes="app*4049*20170924*" /stext=" 17:.+((SYSTEM_STATE.+slice.+state.+changed )|(ment ac)|(multiple cpu faults)|(system.+state.+changed )|(\[timeout)|(PRM\|1\|D)|(kpr)|(kdp)|(train st.+moving)|(\|lc)|(penalty))"</v>
      </c>
      <c r="AG172" s="182" t="str">
        <f t="shared" si="67"/>
        <v>NW</v>
      </c>
      <c r="AH172" s="78" t="str">
        <f t="shared" si="70"/>
        <v>"%USERPROFILE%\Documents\GitHub\eaglep3\Utilities\RefineRTDCRunTimes.py" --tripid 1812-24 --locoid 4049 --swversion DE.1.0.9.0 --startMP 300:58589 --initTime 2017-09-24T11:23:19 --startdatetime 2017-09-24T11:40:45 --delay 1000 --endMP 204:734 --enddatetime 2017-09-24T11:59:01 --enforcementcount 0 &gt;&gt;c:\users\stu\Documents\GitHub\eaglep3-reporting\EC\2017-09-24-refined-times.txt</v>
      </c>
      <c r="AI172" s="96" t="str">
        <f t="shared" si="71"/>
        <v>echo {"issue":{"subject":"","project_id":79,"tracker_id":40,"status_id":1,"priority_id":2,"assigned_to_id":338,"start_date":"2017-09-24","description":"","custom_fields":[{"id":1,"name":"Subdivision","value":"NW"},{"id":4,"name":"Milepost","value":"0.0734"},{"id":17,"name":"Train ID","value":"1812-24"},{"id":16,"name":"Locomotive ID","value":"4049"},{"id":130,"name":"Impact","value":""},{"id":150,"name":"Time of Event (Mountain Time)","value":"11:59:01"},{"id":151,"name":"Denver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2" s="47"/>
      <c r="AL172" s="47"/>
      <c r="AM172" s="142" t="str">
        <f t="shared" si="72"/>
        <v>start /low /b %USERPROFILE%\Documents\GitHub\eaglep3\Utilities\DownloadLogsFromS3.py --loco 4049 --day 2017-09-24</v>
      </c>
      <c r="AN172" s="151" t="str">
        <f t="shared" si="73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17:59:01"},{"id":29,"name":"Sharepoint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168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Message%20ID',Summary),filters:!(),index:'emp_*',interval:auto,query:"&amp;"(query_string:(analyze_wildcard:!t,query:'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-09-24T10:23:19-0600',mode:absolute,to:'2017-09-24T12:59:01-0600'))&amp;_a=(columns:!('Message%20ID',Summary),filters:!(),index:'emp_*',interval:auto,query:(query_string:(analyze_wildcard:!t,query:'%22rtdc.l.rtdc.4049%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25">
      <c r="A173" s="32" t="s">
        <v>711</v>
      </c>
      <c r="B173" s="7">
        <v>4050</v>
      </c>
      <c r="C173" s="21" t="s">
        <v>196</v>
      </c>
      <c r="D173" s="21" t="s">
        <v>889</v>
      </c>
      <c r="E173" s="13">
        <v>43002.505370370367</v>
      </c>
      <c r="F173" s="13">
        <v>43002.506979166668</v>
      </c>
      <c r="G173" s="7">
        <v>52</v>
      </c>
      <c r="H173" s="21" t="s">
        <v>882</v>
      </c>
      <c r="I173" s="13">
        <v>43002.516932870371</v>
      </c>
      <c r="J173" s="7">
        <v>0</v>
      </c>
      <c r="K173" s="89" t="str">
        <f t="shared" si="59"/>
        <v>4049/4050</v>
      </c>
      <c r="L173" s="185" t="str">
        <f>VLOOKUP(A173,'Trips&amp;Operators'!$C$1:$G$99911,5,FALSE)</f>
        <v>MACDONALD THOMAS</v>
      </c>
      <c r="M173" s="6">
        <f t="shared" si="60"/>
        <v>9.9537037021946162E-3</v>
      </c>
      <c r="N173" s="7">
        <f t="shared" si="74"/>
        <v>14.333333331160247</v>
      </c>
      <c r="O173" s="7"/>
      <c r="P173" s="7"/>
      <c r="Q173" s="22"/>
      <c r="R173" s="174"/>
      <c r="S173" s="221">
        <f t="shared" si="75"/>
        <v>1</v>
      </c>
      <c r="T173" s="174" t="str">
        <f t="shared" si="61"/>
        <v>NorthBound</v>
      </c>
      <c r="U173" s="198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16" t="str">
        <f t="shared" si="62"/>
        <v>https://d0f6bd738d7f1b3e5a7ca70fe4ff75f0.us-east-1.aws.found.io/app/kibana#/discover/Steve-Slow-Train-Analysis-(2080s-and-2083s)?_g=(refreshInterval:(display:Off,pause:!f,section:0,value:0),time:(from:'2017-09-24T11:07:44-0600',mode:absolute,to:'2017-09-24T13:24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3" s="204" t="str">
        <f>IF(AA173&lt;VLOOKUP(AG173,Variables!$AC$3:$AD$8,2,FALSE),"Y","N")</f>
        <v>N</v>
      </c>
      <c r="X173" s="204">
        <f t="shared" si="78"/>
        <v>1</v>
      </c>
      <c r="Y173" s="204">
        <f t="shared" si="76"/>
        <v>0.12609999999999999</v>
      </c>
      <c r="Z173" s="204">
        <f t="shared" si="77"/>
        <v>5.8898999999999999</v>
      </c>
      <c r="AA173" s="204">
        <f t="shared" si="63"/>
        <v>5.7637999999999998</v>
      </c>
      <c r="AB173" s="54" t="e">
        <f>VLOOKUP(A173,Enforcements!$C$7:$K$11,8,0)</f>
        <v>#N/A</v>
      </c>
      <c r="AC173" s="51" t="e">
        <f>VLOOKUP(A173,Enforcements!$C$7:$E$11,3,0)</f>
        <v>#N/A</v>
      </c>
      <c r="AD173" s="179">
        <f t="shared" si="64"/>
        <v>1813</v>
      </c>
      <c r="AE173" s="77" t="str">
        <f t="shared" si="65"/>
        <v>aws s3 cp s3://rtdc.mdm.uploadarchive.raw/RTDC4050/ "%USERPROFILE%\AppData\Local\Temp\OnboardLogs"\RTDC4050\2017-09-24 --exclude "*" --recursive --include "*20170924*" &amp; "%USERPROFILE%\Documents\GitHub\mrs-test-scripts\Headless Mode &amp; Sideloading\WalkAndUnGZ.bat" "%USERPROFILE%\AppData\Local\Temp\OnboardLogs"\RTDC4050\2017-09-24 &amp; 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</v>
      </c>
      <c r="AF173" s="74" t="str">
        <f t="shared" si="66"/>
        <v>"C:\Program Files (x86)\AstroGrep\AstroGrep.exe" /e /r /s /spath="%USERPROFILE%\AppData\Local\Temp\OnboardLogs" /stypes="app*4050*20170924*" /stext=" 18:.+((SYSTEM_STATE.+slice.+state.+changed )|(ment ac)|(multiple cpu faults)|(system.+state.+changed )|(\[timeout)|(PRM\|1\|D)|(kpr)|(kdp)|(train st.+moving)|(\|lc)|(penalty))"</v>
      </c>
      <c r="AG173" s="182" t="str">
        <f t="shared" si="67"/>
        <v>NW</v>
      </c>
      <c r="AH173" s="78" t="str">
        <f t="shared" si="70"/>
        <v>"%USERPROFILE%\Documents\GitHub\eaglep3\Utilities\RefineRTDCRunTimes.py" --tripid 1813-24 --locoid 4050 --swversion DE.1.0.9.0 --startMP 204:1261 --initTime 2017-09-24T12:07:44 --startdatetime 2017-09-24T12:10:03 --delay 52 --endMP 300:58899 --enddatetime 2017-09-24T12:24:23 --enforcementcount 0 &gt;&gt;c:\users\stu\Documents\GitHub\eaglep3-reporting\EC\2017-09-24-refined-times.txt</v>
      </c>
      <c r="AI173" s="96" t="str">
        <f t="shared" si="71"/>
        <v>echo {"issue":{"subject":"","project_id":79,"tracker_id":40,"status_id":1,"priority_id":2,"assigned_to_id":338,"start_date":"2017-09-24","description":"","custom_fields":[{"id":1,"name":"Subdivision","value":"NW"},{"id":4,"name":"Milepost","value":"5.8899"},{"id":17,"name":"Train ID","value":"1813-24"},{"id":16,"name":"Locomotive ID","value":"4050"},{"id":130,"name":"Impact","value":""},{"id":150,"name":"Time of Event (Mountain Time)","value":"12:24:23"},{"id":151,"name":"Denver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3" s="47"/>
      <c r="AL173" s="47"/>
      <c r="AM173" s="142" t="str">
        <f t="shared" si="72"/>
        <v>start /low /b %USERPROFILE%\Documents\GitHub\eaglep3\Utilities\DownloadLogsFromS3.py --loco 4050 --day 2017-09-24</v>
      </c>
      <c r="AN173" s="151" t="str">
        <f t="shared" si="73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18:24:23"},{"id":29,"name":"Sharepoint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168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Message%20ID',Summary),filters:!(),index:'emp_*',interval:auto,query:"&amp;"(query_string:(analyze_wildcard:!t,query:'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-09-24T11:07:44-0600',mode:absolute,to:'2017-09-24T13:24:23-0600'))&amp;_a=(columns:!('Message%20ID',Summary),filters:!(),index:'emp_*',interval:auto,query:(query_string:(analyze_wildcard:!t,query:'%22rtdc.l.rtdc.4050%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717</v>
      </c>
      <c r="B174" s="7">
        <v>4049</v>
      </c>
      <c r="C174" s="21" t="s">
        <v>196</v>
      </c>
      <c r="D174" s="21" t="s">
        <v>890</v>
      </c>
      <c r="E174" s="13">
        <v>43002.51771990741</v>
      </c>
      <c r="F174" s="13">
        <v>43002.527962962966</v>
      </c>
      <c r="G174" s="7">
        <v>846</v>
      </c>
      <c r="H174" s="21" t="s">
        <v>574</v>
      </c>
      <c r="I174" s="13">
        <v>43002.539201388892</v>
      </c>
      <c r="J174" s="7">
        <v>0</v>
      </c>
      <c r="K174" s="89" t="str">
        <f t="shared" si="59"/>
        <v>4049/4050</v>
      </c>
      <c r="L174" s="185" t="str">
        <f>VLOOKUP(A174,'Trips&amp;Operators'!$C$1:$G$99911,5,FALSE)</f>
        <v>MACDONALD THOMAS</v>
      </c>
      <c r="M174" s="6">
        <f t="shared" si="60"/>
        <v>1.1238425926421769E-2</v>
      </c>
      <c r="N174" s="7">
        <f t="shared" si="74"/>
        <v>16.183333334047347</v>
      </c>
      <c r="O174" s="7"/>
      <c r="P174" s="7"/>
      <c r="Q174" s="22"/>
      <c r="R174" s="174"/>
      <c r="S174" s="221">
        <f t="shared" si="75"/>
        <v>1</v>
      </c>
      <c r="T174" s="174" t="str">
        <f t="shared" si="61"/>
        <v>Southbound</v>
      </c>
      <c r="U174" s="198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16" t="str">
        <f t="shared" si="62"/>
        <v>https://d0f6bd738d7f1b3e5a7ca70fe4ff75f0.us-east-1.aws.found.io/app/kibana#/discover/Steve-Slow-Train-Analysis-(2080s-and-2083s)?_g=(refreshInterval:(display:Off,pause:!f,section:0,value:0),time:(from:'2017-09-24T11:25:31-0600',mode:absolute,to:'2017-09-24T13:56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4" s="204" t="str">
        <f>IF(AA174&lt;VLOOKUP(AG174,Variables!$AC$3:$AD$8,2,FALSE),"Y","N")</f>
        <v>N</v>
      </c>
      <c r="X174" s="204">
        <f t="shared" si="78"/>
        <v>1</v>
      </c>
      <c r="Y174" s="204">
        <f t="shared" si="76"/>
        <v>5.8585000000000003</v>
      </c>
      <c r="Z174" s="204">
        <f t="shared" si="77"/>
        <v>6.8400000000000002E-2</v>
      </c>
      <c r="AA174" s="204">
        <f t="shared" si="63"/>
        <v>5.7901000000000007</v>
      </c>
      <c r="AB174" s="54" t="e">
        <f>VLOOKUP(A174,Enforcements!$C$7:$K$11,8,0)</f>
        <v>#N/A</v>
      </c>
      <c r="AC174" s="51" t="e">
        <f>VLOOKUP(A174,Enforcements!$C$7:$E$11,3,0)</f>
        <v>#N/A</v>
      </c>
      <c r="AD174" s="179">
        <f t="shared" si="64"/>
        <v>1814</v>
      </c>
      <c r="AE174" s="77" t="str">
        <f t="shared" si="65"/>
        <v>aws s3 cp s3://rtdc.mdm.uploadarchive.raw/RTDC4049/ "%USERPROFILE%\AppData\Local\Temp\OnboardLogs"\RTDC4049\2017-09-24 --exclude "*" --recursive --include "*20170924*" &amp; "%USERPROFILE%\Documents\GitHub\mrs-test-scripts\Headless Mode &amp; Sideloading\WalkAndUnGZ.bat" "%USERPROFILE%\AppData\Local\Temp\OnboardLogs"\RTDC4049\2017-09-24 &amp; 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</v>
      </c>
      <c r="AF174" s="74" t="str">
        <f t="shared" si="66"/>
        <v>"C:\Program Files (x86)\AstroGrep\AstroGrep.exe" /e /r /s /spath="%USERPROFILE%\AppData\Local\Temp\OnboardLogs" /stypes="app*4049*20170924*" /stext=" 18:.+((SYSTEM_STATE.+slice.+state.+changed )|(ment ac)|(multiple cpu faults)|(system.+state.+changed )|(\[timeout)|(PRM\|1\|D)|(kpr)|(kdp)|(train st.+moving)|(\|lc)|(penalty))"</v>
      </c>
      <c r="AG174" s="182" t="str">
        <f t="shared" si="67"/>
        <v>NW</v>
      </c>
      <c r="AH174" s="78" t="str">
        <f t="shared" si="70"/>
        <v>"%USERPROFILE%\Documents\GitHub\eaglep3\Utilities\RefineRTDCRunTimes.py" --tripid 1814-24 --locoid 4049 --swversion DE.1.0.9.0 --startMP 300:58585 --initTime 2017-09-24T12:25:31 --startdatetime 2017-09-24T12:40:16 --delay 846 --endMP 204:684 --enddatetime 2017-09-24T12:56:27 --enforcementcount 0 &gt;&gt;c:\users\stu\Documents\GitHub\eaglep3-reporting\EC\2017-09-24-refined-times.txt</v>
      </c>
      <c r="AI174" s="96" t="str">
        <f t="shared" si="71"/>
        <v>echo {"issue":{"subject":"","project_id":79,"tracker_id":40,"status_id":1,"priority_id":2,"assigned_to_id":338,"start_date":"2017-09-24","description":"","custom_fields":[{"id":1,"name":"Subdivision","value":"NW"},{"id":4,"name":"Milepost","value":"0.0684"},{"id":17,"name":"Train ID","value":"1814-24"},{"id":16,"name":"Locomotive ID","value":"4049"},{"id":130,"name":"Impact","value":""},{"id":150,"name":"Time of Event (Mountain Time)","value":"12:56:27"},{"id":151,"name":"Denver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4" s="47"/>
      <c r="AL174" s="47"/>
      <c r="AM174" s="142" t="str">
        <f t="shared" si="72"/>
        <v>start /low /b %USERPROFILE%\Documents\GitHub\eaglep3\Utilities\DownloadLogsFromS3.py --loco 4049 --day 2017-09-24</v>
      </c>
      <c r="AN174" s="151" t="str">
        <f t="shared" si="73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18:56:27"},{"id":29,"name":"Sharepoint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168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Message%20ID',Summary),filters:!(),index:'emp_*',interval:auto,query:"&amp;"(query_string:(analyze_wildcard:!t,query:'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-09-24T11:25:31-0600',mode:absolute,to:'2017-09-24T13:56:27-0600'))&amp;_a=(columns:!('Message%20ID',Summary),filters:!(),index:'emp_*',interval:auto,query:(query_string:(analyze_wildcard:!t,query:'%22rtdc.l.rtdc.4049%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722</v>
      </c>
      <c r="B175" s="7">
        <v>4050</v>
      </c>
      <c r="C175" s="21" t="s">
        <v>196</v>
      </c>
      <c r="D175" s="21" t="s">
        <v>891</v>
      </c>
      <c r="E175" s="13">
        <v>43002.546863425923</v>
      </c>
      <c r="F175" s="13">
        <v>43002.548680555556</v>
      </c>
      <c r="G175" s="7">
        <v>100</v>
      </c>
      <c r="H175" s="21" t="s">
        <v>878</v>
      </c>
      <c r="I175" s="13">
        <v>43002.55777777778</v>
      </c>
      <c r="J175" s="7">
        <v>0</v>
      </c>
      <c r="K175" s="89" t="str">
        <f t="shared" si="59"/>
        <v>4049/4050</v>
      </c>
      <c r="L175" s="185" t="str">
        <f>VLOOKUP(A175,'Trips&amp;Operators'!$C$1:$G$99911,5,FALSE)</f>
        <v>MACDONALD THOMAS</v>
      </c>
      <c r="M175" s="6">
        <f t="shared" si="60"/>
        <v>9.0972222242271528E-3</v>
      </c>
      <c r="N175" s="7">
        <f t="shared" si="74"/>
        <v>13.1000000028871</v>
      </c>
      <c r="O175" s="7"/>
      <c r="P175" s="7"/>
      <c r="Q175" s="22"/>
      <c r="R175" s="174"/>
      <c r="S175" s="221">
        <f t="shared" si="75"/>
        <v>1</v>
      </c>
      <c r="T175" s="174" t="str">
        <f t="shared" si="61"/>
        <v>NorthBound</v>
      </c>
      <c r="U175" s="198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16" t="str">
        <f t="shared" si="62"/>
        <v>https://d0f6bd738d7f1b3e5a7ca70fe4ff75f0.us-east-1.aws.found.io/app/kibana#/discover/Steve-Slow-Train-Analysis-(2080s-and-2083s)?_g=(refreshInterval:(display:Off,pause:!f,section:0,value:0),time:(from:'2017-09-24T12:07:29-0600',mode:absolute,to:'2017-09-24T14:23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5" s="204" t="str">
        <f>IF(AA175&lt;VLOOKUP(AG175,Variables!$AC$3:$AD$8,2,FALSE),"Y","N")</f>
        <v>N</v>
      </c>
      <c r="X175" s="204">
        <f t="shared" si="78"/>
        <v>1</v>
      </c>
      <c r="Y175" s="204">
        <f t="shared" si="76"/>
        <v>9.64E-2</v>
      </c>
      <c r="Z175" s="204">
        <f t="shared" si="77"/>
        <v>5.8910999999999998</v>
      </c>
      <c r="AA175" s="204">
        <f t="shared" si="63"/>
        <v>5.7946999999999997</v>
      </c>
      <c r="AB175" s="54" t="e">
        <f>VLOOKUP(A175,Enforcements!$C$7:$K$11,8,0)</f>
        <v>#N/A</v>
      </c>
      <c r="AC175" s="51" t="e">
        <f>VLOOKUP(A175,Enforcements!$C$7:$E$11,3,0)</f>
        <v>#N/A</v>
      </c>
      <c r="AD175" s="179">
        <f t="shared" si="64"/>
        <v>1815</v>
      </c>
      <c r="AE175" s="77" t="str">
        <f t="shared" si="65"/>
        <v>aws s3 cp s3://rtdc.mdm.uploadarchive.raw/RTDC4050/ "%USERPROFILE%\AppData\Local\Temp\OnboardLogs"\RTDC4050\2017-09-24 --exclude "*" --recursive --include "*20170924*" &amp; "%USERPROFILE%\Documents\GitHub\mrs-test-scripts\Headless Mode &amp; Sideloading\WalkAndUnGZ.bat" "%USERPROFILE%\AppData\Local\Temp\OnboardLogs"\RTDC4050\2017-09-24 &amp; 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</v>
      </c>
      <c r="AF175" s="74" t="str">
        <f t="shared" si="66"/>
        <v>"C:\Program Files (x86)\AstroGrep\AstroGrep.exe" /e /r /s /spath="%USERPROFILE%\AppData\Local\Temp\OnboardLogs" /stypes="app*4050*20170924*" /stext=" 19:.+((SYSTEM_STATE.+slice.+state.+changed )|(ment ac)|(multiple cpu faults)|(system.+state.+changed )|(\[timeout)|(PRM\|1\|D)|(kpr)|(kdp)|(train st.+moving)|(\|lc)|(penalty))"</v>
      </c>
      <c r="AG175" s="182" t="str">
        <f t="shared" si="67"/>
        <v>NW</v>
      </c>
      <c r="AH175" s="78" t="str">
        <f t="shared" si="70"/>
        <v>"%USERPROFILE%\Documents\GitHub\eaglep3\Utilities\RefineRTDCRunTimes.py" --tripid 1815-24 --locoid 4050 --swversion DE.1.0.9.0 --startMP 204:964 --initTime 2017-09-24T13:07:29 --startdatetime 2017-09-24T13:10:06 --delay 100 --endMP 300:58911 --enddatetime 2017-09-24T13:23:12 --enforcementcount 0 &gt;&gt;c:\users\stu\Documents\GitHub\eaglep3-reporting\EC\2017-09-24-refined-times.txt</v>
      </c>
      <c r="AI175" s="96" t="str">
        <f t="shared" si="71"/>
        <v>echo {"issue":{"subject":"","project_id":79,"tracker_id":40,"status_id":1,"priority_id":2,"assigned_to_id":338,"start_date":"2017-09-24","description":"","custom_fields":[{"id":1,"name":"Subdivision","value":"NW"},{"id":4,"name":"Milepost","value":"5.8911"},{"id":17,"name":"Train ID","value":"1815-24"},{"id":16,"name":"Locomotive ID","value":"4050"},{"id":130,"name":"Impact","value":""},{"id":150,"name":"Time of Event (Mountain Time)","value":"13:23:12"},{"id":151,"name":"Denver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5" s="47"/>
      <c r="AL175" s="47"/>
      <c r="AM175" s="142" t="str">
        <f t="shared" si="72"/>
        <v>start /low /b %USERPROFILE%\Documents\GitHub\eaglep3\Utilities\DownloadLogsFromS3.py --loco 4050 --day 2017-09-24</v>
      </c>
      <c r="AN175" s="151" t="str">
        <f t="shared" si="73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19:23:12"},{"id":29,"name":"Sharepoint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168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Message%20ID',Summary),filters:!(),index:'emp_*',interval:auto,query:"&amp;"(query_string:(analyze_wildcard:!t,query:'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-09-24T12:07:29-0600',mode:absolute,to:'2017-09-24T14:23:12-0600'))&amp;_a=(columns:!('Message%20ID',Summary),filters:!(),index:'emp_*',interval:auto,query:(query_string:(analyze_wildcard:!t,query:'%22rtdc.l.rtdc.4050%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727</v>
      </c>
      <c r="B176" s="7">
        <v>4049</v>
      </c>
      <c r="C176" s="21" t="s">
        <v>196</v>
      </c>
      <c r="D176" s="21" t="s">
        <v>892</v>
      </c>
      <c r="E176" s="13">
        <v>43002.558495370373</v>
      </c>
      <c r="F176" s="13">
        <v>43002.570104166669</v>
      </c>
      <c r="G176" s="7">
        <v>956</v>
      </c>
      <c r="H176" s="21" t="s">
        <v>893</v>
      </c>
      <c r="I176" s="13">
        <v>43002.580300925925</v>
      </c>
      <c r="J176" s="7">
        <v>0</v>
      </c>
      <c r="K176" s="89" t="str">
        <f t="shared" si="59"/>
        <v>4049/4050</v>
      </c>
      <c r="L176" s="185" t="str">
        <f>VLOOKUP(A176,'Trips&amp;Operators'!$C$1:$G$99911,5,FALSE)</f>
        <v>MACDONALD THOMAS</v>
      </c>
      <c r="M176" s="6">
        <f t="shared" si="60"/>
        <v>1.0196759256359655E-2</v>
      </c>
      <c r="N176" s="7">
        <f t="shared" si="74"/>
        <v>14.683333329157904</v>
      </c>
      <c r="O176" s="7"/>
      <c r="P176" s="7"/>
      <c r="Q176" s="22"/>
      <c r="R176" s="174"/>
      <c r="S176" s="221">
        <f t="shared" si="75"/>
        <v>1</v>
      </c>
      <c r="T176" s="174" t="str">
        <f t="shared" si="61"/>
        <v>Southbound</v>
      </c>
      <c r="U176" s="198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16" t="str">
        <f t="shared" si="62"/>
        <v>https://d0f6bd738d7f1b3e5a7ca70fe4ff75f0.us-east-1.aws.found.io/app/kibana#/discover/Steve-Slow-Train-Analysis-(2080s-and-2083s)?_g=(refreshInterval:(display:Off,pause:!f,section:0,value:0),time:(from:'2017-09-24T12:24:14-0600',mode:absolute,to:'2017-09-24T14:55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6" s="204" t="str">
        <f>IF(AA176&lt;VLOOKUP(AG176,Variables!$AC$3:$AD$8,2,FALSE),"Y","N")</f>
        <v>N</v>
      </c>
      <c r="X176" s="204">
        <f t="shared" si="78"/>
        <v>1</v>
      </c>
      <c r="Y176" s="204">
        <f t="shared" si="76"/>
        <v>5.86</v>
      </c>
      <c r="Z176" s="204">
        <f t="shared" si="77"/>
        <v>7.5899999999999995E-2</v>
      </c>
      <c r="AA176" s="204">
        <f t="shared" si="63"/>
        <v>5.7841000000000005</v>
      </c>
      <c r="AB176" s="54" t="e">
        <f>VLOOKUP(A176,Enforcements!$C$7:$K$11,8,0)</f>
        <v>#N/A</v>
      </c>
      <c r="AC176" s="51" t="e">
        <f>VLOOKUP(A176,Enforcements!$C$7:$E$11,3,0)</f>
        <v>#N/A</v>
      </c>
      <c r="AD176" s="179">
        <f t="shared" si="64"/>
        <v>1816</v>
      </c>
      <c r="AE176" s="77" t="str">
        <f t="shared" si="65"/>
        <v>aws s3 cp s3://rtdc.mdm.uploadarchive.raw/RTDC4049/ "%USERPROFILE%\AppData\Local\Temp\OnboardLogs"\RTDC4049\2017-09-24 --exclude "*" --recursive --include "*20170924*" &amp; "%USERPROFILE%\Documents\GitHub\mrs-test-scripts\Headless Mode &amp; Sideloading\WalkAndUnGZ.bat" "%USERPROFILE%\AppData\Local\Temp\OnboardLogs"\RTDC4049\2017-09-24 &amp; 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</v>
      </c>
      <c r="AF176" s="74" t="str">
        <f t="shared" si="66"/>
        <v>"C:\Program Files (x86)\AstroGrep\AstroGrep.exe" /e /r /s /spath="%USERPROFILE%\AppData\Local\Temp\OnboardLogs" /stypes="app*4049*20170924*" /stext=" 19:.+((SYSTEM_STATE.+slice.+state.+changed )|(ment ac)|(multiple cpu faults)|(system.+state.+changed )|(\[timeout)|(PRM\|1\|D)|(kpr)|(kdp)|(train st.+moving)|(\|lc)|(penalty))"</v>
      </c>
      <c r="AG176" s="182" t="str">
        <f t="shared" si="67"/>
        <v>NW</v>
      </c>
      <c r="AH176" s="78" t="str">
        <f t="shared" si="70"/>
        <v>"%USERPROFILE%\Documents\GitHub\eaglep3\Utilities\RefineRTDCRunTimes.py" --tripid 1816-24 --locoid 4049 --swversion DE.1.0.9.0 --startMP 300:58600 --initTime 2017-09-24T13:24:14 --startdatetime 2017-09-24T13:40:57 --delay 956 --endMP 204:759 --enddatetime 2017-09-24T13:55:38 --enforcementcount 0 &gt;&gt;c:\users\stu\Documents\GitHub\eaglep3-reporting\EC\2017-09-24-refined-times.txt</v>
      </c>
      <c r="AI176" s="96" t="str">
        <f t="shared" si="71"/>
        <v>echo {"issue":{"subject":"","project_id":79,"tracker_id":40,"status_id":1,"priority_id":2,"assigned_to_id":338,"start_date":"2017-09-24","description":"","custom_fields":[{"id":1,"name":"Subdivision","value":"NW"},{"id":4,"name":"Milepost","value":"0.0759"},{"id":17,"name":"Train ID","value":"1816-24"},{"id":16,"name":"Locomotive ID","value":"4049"},{"id":130,"name":"Impact","value":""},{"id":150,"name":"Time of Event (Mountain Time)","value":"13:55:38"},{"id":151,"name":"Denver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6" s="47"/>
      <c r="AL176" s="47"/>
      <c r="AM176" s="142" t="str">
        <f t="shared" si="72"/>
        <v>start /low /b %USERPROFILE%\Documents\GitHub\eaglep3\Utilities\DownloadLogsFromS3.py --loco 4049 --day 2017-09-24</v>
      </c>
      <c r="AN176" s="151" t="str">
        <f t="shared" si="73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19:55:38"},{"id":29,"name":"Sharepoint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168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Message%20ID',Summary),filters:!(),index:'emp_*',interval:auto,query:"&amp;"(query_string:(analyze_wildcard:!t,query:'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-09-24T12:24:14-0600',mode:absolute,to:'2017-09-24T14:55:38-0600'))&amp;_a=(columns:!('Message%20ID',Summary),filters:!(),index:'emp_*',interval:auto,query:(query_string:(analyze_wildcard:!t,query:'%22rtdc.l.rtdc.4049%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597</v>
      </c>
      <c r="B177" s="7">
        <v>4050</v>
      </c>
      <c r="C177" s="21" t="s">
        <v>196</v>
      </c>
      <c r="D177" s="21" t="s">
        <v>894</v>
      </c>
      <c r="E177" s="13">
        <v>43002.584398148145</v>
      </c>
      <c r="F177" s="13">
        <v>43002.590057870373</v>
      </c>
      <c r="G177" s="7">
        <v>94</v>
      </c>
      <c r="H177" s="21" t="s">
        <v>895</v>
      </c>
      <c r="I177" s="13">
        <v>43002.599189814813</v>
      </c>
      <c r="J177" s="7">
        <v>0</v>
      </c>
      <c r="K177" s="89" t="str">
        <f t="shared" si="59"/>
        <v>4049/4050</v>
      </c>
      <c r="L177" s="185" t="str">
        <f>VLOOKUP(A177,'Trips&amp;Operators'!$C$1:$G$99911,5,FALSE)</f>
        <v>HOLCOMB KAMDEN</v>
      </c>
      <c r="M177" s="6">
        <f t="shared" si="60"/>
        <v>9.1319444400141947E-3</v>
      </c>
      <c r="N177" s="7">
        <f t="shared" si="74"/>
        <v>13.14999999362044</v>
      </c>
      <c r="O177" s="7"/>
      <c r="P177" s="7"/>
      <c r="Q177" s="22"/>
      <c r="R177" s="174"/>
      <c r="S177" s="221">
        <f t="shared" si="75"/>
        <v>1</v>
      </c>
      <c r="T177" s="174" t="str">
        <f t="shared" si="61"/>
        <v>NorthBound</v>
      </c>
      <c r="U177" s="198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16" t="str">
        <f t="shared" si="62"/>
        <v>https://d0f6bd738d7f1b3e5a7ca70fe4ff75f0.us-east-1.aws.found.io/app/kibana#/discover/Steve-Slow-Train-Analysis-(2080s-and-2083s)?_g=(refreshInterval:(display:Off,pause:!f,section:0,value:0),time:(from:'2017-09-24T13:01:32-0600',mode:absolute,to:'2017-09-24T15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7" s="204" t="str">
        <f>IF(AA177&lt;VLOOKUP(AG177,Variables!$AC$3:$AD$8,2,FALSE),"Y","N")</f>
        <v>N</v>
      </c>
      <c r="X177" s="204">
        <f t="shared" si="78"/>
        <v>1</v>
      </c>
      <c r="Y177" s="204">
        <f t="shared" si="76"/>
        <v>0.10580000000000001</v>
      </c>
      <c r="Z177" s="204">
        <f t="shared" si="77"/>
        <v>5.9006999999999996</v>
      </c>
      <c r="AA177" s="204">
        <f t="shared" si="63"/>
        <v>5.7948999999999993</v>
      </c>
      <c r="AB177" s="54" t="e">
        <f>VLOOKUP(A177,Enforcements!$C$7:$K$11,8,0)</f>
        <v>#N/A</v>
      </c>
      <c r="AC177" s="51" t="e">
        <f>VLOOKUP(A177,Enforcements!$C$7:$E$11,3,0)</f>
        <v>#N/A</v>
      </c>
      <c r="AD177" s="179">
        <f t="shared" si="64"/>
        <v>1817</v>
      </c>
      <c r="AE177" s="77" t="str">
        <f t="shared" si="65"/>
        <v>aws s3 cp s3://rtdc.mdm.uploadarchive.raw/RTDC4050/ "%USERPROFILE%\AppData\Local\Temp\OnboardLogs"\RTDC4050\2017-09-24 --exclude "*" --recursive --include "*20170924*" &amp; "%USERPROFILE%\Documents\GitHub\mrs-test-scripts\Headless Mode &amp; Sideloading\WalkAndUnGZ.bat" "%USERPROFILE%\AppData\Local\Temp\OnboardLogs"\RTDC4050\2017-09-24 &amp; 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</v>
      </c>
      <c r="AF177" s="74" t="str">
        <f t="shared" si="66"/>
        <v>"C:\Program Files (x86)\AstroGrep\AstroGrep.exe" /e /r /s /spath="%USERPROFILE%\AppData\Local\Temp\OnboardLogs" /stypes="app*4050*20170924*" /stext=" 20:.+((SYSTEM_STATE.+slice.+state.+changed )|(ment ac)|(multiple cpu faults)|(system.+state.+changed )|(\[timeout)|(PRM\|1\|D)|(kpr)|(kdp)|(train st.+moving)|(\|lc)|(penalty))"</v>
      </c>
      <c r="AG177" s="182" t="str">
        <f t="shared" si="67"/>
        <v>NW</v>
      </c>
      <c r="AH177" s="78" t="str">
        <f t="shared" si="70"/>
        <v>"%USERPROFILE%\Documents\GitHub\eaglep3\Utilities\RefineRTDCRunTimes.py" --tripid 1817-24 --locoid 4050 --swversion DE.1.0.9.0 --startMP 204:1058 --initTime 2017-09-24T14:01:32 --startdatetime 2017-09-24T14:09:41 --delay 94 --endMP 300:59007 --enddatetime 2017-09-24T14:22:50 --enforcementcount 0 &gt;&gt;c:\users\stu\Documents\GitHub\eaglep3-reporting\EC\2017-09-24-refined-times.txt</v>
      </c>
      <c r="AI177" s="96" t="str">
        <f t="shared" si="71"/>
        <v>echo {"issue":{"subject":"","project_id":79,"tracker_id":40,"status_id":1,"priority_id":2,"assigned_to_id":338,"start_date":"2017-09-24","description":"","custom_fields":[{"id":1,"name":"Subdivision","value":"NW"},{"id":4,"name":"Milepost","value":"5.9007"},{"id":17,"name":"Train ID","value":"1817-24"},{"id":16,"name":"Locomotive ID","value":"4050"},{"id":130,"name":"Impact","value":""},{"id":150,"name":"Time of Event (Mountain Time)","value":"14:22:50"},{"id":151,"name":"Denver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7" s="47"/>
      <c r="AL177" s="47"/>
      <c r="AM177" s="142" t="str">
        <f t="shared" si="72"/>
        <v>start /low /b %USERPROFILE%\Documents\GitHub\eaglep3\Utilities\DownloadLogsFromS3.py --loco 4050 --day 2017-09-24</v>
      </c>
      <c r="AN177" s="151" t="str">
        <f t="shared" si="73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20:22:50"},{"id":29,"name":"Sharepoint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168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Message%20ID',Summary),filters:!(),index:'emp_*',interval:auto,query:"&amp;"(query_string:(analyze_wildcard:!t,query:'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-09-24T13:01:32-0600',mode:absolute,to:'2017-09-24T15:22:50-0600'))&amp;_a=(columns:!('Message%20ID',Summary),filters:!(),index:'emp_*',interval:auto,query:(query_string:(analyze_wildcard:!t,query:'%22rtdc.l.rtdc.4050%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736</v>
      </c>
      <c r="B178" s="7">
        <v>4049</v>
      </c>
      <c r="C178" s="21" t="s">
        <v>196</v>
      </c>
      <c r="D178" s="21" t="s">
        <v>896</v>
      </c>
      <c r="E178" s="13">
        <v>43002.608993055554</v>
      </c>
      <c r="F178" s="13">
        <v>43002.610833333332</v>
      </c>
      <c r="G178" s="7">
        <v>65</v>
      </c>
      <c r="H178" s="21" t="s">
        <v>571</v>
      </c>
      <c r="I178" s="13">
        <v>43002.621516203704</v>
      </c>
      <c r="J178" s="7">
        <v>0</v>
      </c>
      <c r="K178" s="89" t="str">
        <f t="shared" si="59"/>
        <v>4049/4050</v>
      </c>
      <c r="L178" s="185" t="str">
        <f>VLOOKUP(A178,'Trips&amp;Operators'!$C$1:$G$99911,5,FALSE)</f>
        <v>HOLCOMB KAMDEN</v>
      </c>
      <c r="M178" s="6">
        <f t="shared" si="60"/>
        <v>1.0682870371965691E-2</v>
      </c>
      <c r="N178" s="7">
        <f t="shared" si="74"/>
        <v>15.383333335630596</v>
      </c>
      <c r="O178" s="7"/>
      <c r="P178" s="7"/>
      <c r="Q178" s="22"/>
      <c r="R178" s="174"/>
      <c r="S178" s="221">
        <f t="shared" si="75"/>
        <v>1</v>
      </c>
      <c r="T178" s="174" t="str">
        <f t="shared" si="61"/>
        <v>Southbound</v>
      </c>
      <c r="U178" s="198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16" t="str">
        <f t="shared" si="62"/>
        <v>https://d0f6bd738d7f1b3e5a7ca70fe4ff75f0.us-east-1.aws.found.io/app/kibana#/discover/Steve-Slow-Train-Analysis-(2080s-and-2083s)?_g=(refreshInterval:(display:Off,pause:!f,section:0,value:0),time:(from:'2017-09-24T13:36:57-0600',mode:absolute,to:'2017-09-24T15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78" s="204" t="str">
        <f>IF(AA178&lt;VLOOKUP(AG178,Variables!$AC$3:$AD$8,2,FALSE),"Y","N")</f>
        <v>N</v>
      </c>
      <c r="X178" s="204">
        <f t="shared" si="78"/>
        <v>1</v>
      </c>
      <c r="Y178" s="204">
        <f t="shared" si="76"/>
        <v>5.8673000000000002</v>
      </c>
      <c r="Z178" s="204">
        <f t="shared" si="77"/>
        <v>6.7100000000000007E-2</v>
      </c>
      <c r="AA178" s="204">
        <f t="shared" si="63"/>
        <v>5.8002000000000002</v>
      </c>
      <c r="AB178" s="54" t="e">
        <f>VLOOKUP(A178,Enforcements!$C$7:$K$11,8,0)</f>
        <v>#N/A</v>
      </c>
      <c r="AC178" s="51" t="e">
        <f>VLOOKUP(A178,Enforcements!$C$7:$E$11,3,0)</f>
        <v>#N/A</v>
      </c>
      <c r="AD178" s="179">
        <f t="shared" si="64"/>
        <v>1818</v>
      </c>
      <c r="AE178" s="77" t="str">
        <f t="shared" si="65"/>
        <v>aws s3 cp s3://rtdc.mdm.uploadarchive.raw/RTDC4049/ "%USERPROFILE%\AppData\Local\Temp\OnboardLogs"\RTDC4049\2017-09-24 --exclude "*" --recursive --include "*20170924*" &amp; "%USERPROFILE%\Documents\GitHub\mrs-test-scripts\Headless Mode &amp; Sideloading\WalkAndUnGZ.bat" "%USERPROFILE%\AppData\Local\Temp\OnboardLogs"\RTDC4049\2017-09-24 &amp; 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</v>
      </c>
      <c r="AF178" s="74" t="str">
        <f t="shared" si="66"/>
        <v>"C:\Program Files (x86)\AstroGrep\AstroGrep.exe" /e /r /s /spath="%USERPROFILE%\AppData\Local\Temp\OnboardLogs" /stypes="app*4049*20170924*" /stext=" 20:.+((SYSTEM_STATE.+slice.+state.+changed )|(ment ac)|(multiple cpu faults)|(system.+state.+changed )|(\[timeout)|(PRM\|1\|D)|(kpr)|(kdp)|(train st.+moving)|(\|lc)|(penalty))"</v>
      </c>
      <c r="AG178" s="182" t="str">
        <f t="shared" si="67"/>
        <v>NW</v>
      </c>
      <c r="AH178" s="78" t="str">
        <f t="shared" si="70"/>
        <v>"%USERPROFILE%\Documents\GitHub\eaglep3\Utilities\RefineRTDCRunTimes.py" --tripid 1818-24 --locoid 4049 --swversion DE.1.0.9.0 --startMP 300:58673 --initTime 2017-09-24T14:36:57 --startdatetime 2017-09-24T14:39:36 --delay 65 --endMP 204:671 --enddatetime 2017-09-24T14:54:59 --enforcementcount 0 &gt;&gt;c:\users\stu\Documents\GitHub\eaglep3-reporting\EC\2017-09-24-refined-times.txt</v>
      </c>
      <c r="AI178" s="96" t="str">
        <f t="shared" si="71"/>
        <v>echo {"issue":{"subject":"","project_id":79,"tracker_id":40,"status_id":1,"priority_id":2,"assigned_to_id":338,"start_date":"2017-09-24","description":"","custom_fields":[{"id":1,"name":"Subdivision","value":"NW"},{"id":4,"name":"Milepost","value":"0.0671"},{"id":17,"name":"Train ID","value":"1818-24"},{"id":16,"name":"Locomotive ID","value":"4049"},{"id":130,"name":"Impact","value":""},{"id":150,"name":"Time of Event (Mountain Time)","value":"14:54:59"},{"id":151,"name":"Denver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8" s="47"/>
      <c r="AL178" s="47"/>
      <c r="AM178" s="142" t="str">
        <f t="shared" si="72"/>
        <v>start /low /b %USERPROFILE%\Documents\GitHub\eaglep3\Utilities\DownloadLogsFromS3.py --loco 4049 --day 2017-09-24</v>
      </c>
      <c r="AN178" s="151" t="str">
        <f t="shared" si="73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20:54:59"},{"id":29,"name":"Sharepoint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168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Message%20ID',Summary),filters:!(),index:'emp_*',interval:auto,query:"&amp;"(query_string:(analyze_wildcard:!t,query:'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-09-24T13:36:57-0600',mode:absolute,to:'2017-09-24T15:54:59-0600'))&amp;_a=(columns:!('Message%20ID',Summary),filters:!(),index:'emp_*',interval:auto,query:(query_string:(analyze_wildcard:!t,query:'%22rtdc.l.rtdc.4049%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740</v>
      </c>
      <c r="B179" s="7">
        <v>4050</v>
      </c>
      <c r="C179" s="21" t="s">
        <v>196</v>
      </c>
      <c r="D179" s="21" t="s">
        <v>897</v>
      </c>
      <c r="E179" s="13">
        <v>43002.625335648147</v>
      </c>
      <c r="F179" s="13">
        <v>43002.632361111115</v>
      </c>
      <c r="G179" s="7">
        <v>113</v>
      </c>
      <c r="H179" s="21" t="s">
        <v>898</v>
      </c>
      <c r="I179" s="13">
        <v>43002.640902777777</v>
      </c>
      <c r="J179" s="7">
        <v>0</v>
      </c>
      <c r="K179" s="89" t="str">
        <f t="shared" si="59"/>
        <v>4049/4050</v>
      </c>
      <c r="L179" s="185" t="str">
        <f>VLOOKUP(A179,'Trips&amp;Operators'!$C$1:$G$99911,5,FALSE)</f>
        <v>HOLCOMB KAMDEN</v>
      </c>
      <c r="M179" s="6">
        <f t="shared" si="60"/>
        <v>8.5416666624951176E-3</v>
      </c>
      <c r="N179" s="7">
        <f t="shared" si="74"/>
        <v>12.299999993992969</v>
      </c>
      <c r="O179" s="7"/>
      <c r="P179" s="7"/>
      <c r="Q179" s="22"/>
      <c r="R179" s="174"/>
      <c r="S179" s="221">
        <f t="shared" si="75"/>
        <v>1</v>
      </c>
      <c r="T179" s="174" t="str">
        <f t="shared" si="61"/>
        <v>NorthBound</v>
      </c>
      <c r="U179" s="198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16" t="str">
        <f t="shared" si="62"/>
        <v>https://d0f6bd738d7f1b3e5a7ca70fe4ff75f0.us-east-1.aws.found.io/app/kibana#/discover/Steve-Slow-Train-Analysis-(2080s-and-2083s)?_g=(refreshInterval:(display:Off,pause:!f,section:0,value:0),time:(from:'2017-09-24T14:00:29-0600',mode:absolute,to:'2017-09-24T16:22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79" s="204" t="str">
        <f>IF(AA179&lt;VLOOKUP(AG179,Variables!$AC$3:$AD$8,2,FALSE),"Y","N")</f>
        <v>N</v>
      </c>
      <c r="X179" s="204">
        <f t="shared" si="78"/>
        <v>1</v>
      </c>
      <c r="Y179" s="204">
        <f t="shared" si="76"/>
        <v>9.7900000000000001E-2</v>
      </c>
      <c r="Z179" s="204">
        <f t="shared" si="77"/>
        <v>5.899</v>
      </c>
      <c r="AA179" s="204">
        <f t="shared" si="63"/>
        <v>5.8010999999999999</v>
      </c>
      <c r="AB179" s="54" t="e">
        <f>VLOOKUP(A179,Enforcements!$C$7:$K$11,8,0)</f>
        <v>#N/A</v>
      </c>
      <c r="AC179" s="51" t="e">
        <f>VLOOKUP(A179,Enforcements!$C$7:$E$11,3,0)</f>
        <v>#N/A</v>
      </c>
      <c r="AD179" s="179">
        <f t="shared" si="64"/>
        <v>1819</v>
      </c>
      <c r="AE179" s="77" t="str">
        <f t="shared" si="65"/>
        <v>aws s3 cp s3://rtdc.mdm.uploadarchive.raw/RTDC4050/ "%USERPROFILE%\AppData\Local\Temp\OnboardLogs"\RTDC4050\2017-09-24 --exclude "*" --recursive --include "*20170924*" &amp; "%USERPROFILE%\Documents\GitHub\mrs-test-scripts\Headless Mode &amp; Sideloading\WalkAndUnGZ.bat" "%USERPROFILE%\AppData\Local\Temp\OnboardLogs"\RTDC4050\2017-09-24 &amp; 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</v>
      </c>
      <c r="AF179" s="74" t="str">
        <f t="shared" si="66"/>
        <v>"C:\Program Files (x86)\AstroGrep\AstroGrep.exe" /e /r /s /spath="%USERPROFILE%\AppData\Local\Temp\OnboardLogs" /stypes="app*4050*20170924*" /stext=" 21:.+((SYSTEM_STATE.+slice.+state.+changed )|(ment ac)|(multiple cpu faults)|(system.+state.+changed )|(\[timeout)|(PRM\|1\|D)|(kpr)|(kdp)|(train st.+moving)|(\|lc)|(penalty))"</v>
      </c>
      <c r="AG179" s="182" t="str">
        <f t="shared" si="67"/>
        <v>NW</v>
      </c>
      <c r="AH179" s="78" t="str">
        <f t="shared" si="70"/>
        <v>"%USERPROFILE%\Documents\GitHub\eaglep3\Utilities\RefineRTDCRunTimes.py" --tripid 1819-24 --locoid 4050 --swversion DE.1.0.9.0 --startMP 204:979 --initTime 2017-09-24T15:00:29 --startdatetime 2017-09-24T15:10:36 --delay 113 --endMP 300:58990 --enddatetime 2017-09-24T15:22:54 --enforcementcount 0 &gt;&gt;c:\users\stu\Documents\GitHub\eaglep3-reporting\EC\2017-09-24-refined-times.txt</v>
      </c>
      <c r="AI179" s="96" t="str">
        <f t="shared" si="71"/>
        <v>echo {"issue":{"subject":"","project_id":79,"tracker_id":40,"status_id":1,"priority_id":2,"assigned_to_id":338,"start_date":"2017-09-24","description":"","custom_fields":[{"id":1,"name":"Subdivision","value":"NW"},{"id":4,"name":"Milepost","value":"5.899"},{"id":17,"name":"Train ID","value":"1819-24"},{"id":16,"name":"Locomotive ID","value":"4050"},{"id":130,"name":"Impact","value":""},{"id":150,"name":"Time of Event (Mountain Time)","value":"15:22:54"},{"id":151,"name":"Denver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79" s="47"/>
      <c r="AL179" s="47"/>
      <c r="AM179" s="142" t="str">
        <f t="shared" si="72"/>
        <v>start /low /b %USERPROFILE%\Documents\GitHub\eaglep3\Utilities\DownloadLogsFromS3.py --loco 4050 --day 2017-09-24</v>
      </c>
      <c r="AN179" s="151" t="str">
        <f t="shared" si="73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21:22:54"},{"id":29,"name":"Sharepoint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168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Message%20ID',Summary),filters:!(),index:'emp_*',interval:auto,query:"&amp;"(query_string:(analyze_wildcard:!t,query:'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-09-24T14:00:29-0600',mode:absolute,to:'2017-09-24T16:22:54-0600'))&amp;_a=(columns:!('Message%20ID',Summary),filters:!(),index:'emp_*',interval:auto,query:(query_string:(analyze_wildcard:!t,query:'%22rtdc.l.rtdc.4050%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25">
      <c r="A180" s="32" t="s">
        <v>744</v>
      </c>
      <c r="B180" s="7">
        <v>4049</v>
      </c>
      <c r="C180" s="21" t="s">
        <v>196</v>
      </c>
      <c r="D180" s="21" t="s">
        <v>899</v>
      </c>
      <c r="E180" s="13">
        <v>43002.651145833333</v>
      </c>
      <c r="F180" s="13">
        <v>43002.652754629627</v>
      </c>
      <c r="G180" s="7">
        <v>53</v>
      </c>
      <c r="H180" s="21" t="s">
        <v>900</v>
      </c>
      <c r="I180" s="13">
        <v>43002.663171296299</v>
      </c>
      <c r="J180" s="7">
        <v>0</v>
      </c>
      <c r="K180" s="89" t="str">
        <f t="shared" si="59"/>
        <v>4049/4050</v>
      </c>
      <c r="L180" s="185" t="str">
        <f>VLOOKUP(A180,'Trips&amp;Operators'!$C$1:$G$99911,5,FALSE)</f>
        <v>HOLCOMB KAMDEN</v>
      </c>
      <c r="M180" s="6">
        <f t="shared" si="60"/>
        <v>1.0416666671517305E-2</v>
      </c>
      <c r="N180" s="7">
        <f t="shared" si="74"/>
        <v>15.000000006984919</v>
      </c>
      <c r="O180" s="7"/>
      <c r="P180" s="7"/>
      <c r="Q180" s="22"/>
      <c r="R180" s="174"/>
      <c r="S180" s="221">
        <f t="shared" si="75"/>
        <v>1</v>
      </c>
      <c r="T180" s="174" t="str">
        <f t="shared" si="61"/>
        <v>Southbound</v>
      </c>
      <c r="U180" s="198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16" t="str">
        <f t="shared" si="62"/>
        <v>https://d0f6bd738d7f1b3e5a7ca70fe4ff75f0.us-east-1.aws.found.io/app/kibana#/discover/Steve-Slow-Train-Analysis-(2080s-and-2083s)?_g=(refreshInterval:(display:Off,pause:!f,section:0,value:0),time:(from:'2017-09-24T14:37:39-0600',mode:absolute,to:'2017-09-24T16:54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0" s="204" t="str">
        <f>IF(AA180&lt;VLOOKUP(AG180,Variables!$AC$3:$AD$8,2,FALSE),"Y","N")</f>
        <v>N</v>
      </c>
      <c r="X180" s="204">
        <f t="shared" si="78"/>
        <v>1</v>
      </c>
      <c r="Y180" s="204">
        <f t="shared" si="76"/>
        <v>5.8674999999999997</v>
      </c>
      <c r="Z180" s="204">
        <f t="shared" si="77"/>
        <v>7.0099999999999996E-2</v>
      </c>
      <c r="AA180" s="204">
        <f t="shared" si="63"/>
        <v>5.7973999999999997</v>
      </c>
      <c r="AB180" s="54" t="e">
        <f>VLOOKUP(A180,Enforcements!$C$7:$K$11,8,0)</f>
        <v>#N/A</v>
      </c>
      <c r="AC180" s="51" t="e">
        <f>VLOOKUP(A180,Enforcements!$C$7:$E$11,3,0)</f>
        <v>#N/A</v>
      </c>
      <c r="AD180" s="179">
        <f t="shared" si="64"/>
        <v>1820</v>
      </c>
      <c r="AE180" s="77" t="str">
        <f t="shared" si="65"/>
        <v>aws s3 cp s3://rtdc.mdm.uploadarchive.raw/RTDC4049/ "%USERPROFILE%\AppData\Local\Temp\OnboardLogs"\RTDC4049\2017-09-24 --exclude "*" --recursive --include "*20170924*" &amp; "%USERPROFILE%\Documents\GitHub\mrs-test-scripts\Headless Mode &amp; Sideloading\WalkAndUnGZ.bat" "%USERPROFILE%\AppData\Local\Temp\OnboardLogs"\RTDC4049\2017-09-24 &amp; 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</v>
      </c>
      <c r="AF180" s="74" t="str">
        <f t="shared" si="66"/>
        <v>"C:\Program Files (x86)\AstroGrep\AstroGrep.exe" /e /r /s /spath="%USERPROFILE%\AppData\Local\Temp\OnboardLogs" /stypes="app*4049*20170924*" /stext=" 21:.+((SYSTEM_STATE.+slice.+state.+changed )|(ment ac)|(multiple cpu faults)|(system.+state.+changed )|(\[timeout)|(PRM\|1\|D)|(kpr)|(kdp)|(train st.+moving)|(\|lc)|(penalty))"</v>
      </c>
      <c r="AG180" s="182" t="str">
        <f t="shared" si="67"/>
        <v>NW</v>
      </c>
      <c r="AH180" s="78" t="str">
        <f t="shared" si="70"/>
        <v>"%USERPROFILE%\Documents\GitHub\eaglep3\Utilities\RefineRTDCRunTimes.py" --tripid 1820-24 --locoid 4049 --swversion DE.1.0.9.0 --startMP 300:58675 --initTime 2017-09-24T15:37:39 --startdatetime 2017-09-24T15:39:58 --delay 53 --endMP 204:701 --enddatetime 2017-09-24T15:54:58 --enforcementcount 0 &gt;&gt;c:\users\stu\Documents\GitHub\eaglep3-reporting\EC\2017-09-24-refined-times.txt</v>
      </c>
      <c r="AI180" s="96" t="str">
        <f t="shared" si="71"/>
        <v>echo {"issue":{"subject":"","project_id":79,"tracker_id":40,"status_id":1,"priority_id":2,"assigned_to_id":338,"start_date":"2017-09-24","description":"","custom_fields":[{"id":1,"name":"Subdivision","value":"NW"},{"id":4,"name":"Milepost","value":"0.0701"},{"id":17,"name":"Train ID","value":"1820-24"},{"id":16,"name":"Locomotive ID","value":"4049"},{"id":130,"name":"Impact","value":""},{"id":150,"name":"Time of Event (Mountain Time)","value":"15:54:58"},{"id":151,"name":"Denver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0" s="47"/>
      <c r="AL180" s="47"/>
      <c r="AM180" s="142" t="str">
        <f t="shared" si="72"/>
        <v>start /low /b %USERPROFILE%\Documents\GitHub\eaglep3\Utilities\DownloadLogsFromS3.py --loco 4049 --day 2017-09-24</v>
      </c>
      <c r="AN180" s="151" t="str">
        <f t="shared" si="73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21:54:58"},{"id":29,"name":"Sharepoint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168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Message%20ID',Summary),filters:!(),index:'emp_*',interval:auto,query:"&amp;"(query_string:(analyze_wildcard:!t,query:'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-09-24T14:37:39-0600',mode:absolute,to:'2017-09-24T16:54:58-0600'))&amp;_a=(columns:!('Message%20ID',Summary),filters:!(),index:'emp_*',interval:auto,query:(query_string:(analyze_wildcard:!t,query:'%22rtdc.l.rtdc.4049%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25">
      <c r="A181" s="32" t="s">
        <v>599</v>
      </c>
      <c r="B181" s="7">
        <v>4050</v>
      </c>
      <c r="C181" s="21" t="s">
        <v>196</v>
      </c>
      <c r="D181" s="21" t="s">
        <v>877</v>
      </c>
      <c r="E181" s="13">
        <v>43002.665266203701</v>
      </c>
      <c r="F181" s="13">
        <v>43002.673611111109</v>
      </c>
      <c r="G181" s="7">
        <v>57</v>
      </c>
      <c r="H181" s="21" t="s">
        <v>901</v>
      </c>
      <c r="I181" s="13">
        <v>43002.683680555558</v>
      </c>
      <c r="J181" s="7">
        <v>0</v>
      </c>
      <c r="K181" s="89" t="str">
        <f t="shared" si="59"/>
        <v>4049/4050</v>
      </c>
      <c r="L181" s="185" t="str">
        <f>VLOOKUP(A181,'Trips&amp;Operators'!$C$1:$G$99911,5,FALSE)</f>
        <v>HOLCOMB KAMDEN</v>
      </c>
      <c r="M181" s="6">
        <f t="shared" si="60"/>
        <v>1.0069444448163267E-2</v>
      </c>
      <c r="N181" s="7">
        <f t="shared" si="74"/>
        <v>14.500000005355105</v>
      </c>
      <c r="O181" s="7"/>
      <c r="P181" s="7"/>
      <c r="Q181" s="22"/>
      <c r="R181" s="174"/>
      <c r="S181" s="221">
        <f t="shared" si="75"/>
        <v>1</v>
      </c>
      <c r="T181" s="174" t="str">
        <f t="shared" si="61"/>
        <v>NorthBound</v>
      </c>
      <c r="U181" s="198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16" t="str">
        <f t="shared" si="62"/>
        <v>https://d0f6bd738d7f1b3e5a7ca70fe4ff75f0.us-east-1.aws.found.io/app/kibana#/discover/Steve-Slow-Train-Analysis-(2080s-and-2083s)?_g=(refreshInterval:(display:Off,pause:!f,section:0,value:0),time:(from:'2017-09-24T14:57:59-0600',mode:absolute,to:'2017-09-24T17:24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1" s="204" t="str">
        <f>IF(AA181&lt;VLOOKUP(AG181,Variables!$AC$3:$AD$8,2,FALSE),"Y","N")</f>
        <v>N</v>
      </c>
      <c r="X181" s="204">
        <f t="shared" si="78"/>
        <v>1</v>
      </c>
      <c r="Y181" s="204">
        <f t="shared" si="76"/>
        <v>9.9199999999999997E-2</v>
      </c>
      <c r="Z181" s="204">
        <f t="shared" si="77"/>
        <v>5.9001000000000001</v>
      </c>
      <c r="AA181" s="204">
        <f t="shared" si="63"/>
        <v>5.8009000000000004</v>
      </c>
      <c r="AB181" s="54" t="e">
        <f>VLOOKUP(A181,Enforcements!$C$7:$K$11,8,0)</f>
        <v>#N/A</v>
      </c>
      <c r="AC181" s="51" t="e">
        <f>VLOOKUP(A181,Enforcements!$C$7:$E$11,3,0)</f>
        <v>#N/A</v>
      </c>
      <c r="AD181" s="179">
        <f t="shared" si="64"/>
        <v>1821</v>
      </c>
      <c r="AE181" s="77" t="str">
        <f t="shared" si="65"/>
        <v>aws s3 cp s3://rtdc.mdm.uploadarchive.raw/RTDC4050/ "%USERPROFILE%\AppData\Local\Temp\OnboardLogs"\RTDC4050\2017-09-24 --exclude "*" --recursive --include "*20170924*" &amp; "%USERPROFILE%\Documents\GitHub\mrs-test-scripts\Headless Mode &amp; Sideloading\WalkAndUnGZ.bat" "%USERPROFILE%\AppData\Local\Temp\OnboardLogs"\RTDC4050\2017-09-24 &amp; 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</v>
      </c>
      <c r="AF181" s="74" t="str">
        <f t="shared" si="66"/>
        <v>"C:\Program Files (x86)\AstroGrep\AstroGrep.exe" /e /r /s /spath="%USERPROFILE%\AppData\Local\Temp\OnboardLogs" /stypes="app*4050*20170924*" /stext=" 22:.+((SYSTEM_STATE.+slice.+state.+changed )|(ment ac)|(multiple cpu faults)|(system.+state.+changed )|(\[timeout)|(PRM\|1\|D)|(kpr)|(kdp)|(train st.+moving)|(\|lc)|(penalty))"</v>
      </c>
      <c r="AG181" s="182" t="str">
        <f t="shared" si="67"/>
        <v>NW</v>
      </c>
      <c r="AH181" s="78" t="str">
        <f t="shared" si="70"/>
        <v>"%USERPROFILE%\Documents\GitHub\eaglep3\Utilities\RefineRTDCRunTimes.py" --tripid 1821-24 --locoid 4050 --swversion DE.1.0.9.0 --startMP 204:992 --initTime 2017-09-24T15:57:59 --startdatetime 2017-09-24T16:10:00 --delay 57 --endMP 300:59001 --enddatetime 2017-09-24T16:24:30 --enforcementcount 0 &gt;&gt;c:\users\stu\Documents\GitHub\eaglep3-reporting\EC\2017-09-24-refined-times.txt</v>
      </c>
      <c r="AI181" s="96" t="str">
        <f t="shared" si="71"/>
        <v>echo {"issue":{"subject":"","project_id":79,"tracker_id":40,"status_id":1,"priority_id":2,"assigned_to_id":338,"start_date":"2017-09-24","description":"","custom_fields":[{"id":1,"name":"Subdivision","value":"NW"},{"id":4,"name":"Milepost","value":"5.9001"},{"id":17,"name":"Train ID","value":"1821-24"},{"id":16,"name":"Locomotive ID","value":"4050"},{"id":130,"name":"Impact","value":""},{"id":150,"name":"Time of Event (Mountain Time)","value":"16:24:30"},{"id":151,"name":"Denver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1" s="47"/>
      <c r="AL181" s="47"/>
      <c r="AM181" s="142" t="str">
        <f t="shared" si="72"/>
        <v>start /low /b %USERPROFILE%\Documents\GitHub\eaglep3\Utilities\DownloadLogsFromS3.py --loco 4050 --day 2017-09-24</v>
      </c>
      <c r="AN181" s="151" t="str">
        <f t="shared" si="73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22:24:30"},{"id":29,"name":"Sharepoint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168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Message%20ID',Summary),filters:!(),index:'emp_*',interval:auto,query:"&amp;"(query_string:(analyze_wildcard:!t,query:'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-09-24T14:57:59-0600',mode:absolute,to:'2017-09-24T17:24:30-0600'))&amp;_a=(columns:!('Message%20ID',Summary),filters:!(),index:'emp_*',interval:auto,query:(query_string:(analyze_wildcard:!t,query:'%22rtdc.l.rtdc.4050%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25">
      <c r="A182" s="32" t="s">
        <v>756</v>
      </c>
      <c r="B182" s="7">
        <v>4049</v>
      </c>
      <c r="C182" s="21" t="s">
        <v>196</v>
      </c>
      <c r="D182" s="21" t="s">
        <v>569</v>
      </c>
      <c r="E182" s="13">
        <v>43002.692187499997</v>
      </c>
      <c r="F182" s="13">
        <v>43002.693518518521</v>
      </c>
      <c r="G182" s="7">
        <v>48</v>
      </c>
      <c r="H182" s="21" t="s">
        <v>412</v>
      </c>
      <c r="I182" s="13">
        <v>43002.704583333332</v>
      </c>
      <c r="J182" s="7">
        <v>0</v>
      </c>
      <c r="K182" s="89" t="str">
        <f t="shared" si="59"/>
        <v>4049/4050</v>
      </c>
      <c r="L182" s="185" t="str">
        <f>VLOOKUP(A182,'Trips&amp;Operators'!$C$1:$G$99911,5,FALSE)</f>
        <v>HOLCOMB KAMDEN</v>
      </c>
      <c r="M182" s="6">
        <f t="shared" si="60"/>
        <v>1.1064814811106771E-2</v>
      </c>
      <c r="N182" s="7">
        <f t="shared" si="74"/>
        <v>15.933333327993751</v>
      </c>
      <c r="O182" s="7"/>
      <c r="P182" s="7"/>
      <c r="Q182" s="22"/>
      <c r="R182" s="174"/>
      <c r="S182" s="221">
        <f t="shared" si="75"/>
        <v>1</v>
      </c>
      <c r="T182" s="174" t="str">
        <f t="shared" si="61"/>
        <v>Southbound</v>
      </c>
      <c r="U182" s="198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16" t="str">
        <f t="shared" si="62"/>
        <v>https://d0f6bd738d7f1b3e5a7ca70fe4ff75f0.us-east-1.aws.found.io/app/kibana#/discover/Steve-Slow-Train-Analysis-(2080s-and-2083s)?_g=(refreshInterval:(display:Off,pause:!f,section:0,value:0),time:(from:'2017-09-24T15:36:45-0600',mode:absolute,to:'2017-09-24T17:54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2" s="204" t="str">
        <f>IF(AA182&lt;VLOOKUP(AG182,Variables!$AC$3:$AD$8,2,FALSE),"Y","N")</f>
        <v>N</v>
      </c>
      <c r="X182" s="204">
        <f t="shared" si="78"/>
        <v>1</v>
      </c>
      <c r="Y182" s="204">
        <f t="shared" si="76"/>
        <v>5.8678999999999997</v>
      </c>
      <c r="Z182" s="204">
        <f t="shared" si="77"/>
        <v>6.8500000000000005E-2</v>
      </c>
      <c r="AA182" s="204">
        <f t="shared" si="63"/>
        <v>5.7993999999999994</v>
      </c>
      <c r="AB182" s="54" t="e">
        <f>VLOOKUP(A182,Enforcements!$C$7:$K$11,8,0)</f>
        <v>#N/A</v>
      </c>
      <c r="AC182" s="51" t="e">
        <f>VLOOKUP(A182,Enforcements!$C$7:$E$11,3,0)</f>
        <v>#N/A</v>
      </c>
      <c r="AD182" s="179">
        <f t="shared" si="64"/>
        <v>1822</v>
      </c>
      <c r="AE182" s="77" t="str">
        <f t="shared" si="65"/>
        <v>aws s3 cp s3://rtdc.mdm.uploadarchive.raw/RTDC4049/ "%USERPROFILE%\AppData\Local\Temp\OnboardLogs"\RTDC4049\2017-09-24 --exclude "*" --recursive --include "*20170924*" &amp; "%USERPROFILE%\Documents\GitHub\mrs-test-scripts\Headless Mode &amp; Sideloading\WalkAndUnGZ.bat" "%USERPROFILE%\AppData\Local\Temp\OnboardLogs"\RTDC4049\2017-09-24 &amp; 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</v>
      </c>
      <c r="AF182" s="74" t="str">
        <f t="shared" si="66"/>
        <v>"C:\Program Files (x86)\AstroGrep\AstroGrep.exe" /e /r /s /spath="%USERPROFILE%\AppData\Local\Temp\OnboardLogs" /stypes="app*4049*20170924*" /stext=" 22:.+((SYSTEM_STATE.+slice.+state.+changed )|(ment ac)|(multiple cpu faults)|(system.+state.+changed )|(\[timeout)|(PRM\|1\|D)|(kpr)|(kdp)|(train st.+moving)|(\|lc)|(penalty))"</v>
      </c>
      <c r="AG182" s="182" t="str">
        <f t="shared" si="67"/>
        <v>NW</v>
      </c>
      <c r="AH182" s="78" t="str">
        <f t="shared" si="70"/>
        <v>"%USERPROFILE%\Documents\GitHub\eaglep3\Utilities\RefineRTDCRunTimes.py" --tripid 1822-24 --locoid 4049 --swversion DE.1.0.9.0 --startMP 300:58679 --initTime 2017-09-24T16:36:45 --startdatetime 2017-09-24T16:38:40 --delay 48 --endMP 204:685 --enddatetime 2017-09-24T16:54:36 --enforcementcount 0 &gt;&gt;c:\users\stu\Documents\GitHub\eaglep3-reporting\EC\2017-09-24-refined-times.txt</v>
      </c>
      <c r="AI182" s="96" t="str">
        <f t="shared" si="71"/>
        <v>echo {"issue":{"subject":"","project_id":79,"tracker_id":40,"status_id":1,"priority_id":2,"assigned_to_id":338,"start_date":"2017-09-24","description":"","custom_fields":[{"id":1,"name":"Subdivision","value":"NW"},{"id":4,"name":"Milepost","value":"0.0685"},{"id":17,"name":"Train ID","value":"1822-24"},{"id":16,"name":"Locomotive ID","value":"4049"},{"id":130,"name":"Impact","value":""},{"id":150,"name":"Time of Event (Mountain Time)","value":"16:54:36"},{"id":151,"name":"Denver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2" s="47"/>
      <c r="AL182" s="47"/>
      <c r="AM182" s="142" t="str">
        <f t="shared" si="72"/>
        <v>start /low /b %USERPROFILE%\Documents\GitHub\eaglep3\Utilities\DownloadLogsFromS3.py --loco 4049 --day 2017-09-24</v>
      </c>
      <c r="AN182" s="151" t="str">
        <f t="shared" si="73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22:54:36"},{"id":29,"name":"Sharepoint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168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Message%20ID',Summary),filters:!(),index:'emp_*',interval:auto,query:"&amp;"(query_string:(analyze_wildcard:!t,query:'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-09-24T15:36:45-0600',mode:absolute,to:'2017-09-24T17:54:36-0600'))&amp;_a=(columns:!('Message%20ID',Summary),filters:!(),index:'emp_*',interval:auto,query:(query_string:(analyze_wildcard:!t,query:'%22rtdc.l.rtdc.4049%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25">
      <c r="A183" s="32" t="s">
        <v>760</v>
      </c>
      <c r="B183" s="7">
        <v>4050</v>
      </c>
      <c r="C183" s="21" t="s">
        <v>196</v>
      </c>
      <c r="D183" s="21" t="s">
        <v>902</v>
      </c>
      <c r="E183" s="13">
        <v>43002.706365740742</v>
      </c>
      <c r="F183" s="13">
        <v>43002.714861111112</v>
      </c>
      <c r="G183" s="7">
        <v>56</v>
      </c>
      <c r="H183" s="21" t="s">
        <v>898</v>
      </c>
      <c r="I183" s="13">
        <v>43002.725439814814</v>
      </c>
      <c r="J183" s="7">
        <v>0</v>
      </c>
      <c r="K183" s="89" t="str">
        <f t="shared" si="59"/>
        <v>4049/4050</v>
      </c>
      <c r="L183" s="185" t="str">
        <f>VLOOKUP(A183,'Trips&amp;Operators'!$C$1:$G$99911,5,FALSE)</f>
        <v>HOLCOMB KAMDEN</v>
      </c>
      <c r="M183" s="6">
        <f t="shared" si="60"/>
        <v>1.0578703702776693E-2</v>
      </c>
      <c r="N183" s="7">
        <f t="shared" si="74"/>
        <v>15.233333331998438</v>
      </c>
      <c r="O183" s="7"/>
      <c r="P183" s="7"/>
      <c r="Q183" s="22"/>
      <c r="R183" s="174"/>
      <c r="S183" s="221">
        <f t="shared" si="75"/>
        <v>1</v>
      </c>
      <c r="T183" s="174" t="str">
        <f t="shared" si="61"/>
        <v>NorthBound</v>
      </c>
      <c r="U183" s="198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16" t="str">
        <f t="shared" si="62"/>
        <v>https://d0f6bd738d7f1b3e5a7ca70fe4ff75f0.us-east-1.aws.found.io/app/kibana#/discover/Steve-Slow-Train-Analysis-(2080s-and-2083s)?_g=(refreshInterval:(display:Off,pause:!f,section:0,value:0),time:(from:'2017-09-24T15:57:10-0600',mode:absolute,to:'2017-09-24T18:24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3" s="204" t="str">
        <f>IF(AA183&lt;VLOOKUP(AG183,Variables!$AC$3:$AD$8,2,FALSE),"Y","N")</f>
        <v>N</v>
      </c>
      <c r="X183" s="204">
        <f t="shared" si="78"/>
        <v>1</v>
      </c>
      <c r="Y183" s="204">
        <f t="shared" si="76"/>
        <v>9.69E-2</v>
      </c>
      <c r="Z183" s="204">
        <f t="shared" si="77"/>
        <v>5.899</v>
      </c>
      <c r="AA183" s="204">
        <f t="shared" si="63"/>
        <v>5.8021000000000003</v>
      </c>
      <c r="AB183" s="54" t="e">
        <f>VLOOKUP(A183,Enforcements!$C$7:$K$11,8,0)</f>
        <v>#N/A</v>
      </c>
      <c r="AC183" s="51" t="e">
        <f>VLOOKUP(A183,Enforcements!$C$7:$E$11,3,0)</f>
        <v>#N/A</v>
      </c>
      <c r="AD183" s="179">
        <f t="shared" si="64"/>
        <v>1823</v>
      </c>
      <c r="AE183" s="77" t="str">
        <f t="shared" si="65"/>
        <v>aws s3 cp s3://rtdc.mdm.uploadarchive.raw/RTDC4050/ "%USERPROFILE%\AppData\Local\Temp\OnboardLogs"\RTDC4050\2017-09-24 --exclude "*" --recursive --include "*20170924*" &amp; "%USERPROFILE%\Documents\GitHub\mrs-test-scripts\Headless Mode &amp; Sideloading\WalkAndUnGZ.bat" "%USERPROFILE%\AppData\Local\Temp\OnboardLogs"\RTDC4050\2017-09-24 &amp; 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</v>
      </c>
      <c r="AF183" s="74" t="str">
        <f t="shared" si="66"/>
        <v>"C:\Program Files (x86)\AstroGrep\AstroGrep.exe" /e /r /s /spath="%USERPROFILE%\AppData\Local\Temp\OnboardLogs" /stypes="app*4050*20170924*" /stext=" 23:.+((SYSTEM_STATE.+slice.+state.+changed )|(ment ac)|(multiple cpu faults)|(system.+state.+changed )|(\[timeout)|(PRM\|1\|D)|(kpr)|(kdp)|(train st.+moving)|(\|lc)|(penalty))"</v>
      </c>
      <c r="AG183" s="182" t="str">
        <f t="shared" si="67"/>
        <v>NW</v>
      </c>
      <c r="AH183" s="78" t="str">
        <f t="shared" si="70"/>
        <v>"%USERPROFILE%\Documents\GitHub\eaglep3\Utilities\RefineRTDCRunTimes.py" --tripid 1823-24 --locoid 4050 --swversion DE.1.0.9.0 --startMP 204:969 --initTime 2017-09-24T16:57:10 --startdatetime 2017-09-24T17:09:24 --delay 56 --endMP 300:58990 --enddatetime 2017-09-24T17:24:38 --enforcementcount 0 &gt;&gt;c:\users\stu\Documents\GitHub\eaglep3-reporting\EC\2017-09-24-refined-times.txt</v>
      </c>
      <c r="AI183" s="96" t="str">
        <f t="shared" si="71"/>
        <v>echo {"issue":{"subject":"","project_id":79,"tracker_id":40,"status_id":1,"priority_id":2,"assigned_to_id":338,"start_date":"2017-09-24","description":"","custom_fields":[{"id":1,"name":"Subdivision","value":"NW"},{"id":4,"name":"Milepost","value":"5.899"},{"id":17,"name":"Train ID","value":"1823-24"},{"id":16,"name":"Locomotive ID","value":"4050"},{"id":130,"name":"Impact","value":""},{"id":150,"name":"Time of Event (Mountain Time)","value":"17:24:38"},{"id":151,"name":"Denver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3" s="47"/>
      <c r="AL183" s="47"/>
      <c r="AM183" s="142" t="str">
        <f t="shared" si="72"/>
        <v>start /low /b %USERPROFILE%\Documents\GitHub\eaglep3\Utilities\DownloadLogsFromS3.py --loco 4050 --day 2017-09-24</v>
      </c>
      <c r="AN183" s="151" t="str">
        <f t="shared" si="73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23:24:38"},{"id":29,"name":"Sharepoint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168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Message%20ID',Summary),filters:!(),index:'emp_*',interval:auto,query:"&amp;"(query_string:(analyze_wildcard:!t,query:'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-09-24T15:57:10-0600',mode:absolute,to:'2017-09-24T18:24:38-0600'))&amp;_a=(columns:!('Message%20ID',Summary),filters:!(),index:'emp_*',interval:auto,query:(query_string:(analyze_wildcard:!t,query:'%22rtdc.l.rtdc.4050%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0" customFormat="1" x14ac:dyDescent="0.25">
      <c r="A184" s="32" t="s">
        <v>766</v>
      </c>
      <c r="B184" s="7">
        <v>4049</v>
      </c>
      <c r="C184" s="21" t="s">
        <v>196</v>
      </c>
      <c r="D184" s="21" t="s">
        <v>903</v>
      </c>
      <c r="E184" s="13">
        <v>43002.733657407407</v>
      </c>
      <c r="F184" s="13">
        <v>43002.735879629632</v>
      </c>
      <c r="G184" s="7">
        <v>67</v>
      </c>
      <c r="H184" s="21" t="s">
        <v>904</v>
      </c>
      <c r="I184" s="13">
        <v>43002.746400462966</v>
      </c>
      <c r="J184" s="7">
        <v>0</v>
      </c>
      <c r="K184" s="89" t="str">
        <f t="shared" si="59"/>
        <v>4049/4050</v>
      </c>
      <c r="L184" s="185" t="str">
        <f>VLOOKUP(A184,'Trips&amp;Operators'!$C$1:$G$99911,5,FALSE)</f>
        <v>HOLCOMB KAMDEN</v>
      </c>
      <c r="M184" s="6">
        <f t="shared" si="60"/>
        <v>1.0520833333430346E-2</v>
      </c>
      <c r="N184" s="7">
        <f t="shared" si="74"/>
        <v>15.150000000139698</v>
      </c>
      <c r="O184" s="7"/>
      <c r="P184" s="7"/>
      <c r="Q184" s="22"/>
      <c r="R184" s="174"/>
      <c r="S184" s="221">
        <f t="shared" si="75"/>
        <v>1</v>
      </c>
      <c r="T184" s="174" t="str">
        <f t="shared" si="61"/>
        <v>Southbound</v>
      </c>
      <c r="U184" s="198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16" t="str">
        <f t="shared" si="62"/>
        <v>https://d0f6bd738d7f1b3e5a7ca70fe4ff75f0.us-east-1.aws.found.io/app/kibana#/discover/Steve-Slow-Train-Analysis-(2080s-and-2083s)?_g=(refreshInterval:(display:Off,pause:!f,section:0,value:0),time:(from:'2017-09-24T16:36:28-0600',mode:absolute,to:'2017-09-24T18:54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4" s="204" t="str">
        <f>IF(AA184&lt;VLOOKUP(AG184,Variables!$AC$3:$AD$8,2,FALSE),"Y","N")</f>
        <v>N</v>
      </c>
      <c r="X184" s="204">
        <f t="shared" si="78"/>
        <v>1</v>
      </c>
      <c r="Y184" s="204">
        <f t="shared" si="76"/>
        <v>5.8672000000000004</v>
      </c>
      <c r="Z184" s="204">
        <f t="shared" si="77"/>
        <v>6.7000000000000004E-2</v>
      </c>
      <c r="AA184" s="204">
        <f t="shared" si="63"/>
        <v>5.8002000000000002</v>
      </c>
      <c r="AB184" s="54" t="e">
        <f>VLOOKUP(A184,Enforcements!$C$7:$K$11,8,0)</f>
        <v>#N/A</v>
      </c>
      <c r="AC184" s="51" t="e">
        <f>VLOOKUP(A184,Enforcements!$C$7:$E$11,3,0)</f>
        <v>#N/A</v>
      </c>
      <c r="AD184" s="179">
        <f t="shared" si="64"/>
        <v>1824</v>
      </c>
      <c r="AE184" s="77" t="str">
        <f t="shared" si="65"/>
        <v>aws s3 cp s3://rtdc.mdm.uploadarchive.raw/RTDC4049/ "%USERPROFILE%\AppData\Local\Temp\OnboardLogs"\RTDC4049\2017-09-24 --exclude "*" --recursive --include "*20170924*" &amp; "%USERPROFILE%\Documents\GitHub\mrs-test-scripts\Headless Mode &amp; Sideloading\WalkAndUnGZ.bat" "%USERPROFILE%\AppData\Local\Temp\OnboardLogs"\RTDC4049\2017-09-24 &amp; 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</v>
      </c>
      <c r="AF184" s="74" t="str">
        <f t="shared" si="66"/>
        <v>"C:\Program Files (x86)\AstroGrep\AstroGrep.exe" /e /r /s /spath="%USERPROFILE%\AppData\Local\Temp\OnboardLogs" /stypes="app*4049*20170924*" /stext=" 23:.+((SYSTEM_STATE.+slice.+state.+changed )|(ment ac)|(multiple cpu faults)|(system.+state.+changed )|(\[timeout)|(PRM\|1\|D)|(kpr)|(kdp)|(train st.+moving)|(\|lc)|(penalty))"</v>
      </c>
      <c r="AG184" s="182" t="str">
        <f t="shared" si="67"/>
        <v>NW</v>
      </c>
      <c r="AH184" s="78" t="str">
        <f t="shared" si="70"/>
        <v>"%USERPROFILE%\Documents\GitHub\eaglep3\Utilities\RefineRTDCRunTimes.py" --tripid 1824-24 --locoid 4049 --swversion DE.1.0.9.0 --startMP 300:58672 --initTime 2017-09-24T17:36:28 --startdatetime 2017-09-24T17:39:40 --delay 67 --endMP 204:670 --enddatetime 2017-09-24T17:54:49 --enforcementcount 0 &gt;&gt;c:\users\stu\Documents\GitHub\eaglep3-reporting\EC\2017-09-24-refined-times.txt</v>
      </c>
      <c r="AI184" s="96" t="str">
        <f t="shared" si="71"/>
        <v>echo {"issue":{"subject":"","project_id":79,"tracker_id":40,"status_id":1,"priority_id":2,"assigned_to_id":338,"start_date":"2017-09-24","description":"","custom_fields":[{"id":1,"name":"Subdivision","value":"NW"},{"id":4,"name":"Milepost","value":"0.067"},{"id":17,"name":"Train ID","value":"1824-24"},{"id":16,"name":"Locomotive ID","value":"4049"},{"id":130,"name":"Impact","value":""},{"id":150,"name":"Time of Event (Mountain Time)","value":"17:54:49"},{"id":151,"name":"Denver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4" s="47"/>
      <c r="AL184" s="47"/>
      <c r="AM184" s="142" t="str">
        <f t="shared" si="72"/>
        <v>start /low /b %USERPROFILE%\Documents\GitHub\eaglep3\Utilities\DownloadLogsFromS3.py --loco 4049 --day 2017-09-24</v>
      </c>
      <c r="AN184" s="151" t="str">
        <f t="shared" si="73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23:54:49"},{"id":29,"name":"Sharepoint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168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Message%20ID',Summary),filters:!(),index:'emp_*',interval:auto,query:"&amp;"(query_string:(analyze_wildcard:!t,query:'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-09-24T16:36:28-0600',mode:absolute,to:'2017-09-24T18:54:49-0600'))&amp;_a=(columns:!('Message%20ID',Summary),filters:!(),index:'emp_*',interval:auto,query:(query_string:(analyze_wildcard:!t,query:'%22rtdc.l.rtdc.4049%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25">
      <c r="A185" s="32" t="s">
        <v>603</v>
      </c>
      <c r="B185" s="7">
        <v>4050</v>
      </c>
      <c r="C185" s="21" t="s">
        <v>196</v>
      </c>
      <c r="D185" s="21" t="s">
        <v>903</v>
      </c>
      <c r="E185" s="13">
        <v>43002.733657407407</v>
      </c>
      <c r="F185" s="13">
        <v>43002.756562499999</v>
      </c>
      <c r="G185" s="7">
        <v>67</v>
      </c>
      <c r="H185" s="21" t="s">
        <v>904</v>
      </c>
      <c r="I185" s="13">
        <v>43002.766157407408</v>
      </c>
      <c r="J185" s="7">
        <v>0</v>
      </c>
      <c r="K185" s="89" t="str">
        <f t="shared" si="59"/>
        <v>4049/4050</v>
      </c>
      <c r="L185" s="185" t="str">
        <f>VLOOKUP(A185,'Trips&amp;Operators'!$C$1:$G$99911,5,FALSE)</f>
        <v>HOLCOMB KAMDEN</v>
      </c>
      <c r="M185" s="6">
        <f t="shared" si="60"/>
        <v>9.5949074093368836E-3</v>
      </c>
      <c r="N185" s="7">
        <f t="shared" si="74"/>
        <v>13.816666669445112</v>
      </c>
      <c r="O185" s="7"/>
      <c r="P185" s="7"/>
      <c r="Q185" s="22"/>
      <c r="R185" s="174"/>
      <c r="S185" s="221">
        <f t="shared" si="75"/>
        <v>1</v>
      </c>
      <c r="T185" s="174" t="str">
        <f t="shared" si="61"/>
        <v>NorthBound</v>
      </c>
      <c r="U185" s="198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16" t="str">
        <f t="shared" si="62"/>
        <v>https://d0f6bd738d7f1b3e5a7ca70fe4ff75f0.us-east-1.aws.found.io/app/kibana#/discover/Steve-Slow-Train-Analysis-(2080s-and-2083s)?_g=(refreshInterval:(display:Off,pause:!f,section:0,value:0),time:(from:'2017-09-24T16:36:28-0600',mode:absolute,to:'2017-09-24T19:23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5" s="204" t="str">
        <f>IF(AA185&lt;VLOOKUP(AG185,Variables!$AC$3:$AD$8,2,FALSE),"Y","N")</f>
        <v>N</v>
      </c>
      <c r="X185" s="204">
        <f t="shared" si="78"/>
        <v>1</v>
      </c>
      <c r="Y185" s="204">
        <v>9.69E-2</v>
      </c>
      <c r="Z185" s="204">
        <v>5.899</v>
      </c>
      <c r="AA185" s="204">
        <f t="shared" si="63"/>
        <v>5.8021000000000003</v>
      </c>
      <c r="AB185" s="54" t="e">
        <f>VLOOKUP(A185,Enforcements!$C$7:$K$11,8,0)</f>
        <v>#N/A</v>
      </c>
      <c r="AC185" s="51" t="e">
        <f>VLOOKUP(A185,Enforcements!$C$7:$E$11,3,0)</f>
        <v>#N/A</v>
      </c>
      <c r="AD185" s="179">
        <f t="shared" si="64"/>
        <v>1825</v>
      </c>
      <c r="AE185" s="77" t="str">
        <f t="shared" si="65"/>
        <v>aws s3 cp s3://rtdc.mdm.uploadarchive.raw/RTDC4050/ "%USERPROFILE%\AppData\Local\Temp\OnboardLogs"\RTDC4050\2017-09-24 --exclude "*" --recursive --include "*20170924*" &amp; "%USERPROFILE%\Documents\GitHub\mrs-test-scripts\Headless Mode &amp; Sideloading\WalkAndUnGZ.bat" "%USERPROFILE%\AppData\Local\Temp\OnboardLogs"\RTDC4050\2017-09-24 &amp; 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</v>
      </c>
      <c r="AF185" s="74" t="str">
        <f t="shared" si="66"/>
        <v>"C:\Program Files (x86)\AstroGrep\AstroGrep.exe" /e /r /s /spath="%USERPROFILE%\AppData\Local\Temp\OnboardLogs" /stypes="app*4050*20170925*" /stext=" 00:.+((SYSTEM_STATE.+slice.+state.+changed )|(ment ac)|(multiple cpu faults)|(system.+state.+changed )|(\[timeout)|(PRM\|1\|D)|(kpr)|(kdp)|(train st.+moving)|(\|lc)|(penalty))"</v>
      </c>
      <c r="AG185" s="182" t="str">
        <f t="shared" si="67"/>
        <v>NW</v>
      </c>
      <c r="AH185" s="78" t="str">
        <f t="shared" ref="AH185" si="79">refinertdcruntimes&amp;" --tripid "&amp;A185&amp;" --locoid "&amp;B185&amp;" --swversion "&amp;C185&amp;" --startMP "&amp;D185&amp;" --initTime "&amp;TEXT(E185,"yyyy-mm-ddTHH:MM:SS")&amp;" --startdatetime "&amp;TEXT(F185,"yyyy-mm-ddTHH:MM:SS")&amp;" --delay "&amp;G185&amp;" --endMP "&amp;H185&amp;" --enddatetime "&amp;TEXT(I185,"yyyy-mm-ddTHH:MM:SS")&amp;" --enforcementcount "&amp;J185&amp;IF(outputrefinedruntimes," &gt;&gt;"&amp;RefinedRTDCRunTimesOutputFile,"")</f>
        <v>"%USERPROFILE%\Documents\GitHub\eaglep3\Utilities\RefineRTDCRunTimes.py" --tripid 1825-24 --locoid 4050 --swversion DE.1.0.9.0 --startMP 300:58672 --initTime 2017-09-24T17:36:28 --startdatetime 2017-09-24T18:09:27 --delay 67 --endMP 204:670 --enddatetime 2017-09-24T18:23:16 --enforcementcount 0 &gt;&gt;c:\users\stu\Documents\GitHub\eaglep3-reporting\EC\2017-09-24-refined-times.txt</v>
      </c>
      <c r="AI185" s="96" t="str">
        <f t="shared" ref="AI185" si="80">"echo {""issue"":{""subject"":"""&amp;R185&amp;""",""project_id"":79,""tracker_id"":40,""status_id"":"&amp;redmine_status&amp;",""priority_id"":"&amp;redmine_priority&amp;",""assigned_to_id"":"&amp;redmine_assignee&amp;",""start_date"":"""&amp;TEXT(I185,"YYYY-mm-dd")&amp;""",""description"":"""&amp;AJ185&amp;""",""custom_fields"":[{""id"":1,""name"":""Subdivision"",""value"":"""&amp;AG185&amp;"""},{""id"":4,""name"":""Milepost"",""value"":"""&amp;Z185&amp;"""},{""id"":17,""name"":""Train ID"",""value"":"""&amp;A185&amp;"""},{""id"":16,""name"":""Locomotive ID"",""value"":"""&amp;B185&amp;"""},{""id"":130,""name"":""Impact"",""value"":"""&amp;AK185&amp;"""},{""id"":150,""name"":""Time of Event (Mountain Time)"",""value"":"""&amp;TEXT(I185,"hh:mm:ss")&amp;"""},{""id"":151,""name"":""Denver Issue ID"",""value"":"""&amp;"""},{""id"":178,""name"":""Operational Impact"",""value"":"""&amp;redmine_op_impact&amp;"""},{""id"":179,""name"":""Denver Segment Assigned"",""value"":"""&amp;AL185&amp;"""}]}}"&amp;"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{"issue":{"subject":"","project_id":79,"tracker_id":40,"status_id":1,"priority_id":2,"assigned_to_id":338,"start_date":"2017-09-24","description":"","custom_fields":[{"id":1,"name":"Subdivision","value":"NW"},{"id":4,"name":"Milepost","value":"5.899"},{"id":17,"name":"Train ID","value":"1825-24"},{"id":16,"name":"Locomotive ID","value":"4050"},{"id":130,"name":"Impact","value":""},{"id":150,"name":"Time of Event (Mountain Time)","value":"18:23:16"},{"id":151,"name":"Denver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5" s="47"/>
      <c r="AL185" s="47"/>
      <c r="AM185" s="142" t="str">
        <f t="shared" ref="AM185" si="81">"start /low /b "&amp;dls3logs&amp;" --loco "&amp;B185&amp;" --day "&amp;TEXT(F185,"YYYY-MM-DD")</f>
        <v>start /low /b %USERPROFILE%\Documents\GitHub\eaglep3\Utilities\DownloadLogsFromS3.py --loco 4050 --day 2017-09-24</v>
      </c>
      <c r="AN185" s="151" t="str">
        <f t="shared" ref="AN185" si="82">"echo {""issue"":{""subject"":"""&amp;R185&amp;""",""project_id"":30,""tracker_id"":4,""status_id"":"&amp;redmine_status_wcr&amp;",""priority_id"":"&amp;redmine_priority_wcr&amp;",""assigned_to_id"":"&amp;redmine_assignee_wcr&amp;",""start_date"":"""&amp;TEXT(I185-utc_offset/24,"YYYY-mm-dd")&amp;""",""description"":"""&amp;AJ185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00:23:16"},{"id":29,"name":"Sharepoint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168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Message%20ID',Summary),filters:!(),index:'emp_*',interval:auto,query:"&amp;"(query_string:(analyze_wildcard:!t,query:'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-09-24T16:36:28-0600',mode:absolute,to:'2017-09-24T19:23:16-0600'))&amp;_a=(columns:!('Message%20ID',Summary),filters:!(),index:'emp_*',interval:auto,query:(query_string:(analyze_wildcard:!t,query:'%22rtdc.l.rtdc.4050%22')),sort:!(Time.ISO8601,asc))</v>
      </c>
    </row>
    <row r="186" spans="1:91" s="20" customFormat="1" x14ac:dyDescent="0.25">
      <c r="A186" s="32" t="s">
        <v>777</v>
      </c>
      <c r="B186" s="7">
        <v>4049</v>
      </c>
      <c r="C186" s="21" t="s">
        <v>196</v>
      </c>
      <c r="D186" s="21" t="s">
        <v>905</v>
      </c>
      <c r="E186" s="13">
        <v>43002.775497685187</v>
      </c>
      <c r="F186" s="13">
        <v>43002.777199074073</v>
      </c>
      <c r="G186" s="7">
        <v>59</v>
      </c>
      <c r="H186" s="21" t="s">
        <v>900</v>
      </c>
      <c r="I186" s="13">
        <v>43002.787928240738</v>
      </c>
      <c r="J186" s="7">
        <v>0</v>
      </c>
      <c r="K186" s="89" t="str">
        <f t="shared" si="59"/>
        <v>4049/4050</v>
      </c>
      <c r="L186" s="185" t="str">
        <f>VLOOKUP(A186,'Trips&amp;Operators'!$C$1:$G$99911,5,FALSE)</f>
        <v>HOLCOMB KAMDEN</v>
      </c>
      <c r="M186" s="6">
        <f t="shared" si="60"/>
        <v>1.0729166664532386E-2</v>
      </c>
      <c r="N186" s="7">
        <f t="shared" si="74"/>
        <v>15.449999996926636</v>
      </c>
      <c r="O186" s="7"/>
      <c r="P186" s="7"/>
      <c r="Q186" s="22"/>
      <c r="R186" s="174"/>
      <c r="S186" s="221">
        <f t="shared" si="75"/>
        <v>1</v>
      </c>
      <c r="T186" s="174" t="str">
        <f t="shared" si="61"/>
        <v>Southbound</v>
      </c>
      <c r="U186" s="198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16" t="str">
        <f t="shared" si="62"/>
        <v>https://d0f6bd738d7f1b3e5a7ca70fe4ff75f0.us-east-1.aws.found.io/app/kibana#/discover/Steve-Slow-Train-Analysis-(2080s-and-2083s)?_g=(refreshInterval:(display:Off,pause:!f,section:0,value:0),time:(from:'2017-09-24T17:36:43-0600',mode:absolute,to:'2017-09-24T19:54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6" s="204" t="str">
        <f>IF(AA186&lt;VLOOKUP(AG186,Variables!$AC$3:$AD$8,2,FALSE),"Y","N")</f>
        <v>N</v>
      </c>
      <c r="X186" s="204">
        <f t="shared" si="78"/>
        <v>1</v>
      </c>
      <c r="Y186" s="204">
        <f>RIGHT(D186,LEN(D186)-4)/10000</f>
        <v>5.8677000000000001</v>
      </c>
      <c r="Z186" s="204">
        <f>RIGHT(H186,LEN(H186)-4)/10000</f>
        <v>7.0099999999999996E-2</v>
      </c>
      <c r="AA186" s="204">
        <f t="shared" si="63"/>
        <v>5.7976000000000001</v>
      </c>
      <c r="AB186" s="54" t="e">
        <f>VLOOKUP(A186,Enforcements!$C$7:$K$11,8,0)</f>
        <v>#N/A</v>
      </c>
      <c r="AC186" s="51" t="e">
        <f>VLOOKUP(A186,Enforcements!$C$7:$E$11,3,0)</f>
        <v>#N/A</v>
      </c>
      <c r="AD186" s="179">
        <f t="shared" si="64"/>
        <v>1826</v>
      </c>
      <c r="AE186" s="77" t="str">
        <f t="shared" si="65"/>
        <v>aws s3 cp s3://rtdc.mdm.uploadarchive.raw/RTDC4049/ "%USERPROFILE%\AppData\Local\Temp\OnboardLogs"\RTDC4049\2017-09-24 --exclude "*" --recursive --include "*20170924*" &amp; "%USERPROFILE%\Documents\GitHub\mrs-test-scripts\Headless Mode &amp; Sideloading\WalkAndUnGZ.bat" "%USERPROFILE%\AppData\Local\Temp\OnboardLogs"\RTDC4049\2017-09-24 &amp; 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</v>
      </c>
      <c r="AF186" s="74" t="str">
        <f t="shared" si="66"/>
        <v>"C:\Program Files (x86)\AstroGrep\AstroGrep.exe" /e /r /s /spath="%USERPROFILE%\AppData\Local\Temp\OnboardLogs" /stypes="app*4049*20170925*" /stext=" 00:.+((SYSTEM_STATE.+slice.+state.+changed )|(ment ac)|(multiple cpu faults)|(system.+state.+changed )|(\[timeout)|(PRM\|1\|D)|(kpr)|(kdp)|(train st.+moving)|(\|lc)|(penalty))"</v>
      </c>
      <c r="AG186" s="182" t="str">
        <f t="shared" si="67"/>
        <v>NW</v>
      </c>
      <c r="AH186" s="78" t="str">
        <f t="shared" si="70"/>
        <v>"%USERPROFILE%\Documents\GitHub\eaglep3\Utilities\RefineRTDCRunTimes.py" --tripid 1826-24 --locoid 4049 --swversion DE.1.0.9.0 --startMP 300:58677 --initTime 2017-09-24T18:36:43 --startdatetime 2017-09-24T18:39:10 --delay 59 --endMP 204:701 --enddatetime 2017-09-24T18:54:37 --enforcementcount 0 &gt;&gt;c:\users\stu\Documents\GitHub\eaglep3-reporting\EC\2017-09-24-refined-times.txt</v>
      </c>
      <c r="AI186" s="96" t="str">
        <f t="shared" si="71"/>
        <v>echo {"issue":{"subject":"","project_id":79,"tracker_id":40,"status_id":1,"priority_id":2,"assigned_to_id":338,"start_date":"2017-09-24","description":"","custom_fields":[{"id":1,"name":"Subdivision","value":"NW"},{"id":4,"name":"Milepost","value":"0.0701"},{"id":17,"name":"Train ID","value":"1826-24"},{"id":16,"name":"Locomotive ID","value":"4049"},{"id":130,"name":"Impact","value":""},{"id":150,"name":"Time of Event (Mountain Time)","value":"18:54:37"},{"id":151,"name":"Denver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6" s="47"/>
      <c r="AL186" s="47"/>
      <c r="AM186" s="142" t="str">
        <f t="shared" si="72"/>
        <v>start /low /b %USERPROFILE%\Documents\GitHub\eaglep3\Utilities\DownloadLogsFromS3.py --loco 4049 --day 2017-09-24</v>
      </c>
      <c r="AN186" s="151" t="str">
        <f t="shared" si="7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00:54:37"},{"id":29,"name":"Sharepoint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168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Message%20ID',Summary),filters:!(),index:'emp_*',interval:auto,query:"&amp;"(query_string:(analyze_wildcard:!t,query:'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-09-24T17:36:43-0600',mode:absolute,to:'2017-09-24T19:54:37-0600'))&amp;_a=(columns:!('Message%20ID',Summary),filters:!(),index:'emp_*',interval:auto,query:(query_string:(analyze_wildcard:!t,query:'%22rtdc.l.rtdc.4049%22')),sort:!(Time.ISO8601,asc))</v>
      </c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</row>
    <row r="187" spans="1:91" s="20" customFormat="1" x14ac:dyDescent="0.25">
      <c r="A187" s="32" t="s">
        <v>605</v>
      </c>
      <c r="B187" s="7">
        <v>4050</v>
      </c>
      <c r="C187" s="21" t="s">
        <v>196</v>
      </c>
      <c r="D187" s="21" t="s">
        <v>451</v>
      </c>
      <c r="E187" s="13">
        <v>43002.792951388888</v>
      </c>
      <c r="F187" s="13">
        <v>43002.798136574071</v>
      </c>
      <c r="G187" s="7">
        <v>51</v>
      </c>
      <c r="H187" s="21" t="s">
        <v>906</v>
      </c>
      <c r="I187" s="13">
        <v>43002.808229166665</v>
      </c>
      <c r="J187" s="7">
        <v>0</v>
      </c>
      <c r="K187" s="89" t="str">
        <f t="shared" si="59"/>
        <v>4049/4050</v>
      </c>
      <c r="L187" s="185" t="str">
        <f>VLOOKUP(A187,'Trips&amp;Operators'!$C$1:$G$99911,5,FALSE)</f>
        <v>HOLCOMB KAMDEN</v>
      </c>
      <c r="M187" s="6">
        <f t="shared" si="60"/>
        <v>1.0092592594446614E-2</v>
      </c>
      <c r="N187" s="7">
        <f t="shared" si="74"/>
        <v>14.533333336003125</v>
      </c>
      <c r="O187" s="7"/>
      <c r="P187" s="7"/>
      <c r="Q187" s="22"/>
      <c r="R187" s="174"/>
      <c r="S187" s="221">
        <f t="shared" si="75"/>
        <v>1</v>
      </c>
      <c r="T187" s="174" t="str">
        <f t="shared" si="61"/>
        <v>NorthBound</v>
      </c>
      <c r="U187" s="198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16" t="str">
        <f t="shared" si="62"/>
        <v>https://d0f6bd738d7f1b3e5a7ca70fe4ff75f0.us-east-1.aws.found.io/app/kibana#/discover/Steve-Slow-Train-Analysis-(2080s-and-2083s)?_g=(refreshInterval:(display:Off,pause:!f,section:0,value:0),time:(from:'2017-09-24T18:01:51-0600',mode:absolute,to:'2017-09-24T20:23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87" s="204" t="str">
        <f>IF(AA187&lt;VLOOKUP(AG187,Variables!$AC$3:$AD$8,2,FALSE),"Y","N")</f>
        <v>N</v>
      </c>
      <c r="X187" s="204">
        <f t="shared" si="78"/>
        <v>1</v>
      </c>
      <c r="Y187" s="204">
        <f>RIGHT(D187,LEN(D187)-4)/10000</f>
        <v>9.8100000000000007E-2</v>
      </c>
      <c r="Z187" s="204">
        <f>RIGHT(H187,LEN(H187)-4)/10000</f>
        <v>5.9002999999999997</v>
      </c>
      <c r="AA187" s="204">
        <f t="shared" si="63"/>
        <v>5.8022</v>
      </c>
      <c r="AB187" s="54" t="e">
        <f>VLOOKUP(A187,Enforcements!$C$7:$K$11,8,0)</f>
        <v>#N/A</v>
      </c>
      <c r="AC187" s="51" t="e">
        <f>VLOOKUP(A187,Enforcements!$C$7:$E$11,3,0)</f>
        <v>#N/A</v>
      </c>
      <c r="AD187" s="179">
        <f t="shared" si="64"/>
        <v>1827</v>
      </c>
      <c r="AE187" s="77" t="str">
        <f t="shared" si="65"/>
        <v>aws s3 cp s3://rtdc.mdm.uploadarchive.raw/RTDC4050/ "%USERPROFILE%\AppData\Local\Temp\OnboardLogs"\RTDC4050\2017-09-24 --exclude "*" --recursive --include "*20170924*" &amp; "%USERPROFILE%\Documents\GitHub\mrs-test-scripts\Headless Mode &amp; Sideloading\WalkAndUnGZ.bat" "%USERPROFILE%\AppData\Local\Temp\OnboardLogs"\RTDC4050\2017-09-24 &amp; 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</v>
      </c>
      <c r="AF187" s="74" t="str">
        <f t="shared" si="66"/>
        <v>"C:\Program Files (x86)\AstroGrep\AstroGrep.exe" /e /r /s /spath="%USERPROFILE%\AppData\Local\Temp\OnboardLogs" /stypes="app*4050*20170925*" /stext=" 01:.+((SYSTEM_STATE.+slice.+state.+changed )|(ment ac)|(multiple cpu faults)|(system.+state.+changed )|(\[timeout)|(PRM\|1\|D)|(kpr)|(kdp)|(train st.+moving)|(\|lc)|(penalty))"</v>
      </c>
      <c r="AG187" s="182" t="str">
        <f t="shared" si="67"/>
        <v>NW</v>
      </c>
      <c r="AH187" s="78" t="str">
        <f t="shared" si="70"/>
        <v>"%USERPROFILE%\Documents\GitHub\eaglep3\Utilities\RefineRTDCRunTimes.py" --tripid 1827-24 --locoid 4050 --swversion DE.1.0.9.0 --startMP 204:981 --initTime 2017-09-24T19:01:51 --startdatetime 2017-09-24T19:09:19 --delay 51 --endMP 300:59003 --enddatetime 2017-09-24T19:23:51 --enforcementcount 0 &gt;&gt;c:\users\stu\Documents\GitHub\eaglep3-reporting\EC\2017-09-24-refined-times.txt</v>
      </c>
      <c r="AI187" s="96" t="str">
        <f t="shared" si="71"/>
        <v>echo {"issue":{"subject":"","project_id":79,"tracker_id":40,"status_id":1,"priority_id":2,"assigned_to_id":338,"start_date":"2017-09-24","description":"","custom_fields":[{"id":1,"name":"Subdivision","value":"NW"},{"id":4,"name":"Milepost","value":"5.9003"},{"id":17,"name":"Train ID","value":"1827-24"},{"id":16,"name":"Locomotive ID","value":"4050"},{"id":130,"name":"Impact","value":""},{"id":150,"name":"Time of Event (Mountain Time)","value":"19:23:51"},{"id":151,"name":"Denver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7" s="47"/>
      <c r="AL187" s="47"/>
      <c r="AM187" s="142" t="str">
        <f t="shared" si="72"/>
        <v>start /low /b %USERPROFILE%\Documents\GitHub\eaglep3\Utilities\DownloadLogsFromS3.py --loco 4050 --day 2017-09-24</v>
      </c>
      <c r="AN187" s="151" t="str">
        <f t="shared" si="7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01:23:51"},{"id":29,"name":"Sharepoint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168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Message%20ID',Summary),filters:!(),index:'emp_*',interval:auto,query:"&amp;"(query_string:(analyze_wildcard:!t,query:'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-09-24T18:01:51-0600',mode:absolute,to:'2017-09-24T20:23:51-0600'))&amp;_a=(columns:!('Message%20ID',Summary),filters:!(),index:'emp_*',interval:auto,query:(query_string:(analyze_wildcard:!t,query:'%22rtdc.l.rtdc.4050%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25">
      <c r="A188" s="32" t="s">
        <v>607</v>
      </c>
      <c r="B188" s="7">
        <v>4049</v>
      </c>
      <c r="C188" s="21" t="s">
        <v>196</v>
      </c>
      <c r="D188" s="21" t="s">
        <v>907</v>
      </c>
      <c r="E188" s="13">
        <v>43002.82172453704</v>
      </c>
      <c r="F188" s="13">
        <v>43002.822557870371</v>
      </c>
      <c r="G188" s="7">
        <v>39</v>
      </c>
      <c r="H188" s="21" t="s">
        <v>908</v>
      </c>
      <c r="I188" s="13">
        <v>43002.832708333335</v>
      </c>
      <c r="J188" s="7">
        <v>0</v>
      </c>
      <c r="K188" s="89" t="str">
        <f t="shared" si="59"/>
        <v>4049/4050</v>
      </c>
      <c r="L188" s="185" t="str">
        <f>VLOOKUP(A188,'Trips&amp;Operators'!$C$1:$G$99911,5,FALSE)</f>
        <v>HOLCOMB KAMDEN</v>
      </c>
      <c r="M188" s="6">
        <f t="shared" si="60"/>
        <v>1.0150462963792961E-2</v>
      </c>
      <c r="N188" s="7">
        <f t="shared" si="74"/>
        <v>14.616666667861864</v>
      </c>
      <c r="O188" s="7"/>
      <c r="P188" s="7"/>
      <c r="Q188" s="22"/>
      <c r="R188" s="174"/>
      <c r="S188" s="221">
        <f t="shared" si="75"/>
        <v>1</v>
      </c>
      <c r="T188" s="174" t="str">
        <f t="shared" si="61"/>
        <v>Southbound</v>
      </c>
      <c r="U188" s="198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16" t="str">
        <f t="shared" si="62"/>
        <v>https://d0f6bd738d7f1b3e5a7ca70fe4ff75f0.us-east-1.aws.found.io/app/kibana#/discover/Steve-Slow-Train-Analysis-(2080s-and-2083s)?_g=(refreshInterval:(display:Off,pause:!f,section:0,value:0),time:(from:'2017-09-24T18:43:17-0600',mode:absolute,to:'2017-09-24T20:59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8" s="204" t="str">
        <f>IF(AA188&lt;VLOOKUP(AG188,Variables!$AC$3:$AD$8,2,FALSE),"Y","N")</f>
        <v>N</v>
      </c>
      <c r="X188" s="204">
        <f t="shared" si="78"/>
        <v>1</v>
      </c>
      <c r="Y188" s="204">
        <f>RIGHT(D188,LEN(D188)-4)/10000</f>
        <v>5.7320000000000002</v>
      </c>
      <c r="Z188" s="204">
        <f>RIGHT(H188,LEN(H188)-4)/10000</f>
        <v>6.7299999999999999E-2</v>
      </c>
      <c r="AA188" s="204">
        <f t="shared" si="63"/>
        <v>5.6646999999999998</v>
      </c>
      <c r="AB188" s="54" t="e">
        <f>VLOOKUP(A188,Enforcements!$C$7:$K$11,8,0)</f>
        <v>#N/A</v>
      </c>
      <c r="AC188" s="51" t="e">
        <f>VLOOKUP(A188,Enforcements!$C$7:$E$11,3,0)</f>
        <v>#N/A</v>
      </c>
      <c r="AD188" s="179">
        <f t="shared" si="64"/>
        <v>1828</v>
      </c>
      <c r="AE188" s="77" t="str">
        <f t="shared" si="65"/>
        <v>aws s3 cp s3://rtdc.mdm.uploadarchive.raw/RTDC4049/ "%USERPROFILE%\AppData\Local\Temp\OnboardLogs"\RTDC4049\2017-09-24 --exclude "*" --recursive --include "*20170924*" &amp; "%USERPROFILE%\Documents\GitHub\mrs-test-scripts\Headless Mode &amp; Sideloading\WalkAndUnGZ.bat" "%USERPROFILE%\AppData\Local\Temp\OnboardLogs"\RTDC4049\2017-09-24 &amp; 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</v>
      </c>
      <c r="AF188" s="74" t="str">
        <f t="shared" si="66"/>
        <v>"C:\Program Files (x86)\AstroGrep\AstroGrep.exe" /e /r /s /spath="%USERPROFILE%\AppData\Local\Temp\OnboardLogs" /stypes="app*4049*20170925*" /stext=" 01:.+((SYSTEM_STATE.+slice.+state.+changed )|(ment ac)|(multiple cpu faults)|(system.+state.+changed )|(\[timeout)|(PRM\|1\|D)|(kpr)|(kdp)|(train st.+moving)|(\|lc)|(penalty))"</v>
      </c>
      <c r="AG188" s="182" t="str">
        <f t="shared" si="67"/>
        <v>NW</v>
      </c>
      <c r="AH188" s="78" t="str">
        <f t="shared" si="70"/>
        <v>"%USERPROFILE%\Documents\GitHub\eaglep3\Utilities\RefineRTDCRunTimes.py" --tripid 1828-24 --locoid 4049 --swversion DE.1.0.9.0 --startMP 300:57320 --initTime 2017-09-24T19:43:17 --startdatetime 2017-09-24T19:44:29 --delay 39 --endMP 204:673 --enddatetime 2017-09-24T19:59:06 --enforcementcount 0 &gt;&gt;c:\users\stu\Documents\GitHub\eaglep3-reporting\EC\2017-09-24-refined-times.txt</v>
      </c>
      <c r="AI188" s="96" t="str">
        <f t="shared" si="71"/>
        <v>echo {"issue":{"subject":"","project_id":79,"tracker_id":40,"status_id":1,"priority_id":2,"assigned_to_id":338,"start_date":"2017-09-24","description":"","custom_fields":[{"id":1,"name":"Subdivision","value":"NW"},{"id":4,"name":"Milepost","value":"0.0673"},{"id":17,"name":"Train ID","value":"1828-24"},{"id":16,"name":"Locomotive ID","value":"4049"},{"id":130,"name":"Impact","value":""},{"id":150,"name":"Time of Event (Mountain Time)","value":"19:59:06"},{"id":151,"name":"Denver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8" s="47"/>
      <c r="AL188" s="47"/>
      <c r="AM188" s="142" t="str">
        <f t="shared" si="72"/>
        <v>start /low /b %USERPROFILE%\Documents\GitHub\eaglep3\Utilities\DownloadLogsFromS3.py --loco 4049 --day 2017-09-24</v>
      </c>
      <c r="AN188" s="151" t="str">
        <f t="shared" si="7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01:59:06"},{"id":29,"name":"Sharepoint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168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Message%20ID',Summary),filters:!(),index:'emp_*',interval:auto,query:"&amp;"(query_string:(analyze_wildcard:!t,query:'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-09-24T18:43:17-0600',mode:absolute,to:'2017-09-24T20:59:06-0600'))&amp;_a=(columns:!('Message%20ID',Summary),filters:!(),index:'emp_*',interval:auto,query:(query_string:(analyze_wildcard:!t,query:'%22rtdc.l.rtdc.4049%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25">
      <c r="A189" s="32" t="s">
        <v>607</v>
      </c>
      <c r="B189" s="7">
        <v>4049</v>
      </c>
      <c r="C189" s="21" t="s">
        <v>196</v>
      </c>
      <c r="D189" s="21" t="s">
        <v>570</v>
      </c>
      <c r="E189" s="13">
        <v>43002.819293981483</v>
      </c>
      <c r="F189" s="13">
        <v>43002.822557870371</v>
      </c>
      <c r="G189" s="7">
        <v>52</v>
      </c>
      <c r="H189" s="21" t="s">
        <v>909</v>
      </c>
      <c r="I189" s="13">
        <v>43002.832708333335</v>
      </c>
      <c r="J189" s="7">
        <v>0</v>
      </c>
      <c r="K189" s="89" t="str">
        <f t="shared" si="59"/>
        <v>4049/4050</v>
      </c>
      <c r="L189" s="185" t="str">
        <f>VLOOKUP(A189,'Trips&amp;Operators'!$C$1:$G$99911,5,FALSE)</f>
        <v>HOLCOMB KAMDEN</v>
      </c>
      <c r="M189" s="6">
        <f t="shared" si="60"/>
        <v>1.0150462963792961E-2</v>
      </c>
      <c r="N189" s="7"/>
      <c r="O189" s="7"/>
      <c r="P189" s="7"/>
      <c r="Q189" s="22"/>
      <c r="R189" s="174"/>
      <c r="S189" s="221"/>
      <c r="T189" s="174" t="str">
        <f t="shared" si="61"/>
        <v>Southbound</v>
      </c>
      <c r="U189" s="198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0</v>
      </c>
      <c r="V189" s="216" t="str">
        <f t="shared" si="62"/>
        <v>https://d0f6bd738d7f1b3e5a7ca70fe4ff75f0.us-east-1.aws.found.io/app/kibana#/discover/Steve-Slow-Train-Analysis-(2080s-and-2083s)?_g=(refreshInterval:(display:Off,pause:!f,section:0,value:0),time:(from:'2017-09-24T18:39:47-0600',mode:absolute,to:'2017-09-24T20:59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89" s="204" t="str">
        <f>IF(AA189&lt;VLOOKUP(AG189,Variables!$AC$3:$AD$8,2,FALSE),"Y","N")</f>
        <v>Y</v>
      </c>
      <c r="X189" s="204">
        <f t="shared" si="78"/>
        <v>0</v>
      </c>
      <c r="Y189" s="204">
        <f>RIGHT(D189,LEN(D189)-4)/10000</f>
        <v>5.8685</v>
      </c>
      <c r="Z189" s="204">
        <f>RIGHT(H189,LEN(H189)-4)/10000</f>
        <v>5.8181000000000003</v>
      </c>
      <c r="AA189" s="204">
        <f t="shared" si="63"/>
        <v>5.0399999999999778E-2</v>
      </c>
      <c r="AB189" s="54" t="e">
        <f>VLOOKUP(A189,Enforcements!$C$7:$K$11,8,0)</f>
        <v>#N/A</v>
      </c>
      <c r="AC189" s="51" t="e">
        <f>VLOOKUP(A189,Enforcements!$C$7:$E$11,3,0)</f>
        <v>#N/A</v>
      </c>
      <c r="AD189" s="179">
        <f t="shared" si="64"/>
        <v>1828</v>
      </c>
      <c r="AE189" s="77" t="str">
        <f t="shared" si="65"/>
        <v>aws s3 cp s3://rtdc.mdm.uploadarchive.raw/RTDC4049/ "%USERPROFILE%\AppData\Local\Temp\OnboardLogs"\RTDC4049\2017-09-24 --exclude "*" --recursive --include "*20170924*" &amp; "%USERPROFILE%\Documents\GitHub\mrs-test-scripts\Headless Mode &amp; Sideloading\WalkAndUnGZ.bat" "%USERPROFILE%\AppData\Local\Temp\OnboardLogs"\RTDC4049\2017-09-24 &amp; 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</v>
      </c>
      <c r="AF189" s="74" t="str">
        <f t="shared" si="66"/>
        <v>"C:\Program Files (x86)\AstroGrep\AstroGrep.exe" /e /r /s /spath="%USERPROFILE%\AppData\Local\Temp\OnboardLogs" /stypes="app*4049*20170925*" /stext=" 01:.+((SYSTEM_STATE.+slice.+state.+changed )|(ment ac)|(multiple cpu faults)|(system.+state.+changed )|(\[timeout)|(PRM\|1\|D)|(kpr)|(kdp)|(train st.+moving)|(\|lc)|(penalty))"</v>
      </c>
      <c r="AG189" s="182" t="str">
        <f t="shared" si="67"/>
        <v>NW</v>
      </c>
      <c r="AH189" s="78" t="str">
        <f t="shared" si="70"/>
        <v>"%USERPROFILE%\Documents\GitHub\eaglep3\Utilities\RefineRTDCRunTimes.py" --tripid 1828-24 --locoid 4049 --swversion DE.1.0.9.0 --startMP 300:58685 --initTime 2017-09-24T19:39:47 --startdatetime 2017-09-24T19:44:29 --delay 52 --endMP 300:58181 --enddatetime 2017-09-24T19:59:06 --enforcementcount 0 &gt;&gt;c:\users\stu\Documents\GitHub\eaglep3-reporting\EC\2017-09-24-refined-times.txt</v>
      </c>
      <c r="AI189" s="96" t="str">
        <f t="shared" si="71"/>
        <v>echo {"issue":{"subject":"","project_id":79,"tracker_id":40,"status_id":1,"priority_id":2,"assigned_to_id":338,"start_date":"2017-09-24","description":"","custom_fields":[{"id":1,"name":"Subdivision","value":"NW"},{"id":4,"name":"Milepost","value":"5.8181"},{"id":17,"name":"Train ID","value":"1828-24"},{"id":16,"name":"Locomotive ID","value":"4049"},{"id":130,"name":"Impact","value":""},{"id":150,"name":"Time of Event (Mountain Time)","value":"19:59:06"},{"id":151,"name":"Denver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89" s="47"/>
      <c r="AL189" s="47"/>
      <c r="AM189" s="142" t="str">
        <f t="shared" si="72"/>
        <v>start /low /b %USERPROFILE%\Documents\GitHub\eaglep3\Utilities\DownloadLogsFromS3.py --loco 4049 --day 2017-09-24</v>
      </c>
      <c r="AN189" s="151" t="str">
        <f t="shared" si="7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01:59:06"},{"id":29,"name":"Sharepoint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168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Message%20ID',Summary),filters:!(),index:'emp_*',interval:auto,query:"&amp;"(query_string:(analyze_wildcard:!t,query:'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-09-24T18:39:47-0600',mode:absolute,to:'2017-09-24T20:59:06-0600'))&amp;_a=(columns:!('Message%20ID',Summary),filters:!(),index:'emp_*',interval:auto,query:(query_string:(analyze_wildcard:!t,query:'%22rtdc.l.rtdc.4049%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25">
      <c r="A190" s="32" t="s">
        <v>788</v>
      </c>
      <c r="B190" s="7">
        <v>4050</v>
      </c>
      <c r="C190" s="21" t="s">
        <v>196</v>
      </c>
      <c r="D190" s="21" t="s">
        <v>502</v>
      </c>
      <c r="E190" s="13">
        <v>43002.837500000001</v>
      </c>
      <c r="F190" s="13">
        <v>43002.838402777779</v>
      </c>
      <c r="G190" s="7">
        <v>63</v>
      </c>
      <c r="H190" s="21" t="s">
        <v>572</v>
      </c>
      <c r="I190" s="13">
        <v>43002.838888888888</v>
      </c>
      <c r="J190" s="7">
        <v>0</v>
      </c>
      <c r="K190" s="89" t="str">
        <f t="shared" si="59"/>
        <v>4049/4050</v>
      </c>
      <c r="L190" s="185" t="str">
        <f>VLOOKUP(A190,'Trips&amp;Operators'!$C$1:$G$99911,5,FALSE)</f>
        <v>HOLCOMB KAMDEN</v>
      </c>
      <c r="M190" s="6">
        <f t="shared" si="60"/>
        <v>4.8611110833007842E-4</v>
      </c>
      <c r="N190" s="7"/>
      <c r="O190" s="7"/>
      <c r="P190" s="7">
        <f>24*60*SUM($M190:$M190)</f>
        <v>0.69999999599531293</v>
      </c>
      <c r="Q190" s="22"/>
      <c r="R190" s="174" t="s">
        <v>982</v>
      </c>
      <c r="S190" s="221">
        <f t="shared" ref="S190:S219" si="83">1/IF(AG190="EC",12,1)*SUM(U190:U190)</f>
        <v>0</v>
      </c>
      <c r="T190" s="174" t="str">
        <f t="shared" si="61"/>
        <v>NorthBound</v>
      </c>
      <c r="U190" s="198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0</v>
      </c>
      <c r="V190" s="216" t="str">
        <f t="shared" si="62"/>
        <v>https://d0f6bd738d7f1b3e5a7ca70fe4ff75f0.us-east-1.aws.found.io/app/kibana#/discover/Steve-Slow-Train-Analysis-(2080s-and-2083s)?_g=(refreshInterval:(display:Off,pause:!f,section:0,value:0),time:(from:'2017-09-24T19:06:00-0600',mode:absolute,to:'2017-09-24T21:08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0" s="204" t="str">
        <f>IF(AA190&lt;VLOOKUP(AG190,Variables!$AC$3:$AD$8,2,FALSE),"Y","N")</f>
        <v>Y</v>
      </c>
      <c r="X190" s="204">
        <f t="shared" si="78"/>
        <v>1</v>
      </c>
      <c r="Y190" s="204">
        <f>RIGHT(D190,LEN(D190)-4)/10000</f>
        <v>9.7600000000000006E-2</v>
      </c>
      <c r="Z190" s="204">
        <f>RIGHT(H190,LEN(H190)-4)/10000</f>
        <v>9.74E-2</v>
      </c>
      <c r="AA190" s="204">
        <f t="shared" si="63"/>
        <v>2.0000000000000573E-4</v>
      </c>
      <c r="AB190" s="54" t="e">
        <f>VLOOKUP(A190,Enforcements!$C$7:$K$11,8,0)</f>
        <v>#N/A</v>
      </c>
      <c r="AC190" s="51" t="e">
        <f>VLOOKUP(A190,Enforcements!$C$7:$E$11,3,0)</f>
        <v>#N/A</v>
      </c>
      <c r="AD190" s="179">
        <f t="shared" si="64"/>
        <v>1829</v>
      </c>
      <c r="AE190" s="77" t="str">
        <f t="shared" si="65"/>
        <v>aws s3 cp s3://rtdc.mdm.uploadarchive.raw/RTDC4050/ "%USERPROFILE%\AppData\Local\Temp\OnboardLogs"\RTDC4050\2017-09-24 --exclude "*" --recursive --include "*20170924*" &amp; "%USERPROFILE%\Documents\GitHub\mrs-test-scripts\Headless Mode &amp; Sideloading\WalkAndUnGZ.bat" "%USERPROFILE%\AppData\Local\Temp\OnboardLogs"\RTDC4050\2017-09-24 &amp; 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</v>
      </c>
      <c r="AF190" s="74" t="str">
        <f t="shared" si="66"/>
        <v>"C:\Program Files (x86)\AstroGrep\AstroGrep.exe" /e /r /s /spath="%USERPROFILE%\AppData\Local\Temp\OnboardLogs" /stypes="app*4050*20170925*" /stext=" 02:.+((SYSTEM_STATE.+slice.+state.+changed )|(ment ac)|(multiple cpu faults)|(system.+state.+changed )|(\[timeout)|(PRM\|1\|D)|(kpr)|(kdp)|(train st.+moving)|(\|lc)|(penalty))"</v>
      </c>
      <c r="AG190" s="182" t="str">
        <f t="shared" si="67"/>
        <v>NW</v>
      </c>
      <c r="AH190" s="78" t="str">
        <f t="shared" si="70"/>
        <v>"%USERPROFILE%\Documents\GitHub\eaglep3\Utilities\RefineRTDCRunTimes.py" --tripid 1829-24 --locoid 4050 --swversion DE.1.0.9.0 --startMP 204:976 --initTime 2017-09-24T20:06:00 --startdatetime 2017-09-24T20:07:18 --delay 63 --endMP 204:974 --enddatetime 2017-09-24T20:08:00 --enforcementcount 0 &gt;&gt;c:\users\stu\Documents\GitHub\eaglep3-reporting\EC\2017-09-24-refined-times.txt</v>
      </c>
      <c r="AI190" s="96" t="str">
        <f t="shared" si="71"/>
        <v>echo {"issue":{"subject":"Onboard in-route failure","project_id":79,"tracker_id":40,"status_id":1,"priority_id":2,"assigned_to_id":338,"start_date":"2017-09-24","description":"","custom_fields":[{"id":1,"name":"Subdivision","value":"NW"},{"id":4,"name":"Milepost","value":"0.0974"},{"id":17,"name":"Train ID","value":"1829-24"},{"id":16,"name":"Locomotive ID","value":"4050"},{"id":130,"name":"Impact","value":""},{"id":150,"name":"Time of Event (Mountain Time)","value":"20:08:00"},{"id":151,"name":"Denver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0" s="47"/>
      <c r="AL190" s="47"/>
      <c r="AM190" s="142" t="str">
        <f t="shared" si="72"/>
        <v>start /low /b %USERPROFILE%\Documents\GitHub\eaglep3\Utilities\DownloadLogsFromS3.py --loco 4050 --day 2017-09-24</v>
      </c>
      <c r="AN190" s="151" t="str">
        <f t="shared" si="73"/>
        <v>echo {"issue":{"subject":"Onboard in-route failure","project_id":30,"tracker_id":4,"status_id":1,"priority_id":1,"assigned_to_id":10,"start_date":"2017-09-25","description":"","custom_fields":[{"id":30,"name":"Category","value":"Issue"},{"id":3,"name":"Functional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02:08:00"},{"id":29,"name":"Sharepoint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168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Message%20ID',Summary),filters:!(),index:'emp_*',interval:auto,query:"&amp;"(query_string:(analyze_wildcard:!t,query:'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-09-24T19:06:00-0600',mode:absolute,to:'2017-09-24T21:08:00-0600'))&amp;_a=(columns:!('Message%20ID',Summary),filters:!(),index:'emp_*',interval:auto,query:(query_string:(analyze_wildcard:!t,query:'%22rtdc.l.rtdc.4050%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25">
      <c r="A191" s="32" t="s">
        <v>608</v>
      </c>
      <c r="B191" s="7">
        <v>4049</v>
      </c>
      <c r="C191" s="21" t="s">
        <v>196</v>
      </c>
      <c r="D191" s="21" t="s">
        <v>502</v>
      </c>
      <c r="E191" s="13">
        <v>43002.837500000001</v>
      </c>
      <c r="F191" s="13">
        <v>43002.863344907404</v>
      </c>
      <c r="G191" s="7">
        <v>63</v>
      </c>
      <c r="H191" s="21" t="s">
        <v>572</v>
      </c>
      <c r="I191" s="13">
        <v>43002.87159722222</v>
      </c>
      <c r="J191" s="7">
        <v>0</v>
      </c>
      <c r="K191" s="89" t="str">
        <f t="shared" si="59"/>
        <v>4049/4050</v>
      </c>
      <c r="L191" s="185" t="str">
        <f>VLOOKUP(A191,'Trips&amp;Operators'!$C$1:$G$99911,5,FALSE)</f>
        <v>HOLCOMB KAMDEN</v>
      </c>
      <c r="M191" s="6">
        <f t="shared" si="60"/>
        <v>8.2523148157633841E-3</v>
      </c>
      <c r="N191" s="7">
        <f>24*60*SUM($M191:$M191)</f>
        <v>11.883333334699273</v>
      </c>
      <c r="O191" s="7"/>
      <c r="P191" s="7"/>
      <c r="Q191" s="22"/>
      <c r="R191" s="174"/>
      <c r="S191" s="221">
        <f t="shared" si="83"/>
        <v>1</v>
      </c>
      <c r="T191" s="174" t="str">
        <f t="shared" si="61"/>
        <v>Southbound</v>
      </c>
      <c r="U191" s="198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16" t="str">
        <f t="shared" si="62"/>
        <v>https://d0f6bd738d7f1b3e5a7ca70fe4ff75f0.us-east-1.aws.found.io/app/kibana#/discover/Steve-Slow-Train-Analysis-(2080s-and-2083s)?_g=(refreshInterval:(display:Off,pause:!f,section:0,value:0),time:(from:'2017-09-24T19:06:00-0600',mode:absolute,to:'2017-09-24T21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1" s="204" t="str">
        <f>IF(AA191&lt;VLOOKUP(AG191,Variables!$AC$3:$AD$8,2,FALSE),"Y","N")</f>
        <v>N</v>
      </c>
      <c r="X191" s="204">
        <f t="shared" si="78"/>
        <v>1</v>
      </c>
      <c r="Y191" s="204">
        <v>5.8677000000000001</v>
      </c>
      <c r="Z191" s="204">
        <v>7.0099999999999996E-2</v>
      </c>
      <c r="AA191" s="204">
        <f t="shared" si="63"/>
        <v>5.7976000000000001</v>
      </c>
      <c r="AB191" s="54" t="e">
        <f>VLOOKUP(A191,Enforcements!$C$7:$K$11,8,0)</f>
        <v>#N/A</v>
      </c>
      <c r="AC191" s="51" t="e">
        <f>VLOOKUP(A191,Enforcements!$C$7:$E$11,3,0)</f>
        <v>#N/A</v>
      </c>
      <c r="AD191" s="179">
        <f t="shared" si="64"/>
        <v>1830</v>
      </c>
      <c r="AE191" s="77" t="str">
        <f t="shared" si="65"/>
        <v>aws s3 cp s3://rtdc.mdm.uploadarchive.raw/RTDC4049/ "%USERPROFILE%\AppData\Local\Temp\OnboardLogs"\RTDC4049\2017-09-24 --exclude "*" --recursive --include "*20170924*" &amp; "%USERPROFILE%\Documents\GitHub\mrs-test-scripts\Headless Mode &amp; Sideloading\WalkAndUnGZ.bat" "%USERPROFILE%\AppData\Local\Temp\OnboardLogs"\RTDC4049\2017-09-24 &amp; 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</v>
      </c>
      <c r="AF191" s="74" t="str">
        <f t="shared" si="66"/>
        <v>"C:\Program Files (x86)\AstroGrep\AstroGrep.exe" /e /r /s /spath="%USERPROFILE%\AppData\Local\Temp\OnboardLogs" /stypes="app*4049*20170925*" /stext=" 02:.+((SYSTEM_STATE.+slice.+state.+changed )|(ment ac)|(multiple cpu faults)|(system.+state.+changed )|(\[timeout)|(PRM\|1\|D)|(kpr)|(kdp)|(train st.+moving)|(\|lc)|(penalty))"</v>
      </c>
      <c r="AG191" s="182" t="str">
        <f t="shared" si="67"/>
        <v>NW</v>
      </c>
      <c r="AH191" s="78" t="str">
        <f t="shared" ref="AH191" si="84">refinertdcruntimes&amp;" --tripid "&amp;A191&amp;" --locoid "&amp;B191&amp;" --swversion "&amp;C191&amp;" --startMP "&amp;D191&amp;" --initTime "&amp;TEXT(E191,"yyyy-mm-ddTHH:MM:SS")&amp;" --startdatetime "&amp;TEXT(F191,"yyyy-mm-ddTHH:MM:SS")&amp;" --delay "&amp;G191&amp;" --endMP "&amp;H191&amp;" --enddatetime "&amp;TEXT(I191,"yyyy-mm-ddTHH:MM:SS")&amp;" --enforcementcount "&amp;J191&amp;IF(outputrefinedruntimes," &gt;&gt;"&amp;RefinedRTDCRunTimesOutputFile,"")</f>
        <v>"%USERPROFILE%\Documents\GitHub\eaglep3\Utilities\RefineRTDCRunTimes.py" --tripid 1830-24 --locoid 4049 --swversion DE.1.0.9.0 --startMP 204:976 --initTime 2017-09-24T20:06:00 --startdatetime 2017-09-24T20:43:13 --delay 63 --endMP 204:974 --enddatetime 2017-09-24T20:55:06 --enforcementcount 0 &gt;&gt;c:\users\stu\Documents\GitHub\eaglep3-reporting\EC\2017-09-24-refined-times.txt</v>
      </c>
      <c r="AI191" s="96" t="str">
        <f t="shared" ref="AI191" si="85">"echo {""issue"":{""subject"":"""&amp;R191&amp;""",""project_id"":79,""tracker_id"":40,""status_id"":"&amp;redmine_status&amp;",""priority_id"":"&amp;redmine_priority&amp;",""assigned_to_id"":"&amp;redmine_assignee&amp;",""start_date"":"""&amp;TEXT(I191,"YYYY-mm-dd")&amp;""",""description"":"""&amp;AJ191&amp;""",""custom_fields"":[{""id"":1,""name"":""Subdivision"",""value"":"""&amp;AG191&amp;"""},{""id"":4,""name"":""Milepost"",""value"":"""&amp;Z191&amp;"""},{""id"":17,""name"":""Train ID"",""value"":"""&amp;A191&amp;"""},{""id"":16,""name"":""Locomotive ID"",""value"":"""&amp;B191&amp;"""},{""id"":130,""name"":""Impact"",""value"":"""&amp;AK191&amp;"""},{""id"":150,""name"":""Time of Event (Mountain Time)"",""value"":"""&amp;TEXT(I191,"hh:mm:ss")&amp;"""},{""id"":151,""name"":""Denver Issue ID"",""value"":"""&amp;"""},{""id"":178,""name"":""Operational Impact"",""value"":"""&amp;redmine_op_impact&amp;"""},{""id"":179,""name"":""Denver Segment Assigned"",""value"":"""&amp;AL191&amp;"""}]}}"&amp;"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{"issue":{"subject":"","project_id":79,"tracker_id":40,"status_id":1,"priority_id":2,"assigned_to_id":338,"start_date":"2017-09-24","description":"","custom_fields":[{"id":1,"name":"Subdivision","value":"NW"},{"id":4,"name":"Milepost","value":"0.0701"},{"id":17,"name":"Train ID","value":"1830-24"},{"id":16,"name":"Locomotive ID","value":"4049"},{"id":130,"name":"Impact","value":""},{"id":150,"name":"Time of Event (Mountain Time)","value":"20:55:06"},{"id":151,"name":"Denver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1" s="47"/>
      <c r="AL191" s="47"/>
      <c r="AM191" s="142" t="str">
        <f t="shared" ref="AM191" si="86">"start /low /b "&amp;dls3logs&amp;" --loco "&amp;B191&amp;" --day "&amp;TEXT(F191,"YYYY-MM-DD")</f>
        <v>start /low /b %USERPROFILE%\Documents\GitHub\eaglep3\Utilities\DownloadLogsFromS3.py --loco 4049 --day 2017-09-24</v>
      </c>
      <c r="AN191" s="151" t="str">
        <f t="shared" ref="AN191" si="87">"echo {""issue"":{""subject"":"""&amp;R191&amp;""",""project_id"":30,""tracker_id"":4,""status_id"":"&amp;redmine_status_wcr&amp;",""priority_id"":"&amp;redmine_priority_wcr&amp;",""assigned_to_id"":"&amp;redmine_assignee_wcr&amp;",""start_date"":"""&amp;TEXT(I191-utc_offset/24,"YYYY-mm-dd")&amp;""",""description"":"""&amp;AJ191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02:55:06"},{"id":29,"name":"Sharepoint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168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Message%20ID',Summary),filters:!(),index:'emp_*',interval:auto,query:"&amp;"(query_string:(analyze_wildcard:!t,query:'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-09-24T19:06:00-0600',mode:absolute,to:'2017-09-24T21:55:06-0600'))&amp;_a=(columns:!('Message%20ID',Summary),filters:!(),index:'emp_*',interval:auto,query:(query_string:(analyze_wildcard:!t,query:'%22rtdc.l.rtdc.4049%22')),sort:!(Time.ISO8601,asc))</v>
      </c>
    </row>
    <row r="192" spans="1:91" s="20" customFormat="1" x14ac:dyDescent="0.25">
      <c r="A192" s="32" t="s">
        <v>794</v>
      </c>
      <c r="B192" s="7">
        <v>4050</v>
      </c>
      <c r="C192" s="21" t="s">
        <v>196</v>
      </c>
      <c r="D192" s="21" t="s">
        <v>502</v>
      </c>
      <c r="E192" s="13">
        <v>43002.837500000001</v>
      </c>
      <c r="F192" s="13">
        <v>43002.863344907404</v>
      </c>
      <c r="G192" s="7">
        <v>63</v>
      </c>
      <c r="H192" s="21" t="s">
        <v>572</v>
      </c>
      <c r="I192" s="13">
        <v>43002.87159722222</v>
      </c>
      <c r="J192" s="7">
        <v>0</v>
      </c>
      <c r="K192" s="89" t="str">
        <f t="shared" si="59"/>
        <v>4049/4050</v>
      </c>
      <c r="L192" s="185" t="str">
        <f>VLOOKUP(A192,'Trips&amp;Operators'!$C$1:$G$99911,5,FALSE)</f>
        <v>HOLCOMB KAMDEN</v>
      </c>
      <c r="M192" s="6">
        <f t="shared" si="60"/>
        <v>8.2523148157633841E-3</v>
      </c>
      <c r="N192" s="7"/>
      <c r="O192" s="7"/>
      <c r="P192" s="7">
        <f>24*60*SUM($M192:$M192)</f>
        <v>11.883333334699273</v>
      </c>
      <c r="Q192" s="22"/>
      <c r="R192" s="174" t="s">
        <v>981</v>
      </c>
      <c r="S192" s="221">
        <f t="shared" si="83"/>
        <v>0</v>
      </c>
      <c r="T192" s="174" t="str">
        <f t="shared" si="61"/>
        <v>NorthBound</v>
      </c>
      <c r="U192" s="198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0</v>
      </c>
      <c r="V192" s="216" t="str">
        <f t="shared" si="62"/>
        <v>https://d0f6bd738d7f1b3e5a7ca70fe4ff75f0.us-east-1.aws.found.io/app/kibana#/discover/Steve-Slow-Train-Analysis-(2080s-and-2083s)?_g=(refreshInterval:(display:Off,pause:!f,section:0,value:0),time:(from:'2017-09-24T19:06:00-0600',mode:absolute,to:'2017-09-24T21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2" s="204" t="str">
        <f>IF(AA192&lt;VLOOKUP(AG192,Variables!$AC$3:$AD$8,2,FALSE),"Y","N")</f>
        <v>N</v>
      </c>
      <c r="X192" s="204">
        <f t="shared" si="78"/>
        <v>1</v>
      </c>
      <c r="Y192" s="204">
        <v>5.8677000000000001</v>
      </c>
      <c r="Z192" s="204">
        <v>7.0099999999999996E-2</v>
      </c>
      <c r="AA192" s="204">
        <f t="shared" si="63"/>
        <v>5.7976000000000001</v>
      </c>
      <c r="AB192" s="54" t="e">
        <f>VLOOKUP(A192,Enforcements!$C$7:$K$11,8,0)</f>
        <v>#N/A</v>
      </c>
      <c r="AC192" s="51" t="e">
        <f>VLOOKUP(A192,Enforcements!$C$7:$E$11,3,0)</f>
        <v>#N/A</v>
      </c>
      <c r="AD192" s="179">
        <f t="shared" si="64"/>
        <v>1831</v>
      </c>
      <c r="AE192" s="77" t="str">
        <f t="shared" si="65"/>
        <v>aws s3 cp s3://rtdc.mdm.uploadarchive.raw/RTDC4050/ "%USERPROFILE%\AppData\Local\Temp\OnboardLogs"\RTDC4050\2017-09-24 --exclude "*" --recursive --include "*20170924*" &amp; "%USERPROFILE%\Documents\GitHub\mrs-test-scripts\Headless Mode &amp; Sideloading\WalkAndUnGZ.bat" "%USERPROFILE%\AppData\Local\Temp\OnboardLogs"\RTDC4050\2017-09-24 &amp; 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</v>
      </c>
      <c r="AF192" s="74" t="str">
        <f t="shared" si="66"/>
        <v>"C:\Program Files (x86)\AstroGrep\AstroGrep.exe" /e /r /s /spath="%USERPROFILE%\AppData\Local\Temp\OnboardLogs" /stypes="app*4050*20170925*" /stext=" 02:.+((SYSTEM_STATE.+slice.+state.+changed )|(ment ac)|(multiple cpu faults)|(system.+state.+changed )|(\[timeout)|(PRM\|1\|D)|(kpr)|(kdp)|(train st.+moving)|(\|lc)|(penalty))"</v>
      </c>
      <c r="AG192" s="182" t="str">
        <f t="shared" si="67"/>
        <v>NW</v>
      </c>
      <c r="AH192" s="78" t="str">
        <f t="shared" ref="AH192" si="88">refinertdcruntimes&amp;" --tripid "&amp;A192&amp;" --locoid "&amp;B192&amp;" --swversion "&amp;C192&amp;" --startMP "&amp;D192&amp;" --initTime "&amp;TEXT(E192,"yyyy-mm-ddTHH:MM:SS")&amp;" --startdatetime "&amp;TEXT(F192,"yyyy-mm-ddTHH:MM:SS")&amp;" --delay "&amp;G192&amp;" --endMP "&amp;H192&amp;" --enddatetime "&amp;TEXT(I192,"yyyy-mm-ddTHH:MM:SS")&amp;" --enforcementcount "&amp;J192&amp;IF(outputrefinedruntimes," &gt;&gt;"&amp;RefinedRTDCRunTimesOutputFile,"")</f>
        <v>"%USERPROFILE%\Documents\GitHub\eaglep3\Utilities\RefineRTDCRunTimes.py" --tripid 1831-24 --locoid 4050 --swversion DE.1.0.9.0 --startMP 204:976 --initTime 2017-09-24T20:06:00 --startdatetime 2017-09-24T20:43:13 --delay 63 --endMP 204:974 --enddatetime 2017-09-24T20:55:06 --enforcementcount 0 &gt;&gt;c:\users\stu\Documents\GitHub\eaglep3-reporting\EC\2017-09-24-refined-times.txt</v>
      </c>
      <c r="AI192" s="96" t="str">
        <f t="shared" ref="AI192" si="89">"echo {""issue"":{""subject"":"""&amp;R192&amp;""",""project_id"":79,""tracker_id"":40,""status_id"":"&amp;redmine_status&amp;",""priority_id"":"&amp;redmine_priority&amp;",""assigned_to_id"":"&amp;redmine_assignee&amp;",""start_date"":"""&amp;TEXT(I192,"YYYY-mm-dd")&amp;""",""description"":"""&amp;AJ192&amp;""",""custom_fields"":[{""id"":1,""name"":""Subdivision"",""value"":"""&amp;AG192&amp;"""},{""id"":4,""name"":""Milepost"",""value"":"""&amp;Z192&amp;"""},{""id"":17,""name"":""Train ID"",""value"":"""&amp;A192&amp;"""},{""id"":16,""name"":""Locomotive ID"",""value"":"""&amp;B192&amp;"""},{""id"":130,""name"":""Impact"",""value"":"""&amp;AK192&amp;"""},{""id"":150,""name"":""Time of Event (Mountain Time)"",""value"":"""&amp;TEXT(I192,"hh:mm:ss")&amp;"""},{""id"":151,""name"":""Denver Issue ID"",""value"":"""&amp;"""},{""id"":178,""name"":""Operational Impact"",""value"":"""&amp;redmine_op_impact&amp;"""},{""id"":179,""name"":""Denver Segment Assigned"",""value"":"""&amp;AL192&amp;"""}]}}"&amp;" | curl --insecure -X POST -H ""Content-Type: application/json"" -H ""X-Redmine-API-Key: "&amp;redm_api_key&amp;""" "&amp;redm_url&amp;" --data @-"</f>
        <v>echo {"issue":{"subject":"Poor of GPS at DUS?","project_id":79,"tracker_id":40,"status_id":1,"priority_id":2,"assigned_to_id":338,"start_date":"2017-09-24","description":"","custom_fields":[{"id":1,"name":"Subdivision","value":"NW"},{"id":4,"name":"Milepost","value":"0.0701"},{"id":17,"name":"Train ID","value":"1831-24"},{"id":16,"name":"Locomotive ID","value":"4050"},{"id":130,"name":"Impact","value":""},{"id":150,"name":"Time of Event (Mountain Time)","value":"20:55:06"},{"id":151,"name":"Denver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2" s="47"/>
      <c r="AL192" s="47"/>
      <c r="AM192" s="142" t="str">
        <f t="shared" ref="AM192" si="90">"start /low /b "&amp;dls3logs&amp;" --loco "&amp;B192&amp;" --day "&amp;TEXT(F192,"YYYY-MM-DD")</f>
        <v>start /low /b %USERPROFILE%\Documents\GitHub\eaglep3\Utilities\DownloadLogsFromS3.py --loco 4050 --day 2017-09-24</v>
      </c>
      <c r="AN192" s="151" t="str">
        <f t="shared" ref="AN192" si="91">"echo {""issue"":{""subject"":"""&amp;R192&amp;""",""project_id"":30,""tracker_id"":4,""status_id"":"&amp;redmine_status_wcr&amp;",""priority_id"":"&amp;redmine_priority_wcr&amp;",""assigned_to_id"":"&amp;redmine_assignee_wcr&amp;",""start_date"":"""&amp;TEXT(I192-utc_offset/24,"YYYY-mm-dd")&amp;""",""description"":"""&amp;AJ192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{"issue":{"subject":"Poor of GPS at DUS?","project_id":30,"tracker_id":4,"status_id":1,"priority_id":1,"assigned_to_id":10,"start_date":"2017-09-25","description":"","custom_fields":[{"id":30,"name":"Category","value":"Issue"},{"id":3,"name":"Functional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02:55:06"},{"id":29,"name":"Sharepoint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168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Message%20ID',Summary),filters:!(),index:'emp_*',interval:auto,query:"&amp;"(query_string:(analyze_wildcard:!t,query:'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-09-24T19:06:00-0600',mode:absolute,to:'2017-09-24T21:55:06-0600'))&amp;_a=(columns:!('Message%20ID',Summary),filters:!(),index:'emp_*',interval:auto,query:(query_string:(analyze_wildcard:!t,query:'%22rtdc.l.rtdc.4050%22')),sort:!(Time.ISO8601,asc))</v>
      </c>
    </row>
    <row r="193" spans="1:91" s="20" customFormat="1" x14ac:dyDescent="0.25">
      <c r="A193" s="32" t="s">
        <v>797</v>
      </c>
      <c r="B193" s="7">
        <v>4049</v>
      </c>
      <c r="C193" s="21" t="s">
        <v>196</v>
      </c>
      <c r="D193" s="21" t="s">
        <v>899</v>
      </c>
      <c r="E193" s="13">
        <v>43002.898819444446</v>
      </c>
      <c r="F193" s="13">
        <v>43002.902349537035</v>
      </c>
      <c r="G193" s="7">
        <v>131</v>
      </c>
      <c r="H193" s="21" t="s">
        <v>571</v>
      </c>
      <c r="I193" s="13">
        <v>43002.913136574076</v>
      </c>
      <c r="J193" s="7">
        <v>0</v>
      </c>
      <c r="K193" s="89" t="str">
        <f t="shared" si="59"/>
        <v>4049/4050</v>
      </c>
      <c r="L193" s="185" t="str">
        <f>VLOOKUP(A193,'Trips&amp;Operators'!$C$1:$G$99911,5,FALSE)</f>
        <v>HOLCOMB KAMDEN</v>
      </c>
      <c r="M193" s="6">
        <f t="shared" si="60"/>
        <v>1.078703704115469E-2</v>
      </c>
      <c r="N193" s="7">
        <f t="shared" ref="N193:N205" si="92">24*60*SUM($M193:$M193)</f>
        <v>15.533333339262754</v>
      </c>
      <c r="O193" s="7"/>
      <c r="P193" s="7"/>
      <c r="Q193" s="22"/>
      <c r="R193" s="174"/>
      <c r="S193" s="221">
        <f t="shared" si="83"/>
        <v>1</v>
      </c>
      <c r="T193" s="174" t="str">
        <f t="shared" si="61"/>
        <v>Southbound</v>
      </c>
      <c r="U193" s="198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16" t="str">
        <f t="shared" si="62"/>
        <v>https://d0f6bd738d7f1b3e5a7ca70fe4ff75f0.us-east-1.aws.found.io/app/kibana#/discover/Steve-Slow-Train-Analysis-(2080s-and-2083s)?_g=(refreshInterval:(display:Off,pause:!f,section:0,value:0),time:(from:'2017-09-24T20:34:18-0600',mode:absolute,to:'2017-09-24T22:54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3" s="204" t="str">
        <f>IF(AA193&lt;VLOOKUP(AG193,Variables!$AC$3:$AD$8,2,FALSE),"Y","N")</f>
        <v>N</v>
      </c>
      <c r="X193" s="204">
        <f t="shared" si="78"/>
        <v>1</v>
      </c>
      <c r="Y193" s="204">
        <f t="shared" ref="Y193:Y219" si="93">RIGHT(D193,LEN(D193)-4)/10000</f>
        <v>5.8674999999999997</v>
      </c>
      <c r="Z193" s="204">
        <f t="shared" ref="Z193:Z219" si="94">RIGHT(H193,LEN(H193)-4)/10000</f>
        <v>6.7100000000000007E-2</v>
      </c>
      <c r="AA193" s="204">
        <f t="shared" si="63"/>
        <v>5.8003999999999998</v>
      </c>
      <c r="AB193" s="54" t="e">
        <f>VLOOKUP(A193,Enforcements!$C$7:$K$11,8,0)</f>
        <v>#N/A</v>
      </c>
      <c r="AC193" s="51" t="e">
        <f>VLOOKUP(A193,Enforcements!$C$7:$E$11,3,0)</f>
        <v>#N/A</v>
      </c>
      <c r="AD193" s="179">
        <f t="shared" si="64"/>
        <v>1832</v>
      </c>
      <c r="AE193" s="77" t="str">
        <f t="shared" si="65"/>
        <v>aws s3 cp s3://rtdc.mdm.uploadarchive.raw/RTDC4049/ "%USERPROFILE%\AppData\Local\Temp\OnboardLogs"\RTDC4049\2017-09-24 --exclude "*" --recursive --include "*20170924*" &amp; "%USERPROFILE%\Documents\GitHub\mrs-test-scripts\Headless Mode &amp; Sideloading\WalkAndUnGZ.bat" "%USERPROFILE%\AppData\Local\Temp\OnboardLogs"\RTDC4049\2017-09-24 &amp; 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</v>
      </c>
      <c r="AF193" s="74" t="str">
        <f t="shared" si="66"/>
        <v>"C:\Program Files (x86)\AstroGrep\AstroGrep.exe" /e /r /s /spath="%USERPROFILE%\AppData\Local\Temp\OnboardLogs" /stypes="app*4049*20170925*" /stext=" 03:.+((SYSTEM_STATE.+slice.+state.+changed )|(ment ac)|(multiple cpu faults)|(system.+state.+changed )|(\[timeout)|(PRM\|1\|D)|(kpr)|(kdp)|(train st.+moving)|(\|lc)|(penalty))"</v>
      </c>
      <c r="AG193" s="182" t="str">
        <f t="shared" si="67"/>
        <v>NW</v>
      </c>
      <c r="AH193" s="78" t="str">
        <f t="shared" si="70"/>
        <v>"%USERPROFILE%\Documents\GitHub\eaglep3\Utilities\RefineRTDCRunTimes.py" --tripid 1832-24 --locoid 4049 --swversion DE.1.0.9.0 --startMP 300:58675 --initTime 2017-09-24T21:34:18 --startdatetime 2017-09-24T21:39:23 --delay 131 --endMP 204:671 --enddatetime 2017-09-24T21:54:55 --enforcementcount 0 &gt;&gt;c:\users\stu\Documents\GitHub\eaglep3-reporting\EC\2017-09-24-refined-times.txt</v>
      </c>
      <c r="AI193" s="96" t="str">
        <f t="shared" si="71"/>
        <v>echo {"issue":{"subject":"","project_id":79,"tracker_id":40,"status_id":1,"priority_id":2,"assigned_to_id":338,"start_date":"2017-09-24","description":"","custom_fields":[{"id":1,"name":"Subdivision","value":"NW"},{"id":4,"name":"Milepost","value":"0.0671"},{"id":17,"name":"Train ID","value":"1832-24"},{"id":16,"name":"Locomotive ID","value":"4049"},{"id":130,"name":"Impact","value":""},{"id":150,"name":"Time of Event (Mountain Time)","value":"21:54:55"},{"id":151,"name":"Denver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3" s="47"/>
      <c r="AL193" s="47"/>
      <c r="AM193" s="142" t="str">
        <f t="shared" si="72"/>
        <v>start /low /b %USERPROFILE%\Documents\GitHub\eaglep3\Utilities\DownloadLogsFromS3.py --loco 4049 --day 2017-09-24</v>
      </c>
      <c r="AN193" s="151" t="str">
        <f t="shared" si="7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03:54:55"},{"id":29,"name":"Sharepoint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168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Message%20ID',Summary),filters:!(),index:'emp_*',interval:auto,query:"&amp;"(query_string:(analyze_wildcard:!t,query:'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-09-24T20:34:18-0600',mode:absolute,to:'2017-09-24T22:54:55-0600'))&amp;_a=(columns:!('Message%20ID',Summary),filters:!(),index:'emp_*',interval:auto,query:(query_string:(analyze_wildcard:!t,query:'%22rtdc.l.rtdc.4049%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25">
      <c r="A194" s="32" t="s">
        <v>800</v>
      </c>
      <c r="B194" s="7">
        <v>4050</v>
      </c>
      <c r="C194" s="21" t="s">
        <v>196</v>
      </c>
      <c r="D194" s="21" t="s">
        <v>911</v>
      </c>
      <c r="E194" s="13">
        <v>43002.916145833333</v>
      </c>
      <c r="F194" s="13">
        <v>43002.923425925925</v>
      </c>
      <c r="G194" s="7">
        <v>122</v>
      </c>
      <c r="H194" s="21" t="s">
        <v>912</v>
      </c>
      <c r="I194" s="13">
        <v>43002.932662037034</v>
      </c>
      <c r="J194" s="7">
        <v>0</v>
      </c>
      <c r="K194" s="89" t="str">
        <f t="shared" si="59"/>
        <v>4049/4050</v>
      </c>
      <c r="L194" s="185" t="str">
        <f>VLOOKUP(A194,'Trips&amp;Operators'!$C$1:$G$99911,5,FALSE)</f>
        <v>HOLCOMB KAMDEN</v>
      </c>
      <c r="M194" s="6">
        <f t="shared" si="60"/>
        <v>9.2361111092031933E-3</v>
      </c>
      <c r="N194" s="7">
        <f t="shared" si="92"/>
        <v>13.299999997252598</v>
      </c>
      <c r="O194" s="7"/>
      <c r="P194" s="7"/>
      <c r="Q194" s="22"/>
      <c r="R194" s="174"/>
      <c r="S194" s="221">
        <f t="shared" si="83"/>
        <v>1</v>
      </c>
      <c r="T194" s="174" t="str">
        <f t="shared" si="61"/>
        <v>NorthBound</v>
      </c>
      <c r="U194" s="198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16" t="str">
        <f t="shared" si="62"/>
        <v>https://d0f6bd738d7f1b3e5a7ca70fe4ff75f0.us-east-1.aws.found.io/app/kibana#/discover/Steve-Slow-Train-Analysis-(2080s-and-2083s)?_g=(refreshInterval:(display:Off,pause:!f,section:0,value:0),time:(from:'2017-09-24T20:59:15-0600',mode:absolute,to:'2017-09-24T23:23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4" s="204" t="str">
        <f>IF(AA194&lt;VLOOKUP(AG194,Variables!$AC$3:$AD$8,2,FALSE),"Y","N")</f>
        <v>N</v>
      </c>
      <c r="X194" s="204">
        <f t="shared" si="78"/>
        <v>1</v>
      </c>
      <c r="Y194" s="204">
        <f t="shared" si="93"/>
        <v>9.5699999999999993E-2</v>
      </c>
      <c r="Z194" s="204">
        <f t="shared" si="94"/>
        <v>5.8993000000000002</v>
      </c>
      <c r="AA194" s="204">
        <f t="shared" si="63"/>
        <v>5.8036000000000003</v>
      </c>
      <c r="AB194" s="54" t="e">
        <f>VLOOKUP(A194,Enforcements!$C$7:$K$11,8,0)</f>
        <v>#N/A</v>
      </c>
      <c r="AC194" s="51" t="e">
        <f>VLOOKUP(A194,Enforcements!$C$7:$E$11,3,0)</f>
        <v>#N/A</v>
      </c>
      <c r="AD194" s="179">
        <f t="shared" si="64"/>
        <v>1833</v>
      </c>
      <c r="AE194" s="77" t="str">
        <f t="shared" si="65"/>
        <v>aws s3 cp s3://rtdc.mdm.uploadarchive.raw/RTDC4050/ "%USERPROFILE%\AppData\Local\Temp\OnboardLogs"\RTDC4050\2017-09-24 --exclude "*" --recursive --include "*20170924*" &amp; "%USERPROFILE%\Documents\GitHub\mrs-test-scripts\Headless Mode &amp; Sideloading\WalkAndUnGZ.bat" "%USERPROFILE%\AppData\Local\Temp\OnboardLogs"\RTDC4050\2017-09-24 &amp; 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</v>
      </c>
      <c r="AF194" s="74" t="str">
        <f t="shared" si="66"/>
        <v>"C:\Program Files (x86)\AstroGrep\AstroGrep.exe" /e /r /s /spath="%USERPROFILE%\AppData\Local\Temp\OnboardLogs" /stypes="app*4050*20170925*" /stext=" 04:.+((SYSTEM_STATE.+slice.+state.+changed )|(ment ac)|(multiple cpu faults)|(system.+state.+changed )|(\[timeout)|(PRM\|1\|D)|(kpr)|(kdp)|(train st.+moving)|(\|lc)|(penalty))"</v>
      </c>
      <c r="AG194" s="182" t="str">
        <f t="shared" si="67"/>
        <v>NW</v>
      </c>
      <c r="AH194" s="78" t="str">
        <f t="shared" si="70"/>
        <v>"%USERPROFILE%\Documents\GitHub\eaglep3\Utilities\RefineRTDCRunTimes.py" --tripid 1833-24 --locoid 4050 --swversion DE.1.0.9.0 --startMP 204:957 --initTime 2017-09-24T21:59:15 --startdatetime 2017-09-24T22:09:44 --delay 122 --endMP 300:58993 --enddatetime 2017-09-24T22:23:02 --enforcementcount 0 &gt;&gt;c:\users\stu\Documents\GitHub\eaglep3-reporting\EC\2017-09-24-refined-times.txt</v>
      </c>
      <c r="AI194" s="96" t="str">
        <f t="shared" si="71"/>
        <v>echo {"issue":{"subject":"","project_id":79,"tracker_id":40,"status_id":1,"priority_id":2,"assigned_to_id":338,"start_date":"2017-09-24","description":"","custom_fields":[{"id":1,"name":"Subdivision","value":"NW"},{"id":4,"name":"Milepost","value":"5.8993"},{"id":17,"name":"Train ID","value":"1833-24"},{"id":16,"name":"Locomotive ID","value":"4050"},{"id":130,"name":"Impact","value":""},{"id":150,"name":"Time of Event (Mountain Time)","value":"22:23:02"},{"id":151,"name":"Denver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4" s="47"/>
      <c r="AL194" s="47"/>
      <c r="AM194" s="142" t="str">
        <f t="shared" si="72"/>
        <v>start /low /b %USERPROFILE%\Documents\GitHub\eaglep3\Utilities\DownloadLogsFromS3.py --loco 4050 --day 2017-09-24</v>
      </c>
      <c r="AN194" s="151" t="str">
        <f t="shared" si="7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04:23:02"},{"id":29,"name":"Sharepoint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168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Message%20ID',Summary),filters:!(),index:'emp_*',interval:auto,query:"&amp;"(query_string:(analyze_wildcard:!t,query:'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-09-24T20:59:15-0600',mode:absolute,to:'2017-09-24T23:23:02-0600'))&amp;_a=(columns:!('Message%20ID',Summary),filters:!(),index:'emp_*',interval:auto,query:(query_string:(analyze_wildcard:!t,query:'%22rtdc.l.rtdc.4050%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803</v>
      </c>
      <c r="B195" s="7">
        <v>4049</v>
      </c>
      <c r="C195" s="21" t="s">
        <v>196</v>
      </c>
      <c r="D195" s="21" t="s">
        <v>911</v>
      </c>
      <c r="E195" s="13">
        <v>43002.916145833333</v>
      </c>
      <c r="F195" s="13">
        <v>43002.946736111109</v>
      </c>
      <c r="G195" s="7">
        <v>122</v>
      </c>
      <c r="H195" s="21" t="s">
        <v>912</v>
      </c>
      <c r="I195" s="13">
        <v>43002.954780092594</v>
      </c>
      <c r="J195" s="7">
        <v>0</v>
      </c>
      <c r="K195" s="89" t="str">
        <f t="shared" ref="K195:K196" si="95">IF(ISEVEN(B195),(B195-1)&amp;"/"&amp;B195,B195&amp;"/"&amp;(B195+1))</f>
        <v>4049/4050</v>
      </c>
      <c r="L195" s="185" t="str">
        <f>VLOOKUP(A195,'Trips&amp;Operators'!$C$1:$G$99911,5,FALSE)</f>
        <v>HOLCOMB KAMDEN</v>
      </c>
      <c r="M195" s="6">
        <f t="shared" ref="M195:M196" si="96">I195-F195</f>
        <v>8.0439814846613444E-3</v>
      </c>
      <c r="N195" s="7">
        <f t="shared" si="92"/>
        <v>11.583333337912336</v>
      </c>
      <c r="O195" s="7"/>
      <c r="P195" s="7"/>
      <c r="Q195" s="22"/>
      <c r="R195" s="174"/>
      <c r="S195" s="221">
        <f t="shared" ref="S195:S196" si="97">1/IF(AG195="EC",12,1)*SUM(U195:U195)</f>
        <v>1</v>
      </c>
      <c r="T195" s="174" t="str">
        <f t="shared" ref="T195:T196" si="98">IF(ISEVEN(LEFT(AD195,4)),"Southbound","NorthBound")</f>
        <v>Southbound</v>
      </c>
      <c r="U195" s="198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16" t="str">
        <f t="shared" ref="V195:V196" si="99"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-09-24T20:59:15-0600',mode:absolute,to:'2017-09-24T23:54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195" s="204" t="str">
        <f>IF(AA195&lt;VLOOKUP(AG195,Variables!$AC$3:$AD$8,2,FALSE),"Y","N")</f>
        <v>N</v>
      </c>
      <c r="X195" s="204">
        <f t="shared" ref="X195:X197" si="100">VALUE(LEFT(AD195,4))-VALUE(LEFT(AD194,4))</f>
        <v>1</v>
      </c>
      <c r="Y195" s="204">
        <v>5.8674999999999997</v>
      </c>
      <c r="Z195" s="204">
        <v>6.7100000000000007E-2</v>
      </c>
      <c r="AA195" s="204">
        <f t="shared" ref="AA195:AA196" si="101">ABS(Z195-Y195)</f>
        <v>5.8003999999999998</v>
      </c>
      <c r="AB195" s="54" t="e">
        <f>VLOOKUP(A195,Enforcements!$C$7:$K$11,8,0)</f>
        <v>#N/A</v>
      </c>
      <c r="AC195" s="51" t="e">
        <f>VLOOKUP(A195,Enforcements!$C$7:$E$11,3,0)</f>
        <v>#N/A</v>
      </c>
      <c r="AD195" s="179">
        <f t="shared" ref="AD195:AD196" si="102">VALUE(LEFT(A195,LEN(A195)-3))</f>
        <v>1834</v>
      </c>
      <c r="AE195" s="77" t="str">
        <f t="shared" ref="AE195:AE196" si="103"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s3://rtdc.mdm.uploadarchive.raw/RTDC4049/ "%USERPROFILE%\AppData\Local\Temp\OnboardLogs"\RTDC4049\2017-09-24 --exclude "*" --recursive --include "*20170924*" &amp; "%USERPROFILE%\Documents\GitHub\mrs-test-scripts\Headless Mode &amp; Sideloading\WalkAndUnGZ.bat" "%USERPROFILE%\AppData\Local\Temp\OnboardLogs"\RTDC4049\2017-09-24 &amp; 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</v>
      </c>
      <c r="AF195" s="74" t="str">
        <f t="shared" ref="AF195:AF196" si="104">astrogrep_path&amp;" /e /r /s /spath="&amp;search_path&amp;" /stypes=""app*"&amp;B195&amp;"*"&amp;TEXT(I195-utc_offset/24,"YYYYMMDD")&amp;"*"" /stext="" "&amp;TEXT(I195-utc_offset/24,"HH")&amp;search_regexp&amp;""""</f>
        <v>"C:\Program Files (x86)\AstroGrep\AstroGrep.exe" /e /r /s /spath="%USERPROFILE%\AppData\Local\Temp\OnboardLogs" /stypes="app*4049*20170925*" /stext=" 04:.+((SYSTEM_STATE.+slice.+state.+changed )|(ment ac)|(multiple cpu faults)|(system.+state.+changed )|(\[timeout)|(PRM\|1\|D)|(kpr)|(kdp)|(train st.+moving)|(\|lc)|(penalty))"</v>
      </c>
      <c r="AG195" s="182" t="str">
        <f t="shared" ref="AG195:AG196" si="105">DetSubdiv(A195)</f>
        <v>NW</v>
      </c>
      <c r="AH195" s="78" t="str">
        <f t="shared" ref="AH195:AH196" si="106">refinertdcruntimes&amp;" --tripid "&amp;A195&amp;" --locoid "&amp;B195&amp;" --swversion "&amp;C195&amp;" --startMP "&amp;D195&amp;" --initTime "&amp;TEXT(E195,"yyyy-mm-ddTHH:MM:SS")&amp;" --startdatetime "&amp;TEXT(F195,"yyyy-mm-ddTHH:MM:SS")&amp;" --delay "&amp;G195&amp;" --endMP "&amp;H195&amp;" --enddatetime "&amp;TEXT(I195,"yyyy-mm-ddTHH:MM:SS")&amp;" --enforcementcount "&amp;J195&amp;IF(outputrefinedruntimes," &gt;&gt;"&amp;RefinedRTDCRunTimesOutputFile,"")</f>
        <v>"%USERPROFILE%\Documents\GitHub\eaglep3\Utilities\RefineRTDCRunTimes.py" --tripid 1834-24 --locoid 4049 --swversion DE.1.0.9.0 --startMP 204:957 --initTime 2017-09-24T21:59:15 --startdatetime 2017-09-24T22:43:18 --delay 122 --endMP 300:58993 --enddatetime 2017-09-24T22:54:53 --enforcementcount 0 &gt;&gt;c:\users\stu\Documents\GitHub\eaglep3-reporting\EC\2017-09-24-refined-times.txt</v>
      </c>
      <c r="AI195" s="96" t="str">
        <f t="shared" ref="AI195:AI196" si="107">"echo {""issue"":{""subject"":"""&amp;R195&amp;""",""project_id"":79,""tracker_id"":40,""status_id"":"&amp;redmine_status&amp;",""priority_id"":"&amp;redmine_priority&amp;",""assigned_to_id"":"&amp;redmine_assignee&amp;",""start_date"":"""&amp;TEXT(I195,"YYYY-mm-dd")&amp;""",""description"":"""&amp;AJ195&amp;""",""custom_fields"":[{""id"":1,""name"":""Subdivision"",""value"":"""&amp;AG195&amp;"""},{""id"":4,""name"":""Milepost"",""value"":"""&amp;Z195&amp;"""},{""id"":17,""name"":""Train ID"",""value"":"""&amp;A195&amp;"""},{""id"":16,""name"":""Locomotive ID"",""value"":"""&amp;B195&amp;"""},{""id"":130,""name"":""Impact"",""value"":"""&amp;AK195&amp;"""},{""id"":150,""name"":""Time of Event (Mountain Time)"",""value"":"""&amp;TEXT(I195,"hh:mm:ss")&amp;"""},{""id"":151,""name"":""Denver Issue ID"",""value"":"""&amp;"""},{""id"":178,""name"":""Operational Impact"",""value"":"""&amp;redmine_op_impact&amp;"""},{""id"":179,""name"":""Denver Segment Assigned"",""value"":"""&amp;AL195&amp;"""}]}}"&amp;"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{"issue":{"subject":"","project_id":79,"tracker_id":40,"status_id":1,"priority_id":2,"assigned_to_id":338,"start_date":"2017-09-24","description":"","custom_fields":[{"id":1,"name":"Subdivision","value":"NW"},{"id":4,"name":"Milepost","value":"0.0671"},{"id":17,"name":"Train ID","value":"1834-24"},{"id":16,"name":"Locomotive ID","value":"4049"},{"id":130,"name":"Impact","value":""},{"id":150,"name":"Time of Event (Mountain Time)","value":"22:54:53"},{"id":151,"name":"Denver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5" s="47"/>
      <c r="AL195" s="47"/>
      <c r="AM195" s="142" t="str">
        <f t="shared" ref="AM195:AM196" si="108">"start /low /b "&amp;dls3logs&amp;" --loco "&amp;B195&amp;" --day "&amp;TEXT(F195,"YYYY-MM-DD")</f>
        <v>start /low /b %USERPROFILE%\Documents\GitHub\eaglep3\Utilities\DownloadLogsFromS3.py --loco 4049 --day 2017-09-24</v>
      </c>
      <c r="AN195" s="151" t="str">
        <f t="shared" ref="AN195:AN196" si="109">"echo {""issue"":{""subject"":"""&amp;R195&amp;""",""project_id"":30,""tracker_id"":4,""status_id"":"&amp;redmine_status_wcr&amp;",""priority_id"":"&amp;redmine_priority_wcr&amp;",""assigned_to_id"":"&amp;redmine_assignee_wcr&amp;",""start_date"":"""&amp;TEXT(I195-utc_offset/24,"YYYY-mm-dd")&amp;""",""description"":"""&amp;AJ195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ID"",""value"":"""&amp;B195&amp;"""},{""id"":20,""name"":""RR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UTC"",""value"":"""&amp;TEXT(I195-utc_offset/24,"YYYY-MM-DD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04:54:53"},{"id":29,"name":"Sharepoint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168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Message%20ID',Summary),filters:!(),index:'emp_*',interval:auto,query:"&amp;"(query_string:(analyze_wildcard:!t,query:'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-09-24T20:59:15-0600',mode:absolute,to:'2017-09-24T23:54:53-0600'))&amp;_a=(columns:!('Message%20ID',Summary),filters:!(),index:'emp_*',interval:auto,query:(query_string:(analyze_wildcard:!t,query:'%22rtdc.l.rtdc.4049%22')),sort:!(Time.ISO8601,asc))</v>
      </c>
    </row>
    <row r="196" spans="1:91" s="20" customFormat="1" x14ac:dyDescent="0.25">
      <c r="A196" s="32" t="s">
        <v>805</v>
      </c>
      <c r="B196" s="7">
        <v>4050</v>
      </c>
      <c r="C196" s="21" t="s">
        <v>196</v>
      </c>
      <c r="D196" s="21" t="s">
        <v>911</v>
      </c>
      <c r="E196" s="13">
        <v>43002.916145833333</v>
      </c>
      <c r="F196" s="13">
        <v>43002.964780092596</v>
      </c>
      <c r="G196" s="7">
        <v>122</v>
      </c>
      <c r="H196" s="21" t="s">
        <v>912</v>
      </c>
      <c r="I196" s="13">
        <v>43002.974282407406</v>
      </c>
      <c r="J196" s="7">
        <v>0</v>
      </c>
      <c r="K196" s="89" t="str">
        <f t="shared" si="95"/>
        <v>4049/4050</v>
      </c>
      <c r="L196" s="185" t="str">
        <f>VLOOKUP(A196,'Trips&amp;Operators'!$C$1:$G$99911,5,FALSE)</f>
        <v>HOLCOMB KAMDEN</v>
      </c>
      <c r="M196" s="6">
        <f t="shared" si="96"/>
        <v>9.5023148096515797E-3</v>
      </c>
      <c r="N196" s="7">
        <f t="shared" si="92"/>
        <v>13.683333325898275</v>
      </c>
      <c r="O196" s="7"/>
      <c r="P196" s="7"/>
      <c r="Q196" s="22"/>
      <c r="R196" s="174"/>
      <c r="S196" s="221">
        <f t="shared" si="97"/>
        <v>1</v>
      </c>
      <c r="T196" s="174" t="str">
        <f t="shared" si="98"/>
        <v>NorthBound</v>
      </c>
      <c r="U196" s="198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16" t="str">
        <f t="shared" si="99"/>
        <v>https://d0f6bd738d7f1b3e5a7ca70fe4ff75f0.us-east-1.aws.found.io/app/kibana#/discover/Steve-Slow-Train-Analysis-(2080s-and-2083s)?_g=(refreshInterval:(display:Off,pause:!f,section:0,value:0),time:(from:'2017-09-24T20:59:15-0600',mode:absolute,to:'2017-09-25T00:22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196" s="204" t="str">
        <f>IF(AA196&lt;VLOOKUP(AG196,Variables!$AC$3:$AD$8,2,FALSE),"Y","N")</f>
        <v>N</v>
      </c>
      <c r="X196" s="204">
        <f t="shared" si="100"/>
        <v>1</v>
      </c>
      <c r="Y196" s="204">
        <f t="shared" ref="Y196" si="110">RIGHT(D196,LEN(D196)-4)/10000</f>
        <v>9.5699999999999993E-2</v>
      </c>
      <c r="Z196" s="204">
        <f t="shared" ref="Z196" si="111">RIGHT(H196,LEN(H196)-4)/10000</f>
        <v>5.8993000000000002</v>
      </c>
      <c r="AA196" s="204">
        <f t="shared" si="101"/>
        <v>5.8036000000000003</v>
      </c>
      <c r="AB196" s="54" t="e">
        <f>VLOOKUP(A196,Enforcements!$C$7:$K$11,8,0)</f>
        <v>#N/A</v>
      </c>
      <c r="AC196" s="51" t="e">
        <f>VLOOKUP(A196,Enforcements!$C$7:$E$11,3,0)</f>
        <v>#N/A</v>
      </c>
      <c r="AD196" s="179">
        <f t="shared" si="102"/>
        <v>1835</v>
      </c>
      <c r="AE196" s="77" t="str">
        <f t="shared" si="103"/>
        <v>aws s3 cp s3://rtdc.mdm.uploadarchive.raw/RTDC4050/ "%USERPROFILE%\AppData\Local\Temp\OnboardLogs"\RTDC4050\2017-09-24 --exclude "*" --recursive --include "*20170924*" &amp; "%USERPROFILE%\Documents\GitHub\mrs-test-scripts\Headless Mode &amp; Sideloading\WalkAndUnGZ.bat" "%USERPROFILE%\AppData\Local\Temp\OnboardLogs"\RTDC4050\2017-09-24 &amp; 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</v>
      </c>
      <c r="AF196" s="74" t="str">
        <f t="shared" si="104"/>
        <v>"C:\Program Files (x86)\AstroGrep\AstroGrep.exe" /e /r /s /spath="%USERPROFILE%\AppData\Local\Temp\OnboardLogs" /stypes="app*4050*20170925*" /stext=" 05:.+((SYSTEM_STATE.+slice.+state.+changed )|(ment ac)|(multiple cpu faults)|(system.+state.+changed )|(\[timeout)|(PRM\|1\|D)|(kpr)|(kdp)|(train st.+moving)|(\|lc)|(penalty))"</v>
      </c>
      <c r="AG196" s="182" t="str">
        <f t="shared" si="105"/>
        <v>NW</v>
      </c>
      <c r="AH196" s="78" t="str">
        <f t="shared" si="106"/>
        <v>"%USERPROFILE%\Documents\GitHub\eaglep3\Utilities\RefineRTDCRunTimes.py" --tripid 1835-24 --locoid 4050 --swversion DE.1.0.9.0 --startMP 204:957 --initTime 2017-09-24T21:59:15 --startdatetime 2017-09-24T23:09:17 --delay 122 --endMP 300:58993 --enddatetime 2017-09-24T23:22:58 --enforcementcount 0 &gt;&gt;c:\users\stu\Documents\GitHub\eaglep3-reporting\EC\2017-09-24-refined-times.txt</v>
      </c>
      <c r="AI196" s="96" t="str">
        <f t="shared" si="107"/>
        <v>echo {"issue":{"subject":"","project_id":79,"tracker_id":40,"status_id":1,"priority_id":2,"assigned_to_id":338,"start_date":"2017-09-24","description":"","custom_fields":[{"id":1,"name":"Subdivision","value":"NW"},{"id":4,"name":"Milepost","value":"5.8993"},{"id":17,"name":"Train ID","value":"1835-24"},{"id":16,"name":"Locomotive ID","value":"4050"},{"id":130,"name":"Impact","value":""},{"id":150,"name":"Time of Event (Mountain Time)","value":"23:22:58"},{"id":151,"name":"Denver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6" s="47"/>
      <c r="AL196" s="47"/>
      <c r="AM196" s="142" t="str">
        <f t="shared" si="108"/>
        <v>start /low /b %USERPROFILE%\Documents\GitHub\eaglep3\Utilities\DownloadLogsFromS3.py --loco 4050 --day 2017-09-24</v>
      </c>
      <c r="AN196" s="151" t="str">
        <f t="shared" si="109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05:22:58"},{"id":29,"name":"Sharepoint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168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Message%20ID',Summary),filters:!(),index:'emp_*',interval:auto,query:"&amp;"(query_string:(analyze_wildcard:!t,query:'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-09-24T20:59:15-0600',mode:absolute,to:'2017-09-25T00:22:58-0600'))&amp;_a=(columns:!('Message%20ID',Summary),filters:!(),index:'emp_*',interval:auto,query:(query_string:(analyze_wildcard:!t,query:'%22rtdc.l.rtdc.4050%22')),sort:!(Time.ISO8601,asc))</v>
      </c>
    </row>
    <row r="197" spans="1:91" s="20" customFormat="1" x14ac:dyDescent="0.25">
      <c r="A197" s="32" t="s">
        <v>778</v>
      </c>
      <c r="B197" s="7">
        <v>4062</v>
      </c>
      <c r="C197" s="21" t="s">
        <v>196</v>
      </c>
      <c r="D197" s="21" t="s">
        <v>392</v>
      </c>
      <c r="E197" s="13">
        <v>43002.776562500003</v>
      </c>
      <c r="F197" s="13">
        <v>43002.778136574074</v>
      </c>
      <c r="G197" s="7">
        <v>60</v>
      </c>
      <c r="H197" s="21" t="s">
        <v>462</v>
      </c>
      <c r="I197" s="13">
        <v>43002.786805555559</v>
      </c>
      <c r="J197" s="7">
        <v>0</v>
      </c>
      <c r="K197" s="89" t="str">
        <f t="shared" si="59"/>
        <v>4061/4062</v>
      </c>
      <c r="L197" s="185" t="str">
        <f>VLOOKUP(A197,'Trips&amp;Operators'!$C$1:$G$99911,5,FALSE)</f>
        <v>GUZMAN DANNY</v>
      </c>
      <c r="M197" s="6">
        <f t="shared" si="60"/>
        <v>8.668981485243421E-3</v>
      </c>
      <c r="N197" s="7">
        <f t="shared" si="92"/>
        <v>12.483333338750526</v>
      </c>
      <c r="O197" s="7"/>
      <c r="P197" s="7"/>
      <c r="Q197" s="22"/>
      <c r="R197" s="174"/>
      <c r="S197" s="221">
        <f t="shared" si="83"/>
        <v>1</v>
      </c>
      <c r="T197" s="174" t="str">
        <f t="shared" si="61"/>
        <v>NorthBound</v>
      </c>
      <c r="U197" s="198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16" t="str">
        <f t="shared" si="62"/>
        <v>https://d0f6bd738d7f1b3e5a7ca70fe4ff75f0.us-east-1.aws.found.io/app/kibana#/discover/Steve-Slow-Train-Analysis-(2080s-and-2083s)?_g=(refreshInterval:(display:Off,pause:!f,section:0,value:0),time:(from:'2017-09-24T17:38:15-0600',mode:absolute,to:'2017-09-24T19:53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197" s="204" t="str">
        <f>IF(AA197&lt;VLOOKUP(AG197,Variables!$AC$3:$AD$8,2,FALSE),"Y","N")</f>
        <v>Y</v>
      </c>
      <c r="X197" s="204">
        <f t="shared" si="100"/>
        <v>-1534</v>
      </c>
      <c r="Y197" s="204">
        <f t="shared" si="93"/>
        <v>4.5100000000000001E-2</v>
      </c>
      <c r="Z197" s="204">
        <f t="shared" si="94"/>
        <v>2.3306</v>
      </c>
      <c r="AA197" s="204">
        <f t="shared" si="63"/>
        <v>2.2854999999999999</v>
      </c>
      <c r="AB197" s="54" t="e">
        <f>VLOOKUP(A197,Enforcements!$C$7:$K$11,8,0)</f>
        <v>#N/A</v>
      </c>
      <c r="AC197" s="51" t="e">
        <f>VLOOKUP(A197,Enforcements!$C$7:$E$11,3,0)</f>
        <v>#N/A</v>
      </c>
      <c r="AD197" s="179">
        <f t="shared" si="64"/>
        <v>301</v>
      </c>
      <c r="AE197" s="77" t="str">
        <f t="shared" si="65"/>
        <v>aws s3 cp s3://rtdc.mdm.uploadarchive.raw/RTDC4062/ "%USERPROFILE%\AppData\Local\Temp\OnboardLogs"\RTDC4062\2017-09-24 --exclude "*" --recursive --include "*20170924*" &amp; "%USERPROFILE%\Documents\GitHub\mrs-test-scripts\Headless Mode &amp; Sideloading\WalkAndUnGZ.bat" "%USERPROFILE%\AppData\Local\Temp\OnboardLogs"\RTDC4062\2017-09-24 &amp; aws s3 cp s3://rtdc.mdm.uploadarchive.raw/RTDC4062/ "%USERPROFILE%\AppData\Local\Temp\OnboardLogs"\RTDC4062\2017-09-25 --exclude "*" --recursive --include "*20170925*" &amp; "%USERPROFILE%\Documents\GitHub\mrs-test-scripts\Headless Mode &amp; Sideloading\WalkAndUnGZ.bat" "%USERPROFILE%\AppData\Local\Temp\OnboardLogs"\RTDC4062\2017-09-25</v>
      </c>
      <c r="AF197" s="74" t="str">
        <f t="shared" si="66"/>
        <v>"C:\Program Files (x86)\AstroGrep\AstroGrep.exe" /e /r /s /spath="%USERPROFILE%\AppData\Local\Temp\OnboardLogs" /stypes="app*4062*20170925*" /stext=" 00:.+((SYSTEM_STATE.+slice.+state.+changed )|(ment ac)|(multiple cpu faults)|(system.+state.+changed )|(\[timeout)|(PRM\|1\|D)|(kpr)|(kdp)|(train st.+moving)|(\|lc)|(penalty))"</v>
      </c>
      <c r="AG197" s="182" t="str">
        <f t="shared" si="67"/>
        <v>Other</v>
      </c>
      <c r="AH197" s="78" t="str">
        <f t="shared" si="70"/>
        <v>"%USERPROFILE%\Documents\GitHub\eaglep3\Utilities\RefineRTDCRunTimes.py" --tripid 301-24 --locoid 4062 --swversion DE.1.0.9.0 --startMP 204:451 --initTime 2017-09-24T18:38:15 --startdatetime 2017-09-24T18:40:31 --delay 60 --endMP 300:23306 --enddatetime 2017-09-24T18:53:00 --enforcementcount 0 &gt;&gt;c:\users\stu\Documents\GitHub\eaglep3-reporting\EC\2017-09-24-refined-times.txt</v>
      </c>
      <c r="AI197" s="96" t="str">
        <f t="shared" si="71"/>
        <v>echo {"issue":{"subject":"","project_id":79,"tracker_id":40,"status_id":1,"priority_id":2,"assigned_to_id":338,"start_date":"2017-09-24","description":"","custom_fields":[{"id":1,"name":"Subdivision","value":"Other"},{"id":4,"name":"Milepost","value":"2.3306"},{"id":17,"name":"Train ID","value":"301-24"},{"id":16,"name":"Locomotive ID","value":"4062"},{"id":130,"name":"Impact","value":""},{"id":150,"name":"Time of Event (Mountain Time)","value":"18:53:00"},{"id":151,"name":"Denver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7" s="47"/>
      <c r="AL197" s="47"/>
      <c r="AM197" s="142" t="str">
        <f t="shared" si="72"/>
        <v>start /low /b %USERPROFILE%\Documents\GitHub\eaglep3\Utilities\DownloadLogsFromS3.py --loco 4062 --day 2017-09-24</v>
      </c>
      <c r="AN197" s="151" t="str">
        <f t="shared" si="7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00:53:00"},{"id":29,"name":"Sharepoint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168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Message%20ID',Summary),filters:!(),index:'emp_*',interval:auto,query:"&amp;"(query_string:(analyze_wildcard:!t,query:'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-09-24T17:38:15-0600',mode:absolute,to:'2017-09-24T19:53:00-0600'))&amp;_a=(columns:!('Message%20ID',Summary),filters:!(),index:'emp_*',interval:auto,query:(query_string:(analyze_wildcard:!t,query:'%22rtdc.l.rtdc.4062%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25">
      <c r="A198" s="32" t="s">
        <v>624</v>
      </c>
      <c r="B198" s="7">
        <v>4063</v>
      </c>
      <c r="C198" s="21" t="s">
        <v>196</v>
      </c>
      <c r="D198" s="21" t="s">
        <v>945</v>
      </c>
      <c r="E198" s="13">
        <v>43002.139837962961</v>
      </c>
      <c r="F198" s="13">
        <v>43002.144930555558</v>
      </c>
      <c r="G198" s="7">
        <v>85</v>
      </c>
      <c r="H198" s="21" t="s">
        <v>372</v>
      </c>
      <c r="I198" s="13">
        <v>43002.150729166664</v>
      </c>
      <c r="J198" s="7">
        <v>0</v>
      </c>
      <c r="K198" s="89" t="str">
        <f t="shared" si="59"/>
        <v>4063/4064</v>
      </c>
      <c r="L198" s="185" t="str">
        <f>VLOOKUP(A198,'Trips&amp;Operators'!$C$1:$G$99911,5,FALSE)</f>
        <v>LANGERAK WILLIAM</v>
      </c>
      <c r="M198" s="6">
        <f t="shared" si="60"/>
        <v>5.798611106001772E-3</v>
      </c>
      <c r="N198" s="7">
        <f t="shared" si="92"/>
        <v>8.3499999926425517</v>
      </c>
      <c r="O198" s="7"/>
      <c r="P198" s="7"/>
      <c r="Q198" s="22"/>
      <c r="R198" s="174"/>
      <c r="S198" s="221">
        <f t="shared" si="83"/>
        <v>1</v>
      </c>
      <c r="T198" s="174" t="str">
        <f t="shared" si="61"/>
        <v>Southbound</v>
      </c>
      <c r="U198" s="198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16" t="str">
        <f t="shared" si="62"/>
        <v>https://d0f6bd738d7f1b3e5a7ca70fe4ff75f0.us-east-1.aws.found.io/app/kibana#/discover/Steve-Slow-Train-Analysis-(2080s-and-2083s)?_g=(refreshInterval:(display:Off,pause:!f,section:0,value:0),time:(from:'2017-09-24T02:21:22-0600',mode:absolute,to:'2017-09-24T04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98" s="204" t="str">
        <f>IF(AA198&lt;VLOOKUP(AG198,Variables!$AC$3:$AD$8,2,FALSE),"Y","N")</f>
        <v>Y</v>
      </c>
      <c r="X198" s="204">
        <f t="shared" si="78"/>
        <v>1</v>
      </c>
      <c r="Y198" s="204">
        <f t="shared" si="93"/>
        <v>2.2269000000000001</v>
      </c>
      <c r="Z198" s="204">
        <f t="shared" si="94"/>
        <v>1.61E-2</v>
      </c>
      <c r="AA198" s="204">
        <f t="shared" si="63"/>
        <v>2.2108000000000003</v>
      </c>
      <c r="AB198" s="54" t="e">
        <f>VLOOKUP(A198,Enforcements!$C$7:$K$11,8,0)</f>
        <v>#N/A</v>
      </c>
      <c r="AC198" s="51" t="e">
        <f>VLOOKUP(A198,Enforcements!$C$7:$E$11,3,0)</f>
        <v>#N/A</v>
      </c>
      <c r="AD198" s="179">
        <f t="shared" si="64"/>
        <v>302</v>
      </c>
      <c r="AE198" s="77" t="str">
        <f t="shared" si="65"/>
        <v>aws s3 cp s3://rtdc.mdm.uploadarchive.raw/RTDC4063/ "%USERPROFILE%\AppData\Local\Temp\OnboardLogs"\RTDC4063\2017-09-24 --exclude "*" --recursive --include "*20170924*" &amp; "%USERPROFILE%\Documents\GitHub\mrs-test-scripts\Headless Mode &amp; Sideloading\WalkAndUnGZ.bat" "%USERPROFILE%\AppData\Local\Temp\OnboardLogs"\RTDC4063\2017-09-24 &amp; aws s3 cp s3://rtdc.mdm.uploadarchive.raw/RTDC4063/ "%USERPROFILE%\AppData\Local\Temp\OnboardLogs"\RTDC4063\2017-09-25 --exclude "*" --recursive --include "*20170925*" &amp; "%USERPROFILE%\Documents\GitHub\mrs-test-scripts\Headless Mode &amp; Sideloading\WalkAndUnGZ.bat" "%USERPROFILE%\AppData\Local\Temp\OnboardLogs"\RTDC4063\2017-09-25</v>
      </c>
      <c r="AF198" s="74" t="str">
        <f t="shared" si="66"/>
        <v>"C:\Program Files (x86)\AstroGrep\AstroGrep.exe" /e /r /s /spath="%USERPROFILE%\AppData\Local\Temp\OnboardLogs" /stypes="app*4063*20170924*" /stext=" 09:.+((SYSTEM_STATE.+slice.+state.+changed )|(ment ac)|(multiple cpu faults)|(system.+state.+changed )|(\[timeout)|(PRM\|1\|D)|(kpr)|(kdp)|(train st.+moving)|(\|lc)|(penalty))"</v>
      </c>
      <c r="AG198" s="182" t="str">
        <f t="shared" si="67"/>
        <v>Other</v>
      </c>
      <c r="AH198" s="78" t="str">
        <f t="shared" si="70"/>
        <v>"%USERPROFILE%\Documents\GitHub\eaglep3\Utilities\RefineRTDCRunTimes.py" --tripid 302-24 --locoid 4063 --swversion DE.1.0.9.0 --startMP 300:22269 --initTime 2017-09-24T03:21:22 --startdatetime 2017-09-24T03:28:42 --delay 85 --endMP 204:161 --enddatetime 2017-09-24T03:37:03 --enforcementcount 0 &gt;&gt;c:\users\stu\Documents\GitHub\eaglep3-reporting\EC\2017-09-24-refined-times.txt</v>
      </c>
      <c r="AI198" s="96" t="str">
        <f t="shared" si="71"/>
        <v>echo {"issue":{"subject":"","project_id":79,"tracker_id":40,"status_id":1,"priority_id":2,"assigned_to_id":338,"start_date":"2017-09-24","description":"","custom_fields":[{"id":1,"name":"Subdivision","value":"Other"},{"id":4,"name":"Milepost","value":"0.0161"},{"id":17,"name":"Train ID","value":"302-24"},{"id":16,"name":"Locomotive ID","value":"4063"},{"id":130,"name":"Impact","value":""},{"id":150,"name":"Time of Event (Mountain Time)","value":"03:37:03"},{"id":151,"name":"Denver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8" s="47"/>
      <c r="AL198" s="47"/>
      <c r="AM198" s="142" t="str">
        <f t="shared" si="72"/>
        <v>start /low /b %USERPROFILE%\Documents\GitHub\eaglep3\Utilities\DownloadLogsFromS3.py --loco 4063 --day 2017-09-24</v>
      </c>
      <c r="AN198" s="151" t="str">
        <f t="shared" si="73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09:37:03"},{"id":29,"name":"Sharepoint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168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Message%20ID',Summary),filters:!(),index:'emp_*',interval:auto,query:"&amp;"(query_string:(analyze_wildcard:!t,query:'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-09-24T02:21:22-0600',mode:absolute,to:'2017-09-24T04:37:03-0600'))&amp;_a=(columns:!('Message%20ID',Summary),filters:!(),index:'emp_*',interval:auto,query:(query_string:(analyze_wildcard:!t,query:'%22rtdc.l.rtdc.4063%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25">
      <c r="A199" s="32" t="s">
        <v>782</v>
      </c>
      <c r="B199" s="7">
        <v>4024</v>
      </c>
      <c r="C199" s="21" t="s">
        <v>196</v>
      </c>
      <c r="D199" s="21" t="s">
        <v>407</v>
      </c>
      <c r="E199" s="13">
        <v>43002.796724537038</v>
      </c>
      <c r="F199" s="13">
        <v>43002.798298611109</v>
      </c>
      <c r="G199" s="7">
        <v>65</v>
      </c>
      <c r="H199" s="21" t="s">
        <v>463</v>
      </c>
      <c r="I199" s="13">
        <v>43002.805277777778</v>
      </c>
      <c r="J199" s="7">
        <v>0</v>
      </c>
      <c r="K199" s="89" t="str">
        <f t="shared" si="59"/>
        <v>4023/4024</v>
      </c>
      <c r="L199" s="185" t="str">
        <f>VLOOKUP(A199,'Trips&amp;Operators'!$C$1:$G$99911,5,FALSE)</f>
        <v>BERLING GARY</v>
      </c>
      <c r="M199" s="6">
        <f t="shared" si="60"/>
        <v>6.9791666683158837E-3</v>
      </c>
      <c r="N199" s="7">
        <f t="shared" si="92"/>
        <v>10.050000002374873</v>
      </c>
      <c r="O199" s="7"/>
      <c r="P199" s="7"/>
      <c r="Q199" s="22"/>
      <c r="R199" s="174"/>
      <c r="S199" s="221">
        <f t="shared" si="83"/>
        <v>1</v>
      </c>
      <c r="T199" s="174" t="str">
        <f t="shared" si="61"/>
        <v>NorthBound</v>
      </c>
      <c r="U199" s="198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16" t="str">
        <f t="shared" si="62"/>
        <v>https://d0f6bd738d7f1b3e5a7ca70fe4ff75f0.us-east-1.aws.found.io/app/kibana#/discover/Steve-Slow-Train-Analysis-(2080s-and-2083s)?_g=(refreshInterval:(display:Off,pause:!f,section:0,value:0),time:(from:'2017-09-24T18:07:17-0600',mode:absolute,to:'2017-09-24T20:19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99" s="204" t="str">
        <f>IF(AA199&lt;VLOOKUP(AG199,Variables!$AC$3:$AD$8,2,FALSE),"Y","N")</f>
        <v>Y</v>
      </c>
      <c r="X199" s="204">
        <f t="shared" ref="X199:X219" si="112">VALUE(LEFT(AD199,4))-VALUE(LEFT(AD198,4))</f>
        <v>1</v>
      </c>
      <c r="Y199" s="204">
        <f t="shared" si="93"/>
        <v>4.4699999999999997E-2</v>
      </c>
      <c r="Z199" s="204">
        <f t="shared" si="94"/>
        <v>2.3346</v>
      </c>
      <c r="AA199" s="204">
        <f t="shared" si="63"/>
        <v>2.2898999999999998</v>
      </c>
      <c r="AB199" s="54" t="e">
        <f>VLOOKUP(A199,Enforcements!$C$7:$K$11,8,0)</f>
        <v>#N/A</v>
      </c>
      <c r="AC199" s="51" t="e">
        <f>VLOOKUP(A199,Enforcements!$C$7:$E$11,3,0)</f>
        <v>#N/A</v>
      </c>
      <c r="AD199" s="179">
        <f t="shared" si="64"/>
        <v>303</v>
      </c>
      <c r="AE199" s="77" t="str">
        <f t="shared" si="65"/>
        <v>aws s3 cp s3://rtdc.mdm.uploadarchive.raw/RTDC4024/ "%USERPROFILE%\AppData\Local\Temp\OnboardLogs"\RTDC4024\2017-09-24 --exclude "*" --recursive --include "*20170924*" &amp; "%USERPROFILE%\Documents\GitHub\mrs-test-scripts\Headless Mode &amp; Sideloading\WalkAndUnGZ.bat" "%USERPROFILE%\AppData\Local\Temp\OnboardLogs"\RTDC4024\2017-09-24 &amp; aws s3 cp s3://rtdc.mdm.uploadarchive.raw/RTDC4024/ "%USERPROFILE%\AppData\Local\Temp\OnboardLogs"\RTDC4024\2017-09-25 --exclude "*" --recursive --include "*20170925*" &amp; "%USERPROFILE%\Documents\GitHub\mrs-test-scripts\Headless Mode &amp; Sideloading\WalkAndUnGZ.bat" "%USERPROFILE%\AppData\Local\Temp\OnboardLogs"\RTDC4024\2017-09-25</v>
      </c>
      <c r="AF199" s="74" t="str">
        <f t="shared" si="66"/>
        <v>"C:\Program Files (x86)\AstroGrep\AstroGrep.exe" /e /r /s /spath="%USERPROFILE%\AppData\Local\Temp\OnboardLogs" /stypes="app*4024*20170925*" /stext=" 01:.+((SYSTEM_STATE.+slice.+state.+changed )|(ment ac)|(multiple cpu faults)|(system.+state.+changed )|(\[timeout)|(PRM\|1\|D)|(kpr)|(kdp)|(train st.+moving)|(\|lc)|(penalty))"</v>
      </c>
      <c r="AG199" s="182" t="str">
        <f t="shared" si="67"/>
        <v>Other</v>
      </c>
      <c r="AH199" s="78" t="str">
        <f t="shared" si="70"/>
        <v>"%USERPROFILE%\Documents\GitHub\eaglep3\Utilities\RefineRTDCRunTimes.py" --tripid 303-24 --locoid 4024 --swversion DE.1.0.9.0 --startMP 204:447 --initTime 2017-09-24T19:07:17 --startdatetime 2017-09-24T19:09:33 --delay 65 --endMP 300:23346 --enddatetime 2017-09-24T19:19:36 --enforcementcount 0 &gt;&gt;c:\users\stu\Documents\GitHub\eaglep3-reporting\EC\2017-09-24-refined-times.txt</v>
      </c>
      <c r="AI199" s="96" t="str">
        <f t="shared" si="71"/>
        <v>echo {"issue":{"subject":"","project_id":79,"tracker_id":40,"status_id":1,"priority_id":2,"assigned_to_id":338,"start_date":"2017-09-24","description":"","custom_fields":[{"id":1,"name":"Subdivision","value":"Other"},{"id":4,"name":"Milepost","value":"2.3346"},{"id":17,"name":"Train ID","value":"303-24"},{"id":16,"name":"Locomotive ID","value":"4024"},{"id":130,"name":"Impact","value":""},{"id":150,"name":"Time of Event (Mountain Time)","value":"19:19:36"},{"id":151,"name":"Denver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199" s="47"/>
      <c r="AL199" s="47"/>
      <c r="AM199" s="142" t="str">
        <f t="shared" si="72"/>
        <v>start /low /b %USERPROFILE%\Documents\GitHub\eaglep3\Utilities\DownloadLogsFromS3.py --loco 4024 --day 2017-09-24</v>
      </c>
      <c r="AN199" s="151" t="str">
        <f t="shared" si="7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01:19:36"},{"id":29,"name":"Sharepoint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168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Message%20ID',Summary),filters:!(),index:'emp_*',interval:auto,query:"&amp;"(query_string:(analyze_wildcard:!t,query:'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-09-24T18:07:17-0600',mode:absolute,to:'2017-09-24T20:19:36-0600'))&amp;_a=(columns:!('Message%20ID',Summary),filters:!(),index:'emp_*',interval:auto,query:(query_string:(analyze_wildcard:!t,query:'%22rtdc.l.rtdc.4024%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25">
      <c r="A200" s="32" t="s">
        <v>629</v>
      </c>
      <c r="B200" s="7">
        <v>4045</v>
      </c>
      <c r="C200" s="21" t="s">
        <v>196</v>
      </c>
      <c r="D200" s="21" t="s">
        <v>946</v>
      </c>
      <c r="E200" s="13">
        <v>43002.156134259261</v>
      </c>
      <c r="F200" s="13">
        <v>43002.161145833335</v>
      </c>
      <c r="G200" s="7">
        <v>99</v>
      </c>
      <c r="H200" s="21" t="s">
        <v>341</v>
      </c>
      <c r="I200" s="13">
        <v>43002.166504629633</v>
      </c>
      <c r="J200" s="7">
        <v>0</v>
      </c>
      <c r="K200" s="89" t="str">
        <f t="shared" si="59"/>
        <v>4045/4046</v>
      </c>
      <c r="L200" s="185" t="str">
        <f>VLOOKUP(A200,'Trips&amp;Operators'!$C$1:$G$99911,5,FALSE)</f>
        <v>DAVIS WENDY</v>
      </c>
      <c r="M200" s="6">
        <f t="shared" si="60"/>
        <v>5.3587962975143455E-3</v>
      </c>
      <c r="N200" s="7">
        <f t="shared" si="92"/>
        <v>7.7166666684206575</v>
      </c>
      <c r="O200" s="7"/>
      <c r="P200" s="7"/>
      <c r="Q200" s="22"/>
      <c r="R200" s="174"/>
      <c r="S200" s="221">
        <f t="shared" si="83"/>
        <v>1</v>
      </c>
      <c r="T200" s="174" t="str">
        <f t="shared" si="61"/>
        <v>Southbound</v>
      </c>
      <c r="U200" s="198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16" t="str">
        <f t="shared" si="62"/>
        <v>https://d0f6bd738d7f1b3e5a7ca70fe4ff75f0.us-east-1.aws.found.io/app/kibana#/discover/Steve-Slow-Train-Analysis-(2080s-and-2083s)?_g=(refreshInterval:(display:Off,pause:!f,section:0,value:0),time:(from:'2017-09-24T02:44:50-0600',mode:absolute,to:'2017-09-24T04:59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0" s="204" t="str">
        <f>IF(AA200&lt;VLOOKUP(AG200,Variables!$AC$3:$AD$8,2,FALSE),"Y","N")</f>
        <v>Y</v>
      </c>
      <c r="X200" s="204">
        <f t="shared" si="112"/>
        <v>1</v>
      </c>
      <c r="Y200" s="204">
        <f t="shared" si="93"/>
        <v>2.1996000000000002</v>
      </c>
      <c r="Z200" s="204">
        <f t="shared" si="94"/>
        <v>1.41E-2</v>
      </c>
      <c r="AA200" s="204">
        <f t="shared" si="63"/>
        <v>2.1855000000000002</v>
      </c>
      <c r="AB200" s="54" t="e">
        <f>VLOOKUP(A200,Enforcements!$C$7:$K$11,8,0)</f>
        <v>#N/A</v>
      </c>
      <c r="AC200" s="51" t="e">
        <f>VLOOKUP(A200,Enforcements!$C$7:$E$11,3,0)</f>
        <v>#N/A</v>
      </c>
      <c r="AD200" s="179">
        <f t="shared" si="64"/>
        <v>304</v>
      </c>
      <c r="AE200" s="77" t="str">
        <f t="shared" si="65"/>
        <v>aws s3 cp s3://rtdc.mdm.uploadarchive.raw/RTDC4045/ "%USERPROFILE%\AppData\Local\Temp\OnboardLogs"\RTDC4045\2017-09-24 --exclude "*" --recursive --include "*20170924*" &amp; "%USERPROFILE%\Documents\GitHub\mrs-test-scripts\Headless Mode &amp; Sideloading\WalkAndUnGZ.bat" "%USERPROFILE%\AppData\Local\Temp\OnboardLogs"\RTDC4045\2017-09-24 &amp; aws s3 cp s3://rtdc.mdm.uploadarchive.raw/RTDC4045/ "%USERPROFILE%\AppData\Local\Temp\OnboardLogs"\RTDC4045\2017-09-25 --exclude "*" --recursive --include "*20170925*" &amp; "%USERPROFILE%\Documents\GitHub\mrs-test-scripts\Headless Mode &amp; Sideloading\WalkAndUnGZ.bat" "%USERPROFILE%\AppData\Local\Temp\OnboardLogs"\RTDC4045\2017-09-25</v>
      </c>
      <c r="AF200" s="74" t="str">
        <f t="shared" si="66"/>
        <v>"C:\Program Files (x86)\AstroGrep\AstroGrep.exe" /e /r /s /spath="%USERPROFILE%\AppData\Local\Temp\OnboardLogs" /stypes="app*4045*20170924*" /stext=" 09:.+((SYSTEM_STATE.+slice.+state.+changed )|(ment ac)|(multiple cpu faults)|(system.+state.+changed )|(\[timeout)|(PRM\|1\|D)|(kpr)|(kdp)|(train st.+moving)|(\|lc)|(penalty))"</v>
      </c>
      <c r="AG200" s="182" t="str">
        <f t="shared" si="67"/>
        <v>Other</v>
      </c>
      <c r="AH200" s="78" t="str">
        <f t="shared" si="70"/>
        <v>"%USERPROFILE%\Documents\GitHub\eaglep3\Utilities\RefineRTDCRunTimes.py" --tripid 304-24 --locoid 4045 --swversion DE.1.0.9.0 --startMP 300:21996 --initTime 2017-09-24T03:44:50 --startdatetime 2017-09-24T03:52:03 --delay 99 --endMP 204:141 --enddatetime 2017-09-24T03:59:46 --enforcementcount 0 &gt;&gt;c:\users\stu\Documents\GitHub\eaglep3-reporting\EC\2017-09-24-refined-times.txt</v>
      </c>
      <c r="AI200" s="96" t="str">
        <f t="shared" si="71"/>
        <v>echo {"issue":{"subject":"","project_id":79,"tracker_id":40,"status_id":1,"priority_id":2,"assigned_to_id":338,"start_date":"2017-09-24","description":"","custom_fields":[{"id":1,"name":"Subdivision","value":"Other"},{"id":4,"name":"Milepost","value":"0.0141"},{"id":17,"name":"Train ID","value":"304-24"},{"id":16,"name":"Locomotive ID","value":"4045"},{"id":130,"name":"Impact","value":""},{"id":150,"name":"Time of Event (Mountain Time)","value":"03:59:46"},{"id":151,"name":"Denver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0" s="47"/>
      <c r="AL200" s="47"/>
      <c r="AM200" s="142" t="str">
        <f t="shared" si="72"/>
        <v>start /low /b %USERPROFILE%\Documents\GitHub\eaglep3\Utilities\DownloadLogsFromS3.py --loco 4045 --day 2017-09-24</v>
      </c>
      <c r="AN200" s="151" t="str">
        <f t="shared" si="73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09:59:46"},{"id":29,"name":"Sharepoint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168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Message%20ID',Summary),filters:!(),index:'emp_*',interval:auto,query:"&amp;"(query_string:(analyze_wildcard:!t,query:'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-09-24T02:44:50-0600',mode:absolute,to:'2017-09-24T04:59:46-0600'))&amp;_a=(columns:!('Message%20ID',Summary),filters:!(),index:'emp_*',interval:auto,query:(query_string:(analyze_wildcard:!t,query:'%22rtdc.l.rtdc.4045%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25">
      <c r="A201" s="32" t="s">
        <v>785</v>
      </c>
      <c r="B201" s="7">
        <v>4018</v>
      </c>
      <c r="C201" s="21" t="s">
        <v>196</v>
      </c>
      <c r="D201" s="21" t="s">
        <v>340</v>
      </c>
      <c r="E201" s="13">
        <v>43002.818715277775</v>
      </c>
      <c r="F201" s="13">
        <v>43002.8203125</v>
      </c>
      <c r="G201" s="7">
        <v>56</v>
      </c>
      <c r="H201" s="21" t="s">
        <v>426</v>
      </c>
      <c r="I201" s="13">
        <v>43002.827939814815</v>
      </c>
      <c r="J201" s="7">
        <v>0</v>
      </c>
      <c r="K201" s="89" t="str">
        <f t="shared" si="59"/>
        <v>4017/4018</v>
      </c>
      <c r="L201" s="185" t="str">
        <f>VLOOKUP(A201,'Trips&amp;Operators'!$C$1:$G$99911,5,FALSE)</f>
        <v>SMITH MICHAEL</v>
      </c>
      <c r="M201" s="6">
        <f t="shared" si="60"/>
        <v>7.6273148151813075E-3</v>
      </c>
      <c r="N201" s="7">
        <f t="shared" si="92"/>
        <v>10.983333333861083</v>
      </c>
      <c r="O201" s="7"/>
      <c r="P201" s="7"/>
      <c r="Q201" s="22"/>
      <c r="R201" s="174"/>
      <c r="S201" s="221">
        <f t="shared" si="83"/>
        <v>1</v>
      </c>
      <c r="T201" s="174" t="str">
        <f t="shared" si="61"/>
        <v>NorthBound</v>
      </c>
      <c r="U201" s="198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16" t="str">
        <f t="shared" si="62"/>
        <v>https://d0f6bd738d7f1b3e5a7ca70fe4ff75f0.us-east-1.aws.found.io/app/kibana#/discover/Steve-Slow-Train-Analysis-(2080s-and-2083s)?_g=(refreshInterval:(display:Off,pause:!f,section:0,value:0),time:(from:'2017-09-24T18:38:57-0600',mode:absolute,to:'2017-09-24T20:52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01" s="204" t="str">
        <f>IF(AA201&lt;VLOOKUP(AG201,Variables!$AC$3:$AD$8,2,FALSE),"Y","N")</f>
        <v>Y</v>
      </c>
      <c r="X201" s="204">
        <f t="shared" si="112"/>
        <v>1</v>
      </c>
      <c r="Y201" s="204">
        <f t="shared" si="93"/>
        <v>4.53E-2</v>
      </c>
      <c r="Z201" s="204">
        <f t="shared" si="94"/>
        <v>2.3308</v>
      </c>
      <c r="AA201" s="204">
        <f t="shared" si="63"/>
        <v>2.2854999999999999</v>
      </c>
      <c r="AB201" s="54" t="e">
        <f>VLOOKUP(A201,Enforcements!$C$7:$K$11,8,0)</f>
        <v>#N/A</v>
      </c>
      <c r="AC201" s="51" t="e">
        <f>VLOOKUP(A201,Enforcements!$C$7:$E$11,3,0)</f>
        <v>#N/A</v>
      </c>
      <c r="AD201" s="179">
        <f t="shared" si="64"/>
        <v>305</v>
      </c>
      <c r="AE201" s="77" t="str">
        <f t="shared" si="65"/>
        <v>aws s3 cp s3://rtdc.mdm.uploadarchive.raw/RTDC4018/ "%USERPROFILE%\AppData\Local\Temp\OnboardLogs"\RTDC4018\2017-09-24 --exclude "*" --recursive --include "*20170924*" &amp; "%USERPROFILE%\Documents\GitHub\mrs-test-scripts\Headless Mode &amp; Sideloading\WalkAndUnGZ.bat" "%USERPROFILE%\AppData\Local\Temp\OnboardLogs"\RTDC4018\2017-09-24 &amp; aws s3 cp s3://rtdc.mdm.uploadarchive.raw/RTDC4018/ "%USERPROFILE%\AppData\Local\Temp\OnboardLogs"\RTDC4018\2017-09-25 --exclude "*" --recursive --include "*20170925*" &amp; "%USERPROFILE%\Documents\GitHub\mrs-test-scripts\Headless Mode &amp; Sideloading\WalkAndUnGZ.bat" "%USERPROFILE%\AppData\Local\Temp\OnboardLogs"\RTDC4018\2017-09-25</v>
      </c>
      <c r="AF201" s="74" t="str">
        <f t="shared" si="66"/>
        <v>"C:\Program Files (x86)\AstroGrep\AstroGrep.exe" /e /r /s /spath="%USERPROFILE%\AppData\Local\Temp\OnboardLogs" /stypes="app*4018*20170925*" /stext=" 01:.+((SYSTEM_STATE.+slice.+state.+changed )|(ment ac)|(multiple cpu faults)|(system.+state.+changed )|(\[timeout)|(PRM\|1\|D)|(kpr)|(kdp)|(train st.+moving)|(\|lc)|(penalty))"</v>
      </c>
      <c r="AG201" s="182" t="str">
        <f t="shared" si="67"/>
        <v>Other</v>
      </c>
      <c r="AH201" s="78" t="str">
        <f t="shared" si="70"/>
        <v>"%USERPROFILE%\Documents\GitHub\eaglep3\Utilities\RefineRTDCRunTimes.py" --tripid 305-24 --locoid 4018 --swversion DE.1.0.9.0 --startMP 204:453 --initTime 2017-09-24T19:38:57 --startdatetime 2017-09-24T19:41:15 --delay 56 --endMP 300:23308 --enddatetime 2017-09-24T19:52:14 --enforcementcount 0 &gt;&gt;c:\users\stu\Documents\GitHub\eaglep3-reporting\EC\2017-09-24-refined-times.txt</v>
      </c>
      <c r="AI201" s="96" t="str">
        <f t="shared" si="71"/>
        <v>echo {"issue":{"subject":"","project_id":79,"tracker_id":40,"status_id":1,"priority_id":2,"assigned_to_id":338,"start_date":"2017-09-24","description":"","custom_fields":[{"id":1,"name":"Subdivision","value":"Other"},{"id":4,"name":"Milepost","value":"2.3308"},{"id":17,"name":"Train ID","value":"305-24"},{"id":16,"name":"Locomotive ID","value":"4018"},{"id":130,"name":"Impact","value":""},{"id":150,"name":"Time of Event (Mountain Time)","value":"19:52:14"},{"id":151,"name":"Denver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1" s="47"/>
      <c r="AL201" s="47"/>
      <c r="AM201" s="142" t="str">
        <f t="shared" si="72"/>
        <v>start /low /b %USERPROFILE%\Documents\GitHub\eaglep3\Utilities\DownloadLogsFromS3.py --loco 4018 --day 2017-09-24</v>
      </c>
      <c r="AN201" s="151" t="str">
        <f t="shared" si="7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01:52:14"},{"id":29,"name":"Sharepoint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168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Message%20ID',Summary),filters:!(),index:'emp_*',interval:auto,query:"&amp;"(query_string:(analyze_wildcard:!t,query:'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-09-24T18:38:57-0600',mode:absolute,to:'2017-09-24T20:52:14-0600'))&amp;_a=(columns:!('Message%20ID',Summary),filters:!(),index:'emp_*',interval:auto,query:(query_string:(analyze_wildcard:!t,query:'%22rtdc.l.rtdc.4018%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25">
      <c r="A202" s="32" t="s">
        <v>633</v>
      </c>
      <c r="B202" s="7">
        <v>4059</v>
      </c>
      <c r="C202" s="21" t="s">
        <v>196</v>
      </c>
      <c r="D202" s="21" t="s">
        <v>947</v>
      </c>
      <c r="E202" s="13">
        <v>43002.169062499997</v>
      </c>
      <c r="F202" s="13">
        <v>43002.173391203702</v>
      </c>
      <c r="G202" s="7">
        <v>72</v>
      </c>
      <c r="H202" s="21" t="s">
        <v>560</v>
      </c>
      <c r="I202" s="13">
        <v>43002.180162037039</v>
      </c>
      <c r="J202" s="7">
        <v>0</v>
      </c>
      <c r="K202" s="89" t="str">
        <f t="shared" si="59"/>
        <v>4059/4060</v>
      </c>
      <c r="L202" s="185" t="str">
        <f>VLOOKUP(A202,'Trips&amp;Operators'!$C$1:$G$99911,5,FALSE)</f>
        <v>PAGE MARCUS</v>
      </c>
      <c r="M202" s="6">
        <f t="shared" si="60"/>
        <v>6.7708333372138441E-3</v>
      </c>
      <c r="N202" s="7">
        <f t="shared" si="92"/>
        <v>9.7500000055879354</v>
      </c>
      <c r="O202" s="7"/>
      <c r="P202" s="7"/>
      <c r="Q202" s="22"/>
      <c r="R202" s="174"/>
      <c r="S202" s="221">
        <f t="shared" si="83"/>
        <v>1</v>
      </c>
      <c r="T202" s="174" t="str">
        <f t="shared" si="61"/>
        <v>Southbound</v>
      </c>
      <c r="U202" s="198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16" t="str">
        <f t="shared" si="62"/>
        <v>https://d0f6bd738d7f1b3e5a7ca70fe4ff75f0.us-east-1.aws.found.io/app/kibana#/discover/Steve-Slow-Train-Analysis-(2080s-and-2083s)?_g=(refreshInterval:(display:Off,pause:!f,section:0,value:0),time:(from:'2017-09-24T03:03:27-0600',mode:absolute,to:'2017-09-24T05:19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4059%22')),sort:!(Time.ISO8601,asc))</v>
      </c>
      <c r="W202" s="204" t="str">
        <f>IF(AA202&lt;VLOOKUP(AG202,Variables!$AC$3:$AD$8,2,FALSE),"Y","N")</f>
        <v>Y</v>
      </c>
      <c r="X202" s="204">
        <f t="shared" si="112"/>
        <v>1</v>
      </c>
      <c r="Y202" s="204">
        <f t="shared" si="93"/>
        <v>2.3351000000000002</v>
      </c>
      <c r="Z202" s="204">
        <f t="shared" si="94"/>
        <v>1.2699999999999999E-2</v>
      </c>
      <c r="AA202" s="204">
        <f t="shared" si="63"/>
        <v>2.3224</v>
      </c>
      <c r="AB202" s="54" t="e">
        <f>VLOOKUP(A202,Enforcements!$C$7:$K$11,8,0)</f>
        <v>#N/A</v>
      </c>
      <c r="AC202" s="51" t="e">
        <f>VLOOKUP(A202,Enforcements!$C$7:$E$11,3,0)</f>
        <v>#N/A</v>
      </c>
      <c r="AD202" s="179">
        <f t="shared" si="64"/>
        <v>306</v>
      </c>
      <c r="AE202" s="77" t="str">
        <f t="shared" si="65"/>
        <v>aws s3 cp s3://rtdc.mdm.uploadarchive.raw/RTDC4059/ "%USERPROFILE%\AppData\Local\Temp\OnboardLogs"\RTDC4059\2017-09-24 --exclude "*" --recursive --include "*20170924*" &amp; "%USERPROFILE%\Documents\GitHub\mrs-test-scripts\Headless Mode &amp; Sideloading\WalkAndUnGZ.bat" "%USERPROFILE%\AppData\Local\Temp\OnboardLogs"\RTDC4059\2017-09-24 &amp; aws s3 cp s3://rtdc.mdm.uploadarchive.raw/RTDC4059/ "%USERPROFILE%\AppData\Local\Temp\OnboardLogs"\RTDC4059\2017-09-25 --exclude "*" --recursive --include "*20170925*" &amp; "%USERPROFILE%\Documents\GitHub\mrs-test-scripts\Headless Mode &amp; Sideloading\WalkAndUnGZ.bat" "%USERPROFILE%\AppData\Local\Temp\OnboardLogs"\RTDC4059\2017-09-25</v>
      </c>
      <c r="AF202" s="74" t="str">
        <f t="shared" si="66"/>
        <v>"C:\Program Files (x86)\AstroGrep\AstroGrep.exe" /e /r /s /spath="%USERPROFILE%\AppData\Local\Temp\OnboardLogs" /stypes="app*4059*20170924*" /stext=" 10:.+((SYSTEM_STATE.+slice.+state.+changed )|(ment ac)|(multiple cpu faults)|(system.+state.+changed )|(\[timeout)|(PRM\|1\|D)|(kpr)|(kdp)|(train st.+moving)|(\|lc)|(penalty))"</v>
      </c>
      <c r="AG202" s="182" t="str">
        <f t="shared" si="67"/>
        <v>Other</v>
      </c>
      <c r="AH202" s="78" t="str">
        <f t="shared" si="70"/>
        <v>"%USERPROFILE%\Documents\GitHub\eaglep3\Utilities\RefineRTDCRunTimes.py" --tripid 306-24 --locoid 4059 --swversion DE.1.0.9.0 --startMP 300:23351 --initTime 2017-09-24T04:03:27 --startdatetime 2017-09-24T04:09:41 --delay 72 --endMP 204:127 --enddatetime 2017-09-24T04:19:26 --enforcementcount 0 &gt;&gt;c:\users\stu\Documents\GitHub\eaglep3-reporting\EC\2017-09-24-refined-times.txt</v>
      </c>
      <c r="AI202" s="96" t="str">
        <f t="shared" si="71"/>
        <v>echo {"issue":{"subject":"","project_id":79,"tracker_id":40,"status_id":1,"priority_id":2,"assigned_to_id":338,"start_date":"2017-09-24","description":"","custom_fields":[{"id":1,"name":"Subdivision","value":"Other"},{"id":4,"name":"Milepost","value":"0.0127"},{"id":17,"name":"Train ID","value":"306-24"},{"id":16,"name":"Locomotive ID","value":"4059"},{"id":130,"name":"Impact","value":""},{"id":150,"name":"Time of Event (Mountain Time)","value":"04:19:26"},{"id":151,"name":"Denver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2" s="47"/>
      <c r="AL202" s="47"/>
      <c r="AM202" s="142" t="str">
        <f t="shared" si="72"/>
        <v>start /low /b %USERPROFILE%\Documents\GitHub\eaglep3\Utilities\DownloadLogsFromS3.py --loco 4059 --day 2017-09-24</v>
      </c>
      <c r="AN202" s="151" t="str">
        <f t="shared" si="73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10:19:26"},{"id":29,"name":"Sharepoint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168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Message%20ID',Summary),filters:!(),index:'emp_*',interval:auto,query:"&amp;"(query_string:(analyze_wildcard:!t,query:'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-09-24T03:03:27-0600',mode:absolute,to:'2017-09-24T05:19:26-0600'))&amp;_a=(columns:!('Message%20ID',Summary),filters:!(),index:'emp_*',interval:auto,query:(query_string:(analyze_wildcard:!t,query:'%22rtdc.l.rtdc.4059%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x14ac:dyDescent="0.25">
      <c r="A203" s="32" t="s">
        <v>816</v>
      </c>
      <c r="B203" s="7">
        <v>4064</v>
      </c>
      <c r="C203" s="21" t="s">
        <v>196</v>
      </c>
      <c r="D203" s="21" t="s">
        <v>405</v>
      </c>
      <c r="E203" s="13">
        <v>43003.046446759261</v>
      </c>
      <c r="F203" s="13">
        <v>43003.048090277778</v>
      </c>
      <c r="G203" s="7">
        <v>65</v>
      </c>
      <c r="H203" s="21" t="s">
        <v>948</v>
      </c>
      <c r="I203" s="13">
        <v>43003.056828703702</v>
      </c>
      <c r="J203" s="7">
        <v>0</v>
      </c>
      <c r="K203" s="89" t="str">
        <f t="shared" si="59"/>
        <v>4063/4064</v>
      </c>
      <c r="L203" s="185" t="str">
        <f>VLOOKUP(A203,'Trips&amp;Operators'!$C$1:$G$99911,5,FALSE)</f>
        <v>LOZA FIDEL</v>
      </c>
      <c r="M203" s="6">
        <f t="shared" si="60"/>
        <v>8.7384259240934625E-3</v>
      </c>
      <c r="N203" s="7">
        <f t="shared" si="92"/>
        <v>12.583333330694586</v>
      </c>
      <c r="O203" s="7"/>
      <c r="P203" s="7"/>
      <c r="Q203" s="22"/>
      <c r="R203" s="174"/>
      <c r="S203" s="221">
        <f t="shared" si="83"/>
        <v>1</v>
      </c>
      <c r="T203" s="174" t="str">
        <f t="shared" si="61"/>
        <v>NorthBound</v>
      </c>
      <c r="U203" s="198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16" t="str">
        <f t="shared" si="62"/>
        <v>https://d0f6bd738d7f1b3e5a7ca70fe4ff75f0.us-east-1.aws.found.io/app/kibana#/discover/Steve-Slow-Train-Analysis-(2080s-and-2083s)?_g=(refreshInterval:(display:Off,pause:!f,section:0,value:0),time:(from:'2017-09-25T00:06:53-0600',mode:absolute,to:'2017-09-25T02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3" s="204" t="str">
        <f>IF(AA203&lt;VLOOKUP(AG203,Variables!$AC$3:$AD$8,2,FALSE),"Y","N")</f>
        <v>Y</v>
      </c>
      <c r="X203" s="204">
        <f t="shared" si="112"/>
        <v>1</v>
      </c>
      <c r="Y203" s="204">
        <f t="shared" si="93"/>
        <v>4.6600000000000003E-2</v>
      </c>
      <c r="Z203" s="204">
        <f t="shared" si="94"/>
        <v>2.3298999999999999</v>
      </c>
      <c r="AA203" s="204">
        <f t="shared" si="63"/>
        <v>2.2832999999999997</v>
      </c>
      <c r="AB203" s="54" t="e">
        <f>VLOOKUP(A203,Enforcements!$C$7:$K$11,8,0)</f>
        <v>#N/A</v>
      </c>
      <c r="AC203" s="51" t="e">
        <f>VLOOKUP(A203,Enforcements!$C$7:$E$11,3,0)</f>
        <v>#N/A</v>
      </c>
      <c r="AD203" s="179">
        <f t="shared" si="64"/>
        <v>307</v>
      </c>
      <c r="AE203" s="77" t="str">
        <f t="shared" si="65"/>
        <v>aws s3 cp s3://rtdc.mdm.uploadarchive.raw/RTDC4064/ "%USERPROFILE%\AppData\Local\Temp\OnboardLogs"\RTDC4064\2017-09-25 --exclude "*" --recursive --include "*20170925*" &amp; "%USERPROFILE%\Documents\GitHub\mrs-test-scripts\Headless Mode &amp; Sideloading\WalkAndUnGZ.bat" "%USERPROFILE%\AppData\Local\Temp\OnboardLogs"\RTDC4064\2017-09-25 &amp; aws s3 cp s3://rtdc.mdm.uploadarchive.raw/RTDC4064/ "%USERPROFILE%\AppData\Local\Temp\OnboardLogs"\RTDC4064\2017-09-26 --exclude "*" --recursive --include "*20170926*" &amp; "%USERPROFILE%\Documents\GitHub\mrs-test-scripts\Headless Mode &amp; Sideloading\WalkAndUnGZ.bat" "%USERPROFILE%\AppData\Local\Temp\OnboardLogs"\RTDC4064\2017-09-26</v>
      </c>
      <c r="AF203" s="74" t="str">
        <f t="shared" si="66"/>
        <v>"C:\Program Files (x86)\AstroGrep\AstroGrep.exe" /e /r /s /spath="%USERPROFILE%\AppData\Local\Temp\OnboardLogs" /stypes="app*4064*20170925*" /stext=" 07:.+((SYSTEM_STATE.+slice.+state.+changed )|(ment ac)|(multiple cpu faults)|(system.+state.+changed )|(\[timeout)|(PRM\|1\|D)|(kpr)|(kdp)|(train st.+moving)|(\|lc)|(penalty))"</v>
      </c>
      <c r="AG203" s="182" t="str">
        <f t="shared" si="67"/>
        <v>Other</v>
      </c>
      <c r="AH203" s="78" t="str">
        <f t="shared" si="70"/>
        <v>"%USERPROFILE%\Documents\GitHub\eaglep3\Utilities\RefineRTDCRunTimes.py" --tripid 307-24 --locoid 4064 --swversion DE.1.0.9.0 --startMP 204:466 --initTime 2017-09-25T01:06:53 --startdatetime 2017-09-25T01:09:15 --delay 65 --endMP 300:23299 --enddatetime 2017-09-25T01:21:50 --enforcementcount 0 &gt;&gt;c:\users\stu\Documents\GitHub\eaglep3-reporting\EC\2017-09-24-refined-times.txt</v>
      </c>
      <c r="AI203" s="96" t="str">
        <f t="shared" si="71"/>
        <v>echo {"issue":{"subject":"","project_id":79,"tracker_id":40,"status_id":1,"priority_id":2,"assigned_to_id":338,"start_date":"2017-09-25","description":"","custom_fields":[{"id":1,"name":"Subdivision","value":"Other"},{"id":4,"name":"Milepost","value":"2.3299"},{"id":17,"name":"Train ID","value":"307-24"},{"id":16,"name":"Locomotive ID","value":"4064"},{"id":130,"name":"Impact","value":""},{"id":150,"name":"Time of Event (Mountain Time)","value":"01:21:50"},{"id":151,"name":"Denver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2" t="str">
        <f t="shared" si="72"/>
        <v>start /low /b %USERPROFILE%\Documents\GitHub\eaglep3\Utilities\DownloadLogsFromS3.py --loco 4064 --day 2017-09-25</v>
      </c>
      <c r="AN203" s="151" t="str">
        <f t="shared" si="7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07:21:50"},{"id":29,"name":"Sharepoint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168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Message%20ID',Summary),filters:!(),index:'emp_*',interval:auto,query:"&amp;"(query_string:(analyze_wildcard:!t,query:'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-09-25T00:06:53-0600',mode:absolute,to:'2017-09-25T02:21:50-0600'))&amp;_a=(columns:!('Message%20ID',Summary),filters:!(),index:'emp_*',interval:auto,query:(query_string:(analyze_wildcard:!t,query:'%22rtdc.l.rtdc.4064%22')),sort:!(Time.ISO8601,asc))</v>
      </c>
    </row>
    <row r="204" spans="1:91" s="20" customFormat="1" x14ac:dyDescent="0.25">
      <c r="A204" s="32" t="s">
        <v>636</v>
      </c>
      <c r="B204" s="7">
        <v>4061</v>
      </c>
      <c r="C204" s="21" t="s">
        <v>196</v>
      </c>
      <c r="D204" s="21" t="s">
        <v>949</v>
      </c>
      <c r="E204" s="13">
        <v>43002.179791666669</v>
      </c>
      <c r="F204" s="13">
        <v>43002.185034722221</v>
      </c>
      <c r="G204" s="7">
        <v>68</v>
      </c>
      <c r="H204" s="21" t="s">
        <v>338</v>
      </c>
      <c r="I204" s="13">
        <v>43002.190659722219</v>
      </c>
      <c r="J204" s="7">
        <v>0</v>
      </c>
      <c r="K204" s="89" t="str">
        <f t="shared" si="59"/>
        <v>4061/4062</v>
      </c>
      <c r="L204" s="185" t="str">
        <f>VLOOKUP(A204,'Trips&amp;Operators'!$C$1:$G$99911,5,FALSE)</f>
        <v>GEBRETEKLE DAGNEW</v>
      </c>
      <c r="M204" s="6">
        <f t="shared" si="60"/>
        <v>5.6249999979627319E-3</v>
      </c>
      <c r="N204" s="7">
        <f t="shared" si="92"/>
        <v>8.0999999970663339</v>
      </c>
      <c r="O204" s="7"/>
      <c r="P204" s="7"/>
      <c r="Q204" s="22"/>
      <c r="R204" s="174"/>
      <c r="S204" s="221">
        <f t="shared" si="83"/>
        <v>1</v>
      </c>
      <c r="T204" s="174" t="str">
        <f t="shared" si="61"/>
        <v>Southbound</v>
      </c>
      <c r="U204" s="198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16" t="str">
        <f t="shared" si="62"/>
        <v>https://d0f6bd738d7f1b3e5a7ca70fe4ff75f0.us-east-1.aws.found.io/app/kibana#/discover/Steve-Slow-Train-Analysis-(2080s-and-2083s)?_g=(refreshInterval:(display:Off,pause:!f,section:0,value:0),time:(from:'2017-09-24T03:18:54-0600',mode:absolute,to:'2017-09-24T05:34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04" s="204" t="str">
        <f>IF(AA204&lt;VLOOKUP(AG204,Variables!$AC$3:$AD$8,2,FALSE),"Y","N")</f>
        <v>Y</v>
      </c>
      <c r="X204" s="204">
        <f t="shared" si="112"/>
        <v>1</v>
      </c>
      <c r="Y204" s="204">
        <f t="shared" si="93"/>
        <v>2.3622000000000001</v>
      </c>
      <c r="Z204" s="204">
        <f t="shared" si="94"/>
        <v>1.49E-2</v>
      </c>
      <c r="AA204" s="204">
        <f t="shared" si="63"/>
        <v>2.3473000000000002</v>
      </c>
      <c r="AB204" s="54" t="e">
        <f>VLOOKUP(A204,Enforcements!$C$7:$K$11,8,0)</f>
        <v>#N/A</v>
      </c>
      <c r="AC204" s="51" t="e">
        <f>VLOOKUP(A204,Enforcements!$C$7:$E$11,3,0)</f>
        <v>#N/A</v>
      </c>
      <c r="AD204" s="179">
        <f t="shared" si="64"/>
        <v>308</v>
      </c>
      <c r="AE204" s="77" t="str">
        <f t="shared" si="65"/>
        <v>aws s3 cp s3://rtdc.mdm.uploadarchive.raw/RTDC4061/ "%USERPROFILE%\AppData\Local\Temp\OnboardLogs"\RTDC4061\2017-09-24 --exclude "*" --recursive --include "*20170924*" &amp; "%USERPROFILE%\Documents\GitHub\mrs-test-scripts\Headless Mode &amp; Sideloading\WalkAndUnGZ.bat" "%USERPROFILE%\AppData\Local\Temp\OnboardLogs"\RTDC4061\2017-09-24 &amp; aws s3 cp s3://rtdc.mdm.uploadarchive.raw/RTDC4061/ "%USERPROFILE%\AppData\Local\Temp\OnboardLogs"\RTDC4061\2017-09-25 --exclude "*" --recursive --include "*20170925*" &amp; "%USERPROFILE%\Documents\GitHub\mrs-test-scripts\Headless Mode &amp; Sideloading\WalkAndUnGZ.bat" "%USERPROFILE%\AppData\Local\Temp\OnboardLogs"\RTDC4061\2017-09-25</v>
      </c>
      <c r="AF204" s="74" t="str">
        <f t="shared" si="66"/>
        <v>"C:\Program Files (x86)\AstroGrep\AstroGrep.exe" /e /r /s /spath="%USERPROFILE%\AppData\Local\Temp\OnboardLogs" /stypes="app*4061*20170924*" /stext=" 10:.+((SYSTEM_STATE.+slice.+state.+changed )|(ment ac)|(multiple cpu faults)|(system.+state.+changed )|(\[timeout)|(PRM\|1\|D)|(kpr)|(kdp)|(train st.+moving)|(\|lc)|(penalty))"</v>
      </c>
      <c r="AG204" s="182" t="str">
        <f t="shared" si="67"/>
        <v>Other</v>
      </c>
      <c r="AH204" s="78" t="str">
        <f t="shared" si="70"/>
        <v>"%USERPROFILE%\Documents\GitHub\eaglep3\Utilities\RefineRTDCRunTimes.py" --tripid 308-24 --locoid 4061 --swversion DE.1.0.9.0 --startMP 300:23622 --initTime 2017-09-24T04:18:54 --startdatetime 2017-09-24T04:26:27 --delay 68 --endMP 204:149 --enddatetime 2017-09-24T04:34:33 --enforcementcount 0 &gt;&gt;c:\users\stu\Documents\GitHub\eaglep3-reporting\EC\2017-09-24-refined-times.txt</v>
      </c>
      <c r="AI204" s="96" t="str">
        <f t="shared" si="71"/>
        <v>echo {"issue":{"subject":"","project_id":79,"tracker_id":40,"status_id":1,"priority_id":2,"assigned_to_id":338,"start_date":"2017-09-24","description":"","custom_fields":[{"id":1,"name":"Subdivision","value":"Other"},{"id":4,"name":"Milepost","value":"0.0149"},{"id":17,"name":"Train ID","value":"308-24"},{"id":16,"name":"Locomotive ID","value":"4061"},{"id":130,"name":"Impact","value":""},{"id":150,"name":"Time of Event (Mountain Time)","value":"04:34:33"},{"id":151,"name":"Denver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4" s="47"/>
      <c r="AL204" s="47"/>
      <c r="AM204" s="142" t="str">
        <f t="shared" si="72"/>
        <v>start /low /b %USERPROFILE%\Documents\GitHub\eaglep3\Utilities\DownloadLogsFromS3.py --loco 4061 --day 2017-09-24</v>
      </c>
      <c r="AN204" s="151" t="str">
        <f t="shared" si="73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10:34:33"},{"id":29,"name":"Sharepoint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168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Message%20ID',Summary),filters:!(),index:'emp_*',interval:auto,query:"&amp;"(query_string:(analyze_wildcard:!t,query:'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-09-24T03:18:54-0600',mode:absolute,to:'2017-09-24T05:34:33-0600'))&amp;_a=(columns:!('Message%20ID',Summary),filters:!(),index:'emp_*',interval:auto,query:(query_string:(analyze_wildcard:!t,query:'%22rtdc.l.rtdc.4061%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25">
      <c r="A205" s="32" t="s">
        <v>817</v>
      </c>
      <c r="B205" s="7">
        <v>4046</v>
      </c>
      <c r="C205" s="21" t="s">
        <v>196</v>
      </c>
      <c r="D205" s="21" t="s">
        <v>950</v>
      </c>
      <c r="E205" s="13">
        <v>43003.065659722219</v>
      </c>
      <c r="F205" s="13">
        <v>43003.069340277776</v>
      </c>
      <c r="G205" s="7">
        <v>53</v>
      </c>
      <c r="H205" s="21" t="s">
        <v>462</v>
      </c>
      <c r="I205" s="13">
        <v>43003.078935185185</v>
      </c>
      <c r="J205" s="7">
        <v>0</v>
      </c>
      <c r="K205" s="89" t="str">
        <f t="shared" si="59"/>
        <v>4045/4046</v>
      </c>
      <c r="L205" s="185" t="str">
        <f>VLOOKUP(A205,'Trips&amp;Operators'!$C$1:$G$99911,5,FALSE)</f>
        <v>ELBAUM MIKE</v>
      </c>
      <c r="M205" s="6">
        <f t="shared" si="60"/>
        <v>9.5949074093368836E-3</v>
      </c>
      <c r="N205" s="7">
        <f t="shared" si="92"/>
        <v>13.816666669445112</v>
      </c>
      <c r="O205" s="7"/>
      <c r="P205" s="7"/>
      <c r="Q205" s="22"/>
      <c r="R205" s="174"/>
      <c r="S205" s="221">
        <f t="shared" si="83"/>
        <v>1</v>
      </c>
      <c r="T205" s="174" t="str">
        <f t="shared" si="61"/>
        <v>NorthBound</v>
      </c>
      <c r="U205" s="198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16" t="str">
        <f t="shared" si="62"/>
        <v>https://d0f6bd738d7f1b3e5a7ca70fe4ff75f0.us-east-1.aws.found.io/app/kibana#/discover/Steve-Slow-Train-Analysis-(2080s-and-2083s)?_g=(refreshInterval:(display:Off,pause:!f,section:0,value:0),time:(from:'2017-09-25T00:34:33-0600',mode:absolute,to:'2017-09-25T02:53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05" s="204" t="str">
        <f>IF(AA205&lt;VLOOKUP(AG205,Variables!$AC$3:$AD$8,2,FALSE),"Y","N")</f>
        <v>Y</v>
      </c>
      <c r="X205" s="204">
        <f t="shared" si="112"/>
        <v>1</v>
      </c>
      <c r="Y205" s="204">
        <f t="shared" si="93"/>
        <v>5.3999999999999999E-2</v>
      </c>
      <c r="Z205" s="204">
        <f t="shared" si="94"/>
        <v>2.3306</v>
      </c>
      <c r="AA205" s="204">
        <f t="shared" si="63"/>
        <v>2.2766000000000002</v>
      </c>
      <c r="AB205" s="54" t="e">
        <f>VLOOKUP(A205,Enforcements!$C$7:$K$11,8,0)</f>
        <v>#N/A</v>
      </c>
      <c r="AC205" s="51" t="e">
        <f>VLOOKUP(A205,Enforcements!$C$7:$E$11,3,0)</f>
        <v>#N/A</v>
      </c>
      <c r="AD205" s="179">
        <f t="shared" si="64"/>
        <v>309</v>
      </c>
      <c r="AE205" s="77" t="str">
        <f t="shared" si="65"/>
        <v>aws s3 cp s3://rtdc.mdm.uploadarchive.raw/RTDC4046/ "%USERPROFILE%\AppData\Local\Temp\OnboardLogs"\RTDC4046\2017-09-25 --exclude "*" --recursive --include "*20170925*" &amp; "%USERPROFILE%\Documents\GitHub\mrs-test-scripts\Headless Mode &amp; Sideloading\WalkAndUnGZ.bat" "%USERPROFILE%\AppData\Local\Temp\OnboardLogs"\RTDC4046\2017-09-25 &amp; aws s3 cp s3://rtdc.mdm.uploadarchive.raw/RTDC4046/ "%USERPROFILE%\AppData\Local\Temp\OnboardLogs"\RTDC4046\2017-09-26 --exclude "*" --recursive --include "*20170926*" &amp; "%USERPROFILE%\Documents\GitHub\mrs-test-scripts\Headless Mode &amp; Sideloading\WalkAndUnGZ.bat" "%USERPROFILE%\AppData\Local\Temp\OnboardLogs"\RTDC4046\2017-09-26</v>
      </c>
      <c r="AF205" s="74" t="str">
        <f t="shared" si="66"/>
        <v>"C:\Program Files (x86)\AstroGrep\AstroGrep.exe" /e /r /s /spath="%USERPROFILE%\AppData\Local\Temp\OnboardLogs" /stypes="app*4046*20170925*" /stext=" 07:.+((SYSTEM_STATE.+slice.+state.+changed )|(ment ac)|(multiple cpu faults)|(system.+state.+changed )|(\[timeout)|(PRM\|1\|D)|(kpr)|(kdp)|(train st.+moving)|(\|lc)|(penalty))"</v>
      </c>
      <c r="AG205" s="182" t="str">
        <f t="shared" si="67"/>
        <v>Other</v>
      </c>
      <c r="AH205" s="78" t="str">
        <f t="shared" si="70"/>
        <v>"%USERPROFILE%\Documents\GitHub\eaglep3\Utilities\RefineRTDCRunTimes.py" --tripid 309-24 --locoid 4046 --swversion DE.1.0.9.0 --startMP 204:540 --initTime 2017-09-25T01:34:33 --startdatetime 2017-09-25T01:39:51 --delay 53 --endMP 300:23306 --enddatetime 2017-09-25T01:53:40 --enforcementcount 0 &gt;&gt;c:\users\stu\Documents\GitHub\eaglep3-reporting\EC\2017-09-24-refined-times.txt</v>
      </c>
      <c r="AI205" s="96" t="str">
        <f t="shared" si="71"/>
        <v>echo {"issue":{"subject":"","project_id":79,"tracker_id":40,"status_id":1,"priority_id":2,"assigned_to_id":338,"start_date":"2017-09-25","description":"","custom_fields":[{"id":1,"name":"Subdivision","value":"Other"},{"id":4,"name":"Milepost","value":"2.3306"},{"id":17,"name":"Train ID","value":"309-24"},{"id":16,"name":"Locomotive ID","value":"4046"},{"id":130,"name":"Impact","value":""},{"id":150,"name":"Time of Event (Mountain Time)","value":"01:53:40"},{"id":151,"name":"Denver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5" s="47"/>
      <c r="AL205" s="47"/>
      <c r="AM205" s="142" t="str">
        <f t="shared" si="72"/>
        <v>start /low /b %USERPROFILE%\Documents\GitHub\eaglep3\Utilities\DownloadLogsFromS3.py --loco 4046 --day 2017-09-25</v>
      </c>
      <c r="AN205" s="151" t="str">
        <f t="shared" si="7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07:53:40"},{"id":29,"name":"Sharepoint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168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Message%20ID',Summary),filters:!(),index:'emp_*',interval:auto,query:"&amp;"(query_string:(analyze_wildcard:!t,query:'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-09-25T00:34:33-0600',mode:absolute,to:'2017-09-25T02:53:40-0600'))&amp;_a=(columns:!('Message%20ID',Summary),filters:!(),index:'emp_*',interval:auto,query:(query_string:(analyze_wildcard:!t,query:'%22rtdc.l.rtdc.4046%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25">
      <c r="A206" s="32" t="s">
        <v>576</v>
      </c>
      <c r="B206" s="7">
        <v>4023</v>
      </c>
      <c r="C206" s="21" t="s">
        <v>196</v>
      </c>
      <c r="D206" s="21" t="s">
        <v>951</v>
      </c>
      <c r="E206" s="13">
        <v>43002.197048611109</v>
      </c>
      <c r="F206" s="13">
        <v>43002.258506944447</v>
      </c>
      <c r="G206" s="7">
        <v>108</v>
      </c>
      <c r="H206" s="21" t="s">
        <v>952</v>
      </c>
      <c r="I206" s="13">
        <v>43002.285300925927</v>
      </c>
      <c r="J206" s="7">
        <v>0</v>
      </c>
      <c r="K206" s="89" t="str">
        <f t="shared" si="59"/>
        <v>4023/4024</v>
      </c>
      <c r="L206" s="185" t="str">
        <f>VLOOKUP(A206,'Trips&amp;Operators'!$C$1:$G$99911,5,FALSE)</f>
        <v>WILLIAMS DONTE</v>
      </c>
      <c r="M206" s="6">
        <f t="shared" si="60"/>
        <v>2.679398148029577E-2</v>
      </c>
      <c r="N206" s="7"/>
      <c r="O206" s="7"/>
      <c r="P206" s="7">
        <f>24*60*SUM($M206:$M206)</f>
        <v>38.583333331625909</v>
      </c>
      <c r="Q206" s="22"/>
      <c r="R206" s="174" t="s">
        <v>986</v>
      </c>
      <c r="S206" s="221">
        <f t="shared" si="83"/>
        <v>0</v>
      </c>
      <c r="T206" s="174" t="str">
        <f t="shared" si="61"/>
        <v>Southbound</v>
      </c>
      <c r="U206" s="198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216" t="str">
        <f t="shared" si="62"/>
        <v>https://d0f6bd738d7f1b3e5a7ca70fe4ff75f0.us-east-1.aws.found.io/app/kibana#/discover/Steve-Slow-Train-Analysis-(2080s-and-2083s)?_g=(refreshInterval:(display:Off,pause:!f,section:0,value:0),time:(from:'2017-09-24T03:43:45-0600',mode:absolute,to:'2017-09-24T07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6" s="204" t="str">
        <f>IF(AA206&lt;VLOOKUP(AG206,Variables!$AC$3:$AD$8,2,FALSE),"Y","N")</f>
        <v>Y</v>
      </c>
      <c r="X206" s="204">
        <f t="shared" si="112"/>
        <v>1</v>
      </c>
      <c r="Y206" s="204">
        <f t="shared" si="93"/>
        <v>2.3879000000000001</v>
      </c>
      <c r="Z206" s="204">
        <f t="shared" si="94"/>
        <v>1.9185000000000001</v>
      </c>
      <c r="AA206" s="204">
        <f t="shared" si="63"/>
        <v>0.46940000000000004</v>
      </c>
      <c r="AB206" s="54" t="e">
        <f>VLOOKUP(A206,Enforcements!$C$7:$K$11,8,0)</f>
        <v>#N/A</v>
      </c>
      <c r="AC206" s="51" t="e">
        <f>VLOOKUP(A206,Enforcements!$C$7:$E$11,3,0)</f>
        <v>#N/A</v>
      </c>
      <c r="AD206" s="179">
        <f t="shared" si="64"/>
        <v>310</v>
      </c>
      <c r="AE206" s="77" t="str">
        <f t="shared" si="65"/>
        <v>aws s3 cp s3://rtdc.mdm.uploadarchive.raw/RTDC4023/ "%USERPROFILE%\AppData\Local\Temp\OnboardLogs"\RTDC4023\2017-09-24 --exclude "*" --recursive --include "*20170924*" &amp; "%USERPROFILE%\Documents\GitHub\mrs-test-scripts\Headless Mode &amp; Sideloading\WalkAndUnGZ.bat" "%USERPROFILE%\AppData\Local\Temp\OnboardLogs"\RTDC4023\2017-09-24 &amp; aws s3 cp s3://rtdc.mdm.uploadarchive.raw/RTDC4023/ "%USERPROFILE%\AppData\Local\Temp\OnboardLogs"\RTDC4023\2017-09-25 --exclude "*" --recursive --include "*20170925*" &amp; "%USERPROFILE%\Documents\GitHub\mrs-test-scripts\Headless Mode &amp; Sideloading\WalkAndUnGZ.bat" "%USERPROFILE%\AppData\Local\Temp\OnboardLogs"\RTDC4023\2017-09-25</v>
      </c>
      <c r="AF206" s="74" t="str">
        <f t="shared" si="66"/>
        <v>"C:\Program Files (x86)\AstroGrep\AstroGrep.exe" /e /r /s /spath="%USERPROFILE%\AppData\Local\Temp\OnboardLogs" /stypes="app*4023*20170924*" /stext=" 12:.+((SYSTEM_STATE.+slice.+state.+changed )|(ment ac)|(multiple cpu faults)|(system.+state.+changed )|(\[timeout)|(PRM\|1\|D)|(kpr)|(kdp)|(train st.+moving)|(\|lc)|(penalty))"</v>
      </c>
      <c r="AG206" s="182" t="str">
        <f t="shared" si="67"/>
        <v>Other</v>
      </c>
      <c r="AH206" s="78" t="str">
        <f t="shared" si="70"/>
        <v>"%USERPROFILE%\Documents\GitHub\eaglep3\Utilities\RefineRTDCRunTimes.py" --tripid 310-24 --locoid 4023 --swversion DE.1.0.9.0 --startMP 300:23879 --initTime 2017-09-24T04:43:45 --startdatetime 2017-09-24T06:12:15 --delay 108 --endMP 300:19185 --enddatetime 2017-09-24T06:50:50 --enforcementcount 0 &gt;&gt;c:\users\stu\Documents\GitHub\eaglep3-reporting\EC\2017-09-24-refined-times.txt</v>
      </c>
      <c r="AI206" s="96" t="str">
        <f t="shared" si="71"/>
        <v>echo {"issue":{"subject":"Mid-block init, signal would have come in if train got closer","project_id":79,"tracker_id":40,"status_id":1,"priority_id":2,"assigned_to_id":338,"start_date":"2017-09-24","description":"","custom_fields":[{"id":1,"name":"Subdivision","value":"Other"},{"id":4,"name":"Milepost","value":"1.9185"},{"id":17,"name":"Train ID","value":"310-24"},{"id":16,"name":"Locomotive ID","value":"4023"},{"id":130,"name":"Impact","value":""},{"id":150,"name":"Time of Event (Mountain Time)","value":"06:50:50"},{"id":151,"name":"Denver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6" s="47"/>
      <c r="AL206" s="47"/>
      <c r="AM206" s="142" t="str">
        <f t="shared" si="72"/>
        <v>start /low /b %USERPROFILE%\Documents\GitHub\eaglep3\Utilities\DownloadLogsFromS3.py --loco 4023 --day 2017-09-24</v>
      </c>
      <c r="AN206" s="151" t="str">
        <f t="shared" si="73"/>
        <v>echo {"issue":{"subject":"Mid-block init, signal would have come in if train got closer","project_id":30,"tracker_id":4,"status_id":1,"priority_id":1,"assigned_to_id":10,"start_date":"2017-09-24","description":"","custom_fields":[{"id":30,"name":"Category","value":"Issue"},{"id":3,"name":"Functional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12:50:50"},{"id":29,"name":"Sharepoint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168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Message%20ID',Summary),filters:!(),index:'emp_*',interval:auto,query:"&amp;"(query_string:(analyze_wildcard:!t,query:'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-09-24T03:43:45-0600',mode:absolute,to:'2017-09-24T07:50:50-0600'))&amp;_a=(columns:!('Message%20ID',Summary),filters:!(),index:'emp_*',interval:auto,query:(query_string:(analyze_wildcard:!t,query:'%22rtdc.l.rtdc.4023%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25">
      <c r="A207" s="32" t="s">
        <v>576</v>
      </c>
      <c r="B207" s="7">
        <v>4023</v>
      </c>
      <c r="C207" s="21" t="s">
        <v>196</v>
      </c>
      <c r="D207" s="21" t="s">
        <v>494</v>
      </c>
      <c r="E207" s="13">
        <v>43002.202928240738</v>
      </c>
      <c r="F207" s="13">
        <v>25568.708333333332</v>
      </c>
      <c r="G207" s="7">
        <v>43</v>
      </c>
      <c r="H207" s="21" t="s">
        <v>401</v>
      </c>
      <c r="I207" s="13">
        <v>25568.708333333332</v>
      </c>
      <c r="J207" s="7">
        <v>0</v>
      </c>
      <c r="K207" s="89" t="str">
        <f t="shared" ref="K207:K219" si="113">IF(ISEVEN(B207),(B207-1)&amp;"/"&amp;B207,B207&amp;"/"&amp;(B207+1))</f>
        <v>4023/4024</v>
      </c>
      <c r="L207" s="185" t="str">
        <f>VLOOKUP(A207,'Trips&amp;Operators'!$C$1:$G$99911,5,FALSE)</f>
        <v>WILLIAMS DONTE</v>
      </c>
      <c r="M207" s="6">
        <f t="shared" ref="M207:M219" si="114">I207-F207</f>
        <v>0</v>
      </c>
      <c r="N207" s="7">
        <f t="shared" ref="N207:N219" si="115">24*60*SUM($M207:$M207)</f>
        <v>0</v>
      </c>
      <c r="O207" s="7"/>
      <c r="P207" s="7"/>
      <c r="Q207" s="22"/>
      <c r="R207" s="174"/>
      <c r="S207" s="221">
        <f t="shared" si="83"/>
        <v>1</v>
      </c>
      <c r="T207" s="174" t="str">
        <f t="shared" ref="T207:T219" si="116">IF(ISEVEN(LEFT(AD207,4)),"Southbound","NorthBound")</f>
        <v>Southbound</v>
      </c>
      <c r="U207" s="198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216" t="str">
        <f t="shared" ref="V207:V219" si="117"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-09-24T03:52:13-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207" s="204" t="str">
        <f>IF(AA207&lt;VLOOKUP(AG207,Variables!$AC$3:$AD$8,2,FALSE),"Y","N")</f>
        <v>Y</v>
      </c>
      <c r="X207" s="204">
        <f t="shared" si="112"/>
        <v>0</v>
      </c>
      <c r="Y207" s="204">
        <f t="shared" si="93"/>
        <v>23.3002</v>
      </c>
      <c r="Z207" s="204">
        <f t="shared" si="94"/>
        <v>1.54E-2</v>
      </c>
      <c r="AA207" s="204">
        <f t="shared" ref="AA207:AA219" si="118">ABS(Z207-Y207)</f>
        <v>23.284800000000001</v>
      </c>
      <c r="AB207" s="54" t="e">
        <f>VLOOKUP(A207,Enforcements!$C$7:$K$11,8,0)</f>
        <v>#N/A</v>
      </c>
      <c r="AC207" s="51" t="e">
        <f>VLOOKUP(A207,Enforcements!$C$7:$E$11,3,0)</f>
        <v>#N/A</v>
      </c>
      <c r="AD207" s="179">
        <f t="shared" ref="AD207:AD219" si="119">VALUE(LEFT(A207,LEN(A207)-3))</f>
        <v>310</v>
      </c>
      <c r="AE207" s="77" t="str">
        <f t="shared" ref="AE207:AE219" si="120"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s3://rtdc.mdm.uploadarchive.raw/RTDC4023/ "%USERPROFILE%\AppData\Local\Temp\OnboardLogs"\RTDC4023\1969-12-31 --exclude "*" --recursive --include "*19691231*" &amp; "%USERPROFILE%\Documents\GitHub\mrs-test-scripts\Headless Mode &amp; Sideloading\WalkAndUnGZ.bat" "%USERPROFILE%\AppData\Local\Temp\OnboardLogs"\RTDC4023\1969-12-31 &amp; aws s3 cp s3://rtdc.mdm.uploadarchive.raw/RTDC4023/ "%USERPROFILE%\AppData\Local\Temp\OnboardLogs"\RTDC4023\1970-01-01 --exclude "*" --recursive --include "*19700101*" &amp; "%USERPROFILE%\Documents\GitHub\mrs-test-scripts\Headless Mode &amp; Sideloading\WalkAndUnGZ.bat" "%USERPROFILE%\AppData\Local\Temp\OnboardLogs"\RTDC4023\1970-01-01</v>
      </c>
      <c r="AF207" s="74" t="str">
        <f t="shared" ref="AF207:AF219" si="121">astrogrep_path&amp;" /e /r /s /spath="&amp;search_path&amp;" /stypes=""app*"&amp;B207&amp;"*"&amp;TEXT(I207-utc_offset/24,"YYYYMMDD")&amp;"*"" /stext="" "&amp;TEXT(I207-utc_offset/24,"HH")&amp;search_regexp&amp;""""</f>
        <v>"C:\Program Files (x86)\AstroGrep\AstroGrep.exe" /e /r /s /spath="%USERPROFILE%\AppData\Local\Temp\OnboardLogs" /stypes="app*4023*19691231*" /stext=" 23:.+((SYSTEM_STATE.+slice.+state.+changed )|(ment ac)|(multiple cpu faults)|(system.+state.+changed )|(\[timeout)|(PRM\|1\|D)|(kpr)|(kdp)|(train st.+moving)|(\|lc)|(penalty))"</v>
      </c>
      <c r="AG207" s="182" t="str">
        <f t="shared" ref="AG207:AG219" si="122">DetSubdiv(A207)</f>
        <v>Other</v>
      </c>
      <c r="AH207" s="78" t="str">
        <f t="shared" si="70"/>
        <v>"%USERPROFILE%\Documents\GitHub\eaglep3\Utilities\RefineRTDCRunTimes.py" --tripid 310-24 --locoid 4023 --swversion DE.1.0.9.0 --startMP 204:233002 --initTime 2017-09-24T04:52:13 --startdatetime 1969-12-31T17:00:00 --delay 43 --endMP 204:154 --enddatetime 1969-12-31T17:00:00 --enforcementcount 0 &gt;&gt;c:\users\stu\Documents\GitHub\eaglep3-reporting\EC\2017-09-24-refined-times.txt</v>
      </c>
      <c r="AI207" s="96" t="str">
        <f t="shared" si="71"/>
        <v>echo {"issue":{"subject":"","project_id":79,"tracker_id":40,"status_id":1,"priority_id":2,"assigned_to_id":338,"start_date":"1969-12-31","description":"","custom_fields":[{"id":1,"name":"Subdivision","value":"Other"},{"id":4,"name":"Milepost","value":"0.0154"},{"id":17,"name":"Train ID","value":"310-24"},{"id":16,"name":"Locomotive ID","value":"4023"},{"id":130,"name":"Impact","value":""},{"id":150,"name":"Time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07" s="47"/>
      <c r="AL207" s="47"/>
      <c r="AM207" s="142" t="str">
        <f t="shared" si="72"/>
        <v>start /low /b %USERPROFILE%\Documents\GitHub\eaglep3\Utilities\DownloadLogsFromS3.py --loco 4023 --day 1969-12-31</v>
      </c>
      <c r="AN207" s="151" t="str">
        <f t="shared" si="73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168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Message%20ID',Summary),filters:!(),index:'emp_*',interval:auto,query:"&amp;"(query_string:(analyze_wildcard:!t,query:'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-09-24T03:52:13-0600',mode:absolute,to:'1969-12-31T18:00:00-0600'))&amp;_a=(columns:!('Message%20ID',Summary),filters:!(),index:'emp_*',interval:auto,query:(query_string:(analyze_wildcard:!t,query:'%22rtdc.l.rtdc.4023%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x14ac:dyDescent="0.25">
      <c r="A208" s="32" t="s">
        <v>818</v>
      </c>
      <c r="B208" s="7">
        <v>4060</v>
      </c>
      <c r="C208" s="21" t="s">
        <v>196</v>
      </c>
      <c r="D208" s="21" t="s">
        <v>435</v>
      </c>
      <c r="E208" s="13">
        <v>43003.087824074071</v>
      </c>
      <c r="F208" s="13">
        <v>43003.089861111112</v>
      </c>
      <c r="G208" s="7">
        <v>54</v>
      </c>
      <c r="H208" s="21" t="s">
        <v>463</v>
      </c>
      <c r="I208" s="13">
        <v>43003.097719907404</v>
      </c>
      <c r="J208" s="7">
        <v>0</v>
      </c>
      <c r="K208" s="89" t="str">
        <f t="shared" si="113"/>
        <v>4059/4060</v>
      </c>
      <c r="L208" s="185" t="str">
        <f>VLOOKUP(A208,'Trips&amp;Operators'!$C$1:$G$99911,5,FALSE)</f>
        <v>DUNCAN SHEILA</v>
      </c>
      <c r="M208" s="6">
        <f t="shared" si="114"/>
        <v>7.8587962925666943E-3</v>
      </c>
      <c r="N208" s="7">
        <f t="shared" si="115"/>
        <v>11.31666666129604</v>
      </c>
      <c r="O208" s="7"/>
      <c r="P208" s="7"/>
      <c r="Q208" s="22"/>
      <c r="R208" s="174"/>
      <c r="S208" s="221">
        <f t="shared" si="83"/>
        <v>1</v>
      </c>
      <c r="T208" s="174" t="str">
        <f t="shared" si="116"/>
        <v>NorthBound</v>
      </c>
      <c r="U208" s="198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216" t="str">
        <f t="shared" si="117"/>
        <v>https://d0f6bd738d7f1b3e5a7ca70fe4ff75f0.us-east-1.aws.found.io/app/kibana#/discover/Steve-Slow-Train-Analysis-(2080s-and-2083s)?_g=(refreshInterval:(display:Off,pause:!f,section:0,value:0),time:(from:'2017-09-25T01:06:28-0600',mode:absolute,to:'2017-09-25T03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4060%22')),sort:!(Time.ISO8601,asc))</v>
      </c>
      <c r="W208" s="204" t="str">
        <f>IF(AA208&lt;VLOOKUP(AG208,Variables!$AC$3:$AD$8,2,FALSE),"Y","N")</f>
        <v>Y</v>
      </c>
      <c r="X208" s="204">
        <f t="shared" si="112"/>
        <v>1</v>
      </c>
      <c r="Y208" s="204">
        <f t="shared" si="93"/>
        <v>4.5699999999999998E-2</v>
      </c>
      <c r="Z208" s="204">
        <f t="shared" si="94"/>
        <v>2.3346</v>
      </c>
      <c r="AA208" s="204">
        <f t="shared" si="118"/>
        <v>2.2888999999999999</v>
      </c>
      <c r="AB208" s="54" t="e">
        <f>VLOOKUP(A208,Enforcements!$C$7:$K$11,8,0)</f>
        <v>#N/A</v>
      </c>
      <c r="AC208" s="51" t="e">
        <f>VLOOKUP(A208,Enforcements!$C$7:$E$11,3,0)</f>
        <v>#N/A</v>
      </c>
      <c r="AD208" s="179">
        <f t="shared" si="119"/>
        <v>311</v>
      </c>
      <c r="AE208" s="77" t="str">
        <f t="shared" si="120"/>
        <v>aws s3 cp s3://rtdc.mdm.uploadarchive.raw/RTDC4060/ "%USERPROFILE%\AppData\Local\Temp\OnboardLogs"\RTDC4060\2017-09-25 --exclude "*" --recursive --include "*20170925*" &amp; "%USERPROFILE%\Documents\GitHub\mrs-test-scripts\Headless Mode &amp; Sideloading\WalkAndUnGZ.bat" "%USERPROFILE%\AppData\Local\Temp\OnboardLogs"\RTDC4060\2017-09-25 &amp; aws s3 cp s3://rtdc.mdm.uploadarchive.raw/RTDC4060/ "%USERPROFILE%\AppData\Local\Temp\OnboardLogs"\RTDC4060\2017-09-26 --exclude "*" --recursive --include "*20170926*" &amp; "%USERPROFILE%\Documents\GitHub\mrs-test-scripts\Headless Mode &amp; Sideloading\WalkAndUnGZ.bat" "%USERPROFILE%\AppData\Local\Temp\OnboardLogs"\RTDC4060\2017-09-26</v>
      </c>
      <c r="AF208" s="74" t="str">
        <f t="shared" si="121"/>
        <v>"C:\Program Files (x86)\AstroGrep\AstroGrep.exe" /e /r /s /spath="%USERPROFILE%\AppData\Local\Temp\OnboardLogs" /stypes="app*4060*20170925*" /stext=" 08:.+((SYSTEM_STATE.+slice.+state.+changed )|(ment ac)|(multiple cpu faults)|(system.+state.+changed )|(\[timeout)|(PRM\|1\|D)|(kpr)|(kdp)|(train st.+moving)|(\|lc)|(penalty))"</v>
      </c>
      <c r="AG208" s="182" t="str">
        <f t="shared" si="122"/>
        <v>Other</v>
      </c>
      <c r="AH208" s="78" t="str">
        <f t="shared" si="70"/>
        <v>"%USERPROFILE%\Documents\GitHub\eaglep3\Utilities\RefineRTDCRunTimes.py" --tripid 311-24 --locoid 4060 --swversion DE.1.0.9.0 --startMP 204:457 --initTime 2017-09-25T02:06:28 --startdatetime 2017-09-25T02:09:24 --delay 54 --endMP 300:23346 --enddatetime 2017-09-25T02:20:43 --enforcementcount 0 &gt;&gt;c:\users\stu\Documents\GitHub\eaglep3-reporting\EC\2017-09-24-refined-times.txt</v>
      </c>
      <c r="AI208" s="96" t="str">
        <f t="shared" si="71"/>
        <v>echo {"issue":{"subject":"","project_id":79,"tracker_id":40,"status_id":1,"priority_id":2,"assigned_to_id":338,"start_date":"2017-09-25","description":"","custom_fields":[{"id":1,"name":"Subdivision","value":"Other"},{"id":4,"name":"Milepost","value":"2.3346"},{"id":17,"name":"Train ID","value":"311-24"},{"id":16,"name":"Locomotive ID","value":"4060"},{"id":130,"name":"Impact","value":""},{"id":150,"name":"Time of Event (Mountain Time)","value":"02:20:43"},{"id":151,"name":"Denver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2" t="str">
        <f t="shared" si="72"/>
        <v>start /low /b %USERPROFILE%\Documents\GitHub\eaglep3\Utilities\DownloadLogsFromS3.py --loco 4060 --day 2017-09-25</v>
      </c>
      <c r="AN208" s="151" t="str">
        <f t="shared" si="7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ID","value":"4060"},{"id":20,"name":"RR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08:20:43"},{"id":29,"name":"Sharepoint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168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Message%20ID',Summary),filters:!(),index:'emp_*',interval:auto,query:"&amp;"(query_string:(analyze_wildcard:!t,query:'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-09-25T01:06:28-0600',mode:absolute,to:'2017-09-25T03:20:43-0600'))&amp;_a=(columns:!('Message%20ID',Summary),filters:!(),index:'emp_*',interval:auto,query:(query_string:(analyze_wildcard:!t,query:'%22rtdc.l.rtdc.4060%22')),sort:!(Time.ISO8601,asc))</v>
      </c>
    </row>
    <row r="209" spans="1:91" x14ac:dyDescent="0.25">
      <c r="A209" s="32" t="s">
        <v>578</v>
      </c>
      <c r="B209" s="7">
        <v>4017</v>
      </c>
      <c r="C209" s="21" t="s">
        <v>196</v>
      </c>
      <c r="D209" s="21" t="s">
        <v>953</v>
      </c>
      <c r="E209" s="13">
        <v>43002.222442129627</v>
      </c>
      <c r="F209" s="13">
        <v>43002.226967592593</v>
      </c>
      <c r="G209" s="7">
        <v>85</v>
      </c>
      <c r="H209" s="21" t="s">
        <v>401</v>
      </c>
      <c r="I209" s="13">
        <v>43002.233715277776</v>
      </c>
      <c r="J209" s="7">
        <v>0</v>
      </c>
      <c r="K209" s="89" t="str">
        <f t="shared" si="113"/>
        <v>4017/4018</v>
      </c>
      <c r="L209" s="185" t="str">
        <f>VLOOKUP(A209,'Trips&amp;Operators'!$C$1:$G$99911,5,FALSE)</f>
        <v>LAMAR NEKESHA</v>
      </c>
      <c r="M209" s="6">
        <f t="shared" si="114"/>
        <v>6.7476851836545393E-3</v>
      </c>
      <c r="N209" s="7">
        <f t="shared" si="115"/>
        <v>9.7166666644625366</v>
      </c>
      <c r="O209" s="7"/>
      <c r="P209" s="7"/>
      <c r="Q209" s="22"/>
      <c r="R209" s="174"/>
      <c r="S209" s="221">
        <f t="shared" si="83"/>
        <v>1</v>
      </c>
      <c r="T209" s="174" t="str">
        <f t="shared" si="116"/>
        <v>Southbound</v>
      </c>
      <c r="U209" s="198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216" t="str">
        <f t="shared" si="117"/>
        <v>https://d0f6bd738d7f1b3e5a7ca70fe4ff75f0.us-east-1.aws.found.io/app/kibana#/discover/Steve-Slow-Train-Analysis-(2080s-and-2083s)?_g=(refreshInterval:(display:Off,pause:!f,section:0,value:0),time:(from:'2017-09-24T04:20:19-0600',mode:absolute,to:'2017-09-24T06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09" s="204" t="str">
        <f>IF(AA209&lt;VLOOKUP(AG209,Variables!$AC$3:$AD$8,2,FALSE),"Y","N")</f>
        <v>Y</v>
      </c>
      <c r="X209" s="204">
        <f t="shared" si="112"/>
        <v>1</v>
      </c>
      <c r="Y209" s="204">
        <f t="shared" si="93"/>
        <v>2.2831999999999999</v>
      </c>
      <c r="Z209" s="204">
        <f t="shared" si="94"/>
        <v>1.54E-2</v>
      </c>
      <c r="AA209" s="204">
        <f t="shared" si="118"/>
        <v>2.2677999999999998</v>
      </c>
      <c r="AB209" s="54" t="e">
        <f>VLOOKUP(A209,Enforcements!$C$7:$K$11,8,0)</f>
        <v>#N/A</v>
      </c>
      <c r="AC209" s="51" t="e">
        <f>VLOOKUP(A209,Enforcements!$C$7:$E$11,3,0)</f>
        <v>#N/A</v>
      </c>
      <c r="AD209" s="179">
        <f t="shared" si="119"/>
        <v>312</v>
      </c>
      <c r="AE209" s="77" t="str">
        <f t="shared" si="120"/>
        <v>aws s3 cp s3://rtdc.mdm.uploadarchive.raw/RTDC4017/ "%USERPROFILE%\AppData\Local\Temp\OnboardLogs"\RTDC4017\2017-09-24 --exclude "*" --recursive --include "*20170924*" &amp; "%USERPROFILE%\Documents\GitHub\mrs-test-scripts\Headless Mode &amp; Sideloading\WalkAndUnGZ.bat" "%USERPROFILE%\AppData\Local\Temp\OnboardLogs"\RTDC4017\2017-09-24 &amp; aws s3 cp s3://rtdc.mdm.uploadarchive.raw/RTDC4017/ "%USERPROFILE%\AppData\Local\Temp\OnboardLogs"\RTDC4017\2017-09-25 --exclude "*" --recursive --include "*20170925*" &amp; "%USERPROFILE%\Documents\GitHub\mrs-test-scripts\Headless Mode &amp; Sideloading\WalkAndUnGZ.bat" "%USERPROFILE%\AppData\Local\Temp\OnboardLogs"\RTDC4017\2017-09-25</v>
      </c>
      <c r="AF209" s="74" t="str">
        <f t="shared" si="121"/>
        <v>"C:\Program Files (x86)\AstroGrep\AstroGrep.exe" /e /r /s /spath="%USERPROFILE%\AppData\Local\Temp\OnboardLogs" /stypes="app*4017*20170924*" /stext=" 11:.+((SYSTEM_STATE.+slice.+state.+changed )|(ment ac)|(multiple cpu faults)|(system.+state.+changed )|(\[timeout)|(PRM\|1\|D)|(kpr)|(kdp)|(train st.+moving)|(\|lc)|(penalty))"</v>
      </c>
      <c r="AG209" s="182" t="str">
        <f t="shared" si="122"/>
        <v>Other</v>
      </c>
      <c r="AH209" s="78" t="str">
        <f t="shared" si="70"/>
        <v>"%USERPROFILE%\Documents\GitHub\eaglep3\Utilities\RefineRTDCRunTimes.py" --tripid 312-24 --locoid 4017 --swversion DE.1.0.9.0 --startMP 300:22832 --initTime 2017-09-24T05:20:19 --startdatetime 2017-09-24T05:26:50 --delay 85 --endMP 204:154 --enddatetime 2017-09-24T05:36:33 --enforcementcount 0 &gt;&gt;c:\users\stu\Documents\GitHub\eaglep3-reporting\EC\2017-09-24-refined-times.txt</v>
      </c>
      <c r="AI209" s="96" t="str">
        <f t="shared" si="71"/>
        <v>echo {"issue":{"subject":"","project_id":79,"tracker_id":40,"status_id":1,"priority_id":2,"assigned_to_id":338,"start_date":"2017-09-24","description":"","custom_fields":[{"id":1,"name":"Subdivision","value":"Other"},{"id":4,"name":"Milepost","value":"0.0154"},{"id":17,"name":"Train ID","value":"312-24"},{"id":16,"name":"Locomotive ID","value":"4017"},{"id":130,"name":"Impact","value":""},{"id":150,"name":"Time of Event (Mountain Time)","value":"05:36:33"},{"id":151,"name":"Denver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2" t="str">
        <f t="shared" si="72"/>
        <v>start /low /b %USERPROFILE%\Documents\GitHub\eaglep3\Utilities\DownloadLogsFromS3.py --loco 4017 --day 2017-09-24</v>
      </c>
      <c r="AN209" s="151" t="str">
        <f t="shared" si="73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11:36:33"},{"id":29,"name":"Sharepoint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168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Message%20ID',Summary),filters:!(),index:'emp_*',interval:auto,query:"&amp;"(query_string:(analyze_wildcard:!t,query:'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-09-24T04:20:19-0600',mode:absolute,to:'2017-09-24T06:36:33-0600'))&amp;_a=(columns:!('Message%20ID',Summary),filters:!(),index:'emp_*',interval:auto,query:(query_string:(analyze_wildcard:!t,query:'%22rtdc.l.rtdc.4017%22')),sort:!(Time.ISO8601,asc))</v>
      </c>
    </row>
    <row r="210" spans="1:91" s="20" customFormat="1" x14ac:dyDescent="0.25">
      <c r="A210" s="32" t="s">
        <v>814</v>
      </c>
      <c r="B210" s="7">
        <v>4066</v>
      </c>
      <c r="C210" s="21" t="s">
        <v>196</v>
      </c>
      <c r="D210" s="21" t="s">
        <v>357</v>
      </c>
      <c r="E210" s="13">
        <v>43003.026053240741</v>
      </c>
      <c r="F210" s="13">
        <v>43003.027685185189</v>
      </c>
      <c r="G210" s="7">
        <v>84</v>
      </c>
      <c r="H210" s="21" t="s">
        <v>954</v>
      </c>
      <c r="I210" s="13">
        <v>43003.034872685188</v>
      </c>
      <c r="J210" s="7">
        <v>0</v>
      </c>
      <c r="K210" s="89" t="str">
        <f t="shared" si="113"/>
        <v>4065/4066</v>
      </c>
      <c r="L210" s="185" t="str">
        <f>VLOOKUP(A210,'Trips&amp;Operators'!$C$1:$G$99911,5,FALSE)</f>
        <v>STAMBAUGH JAMES</v>
      </c>
      <c r="M210" s="6">
        <f t="shared" si="114"/>
        <v>7.1874999994179234E-3</v>
      </c>
      <c r="N210" s="7">
        <f t="shared" si="115"/>
        <v>10.34999999916181</v>
      </c>
      <c r="O210" s="7"/>
      <c r="P210" s="7"/>
      <c r="Q210" s="22"/>
      <c r="R210" s="174"/>
      <c r="S210" s="221">
        <f t="shared" si="83"/>
        <v>1</v>
      </c>
      <c r="T210" s="174" t="str">
        <f t="shared" si="116"/>
        <v>NorthBound</v>
      </c>
      <c r="U210" s="198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16" t="str">
        <f t="shared" si="117"/>
        <v>https://d0f6bd738d7f1b3e5a7ca70fe4ff75f0.us-east-1.aws.found.io/app/kibana#/discover/Steve-Slow-Train-Analysis-(2080s-and-2083s)?_g=(refreshInterval:(display:Off,pause:!f,section:0,value:0),time:(from:'2017-09-24T23:37:31-0600',mode:absolute,to:'2017-09-25T01:50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W210" s="204" t="str">
        <f>IF(AA210&lt;VLOOKUP(AG210,Variables!$AC$3:$AD$8,2,FALSE),"Y","N")</f>
        <v>Y</v>
      </c>
      <c r="X210" s="204">
        <f t="shared" si="112"/>
        <v>1</v>
      </c>
      <c r="Y210" s="204">
        <f t="shared" si="93"/>
        <v>4.58E-2</v>
      </c>
      <c r="Z210" s="204">
        <f t="shared" si="94"/>
        <v>2.3302</v>
      </c>
      <c r="AA210" s="204">
        <f t="shared" si="118"/>
        <v>2.2844000000000002</v>
      </c>
      <c r="AB210" s="54" t="e">
        <f>VLOOKUP(A210,Enforcements!$C$7:$K$11,8,0)</f>
        <v>#N/A</v>
      </c>
      <c r="AC210" s="51" t="e">
        <f>VLOOKUP(A210,Enforcements!$C$7:$E$11,3,0)</f>
        <v>#N/A</v>
      </c>
      <c r="AD210" s="179">
        <f t="shared" si="119"/>
        <v>313</v>
      </c>
      <c r="AE210" s="77" t="str">
        <f t="shared" si="120"/>
        <v>aws s3 cp s3://rtdc.mdm.uploadarchive.raw/RTDC4066/ "%USERPROFILE%\AppData\Local\Temp\OnboardLogs"\RTDC4066\2017-09-25 --exclude "*" --recursive --include "*20170925*" &amp; "%USERPROFILE%\Documents\GitHub\mrs-test-scripts\Headless Mode &amp; Sideloading\WalkAndUnGZ.bat" "%USERPROFILE%\AppData\Local\Temp\OnboardLogs"\RTDC4066\2017-09-25 &amp; aws s3 cp s3://rtdc.mdm.uploadarchive.raw/RTDC4066/ "%USERPROFILE%\AppData\Local\Temp\OnboardLogs"\RTDC4066\2017-09-26 --exclude "*" --recursive --include "*20170926*" &amp; "%USERPROFILE%\Documents\GitHub\mrs-test-scripts\Headless Mode &amp; Sideloading\WalkAndUnGZ.bat" "%USERPROFILE%\AppData\Local\Temp\OnboardLogs"\RTDC4066\2017-09-26</v>
      </c>
      <c r="AF210" s="74" t="str">
        <f t="shared" si="121"/>
        <v>"C:\Program Files (x86)\AstroGrep\AstroGrep.exe" /e /r /s /spath="%USERPROFILE%\AppData\Local\Temp\OnboardLogs" /stypes="app*4066*20170925*" /stext=" 06:.+((SYSTEM_STATE.+slice.+state.+changed )|(ment ac)|(multiple cpu faults)|(system.+state.+changed )|(\[timeout)|(PRM\|1\|D)|(kpr)|(kdp)|(train st.+moving)|(\|lc)|(penalty))"</v>
      </c>
      <c r="AG210" s="182" t="str">
        <f t="shared" si="122"/>
        <v>Other</v>
      </c>
      <c r="AH210" s="78" t="str">
        <f t="shared" si="70"/>
        <v>"%USERPROFILE%\Documents\GitHub\eaglep3\Utilities\RefineRTDCRunTimes.py" --tripid 313-24 --locoid 4066 --swversion DE.1.0.9.0 --startMP 204:458 --initTime 2017-09-25T00:37:31 --startdatetime 2017-09-25T00:39:52 --delay 84 --endMP 300:23302 --enddatetime 2017-09-25T00:50:13 --enforcementcount 0 &gt;&gt;c:\users\stu\Documents\GitHub\eaglep3-reporting\EC\2017-09-24-refined-times.txt</v>
      </c>
      <c r="AI210" s="96" t="str">
        <f t="shared" si="71"/>
        <v>echo {"issue":{"subject":"","project_id":79,"tracker_id":40,"status_id":1,"priority_id":2,"assigned_to_id":338,"start_date":"2017-09-25","description":"","custom_fields":[{"id":1,"name":"Subdivision","value":"Other"},{"id":4,"name":"Milepost","value":"2.3302"},{"id":17,"name":"Train ID","value":"313-24"},{"id":16,"name":"Locomotive ID","value":"4066"},{"id":130,"name":"Impact","value":""},{"id":150,"name":"Time of Event (Mountain Time)","value":"00:50:13"},{"id":151,"name":"Denver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0" s="47"/>
      <c r="AL210" s="47"/>
      <c r="AM210" s="142" t="str">
        <f t="shared" si="72"/>
        <v>start /low /b %USERPROFILE%\Documents\GitHub\eaglep3\Utilities\DownloadLogsFromS3.py --loco 4066 --day 2017-09-25</v>
      </c>
      <c r="AN210" s="151" t="str">
        <f t="shared" si="73"/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ID","value":"4066"},{"id":20,"name":"RR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06:50:13"},{"id":29,"name":"Sharepoint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168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Message%20ID',Summary),filters:!(),index:'emp_*',interval:auto,query:"&amp;"(query_string:(analyze_wildcard:!t,query:'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-09-24T23:37:31-0600',mode:absolute,to:'2017-09-25T01:50:13-0600'))&amp;_a=(columns:!('Message%20ID',Summary),filters:!(),index:'emp_*',interval:auto,query:(query_string:(analyze_wildcard:!t,query:'%22rtdc.l.rtdc.4066%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25">
      <c r="A211" s="32" t="s">
        <v>643</v>
      </c>
      <c r="B211" s="7">
        <v>4050</v>
      </c>
      <c r="C211" s="21" t="s">
        <v>196</v>
      </c>
      <c r="D211" s="21" t="s">
        <v>915</v>
      </c>
      <c r="E211" s="13">
        <v>43002.221412037034</v>
      </c>
      <c r="F211" s="13">
        <v>43002.225069444445</v>
      </c>
      <c r="G211" s="7">
        <v>68</v>
      </c>
      <c r="H211" s="21" t="s">
        <v>916</v>
      </c>
      <c r="I211" s="13">
        <v>43002.230671296296</v>
      </c>
      <c r="J211" s="7">
        <v>0</v>
      </c>
      <c r="K211" s="89" t="str">
        <f t="shared" si="113"/>
        <v>4049/4050</v>
      </c>
      <c r="L211" s="185" t="str">
        <f>VLOOKUP(A211,'Trips&amp;Operators'!$C$1:$G$99911,5,FALSE)</f>
        <v>MACDONALD THOMAS</v>
      </c>
      <c r="M211" s="6">
        <f t="shared" si="114"/>
        <v>5.6018518516793847E-3</v>
      </c>
      <c r="N211" s="7">
        <f t="shared" si="115"/>
        <v>8.066666666418314</v>
      </c>
      <c r="O211" s="7"/>
      <c r="P211" s="7"/>
      <c r="Q211" s="22"/>
      <c r="R211" s="174"/>
      <c r="S211" s="221">
        <f t="shared" si="83"/>
        <v>0</v>
      </c>
      <c r="T211" s="174" t="str">
        <f t="shared" si="116"/>
        <v>NorthBound</v>
      </c>
      <c r="U211" s="198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216" t="str">
        <f t="shared" si="117"/>
        <v>https://d0f6bd738d7f1b3e5a7ca70fe4ff75f0.us-east-1.aws.found.io/app/kibana#/discover/Steve-Slow-Train-Analysis-(2080s-and-2083s)?_g=(refreshInterval:(display:Off,pause:!f,section:0,value:0),time:(from:'2017-09-24T04:18:50-0600',mode:absolute,to:'2017-09-24T06:32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W211" s="204" t="str">
        <f>IF(AA211&lt;VLOOKUP(AG211,Variables!$AC$3:$AD$8,2,FALSE),"Y","N")</f>
        <v>Y</v>
      </c>
      <c r="X211" s="204">
        <f t="shared" si="112"/>
        <v>1588</v>
      </c>
      <c r="Y211" s="204">
        <f t="shared" si="93"/>
        <v>2.9653</v>
      </c>
      <c r="Z211" s="204">
        <f t="shared" si="94"/>
        <v>5.8907999999999996</v>
      </c>
      <c r="AA211" s="204">
        <f t="shared" si="118"/>
        <v>2.9254999999999995</v>
      </c>
      <c r="AB211" s="54" t="e">
        <f>VLOOKUP(A211,Enforcements!$C$7:$K$11,8,0)</f>
        <v>#N/A</v>
      </c>
      <c r="AC211" s="51" t="e">
        <f>VLOOKUP(A211,Enforcements!$C$7:$E$11,3,0)</f>
        <v>#N/A</v>
      </c>
      <c r="AD211" s="179">
        <f t="shared" si="119"/>
        <v>1901</v>
      </c>
      <c r="AE211" s="77" t="str">
        <f t="shared" si="120"/>
        <v>aws s3 cp s3://rtdc.mdm.uploadarchive.raw/RTDC4050/ "%USERPROFILE%\AppData\Local\Temp\OnboardLogs"\RTDC4050\2017-09-24 --exclude "*" --recursive --include "*20170924*" &amp; "%USERPROFILE%\Documents\GitHub\mrs-test-scripts\Headless Mode &amp; Sideloading\WalkAndUnGZ.bat" "%USERPROFILE%\AppData\Local\Temp\OnboardLogs"\RTDC4050\2017-09-24 &amp; 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</v>
      </c>
      <c r="AF211" s="74" t="str">
        <f t="shared" si="121"/>
        <v>"C:\Program Files (x86)\AstroGrep\AstroGrep.exe" /e /r /s /spath="%USERPROFILE%\AppData\Local\Temp\OnboardLogs" /stypes="app*4050*20170924*" /stext=" 11:.+((SYSTEM_STATE.+slice.+state.+changed )|(ment ac)|(multiple cpu faults)|(system.+state.+changed )|(\[timeout)|(PRM\|1\|D)|(kpr)|(kdp)|(train st.+moving)|(\|lc)|(penalty))"</v>
      </c>
      <c r="AG211" s="182" t="str">
        <f t="shared" si="122"/>
        <v>Other</v>
      </c>
      <c r="AH211" s="78" t="str">
        <f t="shared" si="70"/>
        <v>"%USERPROFILE%\Documents\GitHub\eaglep3\Utilities\RefineRTDCRunTimes.py" --tripid 1901-24 --locoid 4050 --swversion DE.1.0.9.0 --startMP 300:29653 --initTime 2017-09-24T05:18:50 --startdatetime 2017-09-24T05:24:06 --delay 68 --endMP 300:58908 --enddatetime 2017-09-24T05:32:10 --enforcementcount 0 &gt;&gt;c:\users\stu\Documents\GitHub\eaglep3-reporting\EC\2017-09-24-refined-times.txt</v>
      </c>
      <c r="AI211" s="96" t="str">
        <f t="shared" si="71"/>
        <v>echo {"issue":{"subject":"","project_id":79,"tracker_id":40,"status_id":1,"priority_id":2,"assigned_to_id":338,"start_date":"2017-09-24","description":"","custom_fields":[{"id":1,"name":"Subdivision","value":"Other"},{"id":4,"name":"Milepost","value":"5.8908"},{"id":17,"name":"Train ID","value":"1901-24"},{"id":16,"name":"Locomotive ID","value":"4050"},{"id":130,"name":"Impact","value":""},{"id":150,"name":"Time of Event (Mountain Time)","value":"05:32:10"},{"id":151,"name":"Denver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1" s="47"/>
      <c r="AL211" s="47"/>
      <c r="AM211" s="142" t="str">
        <f t="shared" si="72"/>
        <v>start /low /b %USERPROFILE%\Documents\GitHub\eaglep3\Utilities\DownloadLogsFromS3.py --loco 4050 --day 2017-09-24</v>
      </c>
      <c r="AN211" s="151" t="str">
        <f t="shared" si="73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11:32:10"},{"id":29,"name":"Sharepoint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168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Message%20ID',Summary),filters:!(),index:'emp_*',interval:auto,query:"&amp;"(query_string:(analyze_wildcard:!t,query:'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-09-24T04:18:50-0600',mode:absolute,to:'2017-09-24T06:32:10-0600'))&amp;_a=(columns:!('Message%20ID',Summary),filters:!(),index:'emp_*',interval:auto,query:(query_string:(analyze_wildcard:!t,query:'%22rtdc.l.rtdc.4050%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25">
      <c r="A212" s="32" t="s">
        <v>807</v>
      </c>
      <c r="B212" s="7">
        <v>4049</v>
      </c>
      <c r="C212" s="21" t="s">
        <v>196</v>
      </c>
      <c r="D212" s="21" t="s">
        <v>896</v>
      </c>
      <c r="E212" s="13">
        <v>43002.974988425929</v>
      </c>
      <c r="F212" s="13">
        <v>43002.976747685185</v>
      </c>
      <c r="G212" s="7">
        <v>98</v>
      </c>
      <c r="H212" s="21" t="s">
        <v>917</v>
      </c>
      <c r="I212" s="13">
        <v>43002.984652777777</v>
      </c>
      <c r="J212" s="7">
        <v>0</v>
      </c>
      <c r="K212" s="89" t="str">
        <f t="shared" si="113"/>
        <v>4049/4050</v>
      </c>
      <c r="L212" s="185" t="str">
        <f>VLOOKUP(A212,'Trips&amp;Operators'!$C$1:$G$99911,5,FALSE)</f>
        <v>HOLCOMB KAMDEN</v>
      </c>
      <c r="M212" s="6">
        <f t="shared" si="114"/>
        <v>7.9050925924093463E-3</v>
      </c>
      <c r="N212" s="7">
        <f t="shared" si="115"/>
        <v>11.383333333069459</v>
      </c>
      <c r="O212" s="7"/>
      <c r="P212" s="7"/>
      <c r="Q212" s="22"/>
      <c r="R212" s="174"/>
      <c r="S212" s="221">
        <f t="shared" si="83"/>
        <v>0</v>
      </c>
      <c r="T212" s="174" t="str">
        <f t="shared" si="116"/>
        <v>Southbound</v>
      </c>
      <c r="U212" s="198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216" t="str">
        <f t="shared" si="117"/>
        <v>https://d0f6bd738d7f1b3e5a7ca70fe4ff75f0.us-east-1.aws.found.io/app/kibana#/discover/Steve-Slow-Train-Analysis-(2080s-and-2083s)?_g=(refreshInterval:(display:Off,pause:!f,section:0,value:0),time:(from:'2017-09-24T22:23:59-0600',mode:absolute,to:'2017-09-25T00:37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W212" s="204" t="str">
        <f>IF(AA212&lt;VLOOKUP(AG212,Variables!$AC$3:$AD$8,2,FALSE),"Y","N")</f>
        <v>Y</v>
      </c>
      <c r="X212" s="204">
        <f t="shared" si="112"/>
        <v>1</v>
      </c>
      <c r="Y212" s="204">
        <f t="shared" si="93"/>
        <v>5.8673000000000002</v>
      </c>
      <c r="Z212" s="204">
        <f t="shared" si="94"/>
        <v>2.871</v>
      </c>
      <c r="AA212" s="204">
        <f t="shared" si="118"/>
        <v>2.9963000000000002</v>
      </c>
      <c r="AB212" s="54" t="e">
        <f>VLOOKUP(A212,Enforcements!$C$7:$K$11,8,0)</f>
        <v>#N/A</v>
      </c>
      <c r="AC212" s="51" t="e">
        <f>VLOOKUP(A212,Enforcements!$C$7:$E$11,3,0)</f>
        <v>#N/A</v>
      </c>
      <c r="AD212" s="179">
        <f t="shared" si="119"/>
        <v>1902</v>
      </c>
      <c r="AE212" s="77" t="str">
        <f t="shared" si="120"/>
        <v>aws s3 cp s3://rtdc.mdm.uploadarchive.raw/RTDC4049/ "%USERPROFILE%\AppData\Local\Temp\OnboardLogs"\RTDC4049\2017-09-24 --exclude "*" --recursive --include "*20170924*" &amp; "%USERPROFILE%\Documents\GitHub\mrs-test-scripts\Headless Mode &amp; Sideloading\WalkAndUnGZ.bat" "%USERPROFILE%\AppData\Local\Temp\OnboardLogs"\RTDC4049\2017-09-24 &amp; 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</v>
      </c>
      <c r="AF212" s="74" t="str">
        <f t="shared" si="121"/>
        <v>"C:\Program Files (x86)\AstroGrep\AstroGrep.exe" /e /r /s /spath="%USERPROFILE%\AppData\Local\Temp\OnboardLogs" /stypes="app*4049*20170925*" /stext=" 05:.+((SYSTEM_STATE.+slice.+state.+changed )|(ment ac)|(multiple cpu faults)|(system.+state.+changed )|(\[timeout)|(PRM\|1\|D)|(kpr)|(kdp)|(train st.+moving)|(\|lc)|(penalty))"</v>
      </c>
      <c r="AG212" s="182" t="str">
        <f t="shared" si="122"/>
        <v>Other</v>
      </c>
      <c r="AH212" s="78" t="str">
        <f t="shared" ref="AH212:AH219" si="123">refinertdcruntimes&amp;" --tripid "&amp;A212&amp;" --locoid "&amp;B212&amp;" --swversion "&amp;C212&amp;" --startMP "&amp;D212&amp;" --initTime "&amp;TEXT(E212,"yyyy-mm-ddTHH:MM:SS")&amp;" --startdatetime "&amp;TEXT(F212,"yyyy-mm-ddTHH:MM:SS")&amp;" --delay "&amp;G212&amp;" --endMP "&amp;H212&amp;" --enddatetime "&amp;TEXT(I212,"yyyy-mm-ddTHH:MM:SS")&amp;" --enforcementcount "&amp;J212&amp;IF(outputrefinedruntimes," &gt;&gt;"&amp;RefinedRTDCRunTimesOutputFile,"")</f>
        <v>"%USERPROFILE%\Documents\GitHub\eaglep3\Utilities\RefineRTDCRunTimes.py" --tripid 1902-24 --locoid 4049 --swversion DE.1.0.9.0 --startMP 300:58673 --initTime 2017-09-24T23:23:59 --startdatetime 2017-09-24T23:26:31 --delay 98 --endMP 300:28710 --enddatetime 2017-09-24T23:37:54 --enforcementcount 0 &gt;&gt;c:\users\stu\Documents\GitHub\eaglep3-reporting\EC\2017-09-24-refined-times.txt</v>
      </c>
      <c r="AI212" s="96" t="str">
        <f t="shared" ref="AI212:AI219" si="124">"echo {""issue"":{""subject"":"""&amp;R212&amp;""",""project_id"":79,""tracker_id"":40,""status_id"":"&amp;redmine_status&amp;",""priority_id"":"&amp;redmine_priority&amp;",""assigned_to_id"":"&amp;redmine_assignee&amp;",""start_date"":"""&amp;TEXT(I212,"YYYY-mm-dd")&amp;""",""description"":"""&amp;AJ212&amp;""",""custom_fields"":[{""id"":1,""name"":""Subdivision"",""value"":"""&amp;AG212&amp;"""},{""id"":4,""name"":""Milepost"",""value"":"""&amp;Z212&amp;"""},{""id"":17,""name"":""Train ID"",""value"":"""&amp;A212&amp;"""},{""id"":16,""name"":""Locomotive ID"",""value"":"""&amp;B212&amp;"""},{""id"":130,""name"":""Impact"",""value"":"""&amp;AK212&amp;"""},{""id"":150,""name"":""Time of Event (Mountain Time)"",""value"":"""&amp;TEXT(I212,"hh:mm:ss")&amp;"""},{""id"":151,""name"":""Denver Issue ID"",""value"":"""&amp;"""},{""id"":178,""name"":""Operational Impact"",""value"":"""&amp;redmine_op_impact&amp;"""},{""id"":179,""name"":""Denver Segment Assigned"",""value"":"""&amp;AL212&amp;"""}]}}"&amp;"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{"issue":{"subject":"","project_id":79,"tracker_id":40,"status_id":1,"priority_id":2,"assigned_to_id":338,"start_date":"2017-09-24","description":"","custom_fields":[{"id":1,"name":"Subdivision","value":"Other"},{"id":4,"name":"Milepost","value":"2.871"},{"id":17,"name":"Train ID","value":"1902-24"},{"id":16,"name":"Locomotive ID","value":"4049"},{"id":130,"name":"Impact","value":""},{"id":150,"name":"Time of Event (Mountain Time)","value":"23:37:54"},{"id":151,"name":"Denver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2" s="47"/>
      <c r="AL212" s="47"/>
      <c r="AM212" s="142" t="str">
        <f t="shared" ref="AM212:AM219" si="125">"start /low /b "&amp;dls3logs&amp;" --loco "&amp;B212&amp;" --day "&amp;TEXT(F212,"YYYY-MM-DD")</f>
        <v>start /low /b %USERPROFILE%\Documents\GitHub\eaglep3\Utilities\DownloadLogsFromS3.py --loco 4049 --day 2017-09-24</v>
      </c>
      <c r="AN212" s="151" t="str">
        <f t="shared" ref="AN212:AN219" si="126">"echo {""issue"":{""subject"":"""&amp;R212&amp;""",""project_id"":30,""tracker_id"":4,""status_id"":"&amp;redmine_status_wcr&amp;",""priority_id"":"&amp;redmine_priority_wcr&amp;",""assigned_to_id"":"&amp;redmine_assignee_wcr&amp;",""start_date"":"""&amp;TEXT(I212-utc_offset/24,"YYYY-mm-dd")&amp;""",""description"":"""&amp;AJ212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ID"",""value"":"""&amp;B212&amp;"""},{""id"":20,""name"":""RR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UTC"",""value"":"""&amp;TEXT(I212-utc_offset/24,"YYYY-MM-DD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{"issue":{"subject":"","project_id":30,"tracker_id":4,"status_id":1,"priority_id":1,"assigned_to_id":10,"start_date":"2017-09-25","description":"","custom_fields":[{"id":30,"name":"Category","value":"Issue"},{"id":3,"name":"Functional Component","value":"Onboard"},{"id":31,"name":"Version","value":"N/A"},{"id":8,"name":"Reporting RR","value":"WABTEC"},{"id":27,"name":"Locomotive ID","value":"4049"},{"id":20,"name":"RR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UTC","value":"2017-09-25 05:37:54"},{"id":29,"name":"Sharepoint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168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Message%20ID',Summary),filters:!(),index:'emp_*',interval:auto,query:"&amp;"(query_string:(analyze_wildcard:!t,query:'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-09-24T22:23:59-0600',mode:absolute,to:'2017-09-25T00:37:54-0600'))&amp;_a=(columns:!('Message%20ID',Summary),filters:!(),index:'emp_*',interval:auto,query:(query_string:(analyze_wildcard:!t,query:'%22rtdc.l.rtdc.4049%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25">
      <c r="A213" s="32" t="s">
        <v>592</v>
      </c>
      <c r="B213" s="7">
        <v>4052</v>
      </c>
      <c r="C213" s="21" t="s">
        <v>196</v>
      </c>
      <c r="D213" s="21" t="s">
        <v>559</v>
      </c>
      <c r="E213" s="13">
        <v>43002.123784722222</v>
      </c>
      <c r="F213" s="13">
        <v>43002.139618055553</v>
      </c>
      <c r="G213" s="7">
        <v>209</v>
      </c>
      <c r="H213" s="21" t="s">
        <v>955</v>
      </c>
      <c r="I213" s="13">
        <v>43002.140509259261</v>
      </c>
      <c r="J213" s="7">
        <v>0</v>
      </c>
      <c r="K213" s="89" t="str">
        <f t="shared" si="113"/>
        <v>4051/4052</v>
      </c>
      <c r="L213" s="185" t="str">
        <f>VLOOKUP(A213,'Trips&amp;Operators'!$C$1:$G$99911,5,FALSE)</f>
        <v>DELGADO DIANAH</v>
      </c>
      <c r="M213" s="6">
        <f t="shared" si="114"/>
        <v>8.9120370830642059E-4</v>
      </c>
      <c r="N213" s="7">
        <f t="shared" si="115"/>
        <v>1.2833333399612457</v>
      </c>
      <c r="O213" s="7"/>
      <c r="P213" s="7"/>
      <c r="Q213" s="22"/>
      <c r="R213" s="174"/>
      <c r="S213" s="221">
        <f t="shared" si="83"/>
        <v>0</v>
      </c>
      <c r="T213" s="174" t="str">
        <f t="shared" si="116"/>
        <v>NorthBound</v>
      </c>
      <c r="U213" s="198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216" t="str">
        <f t="shared" si="117"/>
        <v>https://d0f6bd738d7f1b3e5a7ca70fe4ff75f0.us-east-1.aws.found.io/app/kibana#/discover/Steve-Slow-Train-Analysis-(2080s-and-2083s)?_g=(refreshInterval:(display:Off,pause:!f,section:0,value:0),time:(from:'2017-09-24T01:58:15-0600',mode:absolute,to:'2017-09-24T04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3" s="204" t="str">
        <f>IF(AA213&lt;VLOOKUP(AG213,Variables!$AC$3:$AD$8,2,FALSE),"Y","N")</f>
        <v>Y</v>
      </c>
      <c r="X213" s="204">
        <f t="shared" si="112"/>
        <v>-1851</v>
      </c>
      <c r="Y213" s="204">
        <f t="shared" si="93"/>
        <v>4.82E-2</v>
      </c>
      <c r="Z213" s="204">
        <f t="shared" si="94"/>
        <v>0.32979999999999998</v>
      </c>
      <c r="AA213" s="204">
        <f t="shared" si="118"/>
        <v>0.28159999999999996</v>
      </c>
      <c r="AB213" s="54" t="e">
        <f>VLOOKUP(A213,Enforcements!$C$7:$K$11,8,0)</f>
        <v>#N/A</v>
      </c>
      <c r="AC213" s="51" t="e">
        <f>VLOOKUP(A213,Enforcements!$C$7:$E$11,3,0)</f>
        <v>#N/A</v>
      </c>
      <c r="AD213" s="179">
        <f t="shared" si="119"/>
        <v>51</v>
      </c>
      <c r="AE213" s="77" t="str">
        <f t="shared" si="120"/>
        <v>aws s3 cp s3://rtdc.mdm.uploadarchive.raw/RTDC4052/ "%USERPROFILE%\AppData\Local\Temp\OnboardLogs"\RTDC4052\2017-09-24 --exclude "*" --recursive --include "*20170924*" &amp; "%USERPROFILE%\Documents\GitHub\mrs-test-scripts\Headless Mode &amp; Sideloading\WalkAndUnGZ.bat" "%USERPROFILE%\AppData\Local\Temp\OnboardLogs"\RTDC4052\2017-09-24 &amp; aws s3 cp s3://rtdc.mdm.uploadarchive.raw/RTDC4052/ "%USERPROFILE%\AppData\Local\Temp\OnboardLogs"\RTDC4052\2017-09-25 --exclude "*" --recursive --include "*20170925*" &amp; "%USERPROFILE%\Documents\GitHub\mrs-test-scripts\Headless Mode &amp; Sideloading\WalkAndUnGZ.bat" "%USERPROFILE%\AppData\Local\Temp\OnboardLogs"\RTDC4052\2017-09-25</v>
      </c>
      <c r="AF213" s="74" t="str">
        <f t="shared" si="121"/>
        <v>"C:\Program Files (x86)\AstroGrep\AstroGrep.exe" /e /r /s /spath="%USERPROFILE%\AppData\Local\Temp\OnboardLogs" /stypes="app*4052*20170924*" /stext=" 09:.+((SYSTEM_STATE.+slice.+state.+changed )|(ment ac)|(multiple cpu faults)|(system.+state.+changed )|(\[timeout)|(PRM\|1\|D)|(kpr)|(kdp)|(train st.+moving)|(\|lc)|(penalty))"</v>
      </c>
      <c r="AG213" s="182" t="str">
        <f t="shared" si="122"/>
        <v>Shuttle/Test</v>
      </c>
      <c r="AH213" s="78" t="str">
        <f t="shared" si="123"/>
        <v>"%USERPROFILE%\Documents\GitHub\eaglep3\Utilities\RefineRTDCRunTimes.py" --tripid 51-24 --locoid 4052 --swversion DE.1.0.9.0 --startMP 204:482 --initTime 2017-09-24T02:58:15 --startdatetime 2017-09-24T03:21:03 --delay 209 --endMP 204:3298 --enddatetime 2017-09-24T03:22:20 --enforcementcount 0 &gt;&gt;c:\users\stu\Documents\GitHub\eaglep3-reporting\EC\2017-09-24-refined-times.txt</v>
      </c>
      <c r="AI213" s="96" t="str">
        <f t="shared" si="124"/>
        <v>echo {"issue":{"subject":"","project_id":79,"tracker_id":40,"status_id":1,"priority_id":2,"assigned_to_id":338,"start_date":"2017-09-24","description":"","custom_fields":[{"id":1,"name":"Subdivision","value":"Shuttle/Test"},{"id":4,"name":"Milepost","value":"0.3298"},{"id":17,"name":"Train ID","value":"51-24"},{"id":16,"name":"Locomotive ID","value":"4052"},{"id":130,"name":"Impact","value":""},{"id":150,"name":"Time of Event (Mountain Time)","value":"03:22:20"},{"id":151,"name":"Denver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3" s="47"/>
      <c r="AL213" s="47"/>
      <c r="AM213" s="142" t="str">
        <f t="shared" si="125"/>
        <v>start /low /b %USERPROFILE%\Documents\GitHub\eaglep3\Utilities\DownloadLogsFromS3.py --loco 4052 --day 2017-09-24</v>
      </c>
      <c r="AN213" s="151" t="str">
        <f t="shared" si="126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09:22:20"},{"id":29,"name":"Sharepoint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3" s="168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Message%20ID',Summary),filters:!(),index:'emp_*',interval:auto,query:"&amp;"(query_string:(analyze_wildcard:!t,query:'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-09-24T01:58:15-0600',mode:absolute,to:'2017-09-24T04:22:20-0600'))&amp;_a=(columns:!('Message%20ID',Summary),filters:!(),index:'emp_*',interval:auto,query:(query_string:(analyze_wildcard:!t,query:'%22rtdc.l.rtdc.4052%22')),sort:!(Time.ISO8601,asc))</v>
      </c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25">
      <c r="A214" s="32" t="s">
        <v>592</v>
      </c>
      <c r="B214" s="7">
        <v>4013</v>
      </c>
      <c r="C214" s="21" t="s">
        <v>196</v>
      </c>
      <c r="D214" s="21" t="s">
        <v>956</v>
      </c>
      <c r="E214" s="13">
        <v>43002.438310185185</v>
      </c>
      <c r="F214" s="13">
        <v>43002.452268518522</v>
      </c>
      <c r="G214" s="7">
        <v>85</v>
      </c>
      <c r="H214" s="21" t="s">
        <v>957</v>
      </c>
      <c r="I214" s="13">
        <v>43002.458356481482</v>
      </c>
      <c r="J214" s="7">
        <v>0</v>
      </c>
      <c r="K214" s="89" t="str">
        <f t="shared" si="113"/>
        <v>4013/4014</v>
      </c>
      <c r="L214" s="185" t="str">
        <f>VLOOKUP(A214,'Trips&amp;Operators'!$C$1:$G$99911,5,FALSE)</f>
        <v>DELGADO DIANAH</v>
      </c>
      <c r="M214" s="6">
        <f t="shared" si="114"/>
        <v>6.0879629600094631E-3</v>
      </c>
      <c r="N214" s="7">
        <f t="shared" si="115"/>
        <v>8.7666666624136269</v>
      </c>
      <c r="O214" s="7"/>
      <c r="P214" s="7"/>
      <c r="Q214" s="22"/>
      <c r="R214" s="174"/>
      <c r="S214" s="221">
        <f t="shared" si="83"/>
        <v>0</v>
      </c>
      <c r="T214" s="174" t="str">
        <f t="shared" si="116"/>
        <v>NorthBound</v>
      </c>
      <c r="U214" s="198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0</v>
      </c>
      <c r="V214" s="216" t="str">
        <f t="shared" si="117"/>
        <v>https://d0f6bd738d7f1b3e5a7ca70fe4ff75f0.us-east-1.aws.found.io/app/kibana#/discover/Steve-Slow-Train-Analysis-(2080s-and-2083s)?_g=(refreshInterval:(display:Off,pause:!f,section:0,value:0),time:(from:'2017-09-24T09:31:10-0600',mode:absolute,to:'2017-09-24T12:00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14" s="204" t="str">
        <f>IF(AA214&lt;VLOOKUP(AG214,Variables!$AC$3:$AD$8,2,FALSE),"Y","N")</f>
        <v>Y</v>
      </c>
      <c r="X214" s="204">
        <f t="shared" si="112"/>
        <v>0</v>
      </c>
      <c r="Y214" s="204">
        <f t="shared" si="93"/>
        <v>2.3532999999999999</v>
      </c>
      <c r="Z214" s="204">
        <f t="shared" si="94"/>
        <v>8.7800000000000003E-2</v>
      </c>
      <c r="AA214" s="204">
        <f t="shared" si="118"/>
        <v>2.2654999999999998</v>
      </c>
      <c r="AB214" s="54" t="e">
        <f>VLOOKUP(A214,Enforcements!$C$7:$K$11,8,0)</f>
        <v>#N/A</v>
      </c>
      <c r="AC214" s="51" t="e">
        <f>VLOOKUP(A214,Enforcements!$C$7:$E$11,3,0)</f>
        <v>#N/A</v>
      </c>
      <c r="AD214" s="179">
        <f t="shared" si="119"/>
        <v>51</v>
      </c>
      <c r="AE214" s="77" t="str">
        <f t="shared" si="120"/>
        <v>aws s3 cp s3://rtdc.mdm.uploadarchive.raw/RTDC4013/ "%USERPROFILE%\AppData\Local\Temp\OnboardLogs"\RTDC4013\2017-09-24 --exclude "*" --recursive --include "*20170924*" &amp; "%USERPROFILE%\Documents\GitHub\mrs-test-scripts\Headless Mode &amp; Sideloading\WalkAndUnGZ.bat" "%USERPROFILE%\AppData\Local\Temp\OnboardLogs"\RTDC4013\2017-09-24 &amp; aws s3 cp s3://rtdc.mdm.uploadarchive.raw/RTDC4013/ "%USERPROFILE%\AppData\Local\Temp\OnboardLogs"\RTDC4013\2017-09-25 --exclude "*" --recursive --include "*20170925*" &amp; "%USERPROFILE%\Documents\GitHub\mrs-test-scripts\Headless Mode &amp; Sideloading\WalkAndUnGZ.bat" "%USERPROFILE%\AppData\Local\Temp\OnboardLogs"\RTDC4013\2017-09-25</v>
      </c>
      <c r="AF214" s="74" t="str">
        <f t="shared" si="121"/>
        <v>"C:\Program Files (x86)\AstroGrep\AstroGrep.exe" /e /r /s /spath="%USERPROFILE%\AppData\Local\Temp\OnboardLogs" /stypes="app*4013*20170924*" /stext=" 17:.+((SYSTEM_STATE.+slice.+state.+changed )|(ment ac)|(multiple cpu faults)|(system.+state.+changed )|(\[timeout)|(PRM\|1\|D)|(kpr)|(kdp)|(train st.+moving)|(\|lc)|(penalty))"</v>
      </c>
      <c r="AG214" s="182" t="str">
        <f t="shared" si="122"/>
        <v>Shuttle/Test</v>
      </c>
      <c r="AH214" s="78" t="str">
        <f t="shared" si="123"/>
        <v>"%USERPROFILE%\Documents\GitHub\eaglep3\Utilities\RefineRTDCRunTimes.py" --tripid 51-24 --locoid 4013 --swversion DE.1.0.9.0 --startMP 300:23533 --initTime 2017-09-24T10:31:10 --startdatetime 2017-09-24T10:51:16 --delay 85 --endMP 204:878 --enddatetime 2017-09-24T11:00:02 --enforcementcount 0 &gt;&gt;c:\users\stu\Documents\GitHub\eaglep3-reporting\EC\2017-09-24-refined-times.txt</v>
      </c>
      <c r="AI214" s="96" t="str">
        <f t="shared" si="124"/>
        <v>echo {"issue":{"subject":"","project_id":79,"tracker_id":40,"status_id":1,"priority_id":2,"assigned_to_id":338,"start_date":"2017-09-24","description":"","custom_fields":[{"id":1,"name":"Subdivision","value":"Shuttle/Test"},{"id":4,"name":"Milepost","value":"0.0878"},{"id":17,"name":"Train ID","value":"51-24"},{"id":16,"name":"Locomotive ID","value":"4013"},{"id":130,"name":"Impact","value":""},{"id":150,"name":"Time of Event (Mountain Time)","value":"11:00:02"},{"id":151,"name":"Denver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4" s="47"/>
      <c r="AL214" s="47"/>
      <c r="AM214" s="142" t="str">
        <f t="shared" si="125"/>
        <v>start /low /b %USERPROFILE%\Documents\GitHub\eaglep3\Utilities\DownloadLogsFromS3.py --loco 4013 --day 2017-09-24</v>
      </c>
      <c r="AN214" s="151" t="str">
        <f t="shared" si="126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17:00:02"},{"id":29,"name":"Sharepoint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 s="168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Message%20ID',Summary),filters:!(),index:'emp_*',interval:auto,query:"&amp;"(query_string:(analyze_wildcard:!t,query:'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-09-24T09:31:10-0600',mode:absolute,to:'2017-09-24T12:00:02-0600'))&amp;_a=(columns:!('Message%20ID',Summary),filters:!(),index:'emp_*',interval:auto,query:(query_string:(analyze_wildcard:!t,query:'%22rtdc.l.rtdc.4013%22')),sort:!(Time.ISO8601,asc))</v>
      </c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25">
      <c r="A215" s="32" t="s">
        <v>627</v>
      </c>
      <c r="B215" s="7">
        <v>4051</v>
      </c>
      <c r="C215" s="21" t="s">
        <v>196</v>
      </c>
      <c r="D215" s="21" t="s">
        <v>958</v>
      </c>
      <c r="E215" s="13">
        <v>43002.141539351855</v>
      </c>
      <c r="F215" s="13">
        <v>43002.143182870372</v>
      </c>
      <c r="G215" s="7">
        <v>70</v>
      </c>
      <c r="H215" s="21" t="s">
        <v>959</v>
      </c>
      <c r="I215" s="13">
        <v>43002.143946759257</v>
      </c>
      <c r="J215" s="7">
        <v>0</v>
      </c>
      <c r="K215" s="89" t="str">
        <f t="shared" si="113"/>
        <v>4051/4052</v>
      </c>
      <c r="L215" s="185" t="str">
        <f>VLOOKUP(A215,'Trips&amp;Operators'!$C$1:$G$99911,5,FALSE)</f>
        <v>DELGADO DIANAH</v>
      </c>
      <c r="M215" s="6">
        <f t="shared" si="114"/>
        <v>7.6388888555811718E-4</v>
      </c>
      <c r="N215" s="7">
        <f t="shared" si="115"/>
        <v>1.0999999952036887</v>
      </c>
      <c r="O215" s="7"/>
      <c r="P215" s="7"/>
      <c r="Q215" s="22"/>
      <c r="R215" s="174"/>
      <c r="S215" s="221">
        <f t="shared" si="83"/>
        <v>0</v>
      </c>
      <c r="T215" s="174" t="str">
        <f t="shared" si="116"/>
        <v>Southbound</v>
      </c>
      <c r="U215" s="198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0</v>
      </c>
      <c r="V215" s="216" t="str">
        <f t="shared" si="117"/>
        <v>https://d0f6bd738d7f1b3e5a7ca70fe4ff75f0.us-east-1.aws.found.io/app/kibana#/discover/Steve-Slow-Train-Analysis-(2080s-and-2083s)?_g=(refreshInterval:(display:Off,pause:!f,section:0,value:0),time:(from:'2017-09-24T02:23:49-0600',mode:absolute,to:'2017-09-24T04:27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5" s="204" t="str">
        <f>IF(AA215&lt;VLOOKUP(AG215,Variables!$AC$3:$AD$8,2,FALSE),"Y","N")</f>
        <v>Y</v>
      </c>
      <c r="X215" s="204">
        <f t="shared" si="112"/>
        <v>1</v>
      </c>
      <c r="Y215" s="204">
        <f t="shared" si="93"/>
        <v>0.29609999999999997</v>
      </c>
      <c r="Z215" s="204">
        <f t="shared" si="94"/>
        <v>0.1154</v>
      </c>
      <c r="AA215" s="204">
        <f t="shared" si="118"/>
        <v>0.18069999999999997</v>
      </c>
      <c r="AB215" s="54" t="e">
        <f>VLOOKUP(A215,Enforcements!$C$7:$K$11,8,0)</f>
        <v>#N/A</v>
      </c>
      <c r="AC215" s="51" t="e">
        <f>VLOOKUP(A215,Enforcements!$C$7:$E$11,3,0)</f>
        <v>#N/A</v>
      </c>
      <c r="AD215" s="179">
        <f t="shared" si="119"/>
        <v>52</v>
      </c>
      <c r="AE215" s="77" t="str">
        <f t="shared" si="120"/>
        <v>aws s3 cp s3://rtdc.mdm.uploadarchive.raw/RTDC4051/ "%USERPROFILE%\AppData\Local\Temp\OnboardLogs"\RTDC4051\2017-09-24 --exclude "*" --recursive --include "*20170924*" &amp; "%USERPROFILE%\Documents\GitHub\mrs-test-scripts\Headless Mode &amp; Sideloading\WalkAndUnGZ.bat" "%USERPROFILE%\AppData\Local\Temp\OnboardLogs"\RTDC4051\2017-09-24 &amp; aws s3 cp s3://rtdc.mdm.uploadarchive.raw/RTDC4051/ "%USERPROFILE%\AppData\Local\Temp\OnboardLogs"\RTDC4051\2017-09-25 --exclude "*" --recursive --include "*20170925*" &amp; "%USERPROFILE%\Documents\GitHub\mrs-test-scripts\Headless Mode &amp; Sideloading\WalkAndUnGZ.bat" "%USERPROFILE%\AppData\Local\Temp\OnboardLogs"\RTDC4051\2017-09-25</v>
      </c>
      <c r="AF215" s="74" t="str">
        <f t="shared" si="121"/>
        <v>"C:\Program Files (x86)\AstroGrep\AstroGrep.exe" /e /r /s /spath="%USERPROFILE%\AppData\Local\Temp\OnboardLogs" /stypes="app*4051*20170924*" /stext=" 09:.+((SYSTEM_STATE.+slice.+state.+changed )|(ment ac)|(multiple cpu faults)|(system.+state.+changed )|(\[timeout)|(PRM\|1\|D)|(kpr)|(kdp)|(train st.+moving)|(\|lc)|(penalty))"</v>
      </c>
      <c r="AG215" s="182" t="str">
        <f t="shared" si="122"/>
        <v>Shuttle/Test</v>
      </c>
      <c r="AH215" s="78" t="str">
        <f t="shared" si="123"/>
        <v>"%USERPROFILE%\Documents\GitHub\eaglep3\Utilities\RefineRTDCRunTimes.py" --tripid 52-24 --locoid 4051 --swversion DE.1.0.9.0 --startMP 204:2961 --initTime 2017-09-24T03:23:49 --startdatetime 2017-09-24T03:26:11 --delay 70 --endMP 204:1154 --enddatetime 2017-09-24T03:27:17 --enforcementcount 0 &gt;&gt;c:\users\stu\Documents\GitHub\eaglep3-reporting\EC\2017-09-24-refined-times.txt</v>
      </c>
      <c r="AI215" s="96" t="str">
        <f t="shared" si="124"/>
        <v>echo {"issue":{"subject":"","project_id":79,"tracker_id":40,"status_id":1,"priority_id":2,"assigned_to_id":338,"start_date":"2017-09-24","description":"","custom_fields":[{"id":1,"name":"Subdivision","value":"Shuttle/Test"},{"id":4,"name":"Milepost","value":"0.1154"},{"id":17,"name":"Train ID","value":"52-24"},{"id":16,"name":"Locomotive ID","value":"4051"},{"id":130,"name":"Impact","value":""},{"id":150,"name":"Time of Event (Mountain Time)","value":"03:27:17"},{"id":151,"name":"Denver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5" s="47"/>
      <c r="AL215" s="47"/>
      <c r="AM215" s="142" t="str">
        <f t="shared" si="125"/>
        <v>start /low /b %USERPROFILE%\Documents\GitHub\eaglep3\Utilities\DownloadLogsFromS3.py --loco 4051 --day 2017-09-24</v>
      </c>
      <c r="AN215" s="151" t="str">
        <f t="shared" si="126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ID","value":"4051"},{"id":20,"name":"RR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09:27:17"},{"id":29,"name":"Sharepoint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5" s="168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Message%20ID',Summary),filters:!(),index:'emp_*',interval:auto,query:"&amp;"(query_string:(analyze_wildcard:!t,query:'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-09-24T02:23:49-0600',mode:absolute,to:'2017-09-24T04:27:17-0600'))&amp;_a=(columns:!('Message%20ID',Summary),filters:!(),index:'emp_*',interval:auto,query:(query_string:(analyze_wildcard:!t,query:'%22rtdc.l.rtdc.4051%22')),sort:!(Time.ISO8601,asc))</v>
      </c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x14ac:dyDescent="0.25">
      <c r="A216" s="32" t="s">
        <v>706</v>
      </c>
      <c r="B216" s="7">
        <v>4014</v>
      </c>
      <c r="C216" s="21" t="s">
        <v>196</v>
      </c>
      <c r="D216" s="21" t="s">
        <v>960</v>
      </c>
      <c r="E216" s="13">
        <v>43002.477326388886</v>
      </c>
      <c r="F216" s="13">
        <v>43002.479363425926</v>
      </c>
      <c r="G216" s="7">
        <v>134</v>
      </c>
      <c r="H216" s="21" t="s">
        <v>961</v>
      </c>
      <c r="I216" s="13">
        <v>43002.486273148148</v>
      </c>
      <c r="J216" s="7">
        <v>0</v>
      </c>
      <c r="K216" s="89" t="str">
        <f t="shared" si="113"/>
        <v>4013/4014</v>
      </c>
      <c r="L216" s="185" t="str">
        <f>VLOOKUP(A216,'Trips&amp;Operators'!$C$1:$G$99911,5,FALSE)</f>
        <v>DAVIS WENDY</v>
      </c>
      <c r="M216" s="6">
        <f t="shared" si="114"/>
        <v>6.9097222221898846E-3</v>
      </c>
      <c r="N216" s="7">
        <f t="shared" si="115"/>
        <v>9.9499999999534339</v>
      </c>
      <c r="O216" s="7"/>
      <c r="P216" s="7"/>
      <c r="Q216" s="22"/>
      <c r="R216" s="174"/>
      <c r="S216" s="221">
        <f t="shared" si="83"/>
        <v>1</v>
      </c>
      <c r="T216" s="174" t="str">
        <f t="shared" si="116"/>
        <v>NorthBound</v>
      </c>
      <c r="U216" s="198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216" t="str">
        <f t="shared" si="117"/>
        <v>https://d0f6bd738d7f1b3e5a7ca70fe4ff75f0.us-east-1.aws.found.io/app/kibana#/discover/Steve-Slow-Train-Analysis-(2080s-and-2083s)?_g=(refreshInterval:(display:Off,pause:!f,section:0,value:0),time:(from:'2017-09-24T10:27:21-0600',mode:absolute,to:'2017-09-24T12:40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16" s="204" t="str">
        <f>IF(AA216&lt;VLOOKUP(AG216,Variables!$AC$3:$AD$8,2,FALSE),"Y","N")</f>
        <v>Y</v>
      </c>
      <c r="X216" s="204">
        <f t="shared" si="112"/>
        <v>1</v>
      </c>
      <c r="Y216" s="204">
        <f t="shared" si="93"/>
        <v>0.1181</v>
      </c>
      <c r="Z216" s="204">
        <f t="shared" si="94"/>
        <v>2.4256000000000002</v>
      </c>
      <c r="AA216" s="204">
        <f t="shared" si="118"/>
        <v>2.3075000000000001</v>
      </c>
      <c r="AB216" s="54" t="e">
        <f>VLOOKUP(A216,Enforcements!$C$7:$K$11,8,0)</f>
        <v>#N/A</v>
      </c>
      <c r="AC216" s="51" t="e">
        <f>VLOOKUP(A216,Enforcements!$C$7:$E$11,3,0)</f>
        <v>#N/A</v>
      </c>
      <c r="AD216" s="179">
        <f t="shared" si="119"/>
        <v>53</v>
      </c>
      <c r="AE216" s="77" t="str">
        <f t="shared" si="120"/>
        <v>aws s3 cp s3://rtdc.mdm.uploadarchive.raw/RTDC4014/ "%USERPROFILE%\AppData\Local\Temp\OnboardLogs"\RTDC4014\2017-09-24 --exclude "*" --recursive --include "*20170924*" &amp; "%USERPROFILE%\Documents\GitHub\mrs-test-scripts\Headless Mode &amp; Sideloading\WalkAndUnGZ.bat" "%USERPROFILE%\AppData\Local\Temp\OnboardLogs"\RTDC4014\2017-09-24 &amp; aws s3 cp s3://rtdc.mdm.uploadarchive.raw/RTDC4014/ "%USERPROFILE%\AppData\Local\Temp\OnboardLogs"\RTDC4014\2017-09-25 --exclude "*" --recursive --include "*20170925*" &amp; "%USERPROFILE%\Documents\GitHub\mrs-test-scripts\Headless Mode &amp; Sideloading\WalkAndUnGZ.bat" "%USERPROFILE%\AppData\Local\Temp\OnboardLogs"\RTDC4014\2017-09-25</v>
      </c>
      <c r="AF216" s="74" t="str">
        <f t="shared" si="121"/>
        <v>"C:\Program Files (x86)\AstroGrep\AstroGrep.exe" /e /r /s /spath="%USERPROFILE%\AppData\Local\Temp\OnboardLogs" /stypes="app*4014*20170924*" /stext=" 17:.+((SYSTEM_STATE.+slice.+state.+changed )|(ment ac)|(multiple cpu faults)|(system.+state.+changed )|(\[timeout)|(PRM\|1\|D)|(kpr)|(kdp)|(train st.+moving)|(\|lc)|(penalty))"</v>
      </c>
      <c r="AG216" s="182" t="str">
        <f t="shared" si="122"/>
        <v>Shuttle/Test</v>
      </c>
      <c r="AH216" s="78" t="str">
        <f t="shared" si="123"/>
        <v>"%USERPROFILE%\Documents\GitHub\eaglep3\Utilities\RefineRTDCRunTimes.py" --tripid 53-24 --locoid 4014 --swversion DE.1.0.9.0 --startMP 204:1181 --initTime 2017-09-24T11:27:21 --startdatetime 2017-09-24T11:30:17 --delay 134 --endMP 300:24256 --enddatetime 2017-09-24T11:40:14 --enforcementcount 0 &gt;&gt;c:\users\stu\Documents\GitHub\eaglep3-reporting\EC\2017-09-24-refined-times.txt</v>
      </c>
      <c r="AI216" s="96" t="str">
        <f t="shared" si="124"/>
        <v>echo {"issue":{"subject":"","project_id":79,"tracker_id":40,"status_id":1,"priority_id":2,"assigned_to_id":338,"start_date":"2017-09-24","description":"","custom_fields":[{"id":1,"name":"Subdivision","value":"Shuttle/Test"},{"id":4,"name":"Milepost","value":"2.4256"},{"id":17,"name":"Train ID","value":"53-24"},{"id":16,"name":"Locomotive ID","value":"4014"},{"id":130,"name":"Impact","value":""},{"id":150,"name":"Time of Event (Mountain Time)","value":"11:40:14"},{"id":151,"name":"Denver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2" t="str">
        <f t="shared" si="125"/>
        <v>start /low /b %USERPROFILE%\Documents\GitHub\eaglep3\Utilities\DownloadLogsFromS3.py --loco 4014 --day 2017-09-24</v>
      </c>
      <c r="AN216" s="151" t="str">
        <f t="shared" si="126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17:40:14"},{"id":29,"name":"Sharepoint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6" s="168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Message%20ID',Summary),filters:!(),index:'emp_*',interval:auto,query:"&amp;"(query_string:(analyze_wildcard:!t,query:'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-09-24T10:27:21-0600',mode:absolute,to:'2017-09-24T12:40:14-0600'))&amp;_a=(columns:!('Message%20ID',Summary),filters:!(),index:'emp_*',interval:auto,query:(query_string:(analyze_wildcard:!t,query:'%22rtdc.l.rtdc.4014%22')),sort:!(Time.ISO8601,asc))</v>
      </c>
    </row>
    <row r="217" spans="1:91" s="20" customFormat="1" x14ac:dyDescent="0.25">
      <c r="A217" s="32" t="s">
        <v>769</v>
      </c>
      <c r="B217" s="7">
        <v>4029</v>
      </c>
      <c r="C217" s="21" t="s">
        <v>196</v>
      </c>
      <c r="D217" s="21" t="s">
        <v>962</v>
      </c>
      <c r="E217" s="13">
        <v>43002.738981481481</v>
      </c>
      <c r="F217" s="13">
        <v>43002.74077546296</v>
      </c>
      <c r="G217" s="7">
        <v>62</v>
      </c>
      <c r="H217" s="21" t="s">
        <v>963</v>
      </c>
      <c r="I217" s="13">
        <v>43002.745717592596</v>
      </c>
      <c r="J217" s="7">
        <v>0</v>
      </c>
      <c r="K217" s="89" t="str">
        <f t="shared" si="113"/>
        <v>4029/4030</v>
      </c>
      <c r="L217" s="185" t="str">
        <f>VLOOKUP(A217,'Trips&amp;Operators'!$C$1:$G$99911,5,FALSE)</f>
        <v>WEST BRYAN</v>
      </c>
      <c r="M217" s="6">
        <f t="shared" si="114"/>
        <v>4.9421296353102662E-3</v>
      </c>
      <c r="N217" s="7">
        <f t="shared" si="115"/>
        <v>7.1166666748467833</v>
      </c>
      <c r="O217" s="7"/>
      <c r="P217" s="7"/>
      <c r="Q217" s="22"/>
      <c r="R217" s="174"/>
      <c r="S217" s="221">
        <f t="shared" si="83"/>
        <v>1</v>
      </c>
      <c r="T217" s="174" t="str">
        <f t="shared" si="116"/>
        <v>Southbound</v>
      </c>
      <c r="U217" s="198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216" t="str">
        <f t="shared" si="117"/>
        <v>https://d0f6bd738d7f1b3e5a7ca70fe4ff75f0.us-east-1.aws.found.io/app/kibana#/discover/Steve-Slow-Train-Analysis-(2080s-and-2083s)?_g=(refreshInterval:(display:Off,pause:!f,section:0,value:0),time:(from:'2017-09-24T16:44:08-0600',mode:absolute,to:'2017-09-24T18:53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17" s="204" t="str">
        <f>IF(AA217&lt;VLOOKUP(AG217,Variables!$AC$3:$AD$8,2,FALSE),"Y","N")</f>
        <v>Y</v>
      </c>
      <c r="X217" s="204">
        <f t="shared" si="112"/>
        <v>11</v>
      </c>
      <c r="Y217" s="204">
        <f t="shared" si="93"/>
        <v>2.3292000000000002</v>
      </c>
      <c r="Z217" s="204">
        <f t="shared" si="94"/>
        <v>0.2072</v>
      </c>
      <c r="AA217" s="204">
        <f t="shared" si="118"/>
        <v>2.1220000000000003</v>
      </c>
      <c r="AB217" s="54" t="e">
        <f>VLOOKUP(A217,Enforcements!$C$7:$K$11,8,0)</f>
        <v>#N/A</v>
      </c>
      <c r="AC217" s="51" t="e">
        <f>VLOOKUP(A217,Enforcements!$C$7:$E$11,3,0)</f>
        <v>#N/A</v>
      </c>
      <c r="AD217" s="179">
        <f t="shared" si="119"/>
        <v>64</v>
      </c>
      <c r="AE217" s="77" t="str">
        <f t="shared" si="120"/>
        <v>aws s3 cp s3://rtdc.mdm.uploadarchive.raw/RTDC4029/ "%USERPROFILE%\AppData\Local\Temp\OnboardLogs"\RTDC4029\2017-09-24 --exclude "*" --recursive --include "*20170924*" &amp; "%USERPROFILE%\Documents\GitHub\mrs-test-scripts\Headless Mode &amp; Sideloading\WalkAndUnGZ.bat" "%USERPROFILE%\AppData\Local\Temp\OnboardLogs"\RTDC4029\2017-09-24 &amp; aws s3 cp s3://rtdc.mdm.uploadarchive.raw/RTDC4029/ "%USERPROFILE%\AppData\Local\Temp\OnboardLogs"\RTDC4029\2017-09-25 --exclude "*" --recursive --include "*20170925*" &amp; "%USERPROFILE%\Documents\GitHub\mrs-test-scripts\Headless Mode &amp; Sideloading\WalkAndUnGZ.bat" "%USERPROFILE%\AppData\Local\Temp\OnboardLogs"\RTDC4029\2017-09-25</v>
      </c>
      <c r="AF217" s="74" t="str">
        <f t="shared" si="121"/>
        <v>"C:\Program Files (x86)\AstroGrep\AstroGrep.exe" /e /r /s /spath="%USERPROFILE%\AppData\Local\Temp\OnboardLogs" /stypes="app*4029*20170924*" /stext=" 23:.+((SYSTEM_STATE.+slice.+state.+changed )|(ment ac)|(multiple cpu faults)|(system.+state.+changed )|(\[timeout)|(PRM\|1\|D)|(kpr)|(kdp)|(train st.+moving)|(\|lc)|(penalty))"</v>
      </c>
      <c r="AG217" s="182" t="str">
        <f t="shared" si="122"/>
        <v>Shuttle/Test</v>
      </c>
      <c r="AH217" s="78" t="str">
        <f t="shared" si="123"/>
        <v>"%USERPROFILE%\Documents\GitHub\eaglep3\Utilities\RefineRTDCRunTimes.py" --tripid 64-24 --locoid 4029 --swversion DE.1.0.9.0 --startMP 300:23292 --initTime 2017-09-24T17:44:08 --startdatetime 2017-09-24T17:46:43 --delay 62 --endMP 204:2072 --enddatetime 2017-09-24T17:53:50 --enforcementcount 0 &gt;&gt;c:\users\stu\Documents\GitHub\eaglep3-reporting\EC\2017-09-24-refined-times.txt</v>
      </c>
      <c r="AI217" s="96" t="str">
        <f t="shared" si="124"/>
        <v>echo {"issue":{"subject":"","project_id":79,"tracker_id":40,"status_id":1,"priority_id":2,"assigned_to_id":338,"start_date":"2017-09-24","description":"","custom_fields":[{"id":1,"name":"Subdivision","value":"Shuttle/Test"},{"id":4,"name":"Milepost","value":"0.2072"},{"id":17,"name":"Train ID","value":"64-24"},{"id":16,"name":"Locomotive ID","value":"4029"},{"id":130,"name":"Impact","value":""},{"id":150,"name":"Time of Event (Mountain Time)","value":"17:53:50"},{"id":151,"name":"Denver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7" s="47"/>
      <c r="AL217" s="47"/>
      <c r="AM217" s="142" t="str">
        <f t="shared" si="125"/>
        <v>start /low /b %USERPROFILE%\Documents\GitHub\eaglep3\Utilities\DownloadLogsFromS3.py --loco 4029 --day 2017-09-24</v>
      </c>
      <c r="AN217" s="151" t="str">
        <f t="shared" si="126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23:53:50"},{"id":29,"name":"Sharepoint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7" s="168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Message%20ID',Summary),filters:!(),index:'emp_*',interval:auto,query:"&amp;"(query_string:(analyze_wildcard:!t,query:'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-09-24T16:44:08-0600',mode:absolute,to:'2017-09-24T18:53:50-0600'))&amp;_a=(columns:!('Message%20ID',Summary),filters:!(),index:'emp_*',interval:auto,query:(query_string:(analyze_wildcard:!t,query:'%22rtdc.l.rtdc.4029%22')),sort:!(Time.ISO8601,asc))</v>
      </c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x14ac:dyDescent="0.25">
      <c r="A218" s="32" t="s">
        <v>751</v>
      </c>
      <c r="B218" s="7">
        <v>4052</v>
      </c>
      <c r="C218" s="21" t="s">
        <v>196</v>
      </c>
      <c r="D218" s="21" t="s">
        <v>964</v>
      </c>
      <c r="E218" s="13">
        <v>43002.683645833335</v>
      </c>
      <c r="F218" s="13">
        <v>43002.684999999998</v>
      </c>
      <c r="G218" s="7">
        <v>53</v>
      </c>
      <c r="H218" s="21" t="s">
        <v>463</v>
      </c>
      <c r="I218" s="13">
        <v>25568.708333333332</v>
      </c>
      <c r="J218" s="7">
        <v>0</v>
      </c>
      <c r="K218" s="89" t="str">
        <f t="shared" si="113"/>
        <v>4051/4052</v>
      </c>
      <c r="L218" s="185" t="str">
        <f>VLOOKUP(A218,'Trips&amp;Operators'!$C$1:$G$99911,5,FALSE)</f>
        <v>MCREYNOLDS KYLE</v>
      </c>
      <c r="M218" s="6">
        <f t="shared" si="114"/>
        <v>-17433.976666666666</v>
      </c>
      <c r="N218" s="7">
        <f t="shared" si="115"/>
        <v>-25104926.399999999</v>
      </c>
      <c r="O218" s="7"/>
      <c r="P218" s="7"/>
      <c r="Q218" s="22"/>
      <c r="R218" s="174"/>
      <c r="S218" s="221">
        <f t="shared" si="83"/>
        <v>1</v>
      </c>
      <c r="T218" s="174" t="str">
        <f t="shared" si="116"/>
        <v>NorthBound</v>
      </c>
      <c r="U218" s="198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216" t="str">
        <f t="shared" si="117"/>
        <v>https://d0f6bd738d7f1b3e5a7ca70fe4ff75f0.us-east-1.aws.found.io/app/kibana#/discover/Steve-Slow-Train-Analysis-(2080s-and-2083s)?_g=(refreshInterval:(display:Off,pause:!f,section:0,value:0),time:(from:'2017-09-24T15:24:27-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8" s="204" t="str">
        <f>IF(AA218&lt;VLOOKUP(AG218,Variables!$AC$3:$AD$8,2,FALSE),"Y","N")</f>
        <v>Y</v>
      </c>
      <c r="X218" s="204">
        <f t="shared" si="112"/>
        <v>11</v>
      </c>
      <c r="Y218" s="204">
        <f t="shared" si="93"/>
        <v>0.14660000000000001</v>
      </c>
      <c r="Z218" s="204">
        <f t="shared" si="94"/>
        <v>2.3346</v>
      </c>
      <c r="AA218" s="204">
        <f t="shared" si="118"/>
        <v>2.1880000000000002</v>
      </c>
      <c r="AB218" s="54" t="e">
        <f>VLOOKUP(A218,Enforcements!$C$7:$K$11,8,0)</f>
        <v>#N/A</v>
      </c>
      <c r="AC218" s="51" t="e">
        <f>VLOOKUP(A218,Enforcements!$C$7:$E$11,3,0)</f>
        <v>#N/A</v>
      </c>
      <c r="AD218" s="179">
        <f t="shared" si="119"/>
        <v>75</v>
      </c>
      <c r="AE218" s="77" t="str">
        <f t="shared" si="120"/>
        <v>aws s3 cp s3://rtdc.mdm.uploadarchive.raw/RTDC4052/ "%USERPROFILE%\AppData\Local\Temp\OnboardLogs"\RTDC4052\2017-09-24 --exclude "*" --recursive --include "*20170924*" &amp; "%USERPROFILE%\Documents\GitHub\mrs-test-scripts\Headless Mode &amp; Sideloading\WalkAndUnGZ.bat" "%USERPROFILE%\AppData\Local\Temp\OnboardLogs"\RTDC4052\2017-09-24 &amp; aws s3 cp s3://rtdc.mdm.uploadarchive.raw/RTDC4052/ "%USERPROFILE%\AppData\Local\Temp\OnboardLogs"\RTDC4052\2017-09-25 --exclude "*" --recursive --include "*20170925*" &amp; "%USERPROFILE%\Documents\GitHub\mrs-test-scripts\Headless Mode &amp; Sideloading\WalkAndUnGZ.bat" "%USERPROFILE%\AppData\Local\Temp\OnboardLogs"\RTDC4052\2017-09-25</v>
      </c>
      <c r="AF218" s="74" t="str">
        <f t="shared" si="121"/>
        <v>"C:\Program Files (x86)\AstroGrep\AstroGrep.exe" /e /r /s /spath="%USERPROFILE%\AppData\Local\Temp\OnboardLogs" /stypes="app*4052*19691231*" /stext=" 23:.+((SYSTEM_STATE.+slice.+state.+changed )|(ment ac)|(multiple cpu faults)|(system.+state.+changed )|(\[timeout)|(PRM\|1\|D)|(kpr)|(kdp)|(train st.+moving)|(\|lc)|(penalty))"</v>
      </c>
      <c r="AG218" s="182" t="str">
        <f t="shared" si="122"/>
        <v>Shuttle/Test</v>
      </c>
      <c r="AH218" s="78" t="str">
        <f t="shared" si="123"/>
        <v>"%USERPROFILE%\Documents\GitHub\eaglep3\Utilities\RefineRTDCRunTimes.py" --tripid 75-24 --locoid 4052 --swversion DE.1.0.9.0 --startMP 204:1466 --initTime 2017-09-24T16:24:27 --startdatetime 2017-09-24T16:26:24 --delay 53 --endMP 300:23346 --enddatetime 1969-12-31T17:00:00 --enforcementcount 0 &gt;&gt;c:\users\stu\Documents\GitHub\eaglep3-reporting\EC\2017-09-24-refined-times.txt</v>
      </c>
      <c r="AI218" s="96" t="str">
        <f t="shared" si="124"/>
        <v>echo {"issue":{"subject":"","project_id":79,"tracker_id":40,"status_id":1,"priority_id":2,"assigned_to_id":338,"start_date":"1969-12-31","description":"","custom_fields":[{"id":1,"name":"Subdivision","value":"Shuttle/Test"},{"id":4,"name":"Milepost","value":"2.3346"},{"id":17,"name":"Train ID","value":"75-24"},{"id":16,"name":"Locomotive ID","value":"4052"},{"id":130,"name":"Impact","value":""},{"id":150,"name":"Time of Event (Mountain Time)","value":"17:00:00"},{"id":151,"name":"Denver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2" t="str">
        <f t="shared" si="125"/>
        <v>start /low /b %USERPROFILE%\Documents\GitHub\eaglep3\Utilities\DownloadLogsFromS3.py --loco 4052 --day 2017-09-24</v>
      </c>
      <c r="AN218" s="151" t="str">
        <f t="shared" si="126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8" s="168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Message%20ID',Summary),filters:!(),index:'emp_*',interval:auto,query:"&amp;"(query_string:(analyze_wildcard:!t,query:'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-09-24T15:24:27-0600',mode:absolute,to:'1969-12-31T18:00:00-0600'))&amp;_a=(columns:!('Message%20ID',Summary),filters:!(),index:'emp_*',interval:auto,query:(query_string:(analyze_wildcard:!t,query:'%22rtdc.l.rtdc.4052%22')),sort:!(Time.ISO8601,asc))</v>
      </c>
    </row>
    <row r="219" spans="1:91" s="20" customFormat="1" x14ac:dyDescent="0.25">
      <c r="A219" s="32" t="s">
        <v>763</v>
      </c>
      <c r="B219" s="7">
        <v>4012</v>
      </c>
      <c r="C219" s="21" t="s">
        <v>196</v>
      </c>
      <c r="D219" s="21" t="s">
        <v>503</v>
      </c>
      <c r="E219" s="13">
        <v>43002.720231481479</v>
      </c>
      <c r="F219" s="13">
        <v>43002.722766203704</v>
      </c>
      <c r="G219" s="7">
        <v>72</v>
      </c>
      <c r="H219" s="21" t="s">
        <v>462</v>
      </c>
      <c r="I219" s="13">
        <v>43002.733391203707</v>
      </c>
      <c r="J219" s="7">
        <v>0</v>
      </c>
      <c r="K219" s="89" t="str">
        <f t="shared" si="113"/>
        <v>4011/4012</v>
      </c>
      <c r="L219" s="185" t="str">
        <f>VLOOKUP(A219,'Trips&amp;Operators'!$C$1:$G$99911,5,FALSE)</f>
        <v>GONZALEZ ARMANDO</v>
      </c>
      <c r="M219" s="6">
        <f t="shared" si="114"/>
        <v>1.0625000002619345E-2</v>
      </c>
      <c r="N219" s="7">
        <f t="shared" si="115"/>
        <v>15.300000003771856</v>
      </c>
      <c r="O219" s="7"/>
      <c r="P219" s="7"/>
      <c r="Q219" s="22"/>
      <c r="R219" s="174"/>
      <c r="S219" s="221">
        <f t="shared" si="83"/>
        <v>1</v>
      </c>
      <c r="T219" s="174" t="str">
        <f t="shared" si="116"/>
        <v>NorthBound</v>
      </c>
      <c r="U219" s="198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216" t="str">
        <f t="shared" si="117"/>
        <v>https://d0f6bd738d7f1b3e5a7ca70fe4ff75f0.us-east-1.aws.found.io/app/kibana#/discover/Steve-Slow-Train-Analysis-(2080s-and-2083s)?_g=(refreshInterval:(display:Off,pause:!f,section:0,value:0),time:(from:'2017-09-24T16:17:08-0600',mode:absolute,to:'2017-09-24T18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19" s="204" t="str">
        <f>IF(AA219&lt;VLOOKUP(AG219,Variables!$AC$3:$AD$8,2,FALSE),"Y","N")</f>
        <v>Y</v>
      </c>
      <c r="X219" s="204">
        <f t="shared" si="112"/>
        <v>2</v>
      </c>
      <c r="Y219" s="204">
        <f t="shared" si="93"/>
        <v>0.1152</v>
      </c>
      <c r="Z219" s="204">
        <f t="shared" si="94"/>
        <v>2.3306</v>
      </c>
      <c r="AA219" s="204">
        <f t="shared" si="118"/>
        <v>2.2153999999999998</v>
      </c>
      <c r="AB219" s="54" t="e">
        <f>VLOOKUP(A219,Enforcements!$C$7:$K$11,8,0)</f>
        <v>#N/A</v>
      </c>
      <c r="AC219" s="51" t="e">
        <f>VLOOKUP(A219,Enforcements!$C$7:$E$11,3,0)</f>
        <v>#N/A</v>
      </c>
      <c r="AD219" s="179">
        <f t="shared" si="119"/>
        <v>77</v>
      </c>
      <c r="AE219" s="77" t="str">
        <f t="shared" si="120"/>
        <v>aws s3 cp s3://rtdc.mdm.uploadarchive.raw/RTDC4012/ "%USERPROFILE%\AppData\Local\Temp\OnboardLogs"\RTDC4012\2017-09-24 --exclude "*" --recursive --include "*20170924*" &amp; "%USERPROFILE%\Documents\GitHub\mrs-test-scripts\Headless Mode &amp; Sideloading\WalkAndUnGZ.bat" "%USERPROFILE%\AppData\Local\Temp\OnboardLogs"\RTDC4012\2017-09-24 &amp; aws s3 cp s3://rtdc.mdm.uploadarchive.raw/RTDC4012/ "%USERPROFILE%\AppData\Local\Temp\OnboardLogs"\RTDC4012\2017-09-25 --exclude "*" --recursive --include "*20170925*" &amp; "%USERPROFILE%\Documents\GitHub\mrs-test-scripts\Headless Mode &amp; Sideloading\WalkAndUnGZ.bat" "%USERPROFILE%\AppData\Local\Temp\OnboardLogs"\RTDC4012\2017-09-25</v>
      </c>
      <c r="AF219" s="74" t="str">
        <f t="shared" si="121"/>
        <v>"C:\Program Files (x86)\AstroGrep\AstroGrep.exe" /e /r /s /spath="%USERPROFILE%\AppData\Local\Temp\OnboardLogs" /stypes="app*4012*20170924*" /stext=" 23:.+((SYSTEM_STATE.+slice.+state.+changed )|(ment ac)|(multiple cpu faults)|(system.+state.+changed )|(\[timeout)|(PRM\|1\|D)|(kpr)|(kdp)|(train st.+moving)|(\|lc)|(penalty))"</v>
      </c>
      <c r="AG219" s="182" t="str">
        <f t="shared" si="122"/>
        <v>Shuttle/Test</v>
      </c>
      <c r="AH219" s="78" t="str">
        <f t="shared" si="123"/>
        <v>"%USERPROFILE%\Documents\GitHub\eaglep3\Utilities\RefineRTDCRunTimes.py" --tripid 77-24 --locoid 4012 --swversion DE.1.0.9.0 --startMP 204:1152 --initTime 2017-09-24T17:17:08 --startdatetime 2017-09-24T17:20:47 --delay 72 --endMP 300:23306 --enddatetime 2017-09-24T17:36:05 --enforcementcount 0 &gt;&gt;c:\users\stu\Documents\GitHub\eaglep3-reporting\EC\2017-09-24-refined-times.txt</v>
      </c>
      <c r="AI219" s="96" t="str">
        <f t="shared" si="124"/>
        <v>echo {"issue":{"subject":"","project_id":79,"tracker_id":40,"status_id":1,"priority_id":2,"assigned_to_id":338,"start_date":"2017-09-24","description":"","custom_fields":[{"id":1,"name":"Subdivision","value":"Shuttle/Test"},{"id":4,"name":"Milepost","value":"2.3306"},{"id":17,"name":"Train ID","value":"77-24"},{"id":16,"name":"Locomotive ID","value":"4012"},{"id":130,"name":"Impact","value":""},{"id":150,"name":"Time of Event (Mountain Time)","value":"17:36:05"},{"id":151,"name":"Denver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AK219" s="47"/>
      <c r="AL219" s="47"/>
      <c r="AM219" s="142" t="str">
        <f t="shared" si="125"/>
        <v>start /low /b %USERPROFILE%\Documents\GitHub\eaglep3\Utilities\DownloadLogsFromS3.py --loco 4012 --day 2017-09-24</v>
      </c>
      <c r="AN219" s="151" t="str">
        <f t="shared" si="126"/>
        <v>echo {"issue":{"subject":"","project_id":30,"tracker_id":4,"status_id":1,"priority_id":1,"assigned_to_id":10,"start_date":"2017-09-24","description":"","custom_fields":[{"id":30,"name":"Category","value":"Issue"},{"id":3,"name":"Functional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UTC","value":"2017-09-24 23:36:05"},{"id":29,"name":"Sharepoint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9" s="168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Message%20ID',Summary),filters:!(),index:'emp_*',interval:auto,query:"&amp;"(query_string:(analyze_wildcard:!t,query:'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-09-24T16:17:08-0600',mode:absolute,to:'2017-09-24T18:36:05-0600'))&amp;_a=(columns:!('Message%20ID',Summary),filters:!(),index:'emp_*',interval:auto,query:(query_string:(analyze_wildcard:!t,query:'%22rtdc.l.rtdc.4012%22')),sort:!(Time.ISO8601,asc))</v>
      </c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M220"/>
      <c r="AO220"/>
    </row>
    <row r="221" spans="1:91" s="20" customFormat="1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M222"/>
      <c r="AO222"/>
    </row>
    <row r="223" spans="1:91" s="20" customFormat="1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M225"/>
      <c r="AO225"/>
    </row>
    <row r="226" spans="1:91" s="20" customFormat="1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M227"/>
      <c r="AO227"/>
    </row>
    <row r="228" spans="1:91" s="20" customFormat="1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M231"/>
      <c r="AO231"/>
    </row>
    <row r="232" spans="1:91" s="20" customFormat="1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M235"/>
      <c r="AO235"/>
    </row>
    <row r="236" spans="1:91" s="20" customFormat="1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M240"/>
      <c r="AO240"/>
    </row>
    <row r="241" spans="1:91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M241"/>
      <c r="AO241"/>
    </row>
    <row r="242" spans="1:91" s="20" customFormat="1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M243"/>
      <c r="AO243"/>
    </row>
    <row r="244" spans="1:91" s="20" customFormat="1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M247"/>
      <c r="AO247"/>
    </row>
    <row r="248" spans="1:91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M248"/>
      <c r="AO248"/>
    </row>
    <row r="249" spans="1:91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M249"/>
      <c r="AO249"/>
    </row>
    <row r="250" spans="1:91" s="20" customFormat="1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M251"/>
      <c r="AO251"/>
    </row>
    <row r="252" spans="1:91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M252"/>
      <c r="AO252"/>
    </row>
    <row r="253" spans="1:91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M253"/>
      <c r="AO253"/>
    </row>
    <row r="254" spans="1:91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M254"/>
      <c r="AO254"/>
    </row>
    <row r="255" spans="1:91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M255"/>
      <c r="AO255"/>
    </row>
    <row r="256" spans="1:91" s="20" customFormat="1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M258"/>
      <c r="AO258"/>
    </row>
    <row r="259" spans="1:91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M259"/>
      <c r="AO259"/>
    </row>
    <row r="260" spans="1:91" s="20" customFormat="1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M261"/>
      <c r="AO261"/>
    </row>
    <row r="262" spans="1:91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M262"/>
      <c r="AO262"/>
    </row>
    <row r="263" spans="1:91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M263"/>
      <c r="AO263"/>
    </row>
    <row r="264" spans="1:91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M264"/>
      <c r="AO264"/>
    </row>
    <row r="265" spans="1:91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M265"/>
      <c r="AO265"/>
    </row>
    <row r="266" spans="1:91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M266"/>
      <c r="AO266"/>
    </row>
    <row r="267" spans="1:91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M267"/>
      <c r="AO267"/>
    </row>
    <row r="268" spans="1:91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M268"/>
      <c r="AO268"/>
    </row>
    <row r="269" spans="1:91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M269"/>
      <c r="AO269"/>
    </row>
    <row r="270" spans="1:91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M270"/>
      <c r="AO270"/>
    </row>
    <row r="271" spans="1:91" s="20" customFormat="1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M272"/>
      <c r="AO272"/>
    </row>
    <row r="273" spans="1:91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M273"/>
      <c r="AO273"/>
    </row>
    <row r="274" spans="1:91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M274"/>
      <c r="AO274"/>
    </row>
    <row r="275" spans="1:91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M275"/>
      <c r="AO275"/>
    </row>
    <row r="276" spans="1:91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M276"/>
      <c r="AO276"/>
    </row>
    <row r="277" spans="1:91" s="20" customFormat="1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M278"/>
      <c r="AO278"/>
    </row>
    <row r="279" spans="1:91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M279"/>
      <c r="AO279"/>
    </row>
    <row r="280" spans="1:91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M280"/>
      <c r="AO280"/>
    </row>
    <row r="281" spans="1:91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M281"/>
      <c r="AO281"/>
    </row>
    <row r="282" spans="1:91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M282"/>
      <c r="AO282"/>
    </row>
    <row r="283" spans="1:91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M283"/>
      <c r="AO283"/>
    </row>
    <row r="284" spans="1:91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M284"/>
      <c r="AO284"/>
    </row>
    <row r="285" spans="1:91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M285"/>
      <c r="AO285"/>
    </row>
    <row r="286" spans="1:91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M286"/>
      <c r="AO286"/>
    </row>
    <row r="287" spans="1:91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M287"/>
      <c r="AO287"/>
    </row>
    <row r="288" spans="1:91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M288"/>
      <c r="AO288"/>
    </row>
    <row r="289" spans="1:91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M289"/>
      <c r="AO289"/>
    </row>
    <row r="290" spans="1:91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M290"/>
      <c r="AO290"/>
    </row>
    <row r="291" spans="1:91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M291"/>
      <c r="AO291"/>
    </row>
    <row r="292" spans="1:91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M292"/>
      <c r="AO292"/>
    </row>
    <row r="293" spans="1:91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M293"/>
      <c r="AO293"/>
    </row>
    <row r="294" spans="1:91" s="20" customFormat="1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M295"/>
      <c r="AO295"/>
    </row>
    <row r="296" spans="1:91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M296"/>
      <c r="AO296"/>
    </row>
    <row r="297" spans="1:91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M297"/>
      <c r="AO297"/>
    </row>
    <row r="298" spans="1:91" s="20" customFormat="1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M299"/>
      <c r="AO299"/>
    </row>
    <row r="300" spans="1:91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M300"/>
      <c r="AO300"/>
    </row>
    <row r="301" spans="1:91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M301"/>
      <c r="AO301"/>
    </row>
    <row r="302" spans="1:91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M302"/>
      <c r="AO302"/>
    </row>
    <row r="303" spans="1:91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M303"/>
      <c r="AO303"/>
    </row>
    <row r="304" spans="1:91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M304"/>
      <c r="AO304"/>
    </row>
    <row r="305" spans="1:41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M305"/>
      <c r="AO305"/>
    </row>
    <row r="306" spans="1:41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M306"/>
      <c r="AO306"/>
    </row>
    <row r="307" spans="1:41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M307"/>
      <c r="AO307"/>
    </row>
    <row r="308" spans="1:41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M308"/>
      <c r="AO308"/>
    </row>
    <row r="309" spans="1:41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M309"/>
      <c r="AO309"/>
    </row>
    <row r="310" spans="1:41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M310"/>
      <c r="AO310"/>
    </row>
    <row r="311" spans="1:41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M311"/>
      <c r="AO311"/>
    </row>
    <row r="312" spans="1:41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M312"/>
      <c r="AO312"/>
    </row>
    <row r="313" spans="1:41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M313"/>
      <c r="AO313"/>
    </row>
    <row r="314" spans="1:41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M314"/>
      <c r="AO314"/>
    </row>
    <row r="315" spans="1:41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M315"/>
      <c r="AO315"/>
    </row>
    <row r="316" spans="1:41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M316"/>
      <c r="AO316"/>
    </row>
    <row r="317" spans="1:41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M317"/>
      <c r="AO317"/>
    </row>
    <row r="318" spans="1:41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M318"/>
      <c r="AO318"/>
    </row>
    <row r="319" spans="1:41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M319"/>
      <c r="AO319"/>
    </row>
  </sheetData>
  <autoFilter ref="A12:AG314">
    <sortState ref="A13:AG314">
      <sortCondition ref="AG13:AG219"/>
      <sortCondition ref="AD13:AD219"/>
    </sortState>
  </autoFilter>
  <sortState ref="A13:AN263">
    <sortCondition ref="AG13:AG263"/>
    <sortCondition ref="AD13:AD263"/>
  </sortState>
  <mergeCells count="1">
    <mergeCell ref="A11:P11"/>
  </mergeCells>
  <conditionalFormatting sqref="W11:W12 W320:X1048576 W13:X219">
    <cfRule type="cellIs" dxfId="10" priority="422" operator="equal">
      <formula>"Y"</formula>
    </cfRule>
  </conditionalFormatting>
  <conditionalFormatting sqref="X320:X1048576 X13:X219">
    <cfRule type="cellIs" dxfId="9" priority="405" operator="greaterThan">
      <formula>1</formula>
    </cfRule>
  </conditionalFormatting>
  <conditionalFormatting sqref="X320:X1048576 X12:X219">
    <cfRule type="cellIs" dxfId="8" priority="402" operator="equal">
      <formula>0</formula>
    </cfRule>
  </conditionalFormatting>
  <conditionalFormatting sqref="A13:S219">
    <cfRule type="expression" dxfId="7" priority="396" stopIfTrue="1">
      <formula>$P13&gt;0</formula>
    </cfRule>
    <cfRule type="expression" dxfId="6" priority="397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98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  <x14:conditionalFormatting xmlns:xm="http://schemas.microsoft.com/office/excel/2006/main">
          <x14:cfRule type="expression" priority="81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A13:S219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AK13:AK219</xm:sqref>
        </x14:dataValidation>
        <x14:dataValidation type="list" allowBlank="1" showInputMessage="1" showErrorMessage="1">
          <x14:formula1>
            <xm:f>'Redmine List Values'!$C$2:$C$15</xm:f>
          </x14:formula1>
          <xm:sqref>AL13:AL219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54"/>
  <sheetViews>
    <sheetView topLeftCell="A2" zoomScaleNormal="100" workbookViewId="0">
      <selection activeCell="A2" sqref="A2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3" customWidth="1"/>
    <col min="5" max="5" width="29.42578125" style="113" customWidth="1"/>
    <col min="6" max="6" width="5.7109375" style="113" customWidth="1"/>
    <col min="7" max="7" width="5.85546875" style="113" customWidth="1"/>
    <col min="8" max="8" width="7.85546875" style="113" customWidth="1"/>
    <col min="9" max="9" width="9" style="113" customWidth="1"/>
    <col min="10" max="10" width="11.5703125" style="113" hidden="1" customWidth="1"/>
    <col min="11" max="11" width="9.140625" style="113" customWidth="1"/>
    <col min="12" max="12" width="4.85546875" style="113" customWidth="1"/>
    <col min="13" max="13" width="7.85546875" style="2" customWidth="1"/>
    <col min="14" max="14" width="16" style="112" customWidth="1"/>
    <col min="15" max="15" width="4.42578125" style="168" customWidth="1"/>
    <col min="16" max="16" width="30.42578125" style="113" customWidth="1"/>
    <col min="17" max="17" width="5" hidden="1" customWidth="1"/>
    <col min="18" max="18" width="5.5703125" style="75" customWidth="1"/>
    <col min="19" max="19" width="5.5703125" style="82" customWidth="1"/>
    <col min="20" max="20" width="6" style="72" customWidth="1"/>
    <col min="21" max="21" width="5.140625" customWidth="1"/>
    <col min="22" max="22" width="18.5703125" style="43" customWidth="1"/>
    <col min="23" max="23" width="5.28515625" customWidth="1"/>
    <col min="24" max="24" width="6.5703125" style="2" hidden="1" customWidth="1"/>
    <col min="25" max="25" width="5" customWidth="1"/>
    <col min="26" max="26" width="5" style="157" customWidth="1"/>
    <col min="27" max="27" width="5.28515625" customWidth="1"/>
    <col min="28" max="28" width="5.5703125" customWidth="1"/>
    <col min="29" max="29" width="5.28515625" style="115" customWidth="1"/>
    <col min="30" max="30" width="6.7109375" customWidth="1"/>
    <col min="31" max="31" width="9.140625" style="142"/>
  </cols>
  <sheetData>
    <row r="1" spans="1:32" s="20" customFormat="1" ht="15.75" hidden="1" thickBot="1" x14ac:dyDescent="0.3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8"/>
      <c r="P1" s="113"/>
      <c r="R1" s="75"/>
      <c r="S1" s="82"/>
      <c r="T1" s="72"/>
      <c r="V1" s="43"/>
      <c r="X1" s="2"/>
      <c r="Z1" s="157"/>
      <c r="AC1" s="115"/>
      <c r="AE1" s="142"/>
    </row>
    <row r="2" spans="1:32" s="20" customFormat="1" x14ac:dyDescent="0.25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2">
        <f>COUNTIF($O$7:$O$247,"=Y")</f>
        <v>2</v>
      </c>
      <c r="P2" s="110"/>
      <c r="R2" s="75"/>
      <c r="S2" s="82"/>
      <c r="T2" s="72"/>
      <c r="V2" s="43"/>
      <c r="X2" s="2"/>
      <c r="Z2" s="157"/>
      <c r="AC2" s="116"/>
      <c r="AE2" s="142"/>
    </row>
    <row r="3" spans="1:32" s="20" customFormat="1" ht="15.75" thickBot="1" x14ac:dyDescent="0.3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3">
        <f>COUNTA($O$7:$O$247)-O2</f>
        <v>33</v>
      </c>
      <c r="P3" s="110"/>
      <c r="R3" s="75"/>
      <c r="S3" s="82"/>
      <c r="T3" s="72"/>
      <c r="V3" s="43"/>
      <c r="X3" s="2"/>
      <c r="Z3" s="157"/>
      <c r="AC3" s="116"/>
      <c r="AE3" s="142"/>
    </row>
    <row r="4" spans="1:32" s="20" customFormat="1" x14ac:dyDescent="0.25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6"/>
      <c r="P4" s="113"/>
      <c r="R4" s="75"/>
      <c r="S4" s="82"/>
      <c r="T4" s="72"/>
      <c r="V4" s="43"/>
      <c r="X4" s="2"/>
      <c r="Z4" s="157"/>
      <c r="AC4" s="116"/>
      <c r="AE4" s="142"/>
    </row>
    <row r="5" spans="1:32" s="10" customFormat="1" ht="15" customHeight="1" x14ac:dyDescent="0.25">
      <c r="A5" s="225" t="str">
        <f>"Eagle P3 Braking Events - "&amp;TEXT(Variables!$A$2,"YYYY-mm-dd")</f>
        <v>Eagle P3 Braking Events - 2017-09-24</v>
      </c>
      <c r="B5" s="225"/>
      <c r="C5" s="225"/>
      <c r="D5" s="225"/>
      <c r="E5" s="225"/>
      <c r="F5" s="225"/>
      <c r="G5" s="225"/>
      <c r="H5" s="225"/>
      <c r="I5" s="225"/>
      <c r="J5" s="225"/>
      <c r="K5" s="225"/>
      <c r="L5" s="225"/>
      <c r="M5" s="225"/>
      <c r="N5" s="225"/>
      <c r="O5" s="225"/>
      <c r="P5" s="128"/>
      <c r="R5" s="80"/>
      <c r="S5" s="83"/>
      <c r="T5" s="85"/>
      <c r="V5" s="44"/>
      <c r="X5" s="180"/>
      <c r="AC5" s="117"/>
      <c r="AE5" s="144"/>
    </row>
    <row r="6" spans="1:32" s="107" customFormat="1" ht="69.75" customHeight="1" x14ac:dyDescent="0.2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148</v>
      </c>
      <c r="J6" s="114" t="s">
        <v>30</v>
      </c>
      <c r="K6" s="114" t="s">
        <v>29</v>
      </c>
      <c r="L6" s="114" t="s">
        <v>28</v>
      </c>
      <c r="M6" s="99" t="s">
        <v>149</v>
      </c>
      <c r="N6" s="129" t="s">
        <v>47</v>
      </c>
      <c r="O6" s="175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356</v>
      </c>
      <c r="X6" s="181" t="s">
        <v>349</v>
      </c>
      <c r="Y6" s="105" t="s">
        <v>142</v>
      </c>
      <c r="Z6" s="158" t="s">
        <v>143</v>
      </c>
      <c r="AA6" s="106" t="s">
        <v>116</v>
      </c>
      <c r="AB6" s="106" t="s">
        <v>144</v>
      </c>
      <c r="AC6" s="118" t="s">
        <v>168</v>
      </c>
      <c r="AD6" s="107" t="s">
        <v>185</v>
      </c>
      <c r="AE6" s="143" t="s">
        <v>191</v>
      </c>
    </row>
    <row r="7" spans="1:32" s="1" customFormat="1" x14ac:dyDescent="0.25">
      <c r="A7" s="31">
        <v>43002.453923611109</v>
      </c>
      <c r="B7" s="30" t="s">
        <v>467</v>
      </c>
      <c r="C7" s="30" t="s">
        <v>591</v>
      </c>
      <c r="D7" s="30" t="s">
        <v>95</v>
      </c>
      <c r="E7" s="30" t="s">
        <v>186</v>
      </c>
      <c r="F7" s="42">
        <v>370</v>
      </c>
      <c r="G7" s="42">
        <v>423</v>
      </c>
      <c r="H7" s="42">
        <v>33202</v>
      </c>
      <c r="I7" s="42">
        <v>34493</v>
      </c>
      <c r="J7" s="30" t="s">
        <v>187</v>
      </c>
      <c r="K7" s="42">
        <v>33137</v>
      </c>
      <c r="L7" s="131" t="s">
        <v>50</v>
      </c>
      <c r="M7" s="132">
        <f t="shared" ref="M7:M41" si="0">CONVERT((I7-K7)/10000,"mi","ft")*IF(L7="Increasing Mileposts (1)",-1,1)</f>
        <v>-715.96799999999996</v>
      </c>
      <c r="N7" s="133" t="str">
        <f>VLOOKUP(C7,'Trips&amp;Operators'!$C$1:$G$99911,5,FALSE)</f>
        <v>DAVIDSON DAVID</v>
      </c>
      <c r="O7" s="176" t="s">
        <v>179</v>
      </c>
      <c r="P7" s="134" t="s">
        <v>365</v>
      </c>
      <c r="Q7" s="30"/>
      <c r="R7" s="81" t="str">
        <f>VLOOKUP(C7,'Train Runs'!$A$13:$AE$9973,31,0)</f>
        <v>aws s3 cp s3://rtdc.mdm.uploadarchive.raw/RTDC4064/ "%USERPROFILE%\AppData\Local\Temp\OnboardLogs"\RTDC4064\2017-09-24 --exclude "*" --recursive --include "*20170924*" &amp; "%USERPROFILE%\Documents\GitHub\mrs-test-scripts\Headless Mode &amp; Sideloading\WalkAndUnGZ.bat" "%USERPROFILE%\AppData\Local\Temp\OnboardLogs"\RTDC4064\2017-09-24 &amp; aws s3 cp s3://rtdc.mdm.uploadarchive.raw/RTDC4064/ "%USERPROFILE%\AppData\Local\Temp\OnboardLogs"\RTDC4064\2017-09-25 --exclude "*" --recursive --include "*20170925*" &amp; "%USERPROFILE%\Documents\GitHub\mrs-test-scripts\Headless Mode &amp; Sideloading\WalkAndUnGZ.bat" "%USERPROFILE%\AppData\Local\Temp\OnboardLogs"\RTDC4064\2017-09-25</v>
      </c>
      <c r="S7" s="84" t="str">
        <f>VLOOKUP(C7,'Train Runs'!$A$13:$AE$9973,22,0)</f>
        <v>https://d0f6bd738d7f1b3e5a7ca70fe4ff75f0.us-east-1.aws.found.io/app/kibana#/discover/Steve-Slow-Train-Analysis-(2080s-and-2083s)?_g=(refreshInterval:(display:Off,pause:!f,section:0,value:0),time:(from:'2017-09-24T09:42:18-0600',mode:absolute,to:'2017-09-24T12:24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7" s="86" t="str">
        <f t="shared" ref="T7:T41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/stypes="*4064*201709241*" /stext=" 16:.+((SYSTEM_STATE.+slice.+state.+changed )|(ment ac)|(multiple cpu faults)|(system.+state.+changed )|(\[timeout)|(PRM\|1\|D)|(kpr)|(kdp)|(train st.+moving)|(\|lc)|(penalty))"</v>
      </c>
      <c r="U7" s="9" t="str">
        <f t="shared" ref="U7:U41" si="2">MID(B7,13,4)</f>
        <v>4064</v>
      </c>
      <c r="V7" s="31">
        <f t="shared" ref="V7:V41" si="3">A7-utc_offset/24</f>
        <v>43002.703923611109</v>
      </c>
      <c r="W7" s="45" t="str">
        <f t="shared" ref="W7:W41" si="4">DetSubdiv(C7)</f>
        <v>EC</v>
      </c>
      <c r="X7" s="22">
        <f t="shared" ref="X7:X41" si="5">VALUE(LEFT(C7,LEN(C7)-3))</f>
        <v>157</v>
      </c>
      <c r="Y7" s="96" t="str">
        <f t="shared" ref="Y7:Y41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Arrival","project_id":79,"tracker_id":40,"status_id":1,"priority_id":2,"assigned_to_id":338,"start_date":"2017-09-24","description":"","custom_fields":[{"id":1,"name":"Subdivision","value":"EC"},{"id":4,"name":"Milepost","value":"3.3137"},{"id":17,"name":"Train ID","value":"157-24"},{"id":16,"name":"Locomotive ID","value":"4064"},{"id":130,"name":"Impact","value":""},{"id":150,"name":"Time of Event (Mountain Time)","value":"10:53:39"},{"id":151,"name":"Denver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7" s="159"/>
      <c r="AA7" s="47"/>
      <c r="AB7" s="47"/>
      <c r="AC7" s="115" t="str">
        <f t="shared" ref="AC7:AC41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/c/Users/stu/AppData/Local/Temp/OnboardLogs/RTDC4064 --include="*4064*201709241*"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"%USERPROFILE%\AppData\Local\Temp\OnboardLogs"\RTDC4064\*4064*201709241* &gt;&gt; 2017-09-24-SliceDisagreementCheck.txt</v>
      </c>
      <c r="AE7" s="145" t="str">
        <f t="shared" ref="AE7" si="8">"start /low /b "&amp;dls3logs&amp;" --loco "&amp;U7&amp;" --day "&amp;TEXT(V7,"YYYY-MM-DD")</f>
        <v>start /low /b %USERPROFILE%\Documents\GitHub\eaglep3\Utilities\DownloadLogsFromS3.py --loco 4064 --day 2017-09-24</v>
      </c>
    </row>
    <row r="8" spans="1:32" s="1" customFormat="1" x14ac:dyDescent="0.25">
      <c r="A8" s="31">
        <v>43002.889733796299</v>
      </c>
      <c r="B8" s="30" t="s">
        <v>600</v>
      </c>
      <c r="C8" s="30" t="s">
        <v>609</v>
      </c>
      <c r="D8" s="30" t="s">
        <v>49</v>
      </c>
      <c r="E8" s="30" t="s">
        <v>186</v>
      </c>
      <c r="F8" s="42">
        <v>0</v>
      </c>
      <c r="G8" s="42">
        <v>296</v>
      </c>
      <c r="H8" s="42">
        <v>58526</v>
      </c>
      <c r="I8" s="42">
        <v>57938</v>
      </c>
      <c r="J8" s="30" t="s">
        <v>187</v>
      </c>
      <c r="K8" s="42">
        <v>58301</v>
      </c>
      <c r="L8" s="131" t="s">
        <v>51</v>
      </c>
      <c r="M8" s="132">
        <f t="shared" si="0"/>
        <v>-191.66399999999999</v>
      </c>
      <c r="N8" s="133" t="str">
        <f>VLOOKUP(C8,'Trips&amp;Operators'!$C$1:$G$99911,5,FALSE)</f>
        <v>ELBAUM MIKE</v>
      </c>
      <c r="O8" s="176" t="s">
        <v>179</v>
      </c>
      <c r="P8" s="134" t="s">
        <v>365</v>
      </c>
      <c r="Q8" s="30"/>
      <c r="R8" s="81" t="str">
        <f>VLOOKUP(C8,'Train Runs'!$A$13:$AE$9973,31,0)</f>
        <v>aws s3 cp s3://rtdc.mdm.uploadarchive.raw/RTDC4045/ "%USERPROFILE%\AppData\Local\Temp\OnboardLogs"\RTDC4045\2017-09-24 --exclude "*" --recursive --include "*20170924*" &amp; "%USERPROFILE%\Documents\GitHub\mrs-test-scripts\Headless Mode &amp; Sideloading\WalkAndUnGZ.bat" "%USERPROFILE%\AppData\Local\Temp\OnboardLogs"\RTDC4045\2017-09-24 &amp; aws s3 cp s3://rtdc.mdm.uploadarchive.raw/RTDC4045/ "%USERPROFILE%\AppData\Local\Temp\OnboardLogs"\RTDC4045\2017-09-25 --exclude "*" --recursive --include "*20170925*" &amp; "%USERPROFILE%\Documents\GitHub\mrs-test-scripts\Headless Mode &amp; Sideloading\WalkAndUnGZ.bat" "%USERPROFILE%\AppData\Local\Temp\OnboardLogs"\RTDC4045\2017-09-25</v>
      </c>
      <c r="S8" s="84" t="str">
        <f>VLOOKUP(C8,'Train Runs'!$A$13:$AE$9973,22,0)</f>
        <v>https://d0f6bd738d7f1b3e5a7ca70fe4ff75f0.us-east-1.aws.found.io/app/kibana#/discover/Steve-Slow-Train-Analysis-(2080s-and-2083s)?_g=(refreshInterval:(display:Off,pause:!f,section:0,value:0),time:(from:'2017-09-24T19:37:07-0600',mode:absolute,to:'2017-09-24T22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8" s="86" t="str">
        <f t="shared" si="1"/>
        <v>"C:\Program Files (x86)\AstroGrep\AstroGrep.exe" /e /r /s /spath="%USERPROFILE%\AppData\Local\Temp\OnboardLogs" /stypes="*4045*201709250*" /stext=" 03:.+((SYSTEM_STATE.+slice.+state.+changed )|(ment ac)|(multiple cpu faults)|(system.+state.+changed )|(\[timeout)|(PRM\|1\|D)|(kpr)|(kdp)|(train st.+moving)|(\|lc)|(penalty))"</v>
      </c>
      <c r="U8" s="9" t="str">
        <f t="shared" si="2"/>
        <v>4045</v>
      </c>
      <c r="V8" s="31">
        <f t="shared" si="3"/>
        <v>43003.139733796299</v>
      </c>
      <c r="W8" s="45" t="str">
        <f t="shared" si="4"/>
        <v>EC</v>
      </c>
      <c r="X8" s="22">
        <f t="shared" si="5"/>
        <v>226</v>
      </c>
      <c r="Y8" s="96" t="str">
        <f t="shared" si="6"/>
        <v>echo {"issue":{"subject":"Early Arrival","project_id":79,"tracker_id":40,"status_id":1,"priority_id":2,"assigned_to_id":338,"start_date":"2017-09-24","description":"","custom_fields":[{"id":1,"name":"Subdivision","value":"EC"},{"id":4,"name":"Milepost","value":"5.8301"},{"id":17,"name":"Train ID","value":"226-24"},{"id":16,"name":"Locomotive ID","value":"4045"},{"id":130,"name":"Impact","value":""},{"id":150,"name":"Time of Event (Mountain Time)","value":"21:21:13"},{"id":151,"name":"Denver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8" s="159"/>
      <c r="AA8" s="47"/>
      <c r="AB8" s="47"/>
      <c r="AC8" s="115" t="str">
        <f t="shared" si="7"/>
        <v>grep -hrE -A400 "Enforcement Action" /c/Users/stu/AppData/Local/Temp/OnboardLogs/RTDC4045 --include="*4045*201709250*"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"%USERPROFILE%\AppData\Local\Temp\OnboardLogs"\RTDC4045\*4045*201709250* &gt;&gt; 2017-09-24-SliceDisagreementCheck.txt</v>
      </c>
      <c r="AE8" s="145" t="str">
        <f t="shared" ref="AE8:AE41" si="9">"start /low /b "&amp;dls3logs&amp;" --loco "&amp;U8&amp;" --day "&amp;TEXT(V8,"YYYY-MM-DD")</f>
        <v>start /low /b %USERPROFILE%\Documents\GitHub\eaglep3\Utilities\DownloadLogsFromS3.py --loco 4045 --day 2017-09-25</v>
      </c>
    </row>
    <row r="9" spans="1:32" s="1" customFormat="1" x14ac:dyDescent="0.25">
      <c r="A9" s="31">
        <v>43002.213831018518</v>
      </c>
      <c r="B9" s="30" t="s">
        <v>464</v>
      </c>
      <c r="C9" s="30" t="s">
        <v>577</v>
      </c>
      <c r="D9" s="30" t="s">
        <v>49</v>
      </c>
      <c r="E9" s="30" t="s">
        <v>186</v>
      </c>
      <c r="F9" s="42">
        <v>290</v>
      </c>
      <c r="G9" s="42">
        <v>340</v>
      </c>
      <c r="H9" s="42">
        <v>58749</v>
      </c>
      <c r="I9" s="42">
        <v>57934</v>
      </c>
      <c r="J9" s="30" t="s">
        <v>187</v>
      </c>
      <c r="K9" s="42">
        <v>58301</v>
      </c>
      <c r="L9" s="131" t="s">
        <v>51</v>
      </c>
      <c r="M9" s="132">
        <f t="shared" si="0"/>
        <v>-193.77600000000001</v>
      </c>
      <c r="N9" s="133" t="str">
        <f>VLOOKUP(C9,'Trips&amp;Operators'!$C$1:$G$99911,5,FALSE)</f>
        <v>LANGERAK WILLIAM</v>
      </c>
      <c r="O9" s="176" t="s">
        <v>179</v>
      </c>
      <c r="P9" s="134" t="s">
        <v>365</v>
      </c>
      <c r="Q9" s="30"/>
      <c r="R9" s="81" t="str">
        <f>VLOOKUP(C9,'Train Runs'!$A$13:$AE$9973,31,0)</f>
        <v>aws s3 cp s3://rtdc.mdm.uploadarchive.raw/RTDC4063/ "%USERPROFILE%\AppData\Local\Temp\OnboardLogs"\RTDC4063\2017-09-24 --exclude "*" --recursive --include "*20170924*" &amp; "%USERPROFILE%\Documents\GitHub\mrs-test-scripts\Headless Mode &amp; Sideloading\WalkAndUnGZ.bat" "%USERPROFILE%\AppData\Local\Temp\OnboardLogs"\RTDC4063\2017-09-24 &amp; aws s3 cp s3://rtdc.mdm.uploadarchive.raw/RTDC4063/ "%USERPROFILE%\AppData\Local\Temp\OnboardLogs"\RTDC4063\2017-09-25 --exclude "*" --recursive --include "*20170925*" &amp; "%USERPROFILE%\Documents\GitHub\mrs-test-scripts\Headless Mode &amp; Sideloading\WalkAndUnGZ.bat" "%USERPROFILE%\AppData\Local\Temp\OnboardLogs"\RTDC4063\2017-09-25</v>
      </c>
      <c r="S9" s="84" t="str">
        <f>VLOOKUP(C9,'Train Runs'!$A$13:$AE$9973,22,0)</f>
        <v>https://d0f6bd738d7f1b3e5a7ca70fe4ff75f0.us-east-1.aws.found.io/app/kibana#/discover/Steve-Slow-Train-Analysis-(2080s-and-2083s)?_g=(refreshInterval:(display:Off,pause:!f,section:0,value:0),time:(from:'2017-09-24T03:25:12-0600',mode:absolute,to:'2017-09-24T06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9" s="86" t="str">
        <f t="shared" si="1"/>
        <v>"C:\Program Files (x86)\AstroGrep\AstroGrep.exe" /e /r /s /spath="%USERPROFILE%\AppData\Local\Temp\OnboardLogs" /stypes="*4063*201709241*" /stext=" 11:.+((SYSTEM_STATE.+slice.+state.+changed )|(ment ac)|(multiple cpu faults)|(system.+state.+changed )|(\[timeout)|(PRM\|1\|D)|(kpr)|(kdp)|(train st.+moving)|(\|lc)|(penalty))"</v>
      </c>
      <c r="U9" s="9" t="str">
        <f t="shared" si="2"/>
        <v>4063</v>
      </c>
      <c r="V9" s="31">
        <f t="shared" si="3"/>
        <v>43002.463831018518</v>
      </c>
      <c r="W9" s="45" t="str">
        <f t="shared" si="4"/>
        <v>EC</v>
      </c>
      <c r="X9" s="22">
        <f t="shared" si="5"/>
        <v>104</v>
      </c>
      <c r="Y9" s="96" t="str">
        <f t="shared" si="6"/>
        <v>echo {"issue":{"subject":"Early Arrival","project_id":79,"tracker_id":40,"status_id":1,"priority_id":2,"assigned_to_id":338,"start_date":"2017-09-24","description":"","custom_fields":[{"id":1,"name":"Subdivision","value":"EC"},{"id":4,"name":"Milepost","value":"5.8301"},{"id":17,"name":"Train ID","value":"104-24"},{"id":16,"name":"Locomotive ID","value":"4063"},{"id":130,"name":"Impact","value":""},{"id":150,"name":"Time of Event (Mountain Time)","value":"05:07:55"},{"id":151,"name":"Denver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9" s="159"/>
      <c r="AA9" s="47"/>
      <c r="AB9" s="47"/>
      <c r="AC9" s="115" t="str">
        <f t="shared" si="7"/>
        <v>grep -hrE -A400 "Enforcement Action" /c/Users/stu/AppData/Local/Temp/OnboardLogs/RTDC4063 --include="*4063*201709241*"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"%USERPROFILE%\AppData\Local\Temp\OnboardLogs"\RTDC4063\*4063*201709241* &gt;&gt; 2017-09-24-SliceDisagreementCheck.txt</v>
      </c>
      <c r="AE9" s="145" t="str">
        <f t="shared" si="9"/>
        <v>start /low /b %USERPROFILE%\Documents\GitHub\eaglep3\Utilities\DownloadLogsFromS3.py --loco 4063 --day 2017-09-24</v>
      </c>
    </row>
    <row r="10" spans="1:32" s="1" customFormat="1" x14ac:dyDescent="0.25">
      <c r="A10" s="31">
        <v>43002.50922453704</v>
      </c>
      <c r="B10" s="30" t="s">
        <v>579</v>
      </c>
      <c r="C10" s="30" t="s">
        <v>594</v>
      </c>
      <c r="D10" s="30" t="s">
        <v>49</v>
      </c>
      <c r="E10" s="30" t="s">
        <v>186</v>
      </c>
      <c r="F10" s="42">
        <v>0</v>
      </c>
      <c r="G10" s="42">
        <v>459</v>
      </c>
      <c r="H10" s="42">
        <v>62699</v>
      </c>
      <c r="I10" s="42">
        <v>63640</v>
      </c>
      <c r="J10" s="30" t="s">
        <v>187</v>
      </c>
      <c r="K10" s="42">
        <v>63069</v>
      </c>
      <c r="L10" s="131" t="s">
        <v>50</v>
      </c>
      <c r="M10" s="132">
        <f t="shared" si="0"/>
        <v>-301.488</v>
      </c>
      <c r="N10" s="133" t="str">
        <f>VLOOKUP(C10,'Trips&amp;Operators'!$C$1:$G$99911,5,FALSE)</f>
        <v>BADERTSCHER DIANE</v>
      </c>
      <c r="O10" s="176" t="s">
        <v>179</v>
      </c>
      <c r="P10" s="134" t="s">
        <v>365</v>
      </c>
      <c r="Q10" s="30"/>
      <c r="R10" s="81" t="str">
        <f>VLOOKUP(C10,'Train Runs'!$A$13:$AE$9973,31,0)</f>
        <v>aws s3 cp s3://rtdc.mdm.uploadarchive.raw/RTDC4066/ "%USERPROFILE%\AppData\Local\Temp\OnboardLogs"\RTDC4066\2017-09-24 --exclude "*" --recursive --include "*20170924*" &amp; "%USERPROFILE%\Documents\GitHub\mrs-test-scripts\Headless Mode &amp; Sideloading\WalkAndUnGZ.bat" "%USERPROFILE%\AppData\Local\Temp\OnboardLogs"\RTDC4066\2017-09-24 &amp; aws s3 cp s3://rtdc.mdm.uploadarchive.raw/RTDC4066/ "%USERPROFILE%\AppData\Local\Temp\OnboardLogs"\RTDC4066\2017-09-25 --exclude "*" --recursive --include "*20170925*" &amp; "%USERPROFILE%\Documents\GitHub\mrs-test-scripts\Headless Mode &amp; Sideloading\WalkAndUnGZ.bat" "%USERPROFILE%\AppData\Local\Temp\OnboardLogs"\RTDC4066\2017-09-25</v>
      </c>
      <c r="S10" s="84" t="str">
        <f>VLOOKUP(C10,'Train Runs'!$A$13:$AE$9973,22,0)</f>
        <v>https://d0f6bd738d7f1b3e5a7ca70fe4ff75f0.us-east-1.aws.found.io/app/kibana#/discover/Steve-Slow-Train-Analysis-(2080s-and-2083s)?_g=(refreshInterval:(display:Off,pause:!f,section:0,value:0),time:(from:'2017-09-24T10:55:29-0600',mode:absolute,to:'2017-09-24T13:38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10" s="86" t="str">
        <f t="shared" si="1"/>
        <v>"C:\Program Files (x86)\AstroGrep\AstroGrep.exe" /e /r /s /spath="%USERPROFILE%\AppData\Local\Temp\OnboardLogs" /stypes="*4066*201709241*" /stext=" 18:.+((SYSTEM_STATE.+slice.+state.+changed )|(ment ac)|(multiple cpu faults)|(system.+state.+changed )|(\[timeout)|(PRM\|1\|D)|(kpr)|(kdp)|(train st.+moving)|(\|lc)|(penalty))"</v>
      </c>
      <c r="U10" s="9" t="str">
        <f t="shared" si="2"/>
        <v>4066</v>
      </c>
      <c r="V10" s="31">
        <f t="shared" si="3"/>
        <v>43002.75922453704</v>
      </c>
      <c r="W10" s="45" t="str">
        <f t="shared" si="4"/>
        <v>EC</v>
      </c>
      <c r="X10" s="22">
        <f t="shared" si="5"/>
        <v>167</v>
      </c>
      <c r="Y10" s="96" t="str">
        <f t="shared" si="6"/>
        <v>echo {"issue":{"subject":"Early Arrival","project_id":79,"tracker_id":40,"status_id":1,"priority_id":2,"assigned_to_id":338,"start_date":"2017-09-24","description":"","custom_fields":[{"id":1,"name":"Subdivision","value":"EC"},{"id":4,"name":"Milepost","value":"6.3069"},{"id":17,"name":"Train ID","value":"167-24"},{"id":16,"name":"Locomotive ID","value":"4066"},{"id":130,"name":"Impact","value":""},{"id":150,"name":"Time of Event (Mountain Time)","value":"12:13:17"},{"id":151,"name":"Denver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0" s="159"/>
      <c r="AA10" s="47"/>
      <c r="AB10" s="47"/>
      <c r="AC10" s="115" t="str">
        <f t="shared" si="7"/>
        <v>grep -hrE -A400 "Enforcement Action" /c/Users/stu/AppData/Local/Temp/OnboardLogs/RTDC4066 --include="*4066*201709241*"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"%USERPROFILE%\AppData\Local\Temp\OnboardLogs"\RTDC4066\*4066*201709241* &gt;&gt; 2017-09-24-SliceDisagreementCheck.txt</v>
      </c>
      <c r="AE10" s="145" t="str">
        <f t="shared" si="9"/>
        <v>start /low /b %USERPROFILE%\Documents\GitHub\eaglep3\Utilities\DownloadLogsFromS3.py --loco 4066 --day 2017-09-24</v>
      </c>
    </row>
    <row r="11" spans="1:32" s="1" customFormat="1" x14ac:dyDescent="0.25">
      <c r="A11" s="31">
        <v>43002.285682870373</v>
      </c>
      <c r="B11" s="30" t="s">
        <v>464</v>
      </c>
      <c r="C11" s="30" t="s">
        <v>583</v>
      </c>
      <c r="D11" s="30" t="s">
        <v>95</v>
      </c>
      <c r="E11" s="30" t="s">
        <v>186</v>
      </c>
      <c r="F11" s="42">
        <v>220</v>
      </c>
      <c r="G11" s="42">
        <v>273</v>
      </c>
      <c r="H11" s="42">
        <v>63309</v>
      </c>
      <c r="I11" s="42">
        <v>62784</v>
      </c>
      <c r="J11" s="30" t="s">
        <v>187</v>
      </c>
      <c r="K11" s="42">
        <v>63309</v>
      </c>
      <c r="L11" s="131" t="s">
        <v>51</v>
      </c>
      <c r="M11" s="132">
        <f t="shared" si="0"/>
        <v>-277.2</v>
      </c>
      <c r="N11" s="133" t="str">
        <f>VLOOKUP(C11,'Trips&amp;Operators'!$C$1:$G$99911,5,FALSE)</f>
        <v>LANGERAK WILLIAM</v>
      </c>
      <c r="O11" s="176" t="s">
        <v>179</v>
      </c>
      <c r="P11" s="134" t="s">
        <v>365</v>
      </c>
      <c r="Q11" s="30"/>
      <c r="R11" s="81" t="str">
        <f>VLOOKUP(C11,'Train Runs'!$A$13:$AE$9973,31,0)</f>
        <v>aws s3 cp s3://rtdc.mdm.uploadarchive.raw/RTDC4063/ "%USERPROFILE%\AppData\Local\Temp\OnboardLogs"\RTDC4063\2017-09-24 --exclude "*" --recursive --include "*20170924*" &amp; "%USERPROFILE%\Documents\GitHub\mrs-test-scripts\Headless Mode &amp; Sideloading\WalkAndUnGZ.bat" "%USERPROFILE%\AppData\Local\Temp\OnboardLogs"\RTDC4063\2017-09-24 &amp; aws s3 cp s3://rtdc.mdm.uploadarchive.raw/RTDC4063/ "%USERPROFILE%\AppData\Local\Temp\OnboardLogs"\RTDC4063\2017-09-25 --exclude "*" --recursive --include "*20170925*" &amp; "%USERPROFILE%\Documents\GitHub\mrs-test-scripts\Headless Mode &amp; Sideloading\WalkAndUnGZ.bat" "%USERPROFILE%\AppData\Local\Temp\OnboardLogs"\RTDC4063\2017-09-25</v>
      </c>
      <c r="S11" s="84" t="str">
        <f>VLOOKUP(C11,'Train Runs'!$A$13:$AE$9973,22,0)</f>
        <v>https://d0f6bd738d7f1b3e5a7ca70fe4ff75f0.us-east-1.aws.found.io/app/kibana#/discover/Steve-Slow-Train-Analysis-(2080s-and-2083s)?_g=(refreshInterval:(display:Off,pause:!f,section:0,value:0),time:(from:'2017-09-24T05:09:15-0600',mode:absolute,to:'2017-09-24T08:07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1" s="86" t="str">
        <f t="shared" si="1"/>
        <v>"C:\Program Files (x86)\AstroGrep\AstroGrep.exe" /e /r /s /spath="%USERPROFILE%\AppData\Local\Temp\OnboardLogs" /stypes="*4063*201709241*" /stext=" 12:.+((SYSTEM_STATE.+slice.+state.+changed )|(ment ac)|(multiple cpu faults)|(system.+state.+changed )|(\[timeout)|(PRM\|1\|D)|(kpr)|(kdp)|(train st.+moving)|(\|lc)|(penalty))"</v>
      </c>
      <c r="U11" s="9" t="str">
        <f t="shared" si="2"/>
        <v>4063</v>
      </c>
      <c r="V11" s="31">
        <f t="shared" si="3"/>
        <v>43002.535682870373</v>
      </c>
      <c r="W11" s="45" t="str">
        <f t="shared" si="4"/>
        <v>EC</v>
      </c>
      <c r="X11" s="22">
        <f t="shared" si="5"/>
        <v>116</v>
      </c>
      <c r="Y11" s="96" t="str">
        <f t="shared" si="6"/>
        <v>echo {"issue":{"subject":"Early Arrival","project_id":79,"tracker_id":40,"status_id":1,"priority_id":2,"assigned_to_id":338,"start_date":"2017-09-24","description":"","custom_fields":[{"id":1,"name":"Subdivision","value":"EC"},{"id":4,"name":"Milepost","value":"6.3309"},{"id":17,"name":"Train ID","value":"116-24"},{"id":16,"name":"Locomotive ID","value":"4063"},{"id":130,"name":"Impact","value":""},{"id":150,"name":"Time of Event (Mountain Time)","value":"06:51:23"},{"id":151,"name":"Denver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1" s="159"/>
      <c r="AA11" s="47"/>
      <c r="AB11" s="47"/>
      <c r="AC11" s="115" t="str">
        <f t="shared" si="7"/>
        <v>grep -hrE -A400 "Enforcement Action" /c/Users/stu/AppData/Local/Temp/OnboardLogs/RTDC4063 --include="*4063*201709241*"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"%USERPROFILE%\AppData\Local\Temp\OnboardLogs"\RTDC4063\*4063*201709241* &gt;&gt; 2017-09-24-SliceDisagreementCheck.txt</v>
      </c>
      <c r="AE11" s="145" t="str">
        <f t="shared" si="9"/>
        <v>start /low /b %USERPROFILE%\Documents\GitHub\eaglep3\Utilities\DownloadLogsFromS3.py --loco 4063 --day 2017-09-24</v>
      </c>
    </row>
    <row r="12" spans="1:32" x14ac:dyDescent="0.25">
      <c r="A12" s="31">
        <v>43002.412407407406</v>
      </c>
      <c r="B12" s="30" t="s">
        <v>588</v>
      </c>
      <c r="C12" s="30" t="s">
        <v>589</v>
      </c>
      <c r="D12" s="30" t="s">
        <v>95</v>
      </c>
      <c r="E12" s="30" t="s">
        <v>186</v>
      </c>
      <c r="F12" s="42">
        <v>220</v>
      </c>
      <c r="G12" s="42">
        <v>271</v>
      </c>
      <c r="H12" s="42">
        <v>63232</v>
      </c>
      <c r="I12" s="42">
        <v>62511</v>
      </c>
      <c r="J12" s="30" t="s">
        <v>187</v>
      </c>
      <c r="K12" s="42">
        <v>63309</v>
      </c>
      <c r="L12" s="131" t="s">
        <v>51</v>
      </c>
      <c r="M12" s="132">
        <f t="shared" si="0"/>
        <v>-421.34399999999999</v>
      </c>
      <c r="N12" s="133" t="str">
        <f>VLOOKUP(C12,'Trips&amp;Operators'!$C$1:$G$99911,5,FALSE)</f>
        <v>THOMPSON LESTER</v>
      </c>
      <c r="O12" s="176" t="s">
        <v>179</v>
      </c>
      <c r="P12" s="134" t="s">
        <v>365</v>
      </c>
      <c r="Q12" s="30"/>
      <c r="R12" s="81" t="str">
        <f>VLOOKUP(C12,'Train Runs'!$A$13:$AE$9973,31,0)</f>
        <v>aws s3 cp s3://rtdc.mdm.uploadarchive.raw/RTDC4065/ "%USERPROFILE%\AppData\Local\Temp\OnboardLogs"\RTDC4065\2017-09-24 --exclude "*" --recursive --include "*20170924*" &amp; "%USERPROFILE%\Documents\GitHub\mrs-test-scripts\Headless Mode &amp; Sideloading\WalkAndUnGZ.bat" "%USERPROFILE%\AppData\Local\Temp\OnboardLogs"\RTDC4065\2017-09-24 &amp; aws s3 cp s3://rtdc.mdm.uploadarchive.raw/RTDC4065/ "%USERPROFILE%\AppData\Local\Temp\OnboardLogs"\RTDC4065\2017-09-25 --exclude "*" --recursive --include "*20170925*" &amp; "%USERPROFILE%\Documents\GitHub\mrs-test-scripts\Headless Mode &amp; Sideloading\WalkAndUnGZ.bat" "%USERPROFILE%\AppData\Local\Temp\OnboardLogs"\RTDC4065\2017-09-25</v>
      </c>
      <c r="S12" s="84" t="str">
        <f>VLOOKUP(C12,'Train Runs'!$A$13:$AE$9973,22,0)</f>
        <v>https://d0f6bd738d7f1b3e5a7ca70fe4ff75f0.us-east-1.aws.found.io/app/kibana#/discover/Steve-Slow-Train-Analysis-(2080s-and-2083s)?_g=(refreshInterval:(display:Off,pause:!f,section:0,value:0),time:(from:'2017-09-24T08:24:13-0600',mode:absolute,to:'2017-09-24T11:09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12" s="86" t="str">
        <f t="shared" si="1"/>
        <v>"C:\Program Files (x86)\AstroGrep\AstroGrep.exe" /e /r /s /spath="%USERPROFILE%\AppData\Local\Temp\OnboardLogs" /stypes="*4065*201709241*" /stext=" 15:.+((SYSTEM_STATE.+slice.+state.+changed )|(ment ac)|(multiple cpu faults)|(system.+state.+changed )|(\[timeout)|(PRM\|1\|D)|(kpr)|(kdp)|(train st.+moving)|(\|lc)|(penalty))"</v>
      </c>
      <c r="U12" s="9" t="str">
        <f t="shared" si="2"/>
        <v>4065</v>
      </c>
      <c r="V12" s="31">
        <f t="shared" si="3"/>
        <v>43002.662407407406</v>
      </c>
      <c r="W12" s="45" t="str">
        <f t="shared" si="4"/>
        <v>EC</v>
      </c>
      <c r="X12" s="22">
        <f t="shared" si="5"/>
        <v>140</v>
      </c>
      <c r="Y12" s="96" t="str">
        <f t="shared" si="6"/>
        <v>echo {"issue":{"subject":"Early Arrival","project_id":79,"tracker_id":40,"status_id":1,"priority_id":2,"assigned_to_id":338,"start_date":"2017-09-24","description":"","custom_fields":[{"id":1,"name":"Subdivision","value":"EC"},{"id":4,"name":"Milepost","value":"6.3309"},{"id":17,"name":"Train ID","value":"140-24"},{"id":16,"name":"Locomotive ID","value":"4065"},{"id":130,"name":"Impact","value":""},{"id":150,"name":"Time of Event (Mountain Time)","value":"09:53:52"},{"id":151,"name":"Denver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2" s="159"/>
      <c r="AA12" s="47"/>
      <c r="AB12" s="47"/>
      <c r="AC12" s="115" t="str">
        <f t="shared" si="7"/>
        <v>grep -hrE -A400 "Enforcement Action" /c/Users/stu/AppData/Local/Temp/OnboardLogs/RTDC4065 --include="*4065*201709241*"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"%USERPROFILE%\AppData\Local\Temp\OnboardLogs"\RTDC4065\*4065*201709241* &gt;&gt; 2017-09-24-SliceDisagreementCheck.txt</v>
      </c>
      <c r="AE12" s="145" t="str">
        <f t="shared" si="9"/>
        <v>start /low /b %USERPROFILE%\Documents\GitHub\eaglep3\Utilities\DownloadLogsFromS3.py --loco 4065 --day 2017-09-24</v>
      </c>
      <c r="AF12" s="1"/>
    </row>
    <row r="13" spans="1:32" x14ac:dyDescent="0.25">
      <c r="A13" s="31">
        <v>43002.4059375</v>
      </c>
      <c r="B13" s="30" t="s">
        <v>588</v>
      </c>
      <c r="C13" s="30" t="s">
        <v>589</v>
      </c>
      <c r="D13" s="30" t="s">
        <v>95</v>
      </c>
      <c r="E13" s="30" t="s">
        <v>194</v>
      </c>
      <c r="F13" s="42">
        <v>400</v>
      </c>
      <c r="G13" s="42">
        <v>455</v>
      </c>
      <c r="H13" s="42">
        <v>116780</v>
      </c>
      <c r="I13" s="42">
        <v>114720</v>
      </c>
      <c r="J13" s="30" t="s">
        <v>195</v>
      </c>
      <c r="K13" s="42">
        <v>119716</v>
      </c>
      <c r="L13" s="131" t="s">
        <v>51</v>
      </c>
      <c r="M13" s="132">
        <f t="shared" si="0"/>
        <v>-2637.8879999999999</v>
      </c>
      <c r="N13" s="133" t="str">
        <f>VLOOKUP(C13,'Trips&amp;Operators'!$C$1:$G$99911,5,FALSE)</f>
        <v>THOMPSON LESTER</v>
      </c>
      <c r="O13" s="176" t="s">
        <v>179</v>
      </c>
      <c r="P13" s="134"/>
      <c r="Q13" s="30"/>
      <c r="R13" s="81" t="str">
        <f>VLOOKUP(C13,'Train Runs'!$A$13:$AE$9973,31,0)</f>
        <v>aws s3 cp s3://rtdc.mdm.uploadarchive.raw/RTDC4065/ "%USERPROFILE%\AppData\Local\Temp\OnboardLogs"\RTDC4065\2017-09-24 --exclude "*" --recursive --include "*20170924*" &amp; "%USERPROFILE%\Documents\GitHub\mrs-test-scripts\Headless Mode &amp; Sideloading\WalkAndUnGZ.bat" "%USERPROFILE%\AppData\Local\Temp\OnboardLogs"\RTDC4065\2017-09-24 &amp; aws s3 cp s3://rtdc.mdm.uploadarchive.raw/RTDC4065/ "%USERPROFILE%\AppData\Local\Temp\OnboardLogs"\RTDC4065\2017-09-25 --exclude "*" --recursive --include "*20170925*" &amp; "%USERPROFILE%\Documents\GitHub\mrs-test-scripts\Headless Mode &amp; Sideloading\WalkAndUnGZ.bat" "%USERPROFILE%\AppData\Local\Temp\OnboardLogs"\RTDC4065\2017-09-25</v>
      </c>
      <c r="S13" s="84" t="str">
        <f>VLOOKUP(C13,'Train Runs'!$A$13:$AE$9973,22,0)</f>
        <v>https://d0f6bd738d7f1b3e5a7ca70fe4ff75f0.us-east-1.aws.found.io/app/kibana#/discover/Steve-Slow-Train-Analysis-(2080s-and-2083s)?_g=(refreshInterval:(display:Off,pause:!f,section:0,value:0),time:(from:'2017-09-24T08:24:13-0600',mode:absolute,to:'2017-09-24T11:09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13" s="86" t="str">
        <f t="shared" si="1"/>
        <v>"C:\Program Files (x86)\AstroGrep\AstroGrep.exe" /e /r /s /spath="%USERPROFILE%\AppData\Local\Temp\OnboardLogs" /stypes="*4065*201709241*" /stext=" 15:.+((SYSTEM_STATE.+slice.+state.+changed )|(ment ac)|(multiple cpu faults)|(system.+state.+changed )|(\[timeout)|(PRM\|1\|D)|(kpr)|(kdp)|(train st.+moving)|(\|lc)|(penalty))"</v>
      </c>
      <c r="U13" s="9" t="str">
        <f t="shared" si="2"/>
        <v>4065</v>
      </c>
      <c r="V13" s="31">
        <f t="shared" si="3"/>
        <v>43002.6559375</v>
      </c>
      <c r="W13" s="45" t="str">
        <f t="shared" si="4"/>
        <v>EC</v>
      </c>
      <c r="X13" s="22">
        <f t="shared" si="5"/>
        <v>140</v>
      </c>
      <c r="Y13" s="96" t="str">
        <f t="shared" si="6"/>
        <v>echo {"issue":{"subject":"","project_id":79,"tracker_id":40,"status_id":1,"priority_id":2,"assigned_to_id":338,"start_date":"2017-09-24","description":"","custom_fields":[{"id":1,"name":"Subdivision","value":"EC"},{"id":4,"name":"Milepost","value":"11.9716"},{"id":17,"name":"Train ID","value":"140-24"},{"id":16,"name":"Locomotive ID","value":"4065"},{"id":130,"name":"Impact","value":""},{"id":150,"name":"Time of Event (Mountain Time)","value":"09:44:33"},{"id":151,"name":"Denver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3" s="159"/>
      <c r="AA13" s="47"/>
      <c r="AB13" s="47"/>
      <c r="AC13" s="115" t="str">
        <f t="shared" si="7"/>
        <v>grep -hrE -A400 "Enforcement Action" /c/Users/stu/AppData/Local/Temp/OnboardLogs/RTDC4065 --include="*4065*201709241*"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"%USERPROFILE%\AppData\Local\Temp\OnboardLogs"\RTDC4065\*4065*201709241* &gt;&gt; 2017-09-24-SliceDisagreementCheck.txt</v>
      </c>
      <c r="AE13" s="145" t="str">
        <f t="shared" si="9"/>
        <v>start /low /b %USERPROFILE%\Documents\GitHub\eaglep3\Utilities\DownloadLogsFromS3.py --loco 4065 --day 2017-09-24</v>
      </c>
      <c r="AF13" s="1"/>
    </row>
    <row r="14" spans="1:32" x14ac:dyDescent="0.25">
      <c r="A14" s="31">
        <v>43002.779293981483</v>
      </c>
      <c r="B14" s="30" t="s">
        <v>427</v>
      </c>
      <c r="C14" s="30" t="s">
        <v>604</v>
      </c>
      <c r="D14" s="30" t="s">
        <v>49</v>
      </c>
      <c r="E14" s="30" t="s">
        <v>194</v>
      </c>
      <c r="F14" s="42">
        <v>400</v>
      </c>
      <c r="G14" s="42">
        <v>503</v>
      </c>
      <c r="H14" s="42">
        <v>121300</v>
      </c>
      <c r="I14" s="42">
        <v>119623</v>
      </c>
      <c r="J14" s="30" t="s">
        <v>195</v>
      </c>
      <c r="K14" s="42">
        <v>119716</v>
      </c>
      <c r="L14" s="131" t="s">
        <v>51</v>
      </c>
      <c r="M14" s="132">
        <f t="shared" si="0"/>
        <v>-49.103999999999999</v>
      </c>
      <c r="N14" s="133" t="str">
        <f>VLOOKUP(C14,'Trips&amp;Operators'!$C$1:$G$99911,5,FALSE)</f>
        <v>BERLING GARY</v>
      </c>
      <c r="O14" s="176" t="s">
        <v>179</v>
      </c>
      <c r="P14" s="134"/>
      <c r="Q14" s="30"/>
      <c r="R14" s="81" t="str">
        <f>VLOOKUP(C14,'Train Runs'!$A$13:$AE$9973,31,0)</f>
        <v>aws s3 cp s3://rtdc.mdm.uploadarchive.raw/RTDC4023/ "%USERPROFILE%\AppData\Local\Temp\OnboardLogs"\RTDC4023\2017-09-24 --exclude "*" --recursive --include "*20170924*" &amp; "%USERPROFILE%\Documents\GitHub\mrs-test-scripts\Headless Mode &amp; Sideloading\WalkAndUnGZ.bat" "%USERPROFILE%\AppData\Local\Temp\OnboardLogs"\RTDC4023\2017-09-24 &amp; aws s3 cp s3://rtdc.mdm.uploadarchive.raw/RTDC4023/ "%USERPROFILE%\AppData\Local\Temp\OnboardLogs"\RTDC4023\2017-09-25 --exclude "*" --recursive --include "*20170925*" &amp; "%USERPROFILE%\Documents\GitHub\mrs-test-scripts\Headless Mode &amp; Sideloading\WalkAndUnGZ.bat" "%USERPROFILE%\AppData\Local\Temp\OnboardLogs"\RTDC4023\2017-09-25</v>
      </c>
      <c r="S14" s="84" t="str">
        <f>VLOOKUP(C14,'Train Runs'!$A$13:$AE$9973,22,0)</f>
        <v>https://d0f6bd738d7f1b3e5a7ca70fe4ff75f0.us-east-1.aws.found.io/app/kibana#/discover/Steve-Slow-Train-Analysis-(2080s-and-2083s)?_g=(refreshInterval:(display:Off,pause:!f,section:0,value:0),time:(from:'2017-09-24T17:19:38-0600',mode:absolute,to:'2017-09-24T20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4" s="86" t="str">
        <f t="shared" si="1"/>
        <v>"C:\Program Files (x86)\AstroGrep\AstroGrep.exe" /e /r /s /spath="%USERPROFILE%\AppData\Local\Temp\OnboardLogs" /stypes="*4023*201709250*" /stext=" 00:.+((SYSTEM_STATE.+slice.+state.+changed )|(ment ac)|(multiple cpu faults)|(system.+state.+changed )|(\[timeout)|(PRM\|1\|D)|(kpr)|(kdp)|(train st.+moving)|(\|lc)|(penalty))"</v>
      </c>
      <c r="U14" s="9" t="str">
        <f t="shared" si="2"/>
        <v>4023</v>
      </c>
      <c r="V14" s="31">
        <f t="shared" si="3"/>
        <v>43003.029293981483</v>
      </c>
      <c r="W14" s="45" t="str">
        <f t="shared" si="4"/>
        <v>EC</v>
      </c>
      <c r="X14" s="22">
        <f t="shared" si="5"/>
        <v>212</v>
      </c>
      <c r="Y14" s="96" t="str">
        <f t="shared" si="6"/>
        <v>echo {"issue":{"subject":"","project_id":79,"tracker_id":40,"status_id":1,"priority_id":2,"assigned_to_id":338,"start_date":"2017-09-24","description":"","custom_fields":[{"id":1,"name":"Subdivision","value":"EC"},{"id":4,"name":"Milepost","value":"11.9716"},{"id":17,"name":"Train ID","value":"212-24"},{"id":16,"name":"Locomotive ID","value":"4023"},{"id":130,"name":"Impact","value":""},{"id":150,"name":"Time of Event (Mountain Time)","value":"18:42:11"},{"id":151,"name":"Denver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4" s="159"/>
      <c r="AA14" s="47"/>
      <c r="AB14" s="47"/>
      <c r="AC14" s="115" t="str">
        <f t="shared" si="7"/>
        <v>grep -hrE -A400 "Enforcement Action" /c/Users/stu/AppData/Local/Temp/OnboardLogs/RTDC4023 --include="*4023*201709250*"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"%USERPROFILE%\AppData\Local\Temp\OnboardLogs"\RTDC4023\*4023*201709250* &gt;&gt; 2017-09-24-SliceDisagreementCheck.txt</v>
      </c>
      <c r="AE14" s="145" t="str">
        <f t="shared" si="9"/>
        <v>start /low /b %USERPROFILE%\Documents\GitHub\eaglep3\Utilities\DownloadLogsFromS3.py --loco 4023 --day 2017-09-25</v>
      </c>
      <c r="AF14" s="1"/>
    </row>
    <row r="15" spans="1:32" x14ac:dyDescent="0.25">
      <c r="A15" s="31">
        <v>43002.399050925924</v>
      </c>
      <c r="B15" s="30" t="s">
        <v>588</v>
      </c>
      <c r="C15" s="30" t="s">
        <v>589</v>
      </c>
      <c r="D15" s="30" t="s">
        <v>95</v>
      </c>
      <c r="E15" s="30" t="s">
        <v>194</v>
      </c>
      <c r="F15" s="42">
        <v>600</v>
      </c>
      <c r="G15" s="42">
        <v>655</v>
      </c>
      <c r="H15" s="42">
        <v>184573</v>
      </c>
      <c r="I15" s="42">
        <v>181528</v>
      </c>
      <c r="J15" s="30" t="s">
        <v>195</v>
      </c>
      <c r="K15" s="42">
        <v>190834</v>
      </c>
      <c r="L15" s="131" t="s">
        <v>51</v>
      </c>
      <c r="M15" s="132">
        <f t="shared" si="0"/>
        <v>-4913.5680000000002</v>
      </c>
      <c r="N15" s="133" t="str">
        <f>VLOOKUP(C15,'Trips&amp;Operators'!$C$1:$G$99911,5,FALSE)</f>
        <v>THOMPSON LESTER</v>
      </c>
      <c r="O15" s="176" t="s">
        <v>179</v>
      </c>
      <c r="P15" s="134"/>
      <c r="Q15" s="30"/>
      <c r="R15" s="81" t="str">
        <f>VLOOKUP(C15,'Train Runs'!$A$13:$AE$9973,31,0)</f>
        <v>aws s3 cp s3://rtdc.mdm.uploadarchive.raw/RTDC4065/ "%USERPROFILE%\AppData\Local\Temp\OnboardLogs"\RTDC4065\2017-09-24 --exclude "*" --recursive --include "*20170924*" &amp; "%USERPROFILE%\Documents\GitHub\mrs-test-scripts\Headless Mode &amp; Sideloading\WalkAndUnGZ.bat" "%USERPROFILE%\AppData\Local\Temp\OnboardLogs"\RTDC4065\2017-09-24 &amp; aws s3 cp s3://rtdc.mdm.uploadarchive.raw/RTDC4065/ "%USERPROFILE%\AppData\Local\Temp\OnboardLogs"\RTDC4065\2017-09-25 --exclude "*" --recursive --include "*20170925*" &amp; "%USERPROFILE%\Documents\GitHub\mrs-test-scripts\Headless Mode &amp; Sideloading\WalkAndUnGZ.bat" "%USERPROFILE%\AppData\Local\Temp\OnboardLogs"\RTDC4065\2017-09-25</v>
      </c>
      <c r="S15" s="84" t="str">
        <f>VLOOKUP(C15,'Train Runs'!$A$13:$AE$9973,22,0)</f>
        <v>https://d0f6bd738d7f1b3e5a7ca70fe4ff75f0.us-east-1.aws.found.io/app/kibana#/discover/Steve-Slow-Train-Analysis-(2080s-and-2083s)?_g=(refreshInterval:(display:Off,pause:!f,section:0,value:0),time:(from:'2017-09-24T08:24:13-0600',mode:absolute,to:'2017-09-24T11:09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4065%22')),sort:!(Time.ISO8601,asc))</v>
      </c>
      <c r="T15" s="86" t="str">
        <f t="shared" si="1"/>
        <v>"C:\Program Files (x86)\AstroGrep\AstroGrep.exe" /e /r /s /spath="%USERPROFILE%\AppData\Local\Temp\OnboardLogs" /stypes="*4065*201709241*" /stext=" 15:.+((SYSTEM_STATE.+slice.+state.+changed )|(ment ac)|(multiple cpu faults)|(system.+state.+changed )|(\[timeout)|(PRM\|1\|D)|(kpr)|(kdp)|(train st.+moving)|(\|lc)|(penalty))"</v>
      </c>
      <c r="U15" s="9" t="str">
        <f t="shared" si="2"/>
        <v>4065</v>
      </c>
      <c r="V15" s="31">
        <f t="shared" si="3"/>
        <v>43002.649050925924</v>
      </c>
      <c r="W15" s="45" t="str">
        <f t="shared" si="4"/>
        <v>EC</v>
      </c>
      <c r="X15" s="22">
        <f t="shared" si="5"/>
        <v>140</v>
      </c>
      <c r="Y15" s="96" t="str">
        <f t="shared" si="6"/>
        <v>echo {"issue":{"subject":"","project_id":79,"tracker_id":40,"status_id":1,"priority_id":2,"assigned_to_id":338,"start_date":"2017-09-24","description":"","custom_fields":[{"id":1,"name":"Subdivision","value":"EC"},{"id":4,"name":"Milepost","value":"19.0834"},{"id":17,"name":"Train ID","value":"140-24"},{"id":16,"name":"Locomotive ID","value":"4065"},{"id":130,"name":"Impact","value":""},{"id":150,"name":"Time of Event (Mountain Time)","value":"09:34:38"},{"id":151,"name":"Denver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5" s="159"/>
      <c r="AA15" s="47"/>
      <c r="AB15" s="47"/>
      <c r="AC15" s="115" t="str">
        <f t="shared" si="7"/>
        <v>grep -hrE -A400 "Enforcement Action" /c/Users/stu/AppData/Local/Temp/OnboardLogs/RTDC4065 --include="*4065*201709241*"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"%USERPROFILE%\AppData\Local\Temp\OnboardLogs"\RTDC4065\*4065*201709241* &gt;&gt; 2017-09-24-SliceDisagreementCheck.txt</v>
      </c>
      <c r="AE15" s="145" t="str">
        <f t="shared" si="9"/>
        <v>start /low /b %USERPROFILE%\Documents\GitHub\eaglep3\Utilities\DownloadLogsFromS3.py --loco 4065 --day 2017-09-24</v>
      </c>
      <c r="AF15" s="1"/>
    </row>
    <row r="16" spans="1:32" x14ac:dyDescent="0.25">
      <c r="A16" s="31">
        <v>43002.423726851855</v>
      </c>
      <c r="B16" s="30" t="s">
        <v>464</v>
      </c>
      <c r="C16" s="30" t="s">
        <v>590</v>
      </c>
      <c r="D16" s="30" t="s">
        <v>49</v>
      </c>
      <c r="E16" s="30" t="s">
        <v>360</v>
      </c>
      <c r="F16" s="42">
        <v>0</v>
      </c>
      <c r="G16" s="42">
        <v>585</v>
      </c>
      <c r="H16" s="42">
        <v>136738</v>
      </c>
      <c r="I16" s="42">
        <v>134499</v>
      </c>
      <c r="J16" s="30" t="s">
        <v>361</v>
      </c>
      <c r="K16" s="42">
        <v>133166</v>
      </c>
      <c r="L16" s="131" t="s">
        <v>51</v>
      </c>
      <c r="M16" s="132">
        <f t="shared" si="0"/>
        <v>703.82399999999996</v>
      </c>
      <c r="N16" s="133" t="str">
        <f>VLOOKUP(C16,'Trips&amp;Operators'!$C$1:$G$99911,5,FALSE)</f>
        <v>LANGERAK WILLIAM</v>
      </c>
      <c r="O16" s="176" t="s">
        <v>419</v>
      </c>
      <c r="P16" s="134" t="s">
        <v>983</v>
      </c>
      <c r="Q16" s="30"/>
      <c r="R16" s="81" t="str">
        <f>VLOOKUP(C16,'Train Runs'!$A$13:$AE$9973,31,0)</f>
        <v>aws s3 cp s3://rtdc.mdm.uploadarchive.raw/RTDC4063/ "%USERPROFILE%\AppData\Local\Temp\OnboardLogs"\RTDC4063\2017-09-24 --exclude "*" --recursive --include "*20170924*" &amp; "%USERPROFILE%\Documents\GitHub\mrs-test-scripts\Headless Mode &amp; Sideloading\WalkAndUnGZ.bat" "%USERPROFILE%\AppData\Local\Temp\OnboardLogs"\RTDC4063\2017-09-24 &amp; aws s3 cp s3://rtdc.mdm.uploadarchive.raw/RTDC4063/ "%USERPROFILE%\AppData\Local\Temp\OnboardLogs"\RTDC4063\2017-09-25 --exclude "*" --recursive --include "*20170925*" &amp; "%USERPROFILE%\Documents\GitHub\mrs-test-scripts\Headless Mode &amp; Sideloading\WalkAndUnGZ.bat" "%USERPROFILE%\AppData\Local\Temp\OnboardLogs"\RTDC4063\2017-09-25</v>
      </c>
      <c r="S16" s="84" t="str">
        <f>VLOOKUP(C16,'Train Runs'!$A$13:$AE$9973,22,0)</f>
        <v>https://d0f6bd738d7f1b3e5a7ca70fe4ff75f0.us-east-1.aws.found.io/app/kibana#/discover/Steve-Slow-Train-Analysis-(2080s-and-2083s)?_g=(refreshInterval:(display:Off,pause:!f,section:0,value:0),time:(from:'2017-09-24T08:39:27-0600',mode:absolute,to:'2017-09-24T11:38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6" s="86" t="str">
        <f t="shared" si="1"/>
        <v>"C:\Program Files (x86)\AstroGrep\AstroGrep.exe" /e /r /s /spath="%USERPROFILE%\AppData\Local\Temp\OnboardLogs" /stypes="*4063*201709241*" /stext=" 16:.+((SYSTEM_STATE.+slice.+state.+changed )|(ment ac)|(multiple cpu faults)|(system.+state.+changed )|(\[timeout)|(PRM\|1\|D)|(kpr)|(kdp)|(train st.+moving)|(\|lc)|(penalty))"</v>
      </c>
      <c r="U16" s="9" t="str">
        <f t="shared" si="2"/>
        <v>4063</v>
      </c>
      <c r="V16" s="31">
        <f t="shared" si="3"/>
        <v>43002.673726851855</v>
      </c>
      <c r="W16" s="45" t="str">
        <f t="shared" si="4"/>
        <v>EC</v>
      </c>
      <c r="X16" s="22">
        <f t="shared" si="5"/>
        <v>144</v>
      </c>
      <c r="Y16" s="96" t="str">
        <f t="shared" si="6"/>
        <v>echo {"issue":{"subject":"Wi-MAX data drop","project_id":79,"tracker_id":40,"status_id":1,"priority_id":2,"assigned_to_id":338,"start_date":"2017-09-24","description":"","custom_fields":[{"id":1,"name":"Subdivision","value":"EC"},{"id":4,"name":"Milepost","value":"13.3166"},{"id":17,"name":"Train ID","value":"144-24"},{"id":16,"name":"Locomotive ID","value":"4063"},{"id":130,"name":"Impact","value":""},{"id":150,"name":"Time of Event (Mountain Time)","value":"10:10:10"},{"id":151,"name":"Denver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6" s="159"/>
      <c r="AA16" s="47"/>
      <c r="AB16" s="47"/>
      <c r="AC16" s="115" t="str">
        <f t="shared" si="7"/>
        <v>grep -hrE -A400 "Enforcement Action" /c/Users/stu/AppData/Local/Temp/OnboardLogs/RTDC4063 --include="*4063*201709241*"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"%USERPROFILE%\AppData\Local\Temp\OnboardLogs"\RTDC4063\*4063*201709241* &gt;&gt; 2017-09-24-SliceDisagreementCheck.txt</v>
      </c>
      <c r="AE16" s="145" t="str">
        <f t="shared" si="9"/>
        <v>start /low /b %USERPROFILE%\Documents\GitHub\eaglep3\Utilities\DownloadLogsFromS3.py --loco 4063 --day 2017-09-24</v>
      </c>
      <c r="AF16" s="1"/>
    </row>
    <row r="17" spans="1:32" x14ac:dyDescent="0.25">
      <c r="A17" s="31">
        <v>43002.576493055552</v>
      </c>
      <c r="B17" s="30" t="s">
        <v>427</v>
      </c>
      <c r="C17" s="30" t="s">
        <v>595</v>
      </c>
      <c r="D17" s="30" t="s">
        <v>49</v>
      </c>
      <c r="E17" s="30" t="s">
        <v>180</v>
      </c>
      <c r="F17" s="42">
        <v>0</v>
      </c>
      <c r="G17" s="42">
        <v>40</v>
      </c>
      <c r="H17" s="42">
        <v>152</v>
      </c>
      <c r="I17" s="42">
        <v>103</v>
      </c>
      <c r="J17" s="30" t="s">
        <v>181</v>
      </c>
      <c r="K17" s="42">
        <v>1</v>
      </c>
      <c r="L17" s="131" t="s">
        <v>51</v>
      </c>
      <c r="M17" s="132">
        <f t="shared" si="0"/>
        <v>53.856000000000002</v>
      </c>
      <c r="N17" s="133" t="str">
        <f>VLOOKUP(C17,'Trips&amp;Operators'!$C$1:$G$99911,5,FALSE)</f>
        <v>BERLING GARY</v>
      </c>
      <c r="O17" s="176" t="s">
        <v>179</v>
      </c>
      <c r="P17" s="134"/>
      <c r="Q17" s="30"/>
      <c r="R17" s="81" t="str">
        <f>VLOOKUP(C17,'Train Runs'!$A$13:$AE$9973,31,0)</f>
        <v>aws s3 cp s3://rtdc.mdm.uploadarchive.raw/RTDC4023/ "%USERPROFILE%\AppData\Local\Temp\OnboardLogs"\RTDC4023\2017-09-24 --exclude "*" --recursive --include "*20170924*" &amp; "%USERPROFILE%\Documents\GitHub\mrs-test-scripts\Headless Mode &amp; Sideloading\WalkAndUnGZ.bat" "%USERPROFILE%\AppData\Local\Temp\OnboardLogs"\RTDC4023\2017-09-24 &amp; aws s3 cp s3://rtdc.mdm.uploadarchive.raw/RTDC4023/ "%USERPROFILE%\AppData\Local\Temp\OnboardLogs"\RTDC4023\2017-09-25 --exclude "*" --recursive --include "*20170925*" &amp; "%USERPROFILE%\Documents\GitHub\mrs-test-scripts\Headless Mode &amp; Sideloading\WalkAndUnGZ.bat" "%USERPROFILE%\AppData\Local\Temp\OnboardLogs"\RTDC4023\2017-09-25</v>
      </c>
      <c r="S17" s="84" t="str">
        <f>VLOOKUP(C17,'Train Runs'!$A$13:$AE$9973,22,0)</f>
        <v>https://d0f6bd738d7f1b3e5a7ca70fe4ff75f0.us-east-1.aws.found.io/app/kibana#/discover/Steve-Slow-Train-Analysis-(2080s-and-2083s)?_g=(refreshInterval:(display:Off,pause:!f,section:0,value:0),time:(from:'2017-09-24T12:06:55-0600',mode:absolute,to:'2017-09-24T14:50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7" s="86" t="str">
        <f t="shared" si="1"/>
        <v>"C:\Program Files (x86)\AstroGrep\AstroGrep.exe" /e /r /s /spath="%USERPROFILE%\AppData\Local\Temp\OnboardLogs" /stypes="*4023*201709241*" /stext=" 19:.+((SYSTEM_STATE.+slice.+state.+changed )|(ment ac)|(multiple cpu faults)|(system.+state.+changed )|(\[timeout)|(PRM\|1\|D)|(kpr)|(kdp)|(train st.+moving)|(\|lc)|(penalty))"</v>
      </c>
      <c r="U17" s="9" t="str">
        <f t="shared" si="2"/>
        <v>4023</v>
      </c>
      <c r="V17" s="31">
        <f t="shared" si="3"/>
        <v>43002.826493055552</v>
      </c>
      <c r="W17" s="45" t="str">
        <f t="shared" si="4"/>
        <v>EC</v>
      </c>
      <c r="X17" s="22">
        <f t="shared" si="5"/>
        <v>170</v>
      </c>
      <c r="Y17" s="96" t="str">
        <f t="shared" si="6"/>
        <v>echo {"issue":{"subject":"","project_id":79,"tracker_id":40,"status_id":1,"priority_id":2,"assigned_to_id":338,"start_date":"2017-09-24","description":"","custom_fields":[{"id":1,"name":"Subdivision","value":"EC"},{"id":4,"name":"Milepost","value":"0.0001"},{"id":17,"name":"Train ID","value":"170-24"},{"id":16,"name":"Locomotive ID","value":"4023"},{"id":130,"name":"Impact","value":""},{"id":150,"name":"Time of Event (Mountain Time)","value":"13:50:09"},{"id":151,"name":"Denver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7" s="159"/>
      <c r="AA17" s="47"/>
      <c r="AB17" s="47"/>
      <c r="AC17" s="115" t="str">
        <f t="shared" si="7"/>
        <v>grep -hrE -A400 "Enforcement Action" /c/Users/stu/AppData/Local/Temp/OnboardLogs/RTDC4023 --include="*4023*201709241*"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"%USERPROFILE%\AppData\Local\Temp\OnboardLogs"\RTDC4023\*4023*201709241* &gt;&gt; 2017-09-24-SliceDisagreementCheck.txt</v>
      </c>
      <c r="AE17" s="145" t="str">
        <f t="shared" si="9"/>
        <v>start /low /b %USERPROFILE%\Documents\GitHub\eaglep3\Utilities\DownloadLogsFromS3.py --loco 4023 --day 2017-09-24</v>
      </c>
      <c r="AF17" s="1"/>
    </row>
    <row r="18" spans="1:32" x14ac:dyDescent="0.25">
      <c r="A18" s="31">
        <v>43002.660115740742</v>
      </c>
      <c r="B18" s="30" t="s">
        <v>464</v>
      </c>
      <c r="C18" s="30" t="s">
        <v>598</v>
      </c>
      <c r="D18" s="30" t="s">
        <v>49</v>
      </c>
      <c r="E18" s="30" t="s">
        <v>180</v>
      </c>
      <c r="F18" s="42">
        <v>0</v>
      </c>
      <c r="G18" s="42">
        <v>64</v>
      </c>
      <c r="H18" s="42">
        <v>201</v>
      </c>
      <c r="I18" s="42">
        <v>143</v>
      </c>
      <c r="J18" s="30" t="s">
        <v>181</v>
      </c>
      <c r="K18" s="42">
        <v>1</v>
      </c>
      <c r="L18" s="131" t="s">
        <v>51</v>
      </c>
      <c r="M18" s="132">
        <f t="shared" si="0"/>
        <v>74.975999999999999</v>
      </c>
      <c r="N18" s="133" t="str">
        <f>VLOOKUP(C18,'Trips&amp;Operators'!$C$1:$G$99911,5,FALSE)</f>
        <v>RESPASS AARON</v>
      </c>
      <c r="O18" s="176" t="s">
        <v>179</v>
      </c>
      <c r="P18" s="134"/>
      <c r="Q18" s="30"/>
      <c r="R18" s="81" t="str">
        <f>VLOOKUP(C18,'Train Runs'!$A$13:$AE$9973,31,0)</f>
        <v>aws s3 cp s3://rtdc.mdm.uploadarchive.raw/RTDC4063/ "%USERPROFILE%\AppData\Local\Temp\OnboardLogs"\RTDC4063\2017-09-24 --exclude "*" --recursive --include "*20170924*" &amp; "%USERPROFILE%\Documents\GitHub\mrs-test-scripts\Headless Mode &amp; Sideloading\WalkAndUnGZ.bat" "%USERPROFILE%\AppData\Local\Temp\OnboardLogs"\RTDC4063\2017-09-24 &amp; aws s3 cp s3://rtdc.mdm.uploadarchive.raw/RTDC4063/ "%USERPROFILE%\AppData\Local\Temp\OnboardLogs"\RTDC4063\2017-09-25 --exclude "*" --recursive --include "*20170925*" &amp; "%USERPROFILE%\Documents\GitHub\mrs-test-scripts\Headless Mode &amp; Sideloading\WalkAndUnGZ.bat" "%USERPROFILE%\AppData\Local\Temp\OnboardLogs"\RTDC4063\2017-09-25</v>
      </c>
      <c r="S18" s="84" t="str">
        <f>VLOOKUP(C18,'Train Runs'!$A$13:$AE$9973,22,0)</f>
        <v>https://d0f6bd738d7f1b3e5a7ca70fe4ff75f0.us-east-1.aws.found.io/app/kibana#/discover/Steve-Slow-Train-Analysis-(2080s-and-2083s)?_g=(refreshInterval:(display:Off,pause:!f,section:0,value:0),time:(from:'2017-09-24T13:08:44-0600',mode:absolute,to:'2017-09-24T16:50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8" s="86" t="str">
        <f t="shared" si="1"/>
        <v>"C:\Program Files (x86)\AstroGrep\AstroGrep.exe" /e /r /s /spath="%USERPROFILE%\AppData\Local\Temp\OnboardLogs" /stypes="*4063*201709242*" /stext=" 21:.+((SYSTEM_STATE.+slice.+state.+changed )|(ment ac)|(multiple cpu faults)|(system.+state.+changed )|(\[timeout)|(PRM\|1\|D)|(kpr)|(kdp)|(train st.+moving)|(\|lc)|(penalty))"</v>
      </c>
      <c r="U18" s="9" t="str">
        <f t="shared" si="2"/>
        <v>4063</v>
      </c>
      <c r="V18" s="31">
        <f t="shared" si="3"/>
        <v>43002.910115740742</v>
      </c>
      <c r="W18" s="45" t="str">
        <f t="shared" si="4"/>
        <v>EC</v>
      </c>
      <c r="X18" s="22">
        <f t="shared" si="5"/>
        <v>186</v>
      </c>
      <c r="Y18" s="96" t="str">
        <f t="shared" si="6"/>
        <v>echo {"issue":{"subject":"","project_id":79,"tracker_id":40,"status_id":1,"priority_id":2,"assigned_to_id":338,"start_date":"2017-09-24","description":"","custom_fields":[{"id":1,"name":"Subdivision","value":"EC"},{"id":4,"name":"Milepost","value":"0.0001"},{"id":17,"name":"Train ID","value":"186-24"},{"id":16,"name":"Locomotive ID","value":"4063"},{"id":130,"name":"Impact","value":""},{"id":150,"name":"Time of Event (Mountain Time)","value":"15:50:34"},{"id":151,"name":"Denver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8" s="159"/>
      <c r="AA18" s="47"/>
      <c r="AB18" s="47"/>
      <c r="AC18" s="115" t="str">
        <f t="shared" si="7"/>
        <v>grep -hrE -A400 "Enforcement Action" /c/Users/stu/AppData/Local/Temp/OnboardLogs/RTDC4063 --include="*4063*201709242*"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"%USERPROFILE%\AppData\Local\Temp\OnboardLogs"\RTDC4063\*4063*201709242* &gt;&gt; 2017-09-24-SliceDisagreementCheck.txt</v>
      </c>
      <c r="AE18" s="145" t="str">
        <f t="shared" si="9"/>
        <v>start /low /b %USERPROFILE%\Documents\GitHub\eaglep3\Utilities\DownloadLogsFromS3.py --loco 4063 --day 2017-09-24</v>
      </c>
      <c r="AF18" s="1"/>
    </row>
    <row r="19" spans="1:32" x14ac:dyDescent="0.25">
      <c r="A19" s="31">
        <v>43002.68136574074</v>
      </c>
      <c r="B19" s="30" t="s">
        <v>600</v>
      </c>
      <c r="C19" s="30" t="s">
        <v>601</v>
      </c>
      <c r="D19" s="30" t="s">
        <v>49</v>
      </c>
      <c r="E19" s="30" t="s">
        <v>180</v>
      </c>
      <c r="F19" s="42">
        <v>0</v>
      </c>
      <c r="G19" s="42">
        <v>99</v>
      </c>
      <c r="H19" s="42">
        <v>373</v>
      </c>
      <c r="I19" s="42">
        <v>245</v>
      </c>
      <c r="J19" s="30" t="s">
        <v>181</v>
      </c>
      <c r="K19" s="42">
        <v>1</v>
      </c>
      <c r="L19" s="131" t="s">
        <v>51</v>
      </c>
      <c r="M19" s="132">
        <f t="shared" si="0"/>
        <v>128.83199999999999</v>
      </c>
      <c r="N19" s="133" t="str">
        <f>VLOOKUP(C19,'Trips&amp;Operators'!$C$1:$G$99911,5,FALSE)</f>
        <v>DAVIS MICHAEL</v>
      </c>
      <c r="O19" s="176" t="s">
        <v>179</v>
      </c>
      <c r="P19" s="134"/>
      <c r="Q19" s="30"/>
      <c r="R19" s="81" t="str">
        <f>VLOOKUP(C19,'Train Runs'!$A$13:$AE$9973,31,0)</f>
        <v>aws s3 cp s3://rtdc.mdm.uploadarchive.raw/RTDC4045/ "%USERPROFILE%\AppData\Local\Temp\OnboardLogs"\RTDC4045\2017-09-24 --exclude "*" --recursive --include "*20170924*" &amp; "%USERPROFILE%\Documents\GitHub\mrs-test-scripts\Headless Mode &amp; Sideloading\WalkAndUnGZ.bat" "%USERPROFILE%\AppData\Local\Temp\OnboardLogs"\RTDC4045\2017-09-24 &amp; aws s3 cp s3://rtdc.mdm.uploadarchive.raw/RTDC4045/ "%USERPROFILE%\AppData\Local\Temp\OnboardLogs"\RTDC4045\2017-09-25 --exclude "*" --recursive --include "*20170925*" &amp; "%USERPROFILE%\Documents\GitHub\mrs-test-scripts\Headless Mode &amp; Sideloading\WalkAndUnGZ.bat" "%USERPROFILE%\AppData\Local\Temp\OnboardLogs"\RTDC4045\2017-09-25</v>
      </c>
      <c r="S19" s="84" t="str">
        <f>VLOOKUP(C19,'Train Runs'!$A$13:$AE$9973,22,0)</f>
        <v>https://d0f6bd738d7f1b3e5a7ca70fe4ff75f0.us-east-1.aws.found.io/app/kibana#/discover/Steve-Slow-Train-Analysis-(2080s-and-2083s)?_g=(refreshInterval:(display:Off,pause:!f,section:0,value:0),time:(from:'2017-09-24T14:38:38-0600',mode:absolute,to:'2017-09-24T17:21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9" s="86" t="str">
        <f t="shared" si="1"/>
        <v>"C:\Program Files (x86)\AstroGrep\AstroGrep.exe" /e /r /s /spath="%USERPROFILE%\AppData\Local\Temp\OnboardLogs" /stypes="*4045*201709242*" /stext=" 22:.+((SYSTEM_STATE.+slice.+state.+changed )|(ment ac)|(multiple cpu faults)|(system.+state.+changed )|(\[timeout)|(PRM\|1\|D)|(kpr)|(kdp)|(train st.+moving)|(\|lc)|(penalty))"</v>
      </c>
      <c r="U19" s="9" t="str">
        <f t="shared" si="2"/>
        <v>4045</v>
      </c>
      <c r="V19" s="31">
        <f t="shared" si="3"/>
        <v>43002.93136574074</v>
      </c>
      <c r="W19" s="45" t="str">
        <f t="shared" si="4"/>
        <v>EC</v>
      </c>
      <c r="X19" s="22">
        <f t="shared" si="5"/>
        <v>190</v>
      </c>
      <c r="Y19" s="96" t="str">
        <f t="shared" si="6"/>
        <v>echo {"issue":{"subject":"","project_id":79,"tracker_id":40,"status_id":1,"priority_id":2,"assigned_to_id":338,"start_date":"2017-09-24","description":"","custom_fields":[{"id":1,"name":"Subdivision","value":"EC"},{"id":4,"name":"Milepost","value":"0.0001"},{"id":17,"name":"Train ID","value":"190-24"},{"id":16,"name":"Locomotive ID","value":"4045"},{"id":130,"name":"Impact","value":""},{"id":150,"name":"Time of Event (Mountain Time)","value":"16:21:10"},{"id":151,"name":"Denver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19" s="159"/>
      <c r="AA19" s="47"/>
      <c r="AB19" s="47"/>
      <c r="AC19" s="115" t="str">
        <f t="shared" si="7"/>
        <v>grep -hrE -A400 "Enforcement Action" /c/Users/stu/AppData/Local/Temp/OnboardLogs/RTDC4045 --include="*4045*201709242*"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"%USERPROFILE%\AppData\Local\Temp\OnboardLogs"\RTDC4045\*4045*201709242* &gt;&gt; 2017-09-24-SliceDisagreementCheck.txt</v>
      </c>
      <c r="AE19" s="145" t="str">
        <f t="shared" si="9"/>
        <v>start /low /b %USERPROFILE%\Documents\GitHub\eaglep3\Utilities\DownloadLogsFromS3.py --loco 4045 --day 2017-09-24</v>
      </c>
      <c r="AF19" s="1"/>
    </row>
    <row r="20" spans="1:32" x14ac:dyDescent="0.25">
      <c r="A20" s="31">
        <v>43002.233981481484</v>
      </c>
      <c r="B20" s="30" t="s">
        <v>579</v>
      </c>
      <c r="C20" s="30" t="s">
        <v>580</v>
      </c>
      <c r="D20" s="30" t="s">
        <v>49</v>
      </c>
      <c r="E20" s="30" t="s">
        <v>180</v>
      </c>
      <c r="F20" s="42">
        <v>0</v>
      </c>
      <c r="G20" s="42">
        <v>157</v>
      </c>
      <c r="H20" s="42">
        <v>232721</v>
      </c>
      <c r="I20" s="42">
        <v>232980</v>
      </c>
      <c r="J20" s="30" t="s">
        <v>181</v>
      </c>
      <c r="K20" s="42">
        <v>233491</v>
      </c>
      <c r="L20" s="131" t="s">
        <v>50</v>
      </c>
      <c r="M20" s="132">
        <f t="shared" si="0"/>
        <v>269.80799999999999</v>
      </c>
      <c r="N20" s="133" t="str">
        <f>VLOOKUP(C20,'Trips&amp;Operators'!$C$1:$G$99911,5,FALSE)</f>
        <v>THOMPSON LESTER</v>
      </c>
      <c r="O20" s="176" t="s">
        <v>179</v>
      </c>
      <c r="P20" s="134"/>
      <c r="Q20" s="30"/>
      <c r="R20" s="81" t="str">
        <f>VLOOKUP(C20,'Train Runs'!$A$13:$AE$9973,31,0)</f>
        <v>aws s3 cp s3://rtdc.mdm.uploadarchive.raw/RTDC4066/ "%USERPROFILE%\AppData\Local\Temp\OnboardLogs"\RTDC4066\2017-09-24 --exclude "*" --recursive --include "*20170924*" &amp; "%USERPROFILE%\Documents\GitHub\mrs-test-scripts\Headless Mode &amp; Sideloading\WalkAndUnGZ.bat" "%USERPROFILE%\AppData\Local\Temp\OnboardLogs"\RTDC4066\2017-09-24 &amp; aws s3 cp s3://rtdc.mdm.uploadarchive.raw/RTDC4066/ "%USERPROFILE%\AppData\Local\Temp\OnboardLogs"\RTDC4066\2017-09-25 --exclude "*" --recursive --include "*20170925*" &amp; "%USERPROFILE%\Documents\GitHub\mrs-test-scripts\Headless Mode &amp; Sideloading\WalkAndUnGZ.bat" "%USERPROFILE%\AppData\Local\Temp\OnboardLogs"\RTDC4066\2017-09-25</v>
      </c>
      <c r="S20" s="84" t="str">
        <f>VLOOKUP(C20,'Train Runs'!$A$13:$AE$9973,22,0)</f>
        <v>https://d0f6bd738d7f1b3e5a7ca70fe4ff75f0.us-east-1.aws.found.io/app/kibana#/discover/Steve-Slow-Train-Analysis-(2080s-and-2083s)?_g=(refreshInterval:(display:Off,pause:!f,section:0,value:0),time:(from:'2017-09-24T03:56:36-0600',mode:absolute,to:'2017-09-24T06:37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20" s="86" t="str">
        <f t="shared" si="1"/>
        <v>"C:\Program Files (x86)\AstroGrep\AstroGrep.exe" /e /r /s /spath="%USERPROFILE%\AppData\Local\Temp\OnboardLogs" /stypes="*4066*201709241*" /stext=" 11:.+((SYSTEM_STATE.+slice.+state.+changed )|(ment ac)|(multiple cpu faults)|(system.+state.+changed )|(\[timeout)|(PRM\|1\|D)|(kpr)|(kdp)|(train st.+moving)|(\|lc)|(penalty))"</v>
      </c>
      <c r="U20" s="9" t="str">
        <f t="shared" si="2"/>
        <v>4066</v>
      </c>
      <c r="V20" s="31">
        <f t="shared" si="3"/>
        <v>43002.483981481484</v>
      </c>
      <c r="W20" s="45" t="str">
        <f t="shared" si="4"/>
        <v>EC</v>
      </c>
      <c r="X20" s="22">
        <f t="shared" si="5"/>
        <v>111</v>
      </c>
      <c r="Y20" s="96" t="str">
        <f t="shared" si="6"/>
        <v>echo {"issue":{"subject":"","project_id":79,"tracker_id":40,"status_id":1,"priority_id":2,"assigned_to_id":338,"start_date":"2017-09-24","description":"","custom_fields":[{"id":1,"name":"Subdivision","value":"EC"},{"id":4,"name":"Milepost","value":"23.3491"},{"id":17,"name":"Train ID","value":"111-24"},{"id":16,"name":"Locomotive ID","value":"4066"},{"id":130,"name":"Impact","value":""},{"id":150,"name":"Time of Event (Mountain Time)","value":"05:36:56"},{"id":151,"name":"Denver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0" s="159"/>
      <c r="AA20" s="47"/>
      <c r="AB20" s="47"/>
      <c r="AC20" s="115" t="str">
        <f t="shared" si="7"/>
        <v>grep -hrE -A400 "Enforcement Action" /c/Users/stu/AppData/Local/Temp/OnboardLogs/RTDC4066 --include="*4066*201709241*"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"%USERPROFILE%\AppData\Local\Temp\OnboardLogs"\RTDC4066\*4066*201709241* &gt;&gt; 2017-09-24-SliceDisagreementCheck.txt</v>
      </c>
      <c r="AE20" s="145" t="str">
        <f t="shared" si="9"/>
        <v>start /low /b %USERPROFILE%\Documents\GitHub\eaglep3\Utilities\DownloadLogsFromS3.py --loco 4066 --day 2017-09-24</v>
      </c>
      <c r="AF20" s="1"/>
    </row>
    <row r="21" spans="1:32" x14ac:dyDescent="0.25">
      <c r="A21" s="31">
        <v>43002.306759259256</v>
      </c>
      <c r="B21" s="30" t="s">
        <v>579</v>
      </c>
      <c r="C21" s="30" t="s">
        <v>584</v>
      </c>
      <c r="D21" s="30" t="s">
        <v>49</v>
      </c>
      <c r="E21" s="30" t="s">
        <v>180</v>
      </c>
      <c r="F21" s="42">
        <v>0</v>
      </c>
      <c r="G21" s="42">
        <v>85</v>
      </c>
      <c r="H21" s="42">
        <v>233259</v>
      </c>
      <c r="I21" s="42">
        <v>233340</v>
      </c>
      <c r="J21" s="30" t="s">
        <v>181</v>
      </c>
      <c r="K21" s="42">
        <v>233491</v>
      </c>
      <c r="L21" s="131" t="s">
        <v>50</v>
      </c>
      <c r="M21" s="132">
        <f t="shared" si="0"/>
        <v>79.727999999999994</v>
      </c>
      <c r="N21" s="133" t="str">
        <f>VLOOKUP(C21,'Trips&amp;Operators'!$C$1:$G$99911,5,FALSE)</f>
        <v>THOMPSON LESTER</v>
      </c>
      <c r="O21" s="176" t="s">
        <v>179</v>
      </c>
      <c r="P21" s="134"/>
      <c r="Q21" s="30"/>
      <c r="R21" s="81" t="str">
        <f>VLOOKUP(C21,'Train Runs'!$A$13:$AE$9973,31,0)</f>
        <v>aws s3 cp s3://rtdc.mdm.uploadarchive.raw/RTDC4066/ "%USERPROFILE%\AppData\Local\Temp\OnboardLogs"\RTDC4066\2017-09-24 --exclude "*" --recursive --include "*20170924*" &amp; "%USERPROFILE%\Documents\GitHub\mrs-test-scripts\Headless Mode &amp; Sideloading\WalkAndUnGZ.bat" "%USERPROFILE%\AppData\Local\Temp\OnboardLogs"\RTDC4066\2017-09-24 &amp; aws s3 cp s3://rtdc.mdm.uploadarchive.raw/RTDC4066/ "%USERPROFILE%\AppData\Local\Temp\OnboardLogs"\RTDC4066\2017-09-25 --exclude "*" --recursive --include "*20170925*" &amp; "%USERPROFILE%\Documents\GitHub\mrs-test-scripts\Headless Mode &amp; Sideloading\WalkAndUnGZ.bat" "%USERPROFILE%\AppData\Local\Temp\OnboardLogs"\RTDC4066\2017-09-25</v>
      </c>
      <c r="S21" s="84" t="str">
        <f>VLOOKUP(C21,'Train Runs'!$A$13:$AE$9973,22,0)</f>
        <v>https://d0f6bd738d7f1b3e5a7ca70fe4ff75f0.us-east-1.aws.found.io/app/kibana#/discover/Steve-Slow-Train-Analysis-(2080s-and-2083s)?_g=(refreshInterval:(display:Off,pause:!f,section:0,value:0),time:(from:'2017-09-24T05:41:13-0600',mode:absolute,to:'2017-09-24T08:21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21" s="86" t="str">
        <f t="shared" si="1"/>
        <v>"C:\Program Files (x86)\AstroGrep\AstroGrep.exe" /e /r /s /spath="%USERPROFILE%\AppData\Local\Temp\OnboardLogs" /stypes="*4066*201709241*" /stext=" 13:.+((SYSTEM_STATE.+slice.+state.+changed )|(ment ac)|(multiple cpu faults)|(system.+state.+changed )|(\[timeout)|(PRM\|1\|D)|(kpr)|(kdp)|(train st.+moving)|(\|lc)|(penalty))"</v>
      </c>
      <c r="U21" s="9" t="str">
        <f t="shared" si="2"/>
        <v>4066</v>
      </c>
      <c r="V21" s="31">
        <f t="shared" si="3"/>
        <v>43002.556759259256</v>
      </c>
      <c r="W21" s="45" t="str">
        <f t="shared" si="4"/>
        <v>EC</v>
      </c>
      <c r="X21" s="22">
        <f t="shared" si="5"/>
        <v>125</v>
      </c>
      <c r="Y21" s="96" t="str">
        <f t="shared" si="6"/>
        <v>echo {"issue":{"subject":"","project_id":79,"tracker_id":40,"status_id":1,"priority_id":2,"assigned_to_id":338,"start_date":"2017-09-24","description":"","custom_fields":[{"id":1,"name":"Subdivision","value":"EC"},{"id":4,"name":"Milepost","value":"23.3491"},{"id":17,"name":"Train ID","value":"125-24"},{"id":16,"name":"Locomotive ID","value":"4066"},{"id":130,"name":"Impact","value":""},{"id":150,"name":"Time of Event (Mountain Time)","value":"07:21:44"},{"id":151,"name":"Denver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1" s="159"/>
      <c r="AA21" s="47"/>
      <c r="AB21" s="47"/>
      <c r="AC21" s="115" t="str">
        <f t="shared" si="7"/>
        <v>grep -hrE -A400 "Enforcement Action" /c/Users/stu/AppData/Local/Temp/OnboardLogs/RTDC4066 --include="*4066*201709241*"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"%USERPROFILE%\AppData\Local\Temp\OnboardLogs"\RTDC4066\*4066*201709241* &gt;&gt; 2017-09-24-SliceDisagreementCheck.txt</v>
      </c>
      <c r="AE21" s="145" t="str">
        <f t="shared" si="9"/>
        <v>start /low /b %USERPROFILE%\Documents\GitHub\eaglep3\Utilities\DownloadLogsFromS3.py --loco 4066 --day 2017-09-24</v>
      </c>
      <c r="AF21" s="1"/>
    </row>
    <row r="22" spans="1:32" x14ac:dyDescent="0.25">
      <c r="A22" s="31">
        <v>43002.378877314812</v>
      </c>
      <c r="B22" s="30" t="s">
        <v>579</v>
      </c>
      <c r="C22" s="30" t="s">
        <v>587</v>
      </c>
      <c r="D22" s="30" t="s">
        <v>49</v>
      </c>
      <c r="E22" s="30" t="s">
        <v>180</v>
      </c>
      <c r="F22" s="42">
        <v>0</v>
      </c>
      <c r="G22" s="42">
        <v>73</v>
      </c>
      <c r="H22" s="42">
        <v>233220</v>
      </c>
      <c r="I22" s="42">
        <v>233312</v>
      </c>
      <c r="J22" s="30" t="s">
        <v>181</v>
      </c>
      <c r="K22" s="42">
        <v>233491</v>
      </c>
      <c r="L22" s="131" t="s">
        <v>50</v>
      </c>
      <c r="M22" s="132">
        <f t="shared" si="0"/>
        <v>94.512</v>
      </c>
      <c r="N22" s="133" t="str">
        <f>VLOOKUP(C22,'Trips&amp;Operators'!$C$1:$G$99911,5,FALSE)</f>
        <v>THOMPSON LESTER</v>
      </c>
      <c r="O22" s="176" t="s">
        <v>179</v>
      </c>
      <c r="P22" s="134"/>
      <c r="Q22" s="30"/>
      <c r="R22" s="81" t="str">
        <f>VLOOKUP(C22,'Train Runs'!$A$13:$AE$9973,31,0)</f>
        <v>aws s3 cp s3://rtdc.mdm.uploadarchive.raw/RTDC4066/ "%USERPROFILE%\AppData\Local\Temp\OnboardLogs"\RTDC4066\2017-09-24 --exclude "*" --recursive --include "*20170924*" &amp; "%USERPROFILE%\Documents\GitHub\mrs-test-scripts\Headless Mode &amp; Sideloading\WalkAndUnGZ.bat" "%USERPROFILE%\AppData\Local\Temp\OnboardLogs"\RTDC4066\2017-09-24 &amp; aws s3 cp s3://rtdc.mdm.uploadarchive.raw/RTDC4066/ "%USERPROFILE%\AppData\Local\Temp\OnboardLogs"\RTDC4066\2017-09-25 --exclude "*" --recursive --include "*20170925*" &amp; "%USERPROFILE%\Documents\GitHub\mrs-test-scripts\Headless Mode &amp; Sideloading\WalkAndUnGZ.bat" "%USERPROFILE%\AppData\Local\Temp\OnboardLogs"\RTDC4066\2017-09-25</v>
      </c>
      <c r="S22" s="84" t="str">
        <f>VLOOKUP(C22,'Train Runs'!$A$13:$AE$9973,22,0)</f>
        <v>https://d0f6bd738d7f1b3e5a7ca70fe4ff75f0.us-east-1.aws.found.io/app/kibana#/discover/Steve-Slow-Train-Analysis-(2080s-and-2083s)?_g=(refreshInterval:(display:Off,pause:!f,section:0,value:0),time:(from:'2017-09-24T07:27:20-0600',mode:absolute,to:'2017-09-24T10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22" s="86" t="str">
        <f t="shared" si="1"/>
        <v>"C:\Program Files (x86)\AstroGrep\AstroGrep.exe" /e /r /s /spath="%USERPROFILE%\AppData\Local\Temp\OnboardLogs" /stypes="*4066*201709241*" /stext=" 15:.+((SYSTEM_STATE.+slice.+state.+changed )|(ment ac)|(multiple cpu faults)|(system.+state.+changed )|(\[timeout)|(PRM\|1\|D)|(kpr)|(kdp)|(train st.+moving)|(\|lc)|(penalty))"</v>
      </c>
      <c r="U22" s="9" t="str">
        <f t="shared" si="2"/>
        <v>4066</v>
      </c>
      <c r="V22" s="31">
        <f t="shared" si="3"/>
        <v>43002.628877314812</v>
      </c>
      <c r="W22" s="45" t="str">
        <f t="shared" si="4"/>
        <v>EC</v>
      </c>
      <c r="X22" s="22">
        <f t="shared" si="5"/>
        <v>139</v>
      </c>
      <c r="Y22" s="96" t="str">
        <f t="shared" si="6"/>
        <v>echo {"issue":{"subject":"","project_id":79,"tracker_id":40,"status_id":1,"priority_id":2,"assigned_to_id":338,"start_date":"2017-09-24","description":"","custom_fields":[{"id":1,"name":"Subdivision","value":"EC"},{"id":4,"name":"Milepost","value":"23.3491"},{"id":17,"name":"Train ID","value":"139-24"},{"id":16,"name":"Locomotive ID","value":"4066"},{"id":130,"name":"Impact","value":""},{"id":150,"name":"Time of Event (Mountain Time)","value":"09:05:35"},{"id":151,"name":"Denver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2" s="159"/>
      <c r="AA22" s="47"/>
      <c r="AB22" s="47"/>
      <c r="AC22" s="115" t="str">
        <f t="shared" si="7"/>
        <v>grep -hrE -A400 "Enforcement Action" /c/Users/stu/AppData/Local/Temp/OnboardLogs/RTDC4066 --include="*4066*201709241*"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"%USERPROFILE%\AppData\Local\Temp\OnboardLogs"\RTDC4066\*4066*201709241* &gt;&gt; 2017-09-24-SliceDisagreementCheck.txt</v>
      </c>
      <c r="AE22" s="145" t="str">
        <f t="shared" si="9"/>
        <v>start /low /b %USERPROFILE%\Documents\GitHub\eaglep3\Utilities\DownloadLogsFromS3.py --loco 4066 --day 2017-09-24</v>
      </c>
      <c r="AF22" s="1"/>
    </row>
    <row r="23" spans="1:32" x14ac:dyDescent="0.25">
      <c r="A23" s="31">
        <v>43002.743483796294</v>
      </c>
      <c r="B23" s="30" t="s">
        <v>579</v>
      </c>
      <c r="C23" s="30" t="s">
        <v>602</v>
      </c>
      <c r="D23" s="30" t="s">
        <v>49</v>
      </c>
      <c r="E23" s="30" t="s">
        <v>180</v>
      </c>
      <c r="F23" s="42">
        <v>0</v>
      </c>
      <c r="G23" s="42">
        <v>51</v>
      </c>
      <c r="H23" s="42">
        <v>233319</v>
      </c>
      <c r="I23" s="42">
        <v>233366</v>
      </c>
      <c r="J23" s="30" t="s">
        <v>181</v>
      </c>
      <c r="K23" s="42">
        <v>233491</v>
      </c>
      <c r="L23" s="131" t="s">
        <v>50</v>
      </c>
      <c r="M23" s="132">
        <f t="shared" si="0"/>
        <v>66</v>
      </c>
      <c r="N23" s="133" t="str">
        <f>VLOOKUP(C23,'Trips&amp;Operators'!$C$1:$G$99911,5,FALSE)</f>
        <v>STAMBAUGH JAMES</v>
      </c>
      <c r="O23" s="176" t="s">
        <v>179</v>
      </c>
      <c r="P23" s="134"/>
      <c r="Q23" s="30"/>
      <c r="R23" s="81" t="str">
        <f>VLOOKUP(C23,'Train Runs'!$A$13:$AE$9973,31,0)</f>
        <v>aws s3 cp s3://rtdc.mdm.uploadarchive.raw/RTDC4066/ "%USERPROFILE%\AppData\Local\Temp\OnboardLogs"\RTDC4066\2017-09-24 --exclude "*" --recursive --include "*20170924*" &amp; "%USERPROFILE%\Documents\GitHub\mrs-test-scripts\Headless Mode &amp; Sideloading\WalkAndUnGZ.bat" "%USERPROFILE%\AppData\Local\Temp\OnboardLogs"\RTDC4066\2017-09-24 &amp; aws s3 cp s3://rtdc.mdm.uploadarchive.raw/RTDC4066/ "%USERPROFILE%\AppData\Local\Temp\OnboardLogs"\RTDC4066\2017-09-25 --exclude "*" --recursive --include "*20170925*" &amp; "%USERPROFILE%\Documents\GitHub\mrs-test-scripts\Headless Mode &amp; Sideloading\WalkAndUnGZ.bat" "%USERPROFILE%\AppData\Local\Temp\OnboardLogs"\RTDC4066\2017-09-25</v>
      </c>
      <c r="S23" s="84" t="str">
        <f>VLOOKUP(C23,'Train Runs'!$A$13:$AE$9973,22,0)</f>
        <v>https://d0f6bd738d7f1b3e5a7ca70fe4ff75f0.us-east-1.aws.found.io/app/kibana#/discover/Steve-Slow-Train-Analysis-(2080s-and-2083s)?_g=(refreshInterval:(display:Off,pause:!f,section:0,value:0),time:(from:'2017-09-24T16:09:25-0600',mode:absolute,to:'2017-09-24T18:50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23" s="86" t="str">
        <f t="shared" si="1"/>
        <v>"C:\Program Files (x86)\AstroGrep\AstroGrep.exe" /e /r /s /spath="%USERPROFILE%\AppData\Local\Temp\OnboardLogs" /stypes="*4066*201709242*" /stext=" 23:.+((SYSTEM_STATE.+slice.+state.+changed )|(ment ac)|(multiple cpu faults)|(system.+state.+changed )|(\[timeout)|(PRM\|1\|D)|(kpr)|(kdp)|(train st.+moving)|(\|lc)|(penalty))"</v>
      </c>
      <c r="U23" s="9" t="str">
        <f t="shared" si="2"/>
        <v>4066</v>
      </c>
      <c r="V23" s="31">
        <f t="shared" si="3"/>
        <v>43002.993483796294</v>
      </c>
      <c r="W23" s="45" t="str">
        <f t="shared" si="4"/>
        <v>EC</v>
      </c>
      <c r="X23" s="22">
        <f t="shared" si="5"/>
        <v>209</v>
      </c>
      <c r="Y23" s="96" t="str">
        <f t="shared" si="6"/>
        <v>echo {"issue":{"subject":"","project_id":79,"tracker_id":40,"status_id":1,"priority_id":2,"assigned_to_id":338,"start_date":"2017-09-24","description":"","custom_fields":[{"id":1,"name":"Subdivision","value":"EC"},{"id":4,"name":"Milepost","value":"23.3491"},{"id":17,"name":"Train ID","value":"209-24"},{"id":16,"name":"Locomotive ID","value":"4066"},{"id":130,"name":"Impact","value":""},{"id":150,"name":"Time of Event (Mountain Time)","value":"17:50:37"},{"id":151,"name":"Denver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3" s="159"/>
      <c r="AA23" s="47"/>
      <c r="AB23" s="47"/>
      <c r="AC23" s="115" t="str">
        <f t="shared" si="7"/>
        <v>grep -hrE -A400 "Enforcement Action" /c/Users/stu/AppData/Local/Temp/OnboardLogs/RTDC4066 --include="*4066*201709242*" | grep -E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"%USERPROFILE%\AppData\Local\Temp\OnboardLogs"\RTDC4066\*4066*201709242* &gt;&gt; 2017-09-24-SliceDisagreementCheck.txt</v>
      </c>
      <c r="AE23" s="145" t="str">
        <f t="shared" si="9"/>
        <v>start /low /b %USERPROFILE%\Documents\GitHub\eaglep3\Utilities\DownloadLogsFromS3.py --loco 4066 --day 2017-09-24</v>
      </c>
      <c r="AF23" s="1"/>
    </row>
    <row r="24" spans="1:32" x14ac:dyDescent="0.25">
      <c r="A24" s="31">
        <v>43002.816319444442</v>
      </c>
      <c r="B24" s="30" t="s">
        <v>579</v>
      </c>
      <c r="C24" s="30" t="s">
        <v>606</v>
      </c>
      <c r="D24" s="30" t="s">
        <v>49</v>
      </c>
      <c r="E24" s="30" t="s">
        <v>180</v>
      </c>
      <c r="F24" s="42">
        <v>0</v>
      </c>
      <c r="G24" s="42">
        <v>36</v>
      </c>
      <c r="H24" s="42">
        <v>233363</v>
      </c>
      <c r="I24" s="42">
        <v>233410</v>
      </c>
      <c r="J24" s="30" t="s">
        <v>181</v>
      </c>
      <c r="K24" s="42">
        <v>233491</v>
      </c>
      <c r="L24" s="131" t="s">
        <v>50</v>
      </c>
      <c r="M24" s="132">
        <f t="shared" si="0"/>
        <v>42.768000000000001</v>
      </c>
      <c r="N24" s="133" t="str">
        <f>VLOOKUP(C24,'Trips&amp;Operators'!$C$1:$G$99911,5,FALSE)</f>
        <v>STAMBAUGH JAMES</v>
      </c>
      <c r="O24" s="176" t="s">
        <v>179</v>
      </c>
      <c r="P24" s="134"/>
      <c r="Q24" s="30"/>
      <c r="R24" s="81" t="str">
        <f>VLOOKUP(C24,'Train Runs'!$A$13:$AE$9973,31,0)</f>
        <v>aws s3 cp s3://rtdc.mdm.uploadarchive.raw/RTDC4066/ "%USERPROFILE%\AppData\Local\Temp\OnboardLogs"\RTDC4066\2017-09-24 --exclude "*" --recursive --include "*20170924*" &amp; "%USERPROFILE%\Documents\GitHub\mrs-test-scripts\Headless Mode &amp; Sideloading\WalkAndUnGZ.bat" "%USERPROFILE%\AppData\Local\Temp\OnboardLogs"\RTDC4066\2017-09-24 &amp; aws s3 cp s3://rtdc.mdm.uploadarchive.raw/RTDC4066/ "%USERPROFILE%\AppData\Local\Temp\OnboardLogs"\RTDC4066\2017-09-25 --exclude "*" --recursive --include "*20170925*" &amp; "%USERPROFILE%\Documents\GitHub\mrs-test-scripts\Headless Mode &amp; Sideloading\WalkAndUnGZ.bat" "%USERPROFILE%\AppData\Local\Temp\OnboardLogs"\RTDC4066\2017-09-25</v>
      </c>
      <c r="S24" s="84" t="str">
        <f>VLOOKUP(C24,'Train Runs'!$A$13:$AE$9973,22,0)</f>
        <v>https://d0f6bd738d7f1b3e5a7ca70fe4ff75f0.us-east-1.aws.found.io/app/kibana#/discover/Steve-Slow-Train-Analysis-(2080s-and-2083s)?_g=(refreshInterval:(display:Off,pause:!f,section:0,value:0),time:(from:'2017-09-24T17:54:27-0600',mode:absolute,to:'2017-09-24T20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24" s="86" t="str">
        <f t="shared" si="1"/>
        <v>"C:\Program Files (x86)\AstroGrep\AstroGrep.exe" /e /r /s /spath="%USERPROFILE%\AppData\Local\Temp\OnboardLogs" /stypes="*4066*201709250*" /stext=" 01:.+((SYSTEM_STATE.+slice.+state.+changed )|(ment ac)|(multiple cpu faults)|(system.+state.+changed )|(\[timeout)|(PRM\|1\|D)|(kpr)|(kdp)|(train st.+moving)|(\|lc)|(penalty))"</v>
      </c>
      <c r="U24" s="9" t="str">
        <f t="shared" si="2"/>
        <v>4066</v>
      </c>
      <c r="V24" s="31">
        <f t="shared" si="3"/>
        <v>43003.066319444442</v>
      </c>
      <c r="W24" s="45" t="str">
        <f t="shared" si="4"/>
        <v>EC</v>
      </c>
      <c r="X24" s="22">
        <f t="shared" si="5"/>
        <v>221</v>
      </c>
      <c r="Y24" s="96" t="str">
        <f t="shared" si="6"/>
        <v>echo {"issue":{"subject":"","project_id":79,"tracker_id":40,"status_id":1,"priority_id":2,"assigned_to_id":338,"start_date":"2017-09-24","description":"","custom_fields":[{"id":1,"name":"Subdivision","value":"EC"},{"id":4,"name":"Milepost","value":"23.3491"},{"id":17,"name":"Train ID","value":"221-24"},{"id":16,"name":"Locomotive ID","value":"4066"},{"id":130,"name":"Impact","value":""},{"id":150,"name":"Time of Event (Mountain Time)","value":"19:35:30"},{"id":151,"name":"Denver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4" s="159"/>
      <c r="AA24" s="47"/>
      <c r="AB24" s="47"/>
      <c r="AC24" s="115" t="str">
        <f t="shared" si="7"/>
        <v>grep -hrE -A400 "Enforcement Action" /c/Users/stu/AppData/Local/Temp/OnboardLogs/RTDC4066 --include="*4066*201709250*" | grep -E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"%USERPROFILE%\AppData\Local\Temp\OnboardLogs"\RTDC4066\*4066*201709250* &gt;&gt; 2017-09-24-SliceDisagreementCheck.txt</v>
      </c>
      <c r="AE24" s="145" t="str">
        <f t="shared" si="9"/>
        <v>start /low /b %USERPROFILE%\Documents\GitHub\eaglep3\Utilities\DownloadLogsFromS3.py --loco 4066 --day 2017-09-25</v>
      </c>
      <c r="AF24" s="1"/>
    </row>
    <row r="25" spans="1:32" x14ac:dyDescent="0.25">
      <c r="A25" s="31">
        <v>43002.983703703707</v>
      </c>
      <c r="B25" s="30" t="s">
        <v>579</v>
      </c>
      <c r="C25" s="30" t="s">
        <v>610</v>
      </c>
      <c r="D25" s="30" t="s">
        <v>49</v>
      </c>
      <c r="E25" s="30" t="s">
        <v>180</v>
      </c>
      <c r="F25" s="42">
        <v>0</v>
      </c>
      <c r="G25" s="42">
        <v>32</v>
      </c>
      <c r="H25" s="42">
        <v>233385</v>
      </c>
      <c r="I25" s="42">
        <v>233404</v>
      </c>
      <c r="J25" s="30" t="s">
        <v>181</v>
      </c>
      <c r="K25" s="42">
        <v>233491</v>
      </c>
      <c r="L25" s="131" t="s">
        <v>50</v>
      </c>
      <c r="M25" s="132">
        <f t="shared" si="0"/>
        <v>45.936</v>
      </c>
      <c r="N25" s="133" t="str">
        <f>VLOOKUP(C25,'Trips&amp;Operators'!$C$1:$G$99911,5,FALSE)</f>
        <v>STAMBAUGH JAMES</v>
      </c>
      <c r="O25" s="176" t="s">
        <v>179</v>
      </c>
      <c r="P25" s="134"/>
      <c r="Q25" s="30"/>
      <c r="R25" s="81" t="str">
        <f>VLOOKUP(C25,'Train Runs'!$A$13:$AE$9973,31,0)</f>
        <v>aws s3 cp s3://rtdc.mdm.uploadarchive.raw/RTDC4066/ "%USERPROFILE%\AppData\Local\Temp\OnboardLogs"\RTDC4066\2017-09-24 --exclude "*" --recursive --include "*20170924*" &amp; "%USERPROFILE%\Documents\GitHub\mrs-test-scripts\Headless Mode &amp; Sideloading\WalkAndUnGZ.bat" "%USERPROFILE%\AppData\Local\Temp\OnboardLogs"\RTDC4066\2017-09-24 &amp; aws s3 cp s3://rtdc.mdm.uploadarchive.raw/RTDC4066/ "%USERPROFILE%\AppData\Local\Temp\OnboardLogs"\RTDC4066\2017-09-25 --exclude "*" --recursive --include "*20170925*" &amp; "%USERPROFILE%\Documents\GitHub\mrs-test-scripts\Headless Mode &amp; Sideloading\WalkAndUnGZ.bat" "%USERPROFILE%\AppData\Local\Temp\OnboardLogs"\RTDC4066\2017-09-25</v>
      </c>
      <c r="S25" s="84" t="str">
        <f>VLOOKUP(C25,'Train Runs'!$A$13:$AE$9973,22,0)</f>
        <v>https://d0f6bd738d7f1b3e5a7ca70fe4ff75f0.us-east-1.aws.found.io/app/kibana#/discover/Steve-Slow-Train-Analysis-(2080s-and-2083s)?_g=(refreshInterval:(display:Off,pause:!f,section:0,value:0),time:(from:'2017-09-24T21:51:31-0600',mode:absolute,to:'2017-09-25T00:36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4066%22')),sort:!(Time.ISO8601,asc))</v>
      </c>
      <c r="T25" s="86" t="str">
        <f t="shared" si="1"/>
        <v>"C:\Program Files (x86)\AstroGrep\AstroGrep.exe" /e /r /s /spath="%USERPROFILE%\AppData\Local\Temp\OnboardLogs" /stypes="*4066*201709250*" /stext=" 05:.+((SYSTEM_STATE.+slice.+state.+changed )|(ment ac)|(multiple cpu faults)|(system.+state.+changed )|(\[timeout)|(PRM\|1\|D)|(kpr)|(kdp)|(train st.+moving)|(\|lc)|(penalty))"</v>
      </c>
      <c r="U25" s="9" t="str">
        <f t="shared" si="2"/>
        <v>4066</v>
      </c>
      <c r="V25" s="31">
        <f t="shared" si="3"/>
        <v>43003.233703703707</v>
      </c>
      <c r="W25" s="45" t="str">
        <f t="shared" si="4"/>
        <v>EC</v>
      </c>
      <c r="X25" s="22">
        <f t="shared" si="5"/>
        <v>237</v>
      </c>
      <c r="Y25" s="96" t="str">
        <f t="shared" si="6"/>
        <v>echo {"issue":{"subject":"","project_id":79,"tracker_id":40,"status_id":1,"priority_id":2,"assigned_to_id":338,"start_date":"2017-09-24","description":"","custom_fields":[{"id":1,"name":"Subdivision","value":"EC"},{"id":4,"name":"Milepost","value":"23.3491"},{"id":17,"name":"Train ID","value":"237-24"},{"id":16,"name":"Locomotive ID","value":"4066"},{"id":130,"name":"Impact","value":""},{"id":150,"name":"Time of Event (Mountain Time)","value":"23:36:32"},{"id":151,"name":"Denver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5" s="159"/>
      <c r="AA25" s="47"/>
      <c r="AB25" s="47"/>
      <c r="AC25" s="115" t="str">
        <f t="shared" si="7"/>
        <v>grep -hrE -A400 "Enforcement Action" /c/Users/stu/AppData/Local/Temp/OnboardLogs/RTDC4066 --include="*4066*201709250*" | grep -E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"%USERPROFILE%\AppData\Local\Temp\OnboardLogs"\RTDC4066\*4066*201709250* &gt;&gt; 2017-09-24-SliceDisagreementCheck.txt</v>
      </c>
      <c r="AE25" s="145" t="str">
        <f t="shared" si="9"/>
        <v>start /low /b %USERPROFILE%\Documents\GitHub\eaglep3\Utilities\DownloadLogsFromS3.py --loco 4066 --day 2017-09-25</v>
      </c>
      <c r="AF25" s="1"/>
    </row>
    <row r="26" spans="1:32" x14ac:dyDescent="0.25">
      <c r="A26" s="31">
        <v>43002.829421296294</v>
      </c>
      <c r="B26" s="30" t="s">
        <v>581</v>
      </c>
      <c r="C26" s="30" t="s">
        <v>607</v>
      </c>
      <c r="D26" s="30" t="s">
        <v>49</v>
      </c>
      <c r="E26" s="30" t="s">
        <v>186</v>
      </c>
      <c r="F26" s="42">
        <v>0</v>
      </c>
      <c r="G26" s="42">
        <v>288</v>
      </c>
      <c r="H26" s="42">
        <v>11138</v>
      </c>
      <c r="I26" s="42">
        <v>10359</v>
      </c>
      <c r="J26" s="30" t="s">
        <v>187</v>
      </c>
      <c r="K26" s="42">
        <v>10988</v>
      </c>
      <c r="L26" s="131" t="s">
        <v>51</v>
      </c>
      <c r="M26" s="132">
        <f t="shared" si="0"/>
        <v>-332.11200000000002</v>
      </c>
      <c r="N26" s="133" t="str">
        <f>VLOOKUP(C26,'Trips&amp;Operators'!$C$1:$G$99911,5,FALSE)</f>
        <v>HOLCOMB KAMDEN</v>
      </c>
      <c r="O26" s="176" t="s">
        <v>179</v>
      </c>
      <c r="P26" s="134" t="s">
        <v>365</v>
      </c>
      <c r="Q26" s="30"/>
      <c r="R26" s="81" t="str">
        <f>VLOOKUP(C26,'Train Runs'!$A$13:$AE$9973,31,0)</f>
        <v>aws s3 cp s3://rtdc.mdm.uploadarchive.raw/RTDC4049/ "%USERPROFILE%\AppData\Local\Temp\OnboardLogs"\RTDC4049\2017-09-24 --exclude "*" --recursive --include "*20170924*" &amp; "%USERPROFILE%\Documents\GitHub\mrs-test-scripts\Headless Mode &amp; Sideloading\WalkAndUnGZ.bat" "%USERPROFILE%\AppData\Local\Temp\OnboardLogs"\RTDC4049\2017-09-24 &amp; 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</v>
      </c>
      <c r="S26" s="84" t="str">
        <f>VLOOKUP(C26,'Train Runs'!$A$13:$AE$9973,22,0)</f>
        <v>https://d0f6bd738d7f1b3e5a7ca70fe4ff75f0.us-east-1.aws.found.io/app/kibana#/discover/Steve-Slow-Train-Analysis-(2080s-and-2083s)?_g=(refreshInterval:(display:Off,pause:!f,section:0,value:0),time:(from:'2017-09-24T18:43:17-0600',mode:absolute,to:'2017-09-24T20:59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6" s="86" t="str">
        <f t="shared" si="1"/>
        <v>"C:\Program Files (x86)\AstroGrep\AstroGrep.exe" /e /r /s /spath="%USERPROFILE%\AppData\Local\Temp\OnboardLogs" /stypes="*4049*201709250*" /stext=" 01:.+((SYSTEM_STATE.+slice.+state.+changed )|(ment ac)|(multiple cpu faults)|(system.+state.+changed )|(\[timeout)|(PRM\|1\|D)|(kpr)|(kdp)|(train st.+moving)|(\|lc)|(penalty))"</v>
      </c>
      <c r="U26" s="9" t="str">
        <f t="shared" si="2"/>
        <v>4049</v>
      </c>
      <c r="V26" s="31">
        <f t="shared" si="3"/>
        <v>43003.079421296294</v>
      </c>
      <c r="W26" s="45" t="str">
        <f t="shared" si="4"/>
        <v>NW</v>
      </c>
      <c r="X26" s="22">
        <f t="shared" si="5"/>
        <v>1828</v>
      </c>
      <c r="Y26" s="96" t="str">
        <f t="shared" si="6"/>
        <v>echo {"issue":{"subject":"Early Arrival","project_id":79,"tracker_id":40,"status_id":1,"priority_id":2,"assigned_to_id":338,"start_date":"2017-09-24","description":"","custom_fields":[{"id":1,"name":"Subdivision","value":"NW"},{"id":4,"name":"Milepost","value":"1.0988"},{"id":17,"name":"Train ID","value":"1828-24"},{"id":16,"name":"Locomotive ID","value":"4049"},{"id":130,"name":"Impact","value":""},{"id":150,"name":"Time of Event (Mountain Time)","value":"19:54:22"},{"id":151,"name":"Denver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6" s="159"/>
      <c r="AA26" s="47"/>
      <c r="AB26" s="47"/>
      <c r="AC26" s="115" t="str">
        <f t="shared" si="7"/>
        <v>grep -hrE -A400 "Enforcement Action" /c/Users/stu/AppData/Local/Temp/OnboardLogs/RTDC4049 --include="*4049*201709250*" | grep -E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"%USERPROFILE%\AppData\Local\Temp\OnboardLogs"\RTDC4049\*4049*201709250* &gt;&gt; 2017-09-24-SliceDisagreementCheck.txt</v>
      </c>
      <c r="AE26" s="145" t="str">
        <f t="shared" si="9"/>
        <v>start /low /b %USERPROFILE%\Documents\GitHub\eaglep3\Utilities\DownloadLogsFromS3.py --loco 4049 --day 2017-09-25</v>
      </c>
      <c r="AF26" s="1"/>
    </row>
    <row r="27" spans="1:32" x14ac:dyDescent="0.25">
      <c r="A27" s="31">
        <v>43002.368715277778</v>
      </c>
      <c r="B27" s="30" t="s">
        <v>581</v>
      </c>
      <c r="C27" s="30" t="s">
        <v>586</v>
      </c>
      <c r="D27" s="30" t="s">
        <v>49</v>
      </c>
      <c r="E27" s="30" t="s">
        <v>186</v>
      </c>
      <c r="F27" s="42">
        <v>160</v>
      </c>
      <c r="G27" s="42">
        <v>229</v>
      </c>
      <c r="H27" s="42">
        <v>12261</v>
      </c>
      <c r="I27" s="42">
        <v>11742</v>
      </c>
      <c r="J27" s="30" t="s">
        <v>187</v>
      </c>
      <c r="K27" s="42">
        <v>10988</v>
      </c>
      <c r="L27" s="131" t="s">
        <v>51</v>
      </c>
      <c r="M27" s="132">
        <f t="shared" si="0"/>
        <v>398.11200000000002</v>
      </c>
      <c r="N27" s="133" t="str">
        <f>VLOOKUP(C27,'Trips&amp;Operators'!$C$1:$G$99911,5,FALSE)</f>
        <v>MACDONALD THOMAS</v>
      </c>
      <c r="O27" s="176" t="s">
        <v>179</v>
      </c>
      <c r="P27" s="134" t="s">
        <v>365</v>
      </c>
      <c r="Q27" s="30"/>
      <c r="R27" s="81" t="str">
        <f>VLOOKUP(C27,'Train Runs'!$A$13:$AE$9973,31,0)</f>
        <v>aws s3 cp s3://rtdc.mdm.uploadarchive.raw/RTDC4049/ "%USERPROFILE%\AppData\Local\Temp\OnboardLogs"\RTDC4049\2017-09-24 --exclude "*" --recursive --include "*20170924*" &amp; "%USERPROFILE%\Documents\GitHub\mrs-test-scripts\Headless Mode &amp; Sideloading\WalkAndUnGZ.bat" "%USERPROFILE%\AppData\Local\Temp\OnboardLogs"\RTDC4049\2017-09-24 &amp; 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</v>
      </c>
      <c r="S27" s="84" t="str">
        <f>VLOOKUP(C27,'Train Runs'!$A$13:$AE$9973,22,0)</f>
        <v>https://d0f6bd738d7f1b3e5a7ca70fe4ff75f0.us-east-1.aws.found.io/app/kibana#/discover/Steve-Slow-Train-Analysis-(2080s-and-2083s)?_g=(refreshInterval:(display:Off,pause:!f,section:0,value:0),time:(from:'2017-09-24T07:24:04-0600',mode:absolute,to:'2017-09-24T09:55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7" s="86" t="str">
        <f t="shared" si="1"/>
        <v>"C:\Program Files (x86)\AstroGrep\AstroGrep.exe" /e /r /s /spath="%USERPROFILE%\AppData\Local\Temp\OnboardLogs" /stypes="*4049*201709241*" /stext=" 14:.+((SYSTEM_STATE.+slice.+state.+changed )|(ment ac)|(multiple cpu faults)|(system.+state.+changed )|(\[timeout)|(PRM\|1\|D)|(kpr)|(kdp)|(train st.+moving)|(\|lc)|(penalty))"</v>
      </c>
      <c r="U27" s="9" t="str">
        <f t="shared" si="2"/>
        <v>4049</v>
      </c>
      <c r="V27" s="31">
        <f t="shared" si="3"/>
        <v>43002.618715277778</v>
      </c>
      <c r="W27" s="45" t="str">
        <f t="shared" si="4"/>
        <v>NW</v>
      </c>
      <c r="X27" s="22">
        <f t="shared" si="5"/>
        <v>1806</v>
      </c>
      <c r="Y27" s="96" t="str">
        <f t="shared" si="6"/>
        <v>echo {"issue":{"subject":"Early Arrival","project_id":79,"tracker_id":40,"status_id":1,"priority_id":2,"assigned_to_id":338,"start_date":"2017-09-24","description":"","custom_fields":[{"id":1,"name":"Subdivision","value":"NW"},{"id":4,"name":"Milepost","value":"1.0988"},{"id":17,"name":"Train ID","value":"1806-24"},{"id":16,"name":"Locomotive ID","value":"4049"},{"id":130,"name":"Impact","value":""},{"id":150,"name":"Time of Event (Mountain Time)","value":"08:50:57"},{"id":151,"name":"Denver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7" s="159"/>
      <c r="AA27" s="47"/>
      <c r="AB27" s="47"/>
      <c r="AC27" s="115" t="str">
        <f t="shared" si="7"/>
        <v>grep -hrE -A400 "Enforcement Action" /c/Users/stu/AppData/Local/Temp/OnboardLogs/RTDC4049 --include="*4049*201709241*" | grep -E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"%USERPROFILE%\AppData\Local\Temp\OnboardLogs"\RTDC4049\*4049*201709241* &gt;&gt; 2017-09-24-SliceDisagreementCheck.txt</v>
      </c>
      <c r="AE27" s="145" t="str">
        <f t="shared" si="9"/>
        <v>start /low /b %USERPROFILE%\Documents\GitHub\eaglep3\Utilities\DownloadLogsFromS3.py --loco 4049 --day 2017-09-24</v>
      </c>
      <c r="AF27" s="1"/>
    </row>
    <row r="28" spans="1:32" x14ac:dyDescent="0.25">
      <c r="A28" s="31">
        <v>43002.3278587963</v>
      </c>
      <c r="B28" s="30" t="s">
        <v>581</v>
      </c>
      <c r="C28" s="30" t="s">
        <v>585</v>
      </c>
      <c r="D28" s="30" t="s">
        <v>49</v>
      </c>
      <c r="E28" s="30" t="s">
        <v>194</v>
      </c>
      <c r="F28" s="42">
        <v>300</v>
      </c>
      <c r="G28" s="42">
        <v>570</v>
      </c>
      <c r="H28" s="42">
        <v>26552</v>
      </c>
      <c r="I28" s="42">
        <v>24326</v>
      </c>
      <c r="J28" s="30" t="s">
        <v>195</v>
      </c>
      <c r="K28" s="42">
        <v>23561</v>
      </c>
      <c r="L28" s="131" t="s">
        <v>51</v>
      </c>
      <c r="M28" s="132">
        <f t="shared" si="0"/>
        <v>403.92</v>
      </c>
      <c r="N28" s="133" t="str">
        <f>VLOOKUP(C28,'Trips&amp;Operators'!$C$1:$G$99911,5,FALSE)</f>
        <v>MACDONALD THOMAS</v>
      </c>
      <c r="O28" s="176" t="s">
        <v>179</v>
      </c>
      <c r="P28" s="134"/>
      <c r="Q28" s="30"/>
      <c r="R28" s="81" t="str">
        <f>VLOOKUP(C28,'Train Runs'!$A$13:$AE$9973,31,0)</f>
        <v>aws s3 cp s3://rtdc.mdm.uploadarchive.raw/RTDC4049/ "%USERPROFILE%\AppData\Local\Temp\OnboardLogs"\RTDC4049\2017-09-24 --exclude "*" --recursive --include "*20170924*" &amp; "%USERPROFILE%\Documents\GitHub\mrs-test-scripts\Headless Mode &amp; Sideloading\WalkAndUnGZ.bat" "%USERPROFILE%\AppData\Local\Temp\OnboardLogs"\RTDC4049\2017-09-24 &amp; 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</v>
      </c>
      <c r="S28" s="84" t="str">
        <f>VLOOKUP(C28,'Train Runs'!$A$13:$AE$9973,22,0)</f>
        <v>https://d0f6bd738d7f1b3e5a7ca70fe4ff75f0.us-east-1.aws.found.io/app/kibana#/discover/Steve-Slow-Train-Analysis-(2080s-and-2083s)?_g=(refreshInterval:(display:Off,pause:!f,section:0,value:0),time:(from:'2017-09-24T06:38:31-0600',mode:absolute,to:'2017-09-24T08:59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8" s="86" t="str">
        <f t="shared" si="1"/>
        <v>"C:\Program Files (x86)\AstroGrep\AstroGrep.exe" /e /r /s /spath="%USERPROFILE%\AppData\Local\Temp\OnboardLogs" /stypes="*4049*201709241*" /stext=" 13:.+((SYSTEM_STATE.+slice.+state.+changed )|(ment ac)|(multiple cpu faults)|(system.+state.+changed )|(\[timeout)|(PRM\|1\|D)|(kpr)|(kdp)|(train st.+moving)|(\|lc)|(penalty))"</v>
      </c>
      <c r="U28" s="9" t="str">
        <f t="shared" si="2"/>
        <v>4049</v>
      </c>
      <c r="V28" s="31">
        <f t="shared" si="3"/>
        <v>43002.5778587963</v>
      </c>
      <c r="W28" s="45" t="str">
        <f t="shared" si="4"/>
        <v>NW</v>
      </c>
      <c r="X28" s="22">
        <f t="shared" si="5"/>
        <v>1804</v>
      </c>
      <c r="Y28" s="96" t="str">
        <f t="shared" si="6"/>
        <v>echo {"issue":{"subject":"","project_id":79,"tracker_id":40,"status_id":1,"priority_id":2,"assigned_to_id":338,"start_date":"2017-09-24","description":"","custom_fields":[{"id":1,"name":"Subdivision","value":"NW"},{"id":4,"name":"Milepost","value":"2.3561"},{"id":17,"name":"Train ID","value":"1804-24"},{"id":16,"name":"Locomotive ID","value":"4049"},{"id":130,"name":"Impact","value":""},{"id":150,"name":"Time of Event (Mountain Time)","value":"07:52:07"},{"id":151,"name":"Denver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8" s="159"/>
      <c r="AA28" s="47"/>
      <c r="AB28" s="47"/>
      <c r="AC28" s="115" t="str">
        <f t="shared" si="7"/>
        <v>grep -hrE -A400 "Enforcement Action" /c/Users/stu/AppData/Local/Temp/OnboardLogs/RTDC4049 --include="*4049*201709241*" | grep -E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"%USERPROFILE%\AppData\Local\Temp\OnboardLogs"\RTDC4049\*4049*201709241* &gt;&gt; 2017-09-24-SliceDisagreementCheck.txt</v>
      </c>
      <c r="AE28" s="145" t="str">
        <f t="shared" si="9"/>
        <v>start /low /b %USERPROFILE%\Documents\GitHub\eaglep3\Utilities\DownloadLogsFromS3.py --loco 4049 --day 2017-09-24</v>
      </c>
      <c r="AF28" s="1"/>
    </row>
    <row r="29" spans="1:32" x14ac:dyDescent="0.25">
      <c r="A29" s="31">
        <v>43002.491990740738</v>
      </c>
      <c r="B29" s="30" t="s">
        <v>581</v>
      </c>
      <c r="C29" s="30" t="s">
        <v>593</v>
      </c>
      <c r="D29" s="30" t="s">
        <v>95</v>
      </c>
      <c r="E29" s="30" t="s">
        <v>194</v>
      </c>
      <c r="F29" s="42">
        <v>400</v>
      </c>
      <c r="G29" s="42">
        <v>457</v>
      </c>
      <c r="H29" s="42">
        <v>38902</v>
      </c>
      <c r="I29" s="42">
        <v>37466</v>
      </c>
      <c r="J29" s="30" t="s">
        <v>195</v>
      </c>
      <c r="K29" s="42">
        <v>40977</v>
      </c>
      <c r="L29" s="131" t="s">
        <v>51</v>
      </c>
      <c r="M29" s="132">
        <f t="shared" si="0"/>
        <v>-1853.808</v>
      </c>
      <c r="N29" s="133" t="str">
        <f>VLOOKUP(C29,'Trips&amp;Operators'!$C$1:$G$99911,5,FALSE)</f>
        <v>MACDONALD THOMAS</v>
      </c>
      <c r="O29" s="176" t="s">
        <v>179</v>
      </c>
      <c r="P29" s="134"/>
      <c r="Q29" s="30"/>
      <c r="R29" s="81" t="str">
        <f>VLOOKUP(C29,'Train Runs'!$A$13:$AE$9973,31,0)</f>
        <v>aws s3 cp s3://rtdc.mdm.uploadarchive.raw/RTDC4049/ "%USERPROFILE%\AppData\Local\Temp\OnboardLogs"\RTDC4049\2017-09-24 --exclude "*" --recursive --include "*20170924*" &amp; "%USERPROFILE%\Documents\GitHub\mrs-test-scripts\Headless Mode &amp; Sideloading\WalkAndUnGZ.bat" "%USERPROFILE%\AppData\Local\Temp\OnboardLogs"\RTDC4049\2017-09-24 &amp; 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</v>
      </c>
      <c r="S29" s="84" t="str">
        <f>VLOOKUP(C29,'Train Runs'!$A$13:$AE$9973,22,0)</f>
        <v>https://d0f6bd738d7f1b3e5a7ca70fe4ff75f0.us-east-1.aws.found.io/app/kibana#/discover/Steve-Slow-Train-Analysis-(2080s-and-2083s)?_g=(refreshInterval:(display:Off,pause:!f,section:0,value:0),time:(from:'2017-09-24T10:23:19-0600',mode:absolute,to:'2017-09-24T12:59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29" s="86" t="str">
        <f t="shared" si="1"/>
        <v>"C:\Program Files (x86)\AstroGrep\AstroGrep.exe" /e /r /s /spath="%USERPROFILE%\AppData\Local\Temp\OnboardLogs" /stypes="*4049*201709241*" /stext=" 17:.+((SYSTEM_STATE.+slice.+state.+changed )|(ment ac)|(multiple cpu faults)|(system.+state.+changed )|(\[timeout)|(PRM\|1\|D)|(kpr)|(kdp)|(train st.+moving)|(\|lc)|(penalty))"</v>
      </c>
      <c r="U29" s="9" t="str">
        <f t="shared" si="2"/>
        <v>4049</v>
      </c>
      <c r="V29" s="31">
        <f t="shared" si="3"/>
        <v>43002.741990740738</v>
      </c>
      <c r="W29" s="45" t="str">
        <f t="shared" si="4"/>
        <v>NW</v>
      </c>
      <c r="X29" s="22">
        <f t="shared" si="5"/>
        <v>1812</v>
      </c>
      <c r="Y29" s="96" t="str">
        <f t="shared" si="6"/>
        <v>echo {"issue":{"subject":"","project_id":79,"tracker_id":40,"status_id":1,"priority_id":2,"assigned_to_id":338,"start_date":"2017-09-24","description":"","custom_fields":[{"id":1,"name":"Subdivision","value":"NW"},{"id":4,"name":"Milepost","value":"4.0977"},{"id":17,"name":"Train ID","value":"1812-24"},{"id":16,"name":"Locomotive ID","value":"4049"},{"id":130,"name":"Impact","value":""},{"id":150,"name":"Time of Event (Mountain Time)","value":"11:48:28"},{"id":151,"name":"Denver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29" s="159"/>
      <c r="AA29" s="47"/>
      <c r="AB29" s="47"/>
      <c r="AC29" s="115" t="str">
        <f t="shared" si="7"/>
        <v>grep -hrE -A400 "Enforcement Action" /c/Users/stu/AppData/Local/Temp/OnboardLogs/RTDC4049 --include="*4049*201709241*" | grep -E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"%USERPROFILE%\AppData\Local\Temp\OnboardLogs"\RTDC4049\*4049*201709241* &gt;&gt; 2017-09-24-SliceDisagreementCheck.txt</v>
      </c>
      <c r="AE29" s="145" t="str">
        <f t="shared" si="9"/>
        <v>start /low /b %USERPROFILE%\Documents\GitHub\eaglep3\Utilities\DownloadLogsFromS3.py --loco 4049 --day 2017-09-24</v>
      </c>
      <c r="AF29" s="1"/>
    </row>
    <row r="30" spans="1:32" x14ac:dyDescent="0.25">
      <c r="A30" s="31">
        <v>43002.804027777776</v>
      </c>
      <c r="B30" s="30" t="s">
        <v>596</v>
      </c>
      <c r="C30" s="30" t="s">
        <v>605</v>
      </c>
      <c r="D30" s="30" t="s">
        <v>95</v>
      </c>
      <c r="E30" s="30" t="s">
        <v>194</v>
      </c>
      <c r="F30" s="42">
        <v>400</v>
      </c>
      <c r="G30" s="42">
        <v>450</v>
      </c>
      <c r="H30" s="42">
        <v>43921</v>
      </c>
      <c r="I30" s="42">
        <v>45643</v>
      </c>
      <c r="J30" s="30" t="s">
        <v>195</v>
      </c>
      <c r="K30" s="42">
        <v>41797</v>
      </c>
      <c r="L30" s="131" t="s">
        <v>50</v>
      </c>
      <c r="M30" s="132">
        <f t="shared" si="0"/>
        <v>-2030.6880000000001</v>
      </c>
      <c r="N30" s="133" t="str">
        <f>VLOOKUP(C30,'Trips&amp;Operators'!$C$1:$G$99911,5,FALSE)</f>
        <v>HOLCOMB KAMDEN</v>
      </c>
      <c r="O30" s="176" t="s">
        <v>179</v>
      </c>
      <c r="P30" s="134"/>
      <c r="Q30" s="30"/>
      <c r="R30" s="81" t="str">
        <f>VLOOKUP(C30,'Train Runs'!$A$13:$AE$9973,31,0)</f>
        <v>aws s3 cp s3://rtdc.mdm.uploadarchive.raw/RTDC4050/ "%USERPROFILE%\AppData\Local\Temp\OnboardLogs"\RTDC4050\2017-09-24 --exclude "*" --recursive --include "*20170924*" &amp; "%USERPROFILE%\Documents\GitHub\mrs-test-scripts\Headless Mode &amp; Sideloading\WalkAndUnGZ.bat" "%USERPROFILE%\AppData\Local\Temp\OnboardLogs"\RTDC4050\2017-09-24 &amp; 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</v>
      </c>
      <c r="S30" s="84" t="str">
        <f>VLOOKUP(C30,'Train Runs'!$A$13:$AE$9973,22,0)</f>
        <v>https://d0f6bd738d7f1b3e5a7ca70fe4ff75f0.us-east-1.aws.found.io/app/kibana#/discover/Steve-Slow-Train-Analysis-(2080s-and-2083s)?_g=(refreshInterval:(display:Off,pause:!f,section:0,value:0),time:(from:'2017-09-24T18:01:51-0600',mode:absolute,to:'2017-09-24T20:23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0" s="86" t="str">
        <f t="shared" si="1"/>
        <v>"C:\Program Files (x86)\AstroGrep\AstroGrep.exe" /e /r /s /spath="%USERPROFILE%\AppData\Local\Temp\OnboardLogs" /stypes="*4050*201709250*" /stext=" 01:.+((SYSTEM_STATE.+slice.+state.+changed )|(ment ac)|(multiple cpu faults)|(system.+state.+changed )|(\[timeout)|(PRM\|1\|D)|(kpr)|(kdp)|(train st.+moving)|(\|lc)|(penalty))"</v>
      </c>
      <c r="U30" s="9" t="str">
        <f t="shared" si="2"/>
        <v>4050</v>
      </c>
      <c r="V30" s="31">
        <f t="shared" si="3"/>
        <v>43003.054027777776</v>
      </c>
      <c r="W30" s="45" t="str">
        <f t="shared" si="4"/>
        <v>NW</v>
      </c>
      <c r="X30" s="22">
        <f t="shared" si="5"/>
        <v>1827</v>
      </c>
      <c r="Y30" s="96" t="str">
        <f t="shared" si="6"/>
        <v>echo {"issue":{"subject":"","project_id":79,"tracker_id":40,"status_id":1,"priority_id":2,"assigned_to_id":338,"start_date":"2017-09-24","description":"","custom_fields":[{"id":1,"name":"Subdivision","value":"NW"},{"id":4,"name":"Milepost","value":"4.1797"},{"id":17,"name":"Train ID","value":"1827-24"},{"id":16,"name":"Locomotive ID","value":"4050"},{"id":130,"name":"Impact","value":""},{"id":150,"name":"Time of Event (Mountain Time)","value":"19:17:48"},{"id":151,"name":"Denver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0" s="159"/>
      <c r="AA30" s="47"/>
      <c r="AB30" s="47"/>
      <c r="AC30" s="115" t="str">
        <f t="shared" si="7"/>
        <v>grep -hrE -A400 "Enforcement Action" /c/Users/stu/AppData/Local/Temp/OnboardLogs/RTDC4050 --include="*4050*201709250*" | grep -E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"%USERPROFILE%\AppData\Local\Temp\OnboardLogs"\RTDC4050\*4050*201709250* &gt;&gt; 2017-09-24-SliceDisagreementCheck.txt</v>
      </c>
      <c r="AE30" s="145" t="str">
        <f t="shared" si="9"/>
        <v>start /low /b %USERPROFILE%\Documents\GitHub\eaglep3\Utilities\DownloadLogsFromS3.py --loco 4050 --day 2017-09-25</v>
      </c>
      <c r="AF30" s="1"/>
    </row>
    <row r="31" spans="1:32" x14ac:dyDescent="0.25">
      <c r="A31" s="31">
        <v>43002.676377314812</v>
      </c>
      <c r="B31" s="30" t="s">
        <v>596</v>
      </c>
      <c r="C31" s="30" t="s">
        <v>599</v>
      </c>
      <c r="D31" s="30" t="s">
        <v>95</v>
      </c>
      <c r="E31" s="30" t="s">
        <v>360</v>
      </c>
      <c r="F31" s="42">
        <v>0</v>
      </c>
      <c r="G31" s="42">
        <v>290</v>
      </c>
      <c r="H31" s="42">
        <v>19041</v>
      </c>
      <c r="I31" s="42">
        <v>20375</v>
      </c>
      <c r="J31" s="30" t="s">
        <v>361</v>
      </c>
      <c r="K31" s="42">
        <v>18990</v>
      </c>
      <c r="L31" s="131" t="s">
        <v>50</v>
      </c>
      <c r="M31" s="132">
        <f t="shared" si="0"/>
        <v>-731.28</v>
      </c>
      <c r="N31" s="133" t="str">
        <f>VLOOKUP(C31,'Trips&amp;Operators'!$C$1:$G$99911,5,FALSE)</f>
        <v>HOLCOMB KAMDEN</v>
      </c>
      <c r="O31" s="176" t="s">
        <v>419</v>
      </c>
      <c r="P31" s="134" t="s">
        <v>984</v>
      </c>
      <c r="Q31" s="30"/>
      <c r="R31" s="81" t="str">
        <f>VLOOKUP(C31,'Train Runs'!$A$13:$AE$9973,31,0)</f>
        <v>aws s3 cp s3://rtdc.mdm.uploadarchive.raw/RTDC4050/ "%USERPROFILE%\AppData\Local\Temp\OnboardLogs"\RTDC4050\2017-09-24 --exclude "*" --recursive --include "*20170924*" &amp; "%USERPROFILE%\Documents\GitHub\mrs-test-scripts\Headless Mode &amp; Sideloading\WalkAndUnGZ.bat" "%USERPROFILE%\AppData\Local\Temp\OnboardLogs"\RTDC4050\2017-09-24 &amp; 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</v>
      </c>
      <c r="S31" s="84" t="str">
        <f>VLOOKUP(C31,'Train Runs'!$A$13:$AE$9973,22,0)</f>
        <v>https://d0f6bd738d7f1b3e5a7ca70fe4ff75f0.us-east-1.aws.found.io/app/kibana#/discover/Steve-Slow-Train-Analysis-(2080s-and-2083s)?_g=(refreshInterval:(display:Off,pause:!f,section:0,value:0),time:(from:'2017-09-24T14:57:59-0600',mode:absolute,to:'2017-09-24T17:24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1" s="86" t="str">
        <f t="shared" si="1"/>
        <v>"C:\Program Files (x86)\AstroGrep\AstroGrep.exe" /e /r /s /spath="%USERPROFILE%\AppData\Local\Temp\OnboardLogs" /stypes="*4050*201709242*" /stext=" 22:.+((SYSTEM_STATE.+slice.+state.+changed )|(ment ac)|(multiple cpu faults)|(system.+state.+changed )|(\[timeout)|(PRM\|1\|D)|(kpr)|(kdp)|(train st.+moving)|(\|lc)|(penalty))"</v>
      </c>
      <c r="U31" s="9" t="str">
        <f t="shared" si="2"/>
        <v>4050</v>
      </c>
      <c r="V31" s="31">
        <f t="shared" si="3"/>
        <v>43002.926377314812</v>
      </c>
      <c r="W31" s="45" t="str">
        <f t="shared" si="4"/>
        <v>NW</v>
      </c>
      <c r="X31" s="22">
        <f t="shared" si="5"/>
        <v>1821</v>
      </c>
      <c r="Y31" s="96" t="str">
        <f t="shared" si="6"/>
        <v>echo {"issue":{"subject":"Premature downgrade at NW0190RH 20-2T 2N","project_id":79,"tracker_id":40,"status_id":1,"priority_id":2,"assigned_to_id":338,"start_date":"2017-09-24","description":"At 16:13:36, NW0190RH 20-2T 2N dropped from 270 to 0, train was 30 ft away, anything unusual?","custom_fields":[{"id":1,"name":"Subdivision","value":"NW"},{"id":4,"name":"Milepost","value":"1.899"},{"id":17,"name":"Train ID","value":"1821-24"},{"id":16,"name":"Locomotive ID","value":"4050"},{"id":130,"name":"Impact","value":"Enforcement"},{"id":150,"name":"Time of Event (Mountain Time)","value":"16:13:59"},{"id":151,"name":"Denver Issue ID","value":""},{"id":178,"name":"Operational Impact","value":"Yes"},{"id":179,"name":"Denver Segment Assigned","value":"Signal"}]}} | curl --insecure -X POST -H "Content-Type: application/json" -H "X-Redmine-API-Key: d6333d4a04012a730768444271f8ca06482dae87" https://secure.xorail.net/redmine/issues.json --data @-</v>
      </c>
      <c r="Z31" s="159" t="s">
        <v>985</v>
      </c>
      <c r="AA31" s="47" t="s">
        <v>119</v>
      </c>
      <c r="AB31" s="47" t="s">
        <v>124</v>
      </c>
      <c r="AC31" s="115" t="str">
        <f t="shared" si="7"/>
        <v>grep -hrE -A400 "Enforcement Action" /c/Users/stu/AppData/Local/Temp/OnboardLogs/RTDC4050 --include="*4050*201709242*" | grep -E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"%USERPROFILE%\AppData\Local\Temp\OnboardLogs"\RTDC4050\*4050*201709242* &gt;&gt; 2017-09-24-SliceDisagreementCheck.txt</v>
      </c>
      <c r="AE31" s="145" t="str">
        <f t="shared" si="9"/>
        <v>start /low /b %USERPROFILE%\Documents\GitHub\eaglep3\Utilities\DownloadLogsFromS3.py --loco 4050 --day 2017-09-24</v>
      </c>
      <c r="AF31" s="1"/>
    </row>
    <row r="32" spans="1:32" x14ac:dyDescent="0.25">
      <c r="A32" s="31">
        <v>43002.236261574071</v>
      </c>
      <c r="B32" s="30" t="s">
        <v>581</v>
      </c>
      <c r="C32" s="30" t="s">
        <v>582</v>
      </c>
      <c r="D32" s="30" t="s">
        <v>95</v>
      </c>
      <c r="E32" s="30" t="s">
        <v>360</v>
      </c>
      <c r="F32" s="42">
        <v>0</v>
      </c>
      <c r="G32" s="42">
        <v>115</v>
      </c>
      <c r="H32" s="42">
        <v>58324</v>
      </c>
      <c r="I32" s="42">
        <v>58123</v>
      </c>
      <c r="J32" s="30" t="s">
        <v>361</v>
      </c>
      <c r="K32" s="42">
        <v>58472</v>
      </c>
      <c r="L32" s="131" t="s">
        <v>51</v>
      </c>
      <c r="M32" s="132">
        <f t="shared" si="0"/>
        <v>-184.27199999999999</v>
      </c>
      <c r="N32" s="133" t="str">
        <f>VLOOKUP(C32,'Trips&amp;Operators'!$C$1:$G$99911,5,FALSE)</f>
        <v>MACDONALD THOMAS</v>
      </c>
      <c r="O32" s="176" t="s">
        <v>179</v>
      </c>
      <c r="P32" s="134" t="s">
        <v>980</v>
      </c>
      <c r="Q32" s="30"/>
      <c r="R32" s="81" t="str">
        <f>VLOOKUP(C32,'Train Runs'!$A$13:$AE$9973,31,0)</f>
        <v>aws s3 cp s3://rtdc.mdm.uploadarchive.raw/RTDC4049/ "%USERPROFILE%\AppData\Local\Temp\OnboardLogs"\RTDC4049\2017-09-24 --exclude "*" --recursive --include "*20170924*" &amp; "%USERPROFILE%\Documents\GitHub\mrs-test-scripts\Headless Mode &amp; Sideloading\WalkAndUnGZ.bat" "%USERPROFILE%\AppData\Local\Temp\OnboardLogs"\RTDC4049\2017-09-24 &amp; 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</v>
      </c>
      <c r="S32" s="84" t="str">
        <f>VLOOKUP(C32,'Train Runs'!$A$13:$AE$9973,22,0)</f>
        <v>https://d0f6bd738d7f1b3e5a7ca70fe4ff75f0.us-east-1.aws.found.io/app/kibana#/discover/Steve-Slow-Train-Analysis-(2080s-and-2083s)?_g=(refreshInterval:(display:Off,pause:!f,section:0,value:0),time:(from:'2017-09-24T04:33:14-0600',mode:absolute,to:'2017-09-24T06:57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32" s="86" t="str">
        <f t="shared" si="1"/>
        <v>"C:\Program Files (x86)\AstroGrep\AstroGrep.exe" /e /r /s /spath="%USERPROFILE%\AppData\Local\Temp\OnboardLogs" /stypes="*4049*201709241*" /stext=" 11:.+((SYSTEM_STATE.+slice.+state.+changed )|(ment ac)|(multiple cpu faults)|(system.+state.+changed )|(\[timeout)|(PRM\|1\|D)|(kpr)|(kdp)|(train st.+moving)|(\|lc)|(penalty))"</v>
      </c>
      <c r="U32" s="9" t="str">
        <f t="shared" si="2"/>
        <v>4049</v>
      </c>
      <c r="V32" s="31">
        <f t="shared" si="3"/>
        <v>43002.486261574071</v>
      </c>
      <c r="W32" s="45" t="str">
        <f t="shared" si="4"/>
        <v>NW</v>
      </c>
      <c r="X32" s="22">
        <f t="shared" si="5"/>
        <v>1800</v>
      </c>
      <c r="Y32" s="96" t="str">
        <f t="shared" si="6"/>
        <v>echo {"issue":{"subject":"Went active too close to Westminster 4S","project_id":79,"tracker_id":40,"status_id":1,"priority_id":2,"assigned_to_id":338,"start_date":"2017-09-24","description":"","custom_fields":[{"id":1,"name":"Subdivision","value":"NW"},{"id":4,"name":"Milepost","value":"5.8472"},{"id":17,"name":"Train ID","value":"1800-24"},{"id":16,"name":"Locomotive ID","value":"4049"},{"id":130,"name":"Impact","value":""},{"id":150,"name":"Time of Event (Mountain Time)","value":"05:40:13"},{"id":151,"name":"Denver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2" s="159"/>
      <c r="AA32" s="47"/>
      <c r="AB32" s="47"/>
      <c r="AC32" s="115" t="str">
        <f t="shared" si="7"/>
        <v>grep -hrE -A400 "Enforcement Action" /c/Users/stu/AppData/Local/Temp/OnboardLogs/RTDC4049 --include="*4049*201709241*" | grep -E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"%USERPROFILE%\AppData\Local\Temp\OnboardLogs"\RTDC4049\*4049*201709241* &gt;&gt; 2017-09-24-SliceDisagreementCheck.txt</v>
      </c>
      <c r="AE32" s="145" t="str">
        <f t="shared" si="9"/>
        <v>start /low /b %USERPROFILE%\Documents\GitHub\eaglep3\Utilities\DownloadLogsFromS3.py --loco 4049 --day 2017-09-24</v>
      </c>
      <c r="AF32" s="1"/>
    </row>
    <row r="33" spans="1:32" x14ac:dyDescent="0.25">
      <c r="A33" s="31">
        <v>43002.320393518516</v>
      </c>
      <c r="B33" s="30" t="s">
        <v>581</v>
      </c>
      <c r="C33" s="30" t="s">
        <v>585</v>
      </c>
      <c r="D33" s="30" t="s">
        <v>95</v>
      </c>
      <c r="E33" s="30" t="s">
        <v>360</v>
      </c>
      <c r="F33" s="42">
        <v>0</v>
      </c>
      <c r="G33" s="42">
        <v>27</v>
      </c>
      <c r="H33" s="42">
        <v>58408</v>
      </c>
      <c r="I33" s="42">
        <v>58362</v>
      </c>
      <c r="J33" s="30" t="s">
        <v>361</v>
      </c>
      <c r="K33" s="42">
        <v>58472</v>
      </c>
      <c r="L33" s="131" t="s">
        <v>51</v>
      </c>
      <c r="M33" s="132">
        <f t="shared" si="0"/>
        <v>-58.08</v>
      </c>
      <c r="N33" s="133" t="str">
        <f>VLOOKUP(C33,'Trips&amp;Operators'!$C$1:$G$99911,5,FALSE)</f>
        <v>MACDONALD THOMAS</v>
      </c>
      <c r="O33" s="176" t="s">
        <v>179</v>
      </c>
      <c r="P33" s="134" t="s">
        <v>980</v>
      </c>
      <c r="Q33" s="30"/>
      <c r="R33" s="81" t="str">
        <f>VLOOKUP(C33,'Train Runs'!$A$13:$AE$9973,31,0)</f>
        <v>aws s3 cp s3://rtdc.mdm.uploadarchive.raw/RTDC4049/ "%USERPROFILE%\AppData\Local\Temp\OnboardLogs"\RTDC4049\2017-09-24 --exclude "*" --recursive --include "*20170924*" &amp; "%USERPROFILE%\Documents\GitHub\mrs-test-scripts\Headless Mode &amp; Sideloading\WalkAndUnGZ.bat" "%USERPROFILE%\AppData\Local\Temp\OnboardLogs"\RTDC4049\2017-09-24 &amp; 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</v>
      </c>
      <c r="S33" s="84" t="str">
        <f>VLOOKUP(C33,'Train Runs'!$A$13:$AE$9973,22,0)</f>
        <v>https://d0f6bd738d7f1b3e5a7ca70fe4ff75f0.us-east-1.aws.found.io/app/kibana#/discover/Steve-Slow-Train-Analysis-(2080s-and-2083s)?_g=(refreshInterval:(display:Off,pause:!f,section:0,value:0),time:(from:'2017-09-24T06:38:31-0600',mode:absolute,to:'2017-09-24T08:59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33" s="86" t="str">
        <f t="shared" si="1"/>
        <v>"C:\Program Files (x86)\AstroGrep\AstroGrep.exe" /e /r /s /spath="%USERPROFILE%\AppData\Local\Temp\OnboardLogs" /stypes="*4049*201709241*" /stext=" 13:.+((SYSTEM_STATE.+slice.+state.+changed )|(ment ac)|(multiple cpu faults)|(system.+state.+changed )|(\[timeout)|(PRM\|1\|D)|(kpr)|(kdp)|(train st.+moving)|(\|lc)|(penalty))"</v>
      </c>
      <c r="U33" s="9" t="str">
        <f t="shared" si="2"/>
        <v>4049</v>
      </c>
      <c r="V33" s="31">
        <f t="shared" si="3"/>
        <v>43002.570393518516</v>
      </c>
      <c r="W33" s="45" t="str">
        <f t="shared" si="4"/>
        <v>NW</v>
      </c>
      <c r="X33" s="22">
        <f t="shared" si="5"/>
        <v>1804</v>
      </c>
      <c r="Y33" s="96" t="str">
        <f t="shared" si="6"/>
        <v>echo {"issue":{"subject":"Went active too close to Westminster 4S","project_id":79,"tracker_id":40,"status_id":1,"priority_id":2,"assigned_to_id":338,"start_date":"2017-09-24","description":"","custom_fields":[{"id":1,"name":"Subdivision","value":"NW"},{"id":4,"name":"Milepost","value":"5.8472"},{"id":17,"name":"Train ID","value":"1804-24"},{"id":16,"name":"Locomotive ID","value":"4049"},{"id":130,"name":"Impact","value":""},{"id":150,"name":"Time of Event (Mountain Time)","value":"07:41:22"},{"id":151,"name":"Denver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3" s="159"/>
      <c r="AA33" s="47"/>
      <c r="AB33" s="47"/>
      <c r="AC33" s="115" t="str">
        <f t="shared" si="7"/>
        <v>grep -hrE -A400 "Enforcement Action" /c/Users/stu/AppData/Local/Temp/OnboardLogs/RTDC4049 --include="*4049*201709241*" | grep -E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"%USERPROFILE%\AppData\Local\Temp\OnboardLogs"\RTDC4049\*4049*201709241* &gt;&gt; 2017-09-24-SliceDisagreementCheck.txt</v>
      </c>
      <c r="AE33" s="145" t="str">
        <f t="shared" si="9"/>
        <v>start /low /b %USERPROFILE%\Documents\GitHub\eaglep3\Utilities\DownloadLogsFromS3.py --loco 4049 --day 2017-09-24</v>
      </c>
      <c r="AF33" s="1"/>
    </row>
    <row r="34" spans="1:32" x14ac:dyDescent="0.25">
      <c r="A34" s="31">
        <v>43002.820740740739</v>
      </c>
      <c r="B34" s="30" t="s">
        <v>581</v>
      </c>
      <c r="C34" s="30" t="s">
        <v>607</v>
      </c>
      <c r="D34" s="30" t="s">
        <v>95</v>
      </c>
      <c r="E34" s="30" t="s">
        <v>360</v>
      </c>
      <c r="F34" s="42">
        <v>0</v>
      </c>
      <c r="G34" s="42">
        <v>102</v>
      </c>
      <c r="H34" s="42">
        <v>58334</v>
      </c>
      <c r="I34" s="42">
        <v>58154</v>
      </c>
      <c r="J34" s="30" t="s">
        <v>361</v>
      </c>
      <c r="K34" s="42">
        <v>58475</v>
      </c>
      <c r="L34" s="131" t="s">
        <v>51</v>
      </c>
      <c r="M34" s="132">
        <f t="shared" si="0"/>
        <v>-169.48799999999997</v>
      </c>
      <c r="N34" s="133" t="str">
        <f>VLOOKUP(C34,'Trips&amp;Operators'!$C$1:$G$99911,5,FALSE)</f>
        <v>HOLCOMB KAMDEN</v>
      </c>
      <c r="O34" s="176" t="s">
        <v>179</v>
      </c>
      <c r="P34" s="134" t="s">
        <v>980</v>
      </c>
      <c r="Q34" s="30"/>
      <c r="R34" s="81" t="str">
        <f>VLOOKUP(C34,'Train Runs'!$A$13:$AE$9973,31,0)</f>
        <v>aws s3 cp s3://rtdc.mdm.uploadarchive.raw/RTDC4049/ "%USERPROFILE%\AppData\Local\Temp\OnboardLogs"\RTDC4049\2017-09-24 --exclude "*" --recursive --include "*20170924*" &amp; "%USERPROFILE%\Documents\GitHub\mrs-test-scripts\Headless Mode &amp; Sideloading\WalkAndUnGZ.bat" "%USERPROFILE%\AppData\Local\Temp\OnboardLogs"\RTDC4049\2017-09-24 &amp; 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</v>
      </c>
      <c r="S34" s="84" t="str">
        <f>VLOOKUP(C34,'Train Runs'!$A$13:$AE$9973,22,0)</f>
        <v>https://d0f6bd738d7f1b3e5a7ca70fe4ff75f0.us-east-1.aws.found.io/app/kibana#/discover/Steve-Slow-Train-Analysis-(2080s-and-2083s)?_g=(refreshInterval:(display:Off,pause:!f,section:0,value:0),time:(from:'2017-09-24T18:43:17-0600',mode:absolute,to:'2017-09-24T20:59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34" s="86" t="str">
        <f t="shared" si="1"/>
        <v>"C:\Program Files (x86)\AstroGrep\AstroGrep.exe" /e /r /s /spath="%USERPROFILE%\AppData\Local\Temp\OnboardLogs" /stypes="*4049*201709250*" /stext=" 01:.+((SYSTEM_STATE.+slice.+state.+changed )|(ment ac)|(multiple cpu faults)|(system.+state.+changed )|(\[timeout)|(PRM\|1\|D)|(kpr)|(kdp)|(train st.+moving)|(\|lc)|(penalty))"</v>
      </c>
      <c r="U34" s="9" t="str">
        <f t="shared" si="2"/>
        <v>4049</v>
      </c>
      <c r="V34" s="31">
        <f t="shared" si="3"/>
        <v>43003.070740740739</v>
      </c>
      <c r="W34" s="45" t="str">
        <f t="shared" si="4"/>
        <v>NW</v>
      </c>
      <c r="X34" s="22">
        <f t="shared" si="5"/>
        <v>1828</v>
      </c>
      <c r="Y34" s="96" t="str">
        <f t="shared" si="6"/>
        <v>echo {"issue":{"subject":"Went active too close to Westminster 4S","project_id":79,"tracker_id":40,"status_id":1,"priority_id":2,"assigned_to_id":338,"start_date":"2017-09-24","description":"","custom_fields":[{"id":1,"name":"Subdivision","value":"NW"},{"id":4,"name":"Milepost","value":"5.8475"},{"id":17,"name":"Train ID","value":"1828-24"},{"id":16,"name":"Locomotive ID","value":"4049"},{"id":130,"name":"Impact","value":""},{"id":150,"name":"Time of Event (Mountain Time)","value":"19:41:52"},{"id":151,"name":"Denver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4" s="159"/>
      <c r="AA34" s="47"/>
      <c r="AB34" s="47"/>
      <c r="AC34" s="115" t="str">
        <f t="shared" si="7"/>
        <v>grep -hrE -A400 "Enforcement Action" /c/Users/stu/AppData/Local/Temp/OnboardLogs/RTDC4049 --include="*4049*201709250*" | grep -E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"%USERPROFILE%\AppData\Local\Temp\OnboardLogs"\RTDC4049\*4049*201709250* &gt;&gt; 2017-09-24-SliceDisagreementCheck.txt</v>
      </c>
      <c r="AE34" s="145" t="str">
        <f t="shared" si="9"/>
        <v>start /low /b %USERPROFILE%\Documents\GitHub\eaglep3\Utilities\DownloadLogsFromS3.py --loco 4049 --day 2017-09-25</v>
      </c>
      <c r="AF34" s="1"/>
    </row>
    <row r="35" spans="1:32" x14ac:dyDescent="0.25">
      <c r="A35" s="31">
        <v>43002.87159722222</v>
      </c>
      <c r="B35" s="30" t="s">
        <v>581</v>
      </c>
      <c r="C35" s="30" t="s">
        <v>608</v>
      </c>
      <c r="D35" s="30" t="s">
        <v>49</v>
      </c>
      <c r="E35" s="30" t="s">
        <v>180</v>
      </c>
      <c r="F35" s="42">
        <v>0</v>
      </c>
      <c r="G35" s="42">
        <v>40</v>
      </c>
      <c r="H35" s="42">
        <v>692</v>
      </c>
      <c r="I35" s="42">
        <v>661</v>
      </c>
      <c r="J35" s="30" t="s">
        <v>181</v>
      </c>
      <c r="K35" s="42">
        <v>575</v>
      </c>
      <c r="L35" s="131" t="s">
        <v>51</v>
      </c>
      <c r="M35" s="132">
        <f t="shared" si="0"/>
        <v>45.408000000000001</v>
      </c>
      <c r="N35" s="133" t="str">
        <f>VLOOKUP(C35,'Trips&amp;Operators'!$C$1:$G$99911,5,FALSE)</f>
        <v>HOLCOMB KAMDEN</v>
      </c>
      <c r="O35" s="176" t="s">
        <v>179</v>
      </c>
      <c r="P35" s="134"/>
      <c r="Q35" s="30"/>
      <c r="R35" s="81" t="str">
        <f>VLOOKUP(C35,'Train Runs'!$A$13:$AE$9973,31,0)</f>
        <v>aws s3 cp s3://rtdc.mdm.uploadarchive.raw/RTDC4049/ "%USERPROFILE%\AppData\Local\Temp\OnboardLogs"\RTDC4049\2017-09-24 --exclude "*" --recursive --include "*20170924*" &amp; "%USERPROFILE%\Documents\GitHub\mrs-test-scripts\Headless Mode &amp; Sideloading\WalkAndUnGZ.bat" "%USERPROFILE%\AppData\Local\Temp\OnboardLogs"\RTDC4049\2017-09-24 &amp; aws s3 cp s3://rtdc.mdm.uploadarchive.raw/RTDC4049/ "%USERPROFILE%\AppData\Local\Temp\OnboardLogs"\RTDC4049\2017-09-25 --exclude "*" --recursive --include "*20170925*" &amp; "%USERPROFILE%\Documents\GitHub\mrs-test-scripts\Headless Mode &amp; Sideloading\WalkAndUnGZ.bat" "%USERPROFILE%\AppData\Local\Temp\OnboardLogs"\RTDC4049\2017-09-25</v>
      </c>
      <c r="S35" s="84" t="str">
        <f>VLOOKUP(C35,'Train Runs'!$A$13:$AE$9973,22,0)</f>
        <v>https://d0f6bd738d7f1b3e5a7ca70fe4ff75f0.us-east-1.aws.found.io/app/kibana#/discover/Steve-Slow-Train-Analysis-(2080s-and-2083s)?_g=(refreshInterval:(display:Off,pause:!f,section:0,value:0),time:(from:'2017-09-24T19:06:00-0600',mode:absolute,to:'2017-09-24T21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4049%22')),sort:!(Time.ISO8601,asc))</v>
      </c>
      <c r="T35" s="86" t="str">
        <f t="shared" si="1"/>
        <v>"C:\Program Files (x86)\AstroGrep\AstroGrep.exe" /e /r /s /spath="%USERPROFILE%\AppData\Local\Temp\OnboardLogs" /stypes="*4049*201709250*" /stext=" 02:.+((SYSTEM_STATE.+slice.+state.+changed )|(ment ac)|(multiple cpu faults)|(system.+state.+changed )|(\[timeout)|(PRM\|1\|D)|(kpr)|(kdp)|(train st.+moving)|(\|lc)|(penalty))"</v>
      </c>
      <c r="U35" s="9" t="str">
        <f t="shared" si="2"/>
        <v>4049</v>
      </c>
      <c r="V35" s="31">
        <f t="shared" si="3"/>
        <v>43003.12159722222</v>
      </c>
      <c r="W35" s="45" t="str">
        <f t="shared" si="4"/>
        <v>NW</v>
      </c>
      <c r="X35" s="22">
        <f t="shared" si="5"/>
        <v>1830</v>
      </c>
      <c r="Y35" s="96" t="str">
        <f t="shared" si="6"/>
        <v>echo {"issue":{"subject":"","project_id":79,"tracker_id":40,"status_id":1,"priority_id":2,"assigned_to_id":338,"start_date":"2017-09-24","description":"","custom_fields":[{"id":1,"name":"Subdivision","value":"NW"},{"id":4,"name":"Milepost","value":"0.0575"},{"id":17,"name":"Train ID","value":"1830-24"},{"id":16,"name":"Locomotive ID","value":"4049"},{"id":130,"name":"Impact","value":""},{"id":150,"name":"Time of Event (Mountain Time)","value":"20:55:06"},{"id":151,"name":"Denver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5" s="159"/>
      <c r="AA35" s="47"/>
      <c r="AB35" s="47"/>
      <c r="AC35" s="115" t="str">
        <f t="shared" si="7"/>
        <v>grep -hrE -A400 "Enforcement Action" /c/Users/stu/AppData/Local/Temp/OnboardLogs/RTDC4049 --include="*4049*201709250*" | grep -E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"%USERPROFILE%\AppData\Local\Temp\OnboardLogs"\RTDC4049\*4049*201709250* &gt;&gt; 2017-09-24-SliceDisagreementCheck.txt</v>
      </c>
      <c r="AE35" s="145" t="str">
        <f t="shared" si="9"/>
        <v>start /low /b %USERPROFILE%\Documents\GitHub\eaglep3\Utilities\DownloadLogsFromS3.py --loco 4049 --day 2017-09-25</v>
      </c>
      <c r="AF35" s="1"/>
    </row>
    <row r="36" spans="1:32" x14ac:dyDescent="0.25">
      <c r="A36" s="31">
        <v>43002.599189814813</v>
      </c>
      <c r="B36" s="30" t="s">
        <v>596</v>
      </c>
      <c r="C36" s="30" t="s">
        <v>597</v>
      </c>
      <c r="D36" s="30" t="s">
        <v>49</v>
      </c>
      <c r="E36" s="30" t="s">
        <v>180</v>
      </c>
      <c r="F36" s="42">
        <v>0</v>
      </c>
      <c r="G36" s="42">
        <v>68</v>
      </c>
      <c r="H36" s="42">
        <v>58845</v>
      </c>
      <c r="I36" s="42">
        <v>58912</v>
      </c>
      <c r="J36" s="30" t="s">
        <v>181</v>
      </c>
      <c r="K36" s="42">
        <v>59048</v>
      </c>
      <c r="L36" s="131" t="s">
        <v>50</v>
      </c>
      <c r="M36" s="132">
        <f t="shared" si="0"/>
        <v>71.808000000000007</v>
      </c>
      <c r="N36" s="133" t="str">
        <f>VLOOKUP(C36,'Trips&amp;Operators'!$C$1:$G$99911,5,FALSE)</f>
        <v>HOLCOMB KAMDEN</v>
      </c>
      <c r="O36" s="176" t="s">
        <v>179</v>
      </c>
      <c r="P36" s="134"/>
      <c r="Q36" s="30"/>
      <c r="R36" s="81" t="str">
        <f>VLOOKUP(C36,'Train Runs'!$A$13:$AE$9973,31,0)</f>
        <v>aws s3 cp s3://rtdc.mdm.uploadarchive.raw/RTDC4050/ "%USERPROFILE%\AppData\Local\Temp\OnboardLogs"\RTDC4050\2017-09-24 --exclude "*" --recursive --include "*20170924*" &amp; "%USERPROFILE%\Documents\GitHub\mrs-test-scripts\Headless Mode &amp; Sideloading\WalkAndUnGZ.bat" "%USERPROFILE%\AppData\Local\Temp\OnboardLogs"\RTDC4050\2017-09-24 &amp; 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</v>
      </c>
      <c r="S36" s="84" t="str">
        <f>VLOOKUP(C36,'Train Runs'!$A$13:$AE$9973,22,0)</f>
        <v>https://d0f6bd738d7f1b3e5a7ca70fe4ff75f0.us-east-1.aws.found.io/app/kibana#/discover/Steve-Slow-Train-Analysis-(2080s-and-2083s)?_g=(refreshInterval:(display:Off,pause:!f,section:0,value:0),time:(from:'2017-09-24T13:01:32-0600',mode:absolute,to:'2017-09-24T15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6" s="86" t="str">
        <f t="shared" si="1"/>
        <v>"C:\Program Files (x86)\AstroGrep\AstroGrep.exe" /e /r /s /spath="%USERPROFILE%\AppData\Local\Temp\OnboardLogs" /stypes="*4050*201709242*" /stext=" 20:.+((SYSTEM_STATE.+slice.+state.+changed )|(ment ac)|(multiple cpu faults)|(system.+state.+changed )|(\[timeout)|(PRM\|1\|D)|(kpr)|(kdp)|(train st.+moving)|(\|lc)|(penalty))"</v>
      </c>
      <c r="U36" s="9" t="str">
        <f t="shared" si="2"/>
        <v>4050</v>
      </c>
      <c r="V36" s="31">
        <f t="shared" si="3"/>
        <v>43002.849189814813</v>
      </c>
      <c r="W36" s="45" t="str">
        <f t="shared" si="4"/>
        <v>NW</v>
      </c>
      <c r="X36" s="22">
        <f t="shared" si="5"/>
        <v>1817</v>
      </c>
      <c r="Y36" s="96" t="str">
        <f t="shared" si="6"/>
        <v>echo {"issue":{"subject":"","project_id":79,"tracker_id":40,"status_id":1,"priority_id":2,"assigned_to_id":338,"start_date":"2017-09-24","description":"","custom_fields":[{"id":1,"name":"Subdivision","value":"NW"},{"id":4,"name":"Milepost","value":"5.9048"},{"id":17,"name":"Train ID","value":"1817-24"},{"id":16,"name":"Locomotive ID","value":"4050"},{"id":130,"name":"Impact","value":""},{"id":150,"name":"Time of Event (Mountain Time)","value":"14:22:50"},{"id":151,"name":"Denver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6" s="159"/>
      <c r="AA36" s="47"/>
      <c r="AB36" s="47"/>
      <c r="AC36" s="115" t="str">
        <f t="shared" si="7"/>
        <v>grep -hrE -A400 "Enforcement Action" /c/Users/stu/AppData/Local/Temp/OnboardLogs/RTDC4050 --include="*4050*201709242*" | grep -E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"%USERPROFILE%\AppData\Local\Temp\OnboardLogs"\RTDC4050\*4050*201709242* &gt;&gt; 2017-09-24-SliceDisagreementCheck.txt</v>
      </c>
      <c r="AE36" s="145" t="str">
        <f t="shared" si="9"/>
        <v>start /low /b %USERPROFILE%\Documents\GitHub\eaglep3\Utilities\DownloadLogsFromS3.py --loco 4050 --day 2017-09-24</v>
      </c>
      <c r="AF36" s="1"/>
    </row>
    <row r="37" spans="1:32" x14ac:dyDescent="0.25">
      <c r="A37" s="31">
        <v>43002.599780092591</v>
      </c>
      <c r="B37" s="30" t="s">
        <v>596</v>
      </c>
      <c r="C37" s="30" t="s">
        <v>597</v>
      </c>
      <c r="D37" s="30" t="s">
        <v>49</v>
      </c>
      <c r="E37" s="30" t="s">
        <v>180</v>
      </c>
      <c r="F37" s="42">
        <v>0</v>
      </c>
      <c r="G37" s="42">
        <v>8</v>
      </c>
      <c r="H37" s="42">
        <v>59039</v>
      </c>
      <c r="I37" s="42">
        <v>59039</v>
      </c>
      <c r="J37" s="30" t="s">
        <v>181</v>
      </c>
      <c r="K37" s="42">
        <v>59048</v>
      </c>
      <c r="L37" s="131" t="s">
        <v>50</v>
      </c>
      <c r="M37" s="132">
        <f t="shared" si="0"/>
        <v>4.7519999999999998</v>
      </c>
      <c r="N37" s="133" t="str">
        <f>VLOOKUP(C37,'Trips&amp;Operators'!$C$1:$G$99911,5,FALSE)</f>
        <v>HOLCOMB KAMDEN</v>
      </c>
      <c r="O37" s="176" t="s">
        <v>179</v>
      </c>
      <c r="P37" s="134"/>
      <c r="Q37" s="30"/>
      <c r="R37" s="81" t="str">
        <f>VLOOKUP(C37,'Train Runs'!$A$13:$AE$9973,31,0)</f>
        <v>aws s3 cp s3://rtdc.mdm.uploadarchive.raw/RTDC4050/ "%USERPROFILE%\AppData\Local\Temp\OnboardLogs"\RTDC4050\2017-09-24 --exclude "*" --recursive --include "*20170924*" &amp; "%USERPROFILE%\Documents\GitHub\mrs-test-scripts\Headless Mode &amp; Sideloading\WalkAndUnGZ.bat" "%USERPROFILE%\AppData\Local\Temp\OnboardLogs"\RTDC4050\2017-09-24 &amp; 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</v>
      </c>
      <c r="S37" s="84" t="str">
        <f>VLOOKUP(C37,'Train Runs'!$A$13:$AE$9973,22,0)</f>
        <v>https://d0f6bd738d7f1b3e5a7ca70fe4ff75f0.us-east-1.aws.found.io/app/kibana#/discover/Steve-Slow-Train-Analysis-(2080s-and-2083s)?_g=(refreshInterval:(display:Off,pause:!f,section:0,value:0),time:(from:'2017-09-24T13:01:32-0600',mode:absolute,to:'2017-09-24T15:22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7" s="86" t="str">
        <f t="shared" si="1"/>
        <v>"C:\Program Files (x86)\AstroGrep\AstroGrep.exe" /e /r /s /spath="%USERPROFILE%\AppData\Local\Temp\OnboardLogs" /stypes="*4050*201709242*" /stext=" 20:.+((SYSTEM_STATE.+slice.+state.+changed )|(ment ac)|(multiple cpu faults)|(system.+state.+changed )|(\[timeout)|(PRM\|1\|D)|(kpr)|(kdp)|(train st.+moving)|(\|lc)|(penalty))"</v>
      </c>
      <c r="U37" s="9" t="str">
        <f t="shared" si="2"/>
        <v>4050</v>
      </c>
      <c r="V37" s="31">
        <f t="shared" si="3"/>
        <v>43002.849780092591</v>
      </c>
      <c r="W37" s="45" t="str">
        <f t="shared" si="4"/>
        <v>NW</v>
      </c>
      <c r="X37" s="22">
        <f t="shared" si="5"/>
        <v>1817</v>
      </c>
      <c r="Y37" s="96" t="str">
        <f t="shared" si="6"/>
        <v>echo {"issue":{"subject":"","project_id":79,"tracker_id":40,"status_id":1,"priority_id":2,"assigned_to_id":338,"start_date":"2017-09-24","description":"","custom_fields":[{"id":1,"name":"Subdivision","value":"NW"},{"id":4,"name":"Milepost","value":"5.9048"},{"id":17,"name":"Train ID","value":"1817-24"},{"id":16,"name":"Locomotive ID","value":"4050"},{"id":130,"name":"Impact","value":""},{"id":150,"name":"Time of Event (Mountain Time)","value":"14:23:41"},{"id":151,"name":"Denver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7" s="159"/>
      <c r="AA37" s="47"/>
      <c r="AB37" s="47"/>
      <c r="AC37" s="115" t="str">
        <f t="shared" si="7"/>
        <v>grep -hrE -A400 "Enforcement Action" /c/Users/stu/AppData/Local/Temp/OnboardLogs/RTDC4050 --include="*4050*201709242*" | grep -E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"%USERPROFILE%\AppData\Local\Temp\OnboardLogs"\RTDC4050\*4050*201709242* &gt;&gt; 2017-09-24-SliceDisagreementCheck.txt</v>
      </c>
      <c r="AE37" s="145" t="str">
        <f t="shared" si="9"/>
        <v>start /low /b %USERPROFILE%\Documents\GitHub\eaglep3\Utilities\DownloadLogsFromS3.py --loco 4050 --day 2017-09-24</v>
      </c>
      <c r="AF37" s="1"/>
    </row>
    <row r="38" spans="1:32" x14ac:dyDescent="0.25">
      <c r="A38" s="31">
        <v>43002.766157407408</v>
      </c>
      <c r="B38" s="30" t="s">
        <v>596</v>
      </c>
      <c r="C38" s="30" t="s">
        <v>603</v>
      </c>
      <c r="D38" s="30" t="s">
        <v>49</v>
      </c>
      <c r="E38" s="30" t="s">
        <v>180</v>
      </c>
      <c r="F38" s="42">
        <v>0</v>
      </c>
      <c r="G38" s="42">
        <v>31</v>
      </c>
      <c r="H38" s="42">
        <v>59018</v>
      </c>
      <c r="I38" s="42">
        <v>59033</v>
      </c>
      <c r="J38" s="30" t="s">
        <v>181</v>
      </c>
      <c r="K38" s="42">
        <v>59048</v>
      </c>
      <c r="L38" s="131" t="s">
        <v>50</v>
      </c>
      <c r="M38" s="132">
        <f t="shared" si="0"/>
        <v>7.92</v>
      </c>
      <c r="N38" s="133" t="str">
        <f>VLOOKUP(C38,'Trips&amp;Operators'!$C$1:$G$99911,5,FALSE)</f>
        <v>HOLCOMB KAMDEN</v>
      </c>
      <c r="O38" s="176" t="s">
        <v>179</v>
      </c>
      <c r="P38" s="134"/>
      <c r="Q38" s="30"/>
      <c r="R38" s="81" t="str">
        <f>VLOOKUP(C38,'Train Runs'!$A$13:$AE$9973,31,0)</f>
        <v>aws s3 cp s3://rtdc.mdm.uploadarchive.raw/RTDC4050/ "%USERPROFILE%\AppData\Local\Temp\OnboardLogs"\RTDC4050\2017-09-24 --exclude "*" --recursive --include "*20170924*" &amp; "%USERPROFILE%\Documents\GitHub\mrs-test-scripts\Headless Mode &amp; Sideloading\WalkAndUnGZ.bat" "%USERPROFILE%\AppData\Local\Temp\OnboardLogs"\RTDC4050\2017-09-24 &amp; aws s3 cp s3://rtdc.mdm.uploadarchive.raw/RTDC4050/ "%USERPROFILE%\AppData\Local\Temp\OnboardLogs"\RTDC4050\2017-09-25 --exclude "*" --recursive --include "*20170925*" &amp; "%USERPROFILE%\Documents\GitHub\mrs-test-scripts\Headless Mode &amp; Sideloading\WalkAndUnGZ.bat" "%USERPROFILE%\AppData\Local\Temp\OnboardLogs"\RTDC4050\2017-09-25</v>
      </c>
      <c r="S38" s="84" t="str">
        <f>VLOOKUP(C38,'Train Runs'!$A$13:$AE$9973,22,0)</f>
        <v>https://d0f6bd738d7f1b3e5a7ca70fe4ff75f0.us-east-1.aws.found.io/app/kibana#/discover/Steve-Slow-Train-Analysis-(2080s-and-2083s)?_g=(refreshInterval:(display:Off,pause:!f,section:0,value:0),time:(from:'2017-09-24T16:36:28-0600',mode:absolute,to:'2017-09-24T19:23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4050%22')),sort:!(Time.ISO8601,asc))</v>
      </c>
      <c r="T38" s="86" t="str">
        <f t="shared" si="1"/>
        <v>"C:\Program Files (x86)\AstroGrep\AstroGrep.exe" /e /r /s /spath="%USERPROFILE%\AppData\Local\Temp\OnboardLogs" /stypes="*4050*201709250*" /stext=" 00:.+((SYSTEM_STATE.+slice.+state.+changed )|(ment ac)|(multiple cpu faults)|(system.+state.+changed )|(\[timeout)|(PRM\|1\|D)|(kpr)|(kdp)|(train st.+moving)|(\|lc)|(penalty))"</v>
      </c>
      <c r="U38" s="9" t="str">
        <f t="shared" si="2"/>
        <v>4050</v>
      </c>
      <c r="V38" s="31">
        <f t="shared" si="3"/>
        <v>43003.016157407408</v>
      </c>
      <c r="W38" s="45" t="str">
        <f t="shared" si="4"/>
        <v>NW</v>
      </c>
      <c r="X38" s="22">
        <f t="shared" si="5"/>
        <v>1825</v>
      </c>
      <c r="Y38" s="96" t="str">
        <f t="shared" si="6"/>
        <v>echo {"issue":{"subject":"","project_id":79,"tracker_id":40,"status_id":1,"priority_id":2,"assigned_to_id":338,"start_date":"2017-09-24","description":"","custom_fields":[{"id":1,"name":"Subdivision","value":"NW"},{"id":4,"name":"Milepost","value":"5.9048"},{"id":17,"name":"Train ID","value":"1825-24"},{"id":16,"name":"Locomotive ID","value":"4050"},{"id":130,"name":"Impact","value":""},{"id":150,"name":"Time of Event (Mountain Time)","value":"18:23:16"},{"id":151,"name":"Denver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8" s="159"/>
      <c r="AA38" s="47"/>
      <c r="AB38" s="47"/>
      <c r="AC38" s="115" t="str">
        <f t="shared" si="7"/>
        <v>grep -hrE -A400 "Enforcement Action" /c/Users/stu/AppData/Local/Temp/OnboardLogs/RTDC4050 --include="*4050*201709250*" | grep -E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"%USERPROFILE%\AppData\Local\Temp\OnboardLogs"\RTDC4050\*4050*201709250* &gt;&gt; 2017-09-24-SliceDisagreementCheck.txt</v>
      </c>
      <c r="AE38" s="145" t="str">
        <f t="shared" si="9"/>
        <v>start /low /b %USERPROFILE%\Documents\GitHub\eaglep3\Utilities\DownloadLogsFromS3.py --loco 4050 --day 2017-09-25</v>
      </c>
      <c r="AF38" s="1"/>
    </row>
    <row r="39" spans="1:32" x14ac:dyDescent="0.25">
      <c r="A39" s="31">
        <v>43002.202453703707</v>
      </c>
      <c r="B39" s="30" t="s">
        <v>427</v>
      </c>
      <c r="C39" s="30" t="s">
        <v>576</v>
      </c>
      <c r="D39" s="30" t="s">
        <v>49</v>
      </c>
      <c r="E39" s="30" t="s">
        <v>360</v>
      </c>
      <c r="F39" s="42">
        <v>0</v>
      </c>
      <c r="G39" s="42">
        <v>55</v>
      </c>
      <c r="H39" s="42">
        <v>19213</v>
      </c>
      <c r="I39" s="42">
        <v>19153</v>
      </c>
      <c r="J39" s="30" t="s">
        <v>361</v>
      </c>
      <c r="K39" s="42">
        <v>19000</v>
      </c>
      <c r="L39" s="131" t="s">
        <v>51</v>
      </c>
      <c r="M39" s="132">
        <f t="shared" si="0"/>
        <v>80.784000000000006</v>
      </c>
      <c r="N39" s="133" t="str">
        <f>VLOOKUP(C39,'Trips&amp;Operators'!$C$1:$G$99911,5,FALSE)</f>
        <v>WILLIAMS DONTE</v>
      </c>
      <c r="O39" s="176" t="s">
        <v>179</v>
      </c>
      <c r="P39" s="134"/>
      <c r="Q39" s="30"/>
      <c r="R39" s="81" t="str">
        <f>VLOOKUP(C39,'Train Runs'!$A$13:$AE$9973,31,0)</f>
        <v>aws s3 cp s3://rtdc.mdm.uploadarchive.raw/RTDC4023/ "%USERPROFILE%\AppData\Local\Temp\OnboardLogs"\RTDC4023\2017-09-24 --exclude "*" --recursive --include "*20170924*" &amp; "%USERPROFILE%\Documents\GitHub\mrs-test-scripts\Headless Mode &amp; Sideloading\WalkAndUnGZ.bat" "%USERPROFILE%\AppData\Local\Temp\OnboardLogs"\RTDC4023\2017-09-24 &amp; aws s3 cp s3://rtdc.mdm.uploadarchive.raw/RTDC4023/ "%USERPROFILE%\AppData\Local\Temp\OnboardLogs"\RTDC4023\2017-09-25 --exclude "*" --recursive --include "*20170925*" &amp; "%USERPROFILE%\Documents\GitHub\mrs-test-scripts\Headless Mode &amp; Sideloading\WalkAndUnGZ.bat" "%USERPROFILE%\AppData\Local\Temp\OnboardLogs"\RTDC4023\2017-09-25</v>
      </c>
      <c r="S39" s="84" t="str">
        <f>VLOOKUP(C39,'Train Runs'!$A$13:$AE$9973,22,0)</f>
        <v>https://d0f6bd738d7f1b3e5a7ca70fe4ff75f0.us-east-1.aws.found.io/app/kibana#/discover/Steve-Slow-Train-Analysis-(2080s-and-2083s)?_g=(refreshInterval:(display:Off,pause:!f,section:0,value:0),time:(from:'2017-09-24T03:43:45-0600',mode:absolute,to:'2017-09-24T07:50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39" s="86" t="str">
        <f t="shared" si="1"/>
        <v>"C:\Program Files (x86)\AstroGrep\AstroGrep.exe" /e /r /s /spath="%USERPROFILE%\AppData\Local\Temp\OnboardLogs" /stypes="*4023*201709241*" /stext=" 10:.+((SYSTEM_STATE.+slice.+state.+changed )|(ment ac)|(multiple cpu faults)|(system.+state.+changed )|(\[timeout)|(PRM\|1\|D)|(kpr)|(kdp)|(train st.+moving)|(\|lc)|(penalty))"</v>
      </c>
      <c r="U39" s="9" t="str">
        <f t="shared" si="2"/>
        <v>4023</v>
      </c>
      <c r="V39" s="31">
        <f t="shared" si="3"/>
        <v>43002.452453703707</v>
      </c>
      <c r="W39" s="45" t="str">
        <f t="shared" si="4"/>
        <v>Other</v>
      </c>
      <c r="X39" s="22">
        <f t="shared" si="5"/>
        <v>310</v>
      </c>
      <c r="Y39" s="96" t="str">
        <f t="shared" si="6"/>
        <v>echo {"issue":{"subject":"","project_id":79,"tracker_id":40,"status_id":1,"priority_id":2,"assigned_to_id":338,"start_date":"2017-09-24","description":"","custom_fields":[{"id":1,"name":"Subdivision","value":"Other"},{"id":4,"name":"Milepost","value":"1.9"},{"id":17,"name":"Train ID","value":"310-24"},{"id":16,"name":"Locomotive ID","value":"4023"},{"id":130,"name":"Impact","value":""},{"id":150,"name":"Time of Event (Mountain Time)","value":"04:51:32"},{"id":151,"name":"Denver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39" s="159"/>
      <c r="AA39" s="47"/>
      <c r="AB39" s="47"/>
      <c r="AC39" s="115" t="str">
        <f t="shared" si="7"/>
        <v>grep -hrE -A400 "Enforcement Action" /c/Users/stu/AppData/Local/Temp/OnboardLogs/RTDC4023 --include="*4023*201709241*" | grep -E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"%USERPROFILE%\AppData\Local\Temp\OnboardLogs"\RTDC4023\*4023*201709241* &gt;&gt; 2017-09-24-SliceDisagreementCheck.txt</v>
      </c>
      <c r="AE39" s="145" t="str">
        <f t="shared" si="9"/>
        <v>start /low /b %USERPROFILE%\Documents\GitHub\eaglep3\Utilities\DownloadLogsFromS3.py --loco 4023 --day 2017-09-24</v>
      </c>
      <c r="AF39" s="1"/>
    </row>
    <row r="40" spans="1:32" x14ac:dyDescent="0.25">
      <c r="A40" s="31">
        <v>43002.228877314818</v>
      </c>
      <c r="B40" s="30" t="s">
        <v>442</v>
      </c>
      <c r="C40" s="30" t="s">
        <v>578</v>
      </c>
      <c r="D40" s="30" t="s">
        <v>49</v>
      </c>
      <c r="E40" s="30" t="s">
        <v>360</v>
      </c>
      <c r="F40" s="42">
        <v>0</v>
      </c>
      <c r="G40" s="42">
        <v>20</v>
      </c>
      <c r="H40" s="42">
        <v>19006</v>
      </c>
      <c r="I40" s="42">
        <v>18990</v>
      </c>
      <c r="J40" s="30" t="s">
        <v>361</v>
      </c>
      <c r="K40" s="42">
        <v>19000</v>
      </c>
      <c r="L40" s="131" t="s">
        <v>51</v>
      </c>
      <c r="M40" s="132">
        <f t="shared" si="0"/>
        <v>-5.28</v>
      </c>
      <c r="N40" s="133" t="str">
        <f>VLOOKUP(C40,'Trips&amp;Operators'!$C$1:$G$99911,5,FALSE)</f>
        <v>LAMAR NEKESHA</v>
      </c>
      <c r="O40" s="176" t="s">
        <v>179</v>
      </c>
      <c r="P40" s="134"/>
      <c r="Q40" s="30"/>
      <c r="R40" s="81" t="str">
        <f>VLOOKUP(C40,'Train Runs'!$A$13:$AE$9973,31,0)</f>
        <v>aws s3 cp s3://rtdc.mdm.uploadarchive.raw/RTDC4017/ "%USERPROFILE%\AppData\Local\Temp\OnboardLogs"\RTDC4017\2017-09-24 --exclude "*" --recursive --include "*20170924*" &amp; "%USERPROFILE%\Documents\GitHub\mrs-test-scripts\Headless Mode &amp; Sideloading\WalkAndUnGZ.bat" "%USERPROFILE%\AppData\Local\Temp\OnboardLogs"\RTDC4017\2017-09-24 &amp; aws s3 cp s3://rtdc.mdm.uploadarchive.raw/RTDC4017/ "%USERPROFILE%\AppData\Local\Temp\OnboardLogs"\RTDC4017\2017-09-25 --exclude "*" --recursive --include "*20170925*" &amp; "%USERPROFILE%\Documents\GitHub\mrs-test-scripts\Headless Mode &amp; Sideloading\WalkAndUnGZ.bat" "%USERPROFILE%\AppData\Local\Temp\OnboardLogs"\RTDC4017\2017-09-25</v>
      </c>
      <c r="S40" s="84" t="str">
        <f>VLOOKUP(C40,'Train Runs'!$A$13:$AE$9973,22,0)</f>
        <v>https://d0f6bd738d7f1b3e5a7ca70fe4ff75f0.us-east-1.aws.found.io/app/kibana#/discover/Steve-Slow-Train-Analysis-(2080s-and-2083s)?_g=(refreshInterval:(display:Off,pause:!f,section:0,value:0),time:(from:'2017-09-24T04:20:19-0600',mode:absolute,to:'2017-09-24T06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40" s="86" t="str">
        <f t="shared" si="1"/>
        <v>"C:\Program Files (x86)\AstroGrep\AstroGrep.exe" /e /r /s /spath="%USERPROFILE%\AppData\Local\Temp\OnboardLogs" /stypes="*4017*201709241*" /stext=" 11:.+((SYSTEM_STATE.+slice.+state.+changed )|(ment ac)|(multiple cpu faults)|(system.+state.+changed )|(\[timeout)|(PRM\|1\|D)|(kpr)|(kdp)|(train st.+moving)|(\|lc)|(penalty))"</v>
      </c>
      <c r="U40" s="9" t="str">
        <f t="shared" si="2"/>
        <v>4017</v>
      </c>
      <c r="V40" s="31">
        <f t="shared" si="3"/>
        <v>43002.478877314818</v>
      </c>
      <c r="W40" s="45" t="str">
        <f t="shared" si="4"/>
        <v>Other</v>
      </c>
      <c r="X40" s="22">
        <f t="shared" si="5"/>
        <v>312</v>
      </c>
      <c r="Y40" s="96" t="str">
        <f t="shared" si="6"/>
        <v>echo {"issue":{"subject":"","project_id":79,"tracker_id":40,"status_id":1,"priority_id":2,"assigned_to_id":338,"start_date":"2017-09-24","description":"","custom_fields":[{"id":1,"name":"Subdivision","value":"Other"},{"id":4,"name":"Milepost","value":"1.9"},{"id":17,"name":"Train ID","value":"312-24"},{"id":16,"name":"Locomotive ID","value":"4017"},{"id":130,"name":"Impact","value":""},{"id":150,"name":"Time of Event (Mountain Time)","value":"05:29:35"},{"id":151,"name":"Denver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0" s="159"/>
      <c r="AA40" s="47"/>
      <c r="AB40" s="47"/>
      <c r="AC40" s="115" t="str">
        <f t="shared" si="7"/>
        <v>grep -hrE -A400 "Enforcement Action" /c/Users/stu/AppData/Local/Temp/OnboardLogs/RTDC4017 --include="*4017*201709241*" | grep -E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"%USERPROFILE%\AppData\Local\Temp\OnboardLogs"\RTDC4017\*4017*201709241* &gt;&gt; 2017-09-24-SliceDisagreementCheck.txt</v>
      </c>
      <c r="AE40" s="145" t="str">
        <f t="shared" si="9"/>
        <v>start /low /b %USERPROFILE%\Documents\GitHub\eaglep3\Utilities\DownloadLogsFromS3.py --loco 4017 --day 2017-09-24</v>
      </c>
      <c r="AF40" s="1"/>
    </row>
    <row r="41" spans="1:32" x14ac:dyDescent="0.25">
      <c r="A41" s="31">
        <v>43002.458356481482</v>
      </c>
      <c r="B41" s="30" t="s">
        <v>513</v>
      </c>
      <c r="C41" s="30" t="s">
        <v>592</v>
      </c>
      <c r="D41" s="30" t="s">
        <v>49</v>
      </c>
      <c r="E41" s="30" t="s">
        <v>180</v>
      </c>
      <c r="F41" s="42">
        <v>0</v>
      </c>
      <c r="G41" s="42">
        <v>17</v>
      </c>
      <c r="H41" s="42">
        <v>852</v>
      </c>
      <c r="I41" s="42">
        <v>845</v>
      </c>
      <c r="J41" s="30" t="s">
        <v>181</v>
      </c>
      <c r="K41" s="42">
        <v>826</v>
      </c>
      <c r="L41" s="131" t="s">
        <v>51</v>
      </c>
      <c r="M41" s="132">
        <f t="shared" si="0"/>
        <v>10.032</v>
      </c>
      <c r="N41" s="133" t="str">
        <f>VLOOKUP(C41,'Trips&amp;Operators'!$C$1:$G$99911,5,FALSE)</f>
        <v>DELGADO DIANAH</v>
      </c>
      <c r="O41" s="176" t="s">
        <v>179</v>
      </c>
      <c r="P41" s="134"/>
      <c r="Q41" s="30"/>
      <c r="R41" s="81" t="str">
        <f>VLOOKUP(C41,'Train Runs'!$A$13:$AE$9973,31,0)</f>
        <v>aws s3 cp s3://rtdc.mdm.uploadarchive.raw/RTDC4052/ "%USERPROFILE%\AppData\Local\Temp\OnboardLogs"\RTDC4052\2017-09-24 --exclude "*" --recursive --include "*20170924*" &amp; "%USERPROFILE%\Documents\GitHub\mrs-test-scripts\Headless Mode &amp; Sideloading\WalkAndUnGZ.bat" "%USERPROFILE%\AppData\Local\Temp\OnboardLogs"\RTDC4052\2017-09-24 &amp; aws s3 cp s3://rtdc.mdm.uploadarchive.raw/RTDC4052/ "%USERPROFILE%\AppData\Local\Temp\OnboardLogs"\RTDC4052\2017-09-25 --exclude "*" --recursive --include "*20170925*" &amp; "%USERPROFILE%\Documents\GitHub\mrs-test-scripts\Headless Mode &amp; Sideloading\WalkAndUnGZ.bat" "%USERPROFILE%\AppData\Local\Temp\OnboardLogs"\RTDC4052\2017-09-25</v>
      </c>
      <c r="S41" s="84" t="str">
        <f>VLOOKUP(C41,'Train Runs'!$A$13:$AE$9973,22,0)</f>
        <v>https://d0f6bd738d7f1b3e5a7ca70fe4ff75f0.us-east-1.aws.found.io/app/kibana#/discover/Steve-Slow-Train-Analysis-(2080s-and-2083s)?_g=(refreshInterval:(display:Off,pause:!f,section:0,value:0),time:(from:'2017-09-24T01:58:15-0600',mode:absolute,to:'2017-09-24T04:22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41" s="86" t="str">
        <f t="shared" si="1"/>
        <v>"C:\Program Files (x86)\AstroGrep\AstroGrep.exe" /e /r /s /spath="%USERPROFILE%\AppData\Local\Temp\OnboardLogs" /stypes="*4013*201709241*" /stext=" 17:.+((SYSTEM_STATE.+slice.+state.+changed )|(ment ac)|(multiple cpu faults)|(system.+state.+changed )|(\[timeout)|(PRM\|1\|D)|(kpr)|(kdp)|(train st.+moving)|(\|lc)|(penalty))"</v>
      </c>
      <c r="U41" s="9" t="str">
        <f t="shared" si="2"/>
        <v>4013</v>
      </c>
      <c r="V41" s="31">
        <f t="shared" si="3"/>
        <v>43002.708356481482</v>
      </c>
      <c r="W41" s="45" t="str">
        <f t="shared" si="4"/>
        <v>Shuttle/Test</v>
      </c>
      <c r="X41" s="22">
        <f t="shared" si="5"/>
        <v>51</v>
      </c>
      <c r="Y41" s="96" t="str">
        <f t="shared" si="6"/>
        <v>echo {"issue":{"subject":"","project_id":79,"tracker_id":40,"status_id":1,"priority_id":2,"assigned_to_id":338,"start_date":"2017-09-24","description":"","custom_fields":[{"id":1,"name":"Subdivision","value":"Shuttle/Test"},{"id":4,"name":"Milepost","value":"0.0826"},{"id":17,"name":"Train ID","value":"51-24"},{"id":16,"name":"Locomotive ID","value":"4013"},{"id":130,"name":"Impact","value":""},{"id":150,"name":"Time of Event (Mountain Time)","value":"11:00:02"},{"id":151,"name":"Denver Issue ID","value":""},{"id":178,"name":"Operational Impact","value":"Yes"},{"id":179,"name":"Denver Segment Assigned","value":""}]}} | curl --insecure -X POST -H "Content-Type: application/json" -H "X-Redmine-API-Key: d6333d4a04012a730768444271f8ca06482dae87" https://secure.xorail.net/redmine/issues.json --data @-</v>
      </c>
      <c r="Z41" s="159"/>
      <c r="AA41" s="47"/>
      <c r="AB41" s="47"/>
      <c r="AC41" s="115" t="str">
        <f t="shared" si="7"/>
        <v>grep -hrE -A400 "Enforcement Action" /c/Users/stu/AppData/Local/Temp/OnboardLogs/RTDC4013 --include="*4013*201709241*" | grep -E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"%USERPROFILE%\AppData\Local\Temp\OnboardLogs"\RTDC4013\*4013*201709241* &gt;&gt; 2017-09-24-SliceDisagreementCheck.txt</v>
      </c>
      <c r="AE41" s="145" t="str">
        <f t="shared" si="9"/>
        <v>start /low /b %USERPROFILE%\Documents\GitHub\eaglep3\Utilities\DownloadLogsFromS3.py --loco 4013 --day 2017-09-24</v>
      </c>
      <c r="AF41" s="1"/>
    </row>
    <row r="42" spans="1:32" x14ac:dyDescent="0.25">
      <c r="A42"/>
      <c r="D42"/>
      <c r="E42"/>
      <c r="F42"/>
      <c r="G42"/>
      <c r="H42"/>
      <c r="I42"/>
      <c r="J42"/>
      <c r="K42"/>
      <c r="L42"/>
      <c r="M42"/>
      <c r="N42"/>
      <c r="O42"/>
      <c r="P42"/>
      <c r="R42"/>
      <c r="S42"/>
      <c r="T42"/>
      <c r="V42"/>
      <c r="X42"/>
      <c r="Z42"/>
      <c r="AC42"/>
      <c r="AE42"/>
    </row>
    <row r="43" spans="1:32" x14ac:dyDescent="0.25">
      <c r="A43"/>
      <c r="D43"/>
      <c r="E43"/>
      <c r="F43"/>
      <c r="G43"/>
      <c r="H43"/>
      <c r="I43"/>
      <c r="J43"/>
      <c r="K43"/>
      <c r="L43"/>
      <c r="M43"/>
      <c r="N43"/>
      <c r="O43"/>
      <c r="P43"/>
      <c r="R43"/>
      <c r="S43"/>
      <c r="T43"/>
      <c r="V43"/>
      <c r="X43"/>
      <c r="Z43"/>
      <c r="AC43"/>
      <c r="AE43"/>
    </row>
    <row r="44" spans="1:32" x14ac:dyDescent="0.25">
      <c r="A44"/>
      <c r="D44"/>
      <c r="E44"/>
      <c r="F44"/>
      <c r="G44"/>
      <c r="H44"/>
      <c r="I44"/>
      <c r="J44"/>
      <c r="K44"/>
      <c r="L44"/>
      <c r="M44"/>
      <c r="N44"/>
      <c r="O44"/>
      <c r="P44"/>
      <c r="R44"/>
      <c r="S44"/>
      <c r="T44"/>
      <c r="V44"/>
      <c r="X44"/>
      <c r="Z44"/>
      <c r="AC44"/>
      <c r="AE44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X45"/>
      <c r="Z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X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X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X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X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X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X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X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X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X54"/>
      <c r="Z54"/>
      <c r="AC54"/>
      <c r="AE54"/>
    </row>
  </sheetData>
  <autoFilter ref="A6:AC45">
    <sortState ref="A7:AC45">
      <sortCondition ref="W7:W41"/>
      <sortCondition ref="E7:E41"/>
      <sortCondition ref="K7:K41"/>
      <sortCondition ref="F7:F41"/>
    </sortState>
  </autoFilter>
  <sortState ref="A7:AE27">
    <sortCondition ref="W7:W27"/>
    <sortCondition ref="E7:E27"/>
    <sortCondition ref="K7:K27"/>
    <sortCondition ref="C7:C27"/>
    <sortCondition ref="F7:F27"/>
  </sortState>
  <mergeCells count="1">
    <mergeCell ref="A5:O5"/>
  </mergeCells>
  <conditionalFormatting sqref="O6:P6 R6 O55:O1048576 O7:O41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1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AA7:AA41</xm:sqref>
        </x14:dataValidation>
        <x14:dataValidation type="list" allowBlank="1" showInputMessage="1" showErrorMessage="1">
          <x14:formula1>
            <xm:f>'Redmine List Values'!$C$2:$C$15</xm:f>
          </x14:formula1>
          <xm:sqref>AB7:AB41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A5" sqref="A5"/>
    </sheetView>
  </sheetViews>
  <sheetFormatPr defaultRowHeight="15" x14ac:dyDescent="0.25"/>
  <cols>
    <col min="1" max="1" width="8" style="196" customWidth="1"/>
    <col min="2" max="2" width="9.140625" style="2" customWidth="1"/>
    <col min="3" max="3" width="8" style="88" bestFit="1" customWidth="1"/>
    <col min="4" max="4" width="9.85546875" style="139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9" width="9.140625" style="189" customWidth="1"/>
    <col min="10" max="10" width="9.140625" customWidth="1"/>
  </cols>
  <sheetData>
    <row r="1" spans="1:10" s="20" customFormat="1" x14ac:dyDescent="0.25">
      <c r="A1" s="196"/>
      <c r="B1" s="226" t="str">
        <f>"Trips that did not appear in PTC Data "&amp;TEXT(Variables!$A$2,"YYYY-mm-dd")</f>
        <v>Trips that did not appear in PTC Data 2017-09-24</v>
      </c>
      <c r="C1" s="226"/>
      <c r="D1" s="226"/>
      <c r="E1" s="226"/>
      <c r="F1" s="226"/>
      <c r="I1" s="189"/>
    </row>
    <row r="2" spans="1:10" s="23" customFormat="1" ht="45" x14ac:dyDescent="0.25">
      <c r="A2" s="224" t="s">
        <v>147</v>
      </c>
      <c r="B2" s="90" t="s">
        <v>58</v>
      </c>
      <c r="C2" s="87" t="s">
        <v>59</v>
      </c>
      <c r="D2" s="152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90" t="s">
        <v>101</v>
      </c>
      <c r="J2" s="28" t="s">
        <v>60</v>
      </c>
    </row>
    <row r="3" spans="1:10" x14ac:dyDescent="0.25">
      <c r="A3" s="198"/>
      <c r="B3" s="42" t="str">
        <f>A3&amp;"-"&amp;IF(DAY(Variables!$A$2)&lt;10,0,"")&amp;DAY(Variables!$A$2)</f>
        <v>-24</v>
      </c>
      <c r="C3" s="135"/>
      <c r="D3" s="153" t="e">
        <f>VLOOKUP(B3,'Trips&amp;Operators'!$C$1:$H$1072,6,FALSE)</f>
        <v>#N/A</v>
      </c>
      <c r="E3" s="30"/>
      <c r="F3" s="21" t="e">
        <f>VLOOKUP(B3,'Trips&amp;Operators'!$C$2:$E$9912,3,FALSE)</f>
        <v>#N/A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1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3" s="30" t="e">
        <f>VLOOKUP(B3,'Train Runs'!$A$13:$A$99970,1,FALSE)</f>
        <v>#N/A</v>
      </c>
    </row>
    <row r="4" spans="1:10" x14ac:dyDescent="0.25">
      <c r="A4" s="198"/>
      <c r="B4" s="42" t="str">
        <f>A4&amp;"-"&amp;IF(DAY(Variables!$A$2)&lt;10,0,"")&amp;DAY(Variables!$A$2)</f>
        <v>-24</v>
      </c>
      <c r="C4" s="135"/>
      <c r="D4" s="153" t="e">
        <f>VLOOKUP(B4,'Trips&amp;Operators'!$C$1:$H$1072,6,FALSE)</f>
        <v>#N/A</v>
      </c>
      <c r="E4" s="30"/>
      <c r="F4" s="21" t="e">
        <f>VLOOKUP(B4,'Trips&amp;Operators'!$C$2:$E$9912,3,FALSE)</f>
        <v>#N/A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4" s="30" t="e">
        <f>VLOOKUP(B4,'Train Runs'!$A$13:$A$99970,1,FALSE)</f>
        <v>#N/A</v>
      </c>
    </row>
    <row r="5" spans="1:10" x14ac:dyDescent="0.25">
      <c r="A5" s="198"/>
      <c r="B5" s="42" t="str">
        <f>A5&amp;"-"&amp;IF(DAY(Variables!$A$2)&lt;10,0,"")&amp;DAY(Variables!$A$2)</f>
        <v>-24</v>
      </c>
      <c r="C5" s="135"/>
      <c r="D5" s="153" t="e">
        <f>VLOOKUP(B5,'Trips&amp;Operators'!$C$1:$H$1072,6,FALSE)</f>
        <v>#N/A</v>
      </c>
      <c r="E5" s="30"/>
      <c r="F5" s="21" t="e">
        <f>VLOOKUP(B5,'Trips&amp;Operators'!$C$2:$E$9912,3,FALSE)</f>
        <v>#N/A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5" s="30" t="e">
        <f>VLOOKUP(B5,'Train Runs'!$A$13:$A$99970,1,FALSE)</f>
        <v>#N/A</v>
      </c>
    </row>
    <row r="6" spans="1:10" x14ac:dyDescent="0.25">
      <c r="A6" s="198"/>
      <c r="B6" s="42" t="str">
        <f>A6&amp;"-"&amp;IF(DAY(Variables!$A$2)&lt;10,0,"")&amp;DAY(Variables!$A$2)</f>
        <v>-24</v>
      </c>
      <c r="C6" s="135"/>
      <c r="D6" s="153" t="e">
        <f>VLOOKUP(B6,'Trips&amp;Operators'!$C$1:$H$1072,6,FALSE)</f>
        <v>#N/A</v>
      </c>
      <c r="E6" s="30"/>
      <c r="F6" s="21" t="e">
        <f>VLOOKUP(B6,'Trips&amp;Operators'!$C$2:$E$9912,3,FALSE)</f>
        <v>#N/A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6" s="30" t="e">
        <f>VLOOKUP(B6,'Train Runs'!$A$13:$A$99970,1,FALSE)</f>
        <v>#N/A</v>
      </c>
    </row>
    <row r="7" spans="1:10" x14ac:dyDescent="0.25">
      <c r="A7" s="198"/>
      <c r="B7" s="42" t="str">
        <f>A7&amp;"-"&amp;IF(DAY(Variables!$A$2)&lt;10,0,"")&amp;DAY(Variables!$A$2)</f>
        <v>-24</v>
      </c>
      <c r="C7" s="135"/>
      <c r="D7" s="153" t="e">
        <f>VLOOKUP(B7,'Trips&amp;Operators'!$C$1:$H$1072,6,FALSE)</f>
        <v>#N/A</v>
      </c>
      <c r="E7" s="30"/>
      <c r="F7" s="21" t="e">
        <f>VLOOKUP(B7,'Trips&amp;Operators'!$C$2:$E$9912,3,FALSE)</f>
        <v>#N/A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7" s="30" t="e">
        <f>VLOOKUP(B7,'Train Runs'!$A$13:$A$99970,1,FALSE)</f>
        <v>#N/A</v>
      </c>
    </row>
    <row r="8" spans="1:10" x14ac:dyDescent="0.25">
      <c r="A8" s="198"/>
      <c r="B8" s="42" t="str">
        <f>A8&amp;"-"&amp;IF(DAY(Variables!$A$2)&lt;10,0,"")&amp;DAY(Variables!$A$2)</f>
        <v>-24</v>
      </c>
      <c r="C8" s="135"/>
      <c r="D8" s="153" t="e">
        <f>VLOOKUP(B8,'Trips&amp;Operators'!$C$1:$H$1072,6,FALSE)</f>
        <v>#N/A</v>
      </c>
      <c r="E8" s="30"/>
      <c r="F8" s="21" t="e">
        <f>VLOOKUP(B8,'Trips&amp;Operators'!$C$2:$E$9912,3,FALSE)</f>
        <v>#N/A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8" s="30" t="e">
        <f>VLOOKUP(B8,'Train Runs'!$A$13:$A$99970,1,FALSE)</f>
        <v>#N/A</v>
      </c>
    </row>
    <row r="9" spans="1:10" x14ac:dyDescent="0.25">
      <c r="A9" s="198"/>
      <c r="B9" s="42" t="str">
        <f>A9&amp;"-"&amp;IF(DAY(Variables!$A$2)&lt;10,0,"")&amp;DAY(Variables!$A$2)</f>
        <v>-24</v>
      </c>
      <c r="C9" s="135"/>
      <c r="D9" s="153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9" s="30" t="e">
        <f>VLOOKUP(B9,'Train Runs'!$A$13:$A$99970,1,FALSE)</f>
        <v>#N/A</v>
      </c>
    </row>
    <row r="10" spans="1:10" x14ac:dyDescent="0.25">
      <c r="A10" s="198"/>
      <c r="B10" s="42" t="str">
        <f>A10&amp;"-"&amp;IF(DAY(Variables!$A$2)&lt;10,0,"")&amp;DAY(Variables!$A$2)</f>
        <v>-24</v>
      </c>
      <c r="C10" s="135"/>
      <c r="D10" s="153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0" s="30" t="e">
        <f>VLOOKUP(B10,'Train Runs'!$A$13:$A$99970,1,FALSE)</f>
        <v>#N/A</v>
      </c>
    </row>
    <row r="11" spans="1:10" x14ac:dyDescent="0.25">
      <c r="A11" s="198"/>
      <c r="B11" s="42" t="str">
        <f>A11&amp;"-"&amp;IF(DAY(Variables!$A$2)&lt;10,0,"")&amp;DAY(Variables!$A$2)</f>
        <v>-24</v>
      </c>
      <c r="C11" s="135"/>
      <c r="D11" s="153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1" s="30" t="e">
        <f>VLOOKUP(B11,'Train Runs'!$A$13:$A$99970,1,FALSE)</f>
        <v>#N/A</v>
      </c>
    </row>
    <row r="12" spans="1:10" x14ac:dyDescent="0.25">
      <c r="A12" s="198"/>
      <c r="B12" s="42" t="str">
        <f>A12&amp;"-"&amp;IF(DAY(Variables!$A$2)&lt;10,0,"")&amp;DAY(Variables!$A$2)</f>
        <v>-24</v>
      </c>
      <c r="C12" s="135"/>
      <c r="D12" s="153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2" s="30" t="e">
        <f>VLOOKUP(B12,'Train Runs'!$A$13:$A$99970,1,FALSE)</f>
        <v>#N/A</v>
      </c>
    </row>
    <row r="13" spans="1:10" x14ac:dyDescent="0.25">
      <c r="A13" s="198"/>
      <c r="B13" s="42" t="str">
        <f>A13&amp;"-"&amp;IF(DAY(Variables!$A$2)&lt;10,0,"")&amp;DAY(Variables!$A$2)</f>
        <v>-24</v>
      </c>
      <c r="C13" s="135"/>
      <c r="D13" s="153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3" s="30" t="e">
        <f>VLOOKUP(B13,'Train Runs'!$A$13:$A$99970,1,FALSE)</f>
        <v>#N/A</v>
      </c>
    </row>
    <row r="14" spans="1:10" x14ac:dyDescent="0.25">
      <c r="A14" s="198"/>
      <c r="B14" s="42" t="str">
        <f>A14&amp;"-"&amp;IF(DAY(Variables!$A$2)&lt;10,0,"")&amp;DAY(Variables!$A$2)</f>
        <v>-24</v>
      </c>
      <c r="C14" s="135"/>
      <c r="D14" s="153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4" s="30" t="e">
        <f>VLOOKUP(B14,'Train Runs'!$A$13:$A$99970,1,FALSE)</f>
        <v>#N/A</v>
      </c>
    </row>
    <row r="15" spans="1:10" x14ac:dyDescent="0.25">
      <c r="A15" s="198"/>
      <c r="B15" s="42" t="str">
        <f>A15&amp;"-"&amp;IF(DAY(Variables!$A$2)&lt;10,0,"")&amp;DAY(Variables!$A$2)</f>
        <v>-24</v>
      </c>
      <c r="C15" s="135"/>
      <c r="D15" s="153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5" s="30" t="e">
        <f>VLOOKUP(B15,'Train Runs'!$A$13:$A$99970,1,FALSE)</f>
        <v>#N/A</v>
      </c>
    </row>
    <row r="16" spans="1:10" x14ac:dyDescent="0.25">
      <c r="A16" s="198"/>
      <c r="B16" s="42" t="str">
        <f>A16&amp;"-"&amp;IF(DAY(Variables!$A$2)&lt;10,0,"")&amp;DAY(Variables!$A$2)</f>
        <v>-24</v>
      </c>
      <c r="C16" s="135"/>
      <c r="D16" s="153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6" s="30" t="e">
        <f>VLOOKUP(B16,'Train Runs'!$A$13:$A$99970,1,FALSE)</f>
        <v>#N/A</v>
      </c>
    </row>
    <row r="17" spans="1:10" x14ac:dyDescent="0.25">
      <c r="A17" s="198"/>
      <c r="B17" s="42" t="str">
        <f>A17&amp;"-"&amp;IF(DAY(Variables!$A$2)&lt;10,0,"")&amp;DAY(Variables!$A$2)</f>
        <v>-24</v>
      </c>
      <c r="C17" s="135"/>
      <c r="D17" s="153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7" s="30" t="e">
        <f>VLOOKUP(B17,'Train Runs'!$A$13:$A$99970,1,FALSE)</f>
        <v>#N/A</v>
      </c>
    </row>
    <row r="18" spans="1:10" x14ac:dyDescent="0.25">
      <c r="A18" s="198"/>
      <c r="B18" s="42" t="str">
        <f>A18&amp;"-"&amp;IF(DAY(Variables!$A$2)&lt;10,0,"")&amp;DAY(Variables!$A$2)</f>
        <v>-24</v>
      </c>
      <c r="C18" s="135"/>
      <c r="D18" s="153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1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-24%22)),sort:!(Time.ISO8601,asc))</v>
      </c>
      <c r="J18" s="30" t="e">
        <f>VLOOKUP(B18,'Train Runs'!$A$13:$A$99970,1,FALSE)</f>
        <v>#N/A</v>
      </c>
    </row>
    <row r="19" spans="1:10" x14ac:dyDescent="0.25">
      <c r="A19" s="198"/>
      <c r="B19" s="42"/>
      <c r="C19" s="135"/>
      <c r="D19" s="153"/>
      <c r="E19" s="30"/>
      <c r="F19" s="21"/>
      <c r="G19" s="21"/>
      <c r="H19" s="29"/>
      <c r="I19" s="191"/>
      <c r="J19" s="30"/>
    </row>
    <row r="20" spans="1:10" x14ac:dyDescent="0.25">
      <c r="A20" s="198"/>
      <c r="B20" s="42"/>
      <c r="C20" s="135"/>
      <c r="D20" s="153"/>
      <c r="E20" s="30"/>
      <c r="F20" s="21"/>
      <c r="G20" s="21"/>
      <c r="H20" s="29"/>
      <c r="I20" s="191"/>
      <c r="J20" s="30"/>
    </row>
    <row r="21" spans="1:10" x14ac:dyDescent="0.25">
      <c r="A21" s="198"/>
      <c r="B21" s="42"/>
      <c r="C21" s="135"/>
      <c r="D21" s="153"/>
      <c r="E21" s="30"/>
      <c r="F21" s="21"/>
      <c r="G21" s="21"/>
      <c r="H21" s="29"/>
      <c r="I21" s="191"/>
      <c r="J21" s="30"/>
    </row>
    <row r="22" spans="1:10" x14ac:dyDescent="0.25">
      <c r="A22" s="198"/>
      <c r="B22" s="42"/>
      <c r="C22" s="135"/>
      <c r="D22" s="153"/>
      <c r="E22" s="30"/>
      <c r="F22" s="21"/>
      <c r="G22" s="21"/>
      <c r="H22" s="29"/>
      <c r="I22" s="191"/>
      <c r="J22" s="30"/>
    </row>
    <row r="23" spans="1:10" x14ac:dyDescent="0.25">
      <c r="A23" s="198"/>
      <c r="B23" s="42"/>
      <c r="C23" s="135"/>
      <c r="D23" s="153"/>
      <c r="E23" s="30"/>
      <c r="F23" s="21"/>
      <c r="G23" s="21"/>
      <c r="H23" s="29"/>
      <c r="I23" s="191"/>
      <c r="J23" s="30"/>
    </row>
    <row r="24" spans="1:10" x14ac:dyDescent="0.25">
      <c r="A24" s="198"/>
      <c r="B24" s="42"/>
      <c r="C24" s="135"/>
      <c r="D24" s="153"/>
      <c r="E24" s="30"/>
      <c r="F24" s="21"/>
      <c r="G24" s="21"/>
      <c r="H24" s="29"/>
      <c r="I24" s="191"/>
      <c r="J24" s="30"/>
    </row>
    <row r="25" spans="1:10" x14ac:dyDescent="0.25">
      <c r="A25" s="198"/>
      <c r="B25" s="42"/>
      <c r="C25" s="135"/>
      <c r="D25" s="153"/>
      <c r="E25" s="30"/>
      <c r="F25" s="21"/>
      <c r="G25" s="21"/>
      <c r="H25" s="29"/>
      <c r="I25" s="191"/>
      <c r="J25" s="30"/>
    </row>
    <row r="26" spans="1:10" x14ac:dyDescent="0.25">
      <c r="A26" s="198"/>
      <c r="B26" s="42"/>
      <c r="C26" s="135"/>
      <c r="D26" s="153"/>
      <c r="E26" s="30"/>
      <c r="F26" s="21"/>
      <c r="G26" s="21"/>
      <c r="H26" s="29"/>
      <c r="I26" s="191"/>
      <c r="J26" s="30"/>
    </row>
    <row r="27" spans="1:10" x14ac:dyDescent="0.25">
      <c r="A27" s="198"/>
      <c r="B27" s="42"/>
      <c r="C27" s="135"/>
      <c r="D27" s="153"/>
      <c r="E27" s="30"/>
      <c r="F27" s="21"/>
      <c r="G27" s="21"/>
      <c r="H27" s="29"/>
      <c r="I27" s="191"/>
      <c r="J27" s="30"/>
    </row>
    <row r="28" spans="1:10" x14ac:dyDescent="0.25">
      <c r="A28" s="198"/>
      <c r="B28" s="42"/>
      <c r="C28" s="135"/>
      <c r="D28" s="153"/>
      <c r="E28" s="30"/>
      <c r="F28" s="21"/>
      <c r="G28" s="21"/>
      <c r="H28" s="29"/>
      <c r="I28" s="191"/>
      <c r="J28" s="30"/>
    </row>
    <row r="29" spans="1:10" x14ac:dyDescent="0.25">
      <c r="A29" s="198"/>
      <c r="B29" s="42"/>
      <c r="C29" s="135"/>
      <c r="D29" s="153"/>
      <c r="E29" s="30"/>
      <c r="F29" s="21"/>
      <c r="G29" s="21"/>
      <c r="H29" s="29"/>
      <c r="I29" s="191"/>
      <c r="J29" s="30"/>
    </row>
    <row r="30" spans="1:10" x14ac:dyDescent="0.25">
      <c r="A30" s="198"/>
      <c r="B30" s="42"/>
      <c r="C30" s="135"/>
      <c r="D30" s="153"/>
      <c r="E30" s="30"/>
      <c r="F30" s="21"/>
      <c r="G30" s="21"/>
      <c r="H30" s="29"/>
      <c r="I30" s="191"/>
      <c r="J30" s="30"/>
    </row>
    <row r="31" spans="1:10" x14ac:dyDescent="0.25">
      <c r="A31" s="198"/>
      <c r="B31" s="42"/>
      <c r="C31" s="135"/>
      <c r="D31" s="153"/>
      <c r="E31" s="30"/>
      <c r="F31" s="21"/>
      <c r="G31" s="21"/>
      <c r="H31" s="29"/>
      <c r="I31" s="191"/>
      <c r="J31" s="30"/>
    </row>
    <row r="32" spans="1:10" x14ac:dyDescent="0.25">
      <c r="A32" s="198"/>
      <c r="B32" s="42"/>
      <c r="C32" s="135"/>
      <c r="D32" s="153"/>
      <c r="E32" s="30"/>
      <c r="F32" s="21"/>
      <c r="G32" s="21"/>
      <c r="H32" s="29"/>
      <c r="I32" s="191"/>
      <c r="J32" s="30"/>
    </row>
    <row r="33" spans="1:10" x14ac:dyDescent="0.25">
      <c r="A33" s="198"/>
      <c r="B33" s="42"/>
      <c r="C33" s="135"/>
      <c r="D33" s="153"/>
      <c r="E33" s="30"/>
      <c r="F33" s="21"/>
      <c r="G33" s="21"/>
      <c r="H33" s="29"/>
      <c r="I33" s="191"/>
      <c r="J33" s="30"/>
    </row>
    <row r="34" spans="1:10" x14ac:dyDescent="0.25">
      <c r="A34" s="198"/>
      <c r="B34" s="42"/>
      <c r="C34" s="135"/>
      <c r="D34" s="153"/>
      <c r="E34" s="30"/>
      <c r="F34" s="21"/>
      <c r="G34" s="21"/>
      <c r="H34" s="29"/>
      <c r="I34" s="191"/>
      <c r="J34" s="30"/>
    </row>
    <row r="35" spans="1:10" x14ac:dyDescent="0.25">
      <c r="A35" s="198"/>
      <c r="B35" s="42"/>
      <c r="C35" s="135"/>
      <c r="D35" s="153"/>
      <c r="E35" s="30"/>
      <c r="F35" s="21"/>
      <c r="G35" s="21"/>
      <c r="H35" s="29"/>
      <c r="I35" s="191"/>
      <c r="J35" s="30"/>
    </row>
    <row r="36" spans="1:10" x14ac:dyDescent="0.25">
      <c r="A36" s="198"/>
      <c r="B36" s="42"/>
      <c r="C36" s="135"/>
      <c r="D36" s="153"/>
      <c r="E36" s="30"/>
      <c r="F36" s="21"/>
      <c r="G36" s="21"/>
      <c r="H36" s="29"/>
      <c r="I36" s="191"/>
      <c r="J36" s="30"/>
    </row>
    <row r="37" spans="1:10" x14ac:dyDescent="0.25">
      <c r="A37" s="198"/>
      <c r="B37" s="42"/>
      <c r="C37" s="135"/>
      <c r="D37" s="153"/>
      <c r="E37" s="30"/>
      <c r="F37" s="21"/>
      <c r="G37" s="21"/>
      <c r="H37" s="29"/>
      <c r="I37" s="191"/>
      <c r="J37" s="30"/>
    </row>
    <row r="38" spans="1:10" x14ac:dyDescent="0.25">
      <c r="A38" s="198"/>
      <c r="B38" s="42"/>
      <c r="C38" s="135"/>
      <c r="D38" s="153"/>
      <c r="E38" s="30"/>
      <c r="F38" s="21"/>
      <c r="G38" s="21"/>
      <c r="H38" s="29"/>
      <c r="I38" s="191"/>
      <c r="J38" s="30"/>
    </row>
    <row r="39" spans="1:10" x14ac:dyDescent="0.25">
      <c r="A39" s="198"/>
      <c r="B39" s="42"/>
      <c r="C39" s="135"/>
      <c r="D39" s="153"/>
      <c r="E39" s="30"/>
      <c r="F39" s="21"/>
      <c r="G39" s="21"/>
      <c r="H39" s="29"/>
      <c r="I39" s="191"/>
      <c r="J39" s="30"/>
    </row>
    <row r="40" spans="1:10" x14ac:dyDescent="0.25">
      <c r="A40" s="198"/>
      <c r="B40" s="42"/>
      <c r="C40" s="135"/>
      <c r="D40" s="153"/>
      <c r="E40" s="30"/>
      <c r="F40" s="21"/>
      <c r="G40" s="21"/>
      <c r="H40" s="29"/>
      <c r="I40" s="191"/>
      <c r="J40" s="30"/>
    </row>
    <row r="41" spans="1:10" x14ac:dyDescent="0.25">
      <c r="A41" s="198"/>
      <c r="B41" s="42"/>
      <c r="C41" s="135"/>
      <c r="D41" s="153"/>
      <c r="E41" s="30"/>
      <c r="F41" s="21"/>
      <c r="G41" s="21"/>
      <c r="H41" s="29"/>
      <c r="I41" s="191"/>
      <c r="J41" s="30"/>
    </row>
    <row r="42" spans="1:10" x14ac:dyDescent="0.25">
      <c r="A42" s="198"/>
      <c r="B42" s="42"/>
      <c r="C42" s="135"/>
      <c r="D42" s="153"/>
      <c r="E42" s="30"/>
      <c r="F42" s="21"/>
      <c r="G42" s="21"/>
      <c r="H42" s="29"/>
      <c r="I42" s="191"/>
      <c r="J42" s="30"/>
    </row>
    <row r="43" spans="1:10" x14ac:dyDescent="0.25">
      <c r="A43" s="198"/>
      <c r="B43" s="42"/>
      <c r="C43" s="135"/>
      <c r="D43" s="153"/>
      <c r="E43" s="30"/>
      <c r="F43" s="21"/>
      <c r="G43" s="21"/>
      <c r="H43" s="29"/>
      <c r="I43" s="191"/>
      <c r="J43" s="30"/>
    </row>
    <row r="44" spans="1:10" x14ac:dyDescent="0.25">
      <c r="A44" s="198"/>
      <c r="B44" s="42"/>
      <c r="C44" s="135"/>
      <c r="D44" s="153"/>
      <c r="E44" s="30"/>
      <c r="F44" s="21"/>
      <c r="G44" s="21"/>
      <c r="H44" s="29"/>
      <c r="I44" s="191"/>
      <c r="J44" s="30"/>
    </row>
    <row r="45" spans="1:10" x14ac:dyDescent="0.25">
      <c r="A45" s="198"/>
      <c r="B45" s="42"/>
      <c r="C45" s="135"/>
      <c r="D45" s="153"/>
      <c r="E45" s="30"/>
      <c r="F45" s="21"/>
      <c r="G45" s="21"/>
      <c r="H45" s="29"/>
      <c r="I45" s="191"/>
      <c r="J45" s="30"/>
    </row>
    <row r="46" spans="1:10" x14ac:dyDescent="0.25">
      <c r="A46" s="198"/>
      <c r="B46" s="42"/>
      <c r="C46" s="135"/>
      <c r="D46" s="153"/>
      <c r="E46" s="30"/>
      <c r="F46" s="21"/>
      <c r="G46" s="21"/>
      <c r="H46" s="29"/>
      <c r="I46" s="191"/>
      <c r="J46" s="30"/>
    </row>
    <row r="47" spans="1:10" x14ac:dyDescent="0.25">
      <c r="A47" s="198"/>
      <c r="B47" s="42"/>
      <c r="C47" s="135"/>
      <c r="D47" s="153"/>
      <c r="E47" s="30"/>
      <c r="F47" s="21"/>
      <c r="G47" s="21"/>
      <c r="H47" s="29"/>
      <c r="I47" s="191"/>
      <c r="J47" s="30"/>
    </row>
    <row r="48" spans="1:10" x14ac:dyDescent="0.25">
      <c r="A48" s="198"/>
      <c r="B48" s="42"/>
      <c r="C48" s="135"/>
      <c r="D48" s="153"/>
      <c r="E48" s="30"/>
      <c r="F48" s="21"/>
      <c r="G48" s="21"/>
      <c r="H48" s="29"/>
      <c r="I48" s="191"/>
      <c r="J48" s="30"/>
    </row>
    <row r="49" spans="1:10" x14ac:dyDescent="0.25">
      <c r="A49" s="198"/>
      <c r="B49" s="42"/>
      <c r="C49" s="135"/>
      <c r="D49" s="153"/>
      <c r="E49" s="30"/>
      <c r="F49" s="21"/>
      <c r="G49" s="21"/>
      <c r="H49" s="29"/>
      <c r="I49" s="191"/>
      <c r="J49" s="30"/>
    </row>
    <row r="50" spans="1:10" x14ac:dyDescent="0.25">
      <c r="A50" s="198"/>
      <c r="B50" s="42"/>
      <c r="C50" s="135"/>
      <c r="D50" s="153"/>
      <c r="E50" s="30"/>
      <c r="F50" s="21"/>
      <c r="G50" s="21"/>
      <c r="H50" s="29"/>
      <c r="I50" s="191"/>
      <c r="J50" s="30"/>
    </row>
    <row r="51" spans="1:10" x14ac:dyDescent="0.25">
      <c r="A51" s="198"/>
      <c r="B51" s="42"/>
      <c r="C51" s="135"/>
      <c r="D51" s="153"/>
      <c r="E51" s="30"/>
      <c r="F51" s="21"/>
      <c r="G51" s="21"/>
      <c r="H51" s="29"/>
      <c r="I51" s="191"/>
      <c r="J51" s="30"/>
    </row>
    <row r="52" spans="1:10" x14ac:dyDescent="0.25">
      <c r="A52" s="198"/>
      <c r="B52" s="42"/>
      <c r="C52" s="135"/>
      <c r="D52" s="153"/>
      <c r="E52" s="30"/>
      <c r="F52" s="21"/>
      <c r="G52" s="21"/>
      <c r="H52" s="29"/>
      <c r="I52" s="191"/>
      <c r="J52" s="30"/>
    </row>
    <row r="53" spans="1:10" x14ac:dyDescent="0.25">
      <c r="A53" s="198"/>
      <c r="B53" s="42"/>
      <c r="C53" s="135"/>
      <c r="D53" s="153"/>
      <c r="E53" s="30"/>
      <c r="F53" s="21"/>
      <c r="G53" s="21"/>
      <c r="H53" s="29"/>
      <c r="I53" s="191"/>
      <c r="J53" s="30"/>
    </row>
    <row r="54" spans="1:10" x14ac:dyDescent="0.25">
      <c r="A54" s="198"/>
      <c r="B54" s="42"/>
      <c r="C54" s="135"/>
      <c r="D54" s="153"/>
      <c r="E54" s="30"/>
      <c r="F54" s="21"/>
      <c r="G54" s="21"/>
      <c r="H54" s="29"/>
      <c r="I54" s="191"/>
      <c r="J54" s="30"/>
    </row>
    <row r="55" spans="1:10" x14ac:dyDescent="0.25">
      <c r="A55" s="198"/>
      <c r="B55" s="42"/>
      <c r="C55" s="135"/>
      <c r="D55" s="153"/>
      <c r="E55" s="30"/>
      <c r="F55" s="21"/>
      <c r="G55" s="21"/>
      <c r="H55" s="29"/>
      <c r="I55" s="191"/>
      <c r="J55" s="30"/>
    </row>
    <row r="56" spans="1:10" x14ac:dyDescent="0.25">
      <c r="A56" s="198"/>
      <c r="B56" s="42"/>
      <c r="C56" s="135"/>
      <c r="D56" s="153"/>
      <c r="E56" s="30"/>
      <c r="F56" s="21"/>
      <c r="G56" s="21"/>
      <c r="H56" s="29"/>
      <c r="I56" s="191"/>
      <c r="J56" s="30"/>
    </row>
    <row r="57" spans="1:10" x14ac:dyDescent="0.25">
      <c r="A57" s="198"/>
      <c r="B57" s="42"/>
      <c r="C57" s="135"/>
      <c r="D57" s="153"/>
      <c r="E57" s="30"/>
      <c r="F57" s="21"/>
      <c r="G57" s="21"/>
      <c r="H57" s="29"/>
      <c r="I57" s="191"/>
      <c r="J57" s="30"/>
    </row>
    <row r="58" spans="1:10" x14ac:dyDescent="0.25">
      <c r="A58" s="198"/>
      <c r="B58" s="42"/>
      <c r="C58" s="135"/>
      <c r="D58" s="153"/>
      <c r="E58" s="30"/>
      <c r="F58" s="21"/>
      <c r="G58" s="21"/>
      <c r="H58" s="29"/>
      <c r="I58" s="191"/>
      <c r="J58" s="30"/>
    </row>
    <row r="59" spans="1:10" x14ac:dyDescent="0.25">
      <c r="A59" s="198"/>
      <c r="B59" s="42"/>
      <c r="C59" s="135"/>
      <c r="D59" s="153"/>
      <c r="E59" s="30"/>
      <c r="F59" s="21"/>
      <c r="G59" s="21"/>
      <c r="H59" s="29"/>
      <c r="I59" s="191"/>
      <c r="J59" s="30"/>
    </row>
    <row r="60" spans="1:10" x14ac:dyDescent="0.25">
      <c r="A60" s="198"/>
      <c r="B60" s="42"/>
      <c r="C60" s="135"/>
      <c r="D60" s="153"/>
      <c r="E60" s="30"/>
      <c r="F60" s="21"/>
      <c r="G60" s="21"/>
      <c r="H60" s="29"/>
      <c r="I60" s="191"/>
      <c r="J60" s="30"/>
    </row>
    <row r="61" spans="1:10" x14ac:dyDescent="0.25">
      <c r="A61" s="198"/>
      <c r="B61" s="42"/>
      <c r="C61" s="135"/>
      <c r="D61" s="153"/>
      <c r="E61" s="30"/>
      <c r="F61" s="21"/>
      <c r="G61" s="21"/>
      <c r="H61" s="29"/>
      <c r="I61" s="191"/>
      <c r="J61" s="30"/>
    </row>
    <row r="62" spans="1:10" x14ac:dyDescent="0.25">
      <c r="A62" s="198"/>
      <c r="B62" s="42"/>
      <c r="C62" s="135"/>
      <c r="D62" s="153"/>
      <c r="E62" s="30"/>
      <c r="F62" s="21"/>
      <c r="G62" s="21"/>
      <c r="H62" s="29"/>
      <c r="I62" s="191"/>
      <c r="J62" s="30"/>
    </row>
    <row r="63" spans="1:10" x14ac:dyDescent="0.25">
      <c r="A63" s="198"/>
      <c r="B63" s="42"/>
      <c r="C63" s="135"/>
      <c r="D63" s="153"/>
      <c r="E63" s="30"/>
      <c r="F63" s="21"/>
      <c r="G63" s="21"/>
      <c r="H63" s="29"/>
      <c r="I63" s="191"/>
      <c r="J63" s="30"/>
    </row>
    <row r="64" spans="1:10" x14ac:dyDescent="0.25">
      <c r="A64" s="198"/>
      <c r="B64" s="42"/>
      <c r="C64" s="135"/>
      <c r="D64" s="153"/>
      <c r="E64" s="30"/>
      <c r="F64" s="21"/>
      <c r="G64" s="21"/>
      <c r="H64" s="29"/>
      <c r="I64" s="191"/>
      <c r="J64" s="30"/>
    </row>
    <row r="65" spans="1:10" x14ac:dyDescent="0.25">
      <c r="A65" s="198"/>
      <c r="B65" s="42"/>
      <c r="C65" s="135"/>
      <c r="D65" s="153"/>
      <c r="E65" s="30"/>
      <c r="F65" s="21"/>
      <c r="G65" s="21"/>
      <c r="H65" s="29"/>
      <c r="I65" s="191"/>
      <c r="J65" s="30"/>
    </row>
    <row r="66" spans="1:10" x14ac:dyDescent="0.25">
      <c r="A66" s="198"/>
      <c r="B66" s="42"/>
      <c r="C66" s="135"/>
      <c r="D66" s="153"/>
      <c r="E66" s="30"/>
      <c r="F66" s="21"/>
      <c r="G66" s="21"/>
      <c r="H66" s="29"/>
      <c r="I66" s="191"/>
      <c r="J66" s="30"/>
    </row>
    <row r="67" spans="1:10" x14ac:dyDescent="0.25">
      <c r="A67" s="198"/>
      <c r="B67" s="42"/>
      <c r="C67" s="135"/>
      <c r="D67" s="153"/>
      <c r="E67" s="30"/>
      <c r="F67" s="21"/>
      <c r="G67" s="21"/>
      <c r="H67" s="29"/>
      <c r="I67" s="191"/>
      <c r="J67" s="30"/>
    </row>
    <row r="68" spans="1:10" x14ac:dyDescent="0.25">
      <c r="A68" s="198"/>
      <c r="B68" s="42"/>
      <c r="C68" s="135"/>
      <c r="D68" s="153"/>
      <c r="E68" s="30"/>
      <c r="F68" s="21"/>
      <c r="G68" s="21"/>
      <c r="H68" s="29"/>
      <c r="I68" s="191"/>
      <c r="J68" s="30"/>
    </row>
    <row r="69" spans="1:10" x14ac:dyDescent="0.25">
      <c r="A69" s="198"/>
      <c r="B69" s="42"/>
      <c r="C69" s="135"/>
      <c r="D69" s="153"/>
      <c r="E69" s="30"/>
      <c r="F69" s="21"/>
      <c r="G69" s="21"/>
      <c r="H69" s="29"/>
      <c r="I69" s="191"/>
      <c r="J69" s="30"/>
    </row>
    <row r="70" spans="1:10" x14ac:dyDescent="0.25">
      <c r="A70" s="198"/>
      <c r="B70" s="42"/>
      <c r="C70" s="135"/>
      <c r="D70" s="153"/>
      <c r="E70" s="30"/>
      <c r="F70" s="21"/>
      <c r="G70" s="21"/>
      <c r="H70" s="29"/>
      <c r="I70" s="191"/>
      <c r="J70" s="30"/>
    </row>
    <row r="71" spans="1:10" x14ac:dyDescent="0.25">
      <c r="A71" s="198"/>
      <c r="B71" s="42"/>
      <c r="C71" s="135"/>
      <c r="D71" s="153"/>
      <c r="E71" s="30"/>
      <c r="F71" s="21"/>
      <c r="G71" s="21"/>
      <c r="H71" s="29"/>
      <c r="I71" s="191"/>
      <c r="J71" s="30"/>
    </row>
    <row r="72" spans="1:10" x14ac:dyDescent="0.25">
      <c r="A72" s="198"/>
      <c r="B72" s="42"/>
      <c r="C72" s="135"/>
      <c r="D72" s="153"/>
      <c r="E72" s="30"/>
      <c r="F72" s="21"/>
      <c r="G72" s="21"/>
      <c r="H72" s="29"/>
      <c r="I72" s="191"/>
      <c r="J72" s="30"/>
    </row>
    <row r="73" spans="1:10" x14ac:dyDescent="0.25">
      <c r="A73" s="198"/>
      <c r="B73" s="42"/>
      <c r="C73" s="135"/>
      <c r="D73" s="153"/>
      <c r="E73" s="30"/>
      <c r="F73" s="21"/>
      <c r="G73" s="21"/>
      <c r="H73" s="29"/>
      <c r="I73" s="191"/>
      <c r="J73" s="30"/>
    </row>
    <row r="74" spans="1:10" x14ac:dyDescent="0.25">
      <c r="A74" s="198"/>
      <c r="B74" s="42"/>
      <c r="C74" s="135"/>
      <c r="D74" s="153"/>
      <c r="E74" s="30"/>
      <c r="F74" s="21"/>
      <c r="G74" s="21"/>
      <c r="H74" s="29"/>
      <c r="I74" s="191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273"/>
  <sheetViews>
    <sheetView workbookViewId="0"/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38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8" s="20" customFormat="1" x14ac:dyDescent="0.25">
      <c r="A1" s="8" t="s">
        <v>169</v>
      </c>
      <c r="B1" s="20" t="s">
        <v>170</v>
      </c>
      <c r="C1" s="20" t="s">
        <v>0</v>
      </c>
      <c r="D1" s="138" t="s">
        <v>171</v>
      </c>
      <c r="E1" s="20" t="s">
        <v>172</v>
      </c>
      <c r="F1" s="20" t="s">
        <v>189</v>
      </c>
      <c r="G1" s="8" t="s">
        <v>188</v>
      </c>
      <c r="H1" s="20" t="s">
        <v>60</v>
      </c>
    </row>
    <row r="2" spans="1:8" x14ac:dyDescent="0.25">
      <c r="A2" s="8">
        <v>43002.039884259262</v>
      </c>
      <c r="B2" s="20" t="s">
        <v>406</v>
      </c>
      <c r="C2" s="20" t="s">
        <v>611</v>
      </c>
      <c r="D2" s="138">
        <v>3190000</v>
      </c>
      <c r="E2" s="20" t="s">
        <v>382</v>
      </c>
      <c r="F2" s="20" t="s">
        <v>383</v>
      </c>
      <c r="G2" s="8" t="str">
        <f>E2&amp;" "&amp;F2</f>
        <v>HART KEVIN</v>
      </c>
      <c r="H2" t="str">
        <f>MID(B2,13,4)</f>
        <v>4028</v>
      </c>
    </row>
    <row r="3" spans="1:8" x14ac:dyDescent="0.25">
      <c r="A3" s="8">
        <v>43002.048518518517</v>
      </c>
      <c r="B3" s="20" t="s">
        <v>443</v>
      </c>
      <c r="C3" s="20" t="s">
        <v>612</v>
      </c>
      <c r="D3" s="138">
        <v>3000000</v>
      </c>
      <c r="E3" s="20" t="s">
        <v>455</v>
      </c>
      <c r="F3" s="20" t="s">
        <v>456</v>
      </c>
      <c r="G3" s="8" t="str">
        <f t="shared" ref="G3:G66" si="0">E3&amp;" "&amp;F3</f>
        <v>FORTUNATO FRANK</v>
      </c>
      <c r="H3" s="20" t="str">
        <f t="shared" ref="H3:H66" si="1">MID(B3,13,4)</f>
        <v>4040</v>
      </c>
    </row>
    <row r="4" spans="1:8" x14ac:dyDescent="0.25">
      <c r="A4" s="8">
        <v>43002.056307870371</v>
      </c>
      <c r="B4" s="20" t="s">
        <v>613</v>
      </c>
      <c r="C4" s="20" t="s">
        <v>614</v>
      </c>
      <c r="D4" s="138">
        <v>2620000</v>
      </c>
      <c r="E4" s="20" t="s">
        <v>380</v>
      </c>
      <c r="F4" s="20" t="s">
        <v>381</v>
      </c>
      <c r="G4" s="8" t="str">
        <f t="shared" si="0"/>
        <v>PERKINS DARREN</v>
      </c>
      <c r="H4" s="20" t="str">
        <f t="shared" si="1"/>
        <v>4025</v>
      </c>
    </row>
    <row r="5" spans="1:8" x14ac:dyDescent="0.25">
      <c r="A5" s="8">
        <v>43002.066782407404</v>
      </c>
      <c r="B5" s="20" t="s">
        <v>400</v>
      </c>
      <c r="C5" s="20" t="s">
        <v>615</v>
      </c>
      <c r="D5" s="138">
        <v>3340000</v>
      </c>
      <c r="E5" s="20" t="s">
        <v>523</v>
      </c>
      <c r="F5" s="20" t="s">
        <v>524</v>
      </c>
      <c r="G5" s="8" t="str">
        <f t="shared" si="0"/>
        <v>ELBAUM MIKE</v>
      </c>
      <c r="H5" s="20" t="str">
        <f t="shared" si="1"/>
        <v>4058</v>
      </c>
    </row>
    <row r="6" spans="1:8" x14ac:dyDescent="0.25">
      <c r="A6" s="8">
        <v>43002.079791666663</v>
      </c>
      <c r="B6" s="20" t="s">
        <v>453</v>
      </c>
      <c r="C6" s="20" t="s">
        <v>616</v>
      </c>
      <c r="D6" s="138">
        <v>3190000</v>
      </c>
      <c r="E6" s="20" t="s">
        <v>382</v>
      </c>
      <c r="F6" s="20" t="s">
        <v>383</v>
      </c>
      <c r="G6" s="8" t="str">
        <f t="shared" si="0"/>
        <v>HART KEVIN</v>
      </c>
      <c r="H6" s="20" t="str">
        <f t="shared" si="1"/>
        <v>4027</v>
      </c>
    </row>
    <row r="7" spans="1:8" x14ac:dyDescent="0.25">
      <c r="A7" s="8">
        <v>43002.089224537034</v>
      </c>
      <c r="B7" s="20" t="s">
        <v>617</v>
      </c>
      <c r="C7" s="20" t="s">
        <v>618</v>
      </c>
      <c r="D7" s="138">
        <v>2620000</v>
      </c>
      <c r="E7" s="20" t="s">
        <v>380</v>
      </c>
      <c r="F7" s="20" t="s">
        <v>381</v>
      </c>
      <c r="G7" s="8" t="str">
        <f t="shared" si="0"/>
        <v>PERKINS DARREN</v>
      </c>
      <c r="H7" s="20" t="str">
        <f t="shared" si="1"/>
        <v>4026</v>
      </c>
    </row>
    <row r="8" spans="1:8" x14ac:dyDescent="0.25">
      <c r="A8" s="8">
        <v>43002.108541666668</v>
      </c>
      <c r="B8" s="20" t="s">
        <v>406</v>
      </c>
      <c r="C8" s="20" t="s">
        <v>619</v>
      </c>
      <c r="D8" s="138">
        <v>3190000</v>
      </c>
      <c r="E8" s="20" t="s">
        <v>382</v>
      </c>
      <c r="F8" s="20" t="s">
        <v>383</v>
      </c>
      <c r="G8" s="8" t="str">
        <f t="shared" si="0"/>
        <v>HART KEVIN</v>
      </c>
      <c r="H8" s="20" t="str">
        <f t="shared" si="1"/>
        <v>4028</v>
      </c>
    </row>
    <row r="9" spans="1:8" ht="15.75" thickBot="1" x14ac:dyDescent="0.3">
      <c r="A9" s="24">
        <v>43002.113738425927</v>
      </c>
      <c r="B9" s="20" t="s">
        <v>509</v>
      </c>
      <c r="C9" s="20" t="s">
        <v>620</v>
      </c>
      <c r="D9" s="138">
        <v>3120000</v>
      </c>
      <c r="E9" s="20" t="s">
        <v>621</v>
      </c>
      <c r="F9" s="20" t="s">
        <v>622</v>
      </c>
      <c r="G9" s="8" t="str">
        <f t="shared" si="0"/>
        <v>THOMPSON LESTER</v>
      </c>
      <c r="H9" s="20" t="str">
        <f t="shared" si="1"/>
        <v>4051</v>
      </c>
    </row>
    <row r="10" spans="1:8" x14ac:dyDescent="0.25">
      <c r="A10" s="8">
        <v>43002.125960648147</v>
      </c>
      <c r="B10" s="20" t="s">
        <v>508</v>
      </c>
      <c r="C10" s="20" t="s">
        <v>592</v>
      </c>
      <c r="D10" s="138">
        <v>2370000</v>
      </c>
      <c r="E10" s="20" t="s">
        <v>477</v>
      </c>
      <c r="F10" s="20" t="s">
        <v>478</v>
      </c>
      <c r="G10" s="8" t="str">
        <f t="shared" si="0"/>
        <v>DELGADO DIANAH</v>
      </c>
      <c r="H10" s="20" t="str">
        <f t="shared" si="1"/>
        <v>4052</v>
      </c>
    </row>
    <row r="11" spans="1:8" x14ac:dyDescent="0.25">
      <c r="A11" s="8">
        <v>43002.128206018519</v>
      </c>
      <c r="B11" s="20" t="s">
        <v>579</v>
      </c>
      <c r="C11" s="20" t="s">
        <v>623</v>
      </c>
      <c r="D11" s="138">
        <v>3120000</v>
      </c>
      <c r="E11" s="20" t="s">
        <v>621</v>
      </c>
      <c r="F11" s="20" t="s">
        <v>622</v>
      </c>
      <c r="G11" s="8" t="str">
        <f t="shared" si="0"/>
        <v>THOMPSON LESTER</v>
      </c>
      <c r="H11" s="20" t="str">
        <f t="shared" si="1"/>
        <v>4066</v>
      </c>
    </row>
    <row r="12" spans="1:8" x14ac:dyDescent="0.25">
      <c r="A12" s="8">
        <v>43002.140486111108</v>
      </c>
      <c r="B12" s="20" t="s">
        <v>464</v>
      </c>
      <c r="C12" s="20" t="s">
        <v>624</v>
      </c>
      <c r="D12" s="138">
        <v>3300000</v>
      </c>
      <c r="E12" s="20" t="s">
        <v>625</v>
      </c>
      <c r="F12" s="20" t="s">
        <v>626</v>
      </c>
      <c r="G12" s="8" t="str">
        <f t="shared" si="0"/>
        <v>LANGERAK WILLIAM</v>
      </c>
      <c r="H12" s="20" t="str">
        <f t="shared" si="1"/>
        <v>4063</v>
      </c>
    </row>
    <row r="13" spans="1:8" x14ac:dyDescent="0.25">
      <c r="A13" s="8">
        <v>43002.142152777778</v>
      </c>
      <c r="B13" s="20" t="s">
        <v>509</v>
      </c>
      <c r="C13" s="20" t="s">
        <v>627</v>
      </c>
      <c r="D13" s="138">
        <v>2370000</v>
      </c>
      <c r="E13" s="20" t="s">
        <v>477</v>
      </c>
      <c r="F13" s="20" t="s">
        <v>478</v>
      </c>
      <c r="G13" s="8" t="str">
        <f t="shared" si="0"/>
        <v>DELGADO DIANAH</v>
      </c>
      <c r="H13" s="20" t="str">
        <f t="shared" si="1"/>
        <v>4051</v>
      </c>
    </row>
    <row r="14" spans="1:8" x14ac:dyDescent="0.25">
      <c r="A14" s="8">
        <v>43002.152870370373</v>
      </c>
      <c r="B14" s="20" t="s">
        <v>467</v>
      </c>
      <c r="C14" s="20" t="s">
        <v>628</v>
      </c>
      <c r="D14" s="138">
        <v>3300000</v>
      </c>
      <c r="E14" s="20" t="s">
        <v>625</v>
      </c>
      <c r="F14" s="20" t="s">
        <v>626</v>
      </c>
      <c r="G14" s="8" t="str">
        <f t="shared" si="0"/>
        <v>LANGERAK WILLIAM</v>
      </c>
      <c r="H14" s="20" t="str">
        <f t="shared" si="1"/>
        <v>4064</v>
      </c>
    </row>
    <row r="15" spans="1:8" x14ac:dyDescent="0.25">
      <c r="A15" s="8">
        <v>43002.157002314816</v>
      </c>
      <c r="B15" s="20" t="s">
        <v>600</v>
      </c>
      <c r="C15" s="20" t="s">
        <v>629</v>
      </c>
      <c r="D15" s="138">
        <v>1990000</v>
      </c>
      <c r="E15" s="20" t="s">
        <v>344</v>
      </c>
      <c r="F15" s="20" t="s">
        <v>472</v>
      </c>
      <c r="G15" s="8" t="str">
        <f t="shared" si="0"/>
        <v>DAVIS WENDY</v>
      </c>
      <c r="H15" s="20" t="str">
        <f t="shared" si="1"/>
        <v>4045</v>
      </c>
    </row>
    <row r="16" spans="1:8" x14ac:dyDescent="0.25">
      <c r="A16" s="8">
        <v>43002.169305555559</v>
      </c>
      <c r="B16" s="20" t="s">
        <v>630</v>
      </c>
      <c r="C16" s="20" t="s">
        <v>631</v>
      </c>
      <c r="D16" s="138">
        <v>1990000</v>
      </c>
      <c r="E16" s="20" t="s">
        <v>344</v>
      </c>
      <c r="F16" s="20" t="s">
        <v>472</v>
      </c>
      <c r="G16" s="8" t="str">
        <f t="shared" si="0"/>
        <v>DAVIS WENDY</v>
      </c>
      <c r="H16" s="20" t="str">
        <f t="shared" si="1"/>
        <v>4046</v>
      </c>
    </row>
    <row r="17" spans="1:8" x14ac:dyDescent="0.25">
      <c r="A17" s="8">
        <v>43002.169641203705</v>
      </c>
      <c r="B17" s="20" t="s">
        <v>632</v>
      </c>
      <c r="C17" s="20" t="s">
        <v>633</v>
      </c>
      <c r="D17" s="138">
        <v>3260000</v>
      </c>
      <c r="E17" s="20" t="s">
        <v>475</v>
      </c>
      <c r="F17" s="20" t="s">
        <v>476</v>
      </c>
      <c r="G17" s="8" t="str">
        <f t="shared" si="0"/>
        <v>PAGE MARCUS</v>
      </c>
      <c r="H17" s="20" t="str">
        <f t="shared" si="1"/>
        <v>4059</v>
      </c>
    </row>
    <row r="18" spans="1:8" x14ac:dyDescent="0.25">
      <c r="A18" s="8">
        <v>43002.17324074074</v>
      </c>
      <c r="B18" s="20" t="s">
        <v>588</v>
      </c>
      <c r="C18" s="20" t="s">
        <v>634</v>
      </c>
      <c r="D18" s="138">
        <v>3120000</v>
      </c>
      <c r="E18" s="20" t="s">
        <v>621</v>
      </c>
      <c r="F18" s="20" t="s">
        <v>622</v>
      </c>
      <c r="G18" s="8" t="str">
        <f t="shared" si="0"/>
        <v>THOMPSON LESTER</v>
      </c>
      <c r="H18" s="20" t="str">
        <f t="shared" si="1"/>
        <v>4065</v>
      </c>
    </row>
    <row r="19" spans="1:8" x14ac:dyDescent="0.25">
      <c r="A19" s="8">
        <v>43002.180277777778</v>
      </c>
      <c r="B19" s="20" t="s">
        <v>635</v>
      </c>
      <c r="C19" s="20" t="s">
        <v>636</v>
      </c>
      <c r="D19" s="138">
        <v>1100000</v>
      </c>
      <c r="E19" s="20" t="s">
        <v>473</v>
      </c>
      <c r="F19" s="20" t="s">
        <v>474</v>
      </c>
      <c r="G19" s="8" t="str">
        <f t="shared" si="0"/>
        <v>GEBRETEKLE DAGNEW</v>
      </c>
      <c r="H19" s="20" t="str">
        <f t="shared" si="1"/>
        <v>4061</v>
      </c>
    </row>
    <row r="20" spans="1:8" x14ac:dyDescent="0.25">
      <c r="A20" s="8">
        <v>43002.183217592596</v>
      </c>
      <c r="B20" s="20" t="s">
        <v>637</v>
      </c>
      <c r="C20" s="20" t="s">
        <v>638</v>
      </c>
      <c r="D20" s="138">
        <v>3260000</v>
      </c>
      <c r="E20" s="20" t="s">
        <v>475</v>
      </c>
      <c r="F20" s="20" t="s">
        <v>476</v>
      </c>
      <c r="G20" s="8" t="str">
        <f t="shared" si="0"/>
        <v>PAGE MARCUS</v>
      </c>
      <c r="H20" s="20" t="str">
        <f t="shared" si="1"/>
        <v>4060</v>
      </c>
    </row>
    <row r="21" spans="1:8" x14ac:dyDescent="0.25">
      <c r="A21" s="8">
        <v>43002.184594907405</v>
      </c>
      <c r="B21" s="20" t="s">
        <v>464</v>
      </c>
      <c r="C21" s="20" t="s">
        <v>577</v>
      </c>
      <c r="D21" s="138">
        <v>3300000</v>
      </c>
      <c r="E21" s="20" t="s">
        <v>625</v>
      </c>
      <c r="F21" s="20" t="s">
        <v>626</v>
      </c>
      <c r="G21" s="8" t="str">
        <f t="shared" si="0"/>
        <v>LANGERAK WILLIAM</v>
      </c>
      <c r="H21" s="20" t="str">
        <f t="shared" si="1"/>
        <v>4063</v>
      </c>
    </row>
    <row r="22" spans="1:8" x14ac:dyDescent="0.25">
      <c r="A22" s="26">
        <v>43002.193530092591</v>
      </c>
      <c r="B22" s="20" t="s">
        <v>639</v>
      </c>
      <c r="C22" s="20" t="s">
        <v>640</v>
      </c>
      <c r="D22" s="138">
        <v>1100000</v>
      </c>
      <c r="E22" s="20" t="s">
        <v>473</v>
      </c>
      <c r="F22" s="20" t="s">
        <v>474</v>
      </c>
      <c r="G22" s="8" t="str">
        <f t="shared" si="0"/>
        <v>GEBRETEKLE DAGNEW</v>
      </c>
      <c r="H22" s="20" t="str">
        <f t="shared" si="1"/>
        <v>4062</v>
      </c>
    </row>
    <row r="23" spans="1:8" x14ac:dyDescent="0.25">
      <c r="A23" s="8">
        <v>43002.198067129626</v>
      </c>
      <c r="B23" s="20" t="s">
        <v>427</v>
      </c>
      <c r="C23" s="20" t="s">
        <v>576</v>
      </c>
      <c r="D23" s="138">
        <v>3040000</v>
      </c>
      <c r="E23" s="20" t="s">
        <v>514</v>
      </c>
      <c r="F23" s="20" t="s">
        <v>515</v>
      </c>
      <c r="G23" s="8" t="str">
        <f t="shared" si="0"/>
        <v>WILLIAMS DONTE</v>
      </c>
      <c r="H23" s="20" t="str">
        <f t="shared" si="1"/>
        <v>4023</v>
      </c>
    </row>
    <row r="24" spans="1:8" x14ac:dyDescent="0.25">
      <c r="A24" s="8">
        <v>43002.203182870369</v>
      </c>
      <c r="B24" s="20" t="s">
        <v>427</v>
      </c>
      <c r="C24" s="20" t="s">
        <v>576</v>
      </c>
      <c r="D24" s="138">
        <v>3040000</v>
      </c>
      <c r="E24" s="20" t="s">
        <v>514</v>
      </c>
      <c r="F24" s="20" t="s">
        <v>515</v>
      </c>
      <c r="G24" s="8" t="str">
        <f t="shared" si="0"/>
        <v>WILLIAMS DONTE</v>
      </c>
      <c r="H24" s="20" t="str">
        <f t="shared" si="1"/>
        <v>4023</v>
      </c>
    </row>
    <row r="25" spans="1:8" x14ac:dyDescent="0.25">
      <c r="A25" s="8">
        <v>43002.206030092595</v>
      </c>
      <c r="B25" s="20" t="s">
        <v>600</v>
      </c>
      <c r="C25" s="20" t="s">
        <v>641</v>
      </c>
      <c r="D25" s="138">
        <v>1990000</v>
      </c>
      <c r="E25" s="20" t="s">
        <v>344</v>
      </c>
      <c r="F25" s="20" t="s">
        <v>472</v>
      </c>
      <c r="G25" s="8" t="str">
        <f t="shared" si="0"/>
        <v>DAVIS WENDY</v>
      </c>
      <c r="H25" s="20" t="str">
        <f t="shared" si="1"/>
        <v>4045</v>
      </c>
    </row>
    <row r="26" spans="1:8" x14ac:dyDescent="0.25">
      <c r="A26" s="8">
        <v>43002.206516203703</v>
      </c>
      <c r="B26" s="20" t="s">
        <v>579</v>
      </c>
      <c r="C26" s="20" t="s">
        <v>580</v>
      </c>
      <c r="D26" s="138">
        <v>3120000</v>
      </c>
      <c r="E26" s="20" t="s">
        <v>621</v>
      </c>
      <c r="F26" s="20" t="s">
        <v>622</v>
      </c>
      <c r="G26" s="8" t="str">
        <f t="shared" si="0"/>
        <v>THOMPSON LESTER</v>
      </c>
      <c r="H26" s="20" t="str">
        <f t="shared" si="1"/>
        <v>4066</v>
      </c>
    </row>
    <row r="27" spans="1:8" x14ac:dyDescent="0.25">
      <c r="A27" s="8">
        <v>43002.216134259259</v>
      </c>
      <c r="B27" s="20" t="s">
        <v>428</v>
      </c>
      <c r="C27" s="20" t="s">
        <v>642</v>
      </c>
      <c r="D27" s="138">
        <v>3040000</v>
      </c>
      <c r="E27" s="20" t="s">
        <v>514</v>
      </c>
      <c r="F27" s="20" t="s">
        <v>515</v>
      </c>
      <c r="G27" s="8" t="str">
        <f t="shared" si="0"/>
        <v>WILLIAMS DONTE</v>
      </c>
      <c r="H27" s="20" t="str">
        <f t="shared" si="1"/>
        <v>4024</v>
      </c>
    </row>
    <row r="28" spans="1:8" x14ac:dyDescent="0.25">
      <c r="A28" s="8">
        <v>43002.221990740742</v>
      </c>
      <c r="B28" s="20" t="s">
        <v>596</v>
      </c>
      <c r="C28" s="20" t="s">
        <v>643</v>
      </c>
      <c r="D28" s="138">
        <v>2560000</v>
      </c>
      <c r="E28" s="20" t="s">
        <v>644</v>
      </c>
      <c r="F28" s="20" t="s">
        <v>645</v>
      </c>
      <c r="G28" s="8" t="str">
        <f t="shared" si="0"/>
        <v>MACDONALD THOMAS</v>
      </c>
      <c r="H28" s="20" t="str">
        <f t="shared" si="1"/>
        <v>4050</v>
      </c>
    </row>
    <row r="29" spans="1:8" x14ac:dyDescent="0.25">
      <c r="A29" s="8">
        <v>43002.22320601852</v>
      </c>
      <c r="B29" s="20" t="s">
        <v>442</v>
      </c>
      <c r="C29" s="20" t="s">
        <v>578</v>
      </c>
      <c r="D29" s="138">
        <v>3090000</v>
      </c>
      <c r="E29" s="20" t="s">
        <v>646</v>
      </c>
      <c r="F29" s="20" t="s">
        <v>647</v>
      </c>
      <c r="G29" s="8" t="str">
        <f t="shared" si="0"/>
        <v>LAMAR NEKESHA</v>
      </c>
      <c r="H29" s="20" t="str">
        <f t="shared" si="1"/>
        <v>4017</v>
      </c>
    </row>
    <row r="30" spans="1:8" x14ac:dyDescent="0.25">
      <c r="A30" s="8">
        <v>43002.223969907405</v>
      </c>
      <c r="B30" s="20" t="s">
        <v>632</v>
      </c>
      <c r="C30" s="20" t="s">
        <v>648</v>
      </c>
      <c r="D30" s="138">
        <v>3260000</v>
      </c>
      <c r="E30" s="20" t="s">
        <v>475</v>
      </c>
      <c r="F30" s="20" t="s">
        <v>476</v>
      </c>
      <c r="G30" s="8" t="str">
        <f t="shared" si="0"/>
        <v>PAGE MARCUS</v>
      </c>
      <c r="H30" s="20" t="str">
        <f t="shared" si="1"/>
        <v>4059</v>
      </c>
    </row>
    <row r="31" spans="1:8" x14ac:dyDescent="0.25">
      <c r="A31" s="8">
        <v>43002.22552083333</v>
      </c>
      <c r="B31" s="20" t="s">
        <v>635</v>
      </c>
      <c r="C31" s="20" t="s">
        <v>649</v>
      </c>
      <c r="D31" s="138">
        <v>1100000</v>
      </c>
      <c r="E31" s="20" t="s">
        <v>473</v>
      </c>
      <c r="F31" s="20" t="s">
        <v>474</v>
      </c>
      <c r="G31" s="8" t="str">
        <f t="shared" si="0"/>
        <v>GEBRETEKLE DAGNEW</v>
      </c>
      <c r="H31" s="20" t="str">
        <f t="shared" si="1"/>
        <v>4061</v>
      </c>
    </row>
    <row r="32" spans="1:8" x14ac:dyDescent="0.25">
      <c r="A32" s="8">
        <v>43002.226423611108</v>
      </c>
      <c r="B32" s="20" t="s">
        <v>467</v>
      </c>
      <c r="C32" s="20" t="s">
        <v>650</v>
      </c>
      <c r="D32" s="138">
        <v>3300000</v>
      </c>
      <c r="E32" s="20" t="s">
        <v>625</v>
      </c>
      <c r="F32" s="20" t="s">
        <v>626</v>
      </c>
      <c r="G32" s="8" t="str">
        <f t="shared" si="0"/>
        <v>LANGERAK WILLIAM</v>
      </c>
      <c r="H32" s="20" t="str">
        <f t="shared" si="1"/>
        <v>4064</v>
      </c>
    </row>
    <row r="33" spans="1:8" x14ac:dyDescent="0.25">
      <c r="A33" s="8">
        <v>43002.235347222224</v>
      </c>
      <c r="B33" s="20" t="s">
        <v>581</v>
      </c>
      <c r="C33" s="20" t="s">
        <v>582</v>
      </c>
      <c r="D33" s="138">
        <v>2560000</v>
      </c>
      <c r="E33" s="20" t="s">
        <v>644</v>
      </c>
      <c r="F33" s="20" t="s">
        <v>645</v>
      </c>
      <c r="G33" s="8" t="str">
        <f t="shared" si="0"/>
        <v>MACDONALD THOMAS</v>
      </c>
      <c r="H33" s="20" t="str">
        <f t="shared" si="1"/>
        <v>4049</v>
      </c>
    </row>
    <row r="34" spans="1:8" x14ac:dyDescent="0.25">
      <c r="A34" s="8">
        <v>43002.237534722219</v>
      </c>
      <c r="B34" s="20" t="s">
        <v>440</v>
      </c>
      <c r="C34" s="20" t="s">
        <v>651</v>
      </c>
      <c r="D34" s="138">
        <v>3090000</v>
      </c>
      <c r="E34" s="20" t="s">
        <v>646</v>
      </c>
      <c r="F34" s="20" t="s">
        <v>647</v>
      </c>
      <c r="G34" s="8" t="str">
        <f t="shared" si="0"/>
        <v>LAMAR NEKESHA</v>
      </c>
      <c r="H34" s="20" t="str">
        <f t="shared" si="1"/>
        <v>4018</v>
      </c>
    </row>
    <row r="35" spans="1:8" x14ac:dyDescent="0.25">
      <c r="A35" s="8">
        <v>43002.245972222219</v>
      </c>
      <c r="B35" s="20" t="s">
        <v>588</v>
      </c>
      <c r="C35" s="20" t="s">
        <v>652</v>
      </c>
      <c r="D35" s="138">
        <v>3120000</v>
      </c>
      <c r="E35" s="20" t="s">
        <v>621</v>
      </c>
      <c r="F35" s="20" t="s">
        <v>622</v>
      </c>
      <c r="G35" s="8" t="str">
        <f t="shared" si="0"/>
        <v>THOMPSON LESTER</v>
      </c>
      <c r="H35" s="20" t="str">
        <f t="shared" si="1"/>
        <v>4065</v>
      </c>
    </row>
    <row r="36" spans="1:8" x14ac:dyDescent="0.25">
      <c r="A36" s="8">
        <v>43002.246932870374</v>
      </c>
      <c r="B36" s="20" t="s">
        <v>630</v>
      </c>
      <c r="C36" s="20" t="s">
        <v>653</v>
      </c>
      <c r="D36" s="138">
        <v>1990000</v>
      </c>
      <c r="E36" s="20" t="s">
        <v>344</v>
      </c>
      <c r="F36" s="20" t="s">
        <v>472</v>
      </c>
      <c r="G36" s="8" t="str">
        <f t="shared" si="0"/>
        <v>DAVIS WENDY</v>
      </c>
      <c r="H36" s="20" t="str">
        <f t="shared" si="1"/>
        <v>4046</v>
      </c>
    </row>
    <row r="37" spans="1:8" x14ac:dyDescent="0.25">
      <c r="A37" s="8">
        <v>43002.254293981481</v>
      </c>
      <c r="B37" s="20" t="s">
        <v>596</v>
      </c>
      <c r="C37" s="20" t="s">
        <v>654</v>
      </c>
      <c r="D37" s="138">
        <v>2560000</v>
      </c>
      <c r="E37" s="20" t="s">
        <v>644</v>
      </c>
      <c r="F37" s="20" t="s">
        <v>645</v>
      </c>
      <c r="G37" s="8" t="str">
        <f t="shared" si="0"/>
        <v>MACDONALD THOMAS</v>
      </c>
      <c r="H37" s="20" t="str">
        <f t="shared" si="1"/>
        <v>4050</v>
      </c>
    </row>
    <row r="38" spans="1:8" x14ac:dyDescent="0.25">
      <c r="A38" s="8">
        <v>43002.254583333335</v>
      </c>
      <c r="B38" s="20" t="s">
        <v>427</v>
      </c>
      <c r="C38" s="20" t="s">
        <v>655</v>
      </c>
      <c r="D38" s="138">
        <v>3040000</v>
      </c>
      <c r="E38" s="20" t="s">
        <v>514</v>
      </c>
      <c r="F38" s="20" t="s">
        <v>515</v>
      </c>
      <c r="G38" s="8" t="str">
        <f t="shared" si="0"/>
        <v>WILLIAMS DONTE</v>
      </c>
      <c r="H38" s="20" t="str">
        <f t="shared" si="1"/>
        <v>4023</v>
      </c>
    </row>
    <row r="39" spans="1:8" x14ac:dyDescent="0.25">
      <c r="A39" s="8">
        <v>43002.256238425929</v>
      </c>
      <c r="B39" s="20" t="s">
        <v>637</v>
      </c>
      <c r="C39" s="20" t="s">
        <v>656</v>
      </c>
      <c r="D39" s="138">
        <v>3260000</v>
      </c>
      <c r="E39" s="20" t="s">
        <v>475</v>
      </c>
      <c r="F39" s="20" t="s">
        <v>476</v>
      </c>
      <c r="G39" s="8" t="str">
        <f t="shared" si="0"/>
        <v>PAGE MARCUS</v>
      </c>
      <c r="H39" s="20" t="str">
        <f t="shared" si="1"/>
        <v>4060</v>
      </c>
    </row>
    <row r="40" spans="1:8" x14ac:dyDescent="0.25">
      <c r="A40" s="8">
        <v>43002.256956018522</v>
      </c>
      <c r="B40" s="25" t="s">
        <v>464</v>
      </c>
      <c r="C40" s="20" t="s">
        <v>583</v>
      </c>
      <c r="D40" s="138">
        <v>3300000</v>
      </c>
      <c r="E40" s="20" t="s">
        <v>625</v>
      </c>
      <c r="F40" s="20" t="s">
        <v>626</v>
      </c>
      <c r="G40" s="8" t="str">
        <f t="shared" si="0"/>
        <v>LANGERAK WILLIAM</v>
      </c>
      <c r="H40" s="20" t="str">
        <f t="shared" si="1"/>
        <v>4063</v>
      </c>
    </row>
    <row r="41" spans="1:8" x14ac:dyDescent="0.25">
      <c r="A41" s="8">
        <v>43002.265949074077</v>
      </c>
      <c r="B41" s="20" t="s">
        <v>639</v>
      </c>
      <c r="C41" s="20" t="s">
        <v>657</v>
      </c>
      <c r="D41" s="138">
        <v>1100000</v>
      </c>
      <c r="E41" s="20" t="s">
        <v>473</v>
      </c>
      <c r="F41" s="20" t="s">
        <v>474</v>
      </c>
      <c r="G41" s="8" t="str">
        <f t="shared" si="0"/>
        <v>GEBRETEKLE DAGNEW</v>
      </c>
      <c r="H41" s="20" t="str">
        <f t="shared" si="1"/>
        <v>4062</v>
      </c>
    </row>
    <row r="42" spans="1:8" x14ac:dyDescent="0.25">
      <c r="A42" s="8">
        <v>43002.27684027778</v>
      </c>
      <c r="B42" s="20" t="s">
        <v>581</v>
      </c>
      <c r="C42" s="20" t="s">
        <v>658</v>
      </c>
      <c r="D42" s="138">
        <v>2560000</v>
      </c>
      <c r="E42" s="20" t="s">
        <v>644</v>
      </c>
      <c r="F42" s="20" t="s">
        <v>645</v>
      </c>
      <c r="G42" s="8" t="str">
        <f t="shared" si="0"/>
        <v>MACDONALD THOMAS</v>
      </c>
      <c r="H42" s="20" t="str">
        <f t="shared" si="1"/>
        <v>4049</v>
      </c>
    </row>
    <row r="43" spans="1:8" x14ac:dyDescent="0.25">
      <c r="A43" s="8">
        <v>43002.276898148149</v>
      </c>
      <c r="B43" s="20" t="s">
        <v>442</v>
      </c>
      <c r="C43" s="20" t="s">
        <v>659</v>
      </c>
      <c r="D43" s="138">
        <v>3090000</v>
      </c>
      <c r="E43" s="20" t="s">
        <v>646</v>
      </c>
      <c r="F43" s="20" t="s">
        <v>647</v>
      </c>
      <c r="G43" s="8" t="str">
        <f t="shared" si="0"/>
        <v>LAMAR NEKESHA</v>
      </c>
      <c r="H43" s="20" t="str">
        <f t="shared" si="1"/>
        <v>4017</v>
      </c>
    </row>
    <row r="44" spans="1:8" x14ac:dyDescent="0.25">
      <c r="A44" s="8">
        <v>43002.27715277778</v>
      </c>
      <c r="B44" s="20" t="s">
        <v>600</v>
      </c>
      <c r="C44" s="20" t="s">
        <v>660</v>
      </c>
      <c r="D44" s="138">
        <v>1990000</v>
      </c>
      <c r="E44" s="20" t="s">
        <v>344</v>
      </c>
      <c r="F44" s="20" t="s">
        <v>472</v>
      </c>
      <c r="G44" s="8" t="str">
        <f t="shared" si="0"/>
        <v>DAVIS WENDY</v>
      </c>
      <c r="H44" s="20" t="str">
        <f t="shared" si="1"/>
        <v>4045</v>
      </c>
    </row>
    <row r="45" spans="1:8" x14ac:dyDescent="0.25">
      <c r="A45" s="8">
        <v>43002.278993055559</v>
      </c>
      <c r="B45" s="20" t="s">
        <v>579</v>
      </c>
      <c r="C45" s="20" t="s">
        <v>584</v>
      </c>
      <c r="D45" s="138">
        <v>3120000</v>
      </c>
      <c r="E45" s="20" t="s">
        <v>621</v>
      </c>
      <c r="F45" s="20" t="s">
        <v>622</v>
      </c>
      <c r="G45" s="8" t="str">
        <f t="shared" si="0"/>
        <v>THOMPSON LESTER</v>
      </c>
      <c r="H45" s="20" t="str">
        <f t="shared" si="1"/>
        <v>4066</v>
      </c>
    </row>
    <row r="46" spans="1:8" x14ac:dyDescent="0.25">
      <c r="A46" s="8">
        <v>43002.287951388891</v>
      </c>
      <c r="B46" s="20" t="s">
        <v>428</v>
      </c>
      <c r="C46" s="20" t="s">
        <v>661</v>
      </c>
      <c r="D46" s="138">
        <v>3040000</v>
      </c>
      <c r="E46" s="20" t="s">
        <v>514</v>
      </c>
      <c r="F46" s="20" t="s">
        <v>515</v>
      </c>
      <c r="G46" s="8" t="str">
        <f t="shared" si="0"/>
        <v>WILLIAMS DONTE</v>
      </c>
      <c r="H46" s="20" t="str">
        <f t="shared" si="1"/>
        <v>4024</v>
      </c>
    </row>
    <row r="47" spans="1:8" x14ac:dyDescent="0.25">
      <c r="A47" s="8">
        <v>43002.296296296299</v>
      </c>
      <c r="B47" s="20" t="s">
        <v>596</v>
      </c>
      <c r="C47" s="20" t="s">
        <v>662</v>
      </c>
      <c r="D47" s="138">
        <v>2560000</v>
      </c>
      <c r="E47" s="20" t="s">
        <v>644</v>
      </c>
      <c r="F47" s="20" t="s">
        <v>645</v>
      </c>
      <c r="G47" s="8" t="str">
        <f t="shared" si="0"/>
        <v>MACDONALD THOMAS</v>
      </c>
      <c r="H47" s="20" t="str">
        <f t="shared" si="1"/>
        <v>4050</v>
      </c>
    </row>
    <row r="48" spans="1:8" x14ac:dyDescent="0.25">
      <c r="A48" s="8">
        <v>43002.296689814815</v>
      </c>
      <c r="B48" s="20" t="s">
        <v>635</v>
      </c>
      <c r="C48" s="20" t="s">
        <v>663</v>
      </c>
      <c r="D48" s="138">
        <v>1100000</v>
      </c>
      <c r="E48" s="20" t="s">
        <v>473</v>
      </c>
      <c r="F48" s="20" t="s">
        <v>474</v>
      </c>
      <c r="G48" s="8" t="str">
        <f t="shared" si="0"/>
        <v>GEBRETEKLE DAGNEW</v>
      </c>
      <c r="H48" s="20" t="str">
        <f t="shared" si="1"/>
        <v>4061</v>
      </c>
    </row>
    <row r="49" spans="1:8" x14ac:dyDescent="0.25">
      <c r="A49" s="8">
        <v>43002.297268518516</v>
      </c>
      <c r="B49" s="20" t="s">
        <v>632</v>
      </c>
      <c r="C49" s="20" t="s">
        <v>664</v>
      </c>
      <c r="D49" s="138">
        <v>3260000</v>
      </c>
      <c r="E49" s="20" t="s">
        <v>475</v>
      </c>
      <c r="F49" s="20" t="s">
        <v>476</v>
      </c>
      <c r="G49" s="8" t="str">
        <f t="shared" si="0"/>
        <v>PAGE MARCUS</v>
      </c>
      <c r="H49" s="20" t="str">
        <f t="shared" si="1"/>
        <v>4059</v>
      </c>
    </row>
    <row r="50" spans="1:8" x14ac:dyDescent="0.25">
      <c r="A50" s="8">
        <v>43002.298784722225</v>
      </c>
      <c r="B50" s="20" t="s">
        <v>467</v>
      </c>
      <c r="C50" s="20" t="s">
        <v>665</v>
      </c>
      <c r="D50" s="138">
        <v>3300000</v>
      </c>
      <c r="E50" s="20" t="s">
        <v>625</v>
      </c>
      <c r="F50" s="20" t="s">
        <v>626</v>
      </c>
      <c r="G50" s="8" t="str">
        <f t="shared" si="0"/>
        <v>LANGERAK WILLIAM</v>
      </c>
      <c r="H50" s="20" t="str">
        <f t="shared" si="1"/>
        <v>4064</v>
      </c>
    </row>
    <row r="51" spans="1:8" x14ac:dyDescent="0.25">
      <c r="A51" s="8">
        <v>43002.310300925928</v>
      </c>
      <c r="B51" s="20" t="s">
        <v>440</v>
      </c>
      <c r="C51" s="20" t="s">
        <v>666</v>
      </c>
      <c r="D51" s="138">
        <v>3090000</v>
      </c>
      <c r="E51" s="20" t="s">
        <v>646</v>
      </c>
      <c r="F51" s="20" t="s">
        <v>647</v>
      </c>
      <c r="G51" s="8" t="str">
        <f t="shared" si="0"/>
        <v>LAMAR NEKESHA</v>
      </c>
      <c r="H51" s="20" t="str">
        <f t="shared" si="1"/>
        <v>4018</v>
      </c>
    </row>
    <row r="52" spans="1:8" x14ac:dyDescent="0.25">
      <c r="A52" s="8">
        <v>43002.317974537036</v>
      </c>
      <c r="B52" s="20" t="s">
        <v>588</v>
      </c>
      <c r="C52" s="20" t="s">
        <v>667</v>
      </c>
      <c r="D52" s="138">
        <v>3120000</v>
      </c>
      <c r="E52" s="20" t="s">
        <v>621</v>
      </c>
      <c r="F52" s="20" t="s">
        <v>622</v>
      </c>
      <c r="G52" s="8" t="str">
        <f t="shared" si="0"/>
        <v>THOMPSON LESTER</v>
      </c>
      <c r="H52" s="20" t="str">
        <f t="shared" si="1"/>
        <v>4065</v>
      </c>
    </row>
    <row r="53" spans="1:8" x14ac:dyDescent="0.25">
      <c r="A53" s="8">
        <v>43002.318993055553</v>
      </c>
      <c r="B53" s="20" t="s">
        <v>581</v>
      </c>
      <c r="C53" s="20" t="s">
        <v>585</v>
      </c>
      <c r="D53" s="138">
        <v>2560000</v>
      </c>
      <c r="E53" s="20" t="s">
        <v>644</v>
      </c>
      <c r="F53" s="20" t="s">
        <v>645</v>
      </c>
      <c r="G53" s="8" t="str">
        <f t="shared" si="0"/>
        <v>MACDONALD THOMAS</v>
      </c>
      <c r="H53" s="20" t="str">
        <f t="shared" si="1"/>
        <v>4049</v>
      </c>
    </row>
    <row r="54" spans="1:8" x14ac:dyDescent="0.25">
      <c r="A54" s="8">
        <v>43002.319756944446</v>
      </c>
      <c r="B54" s="20" t="s">
        <v>630</v>
      </c>
      <c r="C54" s="20" t="s">
        <v>668</v>
      </c>
      <c r="D54" s="138">
        <v>1990000</v>
      </c>
      <c r="E54" s="20" t="s">
        <v>344</v>
      </c>
      <c r="F54" s="20" t="s">
        <v>472</v>
      </c>
      <c r="G54" s="8" t="str">
        <f t="shared" si="0"/>
        <v>DAVIS WENDY</v>
      </c>
      <c r="H54" s="20" t="str">
        <f t="shared" si="1"/>
        <v>4046</v>
      </c>
    </row>
    <row r="55" spans="1:8" x14ac:dyDescent="0.25">
      <c r="A55" s="8">
        <v>43002.322118055556</v>
      </c>
      <c r="B55" s="20" t="s">
        <v>581</v>
      </c>
      <c r="C55" s="20" t="s">
        <v>585</v>
      </c>
      <c r="D55" s="138">
        <v>2560000</v>
      </c>
      <c r="E55" s="20" t="s">
        <v>644</v>
      </c>
      <c r="F55" s="20" t="s">
        <v>645</v>
      </c>
      <c r="G55" s="8" t="str">
        <f t="shared" si="0"/>
        <v>MACDONALD THOMAS</v>
      </c>
      <c r="H55" s="20" t="str">
        <f t="shared" si="1"/>
        <v>4049</v>
      </c>
    </row>
    <row r="56" spans="1:8" x14ac:dyDescent="0.25">
      <c r="A56" s="8">
        <v>43002.323252314818</v>
      </c>
      <c r="B56" s="20" t="s">
        <v>588</v>
      </c>
      <c r="C56" s="20" t="s">
        <v>667</v>
      </c>
      <c r="D56" s="138">
        <v>3120000</v>
      </c>
      <c r="E56" s="20" t="s">
        <v>621</v>
      </c>
      <c r="F56" s="20" t="s">
        <v>622</v>
      </c>
      <c r="G56" s="8" t="str">
        <f t="shared" si="0"/>
        <v>THOMPSON LESTER</v>
      </c>
      <c r="H56" s="20" t="str">
        <f t="shared" si="1"/>
        <v>4065</v>
      </c>
    </row>
    <row r="57" spans="1:8" x14ac:dyDescent="0.25">
      <c r="A57" s="8">
        <v>43002.326944444445</v>
      </c>
      <c r="B57" s="20" t="s">
        <v>427</v>
      </c>
      <c r="C57" s="20" t="s">
        <v>669</v>
      </c>
      <c r="D57" s="138">
        <v>3040000</v>
      </c>
      <c r="E57" s="20" t="s">
        <v>514</v>
      </c>
      <c r="F57" s="20" t="s">
        <v>515</v>
      </c>
      <c r="G57" s="8" t="str">
        <f t="shared" si="0"/>
        <v>WILLIAMS DONTE</v>
      </c>
      <c r="H57" s="20" t="str">
        <f t="shared" si="1"/>
        <v>4023</v>
      </c>
    </row>
    <row r="58" spans="1:8" x14ac:dyDescent="0.25">
      <c r="A58" s="8">
        <v>43002.328819444447</v>
      </c>
      <c r="B58" s="20" t="s">
        <v>637</v>
      </c>
      <c r="C58" s="20" t="s">
        <v>670</v>
      </c>
      <c r="D58" s="138">
        <v>3260000</v>
      </c>
      <c r="E58" s="20" t="s">
        <v>475</v>
      </c>
      <c r="F58" s="20" t="s">
        <v>476</v>
      </c>
      <c r="G58" s="8" t="str">
        <f t="shared" si="0"/>
        <v>PAGE MARCUS</v>
      </c>
      <c r="H58" s="20" t="str">
        <f t="shared" si="1"/>
        <v>4060</v>
      </c>
    </row>
    <row r="59" spans="1:8" x14ac:dyDescent="0.25">
      <c r="A59" s="8">
        <v>43002.330914351849</v>
      </c>
      <c r="B59" s="20" t="s">
        <v>464</v>
      </c>
      <c r="C59" s="20" t="s">
        <v>671</v>
      </c>
      <c r="D59" s="138">
        <v>3300000</v>
      </c>
      <c r="E59" s="20" t="s">
        <v>625</v>
      </c>
      <c r="F59" s="20" t="s">
        <v>626</v>
      </c>
      <c r="G59" s="8" t="str">
        <f t="shared" si="0"/>
        <v>LANGERAK WILLIAM</v>
      </c>
      <c r="H59" s="20" t="str">
        <f t="shared" si="1"/>
        <v>4063</v>
      </c>
    </row>
    <row r="60" spans="1:8" x14ac:dyDescent="0.25">
      <c r="A60" s="8">
        <v>43002.338136574072</v>
      </c>
      <c r="B60" s="20" t="s">
        <v>596</v>
      </c>
      <c r="C60" s="20" t="s">
        <v>672</v>
      </c>
      <c r="D60" s="138">
        <v>2560000</v>
      </c>
      <c r="E60" s="20" t="s">
        <v>644</v>
      </c>
      <c r="F60" s="20" t="s">
        <v>645</v>
      </c>
      <c r="G60" s="8" t="str">
        <f t="shared" si="0"/>
        <v>MACDONALD THOMAS</v>
      </c>
      <c r="H60" s="20" t="str">
        <f t="shared" si="1"/>
        <v>4050</v>
      </c>
    </row>
    <row r="61" spans="1:8" x14ac:dyDescent="0.25">
      <c r="A61" s="8">
        <v>43002.338854166665</v>
      </c>
      <c r="B61" s="20" t="s">
        <v>639</v>
      </c>
      <c r="C61" s="20" t="s">
        <v>673</v>
      </c>
      <c r="D61" s="138">
        <v>1100000</v>
      </c>
      <c r="E61" s="20" t="s">
        <v>473</v>
      </c>
      <c r="F61" s="20" t="s">
        <v>474</v>
      </c>
      <c r="G61" s="8" t="str">
        <f t="shared" si="0"/>
        <v>GEBRETEKLE DAGNEW</v>
      </c>
      <c r="H61" s="20" t="str">
        <f t="shared" si="1"/>
        <v>4062</v>
      </c>
    </row>
    <row r="62" spans="1:8" x14ac:dyDescent="0.25">
      <c r="A62" s="8">
        <v>43002.349976851852</v>
      </c>
      <c r="B62" s="20" t="s">
        <v>442</v>
      </c>
      <c r="C62" s="20" t="s">
        <v>674</v>
      </c>
      <c r="D62" s="138">
        <v>3090000</v>
      </c>
      <c r="E62" s="20" t="s">
        <v>646</v>
      </c>
      <c r="F62" s="20" t="s">
        <v>647</v>
      </c>
      <c r="G62" s="8" t="str">
        <f t="shared" si="0"/>
        <v>LAMAR NEKESHA</v>
      </c>
      <c r="H62" s="20" t="str">
        <f t="shared" si="1"/>
        <v>4017</v>
      </c>
    </row>
    <row r="63" spans="1:8" x14ac:dyDescent="0.25">
      <c r="A63" s="8">
        <v>43002.352685185186</v>
      </c>
      <c r="B63" s="20" t="s">
        <v>579</v>
      </c>
      <c r="C63" s="20" t="s">
        <v>587</v>
      </c>
      <c r="D63" s="138">
        <v>3120000</v>
      </c>
      <c r="E63" s="20" t="s">
        <v>621</v>
      </c>
      <c r="F63" s="20" t="s">
        <v>622</v>
      </c>
      <c r="G63" s="8" t="str">
        <f t="shared" si="0"/>
        <v>THOMPSON LESTER</v>
      </c>
      <c r="H63" s="20" t="str">
        <f t="shared" si="1"/>
        <v>4066</v>
      </c>
    </row>
    <row r="64" spans="1:8" x14ac:dyDescent="0.25">
      <c r="A64" s="26">
        <v>43002.356087962966</v>
      </c>
      <c r="B64" s="20" t="s">
        <v>600</v>
      </c>
      <c r="C64" s="20" t="s">
        <v>675</v>
      </c>
      <c r="D64" s="138">
        <v>1990000</v>
      </c>
      <c r="E64" s="20" t="s">
        <v>344</v>
      </c>
      <c r="F64" s="20" t="s">
        <v>472</v>
      </c>
      <c r="G64" s="8" t="str">
        <f t="shared" si="0"/>
        <v>DAVIS WENDY</v>
      </c>
      <c r="H64" s="20" t="str">
        <f t="shared" si="1"/>
        <v>4045</v>
      </c>
    </row>
    <row r="65" spans="1:8" x14ac:dyDescent="0.25">
      <c r="A65" s="8">
        <v>43002.359618055554</v>
      </c>
      <c r="B65" s="20" t="s">
        <v>581</v>
      </c>
      <c r="C65" s="20" t="s">
        <v>586</v>
      </c>
      <c r="D65" s="138">
        <v>2560000</v>
      </c>
      <c r="E65" s="20" t="s">
        <v>644</v>
      </c>
      <c r="F65" s="20" t="s">
        <v>645</v>
      </c>
      <c r="G65" s="8" t="str">
        <f t="shared" si="0"/>
        <v>MACDONALD THOMAS</v>
      </c>
      <c r="H65" s="20" t="str">
        <f t="shared" si="1"/>
        <v>4049</v>
      </c>
    </row>
    <row r="66" spans="1:8" x14ac:dyDescent="0.25">
      <c r="A66" s="8">
        <v>43002.360671296294</v>
      </c>
      <c r="B66" s="20" t="s">
        <v>428</v>
      </c>
      <c r="C66" s="20" t="s">
        <v>676</v>
      </c>
      <c r="D66" s="138">
        <v>3040000</v>
      </c>
      <c r="E66" s="20" t="s">
        <v>514</v>
      </c>
      <c r="F66" s="20" t="s">
        <v>515</v>
      </c>
      <c r="G66" s="8" t="str">
        <f t="shared" si="0"/>
        <v>WILLIAMS DONTE</v>
      </c>
      <c r="H66" s="20" t="str">
        <f t="shared" si="1"/>
        <v>4024</v>
      </c>
    </row>
    <row r="67" spans="1:8" x14ac:dyDescent="0.25">
      <c r="A67" s="8">
        <v>43002.369421296295</v>
      </c>
      <c r="B67" s="20" t="s">
        <v>632</v>
      </c>
      <c r="C67" s="20" t="s">
        <v>677</v>
      </c>
      <c r="D67" s="138">
        <v>3260000</v>
      </c>
      <c r="E67" s="20" t="s">
        <v>475</v>
      </c>
      <c r="F67" s="20" t="s">
        <v>476</v>
      </c>
      <c r="G67" s="8" t="str">
        <f t="shared" ref="G67:G130" si="2">E67&amp;" "&amp;F67</f>
        <v>PAGE MARCUS</v>
      </c>
      <c r="H67" s="20" t="str">
        <f t="shared" ref="H67:H130" si="3">MID(B67,13,4)</f>
        <v>4059</v>
      </c>
    </row>
    <row r="68" spans="1:8" x14ac:dyDescent="0.25">
      <c r="A68" s="8">
        <v>43002.369849537034</v>
      </c>
      <c r="B68" s="20" t="s">
        <v>635</v>
      </c>
      <c r="C68" s="20" t="s">
        <v>678</v>
      </c>
      <c r="D68" s="138">
        <v>1100000</v>
      </c>
      <c r="E68" s="20" t="s">
        <v>473</v>
      </c>
      <c r="F68" s="20" t="s">
        <v>474</v>
      </c>
      <c r="G68" s="8" t="str">
        <f t="shared" si="2"/>
        <v>GEBRETEKLE DAGNEW</v>
      </c>
      <c r="H68" s="20" t="str">
        <f t="shared" si="3"/>
        <v>4061</v>
      </c>
    </row>
    <row r="69" spans="1:8" x14ac:dyDescent="0.25">
      <c r="A69" s="8">
        <v>43002.371736111112</v>
      </c>
      <c r="B69" s="20" t="s">
        <v>467</v>
      </c>
      <c r="C69" s="20" t="s">
        <v>679</v>
      </c>
      <c r="D69" s="138">
        <v>3300000</v>
      </c>
      <c r="E69" s="20" t="s">
        <v>625</v>
      </c>
      <c r="F69" s="20" t="s">
        <v>626</v>
      </c>
      <c r="G69" s="8" t="str">
        <f t="shared" si="2"/>
        <v>LANGERAK WILLIAM</v>
      </c>
      <c r="H69" s="20" t="str">
        <f t="shared" si="3"/>
        <v>4064</v>
      </c>
    </row>
    <row r="70" spans="1:8" x14ac:dyDescent="0.25">
      <c r="A70" s="8">
        <v>43002.380671296298</v>
      </c>
      <c r="B70" s="20" t="s">
        <v>596</v>
      </c>
      <c r="C70" s="20" t="s">
        <v>680</v>
      </c>
      <c r="D70" s="138">
        <v>2560000</v>
      </c>
      <c r="E70" s="20" t="s">
        <v>644</v>
      </c>
      <c r="F70" s="20" t="s">
        <v>645</v>
      </c>
      <c r="G70" s="8" t="str">
        <f t="shared" si="2"/>
        <v>MACDONALD THOMAS</v>
      </c>
      <c r="H70" s="20" t="str">
        <f t="shared" si="3"/>
        <v>4050</v>
      </c>
    </row>
    <row r="71" spans="1:8" x14ac:dyDescent="0.25">
      <c r="A71" s="8">
        <v>43002.3825462963</v>
      </c>
      <c r="B71" s="20" t="s">
        <v>440</v>
      </c>
      <c r="C71" s="20" t="s">
        <v>681</v>
      </c>
      <c r="D71" s="138">
        <v>3090000</v>
      </c>
      <c r="E71" s="20" t="s">
        <v>646</v>
      </c>
      <c r="F71" s="20" t="s">
        <v>647</v>
      </c>
      <c r="G71" s="8" t="str">
        <f t="shared" si="2"/>
        <v>LAMAR NEKESHA</v>
      </c>
      <c r="H71" s="20" t="str">
        <f t="shared" si="3"/>
        <v>4018</v>
      </c>
    </row>
    <row r="72" spans="1:8" x14ac:dyDescent="0.25">
      <c r="A72" s="8">
        <v>43002.391585648147</v>
      </c>
      <c r="B72" s="20" t="s">
        <v>630</v>
      </c>
      <c r="C72" s="20" t="s">
        <v>682</v>
      </c>
      <c r="D72" s="138">
        <v>1990000</v>
      </c>
      <c r="E72" s="20" t="s">
        <v>344</v>
      </c>
      <c r="F72" s="20" t="s">
        <v>472</v>
      </c>
      <c r="G72" s="8" t="str">
        <f t="shared" si="2"/>
        <v>DAVIS WENDY</v>
      </c>
      <c r="H72" s="20" t="str">
        <f t="shared" si="3"/>
        <v>4046</v>
      </c>
    </row>
    <row r="73" spans="1:8" x14ac:dyDescent="0.25">
      <c r="A73" s="8">
        <v>43002.392199074071</v>
      </c>
      <c r="B73" s="20" t="s">
        <v>588</v>
      </c>
      <c r="C73" s="20" t="s">
        <v>589</v>
      </c>
      <c r="D73" s="138">
        <v>3120000</v>
      </c>
      <c r="E73" s="20" t="s">
        <v>621</v>
      </c>
      <c r="F73" s="20" t="s">
        <v>622</v>
      </c>
      <c r="G73" s="8" t="str">
        <f t="shared" si="2"/>
        <v>THOMPSON LESTER</v>
      </c>
      <c r="H73" s="20" t="str">
        <f t="shared" si="3"/>
        <v>4065</v>
      </c>
    </row>
    <row r="74" spans="1:8" x14ac:dyDescent="0.25">
      <c r="A74" s="8">
        <v>43002.401273148149</v>
      </c>
      <c r="B74" s="20" t="s">
        <v>427</v>
      </c>
      <c r="C74" s="20" t="s">
        <v>683</v>
      </c>
      <c r="D74" s="138">
        <v>3040000</v>
      </c>
      <c r="E74" s="20" t="s">
        <v>514</v>
      </c>
      <c r="F74" s="20" t="s">
        <v>515</v>
      </c>
      <c r="G74" s="8" t="str">
        <f t="shared" si="2"/>
        <v>WILLIAMS DONTE</v>
      </c>
      <c r="H74" s="20" t="str">
        <f t="shared" si="3"/>
        <v>4023</v>
      </c>
    </row>
    <row r="75" spans="1:8" x14ac:dyDescent="0.25">
      <c r="A75" s="8">
        <v>43002.401909722219</v>
      </c>
      <c r="B75" s="20" t="s">
        <v>581</v>
      </c>
      <c r="C75" s="20" t="s">
        <v>684</v>
      </c>
      <c r="D75" s="138">
        <v>2560000</v>
      </c>
      <c r="E75" s="20" t="s">
        <v>644</v>
      </c>
      <c r="F75" s="20" t="s">
        <v>645</v>
      </c>
      <c r="G75" s="8" t="str">
        <f t="shared" si="2"/>
        <v>MACDONALD THOMAS</v>
      </c>
      <c r="H75" s="20" t="str">
        <f t="shared" si="3"/>
        <v>4049</v>
      </c>
    </row>
    <row r="76" spans="1:8" x14ac:dyDescent="0.25">
      <c r="A76" s="8">
        <v>43002.402002314811</v>
      </c>
      <c r="B76" s="20" t="s">
        <v>637</v>
      </c>
      <c r="C76" s="20" t="s">
        <v>685</v>
      </c>
      <c r="D76" s="138">
        <v>3260000</v>
      </c>
      <c r="E76" s="20" t="s">
        <v>475</v>
      </c>
      <c r="F76" s="20" t="s">
        <v>476</v>
      </c>
      <c r="G76" s="8" t="str">
        <f t="shared" si="2"/>
        <v>PAGE MARCUS</v>
      </c>
      <c r="H76" s="20" t="str">
        <f t="shared" si="3"/>
        <v>4060</v>
      </c>
    </row>
    <row r="77" spans="1:8" x14ac:dyDescent="0.25">
      <c r="A77" s="8">
        <v>43002.40283564815</v>
      </c>
      <c r="B77" s="20" t="s">
        <v>464</v>
      </c>
      <c r="C77" s="20" t="s">
        <v>590</v>
      </c>
      <c r="D77" s="138">
        <v>3300000</v>
      </c>
      <c r="E77" s="20" t="s">
        <v>625</v>
      </c>
      <c r="F77" s="20" t="s">
        <v>626</v>
      </c>
      <c r="G77" s="8" t="str">
        <f t="shared" si="2"/>
        <v>LANGERAK WILLIAM</v>
      </c>
      <c r="H77" s="20" t="str">
        <f t="shared" si="3"/>
        <v>4063</v>
      </c>
    </row>
    <row r="78" spans="1:8" x14ac:dyDescent="0.25">
      <c r="A78" s="8">
        <v>43002.411863425928</v>
      </c>
      <c r="B78" s="20" t="s">
        <v>639</v>
      </c>
      <c r="C78" s="20" t="s">
        <v>686</v>
      </c>
      <c r="D78" s="138">
        <v>1100000</v>
      </c>
      <c r="E78" s="20" t="s">
        <v>473</v>
      </c>
      <c r="F78" s="20" t="s">
        <v>474</v>
      </c>
      <c r="G78" s="8" t="str">
        <f t="shared" si="2"/>
        <v>GEBRETEKLE DAGNEW</v>
      </c>
      <c r="H78" s="20" t="str">
        <f t="shared" si="3"/>
        <v>4062</v>
      </c>
    </row>
    <row r="79" spans="1:8" x14ac:dyDescent="0.25">
      <c r="A79" s="8">
        <v>43002.416238425925</v>
      </c>
      <c r="B79" s="20" t="s">
        <v>596</v>
      </c>
      <c r="C79" s="20" t="s">
        <v>687</v>
      </c>
      <c r="D79" s="138">
        <v>2560000</v>
      </c>
      <c r="E79" s="20" t="s">
        <v>644</v>
      </c>
      <c r="F79" s="20" t="s">
        <v>645</v>
      </c>
      <c r="G79" s="8" t="str">
        <f t="shared" si="2"/>
        <v>MACDONALD THOMAS</v>
      </c>
      <c r="H79" s="20" t="str">
        <f t="shared" si="3"/>
        <v>4050</v>
      </c>
    </row>
    <row r="80" spans="1:8" x14ac:dyDescent="0.25">
      <c r="A80" s="8">
        <v>43002.423391203702</v>
      </c>
      <c r="B80" s="20" t="s">
        <v>442</v>
      </c>
      <c r="C80" s="20" t="s">
        <v>688</v>
      </c>
      <c r="D80" s="138">
        <v>3090000</v>
      </c>
      <c r="E80" s="20" t="s">
        <v>646</v>
      </c>
      <c r="F80" s="20" t="s">
        <v>647</v>
      </c>
      <c r="G80" s="8" t="str">
        <f t="shared" si="2"/>
        <v>LAMAR NEKESHA</v>
      </c>
      <c r="H80" s="20" t="str">
        <f t="shared" si="3"/>
        <v>4017</v>
      </c>
    </row>
    <row r="81" spans="1:8" x14ac:dyDescent="0.25">
      <c r="A81" s="8">
        <v>43002.425613425927</v>
      </c>
      <c r="B81" s="20" t="s">
        <v>579</v>
      </c>
      <c r="C81" s="20" t="s">
        <v>689</v>
      </c>
      <c r="D81" s="138">
        <v>2550000</v>
      </c>
      <c r="E81" s="20" t="s">
        <v>519</v>
      </c>
      <c r="F81" s="20" t="s">
        <v>520</v>
      </c>
      <c r="G81" s="8" t="str">
        <f t="shared" si="2"/>
        <v>BADERTSCHER DIANE</v>
      </c>
      <c r="H81" s="20" t="str">
        <f t="shared" si="3"/>
        <v>4066</v>
      </c>
    </row>
    <row r="82" spans="1:8" x14ac:dyDescent="0.25">
      <c r="A82" s="8">
        <v>43002.42796296296</v>
      </c>
      <c r="B82" s="20" t="s">
        <v>600</v>
      </c>
      <c r="C82" s="20" t="s">
        <v>690</v>
      </c>
      <c r="D82" s="138">
        <v>1990000</v>
      </c>
      <c r="E82" s="20" t="s">
        <v>344</v>
      </c>
      <c r="F82" s="20" t="s">
        <v>472</v>
      </c>
      <c r="G82" s="8" t="str">
        <f t="shared" si="2"/>
        <v>DAVIS WENDY</v>
      </c>
      <c r="H82" s="20" t="str">
        <f t="shared" si="3"/>
        <v>4045</v>
      </c>
    </row>
    <row r="83" spans="1:8" x14ac:dyDescent="0.25">
      <c r="A83" s="8">
        <v>43002.433217592596</v>
      </c>
      <c r="B83" s="20" t="s">
        <v>428</v>
      </c>
      <c r="C83" s="20" t="s">
        <v>691</v>
      </c>
      <c r="D83" s="138">
        <v>3040000</v>
      </c>
      <c r="E83" s="20" t="s">
        <v>514</v>
      </c>
      <c r="F83" s="20" t="s">
        <v>515</v>
      </c>
      <c r="G83" s="8" t="str">
        <f t="shared" si="2"/>
        <v>WILLIAMS DONTE</v>
      </c>
      <c r="H83" s="20" t="str">
        <f t="shared" si="3"/>
        <v>4024</v>
      </c>
    </row>
    <row r="84" spans="1:8" x14ac:dyDescent="0.25">
      <c r="A84" s="8">
        <v>43002.438958333332</v>
      </c>
      <c r="B84" s="20" t="s">
        <v>513</v>
      </c>
      <c r="C84" s="20" t="s">
        <v>592</v>
      </c>
      <c r="D84" s="138">
        <v>3220000</v>
      </c>
      <c r="E84" s="20" t="s">
        <v>692</v>
      </c>
      <c r="F84" s="20" t="s">
        <v>693</v>
      </c>
      <c r="G84" s="8" t="str">
        <f t="shared" si="2"/>
        <v>RESPASS AARON</v>
      </c>
      <c r="H84" s="20" t="str">
        <f t="shared" si="3"/>
        <v>4013</v>
      </c>
    </row>
    <row r="85" spans="1:8" x14ac:dyDescent="0.25">
      <c r="A85" s="8">
        <v>43002.442314814813</v>
      </c>
      <c r="B85" s="20" t="s">
        <v>632</v>
      </c>
      <c r="C85" s="20" t="s">
        <v>694</v>
      </c>
      <c r="D85" s="138">
        <v>3260000</v>
      </c>
      <c r="E85" s="20" t="s">
        <v>475</v>
      </c>
      <c r="F85" s="20" t="s">
        <v>476</v>
      </c>
      <c r="G85" s="8" t="str">
        <f t="shared" si="2"/>
        <v>PAGE MARCUS</v>
      </c>
      <c r="H85" s="20" t="str">
        <f t="shared" si="3"/>
        <v>4059</v>
      </c>
    </row>
    <row r="86" spans="1:8" x14ac:dyDescent="0.25">
      <c r="A86" s="8">
        <v>43002.442557870374</v>
      </c>
      <c r="B86" s="20" t="s">
        <v>635</v>
      </c>
      <c r="C86" s="20" t="s">
        <v>695</v>
      </c>
      <c r="D86" s="138">
        <v>1100000</v>
      </c>
      <c r="E86" s="20" t="s">
        <v>473</v>
      </c>
      <c r="F86" s="20" t="s">
        <v>474</v>
      </c>
      <c r="G86" s="8" t="str">
        <f t="shared" si="2"/>
        <v>GEBRETEKLE DAGNEW</v>
      </c>
      <c r="H86" s="20" t="str">
        <f t="shared" si="3"/>
        <v>4061</v>
      </c>
    </row>
    <row r="87" spans="1:8" x14ac:dyDescent="0.25">
      <c r="A87" s="8">
        <v>43002.443865740737</v>
      </c>
      <c r="B87" s="20" t="s">
        <v>581</v>
      </c>
      <c r="C87" s="20" t="s">
        <v>696</v>
      </c>
      <c r="D87" s="138">
        <v>2560000</v>
      </c>
      <c r="E87" s="20" t="s">
        <v>644</v>
      </c>
      <c r="F87" s="20" t="s">
        <v>645</v>
      </c>
      <c r="G87" s="8" t="str">
        <f t="shared" si="2"/>
        <v>MACDONALD THOMAS</v>
      </c>
      <c r="H87" s="20" t="str">
        <f t="shared" si="3"/>
        <v>4049</v>
      </c>
    </row>
    <row r="88" spans="1:8" x14ac:dyDescent="0.25">
      <c r="A88" s="8">
        <v>43002.446701388886</v>
      </c>
      <c r="B88" s="20" t="s">
        <v>467</v>
      </c>
      <c r="C88" s="20" t="s">
        <v>591</v>
      </c>
      <c r="D88" s="138">
        <v>2600000</v>
      </c>
      <c r="E88" s="20" t="s">
        <v>521</v>
      </c>
      <c r="F88" s="20" t="s">
        <v>522</v>
      </c>
      <c r="G88" s="8" t="str">
        <f t="shared" si="2"/>
        <v>DAVIDSON DAVID</v>
      </c>
      <c r="H88" s="20" t="str">
        <f t="shared" si="3"/>
        <v>4064</v>
      </c>
    </row>
    <row r="89" spans="1:8" x14ac:dyDescent="0.25">
      <c r="A89" s="8">
        <v>43002.455891203703</v>
      </c>
      <c r="B89" s="20" t="s">
        <v>440</v>
      </c>
      <c r="C89" s="20" t="s">
        <v>697</v>
      </c>
      <c r="D89" s="138">
        <v>3090000</v>
      </c>
      <c r="E89" s="20" t="s">
        <v>646</v>
      </c>
      <c r="F89" s="20" t="s">
        <v>647</v>
      </c>
      <c r="G89" s="8" t="str">
        <f t="shared" si="2"/>
        <v>LAMAR NEKESHA</v>
      </c>
      <c r="H89" s="20" t="str">
        <f t="shared" si="3"/>
        <v>4018</v>
      </c>
    </row>
    <row r="90" spans="1:8" x14ac:dyDescent="0.25">
      <c r="A90" s="8">
        <v>43002.461111111108</v>
      </c>
      <c r="B90" s="20" t="s">
        <v>588</v>
      </c>
      <c r="C90" s="20" t="s">
        <v>698</v>
      </c>
      <c r="D90" s="138">
        <v>2550000</v>
      </c>
      <c r="E90" s="20" t="s">
        <v>519</v>
      </c>
      <c r="F90" s="20" t="s">
        <v>520</v>
      </c>
      <c r="G90" s="8" t="str">
        <f t="shared" si="2"/>
        <v>BADERTSCHER DIANE</v>
      </c>
      <c r="H90" s="20" t="str">
        <f t="shared" si="3"/>
        <v>4065</v>
      </c>
    </row>
    <row r="91" spans="1:8" x14ac:dyDescent="0.25">
      <c r="A91" s="8">
        <v>43002.463993055557</v>
      </c>
      <c r="B91" s="20" t="s">
        <v>596</v>
      </c>
      <c r="C91" s="20" t="s">
        <v>699</v>
      </c>
      <c r="D91" s="138">
        <v>2560000</v>
      </c>
      <c r="E91" s="20" t="s">
        <v>644</v>
      </c>
      <c r="F91" s="20" t="s">
        <v>645</v>
      </c>
      <c r="G91" s="8" t="str">
        <f t="shared" si="2"/>
        <v>MACDONALD THOMAS</v>
      </c>
      <c r="H91" s="20" t="str">
        <f t="shared" si="3"/>
        <v>4050</v>
      </c>
    </row>
    <row r="92" spans="1:8" x14ac:dyDescent="0.25">
      <c r="A92" s="8">
        <v>43002.466331018521</v>
      </c>
      <c r="B92" s="20" t="s">
        <v>630</v>
      </c>
      <c r="C92" s="20" t="s">
        <v>700</v>
      </c>
      <c r="D92" s="138">
        <v>920000</v>
      </c>
      <c r="E92" s="20" t="s">
        <v>344</v>
      </c>
      <c r="F92" s="20" t="s">
        <v>190</v>
      </c>
      <c r="G92" s="8" t="str">
        <f t="shared" si="2"/>
        <v>DAVIS MICHAEL</v>
      </c>
      <c r="H92" s="20" t="str">
        <f t="shared" si="3"/>
        <v>4046</v>
      </c>
    </row>
    <row r="93" spans="1:8" x14ac:dyDescent="0.25">
      <c r="A93" s="8">
        <v>43002.474143518521</v>
      </c>
      <c r="B93" s="20" t="s">
        <v>427</v>
      </c>
      <c r="C93" s="20" t="s">
        <v>701</v>
      </c>
      <c r="D93" s="138">
        <v>3040000</v>
      </c>
      <c r="E93" s="20" t="s">
        <v>514</v>
      </c>
      <c r="F93" s="20" t="s">
        <v>515</v>
      </c>
      <c r="G93" s="8" t="str">
        <f t="shared" si="2"/>
        <v>WILLIAMS DONTE</v>
      </c>
      <c r="H93" s="20" t="str">
        <f t="shared" si="3"/>
        <v>4023</v>
      </c>
    </row>
    <row r="94" spans="1:8" x14ac:dyDescent="0.25">
      <c r="A94" s="8">
        <v>43002.477500000001</v>
      </c>
      <c r="B94" s="20" t="s">
        <v>637</v>
      </c>
      <c r="C94" s="20" t="s">
        <v>702</v>
      </c>
      <c r="D94" s="138">
        <v>2630000</v>
      </c>
      <c r="E94" s="20" t="s">
        <v>703</v>
      </c>
      <c r="F94" s="20" t="s">
        <v>704</v>
      </c>
      <c r="G94" s="8" t="str">
        <f t="shared" si="2"/>
        <v>SAFIEF AEIMEN</v>
      </c>
      <c r="H94" s="20" t="str">
        <f t="shared" si="3"/>
        <v>4060</v>
      </c>
    </row>
    <row r="95" spans="1:8" x14ac:dyDescent="0.25">
      <c r="A95" s="8">
        <v>43002.477986111109</v>
      </c>
      <c r="B95" s="20" t="s">
        <v>464</v>
      </c>
      <c r="C95" s="20" t="s">
        <v>705</v>
      </c>
      <c r="D95" s="138">
        <v>2600000</v>
      </c>
      <c r="E95" s="20" t="s">
        <v>521</v>
      </c>
      <c r="F95" s="20" t="s">
        <v>522</v>
      </c>
      <c r="G95" s="8" t="str">
        <f t="shared" si="2"/>
        <v>DAVIDSON DAVID</v>
      </c>
      <c r="H95" s="20" t="str">
        <f t="shared" si="3"/>
        <v>4063</v>
      </c>
    </row>
    <row r="96" spans="1:8" x14ac:dyDescent="0.25">
      <c r="A96" s="8">
        <v>43002.47865740741</v>
      </c>
      <c r="B96" s="20" t="s">
        <v>516</v>
      </c>
      <c r="C96" s="20" t="s">
        <v>706</v>
      </c>
      <c r="D96" s="138">
        <v>1990000</v>
      </c>
      <c r="E96" s="20" t="s">
        <v>344</v>
      </c>
      <c r="F96" s="20" t="s">
        <v>472</v>
      </c>
      <c r="G96" s="8" t="str">
        <f t="shared" si="2"/>
        <v>DAVIS WENDY</v>
      </c>
      <c r="H96" s="20" t="str">
        <f t="shared" si="3"/>
        <v>4014</v>
      </c>
    </row>
    <row r="97" spans="1:8" x14ac:dyDescent="0.25">
      <c r="A97" s="8">
        <v>43002.485509259262</v>
      </c>
      <c r="B97" s="20" t="s">
        <v>639</v>
      </c>
      <c r="C97" s="20" t="s">
        <v>707</v>
      </c>
      <c r="D97" s="138">
        <v>2970000</v>
      </c>
      <c r="E97" s="20" t="s">
        <v>708</v>
      </c>
      <c r="F97" s="20" t="s">
        <v>709</v>
      </c>
      <c r="G97" s="8" t="str">
        <f t="shared" si="2"/>
        <v>GUZMAN DANNY</v>
      </c>
      <c r="H97" s="20" t="str">
        <f t="shared" si="3"/>
        <v>4062</v>
      </c>
    </row>
    <row r="98" spans="1:8" x14ac:dyDescent="0.25">
      <c r="A98" s="8">
        <v>43002.485879629632</v>
      </c>
      <c r="B98" s="20" t="s">
        <v>581</v>
      </c>
      <c r="C98" s="20" t="s">
        <v>593</v>
      </c>
      <c r="D98" s="138">
        <v>2560000</v>
      </c>
      <c r="E98" s="20" t="s">
        <v>644</v>
      </c>
      <c r="F98" s="20" t="s">
        <v>645</v>
      </c>
      <c r="G98" s="8" t="str">
        <f t="shared" si="2"/>
        <v>MACDONALD THOMAS</v>
      </c>
      <c r="H98" s="20" t="str">
        <f t="shared" si="3"/>
        <v>4049</v>
      </c>
    </row>
    <row r="99" spans="1:8" x14ac:dyDescent="0.25">
      <c r="A99" s="8">
        <v>43002.49591435185</v>
      </c>
      <c r="B99" s="20" t="s">
        <v>442</v>
      </c>
      <c r="C99" s="20" t="s">
        <v>710</v>
      </c>
      <c r="D99" s="138">
        <v>3090000</v>
      </c>
      <c r="E99" s="20" t="s">
        <v>646</v>
      </c>
      <c r="F99" s="20" t="s">
        <v>647</v>
      </c>
      <c r="G99" s="8" t="str">
        <f t="shared" si="2"/>
        <v>LAMAR NEKESHA</v>
      </c>
      <c r="H99" s="20" t="str">
        <f t="shared" si="3"/>
        <v>4017</v>
      </c>
    </row>
    <row r="100" spans="1:8" x14ac:dyDescent="0.25">
      <c r="A100" s="8">
        <v>43002.497916666667</v>
      </c>
      <c r="B100" s="20" t="s">
        <v>579</v>
      </c>
      <c r="C100" s="20" t="s">
        <v>594</v>
      </c>
      <c r="D100" s="138">
        <v>2550000</v>
      </c>
      <c r="E100" s="20" t="s">
        <v>519</v>
      </c>
      <c r="F100" s="20" t="s">
        <v>520</v>
      </c>
      <c r="G100" s="8" t="str">
        <f t="shared" si="2"/>
        <v>BADERTSCHER DIANE</v>
      </c>
      <c r="H100" s="20" t="str">
        <f t="shared" si="3"/>
        <v>4066</v>
      </c>
    </row>
    <row r="101" spans="1:8" x14ac:dyDescent="0.25">
      <c r="A101" s="8">
        <v>43002.50576388889</v>
      </c>
      <c r="B101" s="20" t="s">
        <v>596</v>
      </c>
      <c r="C101" s="20" t="s">
        <v>711</v>
      </c>
      <c r="D101" s="138">
        <v>2560000</v>
      </c>
      <c r="E101" s="20" t="s">
        <v>644</v>
      </c>
      <c r="F101" s="20" t="s">
        <v>645</v>
      </c>
      <c r="G101" s="8" t="str">
        <f t="shared" si="2"/>
        <v>MACDONALD THOMAS</v>
      </c>
      <c r="H101" s="20" t="str">
        <f t="shared" si="3"/>
        <v>4050</v>
      </c>
    </row>
    <row r="102" spans="1:8" x14ac:dyDescent="0.25">
      <c r="A102" s="8">
        <v>43002.506736111114</v>
      </c>
      <c r="B102" s="20" t="s">
        <v>600</v>
      </c>
      <c r="C102" s="20" t="s">
        <v>712</v>
      </c>
      <c r="D102" s="138">
        <v>920000</v>
      </c>
      <c r="E102" s="20" t="s">
        <v>344</v>
      </c>
      <c r="F102" s="20" t="s">
        <v>190</v>
      </c>
      <c r="G102" s="8" t="str">
        <f t="shared" si="2"/>
        <v>DAVIS MICHAEL</v>
      </c>
      <c r="H102" s="20" t="str">
        <f t="shared" si="3"/>
        <v>4045</v>
      </c>
    </row>
    <row r="103" spans="1:8" x14ac:dyDescent="0.25">
      <c r="A103" s="8">
        <v>43002.507673611108</v>
      </c>
      <c r="B103" s="20" t="s">
        <v>428</v>
      </c>
      <c r="C103" s="20" t="s">
        <v>713</v>
      </c>
      <c r="D103" s="138">
        <v>2350000</v>
      </c>
      <c r="E103" s="20" t="s">
        <v>479</v>
      </c>
      <c r="F103" s="20" t="s">
        <v>480</v>
      </c>
      <c r="G103" s="8" t="str">
        <f t="shared" si="2"/>
        <v>BERLING GARY</v>
      </c>
      <c r="H103" s="20" t="str">
        <f t="shared" si="3"/>
        <v>4024</v>
      </c>
    </row>
    <row r="104" spans="1:8" x14ac:dyDescent="0.25">
      <c r="A104" s="8">
        <v>43002.510011574072</v>
      </c>
      <c r="B104" s="20" t="s">
        <v>632</v>
      </c>
      <c r="C104" s="20" t="s">
        <v>714</v>
      </c>
      <c r="D104" s="138">
        <v>2630000</v>
      </c>
      <c r="E104" s="20" t="s">
        <v>703</v>
      </c>
      <c r="F104" s="20" t="s">
        <v>704</v>
      </c>
      <c r="G104" s="8" t="str">
        <f t="shared" si="2"/>
        <v>SAFIEF AEIMEN</v>
      </c>
      <c r="H104" s="20" t="str">
        <f t="shared" si="3"/>
        <v>4059</v>
      </c>
    </row>
    <row r="105" spans="1:8" x14ac:dyDescent="0.25">
      <c r="A105" s="8">
        <v>43002.516423611109</v>
      </c>
      <c r="B105" s="20" t="s">
        <v>635</v>
      </c>
      <c r="C105" s="20" t="s">
        <v>715</v>
      </c>
      <c r="D105" s="138">
        <v>2970000</v>
      </c>
      <c r="E105" s="20" t="s">
        <v>708</v>
      </c>
      <c r="F105" s="20" t="s">
        <v>709</v>
      </c>
      <c r="G105" s="8" t="str">
        <f t="shared" si="2"/>
        <v>GUZMAN DANNY</v>
      </c>
      <c r="H105" s="20" t="str">
        <f t="shared" si="3"/>
        <v>4061</v>
      </c>
    </row>
    <row r="106" spans="1:8" x14ac:dyDescent="0.25">
      <c r="A106" s="8">
        <v>43002.517175925925</v>
      </c>
      <c r="B106" s="20" t="s">
        <v>467</v>
      </c>
      <c r="C106" s="20" t="s">
        <v>716</v>
      </c>
      <c r="D106" s="138">
        <v>2600000</v>
      </c>
      <c r="E106" s="20" t="s">
        <v>521</v>
      </c>
      <c r="F106" s="20" t="s">
        <v>522</v>
      </c>
      <c r="G106" s="8" t="str">
        <f t="shared" si="2"/>
        <v>DAVIDSON DAVID</v>
      </c>
      <c r="H106" s="20" t="str">
        <f t="shared" si="3"/>
        <v>4064</v>
      </c>
    </row>
    <row r="107" spans="1:8" x14ac:dyDescent="0.25">
      <c r="A107" s="8">
        <v>43002.527233796296</v>
      </c>
      <c r="B107" s="20" t="s">
        <v>581</v>
      </c>
      <c r="C107" s="20" t="s">
        <v>717</v>
      </c>
      <c r="D107" s="138">
        <v>2560000</v>
      </c>
      <c r="E107" s="20" t="s">
        <v>644</v>
      </c>
      <c r="F107" s="20" t="s">
        <v>645</v>
      </c>
      <c r="G107" s="8" t="str">
        <f t="shared" si="2"/>
        <v>MACDONALD THOMAS</v>
      </c>
      <c r="H107" s="20" t="str">
        <f t="shared" si="3"/>
        <v>4049</v>
      </c>
    </row>
    <row r="108" spans="1:8" x14ac:dyDescent="0.25">
      <c r="A108" s="8">
        <v>43002.529444444444</v>
      </c>
      <c r="B108" s="20" t="s">
        <v>440</v>
      </c>
      <c r="C108" s="20" t="s">
        <v>718</v>
      </c>
      <c r="D108" s="138">
        <v>2230000</v>
      </c>
      <c r="E108" s="20" t="s">
        <v>719</v>
      </c>
      <c r="F108" s="20" t="s">
        <v>190</v>
      </c>
      <c r="G108" s="8" t="str">
        <f t="shared" si="2"/>
        <v>SMITH MICHAEL</v>
      </c>
      <c r="H108" s="20" t="str">
        <f t="shared" si="3"/>
        <v>4018</v>
      </c>
    </row>
    <row r="109" spans="1:8" x14ac:dyDescent="0.25">
      <c r="A109" s="8">
        <v>43002.534884259258</v>
      </c>
      <c r="B109" s="20" t="s">
        <v>588</v>
      </c>
      <c r="C109" s="20" t="s">
        <v>720</v>
      </c>
      <c r="D109" s="138">
        <v>2550000</v>
      </c>
      <c r="E109" s="20" t="s">
        <v>519</v>
      </c>
      <c r="F109" s="20" t="s">
        <v>520</v>
      </c>
      <c r="G109" s="8" t="str">
        <f t="shared" si="2"/>
        <v>BADERTSCHER DIANE</v>
      </c>
      <c r="H109" s="20" t="str">
        <f t="shared" si="3"/>
        <v>4065</v>
      </c>
    </row>
    <row r="110" spans="1:8" x14ac:dyDescent="0.25">
      <c r="A110" s="8">
        <v>43002.539687500001</v>
      </c>
      <c r="B110" s="20" t="s">
        <v>630</v>
      </c>
      <c r="C110" s="20" t="s">
        <v>721</v>
      </c>
      <c r="D110" s="138">
        <v>920000</v>
      </c>
      <c r="E110" s="20" t="s">
        <v>344</v>
      </c>
      <c r="F110" s="20" t="s">
        <v>190</v>
      </c>
      <c r="G110" s="8" t="str">
        <f t="shared" si="2"/>
        <v>DAVIS MICHAEL</v>
      </c>
      <c r="H110" s="20" t="str">
        <f t="shared" si="3"/>
        <v>4046</v>
      </c>
    </row>
    <row r="111" spans="1:8" x14ac:dyDescent="0.25">
      <c r="A111" s="8">
        <v>43002.54724537037</v>
      </c>
      <c r="B111" s="20" t="s">
        <v>427</v>
      </c>
      <c r="C111" s="20" t="s">
        <v>595</v>
      </c>
      <c r="D111" s="138">
        <v>2350000</v>
      </c>
      <c r="E111" s="20" t="s">
        <v>479</v>
      </c>
      <c r="F111" s="20" t="s">
        <v>480</v>
      </c>
      <c r="G111" s="8" t="str">
        <f t="shared" si="2"/>
        <v>BERLING GARY</v>
      </c>
      <c r="H111" s="20" t="str">
        <f t="shared" si="3"/>
        <v>4023</v>
      </c>
    </row>
    <row r="112" spans="1:8" x14ac:dyDescent="0.25">
      <c r="A112" s="8">
        <v>43002.547766203701</v>
      </c>
      <c r="B112" s="20" t="s">
        <v>596</v>
      </c>
      <c r="C112" s="20" t="s">
        <v>722</v>
      </c>
      <c r="D112" s="138">
        <v>2560000</v>
      </c>
      <c r="E112" s="20" t="s">
        <v>644</v>
      </c>
      <c r="F112" s="20" t="s">
        <v>645</v>
      </c>
      <c r="G112" s="8" t="str">
        <f t="shared" si="2"/>
        <v>MACDONALD THOMAS</v>
      </c>
      <c r="H112" s="20" t="str">
        <f t="shared" si="3"/>
        <v>4050</v>
      </c>
    </row>
    <row r="113" spans="1:8" x14ac:dyDescent="0.25">
      <c r="A113" s="8">
        <v>43002.548541666663</v>
      </c>
      <c r="B113" s="20" t="s">
        <v>464</v>
      </c>
      <c r="C113" s="20" t="s">
        <v>723</v>
      </c>
      <c r="D113" s="138">
        <v>2600000</v>
      </c>
      <c r="E113" s="20" t="s">
        <v>521</v>
      </c>
      <c r="F113" s="20" t="s">
        <v>522</v>
      </c>
      <c r="G113" s="8" t="str">
        <f t="shared" si="2"/>
        <v>DAVIDSON DAVID</v>
      </c>
      <c r="H113" s="20" t="str">
        <f t="shared" si="3"/>
        <v>4063</v>
      </c>
    </row>
    <row r="114" spans="1:8" x14ac:dyDescent="0.25">
      <c r="A114" s="8">
        <v>43002.549317129633</v>
      </c>
      <c r="B114" s="20" t="s">
        <v>637</v>
      </c>
      <c r="C114" s="20" t="s">
        <v>724</v>
      </c>
      <c r="D114" s="138">
        <v>2630000</v>
      </c>
      <c r="E114" s="20" t="s">
        <v>703</v>
      </c>
      <c r="F114" s="20" t="s">
        <v>704</v>
      </c>
      <c r="G114" s="8" t="str">
        <f t="shared" si="2"/>
        <v>SAFIEF AEIMEN</v>
      </c>
      <c r="H114" s="20" t="str">
        <f t="shared" si="3"/>
        <v>4060</v>
      </c>
    </row>
    <row r="115" spans="1:8" x14ac:dyDescent="0.25">
      <c r="A115" s="8">
        <v>43002.556840277779</v>
      </c>
      <c r="B115" s="20" t="s">
        <v>639</v>
      </c>
      <c r="C115" s="20" t="s">
        <v>725</v>
      </c>
      <c r="D115" s="138">
        <v>2970000</v>
      </c>
      <c r="E115" s="20" t="s">
        <v>708</v>
      </c>
      <c r="F115" s="20" t="s">
        <v>709</v>
      </c>
      <c r="G115" s="8" t="str">
        <f t="shared" si="2"/>
        <v>GUZMAN DANNY</v>
      </c>
      <c r="H115" s="20" t="str">
        <f t="shared" si="3"/>
        <v>4062</v>
      </c>
    </row>
    <row r="116" spans="1:8" x14ac:dyDescent="0.25">
      <c r="A116" s="8">
        <v>43002.565578703703</v>
      </c>
      <c r="B116" s="20" t="s">
        <v>442</v>
      </c>
      <c r="C116" s="20" t="s">
        <v>726</v>
      </c>
      <c r="D116" s="138">
        <v>2230000</v>
      </c>
      <c r="E116" s="20" t="s">
        <v>719</v>
      </c>
      <c r="F116" s="20" t="s">
        <v>190</v>
      </c>
      <c r="G116" s="8" t="str">
        <f t="shared" si="2"/>
        <v>SMITH MICHAEL</v>
      </c>
      <c r="H116" s="20" t="str">
        <f t="shared" si="3"/>
        <v>4017</v>
      </c>
    </row>
    <row r="117" spans="1:8" x14ac:dyDescent="0.25">
      <c r="A117" s="8">
        <v>43002.569328703707</v>
      </c>
      <c r="B117" s="20" t="s">
        <v>581</v>
      </c>
      <c r="C117" s="20" t="s">
        <v>727</v>
      </c>
      <c r="D117" s="138">
        <v>2560000</v>
      </c>
      <c r="E117" s="20" t="s">
        <v>644</v>
      </c>
      <c r="F117" s="20" t="s">
        <v>645</v>
      </c>
      <c r="G117" s="8" t="str">
        <f t="shared" si="2"/>
        <v>MACDONALD THOMAS</v>
      </c>
      <c r="H117" s="20" t="str">
        <f t="shared" si="3"/>
        <v>4049</v>
      </c>
    </row>
    <row r="118" spans="1:8" x14ac:dyDescent="0.25">
      <c r="A118" s="8">
        <v>43002.569687499999</v>
      </c>
      <c r="B118" s="20" t="s">
        <v>579</v>
      </c>
      <c r="C118" s="20" t="s">
        <v>728</v>
      </c>
      <c r="D118" s="138">
        <v>2550000</v>
      </c>
      <c r="E118" s="20" t="s">
        <v>519</v>
      </c>
      <c r="F118" s="20" t="s">
        <v>520</v>
      </c>
      <c r="G118" s="8" t="str">
        <f t="shared" si="2"/>
        <v>BADERTSCHER DIANE</v>
      </c>
      <c r="H118" s="20" t="str">
        <f t="shared" si="3"/>
        <v>4066</v>
      </c>
    </row>
    <row r="119" spans="1:8" x14ac:dyDescent="0.25">
      <c r="A119" s="8">
        <v>43002.579027777778</v>
      </c>
      <c r="B119" s="20" t="s">
        <v>600</v>
      </c>
      <c r="C119" s="20" t="s">
        <v>729</v>
      </c>
      <c r="D119" s="138">
        <v>920000</v>
      </c>
      <c r="E119" s="20" t="s">
        <v>344</v>
      </c>
      <c r="F119" s="20" t="s">
        <v>190</v>
      </c>
      <c r="G119" s="8" t="str">
        <f t="shared" si="2"/>
        <v>DAVIS MICHAEL</v>
      </c>
      <c r="H119" s="20" t="str">
        <f t="shared" si="3"/>
        <v>4045</v>
      </c>
    </row>
    <row r="120" spans="1:8" x14ac:dyDescent="0.25">
      <c r="A120" s="8">
        <v>43002.580636574072</v>
      </c>
      <c r="B120" s="20" t="s">
        <v>428</v>
      </c>
      <c r="C120" s="20" t="s">
        <v>730</v>
      </c>
      <c r="D120" s="138">
        <v>2350000</v>
      </c>
      <c r="E120" s="20" t="s">
        <v>479</v>
      </c>
      <c r="F120" s="20" t="s">
        <v>480</v>
      </c>
      <c r="G120" s="8" t="str">
        <f t="shared" si="2"/>
        <v>BERLING GARY</v>
      </c>
      <c r="H120" s="20" t="str">
        <f t="shared" si="3"/>
        <v>4024</v>
      </c>
    </row>
    <row r="121" spans="1:8" x14ac:dyDescent="0.25">
      <c r="A121" s="8">
        <v>43002.581388888888</v>
      </c>
      <c r="B121" s="20" t="s">
        <v>632</v>
      </c>
      <c r="C121" s="20" t="s">
        <v>731</v>
      </c>
      <c r="D121" s="138">
        <v>2630000</v>
      </c>
      <c r="E121" s="20" t="s">
        <v>703</v>
      </c>
      <c r="F121" s="20" t="s">
        <v>704</v>
      </c>
      <c r="G121" s="8" t="str">
        <f t="shared" si="2"/>
        <v>SAFIEF AEIMEN</v>
      </c>
      <c r="H121" s="20" t="str">
        <f t="shared" si="3"/>
        <v>4059</v>
      </c>
    </row>
    <row r="122" spans="1:8" x14ac:dyDescent="0.25">
      <c r="A122" s="8">
        <v>43002.584999999999</v>
      </c>
      <c r="B122" s="25" t="s">
        <v>596</v>
      </c>
      <c r="C122" s="20" t="s">
        <v>597</v>
      </c>
      <c r="D122" s="138">
        <v>2420000</v>
      </c>
      <c r="E122" s="20" t="s">
        <v>481</v>
      </c>
      <c r="F122" s="20" t="s">
        <v>482</v>
      </c>
      <c r="G122" s="8" t="str">
        <f t="shared" si="2"/>
        <v>HOLCOMB KAMDEN</v>
      </c>
      <c r="H122" s="20" t="str">
        <f t="shared" si="3"/>
        <v>4050</v>
      </c>
    </row>
    <row r="123" spans="1:8" x14ac:dyDescent="0.25">
      <c r="A123" s="8">
        <v>43002.588969907411</v>
      </c>
      <c r="B123" s="20" t="s">
        <v>635</v>
      </c>
      <c r="C123" s="20" t="s">
        <v>732</v>
      </c>
      <c r="D123" s="138">
        <v>2970000</v>
      </c>
      <c r="E123" s="20" t="s">
        <v>708</v>
      </c>
      <c r="F123" s="20" t="s">
        <v>709</v>
      </c>
      <c r="G123" s="8" t="str">
        <f t="shared" si="2"/>
        <v>GUZMAN DANNY</v>
      </c>
      <c r="H123" s="20" t="str">
        <f t="shared" si="3"/>
        <v>4061</v>
      </c>
    </row>
    <row r="124" spans="1:8" x14ac:dyDescent="0.25">
      <c r="A124" s="8">
        <v>43002.590057870373</v>
      </c>
      <c r="B124" s="20" t="s">
        <v>467</v>
      </c>
      <c r="C124" s="20" t="s">
        <v>733</v>
      </c>
      <c r="D124" s="138">
        <v>3220000</v>
      </c>
      <c r="E124" s="20" t="s">
        <v>692</v>
      </c>
      <c r="F124" s="20" t="s">
        <v>693</v>
      </c>
      <c r="G124" s="8" t="str">
        <f t="shared" si="2"/>
        <v>RESPASS AARON</v>
      </c>
      <c r="H124" s="20" t="str">
        <f t="shared" si="3"/>
        <v>4064</v>
      </c>
    </row>
    <row r="125" spans="1:8" x14ac:dyDescent="0.25">
      <c r="A125" s="8">
        <v>43002.598749999997</v>
      </c>
      <c r="B125" s="20" t="s">
        <v>440</v>
      </c>
      <c r="C125" s="20" t="s">
        <v>734</v>
      </c>
      <c r="D125" s="138">
        <v>2230000</v>
      </c>
      <c r="E125" s="20" t="s">
        <v>719</v>
      </c>
      <c r="F125" s="20" t="s">
        <v>190</v>
      </c>
      <c r="G125" s="8" t="str">
        <f t="shared" si="2"/>
        <v>SMITH MICHAEL</v>
      </c>
      <c r="H125" s="20" t="str">
        <f t="shared" si="3"/>
        <v>4018</v>
      </c>
    </row>
    <row r="126" spans="1:8" x14ac:dyDescent="0.25">
      <c r="A126" s="8">
        <v>43002.607106481482</v>
      </c>
      <c r="B126" s="20" t="s">
        <v>588</v>
      </c>
      <c r="C126" s="20" t="s">
        <v>735</v>
      </c>
      <c r="D126" s="138">
        <v>2550000</v>
      </c>
      <c r="E126" s="20" t="s">
        <v>519</v>
      </c>
      <c r="F126" s="20" t="s">
        <v>520</v>
      </c>
      <c r="G126" s="8" t="str">
        <f t="shared" si="2"/>
        <v>BADERTSCHER DIANE</v>
      </c>
      <c r="H126" s="20" t="str">
        <f t="shared" si="3"/>
        <v>4065</v>
      </c>
    </row>
    <row r="127" spans="1:8" x14ac:dyDescent="0.25">
      <c r="A127" s="8">
        <v>43002.609444444446</v>
      </c>
      <c r="B127" s="20" t="s">
        <v>581</v>
      </c>
      <c r="C127" s="20" t="s">
        <v>736</v>
      </c>
      <c r="D127" s="138">
        <v>2420000</v>
      </c>
      <c r="E127" s="20" t="s">
        <v>481</v>
      </c>
      <c r="F127" s="20" t="s">
        <v>482</v>
      </c>
      <c r="G127" s="8" t="str">
        <f t="shared" si="2"/>
        <v>HOLCOMB KAMDEN</v>
      </c>
      <c r="H127" s="20" t="str">
        <f t="shared" si="3"/>
        <v>4049</v>
      </c>
    </row>
    <row r="128" spans="1:8" x14ac:dyDescent="0.25">
      <c r="A128" s="8">
        <v>43002.613125000003</v>
      </c>
      <c r="B128" s="20" t="s">
        <v>630</v>
      </c>
      <c r="C128" s="20" t="s">
        <v>737</v>
      </c>
      <c r="D128" s="138">
        <v>920000</v>
      </c>
      <c r="E128" s="20" t="s">
        <v>344</v>
      </c>
      <c r="F128" s="20" t="s">
        <v>190</v>
      </c>
      <c r="G128" s="8" t="str">
        <f t="shared" si="2"/>
        <v>DAVIS MICHAEL</v>
      </c>
      <c r="H128" s="20" t="str">
        <f t="shared" si="3"/>
        <v>4046</v>
      </c>
    </row>
    <row r="129" spans="1:8" x14ac:dyDescent="0.25">
      <c r="A129" s="8">
        <v>43002.618379629632</v>
      </c>
      <c r="B129" s="20" t="s">
        <v>427</v>
      </c>
      <c r="C129" s="20" t="s">
        <v>738</v>
      </c>
      <c r="D129" s="138">
        <v>2350000</v>
      </c>
      <c r="E129" s="20" t="s">
        <v>479</v>
      </c>
      <c r="F129" s="20" t="s">
        <v>480</v>
      </c>
      <c r="G129" s="8" t="str">
        <f t="shared" si="2"/>
        <v>BERLING GARY</v>
      </c>
      <c r="H129" s="20" t="str">
        <f t="shared" si="3"/>
        <v>4023</v>
      </c>
    </row>
    <row r="130" spans="1:8" x14ac:dyDescent="0.25">
      <c r="A130" s="8">
        <v>43002.621076388888</v>
      </c>
      <c r="B130" s="20" t="s">
        <v>464</v>
      </c>
      <c r="C130" s="20" t="s">
        <v>598</v>
      </c>
      <c r="D130" s="138">
        <v>3220000</v>
      </c>
      <c r="E130" s="20" t="s">
        <v>692</v>
      </c>
      <c r="F130" s="20" t="s">
        <v>693</v>
      </c>
      <c r="G130" s="8" t="str">
        <f t="shared" si="2"/>
        <v>RESPASS AARON</v>
      </c>
      <c r="H130" s="20" t="str">
        <f t="shared" si="3"/>
        <v>4063</v>
      </c>
    </row>
    <row r="131" spans="1:8" x14ac:dyDescent="0.25">
      <c r="A131" s="8">
        <v>43002.623553240737</v>
      </c>
      <c r="B131" s="20" t="s">
        <v>637</v>
      </c>
      <c r="C131" s="20" t="s">
        <v>739</v>
      </c>
      <c r="D131" s="138">
        <v>2630000</v>
      </c>
      <c r="E131" s="20" t="s">
        <v>703</v>
      </c>
      <c r="F131" s="20" t="s">
        <v>704</v>
      </c>
      <c r="G131" s="8" t="str">
        <f t="shared" ref="G131:G194" si="4">E131&amp;" "&amp;F131</f>
        <v>SAFIEF AEIMEN</v>
      </c>
      <c r="H131" s="20" t="str">
        <f t="shared" ref="H131:H194" si="5">MID(B131,13,4)</f>
        <v>4060</v>
      </c>
    </row>
    <row r="132" spans="1:8" x14ac:dyDescent="0.25">
      <c r="A132" s="8">
        <v>43002.626006944447</v>
      </c>
      <c r="B132" s="20" t="s">
        <v>596</v>
      </c>
      <c r="C132" s="20" t="s">
        <v>740</v>
      </c>
      <c r="D132" s="138">
        <v>2420000</v>
      </c>
      <c r="E132" s="20" t="s">
        <v>481</v>
      </c>
      <c r="F132" s="20" t="s">
        <v>482</v>
      </c>
      <c r="G132" s="8" t="str">
        <f t="shared" si="4"/>
        <v>HOLCOMB KAMDEN</v>
      </c>
      <c r="H132" s="20" t="str">
        <f t="shared" si="5"/>
        <v>4050</v>
      </c>
    </row>
    <row r="133" spans="1:8" x14ac:dyDescent="0.25">
      <c r="A133" s="8">
        <v>43002.630671296298</v>
      </c>
      <c r="B133" s="20" t="s">
        <v>639</v>
      </c>
      <c r="C133" s="20" t="s">
        <v>741</v>
      </c>
      <c r="D133" s="138">
        <v>2970000</v>
      </c>
      <c r="E133" s="20" t="s">
        <v>708</v>
      </c>
      <c r="F133" s="20" t="s">
        <v>709</v>
      </c>
      <c r="G133" s="8" t="str">
        <f t="shared" si="4"/>
        <v>GUZMAN DANNY</v>
      </c>
      <c r="H133" s="20" t="str">
        <f t="shared" si="5"/>
        <v>4062</v>
      </c>
    </row>
    <row r="134" spans="1:8" x14ac:dyDescent="0.25">
      <c r="A134" s="8">
        <v>43002.637604166666</v>
      </c>
      <c r="B134" s="20" t="s">
        <v>442</v>
      </c>
      <c r="C134" s="20" t="s">
        <v>742</v>
      </c>
      <c r="D134" s="138">
        <v>2230000</v>
      </c>
      <c r="E134" s="20" t="s">
        <v>719</v>
      </c>
      <c r="F134" s="20" t="s">
        <v>190</v>
      </c>
      <c r="G134" s="8" t="str">
        <f t="shared" si="4"/>
        <v>SMITH MICHAEL</v>
      </c>
      <c r="H134" s="20" t="str">
        <f t="shared" si="5"/>
        <v>4017</v>
      </c>
    </row>
    <row r="135" spans="1:8" x14ac:dyDescent="0.25">
      <c r="A135" s="8">
        <v>43002.642476851855</v>
      </c>
      <c r="B135" s="20" t="s">
        <v>579</v>
      </c>
      <c r="C135" s="20" t="s">
        <v>743</v>
      </c>
      <c r="D135" s="138">
        <v>2550000</v>
      </c>
      <c r="E135" s="20" t="s">
        <v>519</v>
      </c>
      <c r="F135" s="20" t="s">
        <v>520</v>
      </c>
      <c r="G135" s="8" t="str">
        <f t="shared" si="4"/>
        <v>BADERTSCHER DIANE</v>
      </c>
      <c r="H135" s="20" t="str">
        <f t="shared" si="5"/>
        <v>4066</v>
      </c>
    </row>
    <row r="136" spans="1:8" x14ac:dyDescent="0.25">
      <c r="A136" s="8">
        <v>43002.651516203703</v>
      </c>
      <c r="B136" s="20" t="s">
        <v>581</v>
      </c>
      <c r="C136" s="20" t="s">
        <v>744</v>
      </c>
      <c r="D136" s="138">
        <v>2420000</v>
      </c>
      <c r="E136" s="20" t="s">
        <v>481</v>
      </c>
      <c r="F136" s="20" t="s">
        <v>482</v>
      </c>
      <c r="G136" s="8" t="str">
        <f t="shared" si="4"/>
        <v>HOLCOMB KAMDEN</v>
      </c>
      <c r="H136" s="20" t="str">
        <f t="shared" si="5"/>
        <v>4049</v>
      </c>
    </row>
    <row r="137" spans="1:8" x14ac:dyDescent="0.25">
      <c r="A137" s="8">
        <v>43002.651921296296</v>
      </c>
      <c r="B137" s="20" t="s">
        <v>428</v>
      </c>
      <c r="C137" s="20" t="s">
        <v>745</v>
      </c>
      <c r="D137" s="138">
        <v>2350000</v>
      </c>
      <c r="E137" s="20" t="s">
        <v>479</v>
      </c>
      <c r="F137" s="20" t="s">
        <v>480</v>
      </c>
      <c r="G137" s="8" t="str">
        <f t="shared" si="4"/>
        <v>BERLING GARY</v>
      </c>
      <c r="H137" s="20" t="str">
        <f t="shared" si="5"/>
        <v>4024</v>
      </c>
    </row>
    <row r="138" spans="1:8" x14ac:dyDescent="0.25">
      <c r="A138" s="8">
        <v>43002.652291666665</v>
      </c>
      <c r="B138" s="20" t="s">
        <v>600</v>
      </c>
      <c r="C138" s="20" t="s">
        <v>601</v>
      </c>
      <c r="D138" s="138">
        <v>920000</v>
      </c>
      <c r="E138" s="20" t="s">
        <v>344</v>
      </c>
      <c r="F138" s="20" t="s">
        <v>190</v>
      </c>
      <c r="G138" s="8" t="str">
        <f t="shared" si="4"/>
        <v>DAVIS MICHAEL</v>
      </c>
      <c r="H138" s="20" t="str">
        <f t="shared" si="5"/>
        <v>4045</v>
      </c>
    </row>
    <row r="139" spans="1:8" x14ac:dyDescent="0.25">
      <c r="A139" s="8">
        <v>43002.654606481483</v>
      </c>
      <c r="B139" s="20" t="s">
        <v>632</v>
      </c>
      <c r="C139" s="20" t="s">
        <v>746</v>
      </c>
      <c r="D139" s="138">
        <v>2630000</v>
      </c>
      <c r="E139" s="20" t="s">
        <v>703</v>
      </c>
      <c r="F139" s="20" t="s">
        <v>704</v>
      </c>
      <c r="G139" s="8" t="str">
        <f t="shared" si="4"/>
        <v>SAFIEF AEIMEN</v>
      </c>
      <c r="H139" s="20" t="str">
        <f t="shared" si="5"/>
        <v>4059</v>
      </c>
    </row>
    <row r="140" spans="1:8" x14ac:dyDescent="0.25">
      <c r="A140" s="8">
        <v>43002.661770833336</v>
      </c>
      <c r="B140" s="20" t="s">
        <v>467</v>
      </c>
      <c r="C140" s="20" t="s">
        <v>747</v>
      </c>
      <c r="D140" s="138">
        <v>2600000</v>
      </c>
      <c r="E140" s="20" t="s">
        <v>521</v>
      </c>
      <c r="F140" s="20" t="s">
        <v>522</v>
      </c>
      <c r="G140" s="8" t="str">
        <f t="shared" si="4"/>
        <v>DAVIDSON DAVID</v>
      </c>
      <c r="H140" s="20" t="str">
        <f t="shared" si="5"/>
        <v>4064</v>
      </c>
    </row>
    <row r="141" spans="1:8" x14ac:dyDescent="0.25">
      <c r="A141" s="8">
        <v>43002.663194444445</v>
      </c>
      <c r="B141" s="20" t="s">
        <v>635</v>
      </c>
      <c r="C141" s="20" t="s">
        <v>748</v>
      </c>
      <c r="D141" s="138">
        <v>2970000</v>
      </c>
      <c r="E141" s="20" t="s">
        <v>708</v>
      </c>
      <c r="F141" s="20" t="s">
        <v>709</v>
      </c>
      <c r="G141" s="8" t="str">
        <f t="shared" si="4"/>
        <v>GUZMAN DANNY</v>
      </c>
      <c r="H141" s="20" t="str">
        <f t="shared" si="5"/>
        <v>4061</v>
      </c>
    </row>
    <row r="142" spans="1:8" x14ac:dyDescent="0.25">
      <c r="A142" s="8">
        <v>43002.665613425925</v>
      </c>
      <c r="B142" s="20" t="s">
        <v>596</v>
      </c>
      <c r="C142" s="20" t="s">
        <v>599</v>
      </c>
      <c r="D142" s="138">
        <v>2420000</v>
      </c>
      <c r="E142" s="20" t="s">
        <v>481</v>
      </c>
      <c r="F142" s="20" t="s">
        <v>482</v>
      </c>
      <c r="G142" s="8" t="str">
        <f t="shared" si="4"/>
        <v>HOLCOMB KAMDEN</v>
      </c>
      <c r="H142" s="20" t="str">
        <f t="shared" si="5"/>
        <v>4050</v>
      </c>
    </row>
    <row r="143" spans="1:8" x14ac:dyDescent="0.25">
      <c r="A143" s="8">
        <v>43002.672453703701</v>
      </c>
      <c r="B143" s="20" t="s">
        <v>440</v>
      </c>
      <c r="C143" s="20" t="s">
        <v>749</v>
      </c>
      <c r="D143" s="138">
        <v>2230000</v>
      </c>
      <c r="E143" s="20" t="s">
        <v>719</v>
      </c>
      <c r="F143" s="20" t="s">
        <v>190</v>
      </c>
      <c r="G143" s="8" t="str">
        <f t="shared" si="4"/>
        <v>SMITH MICHAEL</v>
      </c>
      <c r="H143" s="20" t="str">
        <f t="shared" si="5"/>
        <v>4018</v>
      </c>
    </row>
    <row r="144" spans="1:8" x14ac:dyDescent="0.25">
      <c r="A144" s="8">
        <v>43002.678067129629</v>
      </c>
      <c r="B144" s="20" t="s">
        <v>588</v>
      </c>
      <c r="C144" s="20" t="s">
        <v>750</v>
      </c>
      <c r="D144" s="138">
        <v>2550000</v>
      </c>
      <c r="E144" s="20" t="s">
        <v>519</v>
      </c>
      <c r="F144" s="20" t="s">
        <v>520</v>
      </c>
      <c r="G144" s="8" t="str">
        <f t="shared" si="4"/>
        <v>BADERTSCHER DIANE</v>
      </c>
      <c r="H144" s="20" t="str">
        <f t="shared" si="5"/>
        <v>4065</v>
      </c>
    </row>
    <row r="145" spans="1:8" x14ac:dyDescent="0.25">
      <c r="A145" s="8">
        <v>43002.684050925927</v>
      </c>
      <c r="B145" s="20" t="s">
        <v>508</v>
      </c>
      <c r="C145" s="20" t="s">
        <v>751</v>
      </c>
      <c r="D145" s="138">
        <v>2540000</v>
      </c>
      <c r="E145" s="20" t="s">
        <v>752</v>
      </c>
      <c r="F145" s="20" t="s">
        <v>753</v>
      </c>
      <c r="G145" s="8" t="str">
        <f t="shared" si="4"/>
        <v>MCREYNOLDS KYLE</v>
      </c>
      <c r="H145" s="20" t="str">
        <f t="shared" si="5"/>
        <v>4052</v>
      </c>
    </row>
    <row r="146" spans="1:8" x14ac:dyDescent="0.25">
      <c r="A146" s="8">
        <v>43002.685995370368</v>
      </c>
      <c r="B146" s="20" t="s">
        <v>630</v>
      </c>
      <c r="C146" s="20" t="s">
        <v>754</v>
      </c>
      <c r="D146" s="138">
        <v>920000</v>
      </c>
      <c r="E146" s="20" t="s">
        <v>344</v>
      </c>
      <c r="F146" s="20" t="s">
        <v>190</v>
      </c>
      <c r="G146" s="8" t="str">
        <f t="shared" si="4"/>
        <v>DAVIS MICHAEL</v>
      </c>
      <c r="H146" s="20" t="str">
        <f t="shared" si="5"/>
        <v>4046</v>
      </c>
    </row>
    <row r="147" spans="1:8" x14ac:dyDescent="0.25">
      <c r="A147" s="8">
        <v>43002.687638888892</v>
      </c>
      <c r="B147" s="20" t="s">
        <v>427</v>
      </c>
      <c r="C147" s="20" t="s">
        <v>755</v>
      </c>
      <c r="D147" s="138">
        <v>2350000</v>
      </c>
      <c r="E147" s="20" t="s">
        <v>479</v>
      </c>
      <c r="F147" s="20" t="s">
        <v>480</v>
      </c>
      <c r="G147" s="8" t="str">
        <f t="shared" si="4"/>
        <v>BERLING GARY</v>
      </c>
      <c r="H147" s="20" t="str">
        <f t="shared" si="5"/>
        <v>4023</v>
      </c>
    </row>
    <row r="148" spans="1:8" x14ac:dyDescent="0.25">
      <c r="A148" s="8">
        <v>43002.692523148151</v>
      </c>
      <c r="B148" s="20" t="s">
        <v>581</v>
      </c>
      <c r="C148" s="20" t="s">
        <v>756</v>
      </c>
      <c r="D148" s="138">
        <v>2420000</v>
      </c>
      <c r="E148" s="20" t="s">
        <v>481</v>
      </c>
      <c r="F148" s="20" t="s">
        <v>482</v>
      </c>
      <c r="G148" s="8" t="str">
        <f t="shared" si="4"/>
        <v>HOLCOMB KAMDEN</v>
      </c>
      <c r="H148" s="20" t="str">
        <f t="shared" si="5"/>
        <v>4049</v>
      </c>
    </row>
    <row r="149" spans="1:8" x14ac:dyDescent="0.25">
      <c r="A149" s="8">
        <v>43002.695023148146</v>
      </c>
      <c r="B149" s="20" t="s">
        <v>464</v>
      </c>
      <c r="C149" s="20" t="s">
        <v>757</v>
      </c>
      <c r="D149" s="138">
        <v>2600000</v>
      </c>
      <c r="E149" s="20" t="s">
        <v>521</v>
      </c>
      <c r="F149" s="20" t="s">
        <v>522</v>
      </c>
      <c r="G149" s="8" t="str">
        <f t="shared" si="4"/>
        <v>DAVIDSON DAVID</v>
      </c>
      <c r="H149" s="20" t="str">
        <f t="shared" si="5"/>
        <v>4063</v>
      </c>
    </row>
    <row r="150" spans="1:8" x14ac:dyDescent="0.25">
      <c r="A150" s="8">
        <v>43002.695648148147</v>
      </c>
      <c r="B150" s="20" t="s">
        <v>637</v>
      </c>
      <c r="C150" s="20" t="s">
        <v>758</v>
      </c>
      <c r="D150" s="138">
        <v>2630000</v>
      </c>
      <c r="E150" s="20" t="s">
        <v>703</v>
      </c>
      <c r="F150" s="20" t="s">
        <v>704</v>
      </c>
      <c r="G150" s="8" t="str">
        <f t="shared" si="4"/>
        <v>SAFIEF AEIMEN</v>
      </c>
      <c r="H150" s="20" t="str">
        <f t="shared" si="5"/>
        <v>4060</v>
      </c>
    </row>
    <row r="151" spans="1:8" x14ac:dyDescent="0.25">
      <c r="A151" s="8">
        <v>43002.706087962964</v>
      </c>
      <c r="B151" s="20" t="s">
        <v>639</v>
      </c>
      <c r="C151" s="20" t="s">
        <v>759</v>
      </c>
      <c r="D151" s="138">
        <v>2970000</v>
      </c>
      <c r="E151" s="20" t="s">
        <v>708</v>
      </c>
      <c r="F151" s="20" t="s">
        <v>709</v>
      </c>
      <c r="G151" s="8" t="str">
        <f t="shared" si="4"/>
        <v>GUZMAN DANNY</v>
      </c>
      <c r="H151" s="20" t="str">
        <f t="shared" si="5"/>
        <v>4062</v>
      </c>
    </row>
    <row r="152" spans="1:8" x14ac:dyDescent="0.25">
      <c r="A152" s="8">
        <v>43002.706805555557</v>
      </c>
      <c r="B152" s="20" t="s">
        <v>596</v>
      </c>
      <c r="C152" s="20" t="s">
        <v>760</v>
      </c>
      <c r="D152" s="138">
        <v>2420000</v>
      </c>
      <c r="E152" s="20" t="s">
        <v>481</v>
      </c>
      <c r="F152" s="20" t="s">
        <v>482</v>
      </c>
      <c r="G152" s="8" t="str">
        <f t="shared" si="4"/>
        <v>HOLCOMB KAMDEN</v>
      </c>
      <c r="H152" s="20" t="str">
        <f t="shared" si="5"/>
        <v>4050</v>
      </c>
    </row>
    <row r="153" spans="1:8" x14ac:dyDescent="0.25">
      <c r="A153" s="8">
        <v>43002.709340277775</v>
      </c>
      <c r="B153" s="20" t="s">
        <v>442</v>
      </c>
      <c r="C153" s="20" t="s">
        <v>761</v>
      </c>
      <c r="D153" s="138">
        <v>2230000</v>
      </c>
      <c r="E153" s="20" t="s">
        <v>719</v>
      </c>
      <c r="F153" s="20" t="s">
        <v>190</v>
      </c>
      <c r="G153" s="8" t="str">
        <f t="shared" si="4"/>
        <v>SMITH MICHAEL</v>
      </c>
      <c r="H153" s="20" t="str">
        <f t="shared" si="5"/>
        <v>4017</v>
      </c>
    </row>
    <row r="154" spans="1:8" x14ac:dyDescent="0.25">
      <c r="A154" s="8">
        <v>43002.71570601852</v>
      </c>
      <c r="B154" s="20" t="s">
        <v>579</v>
      </c>
      <c r="C154" s="20" t="s">
        <v>602</v>
      </c>
      <c r="D154" s="138">
        <v>2000000</v>
      </c>
      <c r="E154" s="20" t="s">
        <v>398</v>
      </c>
      <c r="F154" s="20" t="s">
        <v>374</v>
      </c>
      <c r="G154" s="8" t="str">
        <f t="shared" si="4"/>
        <v>STAMBAUGH JAMES</v>
      </c>
      <c r="H154" s="20" t="str">
        <f t="shared" si="5"/>
        <v>4066</v>
      </c>
    </row>
    <row r="155" spans="1:8" x14ac:dyDescent="0.25">
      <c r="A155" s="8">
        <v>43002.720752314817</v>
      </c>
      <c r="B155" s="20" t="s">
        <v>762</v>
      </c>
      <c r="C155" s="20" t="s">
        <v>763</v>
      </c>
      <c r="D155" s="138">
        <v>3330000</v>
      </c>
      <c r="E155" s="20" t="s">
        <v>517</v>
      </c>
      <c r="F155" s="20" t="s">
        <v>518</v>
      </c>
      <c r="G155" s="8" t="str">
        <f t="shared" si="4"/>
        <v>GONZALEZ ARMANDO</v>
      </c>
      <c r="H155" s="20" t="str">
        <f t="shared" si="5"/>
        <v>4012</v>
      </c>
    </row>
    <row r="156" spans="1:8" x14ac:dyDescent="0.25">
      <c r="A156" s="8">
        <v>43002.724675925929</v>
      </c>
      <c r="B156" s="20" t="s">
        <v>428</v>
      </c>
      <c r="C156" s="20" t="s">
        <v>764</v>
      </c>
      <c r="D156" s="138">
        <v>2350000</v>
      </c>
      <c r="E156" s="20" t="s">
        <v>479</v>
      </c>
      <c r="F156" s="20" t="s">
        <v>480</v>
      </c>
      <c r="G156" s="8" t="str">
        <f t="shared" si="4"/>
        <v>BERLING GARY</v>
      </c>
      <c r="H156" s="20" t="str">
        <f t="shared" si="5"/>
        <v>4024</v>
      </c>
    </row>
    <row r="157" spans="1:8" x14ac:dyDescent="0.25">
      <c r="A157" s="8">
        <v>43002.72619212963</v>
      </c>
      <c r="B157" s="20" t="s">
        <v>600</v>
      </c>
      <c r="C157" s="20" t="s">
        <v>765</v>
      </c>
      <c r="D157" s="138">
        <v>920000</v>
      </c>
      <c r="E157" s="20" t="s">
        <v>344</v>
      </c>
      <c r="F157" s="20" t="s">
        <v>190</v>
      </c>
      <c r="G157" s="8" t="str">
        <f t="shared" si="4"/>
        <v>DAVIS MICHAEL</v>
      </c>
      <c r="H157" s="20" t="str">
        <f t="shared" si="5"/>
        <v>4045</v>
      </c>
    </row>
    <row r="158" spans="1:8" x14ac:dyDescent="0.25">
      <c r="A158" s="8">
        <v>43002.734039351853</v>
      </c>
      <c r="B158" s="20" t="s">
        <v>581</v>
      </c>
      <c r="C158" s="20" t="s">
        <v>766</v>
      </c>
      <c r="D158" s="138">
        <v>2420000</v>
      </c>
      <c r="E158" s="20" t="s">
        <v>481</v>
      </c>
      <c r="F158" s="20" t="s">
        <v>482</v>
      </c>
      <c r="G158" s="8" t="str">
        <f t="shared" si="4"/>
        <v>HOLCOMB KAMDEN</v>
      </c>
      <c r="H158" s="20" t="str">
        <f t="shared" si="5"/>
        <v>4049</v>
      </c>
    </row>
    <row r="159" spans="1:8" x14ac:dyDescent="0.25">
      <c r="A159" s="8">
        <v>43002.736203703702</v>
      </c>
      <c r="B159" s="20" t="s">
        <v>635</v>
      </c>
      <c r="C159" s="20" t="s">
        <v>767</v>
      </c>
      <c r="D159" s="138">
        <v>2970000</v>
      </c>
      <c r="E159" s="20" t="s">
        <v>708</v>
      </c>
      <c r="F159" s="20" t="s">
        <v>709</v>
      </c>
      <c r="G159" s="8" t="str">
        <f t="shared" si="4"/>
        <v>GUZMAN DANNY</v>
      </c>
      <c r="H159" s="20" t="str">
        <f t="shared" si="5"/>
        <v>4061</v>
      </c>
    </row>
    <row r="160" spans="1:8" x14ac:dyDescent="0.25">
      <c r="A160" s="8">
        <v>43002.736354166664</v>
      </c>
      <c r="B160" s="20" t="s">
        <v>632</v>
      </c>
      <c r="C160" s="20" t="s">
        <v>768</v>
      </c>
      <c r="D160" s="138">
        <v>2630000</v>
      </c>
      <c r="E160" s="20" t="s">
        <v>703</v>
      </c>
      <c r="F160" s="20" t="s">
        <v>704</v>
      </c>
      <c r="G160" s="8" t="str">
        <f t="shared" si="4"/>
        <v>SAFIEF AEIMEN</v>
      </c>
      <c r="H160" s="20" t="str">
        <f t="shared" si="5"/>
        <v>4059</v>
      </c>
    </row>
    <row r="161" spans="1:8" x14ac:dyDescent="0.25">
      <c r="A161" s="8">
        <v>43002.737488425926</v>
      </c>
      <c r="B161" s="20" t="s">
        <v>393</v>
      </c>
      <c r="C161" s="20" t="s">
        <v>769</v>
      </c>
      <c r="D161" s="138">
        <v>3490000</v>
      </c>
      <c r="E161" s="20" t="s">
        <v>770</v>
      </c>
      <c r="F161" s="20" t="s">
        <v>771</v>
      </c>
      <c r="G161" s="8" t="str">
        <f t="shared" si="4"/>
        <v>WEST BRYAN</v>
      </c>
      <c r="H161" s="20" t="str">
        <f t="shared" si="5"/>
        <v>4029</v>
      </c>
    </row>
    <row r="162" spans="1:8" x14ac:dyDescent="0.25">
      <c r="A162" s="8">
        <v>43002.738842592589</v>
      </c>
      <c r="B162" s="20" t="s">
        <v>467</v>
      </c>
      <c r="C162" s="20" t="s">
        <v>772</v>
      </c>
      <c r="D162" s="138">
        <v>890000</v>
      </c>
      <c r="E162" s="20" t="s">
        <v>367</v>
      </c>
      <c r="F162" s="20" t="s">
        <v>368</v>
      </c>
      <c r="G162" s="8" t="str">
        <f t="shared" si="4"/>
        <v>LOZA FIDEL</v>
      </c>
      <c r="H162" s="20" t="str">
        <f t="shared" si="5"/>
        <v>4064</v>
      </c>
    </row>
    <row r="163" spans="1:8" x14ac:dyDescent="0.25">
      <c r="A163" s="8">
        <v>43002.739340277774</v>
      </c>
      <c r="B163" s="20" t="s">
        <v>393</v>
      </c>
      <c r="C163" s="20" t="s">
        <v>769</v>
      </c>
      <c r="D163" s="138">
        <v>3490000</v>
      </c>
      <c r="E163" s="20" t="s">
        <v>770</v>
      </c>
      <c r="F163" s="20" t="s">
        <v>771</v>
      </c>
      <c r="G163" s="8" t="str">
        <f t="shared" si="4"/>
        <v>WEST BRYAN</v>
      </c>
      <c r="H163" s="20" t="str">
        <f t="shared" si="5"/>
        <v>4029</v>
      </c>
    </row>
    <row r="164" spans="1:8" x14ac:dyDescent="0.25">
      <c r="A164" s="8">
        <v>43002.745057870372</v>
      </c>
      <c r="B164" s="20" t="s">
        <v>440</v>
      </c>
      <c r="C164" s="20" t="s">
        <v>773</v>
      </c>
      <c r="D164" s="138">
        <v>2230000</v>
      </c>
      <c r="E164" s="20" t="s">
        <v>719</v>
      </c>
      <c r="F164" s="20" t="s">
        <v>190</v>
      </c>
      <c r="G164" s="8" t="str">
        <f t="shared" si="4"/>
        <v>SMITH MICHAEL</v>
      </c>
      <c r="H164" s="20" t="str">
        <f t="shared" si="5"/>
        <v>4018</v>
      </c>
    </row>
    <row r="165" spans="1:8" x14ac:dyDescent="0.25">
      <c r="A165" s="8">
        <v>43002.754328703704</v>
      </c>
      <c r="B165" s="20" t="s">
        <v>596</v>
      </c>
      <c r="C165" s="20" t="s">
        <v>603</v>
      </c>
      <c r="D165" s="138">
        <v>2420000</v>
      </c>
      <c r="E165" s="20" t="s">
        <v>481</v>
      </c>
      <c r="F165" s="20" t="s">
        <v>482</v>
      </c>
      <c r="G165" s="8" t="str">
        <f t="shared" si="4"/>
        <v>HOLCOMB KAMDEN</v>
      </c>
      <c r="H165" s="20" t="str">
        <f t="shared" si="5"/>
        <v>4050</v>
      </c>
    </row>
    <row r="166" spans="1:8" x14ac:dyDescent="0.25">
      <c r="A166" s="8">
        <v>43002.754374999997</v>
      </c>
      <c r="B166" s="20" t="s">
        <v>588</v>
      </c>
      <c r="C166" s="20" t="s">
        <v>774</v>
      </c>
      <c r="D166" s="138">
        <v>2000000</v>
      </c>
      <c r="E166" s="20" t="s">
        <v>398</v>
      </c>
      <c r="F166" s="20" t="s">
        <v>374</v>
      </c>
      <c r="G166" s="8" t="str">
        <f t="shared" si="4"/>
        <v>STAMBAUGH JAMES</v>
      </c>
      <c r="H166" s="20" t="str">
        <f t="shared" si="5"/>
        <v>4065</v>
      </c>
    </row>
    <row r="167" spans="1:8" x14ac:dyDescent="0.25">
      <c r="A167" s="8">
        <v>43002.758252314816</v>
      </c>
      <c r="B167" s="20" t="s">
        <v>630</v>
      </c>
      <c r="C167" s="20" t="s">
        <v>775</v>
      </c>
      <c r="D167" s="138">
        <v>3340000</v>
      </c>
      <c r="E167" s="20" t="s">
        <v>523</v>
      </c>
      <c r="F167" s="20" t="s">
        <v>524</v>
      </c>
      <c r="G167" s="8" t="str">
        <f t="shared" si="4"/>
        <v>ELBAUM MIKE</v>
      </c>
      <c r="H167" s="20" t="str">
        <f t="shared" si="5"/>
        <v>4046</v>
      </c>
    </row>
    <row r="168" spans="1:8" x14ac:dyDescent="0.25">
      <c r="A168" s="8">
        <v>43002.764178240737</v>
      </c>
      <c r="B168" s="20" t="s">
        <v>427</v>
      </c>
      <c r="C168" s="20" t="s">
        <v>604</v>
      </c>
      <c r="D168" s="138">
        <v>2350000</v>
      </c>
      <c r="E168" s="20" t="s">
        <v>479</v>
      </c>
      <c r="F168" s="20" t="s">
        <v>480</v>
      </c>
      <c r="G168" s="8" t="str">
        <f t="shared" si="4"/>
        <v>BERLING GARY</v>
      </c>
      <c r="H168" s="20" t="str">
        <f t="shared" si="5"/>
        <v>4023</v>
      </c>
    </row>
    <row r="169" spans="1:8" x14ac:dyDescent="0.25">
      <c r="A169" s="8">
        <v>43002.765833333331</v>
      </c>
      <c r="B169" s="20" t="s">
        <v>637</v>
      </c>
      <c r="C169" s="20" t="s">
        <v>776</v>
      </c>
      <c r="D169" s="138">
        <v>2680000</v>
      </c>
      <c r="E169" s="20" t="s">
        <v>378</v>
      </c>
      <c r="F169" s="20" t="s">
        <v>379</v>
      </c>
      <c r="G169" s="8" t="str">
        <f t="shared" si="4"/>
        <v>DUNCAN SHEILA</v>
      </c>
      <c r="H169" s="20" t="str">
        <f t="shared" si="5"/>
        <v>4060</v>
      </c>
    </row>
    <row r="170" spans="1:8" x14ac:dyDescent="0.25">
      <c r="A170" s="8">
        <v>43002.775891203702</v>
      </c>
      <c r="B170" s="20" t="s">
        <v>581</v>
      </c>
      <c r="C170" s="20" t="s">
        <v>777</v>
      </c>
      <c r="D170" s="138">
        <v>2420000</v>
      </c>
      <c r="E170" s="20" t="s">
        <v>481</v>
      </c>
      <c r="F170" s="20" t="s">
        <v>482</v>
      </c>
      <c r="G170" s="8" t="str">
        <f t="shared" si="4"/>
        <v>HOLCOMB KAMDEN</v>
      </c>
      <c r="H170" s="20" t="str">
        <f t="shared" si="5"/>
        <v>4049</v>
      </c>
    </row>
    <row r="171" spans="1:8" x14ac:dyDescent="0.25">
      <c r="A171" s="8">
        <v>43002.777013888888</v>
      </c>
      <c r="B171" s="20" t="s">
        <v>639</v>
      </c>
      <c r="C171" s="20" t="s">
        <v>778</v>
      </c>
      <c r="D171" s="138">
        <v>2970000</v>
      </c>
      <c r="E171" s="20" t="s">
        <v>708</v>
      </c>
      <c r="F171" s="20" t="s">
        <v>709</v>
      </c>
      <c r="G171" s="8" t="str">
        <f t="shared" si="4"/>
        <v>GUZMAN DANNY</v>
      </c>
      <c r="H171" s="20" t="str">
        <f t="shared" si="5"/>
        <v>4062</v>
      </c>
    </row>
    <row r="172" spans="1:8" x14ac:dyDescent="0.25">
      <c r="A172" s="8">
        <v>43002.777256944442</v>
      </c>
      <c r="B172" s="20" t="s">
        <v>464</v>
      </c>
      <c r="C172" s="20" t="s">
        <v>779</v>
      </c>
      <c r="D172" s="138">
        <v>890000</v>
      </c>
      <c r="E172" s="20" t="s">
        <v>367</v>
      </c>
      <c r="F172" s="20" t="s">
        <v>368</v>
      </c>
      <c r="G172" s="8" t="str">
        <f t="shared" si="4"/>
        <v>LOZA FIDEL</v>
      </c>
      <c r="H172" s="20" t="str">
        <f t="shared" si="5"/>
        <v>4063</v>
      </c>
    </row>
    <row r="173" spans="1:8" x14ac:dyDescent="0.25">
      <c r="A173" s="8">
        <v>43002.780243055553</v>
      </c>
      <c r="B173" s="20" t="s">
        <v>442</v>
      </c>
      <c r="C173" s="20" t="s">
        <v>780</v>
      </c>
      <c r="D173" s="138">
        <v>2230000</v>
      </c>
      <c r="E173" s="20" t="s">
        <v>719</v>
      </c>
      <c r="F173" s="20" t="s">
        <v>190</v>
      </c>
      <c r="G173" s="8" t="str">
        <f t="shared" si="4"/>
        <v>SMITH MICHAEL</v>
      </c>
      <c r="H173" s="20" t="str">
        <f t="shared" si="5"/>
        <v>4017</v>
      </c>
    </row>
    <row r="174" spans="1:8" x14ac:dyDescent="0.25">
      <c r="A174" s="8">
        <v>43002.787280092591</v>
      </c>
      <c r="B174" s="20" t="s">
        <v>600</v>
      </c>
      <c r="C174" s="20" t="s">
        <v>781</v>
      </c>
      <c r="D174" s="138">
        <v>3340000</v>
      </c>
      <c r="E174" s="20" t="s">
        <v>523</v>
      </c>
      <c r="F174" s="20" t="s">
        <v>524</v>
      </c>
      <c r="G174" s="8" t="str">
        <f t="shared" si="4"/>
        <v>ELBAUM MIKE</v>
      </c>
      <c r="H174" s="20" t="str">
        <f t="shared" si="5"/>
        <v>4045</v>
      </c>
    </row>
    <row r="175" spans="1:8" x14ac:dyDescent="0.25">
      <c r="A175" s="8">
        <v>43002.788506944446</v>
      </c>
      <c r="B175" s="20" t="s">
        <v>579</v>
      </c>
      <c r="C175" s="20" t="s">
        <v>606</v>
      </c>
      <c r="D175" s="138">
        <v>2000000</v>
      </c>
      <c r="E175" s="20" t="s">
        <v>398</v>
      </c>
      <c r="F175" s="20" t="s">
        <v>374</v>
      </c>
      <c r="G175" s="8" t="str">
        <f t="shared" si="4"/>
        <v>STAMBAUGH JAMES</v>
      </c>
      <c r="H175" s="20" t="str">
        <f t="shared" si="5"/>
        <v>4066</v>
      </c>
    </row>
    <row r="176" spans="1:8" x14ac:dyDescent="0.25">
      <c r="A176" s="8">
        <v>43002.793344907404</v>
      </c>
      <c r="B176" s="20" t="s">
        <v>596</v>
      </c>
      <c r="C176" s="20" t="s">
        <v>605</v>
      </c>
      <c r="D176" s="138">
        <v>2420000</v>
      </c>
      <c r="E176" s="20" t="s">
        <v>481</v>
      </c>
      <c r="F176" s="20" t="s">
        <v>482</v>
      </c>
      <c r="G176" s="8" t="str">
        <f t="shared" si="4"/>
        <v>HOLCOMB KAMDEN</v>
      </c>
      <c r="H176" s="20" t="str">
        <f t="shared" si="5"/>
        <v>4050</v>
      </c>
    </row>
    <row r="177" spans="1:8" x14ac:dyDescent="0.25">
      <c r="A177" s="8">
        <v>43002.797118055554</v>
      </c>
      <c r="B177" s="20" t="s">
        <v>428</v>
      </c>
      <c r="C177" s="20" t="s">
        <v>782</v>
      </c>
      <c r="D177" s="138">
        <v>2350000</v>
      </c>
      <c r="E177" s="20" t="s">
        <v>479</v>
      </c>
      <c r="F177" s="20" t="s">
        <v>480</v>
      </c>
      <c r="G177" s="8" t="str">
        <f t="shared" si="4"/>
        <v>BERLING GARY</v>
      </c>
      <c r="H177" s="20" t="str">
        <f t="shared" si="5"/>
        <v>4024</v>
      </c>
    </row>
    <row r="178" spans="1:8" x14ac:dyDescent="0.25">
      <c r="A178" s="8">
        <v>43002.803217592591</v>
      </c>
      <c r="B178" s="20" t="s">
        <v>632</v>
      </c>
      <c r="C178" s="20" t="s">
        <v>783</v>
      </c>
      <c r="D178" s="138">
        <v>2680000</v>
      </c>
      <c r="E178" s="20" t="s">
        <v>378</v>
      </c>
      <c r="F178" s="20" t="s">
        <v>379</v>
      </c>
      <c r="G178" s="8" t="str">
        <f t="shared" si="4"/>
        <v>DUNCAN SHEILA</v>
      </c>
      <c r="H178" s="20" t="str">
        <f t="shared" si="5"/>
        <v>4059</v>
      </c>
    </row>
    <row r="179" spans="1:8" x14ac:dyDescent="0.25">
      <c r="A179" s="8">
        <v>43002.811041666668</v>
      </c>
      <c r="B179" s="20" t="s">
        <v>467</v>
      </c>
      <c r="C179" s="20" t="s">
        <v>784</v>
      </c>
      <c r="D179" s="138">
        <v>890000</v>
      </c>
      <c r="E179" s="20" t="s">
        <v>367</v>
      </c>
      <c r="F179" s="20" t="s">
        <v>368</v>
      </c>
      <c r="G179" s="8" t="str">
        <f t="shared" si="4"/>
        <v>LOZA FIDEL</v>
      </c>
      <c r="H179" s="20" t="str">
        <f t="shared" si="5"/>
        <v>4064</v>
      </c>
    </row>
    <row r="180" spans="1:8" x14ac:dyDescent="0.25">
      <c r="A180" s="8">
        <v>43002.819155092591</v>
      </c>
      <c r="B180" s="20" t="s">
        <v>440</v>
      </c>
      <c r="C180" s="20" t="s">
        <v>785</v>
      </c>
      <c r="D180" s="138">
        <v>2230000</v>
      </c>
      <c r="E180" s="20" t="s">
        <v>719</v>
      </c>
      <c r="F180" s="20" t="s">
        <v>190</v>
      </c>
      <c r="G180" s="8" t="str">
        <f t="shared" si="4"/>
        <v>SMITH MICHAEL</v>
      </c>
      <c r="H180" s="20" t="str">
        <f t="shared" si="5"/>
        <v>4018</v>
      </c>
    </row>
    <row r="181" spans="1:8" x14ac:dyDescent="0.25">
      <c r="A181" s="8">
        <v>43002.819675925923</v>
      </c>
      <c r="B181" s="20" t="s">
        <v>581</v>
      </c>
      <c r="C181" s="20" t="s">
        <v>607</v>
      </c>
      <c r="D181" s="138">
        <v>2420000</v>
      </c>
      <c r="E181" s="20" t="s">
        <v>481</v>
      </c>
      <c r="F181" s="20" t="s">
        <v>482</v>
      </c>
      <c r="G181" s="8" t="str">
        <f t="shared" si="4"/>
        <v>HOLCOMB KAMDEN</v>
      </c>
      <c r="H181" s="20" t="str">
        <f t="shared" si="5"/>
        <v>4049</v>
      </c>
    </row>
    <row r="182" spans="1:8" x14ac:dyDescent="0.25">
      <c r="A182" s="8">
        <v>43002.821956018517</v>
      </c>
      <c r="B182" s="20" t="s">
        <v>581</v>
      </c>
      <c r="C182" s="20" t="s">
        <v>607</v>
      </c>
      <c r="D182" s="138">
        <v>2420000</v>
      </c>
      <c r="E182" s="20" t="s">
        <v>481</v>
      </c>
      <c r="F182" s="20" t="s">
        <v>482</v>
      </c>
      <c r="G182" s="8" t="str">
        <f t="shared" si="4"/>
        <v>HOLCOMB KAMDEN</v>
      </c>
      <c r="H182" s="20" t="str">
        <f t="shared" si="5"/>
        <v>4049</v>
      </c>
    </row>
    <row r="183" spans="1:8" x14ac:dyDescent="0.25">
      <c r="A183" s="8">
        <v>43002.824803240743</v>
      </c>
      <c r="B183" s="20" t="s">
        <v>588</v>
      </c>
      <c r="C183" s="20" t="s">
        <v>786</v>
      </c>
      <c r="D183" s="138">
        <v>2000000</v>
      </c>
      <c r="E183" s="20" t="s">
        <v>398</v>
      </c>
      <c r="F183" s="20" t="s">
        <v>374</v>
      </c>
      <c r="G183" s="8" t="str">
        <f t="shared" si="4"/>
        <v>STAMBAUGH JAMES</v>
      </c>
      <c r="H183" s="20" t="str">
        <f t="shared" si="5"/>
        <v>4065</v>
      </c>
    </row>
    <row r="184" spans="1:8" x14ac:dyDescent="0.25">
      <c r="A184" s="8">
        <v>43002.827523148146</v>
      </c>
      <c r="B184" s="20" t="s">
        <v>630</v>
      </c>
      <c r="C184" s="20" t="s">
        <v>787</v>
      </c>
      <c r="D184" s="138">
        <v>3340000</v>
      </c>
      <c r="E184" s="20" t="s">
        <v>523</v>
      </c>
      <c r="F184" s="20" t="s">
        <v>524</v>
      </c>
      <c r="G184" s="8" t="str">
        <f t="shared" si="4"/>
        <v>ELBAUM MIKE</v>
      </c>
      <c r="H184" s="20" t="str">
        <f t="shared" si="5"/>
        <v>4046</v>
      </c>
    </row>
    <row r="185" spans="1:8" x14ac:dyDescent="0.25">
      <c r="A185" s="8">
        <v>43002.83792824074</v>
      </c>
      <c r="B185" s="20" t="s">
        <v>596</v>
      </c>
      <c r="C185" s="20" t="s">
        <v>788</v>
      </c>
      <c r="D185" s="138">
        <v>2420000</v>
      </c>
      <c r="E185" s="20" t="s">
        <v>481</v>
      </c>
      <c r="F185" s="20" t="s">
        <v>482</v>
      </c>
      <c r="G185" s="8" t="str">
        <f t="shared" si="4"/>
        <v>HOLCOMB KAMDEN</v>
      </c>
      <c r="H185" s="20" t="str">
        <f t="shared" si="5"/>
        <v>4050</v>
      </c>
    </row>
    <row r="186" spans="1:8" x14ac:dyDescent="0.25">
      <c r="A186" s="8">
        <v>43002.838449074072</v>
      </c>
      <c r="B186" s="20" t="s">
        <v>637</v>
      </c>
      <c r="C186" s="20" t="s">
        <v>789</v>
      </c>
      <c r="D186" s="138">
        <v>2680000</v>
      </c>
      <c r="E186" s="20" t="s">
        <v>378</v>
      </c>
      <c r="F186" s="20" t="s">
        <v>379</v>
      </c>
      <c r="G186" s="8" t="str">
        <f t="shared" si="4"/>
        <v>DUNCAN SHEILA</v>
      </c>
      <c r="H186" s="20" t="str">
        <f t="shared" si="5"/>
        <v>4060</v>
      </c>
    </row>
    <row r="187" spans="1:8" x14ac:dyDescent="0.25">
      <c r="A187" s="8">
        <v>43002.850162037037</v>
      </c>
      <c r="B187" s="20" t="s">
        <v>464</v>
      </c>
      <c r="C187" s="20" t="s">
        <v>790</v>
      </c>
      <c r="D187" s="138">
        <v>890000</v>
      </c>
      <c r="E187" s="20" t="s">
        <v>367</v>
      </c>
      <c r="F187" s="20" t="s">
        <v>368</v>
      </c>
      <c r="G187" s="8" t="str">
        <f t="shared" si="4"/>
        <v>LOZA FIDEL</v>
      </c>
      <c r="H187" s="20" t="str">
        <f t="shared" si="5"/>
        <v>4063</v>
      </c>
    </row>
    <row r="188" spans="1:8" x14ac:dyDescent="0.25">
      <c r="A188" s="8">
        <v>43002.859594907408</v>
      </c>
      <c r="B188" s="20" t="s">
        <v>600</v>
      </c>
      <c r="C188" s="20" t="s">
        <v>609</v>
      </c>
      <c r="D188" s="138">
        <v>3340000</v>
      </c>
      <c r="E188" s="20" t="s">
        <v>523</v>
      </c>
      <c r="F188" s="20" t="s">
        <v>524</v>
      </c>
      <c r="G188" s="8" t="str">
        <f t="shared" si="4"/>
        <v>ELBAUM MIKE</v>
      </c>
      <c r="H188" s="20" t="str">
        <f t="shared" si="5"/>
        <v>4045</v>
      </c>
    </row>
    <row r="189" spans="1:8" x14ac:dyDescent="0.25">
      <c r="A189" s="8">
        <v>43002.860300925924</v>
      </c>
      <c r="B189" s="20" t="s">
        <v>579</v>
      </c>
      <c r="C189" s="20" t="s">
        <v>791</v>
      </c>
      <c r="D189" s="138">
        <v>2000000</v>
      </c>
      <c r="E189" s="20" t="s">
        <v>398</v>
      </c>
      <c r="F189" s="20" t="s">
        <v>374</v>
      </c>
      <c r="G189" s="8" t="str">
        <f t="shared" si="4"/>
        <v>STAMBAUGH JAMES</v>
      </c>
      <c r="H189" s="20" t="str">
        <f t="shared" si="5"/>
        <v>4066</v>
      </c>
    </row>
    <row r="190" spans="1:8" x14ac:dyDescent="0.25">
      <c r="A190" s="8">
        <v>43002.860567129632</v>
      </c>
      <c r="B190" s="20" t="s">
        <v>581</v>
      </c>
      <c r="C190" s="20" t="s">
        <v>608</v>
      </c>
      <c r="D190" s="138">
        <v>2420000</v>
      </c>
      <c r="E190" s="20" t="s">
        <v>481</v>
      </c>
      <c r="F190" s="20" t="s">
        <v>482</v>
      </c>
      <c r="G190" s="8" t="str">
        <f t="shared" si="4"/>
        <v>HOLCOMB KAMDEN</v>
      </c>
      <c r="H190" s="20" t="str">
        <f t="shared" si="5"/>
        <v>4049</v>
      </c>
    </row>
    <row r="191" spans="1:8" x14ac:dyDescent="0.25">
      <c r="A191" s="8">
        <v>43002.864479166667</v>
      </c>
      <c r="B191" s="20" t="s">
        <v>579</v>
      </c>
      <c r="C191" s="20" t="s">
        <v>791</v>
      </c>
      <c r="D191" s="138">
        <v>3500000</v>
      </c>
      <c r="E191" s="20" t="s">
        <v>792</v>
      </c>
      <c r="F191" s="20" t="s">
        <v>793</v>
      </c>
      <c r="G191" s="8" t="str">
        <f t="shared" si="4"/>
        <v>GUNTHIER ERIC</v>
      </c>
      <c r="H191" s="20" t="str">
        <f t="shared" si="5"/>
        <v>4066</v>
      </c>
    </row>
    <row r="192" spans="1:8" x14ac:dyDescent="0.25">
      <c r="A192" s="8">
        <v>43002.880474537036</v>
      </c>
      <c r="B192" s="20" t="s">
        <v>596</v>
      </c>
      <c r="C192" s="20" t="s">
        <v>794</v>
      </c>
      <c r="D192" s="138">
        <v>2420000</v>
      </c>
      <c r="E192" s="20" t="s">
        <v>481</v>
      </c>
      <c r="F192" s="20" t="s">
        <v>482</v>
      </c>
      <c r="G192" s="8" t="str">
        <f t="shared" si="4"/>
        <v>HOLCOMB KAMDEN</v>
      </c>
      <c r="H192" s="20" t="str">
        <f t="shared" si="5"/>
        <v>4050</v>
      </c>
    </row>
    <row r="193" spans="1:8" x14ac:dyDescent="0.25">
      <c r="A193" s="8">
        <v>43002.881712962961</v>
      </c>
      <c r="B193" s="20" t="s">
        <v>596</v>
      </c>
      <c r="C193" s="20" t="s">
        <v>794</v>
      </c>
      <c r="D193" s="138">
        <v>2420000</v>
      </c>
      <c r="E193" s="20" t="s">
        <v>481</v>
      </c>
      <c r="F193" s="20" t="s">
        <v>482</v>
      </c>
      <c r="G193" s="8" t="str">
        <f t="shared" si="4"/>
        <v>HOLCOMB KAMDEN</v>
      </c>
      <c r="H193" s="20" t="str">
        <f t="shared" si="5"/>
        <v>4050</v>
      </c>
    </row>
    <row r="194" spans="1:8" x14ac:dyDescent="0.25">
      <c r="A194" s="8">
        <v>43002.881793981483</v>
      </c>
      <c r="B194" s="20" t="s">
        <v>632</v>
      </c>
      <c r="C194" s="20" t="s">
        <v>795</v>
      </c>
      <c r="D194" s="138">
        <v>2680000</v>
      </c>
      <c r="E194" s="20" t="s">
        <v>378</v>
      </c>
      <c r="F194" s="20" t="s">
        <v>379</v>
      </c>
      <c r="G194" s="8" t="str">
        <f t="shared" si="4"/>
        <v>DUNCAN SHEILA</v>
      </c>
      <c r="H194" s="20" t="str">
        <f t="shared" si="5"/>
        <v>4059</v>
      </c>
    </row>
    <row r="195" spans="1:8" x14ac:dyDescent="0.25">
      <c r="A195" s="8">
        <v>43002.883912037039</v>
      </c>
      <c r="B195" s="20" t="s">
        <v>467</v>
      </c>
      <c r="C195" s="20" t="s">
        <v>796</v>
      </c>
      <c r="D195" s="138">
        <v>890000</v>
      </c>
      <c r="E195" s="20" t="s">
        <v>367</v>
      </c>
      <c r="F195" s="20" t="s">
        <v>368</v>
      </c>
      <c r="G195" s="8" t="str">
        <f t="shared" ref="G195:G258" si="6">E195&amp;" "&amp;F195</f>
        <v>LOZA FIDEL</v>
      </c>
      <c r="H195" s="20" t="str">
        <f t="shared" ref="H195:H258" si="7">MID(B195,13,4)</f>
        <v>4064</v>
      </c>
    </row>
    <row r="196" spans="1:8" x14ac:dyDescent="0.25">
      <c r="A196" s="8">
        <v>43002.899386574078</v>
      </c>
      <c r="B196" s="20" t="s">
        <v>581</v>
      </c>
      <c r="C196" s="20" t="s">
        <v>797</v>
      </c>
      <c r="D196" s="138">
        <v>2420000</v>
      </c>
      <c r="E196" s="20" t="s">
        <v>481</v>
      </c>
      <c r="F196" s="20" t="s">
        <v>482</v>
      </c>
      <c r="G196" s="8" t="str">
        <f t="shared" si="6"/>
        <v>HOLCOMB KAMDEN</v>
      </c>
      <c r="H196" s="20" t="str">
        <f t="shared" si="7"/>
        <v>4049</v>
      </c>
    </row>
    <row r="197" spans="1:8" x14ac:dyDescent="0.25">
      <c r="A197" s="8">
        <v>43002.901064814818</v>
      </c>
      <c r="B197" s="20" t="s">
        <v>630</v>
      </c>
      <c r="C197" s="20" t="s">
        <v>798</v>
      </c>
      <c r="D197" s="138">
        <v>3340000</v>
      </c>
      <c r="E197" s="20" t="s">
        <v>523</v>
      </c>
      <c r="F197" s="20" t="s">
        <v>524</v>
      </c>
      <c r="G197" s="8" t="str">
        <f t="shared" si="6"/>
        <v>ELBAUM MIKE</v>
      </c>
      <c r="H197" s="20" t="str">
        <f t="shared" si="7"/>
        <v>4046</v>
      </c>
    </row>
    <row r="198" spans="1:8" x14ac:dyDescent="0.25">
      <c r="A198" s="8">
        <v>43002.910381944443</v>
      </c>
      <c r="B198" s="20" t="s">
        <v>588</v>
      </c>
      <c r="C198" s="20" t="s">
        <v>799</v>
      </c>
      <c r="D198" s="138">
        <v>3500000</v>
      </c>
      <c r="E198" s="20" t="s">
        <v>792</v>
      </c>
      <c r="F198" s="20" t="s">
        <v>793</v>
      </c>
      <c r="G198" s="8" t="str">
        <f t="shared" si="6"/>
        <v>GUNTHIER ERIC</v>
      </c>
      <c r="H198" s="20" t="str">
        <f t="shared" si="7"/>
        <v>4065</v>
      </c>
    </row>
    <row r="199" spans="1:8" x14ac:dyDescent="0.25">
      <c r="A199" s="8">
        <v>43002.916643518518</v>
      </c>
      <c r="B199" s="20" t="s">
        <v>596</v>
      </c>
      <c r="C199" s="20" t="s">
        <v>800</v>
      </c>
      <c r="D199" s="138">
        <v>2420000</v>
      </c>
      <c r="E199" s="20" t="s">
        <v>481</v>
      </c>
      <c r="F199" s="20" t="s">
        <v>482</v>
      </c>
      <c r="G199" s="8" t="str">
        <f t="shared" si="6"/>
        <v>HOLCOMB KAMDEN</v>
      </c>
      <c r="H199" s="20" t="str">
        <f t="shared" si="7"/>
        <v>4050</v>
      </c>
    </row>
    <row r="200" spans="1:8" x14ac:dyDescent="0.25">
      <c r="A200" s="8">
        <v>43002.922488425924</v>
      </c>
      <c r="B200" s="20" t="s">
        <v>637</v>
      </c>
      <c r="C200" s="20" t="s">
        <v>801</v>
      </c>
      <c r="D200" s="138">
        <v>2680000</v>
      </c>
      <c r="E200" s="20" t="s">
        <v>378</v>
      </c>
      <c r="F200" s="20" t="s">
        <v>379</v>
      </c>
      <c r="G200" s="8" t="str">
        <f t="shared" si="6"/>
        <v>DUNCAN SHEILA</v>
      </c>
      <c r="H200" s="20" t="str">
        <f t="shared" si="7"/>
        <v>4060</v>
      </c>
    </row>
    <row r="201" spans="1:8" x14ac:dyDescent="0.25">
      <c r="A201" s="8">
        <v>43002.933807870373</v>
      </c>
      <c r="B201" s="20" t="s">
        <v>464</v>
      </c>
      <c r="C201" s="20" t="s">
        <v>802</v>
      </c>
      <c r="D201" s="138">
        <v>890000</v>
      </c>
      <c r="E201" s="20" t="s">
        <v>367</v>
      </c>
      <c r="F201" s="20" t="s">
        <v>368</v>
      </c>
      <c r="G201" s="8" t="str">
        <f t="shared" si="6"/>
        <v>LOZA FIDEL</v>
      </c>
      <c r="H201" s="20" t="str">
        <f t="shared" si="7"/>
        <v>4063</v>
      </c>
    </row>
    <row r="202" spans="1:8" x14ac:dyDescent="0.25">
      <c r="A202" s="26">
        <v>43002.940949074073</v>
      </c>
      <c r="B202" s="20" t="s">
        <v>581</v>
      </c>
      <c r="C202" s="20" t="s">
        <v>803</v>
      </c>
      <c r="D202" s="138">
        <v>2420000</v>
      </c>
      <c r="E202" s="20" t="s">
        <v>481</v>
      </c>
      <c r="F202" s="20" t="s">
        <v>482</v>
      </c>
      <c r="G202" s="8" t="str">
        <f t="shared" si="6"/>
        <v>HOLCOMB KAMDEN</v>
      </c>
      <c r="H202" s="20" t="str">
        <f t="shared" si="7"/>
        <v>4049</v>
      </c>
    </row>
    <row r="203" spans="1:8" x14ac:dyDescent="0.25">
      <c r="A203" s="8">
        <v>43002.943252314813</v>
      </c>
      <c r="B203" s="20" t="s">
        <v>600</v>
      </c>
      <c r="C203" s="20" t="s">
        <v>804</v>
      </c>
      <c r="D203" s="138">
        <v>3340000</v>
      </c>
      <c r="E203" s="20" t="s">
        <v>523</v>
      </c>
      <c r="F203" s="20" t="s">
        <v>524</v>
      </c>
      <c r="G203" s="8" t="str">
        <f t="shared" si="6"/>
        <v>ELBAUM MIKE</v>
      </c>
      <c r="H203" s="20" t="str">
        <f t="shared" si="7"/>
        <v>4045</v>
      </c>
    </row>
    <row r="204" spans="1:8" x14ac:dyDescent="0.25">
      <c r="A204" s="8">
        <v>43002.952951388892</v>
      </c>
      <c r="B204" s="20" t="s">
        <v>579</v>
      </c>
      <c r="C204" s="20" t="s">
        <v>610</v>
      </c>
      <c r="D204" s="138">
        <v>2000000</v>
      </c>
      <c r="E204" s="20" t="s">
        <v>398</v>
      </c>
      <c r="F204" s="20" t="s">
        <v>374</v>
      </c>
      <c r="G204" s="8" t="str">
        <f t="shared" si="6"/>
        <v>STAMBAUGH JAMES</v>
      </c>
      <c r="H204" s="20" t="str">
        <f t="shared" si="7"/>
        <v>4066</v>
      </c>
    </row>
    <row r="205" spans="1:8" x14ac:dyDescent="0.25">
      <c r="A205" s="8">
        <v>43002.958344907405</v>
      </c>
      <c r="B205" s="20" t="s">
        <v>596</v>
      </c>
      <c r="C205" s="20" t="s">
        <v>805</v>
      </c>
      <c r="D205" s="138">
        <v>2420000</v>
      </c>
      <c r="E205" s="20" t="s">
        <v>481</v>
      </c>
      <c r="F205" s="20" t="s">
        <v>482</v>
      </c>
      <c r="G205" s="8" t="str">
        <f t="shared" si="6"/>
        <v>HOLCOMB KAMDEN</v>
      </c>
      <c r="H205" s="20" t="str">
        <f t="shared" si="7"/>
        <v>4050</v>
      </c>
    </row>
    <row r="206" spans="1:8" x14ac:dyDescent="0.25">
      <c r="A206" s="8">
        <v>43002.963622685187</v>
      </c>
      <c r="B206" s="20" t="s">
        <v>632</v>
      </c>
      <c r="C206" s="20" t="s">
        <v>806</v>
      </c>
      <c r="D206" s="138">
        <v>2680000</v>
      </c>
      <c r="E206" s="20" t="s">
        <v>378</v>
      </c>
      <c r="F206" s="20" t="s">
        <v>379</v>
      </c>
      <c r="G206" s="8" t="str">
        <f t="shared" si="6"/>
        <v>DUNCAN SHEILA</v>
      </c>
      <c r="H206" s="20" t="str">
        <f t="shared" si="7"/>
        <v>4059</v>
      </c>
    </row>
    <row r="207" spans="1:8" x14ac:dyDescent="0.25">
      <c r="A207" s="8">
        <v>43002.975902777776</v>
      </c>
      <c r="B207" s="20" t="s">
        <v>581</v>
      </c>
      <c r="C207" s="20" t="s">
        <v>807</v>
      </c>
      <c r="D207" s="138">
        <v>2420000</v>
      </c>
      <c r="E207" s="20" t="s">
        <v>481</v>
      </c>
      <c r="F207" s="20" t="s">
        <v>482</v>
      </c>
      <c r="G207" s="8" t="str">
        <f t="shared" si="6"/>
        <v>HOLCOMB KAMDEN</v>
      </c>
      <c r="H207" s="20" t="str">
        <f t="shared" si="7"/>
        <v>4049</v>
      </c>
    </row>
    <row r="208" spans="1:8" x14ac:dyDescent="0.25">
      <c r="A208" s="8">
        <v>43002.976956018516</v>
      </c>
      <c r="B208" s="20" t="s">
        <v>467</v>
      </c>
      <c r="C208" s="20" t="s">
        <v>808</v>
      </c>
      <c r="D208" s="138">
        <v>890000</v>
      </c>
      <c r="E208" s="20" t="s">
        <v>367</v>
      </c>
      <c r="F208" s="20" t="s">
        <v>368</v>
      </c>
      <c r="G208" s="8" t="str">
        <f t="shared" si="6"/>
        <v>LOZA FIDEL</v>
      </c>
      <c r="H208" s="20" t="str">
        <f t="shared" si="7"/>
        <v>4064</v>
      </c>
    </row>
    <row r="209" spans="1:8" x14ac:dyDescent="0.25">
      <c r="A209" s="8">
        <v>43002.993032407408</v>
      </c>
      <c r="B209" s="20" t="s">
        <v>588</v>
      </c>
      <c r="C209" s="20" t="s">
        <v>809</v>
      </c>
      <c r="D209" s="138">
        <v>2000000</v>
      </c>
      <c r="E209" s="20" t="s">
        <v>398</v>
      </c>
      <c r="F209" s="20" t="s">
        <v>374</v>
      </c>
      <c r="G209" s="8" t="str">
        <f t="shared" si="6"/>
        <v>STAMBAUGH JAMES</v>
      </c>
      <c r="H209" s="20" t="str">
        <f t="shared" si="7"/>
        <v>4065</v>
      </c>
    </row>
    <row r="210" spans="1:8" x14ac:dyDescent="0.25">
      <c r="A210" s="8">
        <v>43002.997870370367</v>
      </c>
      <c r="B210" s="20" t="s">
        <v>630</v>
      </c>
      <c r="C210" s="20" t="s">
        <v>810</v>
      </c>
      <c r="D210" s="138">
        <v>3340000</v>
      </c>
      <c r="E210" s="20" t="s">
        <v>523</v>
      </c>
      <c r="F210" s="20" t="s">
        <v>524</v>
      </c>
      <c r="G210" s="8" t="str">
        <f t="shared" si="6"/>
        <v>ELBAUM MIKE</v>
      </c>
      <c r="H210" s="20" t="str">
        <f t="shared" si="7"/>
        <v>4046</v>
      </c>
    </row>
    <row r="211" spans="1:8" x14ac:dyDescent="0.25">
      <c r="A211" s="8">
        <v>43003.010520833333</v>
      </c>
      <c r="B211" s="20" t="s">
        <v>637</v>
      </c>
      <c r="C211" s="20" t="s">
        <v>811</v>
      </c>
      <c r="D211" s="138">
        <v>2680000</v>
      </c>
      <c r="E211" s="20" t="s">
        <v>378</v>
      </c>
      <c r="F211" s="20" t="s">
        <v>379</v>
      </c>
      <c r="G211" s="8" t="str">
        <f t="shared" si="6"/>
        <v>DUNCAN SHEILA</v>
      </c>
      <c r="H211" s="20" t="str">
        <f t="shared" si="7"/>
        <v>4060</v>
      </c>
    </row>
    <row r="212" spans="1:8" x14ac:dyDescent="0.25">
      <c r="A212" s="8">
        <v>43003.017581018517</v>
      </c>
      <c r="B212" s="20" t="s">
        <v>464</v>
      </c>
      <c r="C212" s="20" t="s">
        <v>812</v>
      </c>
      <c r="D212" s="138">
        <v>890000</v>
      </c>
      <c r="E212" s="20" t="s">
        <v>367</v>
      </c>
      <c r="F212" s="20" t="s">
        <v>368</v>
      </c>
      <c r="G212" s="8" t="str">
        <f t="shared" si="6"/>
        <v>LOZA FIDEL</v>
      </c>
      <c r="H212" s="20" t="str">
        <f t="shared" si="7"/>
        <v>4063</v>
      </c>
    </row>
    <row r="213" spans="1:8" x14ac:dyDescent="0.25">
      <c r="A213" s="8">
        <v>43003.026782407411</v>
      </c>
      <c r="B213" s="20" t="s">
        <v>600</v>
      </c>
      <c r="C213" s="20" t="s">
        <v>813</v>
      </c>
      <c r="D213" s="138">
        <v>3340000</v>
      </c>
      <c r="E213" s="20" t="s">
        <v>523</v>
      </c>
      <c r="F213" s="20" t="s">
        <v>524</v>
      </c>
      <c r="G213" s="8" t="str">
        <f t="shared" si="6"/>
        <v>ELBAUM MIKE</v>
      </c>
      <c r="H213" s="20" t="str">
        <f t="shared" si="7"/>
        <v>4045</v>
      </c>
    </row>
    <row r="214" spans="1:8" x14ac:dyDescent="0.25">
      <c r="A214" s="8">
        <v>43003.02679398148</v>
      </c>
      <c r="B214" s="20" t="s">
        <v>579</v>
      </c>
      <c r="C214" s="20" t="s">
        <v>814</v>
      </c>
      <c r="D214" s="138">
        <v>2000000</v>
      </c>
      <c r="E214" s="20" t="s">
        <v>398</v>
      </c>
      <c r="F214" s="20" t="s">
        <v>374</v>
      </c>
      <c r="G214" s="8" t="str">
        <f t="shared" si="6"/>
        <v>STAMBAUGH JAMES</v>
      </c>
      <c r="H214" s="20" t="str">
        <f t="shared" si="7"/>
        <v>4066</v>
      </c>
    </row>
    <row r="215" spans="1:8" x14ac:dyDescent="0.25">
      <c r="A215" s="8">
        <v>43003.046875</v>
      </c>
      <c r="B215" s="20" t="s">
        <v>632</v>
      </c>
      <c r="C215" s="20" t="s">
        <v>815</v>
      </c>
      <c r="D215" s="138">
        <v>2680000</v>
      </c>
      <c r="E215" s="20" t="s">
        <v>378</v>
      </c>
      <c r="F215" s="20" t="s">
        <v>379</v>
      </c>
      <c r="G215" s="8" t="str">
        <f t="shared" si="6"/>
        <v>DUNCAN SHEILA</v>
      </c>
      <c r="H215" s="20" t="str">
        <f t="shared" si="7"/>
        <v>4059</v>
      </c>
    </row>
    <row r="216" spans="1:8" x14ac:dyDescent="0.25">
      <c r="A216" s="8">
        <v>43003.046944444446</v>
      </c>
      <c r="B216" s="20" t="s">
        <v>467</v>
      </c>
      <c r="C216" s="20" t="s">
        <v>816</v>
      </c>
      <c r="D216" s="138">
        <v>890000</v>
      </c>
      <c r="E216" s="20" t="s">
        <v>367</v>
      </c>
      <c r="F216" s="20" t="s">
        <v>368</v>
      </c>
      <c r="G216" s="8" t="str">
        <f t="shared" si="6"/>
        <v>LOZA FIDEL</v>
      </c>
      <c r="H216" s="20" t="str">
        <f t="shared" si="7"/>
        <v>4064</v>
      </c>
    </row>
    <row r="217" spans="1:8" x14ac:dyDescent="0.25">
      <c r="A217" s="8">
        <v>43003.066041666665</v>
      </c>
      <c r="B217" s="20" t="s">
        <v>630</v>
      </c>
      <c r="C217" s="20" t="s">
        <v>817</v>
      </c>
      <c r="D217" s="138">
        <v>3340000</v>
      </c>
      <c r="E217" s="20" t="s">
        <v>523</v>
      </c>
      <c r="F217" s="20" t="s">
        <v>524</v>
      </c>
      <c r="G217" s="8" t="str">
        <f t="shared" si="6"/>
        <v>ELBAUM MIKE</v>
      </c>
      <c r="H217" s="20" t="str">
        <f t="shared" si="7"/>
        <v>4046</v>
      </c>
    </row>
    <row r="218" spans="1:8" x14ac:dyDescent="0.25">
      <c r="A218" s="8">
        <v>43003.088229166664</v>
      </c>
      <c r="B218" s="20" t="s">
        <v>637</v>
      </c>
      <c r="C218" s="20" t="s">
        <v>818</v>
      </c>
      <c r="D218" s="138">
        <v>2680000</v>
      </c>
      <c r="E218" s="20" t="s">
        <v>378</v>
      </c>
      <c r="F218" s="20" t="s">
        <v>379</v>
      </c>
      <c r="G218" s="8" t="str">
        <f t="shared" si="6"/>
        <v>DUNCAN SHEILA</v>
      </c>
      <c r="H218" s="20" t="str">
        <f t="shared" si="7"/>
        <v>4060</v>
      </c>
    </row>
    <row r="219" spans="1:8" x14ac:dyDescent="0.25">
      <c r="A219" s="8">
        <v>43003.112928240742</v>
      </c>
      <c r="B219" s="20" t="s">
        <v>819</v>
      </c>
      <c r="C219" s="20" t="s">
        <v>820</v>
      </c>
      <c r="D219" s="138">
        <v>3120000</v>
      </c>
      <c r="E219" s="20" t="s">
        <v>621</v>
      </c>
      <c r="F219" s="20" t="s">
        <v>622</v>
      </c>
      <c r="G219" s="8" t="str">
        <f t="shared" si="6"/>
        <v>THOMPSON LESTER</v>
      </c>
      <c r="H219" s="20" t="str">
        <f t="shared" si="7"/>
        <v>4041</v>
      </c>
    </row>
    <row r="220" spans="1:8" x14ac:dyDescent="0.25">
      <c r="A220" s="8">
        <v>42999.869247685187</v>
      </c>
      <c r="B220" s="20" t="s">
        <v>400</v>
      </c>
      <c r="C220" s="20" t="s">
        <v>529</v>
      </c>
      <c r="D220" s="138">
        <v>3320000</v>
      </c>
      <c r="E220" s="20" t="s">
        <v>386</v>
      </c>
      <c r="F220" s="20" t="s">
        <v>387</v>
      </c>
      <c r="G220" s="8" t="str">
        <f t="shared" si="6"/>
        <v>NICHOLSON WESLEY</v>
      </c>
      <c r="H220" s="20" t="str">
        <f t="shared" si="7"/>
        <v>4058</v>
      </c>
    </row>
    <row r="221" spans="1:8" x14ac:dyDescent="0.25">
      <c r="A221" s="8">
        <v>42999.870949074073</v>
      </c>
      <c r="B221" s="20" t="s">
        <v>400</v>
      </c>
      <c r="C221" s="20" t="s">
        <v>529</v>
      </c>
      <c r="D221" s="138">
        <v>3320000</v>
      </c>
      <c r="E221" s="20" t="s">
        <v>386</v>
      </c>
      <c r="F221" s="20" t="s">
        <v>387</v>
      </c>
      <c r="G221" s="8" t="str">
        <f t="shared" si="6"/>
        <v>NICHOLSON WESLEY</v>
      </c>
      <c r="H221" s="20" t="str">
        <f t="shared" si="7"/>
        <v>4058</v>
      </c>
    </row>
    <row r="222" spans="1:8" x14ac:dyDescent="0.25">
      <c r="A222" s="8">
        <v>42999.874652777777</v>
      </c>
      <c r="B222" s="20" t="s">
        <v>507</v>
      </c>
      <c r="C222" s="20" t="s">
        <v>530</v>
      </c>
      <c r="D222" s="138">
        <v>3280000</v>
      </c>
      <c r="E222" s="20" t="s">
        <v>457</v>
      </c>
      <c r="F222" s="20" t="s">
        <v>458</v>
      </c>
      <c r="G222" s="8" t="str">
        <f t="shared" si="6"/>
        <v>BIRKHOLZ NADINE</v>
      </c>
      <c r="H222" s="20" t="str">
        <f t="shared" si="7"/>
        <v>4032</v>
      </c>
    </row>
    <row r="223" spans="1:8" x14ac:dyDescent="0.25">
      <c r="A223" s="8">
        <v>42999.882303240738</v>
      </c>
      <c r="B223" s="20" t="s">
        <v>427</v>
      </c>
      <c r="C223" s="20" t="s">
        <v>525</v>
      </c>
      <c r="D223" s="138">
        <v>2440000</v>
      </c>
      <c r="E223" s="20" t="s">
        <v>526</v>
      </c>
      <c r="F223" s="20" t="s">
        <v>527</v>
      </c>
      <c r="G223" s="8" t="str">
        <f t="shared" si="6"/>
        <v>LOPES KIMBERLY</v>
      </c>
      <c r="H223" s="20" t="str">
        <f t="shared" si="7"/>
        <v>4023</v>
      </c>
    </row>
    <row r="224" spans="1:8" x14ac:dyDescent="0.25">
      <c r="A224" s="8">
        <v>42999.8827662037</v>
      </c>
      <c r="B224" t="s">
        <v>506</v>
      </c>
      <c r="C224" t="s">
        <v>531</v>
      </c>
      <c r="D224" s="138">
        <v>2620000</v>
      </c>
      <c r="E224" t="s">
        <v>380</v>
      </c>
      <c r="F224" s="20" t="s">
        <v>381</v>
      </c>
      <c r="G224" s="8" t="str">
        <f t="shared" si="6"/>
        <v>PERKINS DARREN</v>
      </c>
      <c r="H224" s="20" t="str">
        <f t="shared" si="7"/>
        <v>4009</v>
      </c>
    </row>
    <row r="225" spans="1:8" x14ac:dyDescent="0.25">
      <c r="A225" s="8">
        <v>42999.88354166667</v>
      </c>
      <c r="B225" t="s">
        <v>370</v>
      </c>
      <c r="C225" t="s">
        <v>532</v>
      </c>
      <c r="D225" s="138">
        <v>890000</v>
      </c>
      <c r="E225" t="s">
        <v>367</v>
      </c>
      <c r="F225" s="20" t="s">
        <v>368</v>
      </c>
      <c r="G225" s="8" t="str">
        <f t="shared" si="6"/>
        <v>LOZA FIDEL</v>
      </c>
      <c r="H225" s="20" t="str">
        <f t="shared" si="7"/>
        <v>4030</v>
      </c>
    </row>
    <row r="226" spans="1:8" x14ac:dyDescent="0.25">
      <c r="A226" s="8">
        <v>42999.891238425924</v>
      </c>
      <c r="B226" t="s">
        <v>429</v>
      </c>
      <c r="C226" t="s">
        <v>533</v>
      </c>
      <c r="D226" s="138">
        <v>2600000</v>
      </c>
      <c r="E226" t="s">
        <v>521</v>
      </c>
      <c r="F226" s="20" t="s">
        <v>522</v>
      </c>
      <c r="G226" s="8" t="str">
        <f t="shared" si="6"/>
        <v>DAVIDSON DAVID</v>
      </c>
      <c r="H226" s="20" t="str">
        <f t="shared" si="7"/>
        <v>4005</v>
      </c>
    </row>
    <row r="227" spans="1:8" x14ac:dyDescent="0.25">
      <c r="A227" s="8">
        <v>42999.899502314816</v>
      </c>
      <c r="B227" t="s">
        <v>505</v>
      </c>
      <c r="C227" t="s">
        <v>534</v>
      </c>
      <c r="D227" s="138">
        <v>3280000</v>
      </c>
      <c r="E227" t="s">
        <v>457</v>
      </c>
      <c r="F227" s="20" t="s">
        <v>458</v>
      </c>
      <c r="G227" s="8" t="str">
        <f t="shared" si="6"/>
        <v>BIRKHOLZ NADINE</v>
      </c>
      <c r="H227" s="20" t="str">
        <f t="shared" si="7"/>
        <v>4031</v>
      </c>
    </row>
    <row r="228" spans="1:8" x14ac:dyDescent="0.25">
      <c r="A228" s="8">
        <v>42999.901678240742</v>
      </c>
      <c r="B228" t="s">
        <v>516</v>
      </c>
      <c r="C228" t="s">
        <v>535</v>
      </c>
      <c r="D228" s="138">
        <v>3340000</v>
      </c>
      <c r="E228" t="s">
        <v>523</v>
      </c>
      <c r="F228" s="20" t="s">
        <v>524</v>
      </c>
      <c r="G228" s="8" t="str">
        <f t="shared" si="6"/>
        <v>ELBAUM MIKE</v>
      </c>
      <c r="H228" s="20" t="str">
        <f t="shared" si="7"/>
        <v>4014</v>
      </c>
    </row>
    <row r="229" spans="1:8" x14ac:dyDescent="0.25">
      <c r="A229" s="8">
        <v>42999.902685185189</v>
      </c>
      <c r="B229" t="s">
        <v>428</v>
      </c>
      <c r="C229" t="s">
        <v>528</v>
      </c>
      <c r="D229" s="138">
        <v>2440000</v>
      </c>
      <c r="E229" t="s">
        <v>526</v>
      </c>
      <c r="F229" s="20" t="s">
        <v>527</v>
      </c>
      <c r="G229" s="8" t="str">
        <f t="shared" si="6"/>
        <v>LOPES KIMBERLY</v>
      </c>
      <c r="H229" s="20" t="str">
        <f t="shared" si="7"/>
        <v>4024</v>
      </c>
    </row>
    <row r="230" spans="1:8" x14ac:dyDescent="0.25">
      <c r="A230" s="8">
        <v>42999.908888888887</v>
      </c>
      <c r="B230" t="s">
        <v>418</v>
      </c>
      <c r="C230" t="s">
        <v>536</v>
      </c>
      <c r="D230" s="138">
        <v>3320000</v>
      </c>
      <c r="E230" t="s">
        <v>386</v>
      </c>
      <c r="F230" s="20" t="s">
        <v>387</v>
      </c>
      <c r="G230" s="8" t="str">
        <f t="shared" si="6"/>
        <v>NICHOLSON WESLEY</v>
      </c>
      <c r="H230" s="20" t="str">
        <f t="shared" si="7"/>
        <v>4057</v>
      </c>
    </row>
    <row r="231" spans="1:8" x14ac:dyDescent="0.25">
      <c r="A231" s="8">
        <v>42999.911030092589</v>
      </c>
      <c r="B231" t="s">
        <v>427</v>
      </c>
      <c r="C231" t="s">
        <v>525</v>
      </c>
      <c r="D231" s="138">
        <v>2440000</v>
      </c>
      <c r="E231" t="s">
        <v>526</v>
      </c>
      <c r="F231" s="20" t="s">
        <v>527</v>
      </c>
      <c r="G231" s="8" t="str">
        <f t="shared" si="6"/>
        <v>LOPES KIMBERLY</v>
      </c>
      <c r="H231" s="20" t="str">
        <f t="shared" si="7"/>
        <v>4023</v>
      </c>
    </row>
    <row r="232" spans="1:8" x14ac:dyDescent="0.25">
      <c r="A232" s="8">
        <v>42999.919849537036</v>
      </c>
      <c r="B232" t="s">
        <v>507</v>
      </c>
      <c r="C232" t="s">
        <v>537</v>
      </c>
      <c r="D232" s="138">
        <v>3280000</v>
      </c>
      <c r="E232" t="s">
        <v>457</v>
      </c>
      <c r="F232" s="20" t="s">
        <v>458</v>
      </c>
      <c r="G232" s="8" t="str">
        <f t="shared" si="6"/>
        <v>BIRKHOLZ NADINE</v>
      </c>
      <c r="H232" s="20" t="str">
        <f t="shared" si="7"/>
        <v>4032</v>
      </c>
    </row>
    <row r="233" spans="1:8" x14ac:dyDescent="0.25">
      <c r="A233" s="8">
        <v>42999.925173611111</v>
      </c>
      <c r="B233" t="s">
        <v>428</v>
      </c>
      <c r="C233" t="s">
        <v>528</v>
      </c>
      <c r="D233" s="138">
        <v>2440000</v>
      </c>
      <c r="E233" t="s">
        <v>526</v>
      </c>
      <c r="F233" s="20" t="s">
        <v>527</v>
      </c>
      <c r="G233" s="8" t="str">
        <f t="shared" si="6"/>
        <v>LOPES KIMBERLY</v>
      </c>
      <c r="H233" s="20" t="str">
        <f t="shared" si="7"/>
        <v>4024</v>
      </c>
    </row>
    <row r="234" spans="1:8" x14ac:dyDescent="0.25">
      <c r="A234" s="8">
        <v>42999.926388888889</v>
      </c>
      <c r="B234" t="s">
        <v>441</v>
      </c>
      <c r="C234" t="s">
        <v>538</v>
      </c>
      <c r="D234" s="138">
        <v>2620000</v>
      </c>
      <c r="E234" t="s">
        <v>380</v>
      </c>
      <c r="F234" s="20" t="s">
        <v>381</v>
      </c>
      <c r="G234" s="8" t="str">
        <f t="shared" si="6"/>
        <v>PERKINS DARREN</v>
      </c>
      <c r="H234" s="20" t="str">
        <f t="shared" si="7"/>
        <v>4010</v>
      </c>
    </row>
    <row r="235" spans="1:8" x14ac:dyDescent="0.25">
      <c r="A235" s="8">
        <v>42999.93409722222</v>
      </c>
      <c r="B235" t="s">
        <v>393</v>
      </c>
      <c r="C235" t="s">
        <v>539</v>
      </c>
      <c r="D235" s="138">
        <v>890000</v>
      </c>
      <c r="E235" t="s">
        <v>367</v>
      </c>
      <c r="F235" s="20" t="s">
        <v>368</v>
      </c>
      <c r="G235" s="8" t="str">
        <f t="shared" si="6"/>
        <v>LOZA FIDEL</v>
      </c>
      <c r="H235" s="20" t="str">
        <f t="shared" si="7"/>
        <v>4029</v>
      </c>
    </row>
    <row r="236" spans="1:8" x14ac:dyDescent="0.25">
      <c r="A236" s="8">
        <v>42999.938275462962</v>
      </c>
      <c r="B236" t="s">
        <v>427</v>
      </c>
      <c r="C236" t="s">
        <v>525</v>
      </c>
      <c r="D236" s="138">
        <v>2440000</v>
      </c>
      <c r="E236" t="s">
        <v>526</v>
      </c>
      <c r="F236" s="20" t="s">
        <v>527</v>
      </c>
      <c r="G236" s="8" t="str">
        <f t="shared" si="6"/>
        <v>LOPES KIMBERLY</v>
      </c>
      <c r="H236" s="20" t="str">
        <f t="shared" si="7"/>
        <v>4023</v>
      </c>
    </row>
    <row r="237" spans="1:8" x14ac:dyDescent="0.25">
      <c r="A237" s="8">
        <v>42999.943391203706</v>
      </c>
      <c r="B237" t="s">
        <v>505</v>
      </c>
      <c r="C237" t="s">
        <v>540</v>
      </c>
      <c r="D237" s="138">
        <v>3280000</v>
      </c>
      <c r="E237" t="s">
        <v>457</v>
      </c>
      <c r="F237" s="20" t="s">
        <v>458</v>
      </c>
      <c r="G237" s="8" t="str">
        <f t="shared" si="6"/>
        <v>BIRKHOLZ NADINE</v>
      </c>
      <c r="H237" s="20" t="str">
        <f t="shared" si="7"/>
        <v>4031</v>
      </c>
    </row>
    <row r="238" spans="1:8" x14ac:dyDescent="0.25">
      <c r="A238" s="8">
        <v>42999.943668981483</v>
      </c>
      <c r="B238" t="s">
        <v>513</v>
      </c>
      <c r="C238" t="s">
        <v>541</v>
      </c>
      <c r="D238" s="138">
        <v>3340000</v>
      </c>
      <c r="E238" t="s">
        <v>523</v>
      </c>
      <c r="F238" s="20" t="s">
        <v>524</v>
      </c>
      <c r="G238" s="8" t="str">
        <f t="shared" si="6"/>
        <v>ELBAUM MIKE</v>
      </c>
      <c r="H238" s="20" t="str">
        <f t="shared" si="7"/>
        <v>4013</v>
      </c>
    </row>
    <row r="239" spans="1:8" x14ac:dyDescent="0.25">
      <c r="A239" s="8">
        <v>42999.946875000001</v>
      </c>
      <c r="B239" t="s">
        <v>428</v>
      </c>
      <c r="C239" t="s">
        <v>528</v>
      </c>
      <c r="D239" s="138">
        <v>2440000</v>
      </c>
      <c r="E239" t="s">
        <v>526</v>
      </c>
      <c r="F239" s="20" t="s">
        <v>527</v>
      </c>
      <c r="G239" s="8" t="str">
        <f t="shared" si="6"/>
        <v>LOPES KIMBERLY</v>
      </c>
      <c r="H239" s="20" t="str">
        <f t="shared" si="7"/>
        <v>4024</v>
      </c>
    </row>
    <row r="240" spans="1:8" x14ac:dyDescent="0.25">
      <c r="A240" s="8">
        <v>42999.954953703702</v>
      </c>
      <c r="B240" t="s">
        <v>427</v>
      </c>
      <c r="C240" t="s">
        <v>525</v>
      </c>
      <c r="D240" s="138">
        <v>2440000</v>
      </c>
      <c r="E240" t="s">
        <v>526</v>
      </c>
      <c r="F240" s="20" t="s">
        <v>527</v>
      </c>
      <c r="G240" s="8" t="str">
        <f t="shared" si="6"/>
        <v>LOPES KIMBERLY</v>
      </c>
      <c r="H240" s="20" t="str">
        <f t="shared" si="7"/>
        <v>4023</v>
      </c>
    </row>
    <row r="241" spans="1:8" x14ac:dyDescent="0.25">
      <c r="A241" s="8">
        <v>42999.955046296294</v>
      </c>
      <c r="B241" t="s">
        <v>400</v>
      </c>
      <c r="C241" t="s">
        <v>542</v>
      </c>
      <c r="D241" s="138">
        <v>3190000</v>
      </c>
      <c r="E241" t="s">
        <v>382</v>
      </c>
      <c r="F241" s="20" t="s">
        <v>383</v>
      </c>
      <c r="G241" s="8" t="str">
        <f t="shared" si="6"/>
        <v>HART KEVIN</v>
      </c>
      <c r="H241" s="20" t="str">
        <f t="shared" si="7"/>
        <v>4058</v>
      </c>
    </row>
    <row r="242" spans="1:8" x14ac:dyDescent="0.25">
      <c r="A242" s="8">
        <v>42999.962037037039</v>
      </c>
      <c r="B242" t="s">
        <v>507</v>
      </c>
      <c r="C242" t="s">
        <v>543</v>
      </c>
      <c r="D242" s="138">
        <v>3280000</v>
      </c>
      <c r="E242" t="s">
        <v>457</v>
      </c>
      <c r="F242" s="20" t="s">
        <v>458</v>
      </c>
      <c r="G242" s="8" t="str">
        <f t="shared" si="6"/>
        <v>BIRKHOLZ NADINE</v>
      </c>
      <c r="H242" s="20" t="str">
        <f t="shared" si="7"/>
        <v>4032</v>
      </c>
    </row>
    <row r="243" spans="1:8" x14ac:dyDescent="0.25">
      <c r="A243" s="8">
        <v>42999.967627314814</v>
      </c>
      <c r="B243" t="s">
        <v>370</v>
      </c>
      <c r="C243" t="s">
        <v>544</v>
      </c>
      <c r="D243" s="138">
        <v>890000</v>
      </c>
      <c r="E243" t="s">
        <v>367</v>
      </c>
      <c r="F243" s="20" t="s">
        <v>368</v>
      </c>
      <c r="G243" s="8" t="str">
        <f t="shared" si="6"/>
        <v>LOZA FIDEL</v>
      </c>
      <c r="H243" s="20" t="str">
        <f t="shared" si="7"/>
        <v>4030</v>
      </c>
    </row>
    <row r="244" spans="1:8" x14ac:dyDescent="0.25">
      <c r="A244" s="8">
        <v>42999.971516203703</v>
      </c>
      <c r="B244" t="s">
        <v>506</v>
      </c>
      <c r="C244" t="s">
        <v>545</v>
      </c>
      <c r="D244" s="138">
        <v>2620000</v>
      </c>
      <c r="E244" t="s">
        <v>380</v>
      </c>
      <c r="F244" s="20" t="s">
        <v>381</v>
      </c>
      <c r="G244" s="8" t="str">
        <f t="shared" si="6"/>
        <v>PERKINS DARREN</v>
      </c>
      <c r="H244" s="20" t="str">
        <f t="shared" si="7"/>
        <v>4009</v>
      </c>
    </row>
    <row r="245" spans="1:8" x14ac:dyDescent="0.25">
      <c r="A245" s="8">
        <v>42999.97179398148</v>
      </c>
      <c r="B245" t="s">
        <v>428</v>
      </c>
      <c r="C245" t="s">
        <v>528</v>
      </c>
      <c r="D245" s="138">
        <v>2440000</v>
      </c>
      <c r="E245" t="s">
        <v>526</v>
      </c>
      <c r="F245" s="20" t="s">
        <v>527</v>
      </c>
      <c r="G245" s="8" t="str">
        <f t="shared" si="6"/>
        <v>LOPES KIMBERLY</v>
      </c>
      <c r="H245" s="20" t="str">
        <f t="shared" si="7"/>
        <v>4024</v>
      </c>
    </row>
    <row r="246" spans="1:8" x14ac:dyDescent="0.25">
      <c r="A246" s="8">
        <v>42999.977789351855</v>
      </c>
      <c r="B246" t="s">
        <v>505</v>
      </c>
      <c r="C246" t="s">
        <v>546</v>
      </c>
      <c r="D246" s="138">
        <v>3280000</v>
      </c>
      <c r="E246" t="s">
        <v>457</v>
      </c>
      <c r="F246" s="20" t="s">
        <v>458</v>
      </c>
      <c r="G246" s="8" t="str">
        <f t="shared" si="6"/>
        <v>BIRKHOLZ NADINE</v>
      </c>
      <c r="H246" s="20" t="str">
        <f t="shared" si="7"/>
        <v>4031</v>
      </c>
    </row>
    <row r="247" spans="1:8" x14ac:dyDescent="0.25">
      <c r="A247" s="8">
        <v>42999.981793981482</v>
      </c>
      <c r="B247" t="s">
        <v>427</v>
      </c>
      <c r="C247" t="s">
        <v>525</v>
      </c>
      <c r="D247" s="138">
        <v>2440000</v>
      </c>
      <c r="E247" t="s">
        <v>526</v>
      </c>
      <c r="F247" s="20" t="s">
        <v>527</v>
      </c>
      <c r="G247" s="8" t="str">
        <f t="shared" si="6"/>
        <v>LOPES KIMBERLY</v>
      </c>
      <c r="H247" s="20" t="str">
        <f t="shared" si="7"/>
        <v>4023</v>
      </c>
    </row>
    <row r="248" spans="1:8" x14ac:dyDescent="0.25">
      <c r="A248" s="8">
        <v>42999.98940972222</v>
      </c>
      <c r="B248" t="s">
        <v>516</v>
      </c>
      <c r="C248" t="s">
        <v>547</v>
      </c>
      <c r="D248" s="138">
        <v>3340000</v>
      </c>
      <c r="E248" t="s">
        <v>523</v>
      </c>
      <c r="F248" s="20" t="s">
        <v>524</v>
      </c>
      <c r="G248" s="8" t="str">
        <f t="shared" si="6"/>
        <v>ELBAUM MIKE</v>
      </c>
      <c r="H248" s="20" t="str">
        <f t="shared" si="7"/>
        <v>4014</v>
      </c>
    </row>
    <row r="249" spans="1:8" x14ac:dyDescent="0.25">
      <c r="A249" s="8">
        <v>42999.993564814817</v>
      </c>
      <c r="B249" t="s">
        <v>418</v>
      </c>
      <c r="C249" t="s">
        <v>548</v>
      </c>
      <c r="D249" s="138">
        <v>3190000</v>
      </c>
      <c r="E249" t="s">
        <v>382</v>
      </c>
      <c r="F249" s="20" t="s">
        <v>383</v>
      </c>
      <c r="G249" s="8" t="str">
        <f t="shared" si="6"/>
        <v>HART KEVIN</v>
      </c>
      <c r="H249" s="20" t="str">
        <f t="shared" si="7"/>
        <v>4057</v>
      </c>
    </row>
    <row r="250" spans="1:8" x14ac:dyDescent="0.25">
      <c r="A250" s="8">
        <v>43000.006585648145</v>
      </c>
      <c r="B250" t="s">
        <v>441</v>
      </c>
      <c r="C250" t="s">
        <v>549</v>
      </c>
      <c r="D250" s="138">
        <v>2620000</v>
      </c>
      <c r="E250" t="s">
        <v>380</v>
      </c>
      <c r="F250" s="20" t="s">
        <v>381</v>
      </c>
      <c r="G250" s="8" t="str">
        <f t="shared" si="6"/>
        <v>PERKINS DARREN</v>
      </c>
      <c r="H250" s="20" t="str">
        <f t="shared" si="7"/>
        <v>4010</v>
      </c>
    </row>
    <row r="251" spans="1:8" x14ac:dyDescent="0.25">
      <c r="A251" s="8">
        <v>43000.017881944441</v>
      </c>
      <c r="B251" t="s">
        <v>393</v>
      </c>
      <c r="C251" t="s">
        <v>510</v>
      </c>
      <c r="D251" s="138">
        <v>890000</v>
      </c>
      <c r="E251" t="s">
        <v>367</v>
      </c>
      <c r="F251" s="20" t="s">
        <v>368</v>
      </c>
      <c r="G251" s="8" t="str">
        <f t="shared" si="6"/>
        <v>LOZA FIDEL</v>
      </c>
      <c r="H251" s="20" t="str">
        <f t="shared" si="7"/>
        <v>4029</v>
      </c>
    </row>
    <row r="252" spans="1:8" x14ac:dyDescent="0.25">
      <c r="A252" s="8">
        <v>43000.025775462964</v>
      </c>
      <c r="B252" t="s">
        <v>513</v>
      </c>
      <c r="C252" t="s">
        <v>550</v>
      </c>
      <c r="D252" s="138">
        <v>3340000</v>
      </c>
      <c r="E252" t="s">
        <v>523</v>
      </c>
      <c r="F252" s="20" t="s">
        <v>524</v>
      </c>
      <c r="G252" s="8" t="str">
        <f t="shared" si="6"/>
        <v>ELBAUM MIKE</v>
      </c>
      <c r="H252" s="20" t="str">
        <f t="shared" si="7"/>
        <v>4013</v>
      </c>
    </row>
    <row r="253" spans="1:8" x14ac:dyDescent="0.25">
      <c r="A253" s="8">
        <v>43000.032280092593</v>
      </c>
      <c r="B253" t="s">
        <v>512</v>
      </c>
      <c r="C253" t="s">
        <v>551</v>
      </c>
      <c r="D253" s="138">
        <v>3190000</v>
      </c>
      <c r="E253" t="s">
        <v>382</v>
      </c>
      <c r="F253" s="20" t="s">
        <v>383</v>
      </c>
      <c r="G253" s="8" t="str">
        <f t="shared" si="6"/>
        <v>HART KEVIN</v>
      </c>
      <c r="H253" s="20" t="str">
        <f t="shared" si="7"/>
        <v>4006</v>
      </c>
    </row>
    <row r="254" spans="1:8" x14ac:dyDescent="0.25">
      <c r="A254" s="8">
        <v>43000.034861111111</v>
      </c>
      <c r="B254" t="s">
        <v>428</v>
      </c>
      <c r="C254" t="s">
        <v>528</v>
      </c>
      <c r="D254" s="138">
        <v>2440000</v>
      </c>
      <c r="E254" t="s">
        <v>526</v>
      </c>
      <c r="F254" s="20" t="s">
        <v>527</v>
      </c>
      <c r="G254" s="8" t="str">
        <f t="shared" si="6"/>
        <v>LOPES KIMBERLY</v>
      </c>
      <c r="H254" s="20" t="str">
        <f t="shared" si="7"/>
        <v>4024</v>
      </c>
    </row>
    <row r="255" spans="1:8" x14ac:dyDescent="0.25">
      <c r="A255" s="8">
        <v>43000.047627314816</v>
      </c>
      <c r="B255" t="s">
        <v>370</v>
      </c>
      <c r="C255" t="s">
        <v>552</v>
      </c>
      <c r="D255" s="138">
        <v>890000</v>
      </c>
      <c r="E255" t="s">
        <v>367</v>
      </c>
      <c r="F255" s="20" t="s">
        <v>368</v>
      </c>
      <c r="G255" s="8" t="str">
        <f t="shared" si="6"/>
        <v>LOZA FIDEL</v>
      </c>
      <c r="H255" s="20" t="str">
        <f t="shared" si="7"/>
        <v>4030</v>
      </c>
    </row>
    <row r="256" spans="1:8" x14ac:dyDescent="0.25">
      <c r="A256" s="8">
        <v>43000.055752314816</v>
      </c>
      <c r="B256" t="s">
        <v>506</v>
      </c>
      <c r="C256" t="s">
        <v>511</v>
      </c>
      <c r="D256" s="138">
        <v>2620000</v>
      </c>
      <c r="E256" t="s">
        <v>380</v>
      </c>
      <c r="F256" s="20" t="s">
        <v>381</v>
      </c>
      <c r="G256" s="8" t="str">
        <f t="shared" si="6"/>
        <v>PERKINS DARREN</v>
      </c>
      <c r="H256" s="20" t="str">
        <f t="shared" si="7"/>
        <v>4009</v>
      </c>
    </row>
    <row r="257" spans="1:8" x14ac:dyDescent="0.25">
      <c r="A257" s="8">
        <v>43000.067048611112</v>
      </c>
      <c r="B257" t="s">
        <v>516</v>
      </c>
      <c r="C257" t="s">
        <v>553</v>
      </c>
      <c r="D257" s="138">
        <v>3340000</v>
      </c>
      <c r="E257" t="s">
        <v>523</v>
      </c>
      <c r="F257" s="20" t="s">
        <v>524</v>
      </c>
      <c r="G257" s="8" t="str">
        <f t="shared" si="6"/>
        <v>ELBAUM MIKE</v>
      </c>
      <c r="H257" s="20" t="str">
        <f t="shared" si="7"/>
        <v>4014</v>
      </c>
    </row>
    <row r="258" spans="1:8" x14ac:dyDescent="0.25">
      <c r="A258" s="8">
        <v>43000.073518518519</v>
      </c>
      <c r="B258" t="s">
        <v>400</v>
      </c>
      <c r="C258" t="s">
        <v>554</v>
      </c>
      <c r="D258" s="138">
        <v>3320000</v>
      </c>
      <c r="E258" t="s">
        <v>386</v>
      </c>
      <c r="F258" s="20" t="s">
        <v>387</v>
      </c>
      <c r="G258" s="8" t="str">
        <f t="shared" si="6"/>
        <v>NICHOLSON WESLEY</v>
      </c>
      <c r="H258" s="20" t="str">
        <f t="shared" si="7"/>
        <v>4058</v>
      </c>
    </row>
    <row r="259" spans="1:8" x14ac:dyDescent="0.25">
      <c r="A259" s="8">
        <v>43000.089803240742</v>
      </c>
      <c r="B259" t="s">
        <v>441</v>
      </c>
      <c r="C259" t="s">
        <v>555</v>
      </c>
      <c r="D259" s="138">
        <v>2620000</v>
      </c>
      <c r="E259" t="s">
        <v>380</v>
      </c>
      <c r="F259" s="20" t="s">
        <v>381</v>
      </c>
      <c r="G259" s="8" t="str">
        <f t="shared" ref="G259:G273" si="8">E259&amp;" "&amp;F259</f>
        <v>PERKINS DARREN</v>
      </c>
      <c r="H259" s="20" t="str">
        <f t="shared" ref="H259:H273" si="9">MID(B259,13,4)</f>
        <v>4010</v>
      </c>
    </row>
    <row r="260" spans="1:8" x14ac:dyDescent="0.25">
      <c r="A260" s="8">
        <v>43000.111990740741</v>
      </c>
      <c r="B260" t="s">
        <v>466</v>
      </c>
      <c r="C260" t="s">
        <v>556</v>
      </c>
      <c r="D260" s="138">
        <v>1830000</v>
      </c>
      <c r="E260" t="s">
        <v>414</v>
      </c>
      <c r="F260" s="20" t="s">
        <v>415</v>
      </c>
      <c r="G260" s="8" t="str">
        <f t="shared" si="8"/>
        <v>YORK EDGAR</v>
      </c>
      <c r="H260" s="20" t="str">
        <f t="shared" si="9"/>
        <v>4001</v>
      </c>
    </row>
    <row r="261" spans="1:8" x14ac:dyDescent="0.25">
      <c r="A261" s="8">
        <v>43000.112986111111</v>
      </c>
      <c r="B261" t="s">
        <v>418</v>
      </c>
      <c r="C261" t="s">
        <v>557</v>
      </c>
      <c r="D261" s="138">
        <v>900000</v>
      </c>
      <c r="E261" t="s">
        <v>470</v>
      </c>
      <c r="F261" s="20" t="s">
        <v>471</v>
      </c>
      <c r="G261" s="8" t="str">
        <f t="shared" si="8"/>
        <v>ROCHA YAOTL</v>
      </c>
      <c r="H261" s="20" t="str">
        <f t="shared" si="9"/>
        <v>4057</v>
      </c>
    </row>
    <row r="262" spans="1:8" x14ac:dyDescent="0.25">
      <c r="A262" s="8">
        <v>42999.026921296296</v>
      </c>
      <c r="B262" t="s">
        <v>465</v>
      </c>
      <c r="C262" t="s">
        <v>485</v>
      </c>
      <c r="D262" s="138">
        <v>2620000</v>
      </c>
      <c r="E262" t="s">
        <v>380</v>
      </c>
      <c r="F262" s="20" t="s">
        <v>381</v>
      </c>
      <c r="G262" s="8" t="str">
        <f t="shared" si="8"/>
        <v>PERKINS DARREN</v>
      </c>
      <c r="H262" s="20" t="str">
        <f t="shared" si="9"/>
        <v>4042</v>
      </c>
    </row>
    <row r="263" spans="1:8" x14ac:dyDescent="0.25">
      <c r="A263" s="8">
        <v>42999.029710648145</v>
      </c>
      <c r="B263" t="s">
        <v>427</v>
      </c>
      <c r="C263" t="s">
        <v>468</v>
      </c>
      <c r="D263" s="138">
        <v>3310000</v>
      </c>
      <c r="E263" t="s">
        <v>483</v>
      </c>
      <c r="F263" s="20" t="s">
        <v>484</v>
      </c>
      <c r="G263" s="8" t="str">
        <f t="shared" si="8"/>
        <v>ANDERS STEVEN</v>
      </c>
      <c r="H263" s="20" t="str">
        <f t="shared" si="9"/>
        <v>4023</v>
      </c>
    </row>
    <row r="264" spans="1:8" x14ac:dyDescent="0.25">
      <c r="A264" s="8">
        <v>42999.031157407408</v>
      </c>
      <c r="B264" t="s">
        <v>427</v>
      </c>
      <c r="C264" t="s">
        <v>468</v>
      </c>
      <c r="D264" s="138">
        <v>3310000</v>
      </c>
      <c r="E264" t="s">
        <v>483</v>
      </c>
      <c r="F264" s="20" t="s">
        <v>484</v>
      </c>
      <c r="G264" s="8" t="str">
        <f t="shared" si="8"/>
        <v>ANDERS STEVEN</v>
      </c>
      <c r="H264" s="20" t="str">
        <f t="shared" si="9"/>
        <v>4023</v>
      </c>
    </row>
    <row r="265" spans="1:8" x14ac:dyDescent="0.25">
      <c r="A265" s="8">
        <v>42999.038171296299</v>
      </c>
      <c r="B265" t="s">
        <v>439</v>
      </c>
      <c r="C265" t="s">
        <v>486</v>
      </c>
      <c r="D265" s="138">
        <v>890000</v>
      </c>
      <c r="E265" t="s">
        <v>367</v>
      </c>
      <c r="F265" s="20" t="s">
        <v>368</v>
      </c>
      <c r="G265" s="8" t="str">
        <f t="shared" si="8"/>
        <v>LOZA FIDEL</v>
      </c>
      <c r="H265" s="20" t="str">
        <f t="shared" si="9"/>
        <v>4039</v>
      </c>
    </row>
    <row r="266" spans="1:8" x14ac:dyDescent="0.25">
      <c r="A266" s="8">
        <v>42999.046215277776</v>
      </c>
      <c r="B266" t="s">
        <v>467</v>
      </c>
      <c r="C266" t="s">
        <v>487</v>
      </c>
      <c r="D266" s="138">
        <v>2680000</v>
      </c>
      <c r="E266" t="s">
        <v>378</v>
      </c>
      <c r="F266" s="20" t="s">
        <v>379</v>
      </c>
      <c r="G266" s="8" t="str">
        <f t="shared" si="8"/>
        <v>DUNCAN SHEILA</v>
      </c>
      <c r="H266" s="20" t="str">
        <f t="shared" si="9"/>
        <v>4064</v>
      </c>
    </row>
    <row r="267" spans="1:8" x14ac:dyDescent="0.25">
      <c r="A267" s="8">
        <v>42999.056111111109</v>
      </c>
      <c r="B267" t="s">
        <v>464</v>
      </c>
      <c r="C267" t="s">
        <v>487</v>
      </c>
      <c r="D267" s="138">
        <v>2680000</v>
      </c>
      <c r="E267" t="s">
        <v>378</v>
      </c>
      <c r="F267" s="20" t="s">
        <v>379</v>
      </c>
      <c r="G267" s="8" t="str">
        <f t="shared" si="8"/>
        <v>DUNCAN SHEILA</v>
      </c>
      <c r="H267" s="20" t="str">
        <f t="shared" si="9"/>
        <v>4063</v>
      </c>
    </row>
    <row r="268" spans="1:8" x14ac:dyDescent="0.25">
      <c r="A268" s="8">
        <v>42999.058923611112</v>
      </c>
      <c r="B268" t="s">
        <v>413</v>
      </c>
      <c r="C268" t="s">
        <v>469</v>
      </c>
      <c r="D268" s="138">
        <v>3190000</v>
      </c>
      <c r="E268" t="s">
        <v>382</v>
      </c>
      <c r="F268" s="20" t="s">
        <v>383</v>
      </c>
      <c r="G268" s="8" t="str">
        <f t="shared" si="8"/>
        <v>HART KEVIN</v>
      </c>
      <c r="H268" s="20" t="str">
        <f t="shared" si="9"/>
        <v>4043</v>
      </c>
    </row>
    <row r="269" spans="1:8" x14ac:dyDescent="0.25">
      <c r="A269" s="8">
        <v>42999.067094907405</v>
      </c>
      <c r="B269" t="s">
        <v>443</v>
      </c>
      <c r="C269" t="s">
        <v>488</v>
      </c>
      <c r="D269" s="138">
        <v>890000</v>
      </c>
      <c r="E269" t="s">
        <v>367</v>
      </c>
      <c r="F269" s="20" t="s">
        <v>368</v>
      </c>
      <c r="G269" s="8" t="str">
        <f t="shared" si="8"/>
        <v>LOZA FIDEL</v>
      </c>
      <c r="H269" s="20" t="str">
        <f t="shared" si="9"/>
        <v>4040</v>
      </c>
    </row>
    <row r="270" spans="1:8" x14ac:dyDescent="0.25">
      <c r="A270" s="8">
        <v>42999.070891203701</v>
      </c>
      <c r="B270" t="s">
        <v>467</v>
      </c>
      <c r="C270" t="s">
        <v>487</v>
      </c>
      <c r="D270" s="138">
        <v>2680000</v>
      </c>
      <c r="E270" t="s">
        <v>378</v>
      </c>
      <c r="F270" s="20" t="s">
        <v>379</v>
      </c>
      <c r="G270" s="8" t="str">
        <f t="shared" si="8"/>
        <v>DUNCAN SHEILA</v>
      </c>
      <c r="H270" s="20" t="str">
        <f t="shared" si="9"/>
        <v>4064</v>
      </c>
    </row>
    <row r="271" spans="1:8" x14ac:dyDescent="0.25">
      <c r="A271" s="8">
        <v>42999.07104166667</v>
      </c>
      <c r="B271" t="s">
        <v>413</v>
      </c>
      <c r="C271" t="s">
        <v>469</v>
      </c>
      <c r="D271" s="138">
        <v>3190000</v>
      </c>
      <c r="E271" t="s">
        <v>382</v>
      </c>
      <c r="F271" s="20" t="s">
        <v>383</v>
      </c>
      <c r="G271" s="8" t="str">
        <f t="shared" si="8"/>
        <v>HART KEVIN</v>
      </c>
      <c r="H271" s="20" t="str">
        <f t="shared" si="9"/>
        <v>4043</v>
      </c>
    </row>
    <row r="272" spans="1:8" x14ac:dyDescent="0.25">
      <c r="A272" s="8">
        <v>42999.089884259258</v>
      </c>
      <c r="B272" t="s">
        <v>454</v>
      </c>
      <c r="C272" t="s">
        <v>489</v>
      </c>
      <c r="D272" s="138">
        <v>3190000</v>
      </c>
      <c r="E272" t="s">
        <v>382</v>
      </c>
      <c r="F272" s="20" t="s">
        <v>383</v>
      </c>
      <c r="G272" s="8" t="str">
        <f t="shared" si="8"/>
        <v>HART KEVIN</v>
      </c>
      <c r="H272" s="20" t="str">
        <f t="shared" si="9"/>
        <v>4044</v>
      </c>
    </row>
    <row r="273" spans="1:8" x14ac:dyDescent="0.25">
      <c r="A273" s="8">
        <v>42999.114386574074</v>
      </c>
      <c r="B273" t="s">
        <v>429</v>
      </c>
      <c r="C273" t="s">
        <v>490</v>
      </c>
      <c r="D273" s="138">
        <v>1830000</v>
      </c>
      <c r="E273" t="s">
        <v>414</v>
      </c>
      <c r="F273" s="20" t="s">
        <v>415</v>
      </c>
      <c r="G273" s="8" t="str">
        <f t="shared" si="8"/>
        <v>YORK EDGAR</v>
      </c>
      <c r="H273" s="20" t="str">
        <f t="shared" si="9"/>
        <v>4005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S33"/>
  <sheetViews>
    <sheetView workbookViewId="0">
      <selection sqref="A1:S29"/>
    </sheetView>
  </sheetViews>
  <sheetFormatPr defaultColWidth="9.140625" defaultRowHeight="15" x14ac:dyDescent="0.25"/>
  <cols>
    <col min="1" max="1" width="22.5703125" style="141" customWidth="1"/>
    <col min="2" max="2" width="8.42578125" style="141" bestFit="1" customWidth="1"/>
    <col min="3" max="3" width="12.5703125" style="141" bestFit="1" customWidth="1"/>
    <col min="4" max="4" width="18.5703125" style="130" bestFit="1" customWidth="1"/>
    <col min="5" max="5" width="9.85546875" style="141" bestFit="1" customWidth="1"/>
    <col min="6" max="6" width="9" style="141" bestFit="1" customWidth="1"/>
    <col min="7" max="7" width="8.85546875" style="141" bestFit="1" customWidth="1"/>
    <col min="8" max="8" width="14" style="141" bestFit="1" customWidth="1"/>
    <col min="9" max="9" width="21.140625" style="141" bestFit="1" customWidth="1"/>
    <col min="10" max="10" width="8.7109375" style="141" bestFit="1" customWidth="1"/>
    <col min="11" max="11" width="11.28515625" style="141" bestFit="1" customWidth="1"/>
    <col min="12" max="12" width="11" style="141" bestFit="1" customWidth="1"/>
    <col min="13" max="13" width="11.28515625" style="141" bestFit="1" customWidth="1"/>
    <col min="14" max="14" width="13.7109375" style="141" bestFit="1" customWidth="1"/>
    <col min="15" max="15" width="14.85546875" style="141" bestFit="1" customWidth="1"/>
    <col min="16" max="16" width="16.7109375" style="141" bestFit="1" customWidth="1"/>
    <col min="17" max="17" width="9.42578125" style="110" bestFit="1" customWidth="1"/>
    <col min="18" max="16384" width="9.140625" style="110"/>
  </cols>
  <sheetData>
    <row r="1" spans="1:19" s="111" customFormat="1" x14ac:dyDescent="0.25">
      <c r="A1" s="218" t="s">
        <v>157</v>
      </c>
      <c r="B1" s="218" t="s">
        <v>160</v>
      </c>
      <c r="C1" s="218" t="s">
        <v>153</v>
      </c>
      <c r="D1" s="136" t="s">
        <v>165</v>
      </c>
      <c r="E1" s="218" t="s">
        <v>154</v>
      </c>
      <c r="F1" s="218" t="s">
        <v>152</v>
      </c>
      <c r="G1" s="218" t="s">
        <v>150</v>
      </c>
      <c r="H1" s="218" t="s">
        <v>163</v>
      </c>
      <c r="I1" s="218" t="s">
        <v>164</v>
      </c>
      <c r="J1" s="218" t="s">
        <v>821</v>
      </c>
      <c r="K1" s="218" t="s">
        <v>158</v>
      </c>
      <c r="L1" s="218" t="s">
        <v>156</v>
      </c>
      <c r="M1" s="218" t="s">
        <v>151</v>
      </c>
      <c r="N1" s="218" t="s">
        <v>161</v>
      </c>
      <c r="O1" s="218" t="s">
        <v>346</v>
      </c>
      <c r="P1" s="218" t="s">
        <v>155</v>
      </c>
      <c r="Q1" s="218" t="s">
        <v>162</v>
      </c>
      <c r="R1" s="218" t="s">
        <v>347</v>
      </c>
      <c r="S1" s="218" t="s">
        <v>159</v>
      </c>
    </row>
    <row r="2" spans="1:19" x14ac:dyDescent="0.25">
      <c r="A2" s="196">
        <v>45</v>
      </c>
      <c r="B2" s="196">
        <v>0.97</v>
      </c>
      <c r="C2" s="196">
        <v>43.15</v>
      </c>
      <c r="D2" s="8">
        <v>43002</v>
      </c>
      <c r="E2" s="196">
        <v>0.93</v>
      </c>
      <c r="F2" s="196" t="s">
        <v>822</v>
      </c>
      <c r="G2" s="196">
        <v>273.75</v>
      </c>
      <c r="H2" s="196">
        <v>1E-4</v>
      </c>
      <c r="I2" s="196">
        <v>0.01</v>
      </c>
      <c r="J2" s="196" t="s">
        <v>823</v>
      </c>
      <c r="K2" s="196">
        <v>1013.08</v>
      </c>
      <c r="L2" s="196" t="s">
        <v>824</v>
      </c>
      <c r="M2" s="196">
        <v>45</v>
      </c>
      <c r="N2" s="196">
        <v>1506232800</v>
      </c>
      <c r="O2" s="196">
        <v>0</v>
      </c>
      <c r="P2" s="196">
        <v>2.63</v>
      </c>
      <c r="Q2" s="196">
        <v>70</v>
      </c>
      <c r="R2" s="196">
        <v>3.2</v>
      </c>
      <c r="S2" s="196">
        <v>1.25</v>
      </c>
    </row>
    <row r="3" spans="1:19" x14ac:dyDescent="0.25">
      <c r="A3" s="196">
        <v>44.95</v>
      </c>
      <c r="B3" s="196">
        <v>0.79</v>
      </c>
      <c r="C3" s="196">
        <v>43.29</v>
      </c>
      <c r="D3" s="8">
        <v>43002.041666666664</v>
      </c>
      <c r="E3" s="196">
        <v>0.94</v>
      </c>
      <c r="F3" s="196" t="s">
        <v>825</v>
      </c>
      <c r="G3" s="196">
        <v>274.60000000000002</v>
      </c>
      <c r="H3" s="196">
        <v>0</v>
      </c>
      <c r="I3" s="196">
        <v>0</v>
      </c>
      <c r="J3" s="196"/>
      <c r="K3" s="196">
        <v>1012.77</v>
      </c>
      <c r="L3" s="196" t="s">
        <v>826</v>
      </c>
      <c r="M3" s="196">
        <v>44.95</v>
      </c>
      <c r="N3" s="196">
        <v>1506236400</v>
      </c>
      <c r="O3" s="196">
        <v>0</v>
      </c>
      <c r="P3" s="196">
        <v>2.89</v>
      </c>
      <c r="Q3" s="196">
        <v>66</v>
      </c>
      <c r="R3" s="196">
        <v>2.78</v>
      </c>
      <c r="S3" s="196">
        <v>0.7</v>
      </c>
    </row>
    <row r="4" spans="1:19" x14ac:dyDescent="0.25">
      <c r="A4" s="196">
        <v>44.9</v>
      </c>
      <c r="B4" s="196">
        <v>0.78</v>
      </c>
      <c r="C4" s="196">
        <v>43.23</v>
      </c>
      <c r="D4" s="8">
        <v>43002.083333333336</v>
      </c>
      <c r="E4" s="196">
        <v>0.94</v>
      </c>
      <c r="F4" s="196" t="s">
        <v>825</v>
      </c>
      <c r="G4" s="196">
        <v>275.08</v>
      </c>
      <c r="H4" s="196">
        <v>0</v>
      </c>
      <c r="I4" s="196">
        <v>0</v>
      </c>
      <c r="J4" s="196"/>
      <c r="K4" s="196">
        <v>1012.34</v>
      </c>
      <c r="L4" s="196" t="s">
        <v>826</v>
      </c>
      <c r="M4" s="196">
        <v>44.9</v>
      </c>
      <c r="N4" s="196">
        <v>1506240000</v>
      </c>
      <c r="O4" s="196">
        <v>0</v>
      </c>
      <c r="P4" s="196">
        <v>3.32</v>
      </c>
      <c r="Q4" s="196">
        <v>34</v>
      </c>
      <c r="R4" s="196">
        <v>1.38</v>
      </c>
      <c r="S4" s="196">
        <v>0.34</v>
      </c>
    </row>
    <row r="5" spans="1:19" x14ac:dyDescent="0.25">
      <c r="A5" s="196">
        <v>45.01</v>
      </c>
      <c r="B5" s="196">
        <v>0.78</v>
      </c>
      <c r="C5" s="196">
        <v>43.2</v>
      </c>
      <c r="D5" s="8">
        <v>43002.125</v>
      </c>
      <c r="E5" s="196">
        <v>0.93</v>
      </c>
      <c r="F5" s="196" t="s">
        <v>825</v>
      </c>
      <c r="G5" s="196">
        <v>275.8</v>
      </c>
      <c r="H5" s="196">
        <v>0</v>
      </c>
      <c r="I5" s="196">
        <v>0</v>
      </c>
      <c r="J5" s="196"/>
      <c r="K5" s="196">
        <v>1011.9</v>
      </c>
      <c r="L5" s="196" t="s">
        <v>826</v>
      </c>
      <c r="M5" s="196">
        <v>45.01</v>
      </c>
      <c r="N5" s="196">
        <v>1506243600</v>
      </c>
      <c r="O5" s="196">
        <v>0</v>
      </c>
      <c r="P5" s="196">
        <v>3.61</v>
      </c>
      <c r="Q5" s="196">
        <v>83</v>
      </c>
      <c r="R5" s="196">
        <v>1.45</v>
      </c>
      <c r="S5" s="196">
        <v>0.47</v>
      </c>
    </row>
    <row r="6" spans="1:19" x14ac:dyDescent="0.25">
      <c r="A6" s="196">
        <v>45.29</v>
      </c>
      <c r="B6" s="196">
        <v>0.6</v>
      </c>
      <c r="C6" s="196">
        <v>43.33</v>
      </c>
      <c r="D6" s="8">
        <v>43002.166666666664</v>
      </c>
      <c r="E6" s="196">
        <v>0.93</v>
      </c>
      <c r="F6" s="196" t="s">
        <v>825</v>
      </c>
      <c r="G6" s="196">
        <v>276.87</v>
      </c>
      <c r="H6" s="196">
        <v>0</v>
      </c>
      <c r="I6" s="196">
        <v>0</v>
      </c>
      <c r="J6" s="196"/>
      <c r="K6" s="196">
        <v>1011.96</v>
      </c>
      <c r="L6" s="196" t="s">
        <v>826</v>
      </c>
      <c r="M6" s="196">
        <v>45.29</v>
      </c>
      <c r="N6" s="196">
        <v>1506247200</v>
      </c>
      <c r="O6" s="196">
        <v>0</v>
      </c>
      <c r="P6" s="196">
        <v>3.61</v>
      </c>
      <c r="Q6" s="196">
        <v>101</v>
      </c>
      <c r="R6" s="196">
        <v>1.82</v>
      </c>
      <c r="S6" s="196">
        <v>0.68</v>
      </c>
    </row>
    <row r="7" spans="1:19" x14ac:dyDescent="0.25">
      <c r="A7" s="196">
        <v>45.37</v>
      </c>
      <c r="B7" s="196">
        <v>0.67</v>
      </c>
      <c r="C7" s="196">
        <v>43.38</v>
      </c>
      <c r="D7" s="8">
        <v>43002.208333333336</v>
      </c>
      <c r="E7" s="196">
        <v>0.93</v>
      </c>
      <c r="F7" s="196" t="s">
        <v>825</v>
      </c>
      <c r="G7" s="196">
        <v>278.07</v>
      </c>
      <c r="H7" s="196">
        <v>1E-4</v>
      </c>
      <c r="I7" s="196">
        <v>0.01</v>
      </c>
      <c r="J7" s="196" t="s">
        <v>823</v>
      </c>
      <c r="K7" s="196">
        <v>1011.99</v>
      </c>
      <c r="L7" s="196" t="s">
        <v>826</v>
      </c>
      <c r="M7" s="196">
        <v>45.37</v>
      </c>
      <c r="N7" s="196">
        <v>1506250800</v>
      </c>
      <c r="O7" s="196">
        <v>0</v>
      </c>
      <c r="P7" s="196">
        <v>3.75</v>
      </c>
      <c r="Q7" s="196">
        <v>107</v>
      </c>
      <c r="R7" s="196">
        <v>2.11</v>
      </c>
      <c r="S7" s="196">
        <v>0.71</v>
      </c>
    </row>
    <row r="8" spans="1:19" x14ac:dyDescent="0.25">
      <c r="A8" s="196">
        <v>45.43</v>
      </c>
      <c r="B8" s="196">
        <v>0.7</v>
      </c>
      <c r="C8" s="196">
        <v>43.45</v>
      </c>
      <c r="D8" s="8">
        <v>43002.25</v>
      </c>
      <c r="E8" s="196">
        <v>0.93</v>
      </c>
      <c r="F8" s="196" t="s">
        <v>825</v>
      </c>
      <c r="G8" s="196">
        <v>281.83999999999997</v>
      </c>
      <c r="H8" s="196">
        <v>4.0000000000000002E-4</v>
      </c>
      <c r="I8" s="196">
        <v>0.01</v>
      </c>
      <c r="J8" s="196" t="s">
        <v>823</v>
      </c>
      <c r="K8" s="196">
        <v>1012.18</v>
      </c>
      <c r="L8" s="196" t="s">
        <v>826</v>
      </c>
      <c r="M8" s="196">
        <v>45.43</v>
      </c>
      <c r="N8" s="196">
        <v>1506254400</v>
      </c>
      <c r="O8" s="196">
        <v>0</v>
      </c>
      <c r="P8" s="196">
        <v>3.58</v>
      </c>
      <c r="Q8" s="196">
        <v>82</v>
      </c>
      <c r="R8" s="196">
        <v>1.56</v>
      </c>
      <c r="S8" s="196">
        <v>0.52</v>
      </c>
    </row>
    <row r="9" spans="1:19" x14ac:dyDescent="0.25">
      <c r="A9" s="196">
        <v>45.8</v>
      </c>
      <c r="B9" s="196">
        <v>0.71</v>
      </c>
      <c r="C9" s="196">
        <v>43.69</v>
      </c>
      <c r="D9" s="8">
        <v>43002.291666666664</v>
      </c>
      <c r="E9" s="196">
        <v>0.92</v>
      </c>
      <c r="F9" s="196" t="s">
        <v>827</v>
      </c>
      <c r="G9" s="196">
        <v>283.48</v>
      </c>
      <c r="H9" s="196">
        <v>5.0000000000000001E-4</v>
      </c>
      <c r="I9" s="196">
        <v>0.02</v>
      </c>
      <c r="J9" s="196" t="s">
        <v>823</v>
      </c>
      <c r="K9" s="196">
        <v>1013.02</v>
      </c>
      <c r="L9" s="196" t="s">
        <v>826</v>
      </c>
      <c r="M9" s="196">
        <v>45.8</v>
      </c>
      <c r="N9" s="196">
        <v>1506258000</v>
      </c>
      <c r="O9" s="196">
        <v>0</v>
      </c>
      <c r="P9" s="196">
        <v>3.57</v>
      </c>
      <c r="Q9" s="196">
        <v>109</v>
      </c>
      <c r="R9" s="196">
        <v>2.2400000000000002</v>
      </c>
      <c r="S9" s="196">
        <v>0.68</v>
      </c>
    </row>
    <row r="10" spans="1:19" x14ac:dyDescent="0.25">
      <c r="A10" s="196">
        <v>46.33</v>
      </c>
      <c r="B10" s="196">
        <v>0.74</v>
      </c>
      <c r="C10" s="196">
        <v>44.11</v>
      </c>
      <c r="D10" s="8">
        <v>43002.333333333336</v>
      </c>
      <c r="E10" s="196">
        <v>0.92</v>
      </c>
      <c r="F10" s="196" t="s">
        <v>827</v>
      </c>
      <c r="G10" s="196">
        <v>284.88</v>
      </c>
      <c r="H10" s="196">
        <v>8.9999999999999998E-4</v>
      </c>
      <c r="I10" s="196">
        <v>0.02</v>
      </c>
      <c r="J10" s="196" t="s">
        <v>823</v>
      </c>
      <c r="K10" s="196">
        <v>1013.21</v>
      </c>
      <c r="L10" s="196" t="s">
        <v>826</v>
      </c>
      <c r="M10" s="196">
        <v>46.33</v>
      </c>
      <c r="N10" s="196">
        <v>1506261600</v>
      </c>
      <c r="O10" s="196">
        <v>0</v>
      </c>
      <c r="P10" s="196">
        <v>3.44</v>
      </c>
      <c r="Q10" s="196">
        <v>105</v>
      </c>
      <c r="R10" s="196">
        <v>2.48</v>
      </c>
      <c r="S10" s="196">
        <v>0.91</v>
      </c>
    </row>
    <row r="11" spans="1:19" x14ac:dyDescent="0.25">
      <c r="A11" s="196">
        <v>47.34</v>
      </c>
      <c r="B11" s="196">
        <v>0.66</v>
      </c>
      <c r="C11" s="196">
        <v>44.7</v>
      </c>
      <c r="D11" s="8">
        <v>43002.375</v>
      </c>
      <c r="E11" s="196">
        <v>0.91</v>
      </c>
      <c r="F11" s="196" t="s">
        <v>827</v>
      </c>
      <c r="G11" s="196">
        <v>286.02999999999997</v>
      </c>
      <c r="H11" s="196">
        <v>1E-3</v>
      </c>
      <c r="I11" s="196">
        <v>0.03</v>
      </c>
      <c r="J11" s="196" t="s">
        <v>823</v>
      </c>
      <c r="K11" s="196">
        <v>1013.39</v>
      </c>
      <c r="L11" s="196" t="s">
        <v>826</v>
      </c>
      <c r="M11" s="196">
        <v>47.34</v>
      </c>
      <c r="N11" s="196">
        <v>1506265200</v>
      </c>
      <c r="O11" s="196">
        <v>1</v>
      </c>
      <c r="P11" s="196">
        <v>2.36</v>
      </c>
      <c r="Q11" s="196">
        <v>94</v>
      </c>
      <c r="R11" s="196">
        <v>2.5099999999999998</v>
      </c>
      <c r="S11" s="196">
        <v>0.73</v>
      </c>
    </row>
    <row r="12" spans="1:19" x14ac:dyDescent="0.25">
      <c r="A12" s="196">
        <v>48.1</v>
      </c>
      <c r="B12" s="196">
        <v>0.77</v>
      </c>
      <c r="C12" s="196">
        <v>45.29</v>
      </c>
      <c r="D12" s="8">
        <v>43002.416666666664</v>
      </c>
      <c r="E12" s="196">
        <v>0.9</v>
      </c>
      <c r="F12" s="196" t="s">
        <v>827</v>
      </c>
      <c r="G12" s="196">
        <v>286.61</v>
      </c>
      <c r="H12" s="196">
        <v>8.0000000000000004E-4</v>
      </c>
      <c r="I12" s="196">
        <v>0.05</v>
      </c>
      <c r="J12" s="196" t="s">
        <v>823</v>
      </c>
      <c r="K12" s="196">
        <v>1013.33</v>
      </c>
      <c r="L12" s="196" t="s">
        <v>826</v>
      </c>
      <c r="M12" s="196">
        <v>48.1</v>
      </c>
      <c r="N12" s="196">
        <v>1506268800</v>
      </c>
      <c r="O12" s="196">
        <v>2</v>
      </c>
      <c r="P12" s="196">
        <v>3.07</v>
      </c>
      <c r="Q12" s="196">
        <v>42</v>
      </c>
      <c r="R12" s="196">
        <v>3.52</v>
      </c>
      <c r="S12" s="196">
        <v>1.22</v>
      </c>
    </row>
    <row r="13" spans="1:19" x14ac:dyDescent="0.25">
      <c r="A13" s="196">
        <v>48.14</v>
      </c>
      <c r="B13" s="196">
        <v>0.73</v>
      </c>
      <c r="C13" s="196">
        <v>45.59</v>
      </c>
      <c r="D13" s="8">
        <v>43002.458333333336</v>
      </c>
      <c r="E13" s="196">
        <v>0.91</v>
      </c>
      <c r="F13" s="196" t="s">
        <v>827</v>
      </c>
      <c r="G13" s="196">
        <v>286.83999999999997</v>
      </c>
      <c r="H13" s="196">
        <v>4.0000000000000002E-4</v>
      </c>
      <c r="I13" s="196">
        <v>0.04</v>
      </c>
      <c r="J13" s="196" t="s">
        <v>823</v>
      </c>
      <c r="K13" s="196">
        <v>1013.44</v>
      </c>
      <c r="L13" s="196" t="s">
        <v>826</v>
      </c>
      <c r="M13" s="196">
        <v>48.14</v>
      </c>
      <c r="N13" s="196">
        <v>1506272400</v>
      </c>
      <c r="O13" s="196">
        <v>3</v>
      </c>
      <c r="P13" s="196">
        <v>2.09</v>
      </c>
      <c r="Q13" s="196">
        <v>37</v>
      </c>
      <c r="R13" s="196">
        <v>5.15</v>
      </c>
      <c r="S13" s="196">
        <v>1.93</v>
      </c>
    </row>
    <row r="14" spans="1:19" x14ac:dyDescent="0.25">
      <c r="A14" s="196">
        <v>47.7</v>
      </c>
      <c r="B14" s="196">
        <v>0.73</v>
      </c>
      <c r="C14" s="196">
        <v>45.99</v>
      </c>
      <c r="D14" s="8">
        <v>43002.5</v>
      </c>
      <c r="E14" s="196">
        <v>0.92</v>
      </c>
      <c r="F14" s="196" t="s">
        <v>827</v>
      </c>
      <c r="G14" s="196">
        <v>292.42</v>
      </c>
      <c r="H14" s="196">
        <v>2.0000000000000001E-4</v>
      </c>
      <c r="I14" s="196">
        <v>0.03</v>
      </c>
      <c r="J14" s="196" t="s">
        <v>823</v>
      </c>
      <c r="K14" s="196">
        <v>1012.89</v>
      </c>
      <c r="L14" s="196" t="s">
        <v>826</v>
      </c>
      <c r="M14" s="196">
        <v>48.34</v>
      </c>
      <c r="N14" s="196">
        <v>1506276000</v>
      </c>
      <c r="O14" s="196">
        <v>4</v>
      </c>
      <c r="P14" s="196">
        <v>2.17</v>
      </c>
      <c r="Q14" s="196">
        <v>51</v>
      </c>
      <c r="R14" s="196">
        <v>7.22</v>
      </c>
      <c r="S14" s="196">
        <v>3.11</v>
      </c>
    </row>
    <row r="15" spans="1:19" x14ac:dyDescent="0.25">
      <c r="A15" s="196">
        <v>46.76</v>
      </c>
      <c r="B15" s="196">
        <v>0.8</v>
      </c>
      <c r="C15" s="196">
        <v>45.93</v>
      </c>
      <c r="D15" s="8">
        <v>43002.541666666664</v>
      </c>
      <c r="E15" s="196">
        <v>0.92</v>
      </c>
      <c r="F15" s="196" t="s">
        <v>827</v>
      </c>
      <c r="G15" s="196">
        <v>292.2</v>
      </c>
      <c r="H15" s="196">
        <v>2.9999999999999997E-4</v>
      </c>
      <c r="I15" s="196">
        <v>0.01</v>
      </c>
      <c r="J15" s="196" t="s">
        <v>823</v>
      </c>
      <c r="K15" s="196">
        <v>1012.8</v>
      </c>
      <c r="L15" s="196" t="s">
        <v>826</v>
      </c>
      <c r="M15" s="196">
        <v>48.16</v>
      </c>
      <c r="N15" s="196">
        <v>1506279600</v>
      </c>
      <c r="O15" s="196">
        <v>4</v>
      </c>
      <c r="P15" s="196">
        <v>2.62</v>
      </c>
      <c r="Q15" s="196">
        <v>61</v>
      </c>
      <c r="R15" s="196">
        <v>8.7100000000000009</v>
      </c>
      <c r="S15" s="196">
        <v>3.98</v>
      </c>
    </row>
    <row r="16" spans="1:19" x14ac:dyDescent="0.25">
      <c r="A16" s="196">
        <v>46.45</v>
      </c>
      <c r="B16" s="196">
        <v>0.83</v>
      </c>
      <c r="C16" s="196">
        <v>45.69</v>
      </c>
      <c r="D16" s="8">
        <v>43002.583333333336</v>
      </c>
      <c r="E16" s="196">
        <v>0.91</v>
      </c>
      <c r="F16" s="196" t="s">
        <v>827</v>
      </c>
      <c r="G16" s="196">
        <v>291.08</v>
      </c>
      <c r="H16" s="196">
        <v>6.9999999999999999E-4</v>
      </c>
      <c r="I16" s="196">
        <v>0.02</v>
      </c>
      <c r="J16" s="196" t="s">
        <v>823</v>
      </c>
      <c r="K16" s="196">
        <v>1012.62</v>
      </c>
      <c r="L16" s="196" t="s">
        <v>826</v>
      </c>
      <c r="M16" s="196">
        <v>48.13</v>
      </c>
      <c r="N16" s="196">
        <v>1506283200</v>
      </c>
      <c r="O16" s="196">
        <v>4</v>
      </c>
      <c r="P16" s="196">
        <v>2.4700000000000002</v>
      </c>
      <c r="Q16" s="196">
        <v>61</v>
      </c>
      <c r="R16" s="196">
        <v>9.5399999999999991</v>
      </c>
      <c r="S16" s="196">
        <v>4.37</v>
      </c>
    </row>
    <row r="17" spans="1:19" x14ac:dyDescent="0.25">
      <c r="A17" s="196">
        <v>46.89</v>
      </c>
      <c r="B17" s="196">
        <v>0.86</v>
      </c>
      <c r="C17" s="196">
        <v>45.25</v>
      </c>
      <c r="D17" s="8">
        <v>43002.625</v>
      </c>
      <c r="E17" s="196">
        <v>0.9</v>
      </c>
      <c r="F17" s="196" t="s">
        <v>827</v>
      </c>
      <c r="G17" s="196">
        <v>289.95</v>
      </c>
      <c r="H17" s="196">
        <v>1.2999999999999999E-3</v>
      </c>
      <c r="I17" s="196">
        <v>0.04</v>
      </c>
      <c r="J17" s="196" t="s">
        <v>823</v>
      </c>
      <c r="K17" s="196">
        <v>1012.4</v>
      </c>
      <c r="L17" s="196" t="s">
        <v>826</v>
      </c>
      <c r="M17" s="196">
        <v>47.96</v>
      </c>
      <c r="N17" s="196">
        <v>1506286800</v>
      </c>
      <c r="O17" s="196">
        <v>2</v>
      </c>
      <c r="P17" s="196">
        <v>2.9</v>
      </c>
      <c r="Q17" s="196">
        <v>57</v>
      </c>
      <c r="R17" s="196">
        <v>8.6999999999999993</v>
      </c>
      <c r="S17" s="196">
        <v>3.53</v>
      </c>
    </row>
    <row r="18" spans="1:19" x14ac:dyDescent="0.25">
      <c r="A18" s="196">
        <v>47.27</v>
      </c>
      <c r="B18" s="196">
        <v>0.81</v>
      </c>
      <c r="C18" s="196">
        <v>45.14</v>
      </c>
      <c r="D18" s="8">
        <v>43002.666666666664</v>
      </c>
      <c r="E18" s="196">
        <v>0.9</v>
      </c>
      <c r="F18" s="196" t="s">
        <v>827</v>
      </c>
      <c r="G18" s="196">
        <v>288.81</v>
      </c>
      <c r="H18" s="196">
        <v>1.2999999999999999E-3</v>
      </c>
      <c r="I18" s="196">
        <v>0.04</v>
      </c>
      <c r="J18" s="196" t="s">
        <v>823</v>
      </c>
      <c r="K18" s="196">
        <v>1012.07</v>
      </c>
      <c r="L18" s="196" t="s">
        <v>826</v>
      </c>
      <c r="M18" s="196">
        <v>47.93</v>
      </c>
      <c r="N18" s="196">
        <v>1506290400</v>
      </c>
      <c r="O18" s="196">
        <v>1</v>
      </c>
      <c r="P18" s="196">
        <v>2.69</v>
      </c>
      <c r="Q18" s="196">
        <v>53</v>
      </c>
      <c r="R18" s="196">
        <v>7.49</v>
      </c>
      <c r="S18" s="196">
        <v>3.07</v>
      </c>
    </row>
    <row r="19" spans="1:19" x14ac:dyDescent="0.25">
      <c r="A19" s="196">
        <v>47.7</v>
      </c>
      <c r="B19" s="196">
        <v>1</v>
      </c>
      <c r="C19" s="196">
        <v>45.25</v>
      </c>
      <c r="D19" s="8">
        <v>43002.708333333336</v>
      </c>
      <c r="E19" s="196">
        <v>0.91</v>
      </c>
      <c r="F19" s="196" t="s">
        <v>828</v>
      </c>
      <c r="G19" s="196">
        <v>287.67</v>
      </c>
      <c r="H19" s="196">
        <v>1.4E-3</v>
      </c>
      <c r="I19" s="196">
        <v>0.04</v>
      </c>
      <c r="J19" s="196" t="s">
        <v>823</v>
      </c>
      <c r="K19" s="196">
        <v>1011.98</v>
      </c>
      <c r="L19" s="196" t="s">
        <v>829</v>
      </c>
      <c r="M19" s="196">
        <v>47.7</v>
      </c>
      <c r="N19" s="196">
        <v>1506294000</v>
      </c>
      <c r="O19" s="196">
        <v>1</v>
      </c>
      <c r="P19" s="196">
        <v>1.91</v>
      </c>
      <c r="Q19" s="196">
        <v>46</v>
      </c>
      <c r="R19" s="196">
        <v>6.33</v>
      </c>
      <c r="S19" s="196">
        <v>2.4500000000000002</v>
      </c>
    </row>
    <row r="20" spans="1:19" x14ac:dyDescent="0.25">
      <c r="A20" s="196">
        <v>47.65</v>
      </c>
      <c r="B20" s="196">
        <v>0.82</v>
      </c>
      <c r="C20" s="196">
        <v>45.56</v>
      </c>
      <c r="D20" s="8">
        <v>43002.75</v>
      </c>
      <c r="E20" s="196">
        <v>0.92</v>
      </c>
      <c r="F20" s="196" t="s">
        <v>827</v>
      </c>
      <c r="G20" s="196">
        <v>287.67</v>
      </c>
      <c r="H20" s="196">
        <v>1.4E-3</v>
      </c>
      <c r="I20" s="196">
        <v>0.04</v>
      </c>
      <c r="J20" s="196" t="s">
        <v>823</v>
      </c>
      <c r="K20" s="196">
        <v>1012.3</v>
      </c>
      <c r="L20" s="196" t="s">
        <v>826</v>
      </c>
      <c r="M20" s="196">
        <v>47.65</v>
      </c>
      <c r="N20" s="196">
        <v>1506297600</v>
      </c>
      <c r="O20" s="196">
        <v>0</v>
      </c>
      <c r="P20" s="196">
        <v>2.25</v>
      </c>
      <c r="Q20" s="196">
        <v>42</v>
      </c>
      <c r="R20" s="196">
        <v>5.81</v>
      </c>
      <c r="S20" s="196">
        <v>2.02</v>
      </c>
    </row>
    <row r="21" spans="1:19" x14ac:dyDescent="0.25">
      <c r="A21" s="196">
        <v>47.48</v>
      </c>
      <c r="B21" s="196">
        <v>0.99</v>
      </c>
      <c r="C21" s="196">
        <v>45.58</v>
      </c>
      <c r="D21" s="8">
        <v>43002.791666666664</v>
      </c>
      <c r="E21" s="196">
        <v>0.93</v>
      </c>
      <c r="F21" s="196" t="s">
        <v>828</v>
      </c>
      <c r="G21" s="196">
        <v>286.87</v>
      </c>
      <c r="H21" s="196">
        <v>2E-3</v>
      </c>
      <c r="I21" s="196">
        <v>0.04</v>
      </c>
      <c r="J21" s="196" t="s">
        <v>823</v>
      </c>
      <c r="K21" s="196">
        <v>1012.85</v>
      </c>
      <c r="L21" s="196" t="s">
        <v>829</v>
      </c>
      <c r="M21" s="196">
        <v>47.48</v>
      </c>
      <c r="N21" s="196">
        <v>1506301200</v>
      </c>
      <c r="O21" s="196">
        <v>0</v>
      </c>
      <c r="P21" s="196">
        <v>1.77</v>
      </c>
      <c r="Q21" s="196">
        <v>38</v>
      </c>
      <c r="R21" s="196">
        <v>4.13</v>
      </c>
      <c r="S21" s="196">
        <v>1.41</v>
      </c>
    </row>
    <row r="22" spans="1:19" x14ac:dyDescent="0.25">
      <c r="A22" s="196">
        <v>47.37</v>
      </c>
      <c r="B22" s="196">
        <v>0.7</v>
      </c>
      <c r="C22" s="196">
        <v>45.65</v>
      </c>
      <c r="D22" s="8">
        <v>43002.833333333336</v>
      </c>
      <c r="E22" s="196">
        <v>0.94</v>
      </c>
      <c r="F22" s="196" t="s">
        <v>828</v>
      </c>
      <c r="G22" s="196">
        <v>286.17</v>
      </c>
      <c r="H22" s="196">
        <v>1.4E-3</v>
      </c>
      <c r="I22" s="196">
        <v>0.04</v>
      </c>
      <c r="J22" s="196" t="s">
        <v>823</v>
      </c>
      <c r="K22" s="196">
        <v>1013.47</v>
      </c>
      <c r="L22" s="196" t="s">
        <v>829</v>
      </c>
      <c r="M22" s="196">
        <v>47.37</v>
      </c>
      <c r="N22" s="196">
        <v>1506304800</v>
      </c>
      <c r="O22" s="196">
        <v>0</v>
      </c>
      <c r="P22" s="196">
        <v>1.92</v>
      </c>
      <c r="Q22" s="196">
        <v>6</v>
      </c>
      <c r="R22" s="196">
        <v>3.93</v>
      </c>
      <c r="S22" s="196">
        <v>1.07</v>
      </c>
    </row>
    <row r="23" spans="1:19" x14ac:dyDescent="0.25">
      <c r="A23" s="196">
        <v>47.16</v>
      </c>
      <c r="B23" s="196">
        <v>0.76</v>
      </c>
      <c r="C23" s="196">
        <v>45.56</v>
      </c>
      <c r="D23" s="8">
        <v>43002.875</v>
      </c>
      <c r="E23" s="196">
        <v>0.94</v>
      </c>
      <c r="F23" s="196" t="s">
        <v>825</v>
      </c>
      <c r="G23" s="196">
        <v>285.70999999999998</v>
      </c>
      <c r="H23" s="196">
        <v>1.6000000000000001E-3</v>
      </c>
      <c r="I23" s="196">
        <v>0.04</v>
      </c>
      <c r="J23" s="196" t="s">
        <v>823</v>
      </c>
      <c r="K23" s="196">
        <v>1014.43</v>
      </c>
      <c r="L23" s="196" t="s">
        <v>826</v>
      </c>
      <c r="M23" s="196">
        <v>47.16</v>
      </c>
      <c r="N23" s="196">
        <v>1506308400</v>
      </c>
      <c r="O23" s="196">
        <v>0</v>
      </c>
      <c r="P23" s="196">
        <v>2.2599999999999998</v>
      </c>
      <c r="Q23" s="196">
        <v>345</v>
      </c>
      <c r="R23" s="196">
        <v>4.71</v>
      </c>
      <c r="S23" s="196">
        <v>1.7</v>
      </c>
    </row>
    <row r="24" spans="1:19" x14ac:dyDescent="0.25">
      <c r="A24" s="196">
        <v>47.02</v>
      </c>
      <c r="B24" s="196">
        <v>0.68</v>
      </c>
      <c r="C24" s="196">
        <v>45.47</v>
      </c>
      <c r="D24" s="8">
        <v>43002.916666666664</v>
      </c>
      <c r="E24" s="196">
        <v>0.94</v>
      </c>
      <c r="F24" s="196" t="s">
        <v>825</v>
      </c>
      <c r="G24" s="196">
        <v>285.58999999999997</v>
      </c>
      <c r="H24" s="196">
        <v>1.1999999999999999E-3</v>
      </c>
      <c r="I24" s="196">
        <v>0.04</v>
      </c>
      <c r="J24" s="196" t="s">
        <v>823</v>
      </c>
      <c r="K24" s="196">
        <v>1014.85</v>
      </c>
      <c r="L24" s="196" t="s">
        <v>826</v>
      </c>
      <c r="M24" s="196">
        <v>47.02</v>
      </c>
      <c r="N24" s="196">
        <v>1506312000</v>
      </c>
      <c r="O24" s="196">
        <v>0</v>
      </c>
      <c r="P24" s="196">
        <v>3.08</v>
      </c>
      <c r="Q24" s="196">
        <v>357</v>
      </c>
      <c r="R24" s="196">
        <v>5.09</v>
      </c>
      <c r="S24" s="196">
        <v>1.97</v>
      </c>
    </row>
    <row r="25" spans="1:19" x14ac:dyDescent="0.25">
      <c r="A25" s="196">
        <v>46.87</v>
      </c>
      <c r="B25" s="196">
        <v>0.79</v>
      </c>
      <c r="C25" s="196">
        <v>45.28</v>
      </c>
      <c r="D25" s="8">
        <v>43002.958333333336</v>
      </c>
      <c r="E25" s="196">
        <v>0.94</v>
      </c>
      <c r="F25" s="196" t="s">
        <v>825</v>
      </c>
      <c r="G25" s="196">
        <v>285.70999999999998</v>
      </c>
      <c r="H25" s="196">
        <v>1E-3</v>
      </c>
      <c r="I25" s="196">
        <v>0.04</v>
      </c>
      <c r="J25" s="196" t="s">
        <v>823</v>
      </c>
      <c r="K25" s="196">
        <v>1015.37</v>
      </c>
      <c r="L25" s="196" t="s">
        <v>826</v>
      </c>
      <c r="M25" s="196">
        <v>46.87</v>
      </c>
      <c r="N25" s="196">
        <v>1506315600</v>
      </c>
      <c r="O25" s="196">
        <v>0</v>
      </c>
      <c r="P25" s="196">
        <v>3.3</v>
      </c>
      <c r="Q25" s="196">
        <v>358</v>
      </c>
      <c r="R25" s="196">
        <v>4.7</v>
      </c>
      <c r="S25" s="196">
        <v>1.78</v>
      </c>
    </row>
    <row r="26" spans="1:19" x14ac:dyDescent="0.25">
      <c r="A26" s="196">
        <v>46.65</v>
      </c>
      <c r="B26" s="196">
        <v>0.84</v>
      </c>
      <c r="C26" s="196">
        <v>44.97</v>
      </c>
      <c r="D26" s="8">
        <v>43003</v>
      </c>
      <c r="E26" s="196">
        <v>0.94</v>
      </c>
      <c r="F26" s="196" t="s">
        <v>825</v>
      </c>
      <c r="G26" s="196">
        <v>292.11</v>
      </c>
      <c r="H26" s="196">
        <v>5.0000000000000001E-4</v>
      </c>
      <c r="I26" s="196">
        <v>0.02</v>
      </c>
      <c r="J26" s="196" t="s">
        <v>823</v>
      </c>
      <c r="K26" s="196">
        <v>1015.61</v>
      </c>
      <c r="L26" s="196" t="s">
        <v>826</v>
      </c>
      <c r="M26" s="196">
        <v>46.65</v>
      </c>
      <c r="N26" s="196">
        <v>1506319200</v>
      </c>
      <c r="O26" s="196">
        <v>0</v>
      </c>
      <c r="P26" s="196">
        <v>3.61</v>
      </c>
      <c r="Q26" s="196">
        <v>5</v>
      </c>
      <c r="R26" s="196">
        <v>5.31</v>
      </c>
      <c r="S26" s="196">
        <v>2.11</v>
      </c>
    </row>
    <row r="27" spans="1:19" x14ac:dyDescent="0.25">
      <c r="A27" s="196">
        <v>46.17</v>
      </c>
      <c r="B27" s="196">
        <v>0.79</v>
      </c>
      <c r="C27" s="196">
        <v>44.46</v>
      </c>
      <c r="D27" s="8">
        <v>43003.041666666664</v>
      </c>
      <c r="E27" s="196">
        <v>0.94</v>
      </c>
      <c r="F27" s="196" t="s">
        <v>825</v>
      </c>
      <c r="G27" s="196">
        <v>291.54000000000002</v>
      </c>
      <c r="H27" s="196">
        <v>5.0000000000000001E-4</v>
      </c>
      <c r="I27" s="196">
        <v>0.02</v>
      </c>
      <c r="J27" s="196" t="s">
        <v>823</v>
      </c>
      <c r="K27" s="196">
        <v>1015.83</v>
      </c>
      <c r="L27" s="196" t="s">
        <v>826</v>
      </c>
      <c r="M27" s="196">
        <v>46.17</v>
      </c>
      <c r="N27" s="196">
        <v>1506322800</v>
      </c>
      <c r="O27" s="196">
        <v>0</v>
      </c>
      <c r="P27" s="196">
        <v>3.2</v>
      </c>
      <c r="Q27" s="196">
        <v>0</v>
      </c>
      <c r="R27" s="196">
        <v>4.9000000000000004</v>
      </c>
      <c r="S27" s="196">
        <v>1.73</v>
      </c>
    </row>
    <row r="28" spans="1:19" x14ac:dyDescent="0.25">
      <c r="A28" s="196">
        <v>45.61</v>
      </c>
      <c r="B28" s="196">
        <v>0.79</v>
      </c>
      <c r="C28" s="196">
        <v>43.97</v>
      </c>
      <c r="D28" s="8">
        <v>43003.083333333336</v>
      </c>
      <c r="E28" s="196">
        <v>0.94</v>
      </c>
      <c r="F28" s="196" t="s">
        <v>825</v>
      </c>
      <c r="G28" s="196">
        <v>289.73</v>
      </c>
      <c r="H28" s="196">
        <v>4.0000000000000002E-4</v>
      </c>
      <c r="I28" s="196">
        <v>0.01</v>
      </c>
      <c r="J28" s="196" t="s">
        <v>823</v>
      </c>
      <c r="K28" s="196">
        <v>1016.31</v>
      </c>
      <c r="L28" s="196" t="s">
        <v>826</v>
      </c>
      <c r="M28" s="196">
        <v>45.61</v>
      </c>
      <c r="N28" s="196">
        <v>1506326400</v>
      </c>
      <c r="O28" s="196">
        <v>0</v>
      </c>
      <c r="P28" s="196">
        <v>3.49</v>
      </c>
      <c r="Q28" s="196">
        <v>350</v>
      </c>
      <c r="R28" s="196">
        <v>4.74</v>
      </c>
      <c r="S28" s="196">
        <v>1.69</v>
      </c>
    </row>
    <row r="29" spans="1:19" x14ac:dyDescent="0.25">
      <c r="A29" s="196">
        <v>45.06</v>
      </c>
      <c r="B29" s="196">
        <v>0.89</v>
      </c>
      <c r="C29" s="196">
        <v>43.08</v>
      </c>
      <c r="D29" s="8">
        <v>43003.125</v>
      </c>
      <c r="E29" s="196">
        <v>0.93</v>
      </c>
      <c r="F29" s="196" t="s">
        <v>825</v>
      </c>
      <c r="G29" s="196">
        <v>288.35000000000002</v>
      </c>
      <c r="H29" s="196">
        <v>5.9999999999999995E-4</v>
      </c>
      <c r="I29" s="196">
        <v>0.02</v>
      </c>
      <c r="J29" s="196" t="s">
        <v>823</v>
      </c>
      <c r="K29" s="196">
        <v>1016.33</v>
      </c>
      <c r="L29" s="196" t="s">
        <v>826</v>
      </c>
      <c r="M29" s="196">
        <v>45.06</v>
      </c>
      <c r="N29" s="196">
        <v>1506330000</v>
      </c>
      <c r="O29" s="196">
        <v>0</v>
      </c>
      <c r="P29" s="196">
        <v>3.33</v>
      </c>
      <c r="Q29" s="196">
        <v>0</v>
      </c>
      <c r="R29" s="196">
        <v>5.46</v>
      </c>
      <c r="S29" s="196">
        <v>2.34</v>
      </c>
    </row>
    <row r="30" spans="1:19" x14ac:dyDescent="0.25">
      <c r="A30" s="140"/>
      <c r="B30" s="140"/>
      <c r="C30" s="140"/>
      <c r="D30" s="8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</row>
    <row r="31" spans="1:19" x14ac:dyDescent="0.25">
      <c r="A31" s="141" t="s">
        <v>182</v>
      </c>
    </row>
    <row r="33" spans="1:1" x14ac:dyDescent="0.25">
      <c r="A33" s="141" t="s">
        <v>174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1"/>
  <sheetViews>
    <sheetView workbookViewId="0"/>
  </sheetViews>
  <sheetFormatPr defaultRowHeight="15" x14ac:dyDescent="0.25"/>
  <cols>
    <col min="1" max="1" width="32.140625" customWidth="1"/>
    <col min="3" max="3" width="24" customWidth="1"/>
    <col min="4" max="4" width="19.140625" style="56" customWidth="1"/>
    <col min="10" max="10" width="24.28515625" style="140" bestFit="1" customWidth="1"/>
    <col min="11" max="11" width="15.28515625" style="140" hidden="1" customWidth="1"/>
    <col min="12" max="12" width="13.5703125" style="140" hidden="1" customWidth="1"/>
    <col min="13" max="13" width="9" style="154" bestFit="1" customWidth="1"/>
    <col min="14" max="17" width="9.140625" style="140"/>
    <col min="20" max="24" width="9.140625" style="154"/>
    <col min="29" max="29" width="12.42578125" customWidth="1"/>
    <col min="30" max="30" width="9.140625" style="168"/>
    <col min="31" max="32" width="9.140625" style="56"/>
  </cols>
  <sheetData>
    <row r="1" spans="1:32" ht="45.75" x14ac:dyDescent="0.3">
      <c r="A1" s="11" t="s">
        <v>25</v>
      </c>
      <c r="C1" s="119" t="s">
        <v>96</v>
      </c>
      <c r="D1" s="120" t="s">
        <v>97</v>
      </c>
      <c r="J1" s="146" t="s">
        <v>98</v>
      </c>
      <c r="K1" s="146" t="s">
        <v>66</v>
      </c>
      <c r="L1" s="146" t="s">
        <v>67</v>
      </c>
      <c r="O1" s="147" t="s">
        <v>99</v>
      </c>
      <c r="T1" s="156" t="s">
        <v>328</v>
      </c>
      <c r="U1" s="156"/>
      <c r="V1" s="156"/>
      <c r="W1" s="156"/>
      <c r="X1" s="156"/>
    </row>
    <row r="2" spans="1:32" ht="15.75" thickBot="1" x14ac:dyDescent="0.3">
      <c r="A2" s="12">
        <v>43002</v>
      </c>
      <c r="B2" s="4"/>
      <c r="C2" s="121">
        <v>50</v>
      </c>
      <c r="D2" s="122">
        <v>25</v>
      </c>
      <c r="F2" t="s">
        <v>110</v>
      </c>
      <c r="J2" s="146"/>
      <c r="K2" s="146" t="s">
        <v>66</v>
      </c>
      <c r="L2" s="146" t="s">
        <v>67</v>
      </c>
      <c r="T2" s="155" t="s">
        <v>329</v>
      </c>
      <c r="U2" s="155">
        <v>167</v>
      </c>
      <c r="V2" s="155">
        <v>168</v>
      </c>
      <c r="W2" s="155">
        <v>199</v>
      </c>
      <c r="X2" s="155">
        <v>200</v>
      </c>
      <c r="AD2" t="s">
        <v>350</v>
      </c>
      <c r="AE2" s="56" t="s">
        <v>353</v>
      </c>
      <c r="AF2" s="56" t="s">
        <v>354</v>
      </c>
    </row>
    <row r="3" spans="1:32" x14ac:dyDescent="0.25">
      <c r="C3" s="56"/>
      <c r="F3" t="s">
        <v>52</v>
      </c>
      <c r="J3" s="148" t="s">
        <v>68</v>
      </c>
      <c r="K3" s="149">
        <v>2.7052</v>
      </c>
      <c r="L3" s="149">
        <v>2.7349999999999999</v>
      </c>
      <c r="M3" s="154">
        <f t="shared" ref="M3:M14" si="0">AVERAGE(K3:L3)</f>
        <v>2.7201</v>
      </c>
      <c r="O3" s="140" t="s">
        <v>100</v>
      </c>
      <c r="P3" s="140">
        <f>AVERAGE(1.0714,1.1016)</f>
        <v>1.0865</v>
      </c>
      <c r="T3" s="155" t="s">
        <v>330</v>
      </c>
      <c r="U3" s="155">
        <v>174</v>
      </c>
      <c r="V3" s="155">
        <v>176</v>
      </c>
      <c r="W3" s="155">
        <v>207</v>
      </c>
      <c r="X3" s="155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5" x14ac:dyDescent="0.25">
      <c r="C4" s="119" t="s">
        <v>96</v>
      </c>
      <c r="D4" s="120" t="s">
        <v>97</v>
      </c>
      <c r="F4" t="s">
        <v>53</v>
      </c>
      <c r="J4" s="148" t="s">
        <v>69</v>
      </c>
      <c r="K4" s="149">
        <v>3.0830000000000002</v>
      </c>
      <c r="L4" s="149">
        <v>3.097</v>
      </c>
      <c r="M4" s="154">
        <f t="shared" si="0"/>
        <v>3.09</v>
      </c>
      <c r="T4" s="155" t="s">
        <v>331</v>
      </c>
      <c r="U4" s="155">
        <v>173</v>
      </c>
      <c r="V4" s="155">
        <v>175</v>
      </c>
      <c r="W4" s="155">
        <v>208</v>
      </c>
      <c r="X4" s="155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25">
      <c r="C5" s="56">
        <v>30</v>
      </c>
      <c r="D5" s="56">
        <v>9</v>
      </c>
      <c r="J5" s="148" t="s">
        <v>70</v>
      </c>
      <c r="K5" s="149">
        <v>3.3136000000000001</v>
      </c>
      <c r="L5" s="149">
        <v>3.3256999999999999</v>
      </c>
      <c r="M5" s="154">
        <f t="shared" si="0"/>
        <v>3.3196500000000002</v>
      </c>
      <c r="T5" s="155" t="s">
        <v>332</v>
      </c>
      <c r="U5" s="155">
        <v>187</v>
      </c>
      <c r="V5" s="155">
        <v>188</v>
      </c>
      <c r="W5" s="155">
        <v>223</v>
      </c>
      <c r="X5" s="155">
        <v>224</v>
      </c>
      <c r="AC5" s="30" t="s">
        <v>351</v>
      </c>
      <c r="AD5" s="131">
        <v>11.15</v>
      </c>
      <c r="AE5" s="42">
        <v>400</v>
      </c>
      <c r="AF5" s="42">
        <v>600</v>
      </c>
    </row>
    <row r="6" spans="1:32" x14ac:dyDescent="0.25">
      <c r="C6" s="56"/>
      <c r="F6" t="s">
        <v>111</v>
      </c>
      <c r="J6" s="148" t="s">
        <v>71</v>
      </c>
      <c r="K6" s="149">
        <v>4.2778999999999998</v>
      </c>
      <c r="L6" s="149">
        <v>4.2961</v>
      </c>
      <c r="M6" s="154">
        <f t="shared" si="0"/>
        <v>4.2869999999999999</v>
      </c>
      <c r="T6" s="155"/>
      <c r="U6" s="155"/>
      <c r="V6" s="155"/>
      <c r="W6" s="155"/>
      <c r="X6" s="155"/>
      <c r="AC6" s="45" t="s">
        <v>103</v>
      </c>
      <c r="AD6" s="183">
        <v>5.65</v>
      </c>
      <c r="AE6" s="42">
        <v>1800</v>
      </c>
      <c r="AF6" s="42">
        <v>1899</v>
      </c>
    </row>
    <row r="7" spans="1:32" x14ac:dyDescent="0.25">
      <c r="C7" s="56"/>
      <c r="F7" t="s">
        <v>345</v>
      </c>
      <c r="J7" s="148" t="s">
        <v>72</v>
      </c>
      <c r="K7" s="149">
        <v>4.7865000000000002</v>
      </c>
      <c r="L7" s="149">
        <v>4.8048000000000002</v>
      </c>
      <c r="M7" s="154">
        <f t="shared" si="0"/>
        <v>4.7956500000000002</v>
      </c>
      <c r="T7" s="155"/>
      <c r="U7" s="155"/>
      <c r="V7" s="155"/>
      <c r="W7" s="155"/>
      <c r="X7" s="155"/>
      <c r="AC7" s="30" t="s">
        <v>352</v>
      </c>
      <c r="AD7" s="131">
        <v>99</v>
      </c>
      <c r="AE7" s="42">
        <v>0</v>
      </c>
      <c r="AF7" s="42">
        <v>99</v>
      </c>
    </row>
    <row r="8" spans="1:32" x14ac:dyDescent="0.25">
      <c r="C8" s="56"/>
      <c r="F8" t="s">
        <v>437</v>
      </c>
      <c r="J8" s="148" t="s">
        <v>73</v>
      </c>
      <c r="K8" s="149">
        <v>5.3155000000000001</v>
      </c>
      <c r="L8" s="149">
        <v>5.3277000000000001</v>
      </c>
      <c r="M8" s="154">
        <f t="shared" si="0"/>
        <v>5.3216000000000001</v>
      </c>
      <c r="T8" s="155"/>
      <c r="U8" s="155"/>
      <c r="V8" s="155"/>
      <c r="W8" s="155"/>
      <c r="X8" s="155"/>
      <c r="AC8" s="45" t="s">
        <v>355</v>
      </c>
      <c r="AD8" s="174">
        <v>9999</v>
      </c>
      <c r="AE8" s="131">
        <v>9999</v>
      </c>
      <c r="AF8" s="131">
        <v>9999</v>
      </c>
    </row>
    <row r="9" spans="1:32" x14ac:dyDescent="0.25">
      <c r="C9" s="56"/>
      <c r="J9" s="148" t="s">
        <v>74</v>
      </c>
      <c r="K9" s="149">
        <v>5.8117000000000001</v>
      </c>
      <c r="L9" s="149">
        <v>5.8300999999999998</v>
      </c>
      <c r="M9" s="154">
        <f t="shared" si="0"/>
        <v>5.8209</v>
      </c>
      <c r="T9" s="155"/>
      <c r="U9" s="155"/>
      <c r="V9" s="155"/>
      <c r="W9" s="155"/>
      <c r="X9" s="155"/>
    </row>
    <row r="10" spans="1:32" x14ac:dyDescent="0.25">
      <c r="C10" s="56"/>
      <c r="J10" s="148" t="s">
        <v>75</v>
      </c>
      <c r="K10" s="149">
        <v>5.8783000000000003</v>
      </c>
      <c r="L10" s="149">
        <v>5.8903999999999996</v>
      </c>
      <c r="M10" s="154">
        <f t="shared" si="0"/>
        <v>5.8843499999999995</v>
      </c>
      <c r="T10" s="155"/>
      <c r="U10" s="155"/>
      <c r="V10" s="155"/>
      <c r="W10" s="155"/>
      <c r="X10" s="155"/>
    </row>
    <row r="11" spans="1:32" x14ac:dyDescent="0.25">
      <c r="C11" s="56"/>
      <c r="J11" s="148" t="s">
        <v>76</v>
      </c>
      <c r="K11" s="149">
        <v>6.3068</v>
      </c>
      <c r="L11" s="149">
        <v>6.3308999999999997</v>
      </c>
      <c r="M11" s="154">
        <f t="shared" si="0"/>
        <v>6.3188499999999994</v>
      </c>
      <c r="T11" s="155"/>
      <c r="U11" s="155"/>
      <c r="V11" s="155"/>
      <c r="W11" s="155"/>
      <c r="X11" s="155"/>
    </row>
    <row r="12" spans="1:32" x14ac:dyDescent="0.25">
      <c r="C12" s="56"/>
      <c r="J12" s="148" t="s">
        <v>77</v>
      </c>
      <c r="K12" s="149">
        <v>7.8349000000000002</v>
      </c>
      <c r="L12" s="149">
        <v>7.8468999999999998</v>
      </c>
      <c r="M12" s="154">
        <f t="shared" si="0"/>
        <v>7.8408999999999995</v>
      </c>
      <c r="T12" s="155"/>
      <c r="U12" s="155"/>
      <c r="V12" s="155"/>
      <c r="W12" s="155"/>
      <c r="X12" s="155"/>
    </row>
    <row r="13" spans="1:32" x14ac:dyDescent="0.25">
      <c r="C13" s="56"/>
      <c r="J13" s="148" t="s">
        <v>78</v>
      </c>
      <c r="K13" s="149">
        <v>10.373799999999999</v>
      </c>
      <c r="L13" s="149">
        <v>10.38</v>
      </c>
      <c r="M13" s="154">
        <f t="shared" si="0"/>
        <v>10.376899999999999</v>
      </c>
      <c r="T13" s="155"/>
      <c r="U13" s="155"/>
      <c r="V13" s="155"/>
      <c r="W13" s="155"/>
      <c r="X13" s="155"/>
    </row>
    <row r="14" spans="1:32" x14ac:dyDescent="0.25">
      <c r="C14" s="56"/>
      <c r="J14" s="148" t="s">
        <v>79</v>
      </c>
      <c r="K14" s="149">
        <v>10.8954</v>
      </c>
      <c r="L14" s="149">
        <v>10.913500000000001</v>
      </c>
      <c r="M14" s="154">
        <f t="shared" si="0"/>
        <v>10.904450000000001</v>
      </c>
      <c r="T14" s="155"/>
      <c r="U14" s="155"/>
      <c r="V14" s="155"/>
      <c r="W14" s="155"/>
      <c r="X14" s="155"/>
    </row>
    <row r="15" spans="1:32" x14ac:dyDescent="0.25">
      <c r="C15" s="56"/>
      <c r="J15" s="148"/>
      <c r="K15" s="149"/>
      <c r="L15" s="149"/>
      <c r="T15" s="155"/>
      <c r="U15" s="155"/>
      <c r="V15" s="155"/>
      <c r="W15" s="155"/>
      <c r="X15" s="155"/>
    </row>
    <row r="16" spans="1:32" x14ac:dyDescent="0.25">
      <c r="C16" s="56"/>
      <c r="J16" s="148"/>
      <c r="K16" s="149"/>
      <c r="L16" s="149"/>
      <c r="T16" s="155"/>
      <c r="U16" s="155"/>
      <c r="V16" s="155"/>
      <c r="W16" s="155"/>
      <c r="X16" s="155"/>
    </row>
    <row r="17" spans="3:24" x14ac:dyDescent="0.25">
      <c r="C17" s="137" t="s">
        <v>183</v>
      </c>
      <c r="J17" s="148"/>
      <c r="K17" s="149"/>
      <c r="L17" s="149"/>
      <c r="T17" s="155"/>
      <c r="U17" s="155"/>
      <c r="V17" s="155"/>
      <c r="W17" s="155"/>
      <c r="X17" s="155"/>
    </row>
    <row r="18" spans="3:24" x14ac:dyDescent="0.25">
      <c r="C18" t="s">
        <v>965</v>
      </c>
      <c r="J18" s="148" t="s">
        <v>85</v>
      </c>
      <c r="K18" s="149"/>
      <c r="L18" s="149"/>
      <c r="M18" s="154" t="str">
        <f>"""C:\Program Files (x86)\AstroGrep\AstroGrep.exe"""</f>
        <v>"C:\Program Files (x86)\AstroGrep\AstroGrep.exe"</v>
      </c>
      <c r="T18" s="155"/>
      <c r="U18" s="155"/>
      <c r="V18" s="155"/>
      <c r="W18" s="155"/>
      <c r="X18" s="155"/>
    </row>
    <row r="19" spans="3:24" x14ac:dyDescent="0.25">
      <c r="C19" t="s">
        <v>966</v>
      </c>
      <c r="J19" s="148" t="s">
        <v>86</v>
      </c>
      <c r="K19" s="149"/>
      <c r="L19" s="149"/>
      <c r="M19" s="154" t="s">
        <v>109</v>
      </c>
      <c r="T19" s="155"/>
      <c r="U19" s="155"/>
      <c r="V19" s="155"/>
      <c r="W19" s="155"/>
      <c r="X19" s="155"/>
    </row>
    <row r="20" spans="3:24" x14ac:dyDescent="0.25">
      <c r="C20" t="s">
        <v>967</v>
      </c>
      <c r="J20" s="140" t="s">
        <v>87</v>
      </c>
      <c r="M20" s="154" t="s">
        <v>343</v>
      </c>
      <c r="N20" s="154" t="s">
        <v>327</v>
      </c>
      <c r="T20" s="155"/>
      <c r="U20" s="155"/>
      <c r="V20" s="155"/>
      <c r="W20" s="155"/>
      <c r="X20" s="155"/>
    </row>
    <row r="21" spans="3:24" x14ac:dyDescent="0.25">
      <c r="C21" t="s">
        <v>968</v>
      </c>
      <c r="J21" s="140" t="s">
        <v>90</v>
      </c>
      <c r="K21" s="140" t="s">
        <v>91</v>
      </c>
      <c r="M21" s="154" t="s">
        <v>173</v>
      </c>
      <c r="T21" s="155"/>
      <c r="U21" s="155"/>
      <c r="V21" s="155"/>
      <c r="W21" s="155"/>
      <c r="X21" s="155"/>
    </row>
    <row r="22" spans="3:24" x14ac:dyDescent="0.25">
      <c r="C22" t="s">
        <v>969</v>
      </c>
      <c r="J22" s="140" t="s">
        <v>92</v>
      </c>
      <c r="K22" s="140" t="s">
        <v>504</v>
      </c>
      <c r="M22" s="154" t="s">
        <v>108</v>
      </c>
      <c r="T22" s="155"/>
      <c r="U22" s="155"/>
      <c r="V22" s="155"/>
      <c r="W22" s="155"/>
      <c r="X22" s="155"/>
    </row>
    <row r="23" spans="3:24" x14ac:dyDescent="0.25">
      <c r="C23" t="s">
        <v>970</v>
      </c>
      <c r="J23" s="150" t="s">
        <v>94</v>
      </c>
      <c r="M23" s="154" t="str">
        <f>"-06"</f>
        <v>-06</v>
      </c>
      <c r="T23" s="155"/>
      <c r="U23" s="155"/>
      <c r="V23" s="155"/>
      <c r="W23" s="155"/>
      <c r="X23" s="155"/>
    </row>
    <row r="24" spans="3:24" x14ac:dyDescent="0.25">
      <c r="C24" t="s">
        <v>971</v>
      </c>
      <c r="J24" s="140" t="s">
        <v>105</v>
      </c>
      <c r="M24" s="154" t="s">
        <v>107</v>
      </c>
      <c r="T24" s="155"/>
      <c r="U24" s="155"/>
      <c r="V24" s="155"/>
      <c r="W24" s="155"/>
      <c r="X24" s="155"/>
    </row>
    <row r="25" spans="3:24" x14ac:dyDescent="0.25">
      <c r="C25" t="s">
        <v>972</v>
      </c>
      <c r="J25" s="140" t="s">
        <v>145</v>
      </c>
      <c r="M25" s="154" t="b">
        <v>1</v>
      </c>
    </row>
    <row r="26" spans="3:24" x14ac:dyDescent="0.25">
      <c r="C26" t="s">
        <v>973</v>
      </c>
      <c r="J26" s="140" t="s">
        <v>146</v>
      </c>
      <c r="M26" s="154" t="str">
        <f>"c:\users\stu\Documents\GitHub\eaglep3-reporting\EC\"&amp;TEXT(A2,"yyyy-mm-dd")&amp;"-refined-times.txt"</f>
        <v>c:\users\stu\Documents\GitHub\eaglep3-reporting\EC\2017-09-24-refined-times.txt</v>
      </c>
    </row>
    <row r="27" spans="3:24" x14ac:dyDescent="0.25">
      <c r="C27" t="s">
        <v>974</v>
      </c>
      <c r="J27" s="140" t="s">
        <v>175</v>
      </c>
      <c r="M27" s="154" t="str">
        <f>"c:\users\stu\Documents\GitHub\eaglep3-reporting\EC\"&amp;TEXT(A2,"YYYY-MM-DD")&amp;"-Enforcements.txt"</f>
        <v>c:\users\stu\Documents\GitHub\eaglep3-reporting\EC\2017-09-24-Enforcements.txt</v>
      </c>
    </row>
    <row r="28" spans="3:24" x14ac:dyDescent="0.25">
      <c r="C28" t="s">
        <v>975</v>
      </c>
      <c r="J28" s="140" t="s">
        <v>176</v>
      </c>
      <c r="M28" s="154" t="str">
        <f>"c:\users\stu\Documents\GitHub\eaglep3-reporting\EC\"&amp;TEXT(A2,"YYYY-MM-DD")&amp;"-Runs-refined.txt"</f>
        <v>c:\users\stu\Documents\GitHub\eaglep3-reporting\EC\2017-09-24-Runs-refined.txt</v>
      </c>
    </row>
    <row r="29" spans="3:24" x14ac:dyDescent="0.25">
      <c r="C29" t="s">
        <v>976</v>
      </c>
      <c r="J29" s="140" t="s">
        <v>177</v>
      </c>
      <c r="M29" s="154" t="str">
        <f>"c:\users\stu\Documents\GitHub\eaglep3-reporting\EC\"&amp;TEXT(A2,"YYYY-MM-DD")&amp;"-Trips.txt"</f>
        <v>c:\users\stu\Documents\GitHub\eaglep3-reporting\EC\2017-09-24-Trips.txt</v>
      </c>
    </row>
    <row r="30" spans="3:24" x14ac:dyDescent="0.25">
      <c r="C30" t="s">
        <v>977</v>
      </c>
      <c r="J30" s="140" t="s">
        <v>178</v>
      </c>
      <c r="M30" s="154" t="str">
        <f>"c:\users\stu\Documents\GitHub\eaglep3-reporting\EC\"&amp;TEXT(A2,"YYYY-MM-DD")&amp;"-Weather.txt"</f>
        <v>c:\users\stu\Documents\GitHub\eaglep3-reporting\EC\2017-09-24-Weather.txt</v>
      </c>
    </row>
    <row r="31" spans="3:24" x14ac:dyDescent="0.25">
      <c r="J31" s="140" t="s">
        <v>192</v>
      </c>
      <c r="M31" s="154" t="s">
        <v>193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40625" defaultRowHeight="15" x14ac:dyDescent="0.25"/>
  <cols>
    <col min="1" max="1" width="32.85546875" style="93" bestFit="1" customWidth="1"/>
    <col min="2" max="7" width="9.140625" style="93"/>
    <col min="8" max="8" width="17.7109375" style="188" bestFit="1" customWidth="1"/>
    <col min="9" max="10" width="9.140625" style="188"/>
    <col min="11" max="16384" width="9.140625" style="93"/>
  </cols>
  <sheetData>
    <row r="1" spans="1:11" x14ac:dyDescent="0.25">
      <c r="A1" s="92" t="s">
        <v>116</v>
      </c>
      <c r="B1" s="92" t="s">
        <v>117</v>
      </c>
      <c r="C1" s="93" t="s">
        <v>118</v>
      </c>
      <c r="H1" s="168" t="s">
        <v>112</v>
      </c>
      <c r="I1" s="186" t="s">
        <v>114</v>
      </c>
      <c r="J1" s="168" t="s">
        <v>334</v>
      </c>
    </row>
    <row r="2" spans="1:11" x14ac:dyDescent="0.25">
      <c r="A2" s="93" t="s">
        <v>119</v>
      </c>
      <c r="B2" s="93" t="s">
        <v>120</v>
      </c>
      <c r="C2" s="93" t="s">
        <v>121</v>
      </c>
      <c r="H2" s="168" t="s">
        <v>113</v>
      </c>
      <c r="I2" s="168" t="s">
        <v>115</v>
      </c>
      <c r="J2" s="168" t="s">
        <v>335</v>
      </c>
    </row>
    <row r="3" spans="1:11" x14ac:dyDescent="0.25">
      <c r="A3" s="93" t="s">
        <v>122</v>
      </c>
      <c r="B3" s="93" t="s">
        <v>123</v>
      </c>
      <c r="C3" s="93" t="s">
        <v>124</v>
      </c>
      <c r="H3" s="168" t="s">
        <v>138</v>
      </c>
      <c r="I3" s="168">
        <v>1</v>
      </c>
      <c r="J3" s="168">
        <v>1</v>
      </c>
      <c r="K3" s="55"/>
    </row>
    <row r="4" spans="1:11" x14ac:dyDescent="0.25">
      <c r="A4" s="93" t="s">
        <v>125</v>
      </c>
      <c r="C4" s="93" t="s">
        <v>126</v>
      </c>
      <c r="H4" s="168" t="s">
        <v>139</v>
      </c>
      <c r="I4" s="168">
        <v>2</v>
      </c>
      <c r="J4" s="168">
        <v>1</v>
      </c>
      <c r="K4" s="55"/>
    </row>
    <row r="5" spans="1:11" x14ac:dyDescent="0.25">
      <c r="A5" s="93" t="s">
        <v>127</v>
      </c>
      <c r="C5" s="93" t="s">
        <v>128</v>
      </c>
      <c r="H5" s="168" t="s">
        <v>140</v>
      </c>
      <c r="I5" s="168">
        <v>338</v>
      </c>
      <c r="J5" s="168">
        <v>10</v>
      </c>
      <c r="K5" s="55"/>
    </row>
    <row r="6" spans="1:11" x14ac:dyDescent="0.25">
      <c r="A6" s="93" t="s">
        <v>129</v>
      </c>
      <c r="C6" s="93" t="s">
        <v>130</v>
      </c>
      <c r="H6" s="187" t="s">
        <v>141</v>
      </c>
      <c r="I6" s="187" t="s">
        <v>120</v>
      </c>
    </row>
    <row r="7" spans="1:11" x14ac:dyDescent="0.25">
      <c r="A7" s="93" t="s">
        <v>131</v>
      </c>
      <c r="C7" s="93" t="s">
        <v>132</v>
      </c>
    </row>
    <row r="8" spans="1:11" x14ac:dyDescent="0.25">
      <c r="C8" s="93" t="s">
        <v>133</v>
      </c>
    </row>
    <row r="9" spans="1:11" x14ac:dyDescent="0.25">
      <c r="C9" s="94" t="s">
        <v>166</v>
      </c>
    </row>
    <row r="10" spans="1:11" x14ac:dyDescent="0.25">
      <c r="C10" s="93" t="s">
        <v>134</v>
      </c>
    </row>
    <row r="11" spans="1:11" x14ac:dyDescent="0.25">
      <c r="C11" s="93" t="s">
        <v>135</v>
      </c>
    </row>
    <row r="12" spans="1:11" x14ac:dyDescent="0.25">
      <c r="C12" s="93" t="s">
        <v>136</v>
      </c>
    </row>
    <row r="13" spans="1:11" x14ac:dyDescent="0.25">
      <c r="C13" s="93" t="s">
        <v>137</v>
      </c>
    </row>
    <row r="14" spans="1:11" x14ac:dyDescent="0.25">
      <c r="C14" s="94" t="s">
        <v>167</v>
      </c>
    </row>
    <row r="15" spans="1:11" x14ac:dyDescent="0.25">
      <c r="C15" s="94" t="s">
        <v>184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197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198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199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200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201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202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203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204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205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206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207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208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209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210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211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212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213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214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215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216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217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218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219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220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221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222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223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224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225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226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227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228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229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230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231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232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233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234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235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236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237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238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239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240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241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242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243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244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245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246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247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248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249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250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251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252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253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254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255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256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257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258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259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260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261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262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263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264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265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266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267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268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269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270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271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272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273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274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275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276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277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278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279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280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281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282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283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284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285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286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287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288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289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290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291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292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293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294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295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296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297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298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299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300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301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302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303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304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305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306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307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308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309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310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311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312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313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314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315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316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317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318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319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320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321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322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323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324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325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326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2017-09-25T19:07:52Z</dcterms:modified>
</cp:coreProperties>
</file>