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00000000-0000-0000-0000-0000000000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Enforcements!$A$6:$AC$76</definedName>
    <definedName name="_xlnm._FilterDatabase" localSheetId="2" hidden="1">'Missing Trips'!$A$2:$J$63</definedName>
    <definedName name="_xlnm._FilterDatabase" localSheetId="0" hidden="1">'Train Runs'!$A$12:$AG$276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Runs'!$A$12:$J$76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5" i="1" l="1"/>
  <c r="K14" i="1"/>
  <c r="L14" i="1"/>
  <c r="M14" i="1"/>
  <c r="P14" i="1" s="1"/>
  <c r="T14" i="1"/>
  <c r="V14" i="1"/>
  <c r="Y14" i="1"/>
  <c r="Z14" i="1"/>
  <c r="AA14" i="1" s="1"/>
  <c r="AB14" i="1"/>
  <c r="AC14" i="1"/>
  <c r="AD14" i="1"/>
  <c r="X14" i="1" s="1"/>
  <c r="AE14" i="1"/>
  <c r="AF14" i="1"/>
  <c r="AH14" i="1"/>
  <c r="AM14" i="1"/>
  <c r="AN14" i="1"/>
  <c r="AG14" i="1" l="1"/>
  <c r="W14" i="1" s="1"/>
  <c r="U14" i="1"/>
  <c r="S14" i="1" s="1"/>
  <c r="AI14" i="1"/>
  <c r="P108" i="1" l="1"/>
  <c r="P104" i="1"/>
  <c r="P90" i="1"/>
  <c r="P67" i="1"/>
  <c r="P54" i="1"/>
  <c r="K15" i="1"/>
  <c r="L15" i="1"/>
  <c r="M15" i="1"/>
  <c r="N15" i="1" s="1"/>
  <c r="V15" i="1"/>
  <c r="Y15" i="1"/>
  <c r="Z15" i="1"/>
  <c r="AB15" i="1"/>
  <c r="AC15" i="1"/>
  <c r="AD15" i="1"/>
  <c r="AG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A16" i="1" s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T17" i="1"/>
  <c r="V17" i="1"/>
  <c r="Y17" i="1"/>
  <c r="AA17" i="1" s="1"/>
  <c r="Z17" i="1"/>
  <c r="AB17" i="1"/>
  <c r="AC17" i="1"/>
  <c r="AD17" i="1"/>
  <c r="AG17" i="1" s="1"/>
  <c r="AE17" i="1"/>
  <c r="AF17" i="1"/>
  <c r="AH17" i="1"/>
  <c r="AI17" i="1"/>
  <c r="AM17" i="1"/>
  <c r="AN17" i="1"/>
  <c r="K18" i="1"/>
  <c r="L18" i="1"/>
  <c r="M18" i="1"/>
  <c r="N18" i="1" s="1"/>
  <c r="V18" i="1"/>
  <c r="X18" i="1"/>
  <c r="Y18" i="1"/>
  <c r="Z18" i="1"/>
  <c r="AB18" i="1"/>
  <c r="AC18" i="1"/>
  <c r="AD18" i="1"/>
  <c r="T18" i="1" s="1"/>
  <c r="AE18" i="1"/>
  <c r="AF18" i="1"/>
  <c r="AG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AG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K21" i="1"/>
  <c r="L21" i="1"/>
  <c r="M21" i="1"/>
  <c r="N21" i="1" s="1"/>
  <c r="T21" i="1"/>
  <c r="V21" i="1"/>
  <c r="Y21" i="1"/>
  <c r="Z21" i="1"/>
  <c r="AA21" i="1"/>
  <c r="AB21" i="1"/>
  <c r="AC21" i="1"/>
  <c r="AD21" i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AG23" i="1" s="1"/>
  <c r="AE23" i="1"/>
  <c r="AF23" i="1"/>
  <c r="AH23" i="1"/>
  <c r="AM23" i="1"/>
  <c r="AN23" i="1"/>
  <c r="K24" i="1"/>
  <c r="L24" i="1"/>
  <c r="M24" i="1"/>
  <c r="N24" i="1" s="1"/>
  <c r="V24" i="1"/>
  <c r="S32" i="3" s="1"/>
  <c r="Y24" i="1"/>
  <c r="Z24" i="1"/>
  <c r="AB24" i="1"/>
  <c r="AC24" i="1"/>
  <c r="AD24" i="1"/>
  <c r="AE24" i="1"/>
  <c r="AF24" i="1"/>
  <c r="AH24" i="1"/>
  <c r="AM24" i="1"/>
  <c r="AN24" i="1"/>
  <c r="K25" i="1"/>
  <c r="L25" i="1"/>
  <c r="M25" i="1"/>
  <c r="N25" i="1" s="1"/>
  <c r="V25" i="1"/>
  <c r="Y25" i="1"/>
  <c r="Z25" i="1"/>
  <c r="AI25" i="1" s="1"/>
  <c r="AB25" i="1"/>
  <c r="AC25" i="1"/>
  <c r="AD25" i="1"/>
  <c r="AG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AG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A28" i="1" s="1"/>
  <c r="AB28" i="1"/>
  <c r="AC28" i="1"/>
  <c r="AD28" i="1"/>
  <c r="AE28" i="1"/>
  <c r="AF28" i="1"/>
  <c r="AH28" i="1"/>
  <c r="AM28" i="1"/>
  <c r="AN28" i="1"/>
  <c r="K29" i="1"/>
  <c r="L29" i="1"/>
  <c r="M29" i="1"/>
  <c r="N29" i="1"/>
  <c r="V29" i="1"/>
  <c r="Y29" i="1"/>
  <c r="Z29" i="1"/>
  <c r="AA29" i="1" s="1"/>
  <c r="AB29" i="1"/>
  <c r="AC29" i="1"/>
  <c r="AD29" i="1"/>
  <c r="AG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K33" i="1"/>
  <c r="L33" i="1"/>
  <c r="M33" i="1"/>
  <c r="N33" i="1" s="1"/>
  <c r="V33" i="1"/>
  <c r="Y33" i="1"/>
  <c r="AA33" i="1" s="1"/>
  <c r="Z33" i="1"/>
  <c r="AB33" i="1"/>
  <c r="AC33" i="1"/>
  <c r="AD33" i="1"/>
  <c r="AG33" i="1" s="1"/>
  <c r="AE33" i="1"/>
  <c r="AF33" i="1"/>
  <c r="AH33" i="1"/>
  <c r="AI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A36" i="1" s="1"/>
  <c r="AB36" i="1"/>
  <c r="AC36" i="1"/>
  <c r="AD36" i="1"/>
  <c r="AE36" i="1"/>
  <c r="AF36" i="1"/>
  <c r="AH36" i="1"/>
  <c r="AM36" i="1"/>
  <c r="AN36" i="1"/>
  <c r="K37" i="1"/>
  <c r="L37" i="1"/>
  <c r="M37" i="1"/>
  <c r="N37" i="1" s="1"/>
  <c r="V37" i="1"/>
  <c r="Y37" i="1"/>
  <c r="Z37" i="1"/>
  <c r="AA37" i="1" s="1"/>
  <c r="W37" i="1" s="1"/>
  <c r="AB37" i="1"/>
  <c r="AC37" i="1"/>
  <c r="AD37" i="1"/>
  <c r="AG37" i="1" s="1"/>
  <c r="AE37" i="1"/>
  <c r="AF37" i="1"/>
  <c r="AH37" i="1"/>
  <c r="AI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AG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K41" i="1"/>
  <c r="L41" i="1"/>
  <c r="M41" i="1"/>
  <c r="N41" i="1" s="1"/>
  <c r="V41" i="1"/>
  <c r="Y41" i="1"/>
  <c r="Z41" i="1"/>
  <c r="AA41" i="1" s="1"/>
  <c r="AB41" i="1"/>
  <c r="AC41" i="1"/>
  <c r="AD41" i="1"/>
  <c r="X42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G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A44" i="1" s="1"/>
  <c r="AB44" i="1"/>
  <c r="AC44" i="1"/>
  <c r="AD44" i="1"/>
  <c r="AG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A45" i="1" s="1"/>
  <c r="AB45" i="1"/>
  <c r="AC45" i="1"/>
  <c r="AD45" i="1"/>
  <c r="AE45" i="1"/>
  <c r="R18" i="3" s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K47" i="1"/>
  <c r="L47" i="1"/>
  <c r="M47" i="1"/>
  <c r="N47" i="1" s="1"/>
  <c r="V47" i="1"/>
  <c r="S14" i="3" s="1"/>
  <c r="Y47" i="1"/>
  <c r="Z47" i="1"/>
  <c r="AA47" i="1" s="1"/>
  <c r="AB47" i="1"/>
  <c r="AC47" i="1"/>
  <c r="AD47" i="1"/>
  <c r="AE47" i="1"/>
  <c r="R14" i="3" s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R26" i="3" s="1"/>
  <c r="AF48" i="1"/>
  <c r="AH48" i="1"/>
  <c r="AM48" i="1"/>
  <c r="AN48" i="1"/>
  <c r="K49" i="1"/>
  <c r="L49" i="1"/>
  <c r="M49" i="1"/>
  <c r="N49" i="1" s="1"/>
  <c r="V49" i="1"/>
  <c r="Y49" i="1"/>
  <c r="Z49" i="1"/>
  <c r="AA49" i="1" s="1"/>
  <c r="AB49" i="1"/>
  <c r="AC49" i="1"/>
  <c r="AD49" i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V54" i="1"/>
  <c r="Y54" i="1"/>
  <c r="Z54" i="1"/>
  <c r="AB54" i="1"/>
  <c r="AC54" i="1"/>
  <c r="AD54" i="1"/>
  <c r="AG54" i="1" s="1"/>
  <c r="AE54" i="1"/>
  <c r="AF54" i="1"/>
  <c r="AH54" i="1"/>
  <c r="AM54" i="1"/>
  <c r="AN54" i="1"/>
  <c r="K55" i="1"/>
  <c r="L55" i="1"/>
  <c r="M55" i="1"/>
  <c r="V55" i="1"/>
  <c r="Y55" i="1"/>
  <c r="Z55" i="1"/>
  <c r="AB55" i="1"/>
  <c r="AC55" i="1"/>
  <c r="AD55" i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K57" i="1"/>
  <c r="L57" i="1"/>
  <c r="M57" i="1"/>
  <c r="N57" i="1" s="1"/>
  <c r="T57" i="1"/>
  <c r="V57" i="1"/>
  <c r="Y57" i="1"/>
  <c r="Z57" i="1"/>
  <c r="AB57" i="1"/>
  <c r="AC57" i="1"/>
  <c r="AD57" i="1"/>
  <c r="X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K60" i="1"/>
  <c r="L60" i="1"/>
  <c r="M60" i="1"/>
  <c r="N60" i="1" s="1"/>
  <c r="V60" i="1"/>
  <c r="Y60" i="1"/>
  <c r="Z60" i="1"/>
  <c r="AA60" i="1" s="1"/>
  <c r="AB60" i="1"/>
  <c r="AC60" i="1"/>
  <c r="AD60" i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K63" i="1"/>
  <c r="L63" i="1"/>
  <c r="M63" i="1"/>
  <c r="N63" i="1"/>
  <c r="V63" i="1"/>
  <c r="S20" i="3" s="1"/>
  <c r="Y63" i="1"/>
  <c r="AA63" i="1" s="1"/>
  <c r="Z63" i="1"/>
  <c r="AB63" i="1"/>
  <c r="AC63" i="1"/>
  <c r="AD63" i="1"/>
  <c r="AE63" i="1"/>
  <c r="AF63" i="1"/>
  <c r="AH63" i="1"/>
  <c r="AM63" i="1"/>
  <c r="AN63" i="1"/>
  <c r="K64" i="1"/>
  <c r="L64" i="1"/>
  <c r="M64" i="1"/>
  <c r="N64" i="1"/>
  <c r="V64" i="1"/>
  <c r="Y64" i="1"/>
  <c r="Z64" i="1"/>
  <c r="AB64" i="1"/>
  <c r="AC64" i="1"/>
  <c r="AD64" i="1"/>
  <c r="AG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V67" i="1"/>
  <c r="Y67" i="1"/>
  <c r="Z67" i="1"/>
  <c r="AB67" i="1"/>
  <c r="AC67" i="1"/>
  <c r="AD67" i="1"/>
  <c r="AG67" i="1" s="1"/>
  <c r="AE67" i="1"/>
  <c r="R23" i="3" s="1"/>
  <c r="AF67" i="1"/>
  <c r="AH67" i="1"/>
  <c r="AM67" i="1"/>
  <c r="AN67" i="1"/>
  <c r="K68" i="1"/>
  <c r="L68" i="1"/>
  <c r="M68" i="1"/>
  <c r="V68" i="1"/>
  <c r="Y68" i="1"/>
  <c r="Z68" i="1"/>
  <c r="AB68" i="1"/>
  <c r="AC68" i="1"/>
  <c r="AD68" i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N70" i="1" s="1"/>
  <c r="V70" i="1"/>
  <c r="S30" i="3" s="1"/>
  <c r="Y70" i="1"/>
  <c r="Z70" i="1"/>
  <c r="AB70" i="1"/>
  <c r="AC70" i="1"/>
  <c r="AD70" i="1"/>
  <c r="T70" i="1" s="1"/>
  <c r="AE70" i="1"/>
  <c r="R30" i="3" s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G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K73" i="1"/>
  <c r="L73" i="1"/>
  <c r="M73" i="1"/>
  <c r="N73" i="1" s="1"/>
  <c r="V73" i="1"/>
  <c r="Y73" i="1"/>
  <c r="AA73" i="1" s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K75" i="1"/>
  <c r="L75" i="1"/>
  <c r="M75" i="1"/>
  <c r="N75" i="1" s="1"/>
  <c r="V75" i="1"/>
  <c r="S15" i="3" s="1"/>
  <c r="Y75" i="1"/>
  <c r="Z75" i="1"/>
  <c r="AB75" i="1"/>
  <c r="AC75" i="1"/>
  <c r="AD75" i="1"/>
  <c r="AG75" i="1" s="1"/>
  <c r="AE75" i="1"/>
  <c r="AF75" i="1"/>
  <c r="AH75" i="1"/>
  <c r="AM75" i="1"/>
  <c r="AN75" i="1"/>
  <c r="K76" i="1"/>
  <c r="L76" i="1"/>
  <c r="M76" i="1"/>
  <c r="N76" i="1" s="1"/>
  <c r="V76" i="1"/>
  <c r="S33" i="3" s="1"/>
  <c r="Y76" i="1"/>
  <c r="Z76" i="1"/>
  <c r="AB76" i="1"/>
  <c r="AC76" i="1"/>
  <c r="AD76" i="1"/>
  <c r="AE76" i="1"/>
  <c r="R33" i="3" s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AH79" i="1"/>
  <c r="AM79" i="1"/>
  <c r="AN79" i="1"/>
  <c r="K80" i="1"/>
  <c r="L80" i="1"/>
  <c r="M80" i="1"/>
  <c r="N80" i="1"/>
  <c r="V80" i="1"/>
  <c r="S9" i="3" s="1"/>
  <c r="Y80" i="1"/>
  <c r="Z80" i="1"/>
  <c r="AB80" i="1"/>
  <c r="AC80" i="1"/>
  <c r="AD80" i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G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R27" i="3" s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K85" i="1"/>
  <c r="L85" i="1"/>
  <c r="M85" i="1"/>
  <c r="N85" i="1" s="1"/>
  <c r="V85" i="1"/>
  <c r="Y85" i="1"/>
  <c r="Z85" i="1"/>
  <c r="AA85" i="1" s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/>
  <c r="V87" i="1"/>
  <c r="Y87" i="1"/>
  <c r="Z87" i="1"/>
  <c r="AB87" i="1"/>
  <c r="AC87" i="1"/>
  <c r="AD87" i="1"/>
  <c r="AG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V89" i="1"/>
  <c r="X89" i="1"/>
  <c r="Y89" i="1"/>
  <c r="AA89" i="1" s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V90" i="1"/>
  <c r="Y90" i="1"/>
  <c r="AB90" i="1"/>
  <c r="AC90" i="1"/>
  <c r="AD90" i="1"/>
  <c r="AE90" i="1"/>
  <c r="AF90" i="1"/>
  <c r="AH90" i="1"/>
  <c r="AM90" i="1"/>
  <c r="AN90" i="1"/>
  <c r="K91" i="1"/>
  <c r="L91" i="1"/>
  <c r="M91" i="1"/>
  <c r="V91" i="1"/>
  <c r="Y91" i="1"/>
  <c r="Z91" i="1"/>
  <c r="AB91" i="1"/>
  <c r="AC91" i="1"/>
  <c r="AD91" i="1"/>
  <c r="AG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AG93" i="1" s="1"/>
  <c r="AE93" i="1"/>
  <c r="AF93" i="1"/>
  <c r="AH93" i="1"/>
  <c r="AM93" i="1"/>
  <c r="AN93" i="1"/>
  <c r="K94" i="1"/>
  <c r="L94" i="1"/>
  <c r="M94" i="1"/>
  <c r="N94" i="1" s="1"/>
  <c r="T94" i="1"/>
  <c r="V94" i="1"/>
  <c r="Y94" i="1"/>
  <c r="Z94" i="1"/>
  <c r="AB94" i="1"/>
  <c r="AC94" i="1"/>
  <c r="AD94" i="1"/>
  <c r="AG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AM95" i="1"/>
  <c r="AN95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96" i="1"/>
  <c r="AM96" i="1"/>
  <c r="AN96" i="1"/>
  <c r="K165" i="1"/>
  <c r="L165" i="1"/>
  <c r="M165" i="1"/>
  <c r="N165" i="1" s="1"/>
  <c r="T165" i="1"/>
  <c r="V165" i="1"/>
  <c r="Y165" i="1"/>
  <c r="Z165" i="1"/>
  <c r="AA165" i="1"/>
  <c r="W165" i="1" s="1"/>
  <c r="AB165" i="1"/>
  <c r="AC165" i="1"/>
  <c r="AD165" i="1"/>
  <c r="AG165" i="1" s="1"/>
  <c r="AE165" i="1"/>
  <c r="AF165" i="1"/>
  <c r="AH97" i="1"/>
  <c r="AM97" i="1"/>
  <c r="AN97" i="1"/>
  <c r="K166" i="1"/>
  <c r="L166" i="1"/>
  <c r="M166" i="1"/>
  <c r="N166" i="1" s="1"/>
  <c r="V166" i="1"/>
  <c r="Y166" i="1"/>
  <c r="Z166" i="1"/>
  <c r="AA166" i="1" s="1"/>
  <c r="AB166" i="1"/>
  <c r="AC166" i="1"/>
  <c r="AD166" i="1"/>
  <c r="T166" i="1" s="1"/>
  <c r="AE166" i="1"/>
  <c r="AF166" i="1"/>
  <c r="AH98" i="1"/>
  <c r="AM98" i="1"/>
  <c r="AN98" i="1"/>
  <c r="K167" i="1"/>
  <c r="L167" i="1"/>
  <c r="M167" i="1"/>
  <c r="N167" i="1" s="1"/>
  <c r="V167" i="1"/>
  <c r="Y167" i="1"/>
  <c r="Z167" i="1"/>
  <c r="AA167" i="1" s="1"/>
  <c r="AB167" i="1"/>
  <c r="AC167" i="1"/>
  <c r="AD167" i="1"/>
  <c r="AE167" i="1"/>
  <c r="AF167" i="1"/>
  <c r="AH99" i="1"/>
  <c r="AM99" i="1"/>
  <c r="AN99" i="1"/>
  <c r="K168" i="1"/>
  <c r="L168" i="1"/>
  <c r="M168" i="1"/>
  <c r="N168" i="1"/>
  <c r="V168" i="1"/>
  <c r="Y168" i="1"/>
  <c r="Z168" i="1"/>
  <c r="AB168" i="1"/>
  <c r="AC168" i="1"/>
  <c r="AD168" i="1"/>
  <c r="AE168" i="1"/>
  <c r="AF168" i="1"/>
  <c r="AH100" i="1"/>
  <c r="AM100" i="1"/>
  <c r="AN100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01" i="1"/>
  <c r="AM101" i="1"/>
  <c r="AN101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02" i="1"/>
  <c r="AM102" i="1"/>
  <c r="AN102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AH103" i="1"/>
  <c r="AM103" i="1"/>
  <c r="AN103" i="1"/>
  <c r="K172" i="1"/>
  <c r="L172" i="1"/>
  <c r="M172" i="1"/>
  <c r="N172" i="1"/>
  <c r="V172" i="1"/>
  <c r="Y172" i="1"/>
  <c r="Z172" i="1"/>
  <c r="AB172" i="1"/>
  <c r="AC172" i="1"/>
  <c r="AD172" i="1"/>
  <c r="AE172" i="1"/>
  <c r="AF172" i="1"/>
  <c r="AH104" i="1"/>
  <c r="AM104" i="1"/>
  <c r="AN104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05" i="1"/>
  <c r="AM105" i="1"/>
  <c r="AN10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106" i="1"/>
  <c r="AM106" i="1"/>
  <c r="AN106" i="1"/>
  <c r="K174" i="1"/>
  <c r="L174" i="1"/>
  <c r="M174" i="1"/>
  <c r="N174" i="1" s="1"/>
  <c r="V174" i="1"/>
  <c r="S37" i="3" s="1"/>
  <c r="Y174" i="1"/>
  <c r="Z174" i="1"/>
  <c r="AB174" i="1"/>
  <c r="AC174" i="1"/>
  <c r="AD174" i="1"/>
  <c r="AG174" i="1" s="1"/>
  <c r="AE174" i="1"/>
  <c r="R37" i="3" s="1"/>
  <c r="AF174" i="1"/>
  <c r="AH107" i="1"/>
  <c r="AM107" i="1"/>
  <c r="AN107" i="1"/>
  <c r="K175" i="1"/>
  <c r="L175" i="1"/>
  <c r="M175" i="1"/>
  <c r="N175" i="1" s="1"/>
  <c r="V175" i="1"/>
  <c r="S35" i="3" s="1"/>
  <c r="Y175" i="1"/>
  <c r="Z175" i="1"/>
  <c r="AB175" i="1"/>
  <c r="AC175" i="1"/>
  <c r="AD175" i="1"/>
  <c r="AE175" i="1"/>
  <c r="AF175" i="1"/>
  <c r="AH108" i="1"/>
  <c r="AM108" i="1"/>
  <c r="AN108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09" i="1"/>
  <c r="AM109" i="1"/>
  <c r="AN109" i="1"/>
  <c r="K177" i="1"/>
  <c r="L177" i="1"/>
  <c r="M177" i="1"/>
  <c r="N177" i="1" s="1"/>
  <c r="V177" i="1"/>
  <c r="S36" i="3" s="1"/>
  <c r="Y177" i="1"/>
  <c r="Z177" i="1"/>
  <c r="AB177" i="1"/>
  <c r="AC177" i="1"/>
  <c r="AD177" i="1"/>
  <c r="AE177" i="1"/>
  <c r="R36" i="3" s="1"/>
  <c r="AF177" i="1"/>
  <c r="AH110" i="1"/>
  <c r="AM110" i="1"/>
  <c r="AN110" i="1"/>
  <c r="K178" i="1"/>
  <c r="L178" i="1"/>
  <c r="M178" i="1"/>
  <c r="N178" i="1" s="1"/>
  <c r="V178" i="1"/>
  <c r="S39" i="3" s="1"/>
  <c r="Y178" i="1"/>
  <c r="Z178" i="1"/>
  <c r="AB178" i="1"/>
  <c r="AC178" i="1"/>
  <c r="AD178" i="1"/>
  <c r="AE178" i="1"/>
  <c r="R39" i="3" s="1"/>
  <c r="AF178" i="1"/>
  <c r="AH111" i="1"/>
  <c r="AM111" i="1"/>
  <c r="AN111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112" i="1"/>
  <c r="AM112" i="1"/>
  <c r="AN112" i="1"/>
  <c r="K180" i="1"/>
  <c r="L180" i="1"/>
  <c r="M180" i="1"/>
  <c r="N180" i="1" s="1"/>
  <c r="V180" i="1"/>
  <c r="Y180" i="1"/>
  <c r="Z180" i="1"/>
  <c r="AA180" i="1" s="1"/>
  <c r="AB180" i="1"/>
  <c r="AC180" i="1"/>
  <c r="AD180" i="1"/>
  <c r="AE180" i="1"/>
  <c r="AF180" i="1"/>
  <c r="AH113" i="1"/>
  <c r="AM113" i="1"/>
  <c r="AN113" i="1"/>
  <c r="K181" i="1"/>
  <c r="L181" i="1"/>
  <c r="M181" i="1"/>
  <c r="N181" i="1" s="1"/>
  <c r="V181" i="1"/>
  <c r="S40" i="3" s="1"/>
  <c r="Y181" i="1"/>
  <c r="Z181" i="1"/>
  <c r="AA181" i="1" s="1"/>
  <c r="AB181" i="1"/>
  <c r="AC181" i="1"/>
  <c r="AD181" i="1"/>
  <c r="T181" i="1" s="1"/>
  <c r="AE181" i="1"/>
  <c r="AF181" i="1"/>
  <c r="AH114" i="1"/>
  <c r="AM114" i="1"/>
  <c r="AN114" i="1"/>
  <c r="K182" i="1"/>
  <c r="L182" i="1"/>
  <c r="M182" i="1"/>
  <c r="N182" i="1" s="1"/>
  <c r="V182" i="1"/>
  <c r="Y182" i="1"/>
  <c r="Z182" i="1"/>
  <c r="AB182" i="1"/>
  <c r="AC182" i="1"/>
  <c r="AD182" i="1"/>
  <c r="AE182" i="1"/>
  <c r="R38" i="3" s="1"/>
  <c r="AF182" i="1"/>
  <c r="AH115" i="1"/>
  <c r="AM115" i="1"/>
  <c r="AN115" i="1"/>
  <c r="K183" i="1"/>
  <c r="L183" i="1"/>
  <c r="M183" i="1"/>
  <c r="N183" i="1"/>
  <c r="V183" i="1"/>
  <c r="Y183" i="1"/>
  <c r="Z183" i="1"/>
  <c r="AA183" i="1"/>
  <c r="AB183" i="1"/>
  <c r="AC183" i="1"/>
  <c r="AD183" i="1"/>
  <c r="AE183" i="1"/>
  <c r="AF183" i="1"/>
  <c r="AH116" i="1"/>
  <c r="AM116" i="1"/>
  <c r="AN116" i="1"/>
  <c r="K97" i="1"/>
  <c r="L97" i="1"/>
  <c r="M97" i="1"/>
  <c r="N97" i="1" s="1"/>
  <c r="V97" i="1"/>
  <c r="Y97" i="1"/>
  <c r="Z97" i="1"/>
  <c r="AA97" i="1" s="1"/>
  <c r="AB97" i="1"/>
  <c r="AC97" i="1"/>
  <c r="AD97" i="1"/>
  <c r="AE97" i="1"/>
  <c r="AF97" i="1"/>
  <c r="AH117" i="1"/>
  <c r="AM117" i="1"/>
  <c r="AN117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118" i="1"/>
  <c r="AM118" i="1"/>
  <c r="AN118" i="1"/>
  <c r="K185" i="1"/>
  <c r="L185" i="1"/>
  <c r="M185" i="1"/>
  <c r="N185" i="1" s="1"/>
  <c r="V185" i="1"/>
  <c r="Y185" i="1"/>
  <c r="Z185" i="1"/>
  <c r="AA185" i="1" s="1"/>
  <c r="W185" i="1" s="1"/>
  <c r="AB185" i="1"/>
  <c r="AC185" i="1"/>
  <c r="AD185" i="1"/>
  <c r="AG185" i="1" s="1"/>
  <c r="AE185" i="1"/>
  <c r="AF185" i="1"/>
  <c r="AH119" i="1"/>
  <c r="AM119" i="1"/>
  <c r="AN119" i="1"/>
  <c r="K186" i="1"/>
  <c r="L186" i="1"/>
  <c r="M186" i="1"/>
  <c r="N186" i="1"/>
  <c r="V186" i="1"/>
  <c r="Y186" i="1"/>
  <c r="Z186" i="1"/>
  <c r="AB186" i="1"/>
  <c r="AC186" i="1"/>
  <c r="AD186" i="1"/>
  <c r="AE186" i="1"/>
  <c r="AF186" i="1"/>
  <c r="AH120" i="1"/>
  <c r="AM120" i="1"/>
  <c r="AN120" i="1"/>
  <c r="K187" i="1"/>
  <c r="L187" i="1"/>
  <c r="M187" i="1"/>
  <c r="N187" i="1" s="1"/>
  <c r="V187" i="1"/>
  <c r="Y187" i="1"/>
  <c r="Z187" i="1"/>
  <c r="AA187" i="1" s="1"/>
  <c r="AB187" i="1"/>
  <c r="AC187" i="1"/>
  <c r="AD187" i="1"/>
  <c r="T187" i="1" s="1"/>
  <c r="AE187" i="1"/>
  <c r="AF187" i="1"/>
  <c r="AH121" i="1"/>
  <c r="AM121" i="1"/>
  <c r="AN121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G188" i="1"/>
  <c r="AH122" i="1"/>
  <c r="AM122" i="1"/>
  <c r="AN122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G189" i="1"/>
  <c r="AH123" i="1"/>
  <c r="AM123" i="1"/>
  <c r="AN123" i="1"/>
  <c r="K190" i="1"/>
  <c r="L190" i="1"/>
  <c r="M190" i="1"/>
  <c r="N190" i="1" s="1"/>
  <c r="V190" i="1"/>
  <c r="Y190" i="1"/>
  <c r="Z190" i="1"/>
  <c r="AA190" i="1" s="1"/>
  <c r="AB190" i="1"/>
  <c r="AC190" i="1"/>
  <c r="AD190" i="1"/>
  <c r="T190" i="1" s="1"/>
  <c r="AE190" i="1"/>
  <c r="AF190" i="1"/>
  <c r="AH124" i="1"/>
  <c r="AM124" i="1"/>
  <c r="AN124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125" i="1"/>
  <c r="AM125" i="1"/>
  <c r="AN125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126" i="1"/>
  <c r="AM126" i="1"/>
  <c r="AN126" i="1"/>
  <c r="K193" i="1"/>
  <c r="L193" i="1"/>
  <c r="M193" i="1"/>
  <c r="N193" i="1"/>
  <c r="V193" i="1"/>
  <c r="Y193" i="1"/>
  <c r="Z193" i="1"/>
  <c r="AB193" i="1"/>
  <c r="AC193" i="1"/>
  <c r="AD193" i="1"/>
  <c r="AG193" i="1" s="1"/>
  <c r="AE193" i="1"/>
  <c r="AF193" i="1"/>
  <c r="AH127" i="1"/>
  <c r="AM127" i="1"/>
  <c r="AN12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128" i="1"/>
  <c r="AM128" i="1"/>
  <c r="AN128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129" i="1"/>
  <c r="AM129" i="1"/>
  <c r="AN129" i="1"/>
  <c r="K195" i="1"/>
  <c r="L195" i="1"/>
  <c r="M195" i="1"/>
  <c r="N195" i="1" s="1"/>
  <c r="V195" i="1"/>
  <c r="S41" i="3" s="1"/>
  <c r="AA195" i="1"/>
  <c r="AB195" i="1"/>
  <c r="AC195" i="1"/>
  <c r="AD195" i="1"/>
  <c r="T195" i="1" s="1"/>
  <c r="AE195" i="1"/>
  <c r="R41" i="3" s="1"/>
  <c r="AF195" i="1"/>
  <c r="AH130" i="1"/>
  <c r="AM130" i="1"/>
  <c r="AN130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131" i="1"/>
  <c r="AM131" i="1"/>
  <c r="AN131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132" i="1"/>
  <c r="AM132" i="1"/>
  <c r="AN132" i="1"/>
  <c r="K99" i="1"/>
  <c r="L99" i="1"/>
  <c r="M99" i="1"/>
  <c r="N99" i="1" s="1"/>
  <c r="V99" i="1"/>
  <c r="S31" i="3" s="1"/>
  <c r="Y99" i="1"/>
  <c r="Z99" i="1"/>
  <c r="AA99" i="1" s="1"/>
  <c r="AB99" i="1"/>
  <c r="AC99" i="1"/>
  <c r="AD99" i="1"/>
  <c r="AE99" i="1"/>
  <c r="AF99" i="1"/>
  <c r="AH133" i="1"/>
  <c r="AM133" i="1"/>
  <c r="AN133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34" i="1"/>
  <c r="AM134" i="1"/>
  <c r="AN134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35" i="1"/>
  <c r="AM135" i="1"/>
  <c r="AN135" i="1"/>
  <c r="K102" i="1"/>
  <c r="L102" i="1"/>
  <c r="M102" i="1"/>
  <c r="N102" i="1" s="1"/>
  <c r="V102" i="1"/>
  <c r="Y102" i="1"/>
  <c r="Z102" i="1"/>
  <c r="AA102" i="1" s="1"/>
  <c r="AB102" i="1"/>
  <c r="AC102" i="1"/>
  <c r="AD102" i="1"/>
  <c r="AG102" i="1" s="1"/>
  <c r="AE102" i="1"/>
  <c r="AF102" i="1"/>
  <c r="AH136" i="1"/>
  <c r="AM136" i="1"/>
  <c r="AN136" i="1"/>
  <c r="K103" i="1"/>
  <c r="L103" i="1"/>
  <c r="M103" i="1"/>
  <c r="N103" i="1" s="1"/>
  <c r="V103" i="1"/>
  <c r="S13" i="3" s="1"/>
  <c r="Y103" i="1"/>
  <c r="Z103" i="1"/>
  <c r="AA103" i="1" s="1"/>
  <c r="AB103" i="1"/>
  <c r="AC103" i="1"/>
  <c r="AD103" i="1"/>
  <c r="AE103" i="1"/>
  <c r="AF103" i="1"/>
  <c r="AH137" i="1"/>
  <c r="AM137" i="1"/>
  <c r="AN137" i="1"/>
  <c r="K104" i="1"/>
  <c r="L104" i="1"/>
  <c r="M104" i="1"/>
  <c r="V104" i="1"/>
  <c r="S21" i="3" s="1"/>
  <c r="Y104" i="1"/>
  <c r="Z104" i="1"/>
  <c r="AB104" i="1"/>
  <c r="AC104" i="1"/>
  <c r="AD104" i="1"/>
  <c r="AG104" i="1" s="1"/>
  <c r="AE104" i="1"/>
  <c r="R21" i="3" s="1"/>
  <c r="AF104" i="1"/>
  <c r="AH138" i="1"/>
  <c r="AM138" i="1"/>
  <c r="AN138" i="1"/>
  <c r="K105" i="1"/>
  <c r="L105" i="1"/>
  <c r="M105" i="1"/>
  <c r="V105" i="1"/>
  <c r="Y105" i="1"/>
  <c r="Z105" i="1"/>
  <c r="AA105" i="1" s="1"/>
  <c r="AB105" i="1"/>
  <c r="AC105" i="1"/>
  <c r="AD105" i="1"/>
  <c r="T105" i="1" s="1"/>
  <c r="AE105" i="1"/>
  <c r="AF105" i="1"/>
  <c r="AH139" i="1"/>
  <c r="AM139" i="1"/>
  <c r="AN139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40" i="1"/>
  <c r="AM140" i="1"/>
  <c r="AN140" i="1"/>
  <c r="K214" i="1"/>
  <c r="L214" i="1"/>
  <c r="M214" i="1"/>
  <c r="N214" i="1"/>
  <c r="V214" i="1"/>
  <c r="Y214" i="1"/>
  <c r="Z214" i="1"/>
  <c r="AB214" i="1"/>
  <c r="AC214" i="1"/>
  <c r="AD214" i="1"/>
  <c r="AE214" i="1"/>
  <c r="AF214" i="1"/>
  <c r="AH141" i="1"/>
  <c r="AM141" i="1"/>
  <c r="AN141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G215" i="1"/>
  <c r="AH142" i="1"/>
  <c r="AM142" i="1"/>
  <c r="AN142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43" i="1"/>
  <c r="AM143" i="1"/>
  <c r="AN143" i="1"/>
  <c r="K107" i="1"/>
  <c r="L107" i="1"/>
  <c r="M107" i="1"/>
  <c r="N107" i="1"/>
  <c r="V107" i="1"/>
  <c r="S34" i="3" s="1"/>
  <c r="Y107" i="1"/>
  <c r="Z107" i="1"/>
  <c r="AB107" i="1"/>
  <c r="AC107" i="1"/>
  <c r="AD107" i="1"/>
  <c r="AE107" i="1"/>
  <c r="R34" i="3" s="1"/>
  <c r="AF107" i="1"/>
  <c r="AH144" i="1"/>
  <c r="AM144" i="1"/>
  <c r="AN144" i="1"/>
  <c r="K108" i="1"/>
  <c r="L108" i="1"/>
  <c r="M108" i="1"/>
  <c r="V108" i="1"/>
  <c r="S28" i="3" s="1"/>
  <c r="Y108" i="1"/>
  <c r="Z108" i="1"/>
  <c r="AB108" i="1"/>
  <c r="AC108" i="1"/>
  <c r="AD108" i="1"/>
  <c r="AE108" i="1"/>
  <c r="AF108" i="1"/>
  <c r="AH145" i="1"/>
  <c r="AM145" i="1"/>
  <c r="AN145" i="1"/>
  <c r="K109" i="1"/>
  <c r="L109" i="1"/>
  <c r="M109" i="1"/>
  <c r="V109" i="1"/>
  <c r="Y109" i="1"/>
  <c r="Z109" i="1"/>
  <c r="AB109" i="1"/>
  <c r="AC109" i="1"/>
  <c r="AD109" i="1"/>
  <c r="T109" i="1" s="1"/>
  <c r="AE109" i="1"/>
  <c r="AF109" i="1"/>
  <c r="AH146" i="1"/>
  <c r="AM146" i="1"/>
  <c r="AN146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47" i="1"/>
  <c r="AM147" i="1"/>
  <c r="AN147" i="1"/>
  <c r="K111" i="1"/>
  <c r="L111" i="1"/>
  <c r="M111" i="1"/>
  <c r="N111" i="1" s="1"/>
  <c r="V111" i="1"/>
  <c r="Y111" i="1"/>
  <c r="Z111" i="1"/>
  <c r="AB111" i="1"/>
  <c r="AC111" i="1"/>
  <c r="AD111" i="1"/>
  <c r="AG111" i="1" s="1"/>
  <c r="AE111" i="1"/>
  <c r="R29" i="3" s="1"/>
  <c r="AF111" i="1"/>
  <c r="AH148" i="1"/>
  <c r="AM148" i="1"/>
  <c r="AN148" i="1"/>
  <c r="K112" i="1"/>
  <c r="L112" i="1"/>
  <c r="M112" i="1"/>
  <c r="N112" i="1" s="1"/>
  <c r="V112" i="1"/>
  <c r="Y112" i="1"/>
  <c r="Z112" i="1"/>
  <c r="AB112" i="1"/>
  <c r="AC112" i="1"/>
  <c r="AD112" i="1"/>
  <c r="X113" i="1" s="1"/>
  <c r="AE112" i="1"/>
  <c r="AF112" i="1"/>
  <c r="AH149" i="1"/>
  <c r="AM149" i="1"/>
  <c r="AN149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50" i="1"/>
  <c r="AM150" i="1"/>
  <c r="AN150" i="1"/>
  <c r="K114" i="1"/>
  <c r="L114" i="1"/>
  <c r="M114" i="1"/>
  <c r="N114" i="1" s="1"/>
  <c r="T114" i="1"/>
  <c r="V114" i="1"/>
  <c r="Y114" i="1"/>
  <c r="Z114" i="1"/>
  <c r="AB114" i="1"/>
  <c r="AC114" i="1"/>
  <c r="AD114" i="1"/>
  <c r="AE114" i="1"/>
  <c r="AF114" i="1"/>
  <c r="AH151" i="1"/>
  <c r="AM151" i="1"/>
  <c r="AN151" i="1"/>
  <c r="K115" i="1"/>
  <c r="L115" i="1"/>
  <c r="M115" i="1"/>
  <c r="N115" i="1" s="1"/>
  <c r="V115" i="1"/>
  <c r="S22" i="3" s="1"/>
  <c r="Y115" i="1"/>
  <c r="Z115" i="1"/>
  <c r="AB115" i="1"/>
  <c r="AC115" i="1"/>
  <c r="AD115" i="1"/>
  <c r="AG115" i="1" s="1"/>
  <c r="AE115" i="1"/>
  <c r="R22" i="3" s="1"/>
  <c r="AF115" i="1"/>
  <c r="AH152" i="1"/>
  <c r="AM152" i="1"/>
  <c r="AN152" i="1"/>
  <c r="K116" i="1"/>
  <c r="L116" i="1"/>
  <c r="M116" i="1"/>
  <c r="N116" i="1" s="1"/>
  <c r="V116" i="1"/>
  <c r="S24" i="3" s="1"/>
  <c r="Y116" i="1"/>
  <c r="Z116" i="1"/>
  <c r="AA116" i="1" s="1"/>
  <c r="AB116" i="1"/>
  <c r="AC116" i="1"/>
  <c r="AD116" i="1"/>
  <c r="AE116" i="1"/>
  <c r="AF116" i="1"/>
  <c r="AH153" i="1"/>
  <c r="AM153" i="1"/>
  <c r="AN153" i="1"/>
  <c r="K117" i="1"/>
  <c r="L117" i="1"/>
  <c r="M117" i="1"/>
  <c r="N117" i="1" s="1"/>
  <c r="T117" i="1"/>
  <c r="V117" i="1"/>
  <c r="Y117" i="1"/>
  <c r="AA117" i="1" s="1"/>
  <c r="Z117" i="1"/>
  <c r="AB117" i="1"/>
  <c r="AC117" i="1"/>
  <c r="AD117" i="1"/>
  <c r="AG117" i="1" s="1"/>
  <c r="AE117" i="1"/>
  <c r="AF117" i="1"/>
  <c r="AH154" i="1"/>
  <c r="AM154" i="1"/>
  <c r="AN154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55" i="1"/>
  <c r="AM155" i="1"/>
  <c r="AN155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56" i="1"/>
  <c r="AM156" i="1"/>
  <c r="AN156" i="1"/>
  <c r="K120" i="1"/>
  <c r="L120" i="1"/>
  <c r="M120" i="1"/>
  <c r="N120" i="1"/>
  <c r="V120" i="1"/>
  <c r="Y120" i="1"/>
  <c r="Z120" i="1"/>
  <c r="AB120" i="1"/>
  <c r="AC120" i="1"/>
  <c r="AD120" i="1"/>
  <c r="AE120" i="1"/>
  <c r="AF120" i="1"/>
  <c r="AH157" i="1"/>
  <c r="AM157" i="1"/>
  <c r="AN157" i="1"/>
  <c r="K121" i="1"/>
  <c r="L121" i="1"/>
  <c r="M121" i="1"/>
  <c r="N121" i="1" s="1"/>
  <c r="V121" i="1"/>
  <c r="Y121" i="1"/>
  <c r="AA121" i="1" s="1"/>
  <c r="Z121" i="1"/>
  <c r="AB121" i="1"/>
  <c r="AC121" i="1"/>
  <c r="AD121" i="1"/>
  <c r="T121" i="1" s="1"/>
  <c r="AE121" i="1"/>
  <c r="AF121" i="1"/>
  <c r="AH158" i="1"/>
  <c r="AM158" i="1"/>
  <c r="AN158" i="1"/>
  <c r="K122" i="1"/>
  <c r="L122" i="1"/>
  <c r="M122" i="1"/>
  <c r="N122" i="1" s="1"/>
  <c r="V122" i="1"/>
  <c r="S12" i="3" s="1"/>
  <c r="Y122" i="1"/>
  <c r="Z122" i="1"/>
  <c r="AB122" i="1"/>
  <c r="AC122" i="1"/>
  <c r="AD122" i="1"/>
  <c r="T122" i="1" s="1"/>
  <c r="AE122" i="1"/>
  <c r="AF122" i="1"/>
  <c r="AH159" i="1"/>
  <c r="AM159" i="1"/>
  <c r="AN159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60" i="1"/>
  <c r="AM160" i="1"/>
  <c r="AN160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61" i="1"/>
  <c r="AM161" i="1"/>
  <c r="AN161" i="1"/>
  <c r="K125" i="1"/>
  <c r="L125" i="1"/>
  <c r="M125" i="1"/>
  <c r="N125" i="1" s="1"/>
  <c r="V125" i="1"/>
  <c r="Y125" i="1"/>
  <c r="Z125" i="1"/>
  <c r="AA125" i="1" s="1"/>
  <c r="AB125" i="1"/>
  <c r="AC125" i="1"/>
  <c r="AD125" i="1"/>
  <c r="T125" i="1" s="1"/>
  <c r="AE125" i="1"/>
  <c r="AF125" i="1"/>
  <c r="AH162" i="1"/>
  <c r="AM162" i="1"/>
  <c r="AN162" i="1"/>
  <c r="K126" i="1"/>
  <c r="L126" i="1"/>
  <c r="M126" i="1"/>
  <c r="N126" i="1" s="1"/>
  <c r="V126" i="1"/>
  <c r="S7" i="3" s="1"/>
  <c r="Y126" i="1"/>
  <c r="Z126" i="1"/>
  <c r="AB126" i="1"/>
  <c r="AC126" i="1"/>
  <c r="AD126" i="1"/>
  <c r="AE126" i="1"/>
  <c r="AF126" i="1"/>
  <c r="AH163" i="1"/>
  <c r="AM163" i="1"/>
  <c r="AN163" i="1"/>
  <c r="K127" i="1"/>
  <c r="L127" i="1"/>
  <c r="M127" i="1"/>
  <c r="N127" i="1"/>
  <c r="V127" i="1"/>
  <c r="Y127" i="1"/>
  <c r="Z127" i="1"/>
  <c r="AB127" i="1"/>
  <c r="AC127" i="1"/>
  <c r="AD127" i="1"/>
  <c r="AG127" i="1" s="1"/>
  <c r="AE127" i="1"/>
  <c r="AF127" i="1"/>
  <c r="AH164" i="1"/>
  <c r="AM164" i="1"/>
  <c r="AN164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65" i="1"/>
  <c r="AM165" i="1"/>
  <c r="AN165" i="1"/>
  <c r="K129" i="1"/>
  <c r="L129" i="1"/>
  <c r="M129" i="1"/>
  <c r="N129" i="1" s="1"/>
  <c r="V129" i="1"/>
  <c r="S17" i="3" s="1"/>
  <c r="Y129" i="1"/>
  <c r="AA129" i="1" s="1"/>
  <c r="Z129" i="1"/>
  <c r="AB129" i="1"/>
  <c r="AC129" i="1"/>
  <c r="AD129" i="1"/>
  <c r="T129" i="1" s="1"/>
  <c r="AE129" i="1"/>
  <c r="AF129" i="1"/>
  <c r="AH166" i="1"/>
  <c r="AM166" i="1"/>
  <c r="AN166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67" i="1"/>
  <c r="AM167" i="1"/>
  <c r="AN167" i="1"/>
  <c r="K131" i="1"/>
  <c r="L131" i="1"/>
  <c r="M131" i="1"/>
  <c r="N131" i="1" s="1"/>
  <c r="V131" i="1"/>
  <c r="Y131" i="1"/>
  <c r="Z131" i="1"/>
  <c r="AA131" i="1" s="1"/>
  <c r="AB131" i="1"/>
  <c r="AC131" i="1"/>
  <c r="AD131" i="1"/>
  <c r="AG131" i="1" s="1"/>
  <c r="AE131" i="1"/>
  <c r="AF131" i="1"/>
  <c r="AH168" i="1"/>
  <c r="AM168" i="1"/>
  <c r="AN168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69" i="1"/>
  <c r="AM169" i="1"/>
  <c r="AN169" i="1"/>
  <c r="K133" i="1"/>
  <c r="L133" i="1"/>
  <c r="M133" i="1"/>
  <c r="N133" i="1" s="1"/>
  <c r="V133" i="1"/>
  <c r="Y133" i="1"/>
  <c r="Z133" i="1"/>
  <c r="AA133" i="1" s="1"/>
  <c r="AB133" i="1"/>
  <c r="AC133" i="1"/>
  <c r="AD133" i="1"/>
  <c r="AE133" i="1"/>
  <c r="AF133" i="1"/>
  <c r="AH170" i="1"/>
  <c r="AM170" i="1"/>
  <c r="AN170" i="1"/>
  <c r="K134" i="1"/>
  <c r="L134" i="1"/>
  <c r="M134" i="1"/>
  <c r="N134" i="1" s="1"/>
  <c r="V134" i="1"/>
  <c r="Y134" i="1"/>
  <c r="Z134" i="1"/>
  <c r="AB134" i="1"/>
  <c r="AC134" i="1"/>
  <c r="AD134" i="1"/>
  <c r="X134" i="1" s="1"/>
  <c r="AE134" i="1"/>
  <c r="AF134" i="1"/>
  <c r="AH171" i="1"/>
  <c r="AM171" i="1"/>
  <c r="AN171" i="1"/>
  <c r="K135" i="1"/>
  <c r="L135" i="1"/>
  <c r="M135" i="1"/>
  <c r="N135" i="1" s="1"/>
  <c r="V135" i="1"/>
  <c r="Y135" i="1"/>
  <c r="Z135" i="1"/>
  <c r="AB135" i="1"/>
  <c r="AC135" i="1"/>
  <c r="AD135" i="1"/>
  <c r="AG135" i="1" s="1"/>
  <c r="AE135" i="1"/>
  <c r="AF135" i="1"/>
  <c r="AH172" i="1"/>
  <c r="AM172" i="1"/>
  <c r="AN172" i="1"/>
  <c r="K136" i="1"/>
  <c r="L136" i="1"/>
  <c r="M136" i="1"/>
  <c r="N136" i="1"/>
  <c r="V136" i="1"/>
  <c r="Y136" i="1"/>
  <c r="AA136" i="1" s="1"/>
  <c r="Z136" i="1"/>
  <c r="AB136" i="1"/>
  <c r="AC136" i="1"/>
  <c r="AD136" i="1"/>
  <c r="AE136" i="1"/>
  <c r="AF136" i="1"/>
  <c r="AH173" i="1"/>
  <c r="AM173" i="1"/>
  <c r="AN173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74" i="1"/>
  <c r="AM174" i="1"/>
  <c r="AN174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75" i="1"/>
  <c r="AM175" i="1"/>
  <c r="AN175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76" i="1"/>
  <c r="AM176" i="1"/>
  <c r="AN176" i="1"/>
  <c r="K140" i="1"/>
  <c r="L140" i="1"/>
  <c r="M140" i="1"/>
  <c r="N140" i="1" s="1"/>
  <c r="V140" i="1"/>
  <c r="Y140" i="1"/>
  <c r="Z140" i="1"/>
  <c r="AA140" i="1" s="1"/>
  <c r="AB140" i="1"/>
  <c r="AC140" i="1"/>
  <c r="AD140" i="1"/>
  <c r="AE140" i="1"/>
  <c r="AF140" i="1"/>
  <c r="AH177" i="1"/>
  <c r="AM177" i="1"/>
  <c r="AN177" i="1"/>
  <c r="K141" i="1"/>
  <c r="L141" i="1"/>
  <c r="M141" i="1"/>
  <c r="N141" i="1" s="1"/>
  <c r="V141" i="1"/>
  <c r="Y141" i="1"/>
  <c r="Z141" i="1"/>
  <c r="AA141" i="1" s="1"/>
  <c r="AB141" i="1"/>
  <c r="AC141" i="1"/>
  <c r="AD141" i="1"/>
  <c r="AE141" i="1"/>
  <c r="AF141" i="1"/>
  <c r="AH178" i="1"/>
  <c r="AM178" i="1"/>
  <c r="AN178" i="1"/>
  <c r="K142" i="1"/>
  <c r="L142" i="1"/>
  <c r="M142" i="1"/>
  <c r="N142" i="1" s="1"/>
  <c r="V142" i="1"/>
  <c r="S8" i="3" s="1"/>
  <c r="Y142" i="1"/>
  <c r="Z142" i="1"/>
  <c r="AB142" i="1"/>
  <c r="AC142" i="1"/>
  <c r="AD142" i="1"/>
  <c r="AE142" i="1"/>
  <c r="R8" i="3" s="1"/>
  <c r="AF142" i="1"/>
  <c r="AH179" i="1"/>
  <c r="AM179" i="1"/>
  <c r="AN179" i="1"/>
  <c r="K143" i="1"/>
  <c r="L143" i="1"/>
  <c r="M143" i="1"/>
  <c r="N143" i="1"/>
  <c r="V143" i="1"/>
  <c r="Y143" i="1"/>
  <c r="Z143" i="1"/>
  <c r="AB143" i="1"/>
  <c r="AC143" i="1"/>
  <c r="AD143" i="1"/>
  <c r="AG143" i="1" s="1"/>
  <c r="AE143" i="1"/>
  <c r="AF143" i="1"/>
  <c r="AH180" i="1"/>
  <c r="AM180" i="1"/>
  <c r="AN180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R11" i="3" s="1"/>
  <c r="AF144" i="1"/>
  <c r="AH181" i="1"/>
  <c r="AM181" i="1"/>
  <c r="AN181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82" i="1"/>
  <c r="AM182" i="1"/>
  <c r="AN182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83" i="1"/>
  <c r="AM183" i="1"/>
  <c r="AN183" i="1"/>
  <c r="K147" i="1"/>
  <c r="L147" i="1"/>
  <c r="M147" i="1"/>
  <c r="N147" i="1" s="1"/>
  <c r="V147" i="1"/>
  <c r="Y147" i="1"/>
  <c r="Z147" i="1"/>
  <c r="AA147" i="1" s="1"/>
  <c r="W147" i="1" s="1"/>
  <c r="AB147" i="1"/>
  <c r="AC147" i="1"/>
  <c r="AD147" i="1"/>
  <c r="AG147" i="1" s="1"/>
  <c r="AE147" i="1"/>
  <c r="AF147" i="1"/>
  <c r="AH184" i="1"/>
  <c r="AM184" i="1"/>
  <c r="AN184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85" i="1"/>
  <c r="AM185" i="1"/>
  <c r="AN185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86" i="1"/>
  <c r="AM186" i="1"/>
  <c r="AN186" i="1"/>
  <c r="K150" i="1"/>
  <c r="L150" i="1"/>
  <c r="M150" i="1"/>
  <c r="N150" i="1"/>
  <c r="V150" i="1"/>
  <c r="Y150" i="1"/>
  <c r="Z150" i="1"/>
  <c r="AB150" i="1"/>
  <c r="AC150" i="1"/>
  <c r="AD150" i="1"/>
  <c r="T150" i="1" s="1"/>
  <c r="AE150" i="1"/>
  <c r="AF150" i="1"/>
  <c r="AH187" i="1"/>
  <c r="AM187" i="1"/>
  <c r="AN187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AF151" i="1"/>
  <c r="AH188" i="1"/>
  <c r="AM188" i="1"/>
  <c r="AN188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AF152" i="1"/>
  <c r="AH189" i="1"/>
  <c r="AM189" i="1"/>
  <c r="AN189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90" i="1"/>
  <c r="AM190" i="1"/>
  <c r="AN190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91" i="1"/>
  <c r="AM191" i="1"/>
  <c r="AN191" i="1"/>
  <c r="K155" i="1"/>
  <c r="L155" i="1"/>
  <c r="M155" i="1"/>
  <c r="N155" i="1" s="1"/>
  <c r="V155" i="1"/>
  <c r="Y155" i="1"/>
  <c r="Z155" i="1"/>
  <c r="AA155" i="1" s="1"/>
  <c r="W155" i="1" s="1"/>
  <c r="AB155" i="1"/>
  <c r="AC155" i="1"/>
  <c r="AD155" i="1"/>
  <c r="AG155" i="1" s="1"/>
  <c r="AE155" i="1"/>
  <c r="AF155" i="1"/>
  <c r="AH192" i="1"/>
  <c r="AM192" i="1"/>
  <c r="AN192" i="1"/>
  <c r="K156" i="1"/>
  <c r="L156" i="1"/>
  <c r="M156" i="1"/>
  <c r="N156" i="1"/>
  <c r="V156" i="1"/>
  <c r="Y156" i="1"/>
  <c r="Z156" i="1"/>
  <c r="AB156" i="1"/>
  <c r="AC156" i="1"/>
  <c r="AD156" i="1"/>
  <c r="AE156" i="1"/>
  <c r="AF156" i="1"/>
  <c r="AH193" i="1"/>
  <c r="AM193" i="1"/>
  <c r="AN193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94" i="1"/>
  <c r="AM194" i="1"/>
  <c r="AN194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95" i="1"/>
  <c r="AM195" i="1"/>
  <c r="AN195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AH196" i="1"/>
  <c r="AM196" i="1"/>
  <c r="AN196" i="1"/>
  <c r="K160" i="1"/>
  <c r="L160" i="1"/>
  <c r="M160" i="1"/>
  <c r="N160" i="1"/>
  <c r="V160" i="1"/>
  <c r="Y160" i="1"/>
  <c r="Z160" i="1"/>
  <c r="AA160" i="1"/>
  <c r="W160" i="1" s="1"/>
  <c r="AB160" i="1"/>
  <c r="AC160" i="1"/>
  <c r="AD160" i="1"/>
  <c r="AG160" i="1" s="1"/>
  <c r="AE160" i="1"/>
  <c r="AF160" i="1"/>
  <c r="AH197" i="1"/>
  <c r="AM197" i="1"/>
  <c r="AN197" i="1"/>
  <c r="K161" i="1"/>
  <c r="L161" i="1"/>
  <c r="M161" i="1"/>
  <c r="N161" i="1" s="1"/>
  <c r="T161" i="1"/>
  <c r="V161" i="1"/>
  <c r="Y161" i="1"/>
  <c r="Z161" i="1"/>
  <c r="AB161" i="1"/>
  <c r="AC161" i="1"/>
  <c r="AD161" i="1"/>
  <c r="X161" i="1" s="1"/>
  <c r="AE161" i="1"/>
  <c r="AF161" i="1"/>
  <c r="AH198" i="1"/>
  <c r="AM198" i="1"/>
  <c r="AN198" i="1"/>
  <c r="K162" i="1"/>
  <c r="L162" i="1"/>
  <c r="M162" i="1"/>
  <c r="N162" i="1" s="1"/>
  <c r="V162" i="1"/>
  <c r="S16" i="3" s="1"/>
  <c r="Y162" i="1"/>
  <c r="Z162" i="1"/>
  <c r="AB162" i="1"/>
  <c r="AC162" i="1"/>
  <c r="AD162" i="1"/>
  <c r="T162" i="1" s="1"/>
  <c r="AE162" i="1"/>
  <c r="R16" i="3" s="1"/>
  <c r="AF162" i="1"/>
  <c r="AH199" i="1"/>
  <c r="AM199" i="1"/>
  <c r="AN199" i="1"/>
  <c r="K163" i="1"/>
  <c r="L163" i="1"/>
  <c r="M163" i="1"/>
  <c r="N163" i="1" s="1"/>
  <c r="V163" i="1"/>
  <c r="Y163" i="1"/>
  <c r="Z163" i="1"/>
  <c r="AA163" i="1" s="1"/>
  <c r="W163" i="1" s="1"/>
  <c r="AB163" i="1"/>
  <c r="AC163" i="1"/>
  <c r="AD163" i="1"/>
  <c r="AG163" i="1" s="1"/>
  <c r="AE163" i="1"/>
  <c r="AF163" i="1"/>
  <c r="AH200" i="1"/>
  <c r="AM200" i="1"/>
  <c r="AN200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AH201" i="1"/>
  <c r="AM201" i="1"/>
  <c r="AN201" i="1"/>
  <c r="K199" i="1"/>
  <c r="L199" i="1"/>
  <c r="M199" i="1"/>
  <c r="N199" i="1" s="1"/>
  <c r="T199" i="1"/>
  <c r="V199" i="1"/>
  <c r="X199" i="1"/>
  <c r="Y199" i="1"/>
  <c r="Z199" i="1"/>
  <c r="AB199" i="1"/>
  <c r="AC199" i="1"/>
  <c r="AD199" i="1"/>
  <c r="AE199" i="1"/>
  <c r="AF199" i="1"/>
  <c r="AG199" i="1"/>
  <c r="AH202" i="1"/>
  <c r="AM202" i="1"/>
  <c r="AN202" i="1"/>
  <c r="K200" i="1"/>
  <c r="L200" i="1"/>
  <c r="M200" i="1"/>
  <c r="N200" i="1" s="1"/>
  <c r="V200" i="1"/>
  <c r="Y200" i="1"/>
  <c r="Z200" i="1"/>
  <c r="AA200" i="1" s="1"/>
  <c r="AB200" i="1"/>
  <c r="AC200" i="1"/>
  <c r="AD200" i="1"/>
  <c r="T200" i="1" s="1"/>
  <c r="AE200" i="1"/>
  <c r="AF200" i="1"/>
  <c r="AH203" i="1"/>
  <c r="AM203" i="1"/>
  <c r="AN203" i="1"/>
  <c r="K201" i="1"/>
  <c r="L201" i="1"/>
  <c r="M201" i="1"/>
  <c r="N201" i="1"/>
  <c r="V201" i="1"/>
  <c r="Y201" i="1"/>
  <c r="AA201" i="1" s="1"/>
  <c r="Z201" i="1"/>
  <c r="AB201" i="1"/>
  <c r="AC201" i="1"/>
  <c r="AD201" i="1"/>
  <c r="AG201" i="1" s="1"/>
  <c r="AE201" i="1"/>
  <c r="AF201" i="1"/>
  <c r="AH204" i="1"/>
  <c r="AM204" i="1"/>
  <c r="AN204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AH205" i="1"/>
  <c r="AM205" i="1"/>
  <c r="AN205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AH206" i="1"/>
  <c r="AM206" i="1"/>
  <c r="AN206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07" i="1"/>
  <c r="AM207" i="1"/>
  <c r="AN207" i="1"/>
  <c r="K205" i="1"/>
  <c r="L205" i="1"/>
  <c r="M205" i="1"/>
  <c r="N205" i="1" s="1"/>
  <c r="V205" i="1"/>
  <c r="S42" i="3" s="1"/>
  <c r="Y205" i="1"/>
  <c r="Z205" i="1"/>
  <c r="AA205" i="1" s="1"/>
  <c r="W205" i="1" s="1"/>
  <c r="AB205" i="1"/>
  <c r="AC205" i="1"/>
  <c r="AD205" i="1"/>
  <c r="AG205" i="1" s="1"/>
  <c r="AE205" i="1"/>
  <c r="R42" i="3" s="1"/>
  <c r="AF205" i="1"/>
  <c r="AH208" i="1"/>
  <c r="AM208" i="1"/>
  <c r="AN208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AF206" i="1"/>
  <c r="AH209" i="1"/>
  <c r="AM209" i="1"/>
  <c r="AN20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10" i="1"/>
  <c r="AM210" i="1"/>
  <c r="AN210" i="1"/>
  <c r="K208" i="1"/>
  <c r="L208" i="1"/>
  <c r="M208" i="1"/>
  <c r="N208" i="1" s="1"/>
  <c r="V208" i="1"/>
  <c r="Y208" i="1"/>
  <c r="Z208" i="1"/>
  <c r="AA208" i="1" s="1"/>
  <c r="AB208" i="1"/>
  <c r="AC208" i="1"/>
  <c r="AD208" i="1"/>
  <c r="T208" i="1" s="1"/>
  <c r="AE208" i="1"/>
  <c r="AF208" i="1"/>
  <c r="AH211" i="1"/>
  <c r="AM211" i="1"/>
  <c r="AN211" i="1"/>
  <c r="K209" i="1"/>
  <c r="L209" i="1"/>
  <c r="M209" i="1"/>
  <c r="N209" i="1"/>
  <c r="V209" i="1"/>
  <c r="Y209" i="1"/>
  <c r="AA209" i="1" s="1"/>
  <c r="Z209" i="1"/>
  <c r="AB209" i="1"/>
  <c r="AC209" i="1"/>
  <c r="AD209" i="1"/>
  <c r="AG209" i="1" s="1"/>
  <c r="AE209" i="1"/>
  <c r="AF209" i="1"/>
  <c r="AH212" i="1"/>
  <c r="AM212" i="1"/>
  <c r="AN212" i="1"/>
  <c r="K210" i="1"/>
  <c r="L210" i="1"/>
  <c r="M210" i="1"/>
  <c r="N210" i="1" s="1"/>
  <c r="V210" i="1"/>
  <c r="Y210" i="1"/>
  <c r="Z210" i="1"/>
  <c r="AB210" i="1"/>
  <c r="AC210" i="1"/>
  <c r="AD210" i="1"/>
  <c r="AG210" i="1" s="1"/>
  <c r="AE210" i="1"/>
  <c r="AF210" i="1"/>
  <c r="AH213" i="1"/>
  <c r="AM213" i="1"/>
  <c r="AN213" i="1"/>
  <c r="K211" i="1"/>
  <c r="L211" i="1"/>
  <c r="M211" i="1"/>
  <c r="N211" i="1" s="1"/>
  <c r="V211" i="1"/>
  <c r="Y211" i="1"/>
  <c r="Z211" i="1"/>
  <c r="AB211" i="1"/>
  <c r="AC211" i="1"/>
  <c r="AD211" i="1"/>
  <c r="AE211" i="1"/>
  <c r="R47" i="3" s="1"/>
  <c r="AF211" i="1"/>
  <c r="AH214" i="1"/>
  <c r="AM214" i="1"/>
  <c r="AN214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215" i="1"/>
  <c r="AM215" i="1"/>
  <c r="AN215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AF213" i="1"/>
  <c r="AH216" i="1"/>
  <c r="AM216" i="1"/>
  <c r="AN216" i="1"/>
  <c r="K217" i="1"/>
  <c r="L217" i="1"/>
  <c r="M217" i="1"/>
  <c r="N217" i="1"/>
  <c r="V217" i="1"/>
  <c r="Y217" i="1"/>
  <c r="AA217" i="1" s="1"/>
  <c r="Z217" i="1"/>
  <c r="AB217" i="1"/>
  <c r="AC217" i="1"/>
  <c r="AD217" i="1"/>
  <c r="AG217" i="1" s="1"/>
  <c r="AE217" i="1"/>
  <c r="AF217" i="1"/>
  <c r="AH217" i="1"/>
  <c r="AM217" i="1"/>
  <c r="AN217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218" i="1"/>
  <c r="AM218" i="1"/>
  <c r="AN218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219" i="1"/>
  <c r="AM219" i="1"/>
  <c r="AN219" i="1"/>
  <c r="K220" i="1"/>
  <c r="L220" i="1"/>
  <c r="M220" i="1"/>
  <c r="N220" i="1" s="1"/>
  <c r="V220" i="1"/>
  <c r="Y220" i="1"/>
  <c r="Z220" i="1"/>
  <c r="AB220" i="1"/>
  <c r="AC220" i="1"/>
  <c r="AD220" i="1"/>
  <c r="AG220" i="1" s="1"/>
  <c r="AE220" i="1"/>
  <c r="AF220" i="1"/>
  <c r="AH220" i="1"/>
  <c r="AM220" i="1"/>
  <c r="AN220" i="1"/>
  <c r="K221" i="1"/>
  <c r="L221" i="1"/>
  <c r="M221" i="1"/>
  <c r="N221" i="1" s="1"/>
  <c r="V221" i="1"/>
  <c r="S45" i="3" s="1"/>
  <c r="Y221" i="1"/>
  <c r="Z221" i="1"/>
  <c r="AA221" i="1" s="1"/>
  <c r="W221" i="1" s="1"/>
  <c r="AB221" i="1"/>
  <c r="AC221" i="1"/>
  <c r="AD221" i="1"/>
  <c r="AG221" i="1" s="1"/>
  <c r="AE221" i="1"/>
  <c r="AF221" i="1"/>
  <c r="AH221" i="1"/>
  <c r="AM221" i="1"/>
  <c r="AN221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22" i="1"/>
  <c r="AM222" i="1"/>
  <c r="AN222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23" i="1"/>
  <c r="AM223" i="1"/>
  <c r="AN223" i="1"/>
  <c r="K224" i="1"/>
  <c r="L224" i="1"/>
  <c r="M224" i="1"/>
  <c r="N224" i="1" s="1"/>
  <c r="V224" i="1"/>
  <c r="Y224" i="1"/>
  <c r="Z224" i="1"/>
  <c r="AA224" i="1" s="1"/>
  <c r="W224" i="1" s="1"/>
  <c r="AB224" i="1"/>
  <c r="AC224" i="1"/>
  <c r="AD224" i="1"/>
  <c r="AG224" i="1" s="1"/>
  <c r="AE224" i="1"/>
  <c r="AF224" i="1"/>
  <c r="AH224" i="1"/>
  <c r="AM224" i="1"/>
  <c r="AN224" i="1"/>
  <c r="K225" i="1"/>
  <c r="L225" i="1"/>
  <c r="M225" i="1"/>
  <c r="N225" i="1" s="1"/>
  <c r="V225" i="1"/>
  <c r="Y225" i="1"/>
  <c r="Z225" i="1"/>
  <c r="AB225" i="1"/>
  <c r="AC225" i="1"/>
  <c r="AD225" i="1"/>
  <c r="AG225" i="1" s="1"/>
  <c r="AE225" i="1"/>
  <c r="AF225" i="1"/>
  <c r="AH225" i="1"/>
  <c r="AM225" i="1"/>
  <c r="AN225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226" i="1"/>
  <c r="AM226" i="1"/>
  <c r="AN226" i="1"/>
  <c r="K227" i="1"/>
  <c r="L227" i="1"/>
  <c r="M227" i="1"/>
  <c r="N227" i="1"/>
  <c r="V227" i="1"/>
  <c r="Y227" i="1"/>
  <c r="Z227" i="1"/>
  <c r="AB227" i="1"/>
  <c r="AC227" i="1"/>
  <c r="AD227" i="1"/>
  <c r="T227" i="1" s="1"/>
  <c r="AE227" i="1"/>
  <c r="AF227" i="1"/>
  <c r="AH227" i="1"/>
  <c r="AM227" i="1"/>
  <c r="AN227" i="1"/>
  <c r="K228" i="1"/>
  <c r="L228" i="1"/>
  <c r="M228" i="1"/>
  <c r="N228" i="1" s="1"/>
  <c r="V228" i="1"/>
  <c r="Y228" i="1"/>
  <c r="Z228" i="1"/>
  <c r="AB228" i="1"/>
  <c r="AC228" i="1"/>
  <c r="AD228" i="1"/>
  <c r="AG228" i="1" s="1"/>
  <c r="AE228" i="1"/>
  <c r="AF228" i="1"/>
  <c r="AH228" i="1"/>
  <c r="AM228" i="1"/>
  <c r="AN228" i="1"/>
  <c r="K229" i="1"/>
  <c r="L229" i="1"/>
  <c r="M229" i="1"/>
  <c r="N229" i="1" s="1"/>
  <c r="V229" i="1"/>
  <c r="S48" i="3" s="1"/>
  <c r="Y229" i="1"/>
  <c r="Z229" i="1"/>
  <c r="AA229" i="1" s="1"/>
  <c r="W229" i="1" s="1"/>
  <c r="AB229" i="1"/>
  <c r="AC229" i="1"/>
  <c r="AD229" i="1"/>
  <c r="AG229" i="1" s="1"/>
  <c r="AE229" i="1"/>
  <c r="R48" i="3" s="1"/>
  <c r="AF229" i="1"/>
  <c r="AH229" i="1"/>
  <c r="AM229" i="1"/>
  <c r="AN229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230" i="1"/>
  <c r="AM230" i="1"/>
  <c r="AN230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231" i="1"/>
  <c r="AM231" i="1"/>
  <c r="AN231" i="1"/>
  <c r="K232" i="1"/>
  <c r="L232" i="1"/>
  <c r="M232" i="1"/>
  <c r="N232" i="1" s="1"/>
  <c r="V232" i="1"/>
  <c r="Y232" i="1"/>
  <c r="Z232" i="1"/>
  <c r="AA232" i="1" s="1"/>
  <c r="W232" i="1" s="1"/>
  <c r="AB232" i="1"/>
  <c r="AC232" i="1"/>
  <c r="AD232" i="1"/>
  <c r="AG232" i="1" s="1"/>
  <c r="AE232" i="1"/>
  <c r="AF232" i="1"/>
  <c r="AH232" i="1"/>
  <c r="AM232" i="1"/>
  <c r="AN232" i="1"/>
  <c r="K233" i="1"/>
  <c r="L233" i="1"/>
  <c r="M233" i="1"/>
  <c r="N233" i="1" s="1"/>
  <c r="V233" i="1"/>
  <c r="Y233" i="1"/>
  <c r="AA233" i="1" s="1"/>
  <c r="Z233" i="1"/>
  <c r="AB233" i="1"/>
  <c r="AC233" i="1"/>
  <c r="AD233" i="1"/>
  <c r="AG233" i="1" s="1"/>
  <c r="AE233" i="1"/>
  <c r="AF233" i="1"/>
  <c r="AH233" i="1"/>
  <c r="AM233" i="1"/>
  <c r="AN233" i="1"/>
  <c r="K234" i="1"/>
  <c r="L234" i="1"/>
  <c r="M234" i="1"/>
  <c r="N234" i="1" s="1"/>
  <c r="V234" i="1"/>
  <c r="Y234" i="1"/>
  <c r="Z234" i="1"/>
  <c r="AB234" i="1"/>
  <c r="AC234" i="1"/>
  <c r="AD234" i="1"/>
  <c r="T234" i="1" s="1"/>
  <c r="AE234" i="1"/>
  <c r="AF234" i="1"/>
  <c r="AH234" i="1"/>
  <c r="AM234" i="1"/>
  <c r="AN234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235" i="1"/>
  <c r="AM235" i="1"/>
  <c r="AN235" i="1"/>
  <c r="K236" i="1"/>
  <c r="L236" i="1"/>
  <c r="M236" i="1"/>
  <c r="N236" i="1" s="1"/>
  <c r="V236" i="1"/>
  <c r="Y236" i="1"/>
  <c r="Z236" i="1"/>
  <c r="AB236" i="1"/>
  <c r="AC236" i="1"/>
  <c r="AD236" i="1"/>
  <c r="AG236" i="1" s="1"/>
  <c r="AE236" i="1"/>
  <c r="AF236" i="1"/>
  <c r="AH236" i="1"/>
  <c r="AM236" i="1"/>
  <c r="AN236" i="1"/>
  <c r="K237" i="1"/>
  <c r="L237" i="1"/>
  <c r="M237" i="1"/>
  <c r="N237" i="1"/>
  <c r="V237" i="1"/>
  <c r="Y237" i="1"/>
  <c r="Z237" i="1"/>
  <c r="AB237" i="1"/>
  <c r="AC237" i="1"/>
  <c r="AD237" i="1"/>
  <c r="T237" i="1" s="1"/>
  <c r="AE237" i="1"/>
  <c r="AF237" i="1"/>
  <c r="AH237" i="1"/>
  <c r="AM237" i="1"/>
  <c r="AN237" i="1"/>
  <c r="K238" i="1"/>
  <c r="L238" i="1"/>
  <c r="M238" i="1"/>
  <c r="N238" i="1" s="1"/>
  <c r="V238" i="1"/>
  <c r="Y238" i="1"/>
  <c r="Z238" i="1"/>
  <c r="AB238" i="1"/>
  <c r="AC238" i="1"/>
  <c r="AD238" i="1"/>
  <c r="AE238" i="1"/>
  <c r="AF238" i="1"/>
  <c r="AH238" i="1"/>
  <c r="AM238" i="1"/>
  <c r="AN238" i="1"/>
  <c r="K239" i="1"/>
  <c r="L239" i="1"/>
  <c r="M239" i="1"/>
  <c r="N239" i="1" s="1"/>
  <c r="V239" i="1"/>
  <c r="Y239" i="1"/>
  <c r="Z239" i="1"/>
  <c r="AB239" i="1"/>
  <c r="AC239" i="1"/>
  <c r="AD239" i="1"/>
  <c r="T239" i="1" s="1"/>
  <c r="AE239" i="1"/>
  <c r="AF239" i="1"/>
  <c r="AH239" i="1"/>
  <c r="AM239" i="1"/>
  <c r="AN239" i="1"/>
  <c r="K240" i="1"/>
  <c r="L240" i="1"/>
  <c r="M240" i="1"/>
  <c r="N240" i="1" s="1"/>
  <c r="V240" i="1"/>
  <c r="Y240" i="1"/>
  <c r="Z240" i="1"/>
  <c r="AB240" i="1"/>
  <c r="AC240" i="1"/>
  <c r="AD240" i="1"/>
  <c r="AG240" i="1" s="1"/>
  <c r="AE240" i="1"/>
  <c r="AF240" i="1"/>
  <c r="AH240" i="1"/>
  <c r="AM240" i="1"/>
  <c r="AN240" i="1"/>
  <c r="K241" i="1"/>
  <c r="L241" i="1"/>
  <c r="M241" i="1"/>
  <c r="N241" i="1" s="1"/>
  <c r="V241" i="1"/>
  <c r="X241" i="1"/>
  <c r="Y241" i="1"/>
  <c r="Z241" i="1"/>
  <c r="AB241" i="1"/>
  <c r="AC241" i="1"/>
  <c r="AD241" i="1"/>
  <c r="AG241" i="1" s="1"/>
  <c r="AE241" i="1"/>
  <c r="AF241" i="1"/>
  <c r="AH241" i="1"/>
  <c r="AM241" i="1"/>
  <c r="AN241" i="1"/>
  <c r="K242" i="1"/>
  <c r="L242" i="1"/>
  <c r="M242" i="1"/>
  <c r="N242" i="1" s="1"/>
  <c r="T242" i="1"/>
  <c r="V242" i="1"/>
  <c r="X242" i="1"/>
  <c r="Y242" i="1"/>
  <c r="Z242" i="1"/>
  <c r="AB242" i="1"/>
  <c r="AC242" i="1"/>
  <c r="AD242" i="1"/>
  <c r="AE242" i="1"/>
  <c r="AF242" i="1"/>
  <c r="AG242" i="1"/>
  <c r="AH242" i="1"/>
  <c r="AM242" i="1"/>
  <c r="AN242" i="1"/>
  <c r="K243" i="1"/>
  <c r="L243" i="1"/>
  <c r="M243" i="1"/>
  <c r="N243" i="1" s="1"/>
  <c r="V243" i="1"/>
  <c r="Y243" i="1"/>
  <c r="Z243" i="1"/>
  <c r="AA243" i="1" s="1"/>
  <c r="AB243" i="1"/>
  <c r="AC243" i="1"/>
  <c r="AD243" i="1"/>
  <c r="T243" i="1" s="1"/>
  <c r="AE243" i="1"/>
  <c r="AF243" i="1"/>
  <c r="AH243" i="1"/>
  <c r="AM243" i="1"/>
  <c r="AN243" i="1"/>
  <c r="M47" i="3"/>
  <c r="S47" i="3"/>
  <c r="U47" i="3"/>
  <c r="T47" i="3" s="1"/>
  <c r="V47" i="3"/>
  <c r="W47" i="3"/>
  <c r="Y47" i="3" s="1"/>
  <c r="X47" i="3"/>
  <c r="M32" i="3"/>
  <c r="R32" i="3"/>
  <c r="U32" i="3"/>
  <c r="V32" i="3"/>
  <c r="W32" i="3"/>
  <c r="X32" i="3"/>
  <c r="AC32" i="3"/>
  <c r="M14" i="3"/>
  <c r="U14" i="3"/>
  <c r="AC14" i="3" s="1"/>
  <c r="V14" i="3"/>
  <c r="W14" i="3"/>
  <c r="X14" i="3"/>
  <c r="M18" i="3"/>
  <c r="S18" i="3"/>
  <c r="U18" i="3"/>
  <c r="T18" i="3" s="1"/>
  <c r="V18" i="3"/>
  <c r="W18" i="3"/>
  <c r="X18" i="3"/>
  <c r="AC18" i="3"/>
  <c r="M26" i="3"/>
  <c r="S26" i="3"/>
  <c r="U26" i="3"/>
  <c r="T26" i="3" s="1"/>
  <c r="V26" i="3"/>
  <c r="W26" i="3"/>
  <c r="Y26" i="3" s="1"/>
  <c r="X26" i="3"/>
  <c r="AC26" i="3"/>
  <c r="M20" i="3"/>
  <c r="R20" i="3"/>
  <c r="U20" i="3"/>
  <c r="V20" i="3"/>
  <c r="W20" i="3"/>
  <c r="X20" i="3"/>
  <c r="M37" i="3"/>
  <c r="U37" i="3"/>
  <c r="AC37" i="3" s="1"/>
  <c r="V37" i="3"/>
  <c r="W37" i="3"/>
  <c r="X37" i="3"/>
  <c r="M35" i="3"/>
  <c r="R35" i="3"/>
  <c r="U35" i="3"/>
  <c r="V35" i="3"/>
  <c r="W35" i="3"/>
  <c r="X35" i="3"/>
  <c r="AC35" i="3"/>
  <c r="M15" i="3"/>
  <c r="R15" i="3"/>
  <c r="U15" i="3"/>
  <c r="T15" i="3" s="1"/>
  <c r="V15" i="3"/>
  <c r="W15" i="3"/>
  <c r="X15" i="3"/>
  <c r="AC15" i="3"/>
  <c r="M23" i="3"/>
  <c r="S23" i="3"/>
  <c r="U23" i="3"/>
  <c r="AE23" i="3" s="1"/>
  <c r="V23" i="3"/>
  <c r="W23" i="3"/>
  <c r="X23" i="3"/>
  <c r="AC23" i="3"/>
  <c r="M30" i="3"/>
  <c r="U30" i="3"/>
  <c r="AC30" i="3" s="1"/>
  <c r="V30" i="3"/>
  <c r="W30" i="3"/>
  <c r="Y30" i="3" s="1"/>
  <c r="X30" i="3"/>
  <c r="M36" i="3"/>
  <c r="U36" i="3"/>
  <c r="T36" i="3" s="1"/>
  <c r="V36" i="3"/>
  <c r="W36" i="3"/>
  <c r="X36" i="3"/>
  <c r="AC36" i="3"/>
  <c r="M33" i="3"/>
  <c r="U33" i="3"/>
  <c r="T33" i="3" s="1"/>
  <c r="V33" i="3"/>
  <c r="W33" i="3"/>
  <c r="X33" i="3"/>
  <c r="AC33" i="3"/>
  <c r="M39" i="3"/>
  <c r="U39" i="3"/>
  <c r="V39" i="3"/>
  <c r="W39" i="3"/>
  <c r="X39" i="3"/>
  <c r="AC39" i="3"/>
  <c r="M9" i="3"/>
  <c r="R9" i="3"/>
  <c r="U9" i="3"/>
  <c r="AC9" i="3" s="1"/>
  <c r="V9" i="3"/>
  <c r="W9" i="3"/>
  <c r="X9" i="3"/>
  <c r="M27" i="3"/>
  <c r="S27" i="3"/>
  <c r="U27" i="3"/>
  <c r="T27" i="3" s="1"/>
  <c r="V27" i="3"/>
  <c r="W27" i="3"/>
  <c r="X27" i="3"/>
  <c r="AC27" i="3"/>
  <c r="AD23" i="3"/>
  <c r="M48" i="3"/>
  <c r="U48" i="3"/>
  <c r="T48" i="3" s="1"/>
  <c r="V48" i="3"/>
  <c r="W48" i="3"/>
  <c r="X48" i="3"/>
  <c r="AC48" i="3"/>
  <c r="M40" i="3"/>
  <c r="R40" i="3"/>
  <c r="U40" i="3"/>
  <c r="AC40" i="3" s="1"/>
  <c r="V40" i="3"/>
  <c r="W40" i="3"/>
  <c r="Y40" i="3" s="1"/>
  <c r="X40" i="3"/>
  <c r="M38" i="3"/>
  <c r="S38" i="3"/>
  <c r="U38" i="3"/>
  <c r="AC38" i="3" s="1"/>
  <c r="V38" i="3"/>
  <c r="W38" i="3"/>
  <c r="X38" i="3"/>
  <c r="M21" i="3"/>
  <c r="U21" i="3"/>
  <c r="T21" i="3" s="1"/>
  <c r="V21" i="3"/>
  <c r="W21" i="3"/>
  <c r="X21" i="3"/>
  <c r="AC21" i="3"/>
  <c r="AD26" i="3"/>
  <c r="M31" i="3"/>
  <c r="R31" i="3"/>
  <c r="U31" i="3"/>
  <c r="T31" i="3" s="1"/>
  <c r="V31" i="3"/>
  <c r="W31" i="3"/>
  <c r="X31" i="3"/>
  <c r="AC31" i="3"/>
  <c r="AD27" i="3"/>
  <c r="M34" i="3"/>
  <c r="U34" i="3"/>
  <c r="AD34" i="3" s="1"/>
  <c r="V34" i="3"/>
  <c r="W34" i="3"/>
  <c r="X34" i="3"/>
  <c r="M13" i="3"/>
  <c r="R13" i="3"/>
  <c r="U13" i="3"/>
  <c r="AC13" i="3" s="1"/>
  <c r="V13" i="3"/>
  <c r="W13" i="3"/>
  <c r="X13" i="3"/>
  <c r="M24" i="3"/>
  <c r="R24" i="3"/>
  <c r="U24" i="3"/>
  <c r="V24" i="3"/>
  <c r="W24" i="3"/>
  <c r="X24" i="3"/>
  <c r="AC24" i="3"/>
  <c r="M28" i="3"/>
  <c r="U28" i="3"/>
  <c r="T28" i="3" s="1"/>
  <c r="V28" i="3"/>
  <c r="W28" i="3"/>
  <c r="X28" i="3"/>
  <c r="AC28" i="3"/>
  <c r="M29" i="3"/>
  <c r="S29" i="3"/>
  <c r="U29" i="3"/>
  <c r="AC29" i="3" s="1"/>
  <c r="V29" i="3"/>
  <c r="W29" i="3"/>
  <c r="X29" i="3"/>
  <c r="Y29" i="3"/>
  <c r="M19" i="3"/>
  <c r="S19" i="3"/>
  <c r="T19" i="3"/>
  <c r="U19" i="3"/>
  <c r="AD19" i="3" s="1"/>
  <c r="V19" i="3"/>
  <c r="W19" i="3"/>
  <c r="Y19" i="3" s="1"/>
  <c r="X19" i="3"/>
  <c r="AC19" i="3"/>
  <c r="AE34" i="3"/>
  <c r="M12" i="3"/>
  <c r="R12" i="3"/>
  <c r="U12" i="3"/>
  <c r="T12" i="3" s="1"/>
  <c r="V12" i="3"/>
  <c r="W12" i="3"/>
  <c r="X12" i="3"/>
  <c r="AC12" i="3"/>
  <c r="M25" i="3"/>
  <c r="R25" i="3"/>
  <c r="U25" i="3"/>
  <c r="V25" i="3"/>
  <c r="W25" i="3"/>
  <c r="X25" i="3"/>
  <c r="AC25" i="3"/>
  <c r="M22" i="3"/>
  <c r="U22" i="3"/>
  <c r="AC22" i="3" s="1"/>
  <c r="V22" i="3"/>
  <c r="W22" i="3"/>
  <c r="X22" i="3"/>
  <c r="M7" i="3"/>
  <c r="R7" i="3"/>
  <c r="U7" i="3"/>
  <c r="T7" i="3" s="1"/>
  <c r="V7" i="3"/>
  <c r="W7" i="3"/>
  <c r="X7" i="3"/>
  <c r="AC7" i="3"/>
  <c r="M10" i="3"/>
  <c r="R10" i="3"/>
  <c r="U10" i="3"/>
  <c r="T10" i="3" s="1"/>
  <c r="V10" i="3"/>
  <c r="W10" i="3"/>
  <c r="X10" i="3"/>
  <c r="AC10" i="3"/>
  <c r="AD39" i="3"/>
  <c r="M17" i="3"/>
  <c r="R17" i="3"/>
  <c r="U17" i="3"/>
  <c r="V17" i="3"/>
  <c r="W17" i="3"/>
  <c r="X17" i="3"/>
  <c r="Y17" i="3"/>
  <c r="M8" i="3"/>
  <c r="U8" i="3"/>
  <c r="AC8" i="3" s="1"/>
  <c r="V8" i="3"/>
  <c r="W8" i="3"/>
  <c r="X8" i="3"/>
  <c r="M11" i="3"/>
  <c r="S11" i="3"/>
  <c r="U11" i="3"/>
  <c r="T11" i="3" s="1"/>
  <c r="V11" i="3"/>
  <c r="W11" i="3"/>
  <c r="X11" i="3"/>
  <c r="AC11" i="3"/>
  <c r="M41" i="3"/>
  <c r="U41" i="3"/>
  <c r="T41" i="3" s="1"/>
  <c r="V41" i="3"/>
  <c r="W41" i="3"/>
  <c r="X41" i="3"/>
  <c r="AC41" i="3"/>
  <c r="M44" i="3"/>
  <c r="U44" i="3"/>
  <c r="AD44" i="3" s="1"/>
  <c r="V44" i="3"/>
  <c r="W44" i="3"/>
  <c r="X44" i="3"/>
  <c r="M45" i="3"/>
  <c r="U45" i="3"/>
  <c r="AC45" i="3" s="1"/>
  <c r="V45" i="3"/>
  <c r="W45" i="3"/>
  <c r="X45" i="3"/>
  <c r="M46" i="3"/>
  <c r="S46" i="3"/>
  <c r="U46" i="3"/>
  <c r="AD46" i="3" s="1"/>
  <c r="V46" i="3"/>
  <c r="W46" i="3"/>
  <c r="X46" i="3"/>
  <c r="AC46" i="3"/>
  <c r="M42" i="3"/>
  <c r="U42" i="3"/>
  <c r="T42" i="3" s="1"/>
  <c r="V42" i="3"/>
  <c r="W42" i="3"/>
  <c r="X42" i="3"/>
  <c r="AC42" i="3"/>
  <c r="AD47" i="3"/>
  <c r="M43" i="3"/>
  <c r="S43" i="3"/>
  <c r="U43" i="3"/>
  <c r="V43" i="3"/>
  <c r="W43" i="3"/>
  <c r="X43" i="3"/>
  <c r="M16" i="3"/>
  <c r="U16" i="3"/>
  <c r="AC16" i="3" s="1"/>
  <c r="V16" i="3"/>
  <c r="W16" i="3"/>
  <c r="Y16" i="3" s="1"/>
  <c r="X16" i="3"/>
  <c r="X46" i="1" l="1"/>
  <c r="AG57" i="1"/>
  <c r="T46" i="1"/>
  <c r="U46" i="1" s="1"/>
  <c r="S46" i="1" s="1"/>
  <c r="AG30" i="1"/>
  <c r="W17" i="1"/>
  <c r="R28" i="3"/>
  <c r="AA109" i="1"/>
  <c r="X109" i="1"/>
  <c r="AA104" i="1"/>
  <c r="W104" i="1" s="1"/>
  <c r="T104" i="1"/>
  <c r="W33" i="1"/>
  <c r="AD40" i="3"/>
  <c r="AA240" i="1"/>
  <c r="W240" i="1" s="1"/>
  <c r="AA225" i="1"/>
  <c r="AA213" i="1"/>
  <c r="W213" i="1" s="1"/>
  <c r="AG207" i="1"/>
  <c r="U207" i="1" s="1"/>
  <c r="S207" i="1" s="1"/>
  <c r="X207" i="1"/>
  <c r="X206" i="1"/>
  <c r="AA152" i="1"/>
  <c r="W152" i="1" s="1"/>
  <c r="AA146" i="1"/>
  <c r="AA144" i="1"/>
  <c r="W144" i="1" s="1"/>
  <c r="X130" i="1"/>
  <c r="AG129" i="1"/>
  <c r="U129" i="1" s="1"/>
  <c r="S129" i="1" s="1"/>
  <c r="AA128" i="1"/>
  <c r="AA176" i="1"/>
  <c r="AA173" i="1"/>
  <c r="AA93" i="1"/>
  <c r="AA81" i="1"/>
  <c r="W81" i="1" s="1"/>
  <c r="AA61" i="1"/>
  <c r="W61" i="1" s="1"/>
  <c r="AI44" i="1"/>
  <c r="AA34" i="1"/>
  <c r="AA20" i="1"/>
  <c r="Y44" i="3"/>
  <c r="AD36" i="3"/>
  <c r="R19" i="3"/>
  <c r="Y20" i="3"/>
  <c r="X238" i="1"/>
  <c r="X188" i="1"/>
  <c r="AI81" i="1"/>
  <c r="AA43" i="1"/>
  <c r="AA42" i="1"/>
  <c r="W42" i="1" s="1"/>
  <c r="AA35" i="1"/>
  <c r="X33" i="1"/>
  <c r="AI29" i="1"/>
  <c r="S10" i="3"/>
  <c r="Y22" i="3"/>
  <c r="AD48" i="3"/>
  <c r="Y10" i="3"/>
  <c r="S25" i="3"/>
  <c r="Y48" i="3"/>
  <c r="AA241" i="1"/>
  <c r="AA237" i="1"/>
  <c r="X233" i="1"/>
  <c r="AG226" i="1"/>
  <c r="X226" i="1"/>
  <c r="AA220" i="1"/>
  <c r="W220" i="1" s="1"/>
  <c r="AA212" i="1"/>
  <c r="AA204" i="1"/>
  <c r="AA202" i="1"/>
  <c r="W202" i="1" s="1"/>
  <c r="AA162" i="1"/>
  <c r="AA158" i="1"/>
  <c r="X153" i="1"/>
  <c r="AA148" i="1"/>
  <c r="AG137" i="1"/>
  <c r="U137" i="1" s="1"/>
  <c r="S137" i="1" s="1"/>
  <c r="AG121" i="1"/>
  <c r="W121" i="1" s="1"/>
  <c r="X114" i="1"/>
  <c r="AA108" i="1"/>
  <c r="X195" i="1"/>
  <c r="AA191" i="1"/>
  <c r="W191" i="1" s="1"/>
  <c r="AA186" i="1"/>
  <c r="AA64" i="1"/>
  <c r="AA48" i="1"/>
  <c r="W48" i="1" s="1"/>
  <c r="AI42" i="1"/>
  <c r="AA40" i="1"/>
  <c r="Y38" i="3"/>
  <c r="Y36" i="3"/>
  <c r="AE38" i="3"/>
  <c r="Y23" i="3"/>
  <c r="Y43" i="3"/>
  <c r="S44" i="3"/>
  <c r="Y8" i="3"/>
  <c r="AD38" i="3"/>
  <c r="Y25" i="3"/>
  <c r="AD32" i="3"/>
  <c r="AE30" i="3"/>
  <c r="Y34" i="3"/>
  <c r="Y9" i="3"/>
  <c r="Y39" i="3"/>
  <c r="Y37" i="3"/>
  <c r="Y32" i="3"/>
  <c r="X157" i="1"/>
  <c r="AG157" i="1"/>
  <c r="AG148" i="1"/>
  <c r="AI148" i="1" s="1"/>
  <c r="X148" i="1"/>
  <c r="X177" i="1"/>
  <c r="T177" i="1"/>
  <c r="AG234" i="1"/>
  <c r="U234" i="1" s="1"/>
  <c r="S234" i="1" s="1"/>
  <c r="X234" i="1"/>
  <c r="X230" i="1"/>
  <c r="X211" i="1"/>
  <c r="T211" i="1"/>
  <c r="T157" i="1"/>
  <c r="AG141" i="1"/>
  <c r="X141" i="1"/>
  <c r="T238" i="1"/>
  <c r="U238" i="1" s="1"/>
  <c r="S238" i="1" s="1"/>
  <c r="AA235" i="1"/>
  <c r="X225" i="1"/>
  <c r="AG218" i="1"/>
  <c r="AI218" i="1" s="1"/>
  <c r="X218" i="1"/>
  <c r="AA210" i="1"/>
  <c r="W210" i="1" s="1"/>
  <c r="X203" i="1"/>
  <c r="T203" i="1"/>
  <c r="AG156" i="1"/>
  <c r="X156" i="1"/>
  <c r="AA156" i="1"/>
  <c r="AA134" i="1"/>
  <c r="AG133" i="1"/>
  <c r="W133" i="1" s="1"/>
  <c r="T133" i="1"/>
  <c r="T130" i="1"/>
  <c r="X129" i="1"/>
  <c r="X101" i="1"/>
  <c r="T101" i="1"/>
  <c r="X191" i="1"/>
  <c r="T191" i="1"/>
  <c r="T77" i="1"/>
  <c r="AG77" i="1"/>
  <c r="W44" i="1"/>
  <c r="AG238" i="1"/>
  <c r="AA236" i="1"/>
  <c r="AA228" i="1"/>
  <c r="W228" i="1" s="1"/>
  <c r="X222" i="1"/>
  <c r="AA154" i="1"/>
  <c r="AA150" i="1"/>
  <c r="X149" i="1"/>
  <c r="AG149" i="1"/>
  <c r="U149" i="1" s="1"/>
  <c r="S149" i="1" s="1"/>
  <c r="AA137" i="1"/>
  <c r="X125" i="1"/>
  <c r="T100" i="1"/>
  <c r="AG100" i="1"/>
  <c r="AA100" i="1"/>
  <c r="X184" i="1"/>
  <c r="T184" i="1"/>
  <c r="T74" i="1"/>
  <c r="X74" i="1"/>
  <c r="AG74" i="1"/>
  <c r="AI74" i="1" s="1"/>
  <c r="AG60" i="1"/>
  <c r="AI60" i="1" s="1"/>
  <c r="T60" i="1"/>
  <c r="U60" i="1" s="1"/>
  <c r="S60" i="1" s="1"/>
  <c r="T153" i="1"/>
  <c r="AI174" i="1"/>
  <c r="T173" i="1"/>
  <c r="X173" i="1"/>
  <c r="X170" i="1"/>
  <c r="AG170" i="1"/>
  <c r="AI170" i="1" s="1"/>
  <c r="T170" i="1"/>
  <c r="X61" i="1"/>
  <c r="T61" i="1"/>
  <c r="AG56" i="1"/>
  <c r="AI56" i="1" s="1"/>
  <c r="X56" i="1"/>
  <c r="AA231" i="1"/>
  <c r="AA227" i="1"/>
  <c r="AA223" i="1"/>
  <c r="AA219" i="1"/>
  <c r="AA206" i="1"/>
  <c r="W206" i="1" s="1"/>
  <c r="AA198" i="1"/>
  <c r="AA159" i="1"/>
  <c r="AA151" i="1"/>
  <c r="AA132" i="1"/>
  <c r="AA124" i="1"/>
  <c r="AA120" i="1"/>
  <c r="AA118" i="1"/>
  <c r="AA115" i="1"/>
  <c r="W115" i="1" s="1"/>
  <c r="AG113" i="1"/>
  <c r="U113" i="1" s="1"/>
  <c r="S113" i="1" s="1"/>
  <c r="AA112" i="1"/>
  <c r="AA215" i="1"/>
  <c r="W215" i="1" s="1"/>
  <c r="X100" i="1"/>
  <c r="AA189" i="1"/>
  <c r="W189" i="1" s="1"/>
  <c r="X97" i="1"/>
  <c r="AA179" i="1"/>
  <c r="AA172" i="1"/>
  <c r="AA171" i="1"/>
  <c r="W171" i="1" s="1"/>
  <c r="AA169" i="1"/>
  <c r="AG89" i="1"/>
  <c r="AI89" i="1" s="1"/>
  <c r="AG86" i="1"/>
  <c r="AI86" i="1" s="1"/>
  <c r="AA84" i="1"/>
  <c r="AG82" i="1"/>
  <c r="U82" i="1" s="1"/>
  <c r="X82" i="1"/>
  <c r="AA78" i="1"/>
  <c r="AA77" i="1"/>
  <c r="X73" i="1"/>
  <c r="AA69" i="1"/>
  <c r="X64" i="1"/>
  <c r="AA56" i="1"/>
  <c r="AA55" i="1"/>
  <c r="AA52" i="1"/>
  <c r="X37" i="1"/>
  <c r="AA30" i="1"/>
  <c r="W30" i="1" s="1"/>
  <c r="AA25" i="1"/>
  <c r="W25" i="1" s="1"/>
  <c r="AA22" i="1"/>
  <c r="AA164" i="1"/>
  <c r="W164" i="1" s="1"/>
  <c r="U94" i="1"/>
  <c r="S94" i="1" s="1"/>
  <c r="W89" i="1"/>
  <c r="AA53" i="1"/>
  <c r="T29" i="1"/>
  <c r="U29" i="1" s="1"/>
  <c r="S29" i="1" s="1"/>
  <c r="AA26" i="1"/>
  <c r="AA113" i="1"/>
  <c r="AA214" i="1"/>
  <c r="AG96" i="1"/>
  <c r="U96" i="1" s="1"/>
  <c r="S96" i="1" s="1"/>
  <c r="X96" i="1"/>
  <c r="AA168" i="1"/>
  <c r="AG73" i="1"/>
  <c r="AI73" i="1" s="1"/>
  <c r="AG70" i="1"/>
  <c r="U70" i="1" s="1"/>
  <c r="S70" i="1" s="1"/>
  <c r="X70" i="1"/>
  <c r="AI64" i="1"/>
  <c r="AG53" i="1"/>
  <c r="X53" i="1"/>
  <c r="AG46" i="1"/>
  <c r="AI46" i="1" s="1"/>
  <c r="X138" i="1"/>
  <c r="AG138" i="1"/>
  <c r="X196" i="1"/>
  <c r="AG196" i="1"/>
  <c r="T196" i="1"/>
  <c r="X34" i="1"/>
  <c r="AG34" i="1"/>
  <c r="AI34" i="1" s="1"/>
  <c r="T34" i="1"/>
  <c r="X142" i="1"/>
  <c r="AG142" i="1"/>
  <c r="AI142" i="1" s="1"/>
  <c r="T142" i="1"/>
  <c r="T90" i="1"/>
  <c r="X90" i="1"/>
  <c r="AG90" i="1"/>
  <c r="AI90" i="1" s="1"/>
  <c r="AI242" i="1"/>
  <c r="W129" i="1"/>
  <c r="W117" i="1"/>
  <c r="X110" i="1"/>
  <c r="AG110" i="1"/>
  <c r="U110" i="1" s="1"/>
  <c r="S110" i="1" s="1"/>
  <c r="T110" i="1"/>
  <c r="U215" i="1"/>
  <c r="S215" i="1" s="1"/>
  <c r="AG180" i="1"/>
  <c r="T180" i="1"/>
  <c r="AG169" i="1"/>
  <c r="X169" i="1"/>
  <c r="T169" i="1"/>
  <c r="AI93" i="1"/>
  <c r="U117" i="1"/>
  <c r="S117" i="1" s="1"/>
  <c r="AI117" i="1"/>
  <c r="X122" i="1"/>
  <c r="AG122" i="1"/>
  <c r="U122" i="1" s="1"/>
  <c r="U104" i="1"/>
  <c r="AG197" i="1"/>
  <c r="X198" i="1"/>
  <c r="X26" i="1"/>
  <c r="AG26" i="1"/>
  <c r="T26" i="1"/>
  <c r="AA239" i="1"/>
  <c r="AA238" i="1"/>
  <c r="W238" i="1" s="1"/>
  <c r="AG237" i="1"/>
  <c r="X237" i="1"/>
  <c r="R45" i="3"/>
  <c r="R44" i="3"/>
  <c r="T138" i="1"/>
  <c r="X126" i="1"/>
  <c r="AG126" i="1"/>
  <c r="AI126" i="1" s="1"/>
  <c r="T126" i="1"/>
  <c r="X216" i="1"/>
  <c r="AG216" i="1"/>
  <c r="U216" i="1" s="1"/>
  <c r="X217" i="1"/>
  <c r="W180" i="1"/>
  <c r="AG68" i="1"/>
  <c r="AI68" i="1" s="1"/>
  <c r="X68" i="1"/>
  <c r="T68" i="1"/>
  <c r="U57" i="1"/>
  <c r="S57" i="1" s="1"/>
  <c r="T51" i="1"/>
  <c r="X51" i="1"/>
  <c r="AG51" i="1"/>
  <c r="AG230" i="1"/>
  <c r="AI230" i="1" s="1"/>
  <c r="AG222" i="1"/>
  <c r="U222" i="1" s="1"/>
  <c r="S222" i="1" s="1"/>
  <c r="AG211" i="1"/>
  <c r="U211" i="1" s="1"/>
  <c r="S211" i="1" s="1"/>
  <c r="AG203" i="1"/>
  <c r="AG161" i="1"/>
  <c r="AG153" i="1"/>
  <c r="AG145" i="1"/>
  <c r="U145" i="1" s="1"/>
  <c r="S145" i="1" s="1"/>
  <c r="T141" i="1"/>
  <c r="U141" i="1" s="1"/>
  <c r="S141" i="1" s="1"/>
  <c r="T134" i="1"/>
  <c r="AG130" i="1"/>
  <c r="AA242" i="1"/>
  <c r="W242" i="1" s="1"/>
  <c r="T241" i="1"/>
  <c r="U241" i="1" s="1"/>
  <c r="S241" i="1" s="1"/>
  <c r="AA234" i="1"/>
  <c r="T233" i="1"/>
  <c r="U233" i="1" s="1"/>
  <c r="S233" i="1" s="1"/>
  <c r="X229" i="1"/>
  <c r="AA226" i="1"/>
  <c r="W226" i="1" s="1"/>
  <c r="T225" i="1"/>
  <c r="U225" i="1" s="1"/>
  <c r="S225" i="1" s="1"/>
  <c r="X221" i="1"/>
  <c r="AA218" i="1"/>
  <c r="T217" i="1"/>
  <c r="X210" i="1"/>
  <c r="AA207" i="1"/>
  <c r="T206" i="1"/>
  <c r="U206" i="1" s="1"/>
  <c r="S206" i="1" s="1"/>
  <c r="X202" i="1"/>
  <c r="AA199" i="1"/>
  <c r="W199" i="1" s="1"/>
  <c r="T198" i="1"/>
  <c r="U198" i="1" s="1"/>
  <c r="S198" i="1" s="1"/>
  <c r="X160" i="1"/>
  <c r="AA157" i="1"/>
  <c r="W157" i="1" s="1"/>
  <c r="T156" i="1"/>
  <c r="X152" i="1"/>
  <c r="AA149" i="1"/>
  <c r="T148" i="1"/>
  <c r="AA143" i="1"/>
  <c r="W143" i="1" s="1"/>
  <c r="AA142" i="1"/>
  <c r="W142" i="1" s="1"/>
  <c r="AA139" i="1"/>
  <c r="AA138" i="1"/>
  <c r="W138" i="1" s="1"/>
  <c r="AG134" i="1"/>
  <c r="AA127" i="1"/>
  <c r="W127" i="1" s="1"/>
  <c r="AA126" i="1"/>
  <c r="W126" i="1" s="1"/>
  <c r="AG125" i="1"/>
  <c r="AA123" i="1"/>
  <c r="AA122" i="1"/>
  <c r="X121" i="1"/>
  <c r="AG118" i="1"/>
  <c r="U118" i="1" s="1"/>
  <c r="X118" i="1"/>
  <c r="AA111" i="1"/>
  <c r="AA110" i="1"/>
  <c r="AG109" i="1"/>
  <c r="AA107" i="1"/>
  <c r="AA216" i="1"/>
  <c r="X215" i="1"/>
  <c r="AG105" i="1"/>
  <c r="W105" i="1" s="1"/>
  <c r="X105" i="1"/>
  <c r="AA197" i="1"/>
  <c r="AA196" i="1"/>
  <c r="AG195" i="1"/>
  <c r="AA194" i="1"/>
  <c r="AG192" i="1"/>
  <c r="AI192" i="1" s="1"/>
  <c r="X192" i="1"/>
  <c r="AG191" i="1"/>
  <c r="AG187" i="1"/>
  <c r="U187" i="1" s="1"/>
  <c r="S187" i="1" s="1"/>
  <c r="X187" i="1"/>
  <c r="T97" i="1"/>
  <c r="T93" i="1"/>
  <c r="U93" i="1" s="1"/>
  <c r="S93" i="1" s="1"/>
  <c r="X94" i="1"/>
  <c r="AG69" i="1"/>
  <c r="W69" i="1" s="1"/>
  <c r="X69" i="1"/>
  <c r="AA68" i="1"/>
  <c r="W53" i="1"/>
  <c r="AG52" i="1"/>
  <c r="AI52" i="1" s="1"/>
  <c r="X52" i="1"/>
  <c r="AG50" i="1"/>
  <c r="T50" i="1"/>
  <c r="AA32" i="1"/>
  <c r="AA230" i="1"/>
  <c r="T229" i="1"/>
  <c r="U229" i="1" s="1"/>
  <c r="S229" i="1" s="1"/>
  <c r="AA222" i="1"/>
  <c r="W222" i="1" s="1"/>
  <c r="T221" i="1"/>
  <c r="U221" i="1" s="1"/>
  <c r="S221" i="1" s="1"/>
  <c r="AA211" i="1"/>
  <c r="T210" i="1"/>
  <c r="AA203" i="1"/>
  <c r="T202" i="1"/>
  <c r="U202" i="1" s="1"/>
  <c r="S202" i="1" s="1"/>
  <c r="AA161" i="1"/>
  <c r="T160" i="1"/>
  <c r="AA153" i="1"/>
  <c r="W153" i="1" s="1"/>
  <c r="T152" i="1"/>
  <c r="U152" i="1" s="1"/>
  <c r="S152" i="1" s="1"/>
  <c r="AA145" i="1"/>
  <c r="W141" i="1"/>
  <c r="W125" i="1"/>
  <c r="W195" i="1"/>
  <c r="U165" i="1"/>
  <c r="S165" i="1" s="1"/>
  <c r="AG85" i="1"/>
  <c r="X85" i="1"/>
  <c r="X78" i="1"/>
  <c r="AG78" i="1"/>
  <c r="U78" i="1" s="1"/>
  <c r="S78" i="1" s="1"/>
  <c r="X65" i="1"/>
  <c r="AG65" i="1"/>
  <c r="U65" i="1" s="1"/>
  <c r="AA65" i="1"/>
  <c r="T47" i="1"/>
  <c r="X47" i="1"/>
  <c r="AG47" i="1"/>
  <c r="W47" i="1" s="1"/>
  <c r="X38" i="1"/>
  <c r="AG38" i="1"/>
  <c r="U38" i="1" s="1"/>
  <c r="S38" i="1" s="1"/>
  <c r="AA38" i="1"/>
  <c r="AG21" i="1"/>
  <c r="X21" i="1"/>
  <c r="AG114" i="1"/>
  <c r="U114" i="1" s="1"/>
  <c r="S114" i="1" s="1"/>
  <c r="AG101" i="1"/>
  <c r="AG97" i="1"/>
  <c r="W97" i="1" s="1"/>
  <c r="AG176" i="1"/>
  <c r="W176" i="1" s="1"/>
  <c r="W93" i="1"/>
  <c r="X86" i="1"/>
  <c r="T69" i="1"/>
  <c r="AG61" i="1"/>
  <c r="T52" i="1"/>
  <c r="AG41" i="1"/>
  <c r="AI41" i="1" s="1"/>
  <c r="T41" i="1"/>
  <c r="AA39" i="1"/>
  <c r="W39" i="1" s="1"/>
  <c r="U30" i="1"/>
  <c r="X30" i="1"/>
  <c r="AG22" i="1"/>
  <c r="U22" i="1" s="1"/>
  <c r="S22" i="1" s="1"/>
  <c r="X22" i="1"/>
  <c r="AA98" i="1"/>
  <c r="AA193" i="1"/>
  <c r="W193" i="1" s="1"/>
  <c r="AA192" i="1"/>
  <c r="AA188" i="1"/>
  <c r="W188" i="1" s="1"/>
  <c r="AG184" i="1"/>
  <c r="AG181" i="1"/>
  <c r="W181" i="1" s="1"/>
  <c r="X181" i="1"/>
  <c r="AG177" i="1"/>
  <c r="U177" i="1" s="1"/>
  <c r="AA175" i="1"/>
  <c r="AA174" i="1"/>
  <c r="W174" i="1" s="1"/>
  <c r="AG173" i="1"/>
  <c r="U173" i="1" s="1"/>
  <c r="S173" i="1" s="1"/>
  <c r="AG166" i="1"/>
  <c r="X166" i="1"/>
  <c r="AA92" i="1"/>
  <c r="AA91" i="1"/>
  <c r="W91" i="1" s="1"/>
  <c r="U81" i="1"/>
  <c r="S81" i="1" s="1"/>
  <c r="AA76" i="1"/>
  <c r="AA75" i="1"/>
  <c r="W75" i="1" s="1"/>
  <c r="T64" i="1"/>
  <c r="U64" i="1" s="1"/>
  <c r="S64" i="1" s="1"/>
  <c r="T56" i="1"/>
  <c r="U42" i="1"/>
  <c r="S42" i="1" s="1"/>
  <c r="AA31" i="1"/>
  <c r="AA24" i="1"/>
  <c r="AA23" i="1"/>
  <c r="AA19" i="1"/>
  <c r="W19" i="1" s="1"/>
  <c r="AA18" i="1"/>
  <c r="W18" i="1" s="1"/>
  <c r="AA88" i="1"/>
  <c r="AA87" i="1"/>
  <c r="W87" i="1" s="1"/>
  <c r="AA83" i="1"/>
  <c r="AA82" i="1"/>
  <c r="W82" i="1" s="1"/>
  <c r="AA80" i="1"/>
  <c r="AA72" i="1"/>
  <c r="AA71" i="1"/>
  <c r="W71" i="1" s="1"/>
  <c r="AA59" i="1"/>
  <c r="AA57" i="1"/>
  <c r="W57" i="1" s="1"/>
  <c r="AA46" i="1"/>
  <c r="W46" i="1" s="1"/>
  <c r="T37" i="1"/>
  <c r="U37" i="1" s="1"/>
  <c r="S37" i="1" s="1"/>
  <c r="T33" i="1"/>
  <c r="U33" i="1" s="1"/>
  <c r="S33" i="1" s="1"/>
  <c r="T25" i="1"/>
  <c r="U25" i="1" s="1"/>
  <c r="S25" i="1" s="1"/>
  <c r="AI232" i="1"/>
  <c r="AI241" i="1"/>
  <c r="AI236" i="1"/>
  <c r="AI233" i="1"/>
  <c r="AI228" i="1"/>
  <c r="AI225" i="1"/>
  <c r="AI220" i="1"/>
  <c r="U217" i="1"/>
  <c r="S217" i="1" s="1"/>
  <c r="AI217" i="1"/>
  <c r="AI209" i="1"/>
  <c r="AI201" i="1"/>
  <c r="AI193" i="1"/>
  <c r="AI188" i="1"/>
  <c r="AI185" i="1"/>
  <c r="AI180" i="1"/>
  <c r="AI240" i="1"/>
  <c r="AI237" i="1"/>
  <c r="U237" i="1"/>
  <c r="S237" i="1" s="1"/>
  <c r="AI229" i="1"/>
  <c r="AI224" i="1"/>
  <c r="AI221" i="1"/>
  <c r="AI213" i="1"/>
  <c r="U210" i="1"/>
  <c r="S210" i="1" s="1"/>
  <c r="AI205" i="1"/>
  <c r="AI197" i="1"/>
  <c r="U160" i="1"/>
  <c r="S160" i="1" s="1"/>
  <c r="AI189" i="1"/>
  <c r="AI184" i="1"/>
  <c r="W241" i="1"/>
  <c r="W236" i="1"/>
  <c r="W233" i="1"/>
  <c r="W225" i="1"/>
  <c r="W217" i="1"/>
  <c r="W209" i="1"/>
  <c r="W201" i="1"/>
  <c r="W198" i="1"/>
  <c r="W159" i="1"/>
  <c r="W156" i="1"/>
  <c r="W151" i="1"/>
  <c r="AI79" i="1"/>
  <c r="U242" i="1"/>
  <c r="S242" i="1" s="1"/>
  <c r="T106" i="1"/>
  <c r="X106" i="1"/>
  <c r="AG103" i="1"/>
  <c r="T103" i="1"/>
  <c r="X103" i="1"/>
  <c r="T182" i="1"/>
  <c r="X182" i="1"/>
  <c r="AG182" i="1"/>
  <c r="T178" i="1"/>
  <c r="X178" i="1"/>
  <c r="AG92" i="1"/>
  <c r="T92" i="1"/>
  <c r="X92" i="1"/>
  <c r="X93" i="1"/>
  <c r="AG80" i="1"/>
  <c r="T80" i="1"/>
  <c r="X80" i="1"/>
  <c r="X81" i="1"/>
  <c r="AG235" i="1"/>
  <c r="AG227" i="1"/>
  <c r="AG223" i="1"/>
  <c r="AG212" i="1"/>
  <c r="AI212" i="1" s="1"/>
  <c r="AG200" i="1"/>
  <c r="AI200" i="1" s="1"/>
  <c r="AG162" i="1"/>
  <c r="AI162" i="1" s="1"/>
  <c r="AG154" i="1"/>
  <c r="AI154" i="1" s="1"/>
  <c r="T144" i="1"/>
  <c r="U144" i="1" s="1"/>
  <c r="S144" i="1" s="1"/>
  <c r="AG136" i="1"/>
  <c r="AI136" i="1" s="1"/>
  <c r="T136" i="1"/>
  <c r="X136" i="1"/>
  <c r="W197" i="1"/>
  <c r="T98" i="1"/>
  <c r="X98" i="1"/>
  <c r="U192" i="1"/>
  <c r="S192" i="1" s="1"/>
  <c r="AG178" i="1"/>
  <c r="AI178" i="1" s="1"/>
  <c r="T167" i="1"/>
  <c r="X167" i="1"/>
  <c r="AG167" i="1"/>
  <c r="W167" i="1" s="1"/>
  <c r="T95" i="1"/>
  <c r="X95" i="1"/>
  <c r="AG76" i="1"/>
  <c r="T76" i="1"/>
  <c r="X76" i="1"/>
  <c r="X77" i="1"/>
  <c r="T28" i="1"/>
  <c r="X28" i="1"/>
  <c r="AG28" i="1"/>
  <c r="W28" i="1" s="1"/>
  <c r="X29" i="1"/>
  <c r="R43" i="3"/>
  <c r="R46" i="3"/>
  <c r="X240" i="1"/>
  <c r="T240" i="1"/>
  <c r="U240" i="1" s="1"/>
  <c r="S240" i="1" s="1"/>
  <c r="X236" i="1"/>
  <c r="T236" i="1"/>
  <c r="U236" i="1" s="1"/>
  <c r="S236" i="1" s="1"/>
  <c r="X232" i="1"/>
  <c r="T232" i="1"/>
  <c r="U232" i="1" s="1"/>
  <c r="S232" i="1" s="1"/>
  <c r="X228" i="1"/>
  <c r="T228" i="1"/>
  <c r="U228" i="1" s="1"/>
  <c r="S228" i="1" s="1"/>
  <c r="X224" i="1"/>
  <c r="T224" i="1"/>
  <c r="U224" i="1" s="1"/>
  <c r="S224" i="1" s="1"/>
  <c r="X220" i="1"/>
  <c r="T220" i="1"/>
  <c r="U220" i="1" s="1"/>
  <c r="S220" i="1" s="1"/>
  <c r="X213" i="1"/>
  <c r="T213" i="1"/>
  <c r="U213" i="1" s="1"/>
  <c r="S213" i="1" s="1"/>
  <c r="X209" i="1"/>
  <c r="T209" i="1"/>
  <c r="U209" i="1" s="1"/>
  <c r="S209" i="1" s="1"/>
  <c r="X205" i="1"/>
  <c r="T205" i="1"/>
  <c r="U205" i="1" s="1"/>
  <c r="S205" i="1" s="1"/>
  <c r="X201" i="1"/>
  <c r="T201" i="1"/>
  <c r="U201" i="1" s="1"/>
  <c r="S201" i="1" s="1"/>
  <c r="X163" i="1"/>
  <c r="T163" i="1"/>
  <c r="U163" i="1" s="1"/>
  <c r="S163" i="1" s="1"/>
  <c r="X159" i="1"/>
  <c r="T159" i="1"/>
  <c r="U159" i="1" s="1"/>
  <c r="S159" i="1" s="1"/>
  <c r="X155" i="1"/>
  <c r="T155" i="1"/>
  <c r="U155" i="1" s="1"/>
  <c r="S155" i="1" s="1"/>
  <c r="X151" i="1"/>
  <c r="T151" i="1"/>
  <c r="U151" i="1" s="1"/>
  <c r="S151" i="1" s="1"/>
  <c r="X147" i="1"/>
  <c r="T147" i="1"/>
  <c r="U147" i="1" s="1"/>
  <c r="S147" i="1" s="1"/>
  <c r="X137" i="1"/>
  <c r="AA135" i="1"/>
  <c r="W135" i="1" s="1"/>
  <c r="T131" i="1"/>
  <c r="U131" i="1" s="1"/>
  <c r="S131" i="1" s="1"/>
  <c r="X131" i="1"/>
  <c r="AA130" i="1"/>
  <c r="W130" i="1" s="1"/>
  <c r="AG128" i="1"/>
  <c r="T128" i="1"/>
  <c r="X128" i="1"/>
  <c r="AI159" i="1"/>
  <c r="AA119" i="1"/>
  <c r="T115" i="1"/>
  <c r="U115" i="1" s="1"/>
  <c r="S115" i="1" s="1"/>
  <c r="X115" i="1"/>
  <c r="AA114" i="1"/>
  <c r="AG112" i="1"/>
  <c r="T112" i="1"/>
  <c r="X112" i="1"/>
  <c r="AI143" i="1"/>
  <c r="AA106" i="1"/>
  <c r="T102" i="1"/>
  <c r="U102" i="1" s="1"/>
  <c r="S102" i="1" s="1"/>
  <c r="X102" i="1"/>
  <c r="AA101" i="1"/>
  <c r="W101" i="1" s="1"/>
  <c r="AG99" i="1"/>
  <c r="T99" i="1"/>
  <c r="X99" i="1"/>
  <c r="AI127" i="1"/>
  <c r="AG190" i="1"/>
  <c r="AI190" i="1" s="1"/>
  <c r="X190" i="1"/>
  <c r="AI118" i="1"/>
  <c r="U184" i="1"/>
  <c r="S184" i="1" s="1"/>
  <c r="AA182" i="1"/>
  <c r="AG175" i="1"/>
  <c r="AI175" i="1" s="1"/>
  <c r="T175" i="1"/>
  <c r="X175" i="1"/>
  <c r="X176" i="1"/>
  <c r="AG164" i="1"/>
  <c r="AI164" i="1" s="1"/>
  <c r="T164" i="1"/>
  <c r="X164" i="1"/>
  <c r="X165" i="1"/>
  <c r="AA94" i="1"/>
  <c r="W94" i="1" s="1"/>
  <c r="AI75" i="1"/>
  <c r="AI54" i="1"/>
  <c r="T40" i="1"/>
  <c r="X40" i="1"/>
  <c r="AG40" i="1"/>
  <c r="W40" i="1" s="1"/>
  <c r="X41" i="1"/>
  <c r="U226" i="1"/>
  <c r="S226" i="1" s="1"/>
  <c r="U218" i="1"/>
  <c r="S218" i="1" s="1"/>
  <c r="U199" i="1"/>
  <c r="S199" i="1" s="1"/>
  <c r="T135" i="1"/>
  <c r="U135" i="1" s="1"/>
  <c r="S135" i="1" s="1"/>
  <c r="X135" i="1"/>
  <c r="AG132" i="1"/>
  <c r="AI132" i="1" s="1"/>
  <c r="T132" i="1"/>
  <c r="X132" i="1"/>
  <c r="AI163" i="1"/>
  <c r="T119" i="1"/>
  <c r="X119" i="1"/>
  <c r="AG116" i="1"/>
  <c r="T116" i="1"/>
  <c r="X116" i="1"/>
  <c r="AI152" i="1"/>
  <c r="AI147" i="1"/>
  <c r="AI131" i="1"/>
  <c r="AI102" i="1"/>
  <c r="U170" i="1"/>
  <c r="S170" i="1" s="1"/>
  <c r="AG243" i="1"/>
  <c r="AG239" i="1"/>
  <c r="AG231" i="1"/>
  <c r="AG219" i="1"/>
  <c r="AG208" i="1"/>
  <c r="AI208" i="1" s="1"/>
  <c r="AG204" i="1"/>
  <c r="AI204" i="1" s="1"/>
  <c r="AG158" i="1"/>
  <c r="AI158" i="1" s="1"/>
  <c r="AG150" i="1"/>
  <c r="AI150" i="1" s="1"/>
  <c r="AG146" i="1"/>
  <c r="X145" i="1"/>
  <c r="T139" i="1"/>
  <c r="X139" i="1"/>
  <c r="T123" i="1"/>
  <c r="X123" i="1"/>
  <c r="AG120" i="1"/>
  <c r="T120" i="1"/>
  <c r="X120" i="1"/>
  <c r="AG119" i="1"/>
  <c r="AI151" i="1"/>
  <c r="W111" i="1"/>
  <c r="T107" i="1"/>
  <c r="X107" i="1"/>
  <c r="AG214" i="1"/>
  <c r="W214" i="1" s="1"/>
  <c r="T214" i="1"/>
  <c r="X214" i="1"/>
  <c r="AG106" i="1"/>
  <c r="AI106" i="1" s="1"/>
  <c r="AI135" i="1"/>
  <c r="U89" i="1"/>
  <c r="S89" i="1" s="1"/>
  <c r="AI67" i="1"/>
  <c r="AG66" i="1"/>
  <c r="X66" i="1"/>
  <c r="AG59" i="1"/>
  <c r="W59" i="1" s="1"/>
  <c r="T59" i="1"/>
  <c r="X59" i="1"/>
  <c r="X60" i="1"/>
  <c r="AI48" i="1"/>
  <c r="X243" i="1"/>
  <c r="X239" i="1"/>
  <c r="AI238" i="1"/>
  <c r="X235" i="1"/>
  <c r="X231" i="1"/>
  <c r="X227" i="1"/>
  <c r="AI226" i="1"/>
  <c r="X223" i="1"/>
  <c r="X219" i="1"/>
  <c r="X212" i="1"/>
  <c r="X208" i="1"/>
  <c r="AI210" i="1"/>
  <c r="X204" i="1"/>
  <c r="AI206" i="1"/>
  <c r="X200" i="1"/>
  <c r="AI202" i="1"/>
  <c r="X162" i="1"/>
  <c r="AI198" i="1"/>
  <c r="X158" i="1"/>
  <c r="X154" i="1"/>
  <c r="X150" i="1"/>
  <c r="X146" i="1"/>
  <c r="AI182" i="1"/>
  <c r="X144" i="1"/>
  <c r="T143" i="1"/>
  <c r="U143" i="1" s="1"/>
  <c r="S143" i="1" s="1"/>
  <c r="X143" i="1"/>
  <c r="AG140" i="1"/>
  <c r="T140" i="1"/>
  <c r="X140" i="1"/>
  <c r="AG139" i="1"/>
  <c r="AI171" i="1"/>
  <c r="X133" i="1"/>
  <c r="W131" i="1"/>
  <c r="T127" i="1"/>
  <c r="U127" i="1" s="1"/>
  <c r="S127" i="1" s="1"/>
  <c r="X127" i="1"/>
  <c r="AG124" i="1"/>
  <c r="T124" i="1"/>
  <c r="X124" i="1"/>
  <c r="AG123" i="1"/>
  <c r="AI155" i="1"/>
  <c r="X117" i="1"/>
  <c r="T111" i="1"/>
  <c r="U111" i="1" s="1"/>
  <c r="S111" i="1" s="1"/>
  <c r="X111" i="1"/>
  <c r="W110" i="1"/>
  <c r="AG108" i="1"/>
  <c r="T108" i="1"/>
  <c r="X108" i="1"/>
  <c r="AG107" i="1"/>
  <c r="AI107" i="1" s="1"/>
  <c r="AI139" i="1"/>
  <c r="X104" i="1"/>
  <c r="W102" i="1"/>
  <c r="T197" i="1"/>
  <c r="X197" i="1"/>
  <c r="AG194" i="1"/>
  <c r="AI194" i="1" s="1"/>
  <c r="T194" i="1"/>
  <c r="X194" i="1"/>
  <c r="AG98" i="1"/>
  <c r="AI98" i="1" s="1"/>
  <c r="AI125" i="1"/>
  <c r="U188" i="1"/>
  <c r="S188" i="1" s="1"/>
  <c r="AG179" i="1"/>
  <c r="AI179" i="1" s="1"/>
  <c r="T179" i="1"/>
  <c r="X179" i="1"/>
  <c r="X180" i="1"/>
  <c r="AA177" i="1"/>
  <c r="AG95" i="1"/>
  <c r="AI91" i="1"/>
  <c r="T83" i="1"/>
  <c r="X83" i="1"/>
  <c r="AG83" i="1"/>
  <c r="T79" i="1"/>
  <c r="U79" i="1" s="1"/>
  <c r="S79" i="1" s="1"/>
  <c r="X79" i="1"/>
  <c r="U73" i="1"/>
  <c r="S73" i="1" s="1"/>
  <c r="W64" i="1"/>
  <c r="T62" i="1"/>
  <c r="X62" i="1"/>
  <c r="AG62" i="1"/>
  <c r="AI53" i="1"/>
  <c r="U53" i="1"/>
  <c r="S53" i="1" s="1"/>
  <c r="T31" i="1"/>
  <c r="X31" i="1"/>
  <c r="AG31" i="1"/>
  <c r="T193" i="1"/>
  <c r="U193" i="1" s="1"/>
  <c r="S193" i="1" s="1"/>
  <c r="X193" i="1"/>
  <c r="AG186" i="1"/>
  <c r="AI186" i="1" s="1"/>
  <c r="T186" i="1"/>
  <c r="X186" i="1"/>
  <c r="AI119" i="1"/>
  <c r="AA178" i="1"/>
  <c r="T174" i="1"/>
  <c r="U174" i="1" s="1"/>
  <c r="S174" i="1" s="1"/>
  <c r="X174" i="1"/>
  <c r="AA96" i="1"/>
  <c r="AG172" i="1"/>
  <c r="T172" i="1"/>
  <c r="X172" i="1"/>
  <c r="AI103" i="1"/>
  <c r="AA95" i="1"/>
  <c r="W95" i="1" s="1"/>
  <c r="T91" i="1"/>
  <c r="U91" i="1" s="1"/>
  <c r="X91" i="1"/>
  <c r="AA90" i="1"/>
  <c r="AG88" i="1"/>
  <c r="T88" i="1"/>
  <c r="X88" i="1"/>
  <c r="AI87" i="1"/>
  <c r="S82" i="1"/>
  <c r="AI82" i="1"/>
  <c r="AA79" i="1"/>
  <c r="W79" i="1" s="1"/>
  <c r="T75" i="1"/>
  <c r="U75" i="1" s="1"/>
  <c r="S75" i="1" s="1"/>
  <c r="X75" i="1"/>
  <c r="AA74" i="1"/>
  <c r="AG72" i="1"/>
  <c r="T72" i="1"/>
  <c r="X72" i="1"/>
  <c r="AI71" i="1"/>
  <c r="T67" i="1"/>
  <c r="U67" i="1" s="1"/>
  <c r="X67" i="1"/>
  <c r="AA62" i="1"/>
  <c r="W62" i="1" s="1"/>
  <c r="AI58" i="1"/>
  <c r="AG55" i="1"/>
  <c r="W55" i="1" s="1"/>
  <c r="T55" i="1"/>
  <c r="X55" i="1"/>
  <c r="AI51" i="1"/>
  <c r="AA50" i="1"/>
  <c r="AG45" i="1"/>
  <c r="W45" i="1" s="1"/>
  <c r="X45" i="1"/>
  <c r="T45" i="1"/>
  <c r="AI27" i="1"/>
  <c r="AI19" i="1"/>
  <c r="T189" i="1"/>
  <c r="U189" i="1" s="1"/>
  <c r="S189" i="1" s="1"/>
  <c r="X189" i="1"/>
  <c r="T185" i="1"/>
  <c r="U185" i="1" s="1"/>
  <c r="S185" i="1" s="1"/>
  <c r="X185" i="1"/>
  <c r="AA184" i="1"/>
  <c r="W184" i="1" s="1"/>
  <c r="AG183" i="1"/>
  <c r="T183" i="1"/>
  <c r="X183" i="1"/>
  <c r="T171" i="1"/>
  <c r="U171" i="1" s="1"/>
  <c r="S171" i="1" s="1"/>
  <c r="X171" i="1"/>
  <c r="AA170" i="1"/>
  <c r="W170" i="1" s="1"/>
  <c r="AG168" i="1"/>
  <c r="AI168" i="1" s="1"/>
  <c r="T168" i="1"/>
  <c r="X168" i="1"/>
  <c r="AI94" i="1"/>
  <c r="T87" i="1"/>
  <c r="U87" i="1" s="1"/>
  <c r="S87" i="1" s="1"/>
  <c r="X87" i="1"/>
  <c r="AA86" i="1"/>
  <c r="AG84" i="1"/>
  <c r="T84" i="1"/>
  <c r="X84" i="1"/>
  <c r="T71" i="1"/>
  <c r="U71" i="1" s="1"/>
  <c r="S71" i="1" s="1"/>
  <c r="X71" i="1"/>
  <c r="AA70" i="1"/>
  <c r="AA67" i="1"/>
  <c r="W67" i="1" s="1"/>
  <c r="W65" i="1"/>
  <c r="T58" i="1"/>
  <c r="U58" i="1" s="1"/>
  <c r="S58" i="1" s="1"/>
  <c r="X58" i="1"/>
  <c r="AI35" i="1"/>
  <c r="T24" i="1"/>
  <c r="X24" i="1"/>
  <c r="AG24" i="1"/>
  <c r="X25" i="1"/>
  <c r="T16" i="1"/>
  <c r="X16" i="1"/>
  <c r="AG16" i="1"/>
  <c r="W16" i="1" s="1"/>
  <c r="X17" i="1"/>
  <c r="AA66" i="1"/>
  <c r="AA58" i="1"/>
  <c r="W58" i="1" s="1"/>
  <c r="T54" i="1"/>
  <c r="U54" i="1" s="1"/>
  <c r="X54" i="1"/>
  <c r="AI47" i="1"/>
  <c r="W35" i="1"/>
  <c r="T27" i="1"/>
  <c r="U27" i="1" s="1"/>
  <c r="S27" i="1" s="1"/>
  <c r="X27" i="1"/>
  <c r="AI15" i="1"/>
  <c r="AG63" i="1"/>
  <c r="T63" i="1"/>
  <c r="X63" i="1"/>
  <c r="AI57" i="1"/>
  <c r="AA54" i="1"/>
  <c r="W54" i="1" s="1"/>
  <c r="AG49" i="1"/>
  <c r="T49" i="1"/>
  <c r="X50" i="1"/>
  <c r="X49" i="1"/>
  <c r="AI39" i="1"/>
  <c r="W29" i="1"/>
  <c r="AI23" i="1"/>
  <c r="AI18" i="1"/>
  <c r="U18" i="1"/>
  <c r="S18" i="1" s="1"/>
  <c r="U17" i="1"/>
  <c r="S17" i="1" s="1"/>
  <c r="T15" i="1"/>
  <c r="U15" i="1" s="1"/>
  <c r="S15" i="1" s="1"/>
  <c r="AA51" i="1"/>
  <c r="T48" i="1"/>
  <c r="U48" i="1" s="1"/>
  <c r="S48" i="1" s="1"/>
  <c r="X48" i="1"/>
  <c r="AG43" i="1"/>
  <c r="X43" i="1"/>
  <c r="T39" i="1"/>
  <c r="U39" i="1" s="1"/>
  <c r="S39" i="1" s="1"/>
  <c r="X39" i="1"/>
  <c r="T36" i="1"/>
  <c r="X36" i="1"/>
  <c r="AG36" i="1"/>
  <c r="S30" i="1"/>
  <c r="AI30" i="1"/>
  <c r="AA27" i="1"/>
  <c r="W27" i="1" s="1"/>
  <c r="T23" i="1"/>
  <c r="U23" i="1" s="1"/>
  <c r="S23" i="1" s="1"/>
  <c r="X23" i="1"/>
  <c r="T20" i="1"/>
  <c r="X20" i="1"/>
  <c r="AG20" i="1"/>
  <c r="AA15" i="1"/>
  <c r="W15" i="1" s="1"/>
  <c r="T44" i="1"/>
  <c r="U44" i="1" s="1"/>
  <c r="S44" i="1" s="1"/>
  <c r="X44" i="1"/>
  <c r="T35" i="1"/>
  <c r="U35" i="1" s="1"/>
  <c r="S35" i="1" s="1"/>
  <c r="X35" i="1"/>
  <c r="T32" i="1"/>
  <c r="X32" i="1"/>
  <c r="AG32" i="1"/>
  <c r="W23" i="1"/>
  <c r="T19" i="1"/>
  <c r="U19" i="1" s="1"/>
  <c r="S19" i="1" s="1"/>
  <c r="X19" i="1"/>
  <c r="AC43" i="3"/>
  <c r="Y41" i="3"/>
  <c r="Y45" i="3"/>
  <c r="AD43" i="3"/>
  <c r="AC17" i="3"/>
  <c r="Y7" i="3"/>
  <c r="AD31" i="3"/>
  <c r="Y13" i="3"/>
  <c r="Y27" i="3"/>
  <c r="AD21" i="3"/>
  <c r="AD16" i="3"/>
  <c r="AD12" i="3"/>
  <c r="AD24" i="3"/>
  <c r="AE9" i="3"/>
  <c r="AD42" i="3"/>
  <c r="AE19" i="3"/>
  <c r="AE15" i="3"/>
  <c r="AD11" i="3"/>
  <c r="Y14" i="3"/>
  <c r="AD9" i="3"/>
  <c r="AD28" i="3"/>
  <c r="Y31" i="3"/>
  <c r="AD17" i="3"/>
  <c r="AD13" i="3"/>
  <c r="AE11" i="3"/>
  <c r="AD8" i="3"/>
  <c r="T46" i="3"/>
  <c r="AE46" i="3"/>
  <c r="Y42" i="3"/>
  <c r="AC44" i="3"/>
  <c r="AE42" i="3"/>
  <c r="Y11" i="3"/>
  <c r="AD35" i="3"/>
  <c r="Y28" i="3"/>
  <c r="AD30" i="3"/>
  <c r="AC34" i="3"/>
  <c r="AE26" i="3"/>
  <c r="Y21" i="3"/>
  <c r="AD20" i="3"/>
  <c r="Y15" i="3"/>
  <c r="AD15" i="3"/>
  <c r="AC20" i="3"/>
  <c r="Y18" i="3"/>
  <c r="T24" i="3"/>
  <c r="T35" i="3"/>
  <c r="Y46" i="3"/>
  <c r="Y12" i="3"/>
  <c r="Y24" i="3"/>
  <c r="Y33" i="3"/>
  <c r="Y35" i="3"/>
  <c r="AE45" i="3"/>
  <c r="AE37" i="3"/>
  <c r="T22" i="3"/>
  <c r="AE25" i="3"/>
  <c r="T38" i="3"/>
  <c r="AE22" i="3"/>
  <c r="T9" i="3"/>
  <c r="AE18" i="3"/>
  <c r="T30" i="3"/>
  <c r="AE14" i="3"/>
  <c r="T37" i="3"/>
  <c r="AE10" i="3"/>
  <c r="T14" i="3"/>
  <c r="AC47" i="3"/>
  <c r="T45" i="3"/>
  <c r="AE33" i="3"/>
  <c r="T29" i="3"/>
  <c r="AE29" i="3"/>
  <c r="T13" i="3"/>
  <c r="T43" i="3"/>
  <c r="AE44" i="3"/>
  <c r="T44" i="3"/>
  <c r="AD41" i="3"/>
  <c r="AD37" i="3"/>
  <c r="AE32" i="3"/>
  <c r="AD29" i="3"/>
  <c r="AE28" i="3"/>
  <c r="T34" i="3"/>
  <c r="AD25" i="3"/>
  <c r="AE24" i="3"/>
  <c r="T40" i="3"/>
  <c r="AD22" i="3"/>
  <c r="AE21" i="3"/>
  <c r="T39" i="3"/>
  <c r="AD18" i="3"/>
  <c r="AE17" i="3"/>
  <c r="T23" i="3"/>
  <c r="AD14" i="3"/>
  <c r="AE13" i="3"/>
  <c r="T20" i="3"/>
  <c r="AD10" i="3"/>
  <c r="T32" i="3"/>
  <c r="T16" i="3"/>
  <c r="AE41" i="3"/>
  <c r="T8" i="3"/>
  <c r="AE48" i="3"/>
  <c r="AD45" i="3"/>
  <c r="AE40" i="3"/>
  <c r="T17" i="3"/>
  <c r="AE36" i="3"/>
  <c r="T25" i="3"/>
  <c r="AD33" i="3"/>
  <c r="AE47" i="3"/>
  <c r="AE43" i="3"/>
  <c r="AE39" i="3"/>
  <c r="AE35" i="3"/>
  <c r="AE31" i="3"/>
  <c r="AE27" i="3"/>
  <c r="AE20" i="3"/>
  <c r="AE16" i="3"/>
  <c r="AE12" i="3"/>
  <c r="AE8" i="3"/>
  <c r="S49" i="3"/>
  <c r="M49" i="3"/>
  <c r="R49" i="3"/>
  <c r="U49" i="3"/>
  <c r="T49" i="3" s="1"/>
  <c r="V49" i="3"/>
  <c r="W49" i="3"/>
  <c r="X49" i="3"/>
  <c r="U56" i="1" l="1"/>
  <c r="S56" i="1" s="1"/>
  <c r="W74" i="1"/>
  <c r="W66" i="1"/>
  <c r="AI110" i="1"/>
  <c r="W190" i="1"/>
  <c r="W114" i="1"/>
  <c r="W38" i="1"/>
  <c r="AI234" i="1"/>
  <c r="W148" i="1"/>
  <c r="U156" i="1"/>
  <c r="S156" i="1" s="1"/>
  <c r="W234" i="1"/>
  <c r="AI121" i="1"/>
  <c r="AI22" i="1"/>
  <c r="AI78" i="1"/>
  <c r="U86" i="1"/>
  <c r="S86" i="1" s="1"/>
  <c r="W173" i="1"/>
  <c r="U121" i="1"/>
  <c r="S121" i="1" s="1"/>
  <c r="U77" i="1"/>
  <c r="S77" i="1" s="1"/>
  <c r="U133" i="1"/>
  <c r="S133" i="1" s="1"/>
  <c r="U157" i="1"/>
  <c r="S157" i="1" s="1"/>
  <c r="W70" i="1"/>
  <c r="W96" i="1"/>
  <c r="AI70" i="1"/>
  <c r="AI77" i="1"/>
  <c r="W137" i="1"/>
  <c r="W60" i="1"/>
  <c r="W34" i="1"/>
  <c r="U197" i="1"/>
  <c r="S197" i="1" s="1"/>
  <c r="W145" i="1"/>
  <c r="W161" i="1"/>
  <c r="W211" i="1"/>
  <c r="W230" i="1"/>
  <c r="W207" i="1"/>
  <c r="U153" i="1"/>
  <c r="S153" i="1" s="1"/>
  <c r="U196" i="1"/>
  <c r="S196" i="1" s="1"/>
  <c r="W56" i="1"/>
  <c r="W77" i="1"/>
  <c r="U100" i="1"/>
  <c r="S100" i="1" s="1"/>
  <c r="W86" i="1"/>
  <c r="W172" i="1"/>
  <c r="W175" i="1"/>
  <c r="W237" i="1"/>
  <c r="W169" i="1"/>
  <c r="W100" i="1"/>
  <c r="U52" i="1"/>
  <c r="S52" i="1" s="1"/>
  <c r="AI38" i="1"/>
  <c r="W90" i="1"/>
  <c r="W84" i="1"/>
  <c r="AI114" i="1"/>
  <c r="W196" i="1"/>
  <c r="AI214" i="1"/>
  <c r="AI222" i="1"/>
  <c r="W192" i="1"/>
  <c r="U41" i="1"/>
  <c r="S41" i="1" s="1"/>
  <c r="U47" i="1"/>
  <c r="S47" i="1" s="1"/>
  <c r="W118" i="1"/>
  <c r="W149" i="1"/>
  <c r="W218" i="1"/>
  <c r="U26" i="1"/>
  <c r="S26" i="1" s="1"/>
  <c r="AI113" i="1"/>
  <c r="W113" i="1"/>
  <c r="U68" i="1"/>
  <c r="S67" i="1" s="1"/>
  <c r="AI122" i="1"/>
  <c r="U74" i="1"/>
  <c r="S74" i="1" s="1"/>
  <c r="W187" i="1"/>
  <c r="W73" i="1"/>
  <c r="AI167" i="1"/>
  <c r="AI172" i="1"/>
  <c r="W24" i="1"/>
  <c r="U61" i="1"/>
  <c r="W41" i="1"/>
  <c r="W68" i="1"/>
  <c r="U191" i="1"/>
  <c r="S191" i="1" s="1"/>
  <c r="U148" i="1"/>
  <c r="S148" i="1" s="1"/>
  <c r="U203" i="1"/>
  <c r="S203" i="1" s="1"/>
  <c r="U51" i="1"/>
  <c r="S51" i="1" s="1"/>
  <c r="W78" i="1"/>
  <c r="AI134" i="1"/>
  <c r="U134" i="1"/>
  <c r="S134" i="1" s="1"/>
  <c r="S177" i="1"/>
  <c r="U50" i="1"/>
  <c r="S50" i="1" s="1"/>
  <c r="W179" i="1"/>
  <c r="U101" i="1"/>
  <c r="S101" i="1" s="1"/>
  <c r="AI101" i="1"/>
  <c r="U180" i="1"/>
  <c r="S180" i="1" s="1"/>
  <c r="W22" i="1"/>
  <c r="U34" i="1"/>
  <c r="S34" i="1" s="1"/>
  <c r="AI50" i="1"/>
  <c r="W50" i="1"/>
  <c r="S118" i="1"/>
  <c r="U90" i="1"/>
  <c r="S90" i="1" s="1"/>
  <c r="U176" i="1"/>
  <c r="S176" i="1" s="1"/>
  <c r="S216" i="1"/>
  <c r="U161" i="1"/>
  <c r="S161" i="1" s="1"/>
  <c r="U230" i="1"/>
  <c r="S230" i="1" s="1"/>
  <c r="AI196" i="1"/>
  <c r="U181" i="1"/>
  <c r="S181" i="1" s="1"/>
  <c r="AI181" i="1"/>
  <c r="U97" i="1"/>
  <c r="S97" i="1" s="1"/>
  <c r="AI97" i="1"/>
  <c r="U85" i="1"/>
  <c r="S85" i="1" s="1"/>
  <c r="AI85" i="1"/>
  <c r="W134" i="1"/>
  <c r="W203" i="1"/>
  <c r="U69" i="1"/>
  <c r="S69" i="1" s="1"/>
  <c r="AI69" i="1"/>
  <c r="W85" i="1"/>
  <c r="W26" i="1"/>
  <c r="W52" i="1"/>
  <c r="U138" i="1"/>
  <c r="S138" i="1" s="1"/>
  <c r="AI138" i="1"/>
  <c r="U166" i="1"/>
  <c r="S166" i="1" s="1"/>
  <c r="AI166" i="1"/>
  <c r="U21" i="1"/>
  <c r="S21" i="1" s="1"/>
  <c r="AI21" i="1"/>
  <c r="W166" i="1"/>
  <c r="W178" i="1"/>
  <c r="W177" i="1"/>
  <c r="U195" i="1"/>
  <c r="S195" i="1" s="1"/>
  <c r="U105" i="1"/>
  <c r="S104" i="1" s="1"/>
  <c r="AI105" i="1"/>
  <c r="U109" i="1"/>
  <c r="AI109" i="1"/>
  <c r="U125" i="1"/>
  <c r="S125" i="1" s="1"/>
  <c r="AI61" i="1"/>
  <c r="AI65" i="1"/>
  <c r="AI26" i="1"/>
  <c r="W51" i="1"/>
  <c r="S61" i="1"/>
  <c r="S65" i="1"/>
  <c r="W123" i="1"/>
  <c r="AI123" i="1"/>
  <c r="U126" i="1"/>
  <c r="S126" i="1" s="1"/>
  <c r="U142" i="1"/>
  <c r="S142" i="1" s="1"/>
  <c r="W146" i="1"/>
  <c r="AI146" i="1"/>
  <c r="W182" i="1"/>
  <c r="S122" i="1"/>
  <c r="AI216" i="1"/>
  <c r="W162" i="1"/>
  <c r="W109" i="1"/>
  <c r="W216" i="1"/>
  <c r="W122" i="1"/>
  <c r="U130" i="1"/>
  <c r="S130" i="1" s="1"/>
  <c r="AI130" i="1"/>
  <c r="W21" i="1"/>
  <c r="U169" i="1"/>
  <c r="S169" i="1" s="1"/>
  <c r="AI43" i="1"/>
  <c r="U43" i="1"/>
  <c r="S43" i="1" s="1"/>
  <c r="AI144" i="1"/>
  <c r="U107" i="1"/>
  <c r="S107" i="1" s="1"/>
  <c r="AI176" i="1"/>
  <c r="U139" i="1"/>
  <c r="S139" i="1" s="1"/>
  <c r="AI156" i="1"/>
  <c r="U119" i="1"/>
  <c r="S119" i="1" s="1"/>
  <c r="U158" i="1"/>
  <c r="S158" i="1" s="1"/>
  <c r="AI195" i="1"/>
  <c r="U231" i="1"/>
  <c r="S231" i="1" s="1"/>
  <c r="AI231" i="1"/>
  <c r="U116" i="1"/>
  <c r="S116" i="1" s="1"/>
  <c r="AI153" i="1"/>
  <c r="U112" i="1"/>
  <c r="S112" i="1" s="1"/>
  <c r="W112" i="1"/>
  <c r="AI149" i="1"/>
  <c r="U32" i="1"/>
  <c r="S32" i="1" s="1"/>
  <c r="AI32" i="1"/>
  <c r="U36" i="1"/>
  <c r="S36" i="1" s="1"/>
  <c r="AI36" i="1"/>
  <c r="W36" i="1"/>
  <c r="U168" i="1"/>
  <c r="S168" i="1" s="1"/>
  <c r="AI100" i="1"/>
  <c r="U88" i="1"/>
  <c r="S88" i="1" s="1"/>
  <c r="AI88" i="1"/>
  <c r="U239" i="1"/>
  <c r="S239" i="1" s="1"/>
  <c r="AI239" i="1"/>
  <c r="U76" i="1"/>
  <c r="S76" i="1" s="1"/>
  <c r="AI76" i="1"/>
  <c r="AI99" i="1"/>
  <c r="U167" i="1"/>
  <c r="S167" i="1" s="1"/>
  <c r="AI191" i="1"/>
  <c r="U154" i="1"/>
  <c r="S154" i="1" s="1"/>
  <c r="AI223" i="1"/>
  <c r="U223" i="1"/>
  <c r="S223" i="1" s="1"/>
  <c r="W88" i="1"/>
  <c r="U20" i="1"/>
  <c r="S20" i="1" s="1"/>
  <c r="AI20" i="1"/>
  <c r="W20" i="1"/>
  <c r="W43" i="1"/>
  <c r="U63" i="1"/>
  <c r="S63" i="1" s="1"/>
  <c r="AI63" i="1"/>
  <c r="W63" i="1"/>
  <c r="U186" i="1"/>
  <c r="S186" i="1" s="1"/>
  <c r="AI120" i="1"/>
  <c r="W186" i="1"/>
  <c r="AI62" i="1"/>
  <c r="U62" i="1"/>
  <c r="S62" i="1" s="1"/>
  <c r="AI95" i="1"/>
  <c r="U95" i="1"/>
  <c r="S95" i="1" s="1"/>
  <c r="U194" i="1"/>
  <c r="S194" i="1" s="1"/>
  <c r="AI129" i="1"/>
  <c r="W194" i="1"/>
  <c r="U108" i="1"/>
  <c r="S108" i="1" s="1"/>
  <c r="AI145" i="1"/>
  <c r="W108" i="1"/>
  <c r="U124" i="1"/>
  <c r="S124" i="1" s="1"/>
  <c r="AI161" i="1"/>
  <c r="W124" i="1"/>
  <c r="U140" i="1"/>
  <c r="S140" i="1" s="1"/>
  <c r="AI177" i="1"/>
  <c r="W140" i="1"/>
  <c r="W32" i="1"/>
  <c r="AI140" i="1"/>
  <c r="U106" i="1"/>
  <c r="S106" i="1" s="1"/>
  <c r="U120" i="1"/>
  <c r="S120" i="1" s="1"/>
  <c r="AI157" i="1"/>
  <c r="U150" i="1"/>
  <c r="S150" i="1" s="1"/>
  <c r="AI187" i="1"/>
  <c r="U219" i="1"/>
  <c r="S219" i="1" s="1"/>
  <c r="AI219" i="1"/>
  <c r="U164" i="1"/>
  <c r="S164" i="1" s="1"/>
  <c r="AI96" i="1"/>
  <c r="U175" i="1"/>
  <c r="S175" i="1" s="1"/>
  <c r="AI108" i="1"/>
  <c r="U99" i="1"/>
  <c r="S99" i="1" s="1"/>
  <c r="AI133" i="1"/>
  <c r="W99" i="1"/>
  <c r="W106" i="1"/>
  <c r="U28" i="1"/>
  <c r="S28" i="1" s="1"/>
  <c r="AI28" i="1"/>
  <c r="U136" i="1"/>
  <c r="S136" i="1" s="1"/>
  <c r="AI173" i="1"/>
  <c r="AI203" i="1"/>
  <c r="U200" i="1"/>
  <c r="S200" i="1" s="1"/>
  <c r="AI235" i="1"/>
  <c r="U235" i="1"/>
  <c r="S235" i="1" s="1"/>
  <c r="W76" i="1"/>
  <c r="U80" i="1"/>
  <c r="S80" i="1" s="1"/>
  <c r="AI80" i="1"/>
  <c r="U92" i="1"/>
  <c r="S92" i="1" s="1"/>
  <c r="AI92" i="1"/>
  <c r="AI115" i="1"/>
  <c r="U182" i="1"/>
  <c r="S182" i="1" s="1"/>
  <c r="U103" i="1"/>
  <c r="S103" i="1" s="1"/>
  <c r="AI137" i="1"/>
  <c r="W80" i="1"/>
  <c r="W136" i="1"/>
  <c r="W116" i="1"/>
  <c r="W223" i="1"/>
  <c r="U84" i="1"/>
  <c r="S84" i="1" s="1"/>
  <c r="AI84" i="1"/>
  <c r="U172" i="1"/>
  <c r="S172" i="1" s="1"/>
  <c r="AI104" i="1"/>
  <c r="AI128" i="1"/>
  <c r="U98" i="1"/>
  <c r="S98" i="1" s="1"/>
  <c r="AI160" i="1"/>
  <c r="U123" i="1"/>
  <c r="S123" i="1" s="1"/>
  <c r="S66" i="1"/>
  <c r="AI66" i="1"/>
  <c r="U66" i="1"/>
  <c r="W119" i="1"/>
  <c r="S178" i="1"/>
  <c r="AI111" i="1"/>
  <c r="U178" i="1"/>
  <c r="U212" i="1"/>
  <c r="S212" i="1" s="1"/>
  <c r="AI215" i="1"/>
  <c r="W231" i="1"/>
  <c r="U49" i="1"/>
  <c r="S49" i="1" s="1"/>
  <c r="AI49" i="1"/>
  <c r="W49" i="1"/>
  <c r="U55" i="1"/>
  <c r="S54" i="1" s="1"/>
  <c r="AI55" i="1"/>
  <c r="AI31" i="1"/>
  <c r="U31" i="1"/>
  <c r="S31" i="1" s="1"/>
  <c r="U204" i="1"/>
  <c r="S204" i="1" s="1"/>
  <c r="AI207" i="1"/>
  <c r="W139" i="1"/>
  <c r="U40" i="1"/>
  <c r="S40" i="1" s="1"/>
  <c r="AI40" i="1"/>
  <c r="U128" i="1"/>
  <c r="S128" i="1" s="1"/>
  <c r="W128" i="1"/>
  <c r="AI165" i="1"/>
  <c r="U16" i="1"/>
  <c r="S16" i="1" s="1"/>
  <c r="AI16" i="1"/>
  <c r="U24" i="1"/>
  <c r="S24" i="1" s="1"/>
  <c r="AI24" i="1"/>
  <c r="U183" i="1"/>
  <c r="S183" i="1" s="1"/>
  <c r="AI116" i="1"/>
  <c r="W183" i="1"/>
  <c r="U45" i="1"/>
  <c r="S45" i="1" s="1"/>
  <c r="AI45" i="1"/>
  <c r="U72" i="1"/>
  <c r="S72" i="1" s="1"/>
  <c r="AI72" i="1"/>
  <c r="W72" i="1"/>
  <c r="AI83" i="1"/>
  <c r="U83" i="1"/>
  <c r="S83" i="1" s="1"/>
  <c r="U179" i="1"/>
  <c r="S179" i="1" s="1"/>
  <c r="AI112" i="1"/>
  <c r="W31" i="1"/>
  <c r="U59" i="1"/>
  <c r="S59" i="1" s="1"/>
  <c r="AI59" i="1"/>
  <c r="U214" i="1"/>
  <c r="S214" i="1" s="1"/>
  <c r="AI141" i="1"/>
  <c r="U146" i="1"/>
  <c r="S146" i="1" s="1"/>
  <c r="AI183" i="1"/>
  <c r="U208" i="1"/>
  <c r="S208" i="1" s="1"/>
  <c r="AI211" i="1"/>
  <c r="U243" i="1"/>
  <c r="S243" i="1" s="1"/>
  <c r="AI243" i="1"/>
  <c r="U132" i="1"/>
  <c r="S132" i="1" s="1"/>
  <c r="AI169" i="1"/>
  <c r="W92" i="1"/>
  <c r="U190" i="1"/>
  <c r="S190" i="1" s="1"/>
  <c r="AI124" i="1"/>
  <c r="W83" i="1"/>
  <c r="AI199" i="1"/>
  <c r="U162" i="1"/>
  <c r="S162" i="1" s="1"/>
  <c r="AI227" i="1"/>
  <c r="U227" i="1"/>
  <c r="S227" i="1" s="1"/>
  <c r="W98" i="1"/>
  <c r="W107" i="1"/>
  <c r="W168" i="1"/>
  <c r="W120" i="1"/>
  <c r="W150" i="1"/>
  <c r="W158" i="1"/>
  <c r="W200" i="1"/>
  <c r="W208" i="1"/>
  <c r="W219" i="1"/>
  <c r="W227" i="1"/>
  <c r="W235" i="1"/>
  <c r="W243" i="1"/>
  <c r="W103" i="1"/>
  <c r="W154" i="1"/>
  <c r="W212" i="1"/>
  <c r="W132" i="1"/>
  <c r="W204" i="1"/>
  <c r="W239" i="1"/>
  <c r="AE49" i="3"/>
  <c r="AD49" i="3"/>
  <c r="AC49" i="3"/>
  <c r="Y49" i="3"/>
  <c r="Z13" i="1" l="1"/>
  <c r="Y13" i="1"/>
  <c r="O2" i="3" l="1"/>
  <c r="B3" i="6" l="1"/>
  <c r="M28" i="5"/>
  <c r="B4" i="6" l="1"/>
  <c r="F3" i="6"/>
  <c r="I3" i="6"/>
  <c r="G3" i="6"/>
  <c r="J3" i="6"/>
  <c r="M23" i="5"/>
  <c r="G4" i="6" l="1"/>
  <c r="I4" i="6"/>
  <c r="J4" i="6"/>
  <c r="F4" i="6"/>
  <c r="AD7" i="3"/>
  <c r="AN13" i="1"/>
  <c r="AE7" i="3" l="1"/>
  <c r="K13" i="1" l="1"/>
  <c r="M13" i="1"/>
  <c r="P13" i="1" s="1"/>
  <c r="AB13" i="1"/>
  <c r="AC13" i="1"/>
  <c r="AD13" i="1"/>
  <c r="AE13" i="1"/>
  <c r="AM13" i="1"/>
  <c r="AG13" i="1" l="1"/>
  <c r="AI13" i="1" s="1"/>
  <c r="X13" i="1"/>
  <c r="AA13" i="1"/>
  <c r="T13" i="1"/>
  <c r="W13" i="1" l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C114" i="9" l="1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5" i="6" l="1"/>
  <c r="B87" i="9"/>
  <c r="B88" i="9"/>
  <c r="B89" i="9"/>
  <c r="B90" i="9"/>
  <c r="B91" i="9"/>
  <c r="B92" i="9"/>
  <c r="B6" i="6" l="1"/>
  <c r="F5" i="6"/>
  <c r="G5" i="6"/>
  <c r="I5" i="6"/>
  <c r="J5" i="6"/>
  <c r="C88" i="9"/>
  <c r="C92" i="9"/>
  <c r="C93" i="9"/>
  <c r="C90" i="9"/>
  <c r="C89" i="9"/>
  <c r="C91" i="9"/>
  <c r="B7" i="6" l="1"/>
  <c r="G6" i="6"/>
  <c r="I6" i="6"/>
  <c r="J6" i="6"/>
  <c r="F6" i="6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F7" i="6" l="1"/>
  <c r="G7" i="6"/>
  <c r="I7" i="6"/>
  <c r="J7" i="6"/>
  <c r="B8" i="6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I8" i="6" l="1"/>
  <c r="F8" i="6"/>
  <c r="G8" i="6"/>
  <c r="J8" i="6"/>
  <c r="B9" i="6"/>
  <c r="B55" i="9"/>
  <c r="B56" i="9"/>
  <c r="B57" i="9"/>
  <c r="B58" i="9"/>
  <c r="B59" i="9"/>
  <c r="B60" i="9"/>
  <c r="B61" i="9"/>
  <c r="B62" i="9"/>
  <c r="C63" i="9" s="1"/>
  <c r="F9" i="6" l="1"/>
  <c r="I9" i="6"/>
  <c r="G9" i="6"/>
  <c r="J9" i="6"/>
  <c r="B10" i="6"/>
  <c r="C61" i="9"/>
  <c r="C57" i="9"/>
  <c r="C59" i="9"/>
  <c r="C62" i="9"/>
  <c r="C60" i="9"/>
  <c r="C58" i="9"/>
  <c r="C56" i="9"/>
  <c r="G10" i="6" l="1"/>
  <c r="I10" i="6"/>
  <c r="J10" i="6"/>
  <c r="F10" i="6"/>
  <c r="B11" i="6"/>
  <c r="B50" i="9"/>
  <c r="B51" i="9"/>
  <c r="B52" i="9"/>
  <c r="B53" i="9"/>
  <c r="B54" i="9"/>
  <c r="F11" i="6" l="1"/>
  <c r="G11" i="6"/>
  <c r="I11" i="6"/>
  <c r="J11" i="6"/>
  <c r="B12" i="6"/>
  <c r="C52" i="9"/>
  <c r="C54" i="9"/>
  <c r="C55" i="9"/>
  <c r="C53" i="9"/>
  <c r="C51" i="9"/>
  <c r="G12" i="6" l="1"/>
  <c r="I12" i="6"/>
  <c r="J12" i="6"/>
  <c r="F12" i="6"/>
  <c r="B13" i="6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B14" i="6" l="1"/>
  <c r="F13" i="6"/>
  <c r="G13" i="6"/>
  <c r="I13" i="6"/>
  <c r="J13" i="6"/>
  <c r="C46" i="9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G14" i="6" l="1"/>
  <c r="I14" i="6"/>
  <c r="J14" i="6"/>
  <c r="F14" i="6"/>
  <c r="B15" i="6"/>
  <c r="V13" i="1"/>
  <c r="B31" i="9"/>
  <c r="B32" i="9"/>
  <c r="C33" i="9" s="1"/>
  <c r="F15" i="6" l="1"/>
  <c r="G15" i="6"/>
  <c r="I15" i="6"/>
  <c r="J15" i="6"/>
  <c r="B16" i="6"/>
  <c r="C32" i="9"/>
  <c r="G16" i="6" l="1"/>
  <c r="I16" i="6"/>
  <c r="F16" i="6"/>
  <c r="H16" i="6"/>
  <c r="J16" i="6"/>
  <c r="B17" i="6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N47" i="3" s="1"/>
  <c r="G37" i="4"/>
  <c r="G38" i="4"/>
  <c r="G39" i="4"/>
  <c r="G40" i="4"/>
  <c r="G41" i="4"/>
  <c r="G42" i="4"/>
  <c r="N32" i="3" s="1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N18" i="3" s="1"/>
  <c r="G80" i="4"/>
  <c r="N14" i="3" s="1"/>
  <c r="G81" i="4"/>
  <c r="G82" i="4"/>
  <c r="G83" i="4"/>
  <c r="G84" i="4"/>
  <c r="G85" i="4"/>
  <c r="G86" i="4"/>
  <c r="G87" i="4"/>
  <c r="G88" i="4"/>
  <c r="N26" i="3" s="1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N20" i="3" s="1"/>
  <c r="G106" i="4"/>
  <c r="G107" i="4"/>
  <c r="G108" i="4"/>
  <c r="N37" i="3" s="1"/>
  <c r="G109" i="4"/>
  <c r="G110" i="4"/>
  <c r="G111" i="4"/>
  <c r="N23" i="3" s="1"/>
  <c r="G112" i="4"/>
  <c r="G113" i="4"/>
  <c r="N35" i="3" s="1"/>
  <c r="G114" i="4"/>
  <c r="N30" i="3" s="1"/>
  <c r="G115" i="4"/>
  <c r="N15" i="3" s="1"/>
  <c r="G116" i="4"/>
  <c r="G117" i="4"/>
  <c r="G118" i="4"/>
  <c r="G119" i="4"/>
  <c r="G120" i="4"/>
  <c r="G121" i="4"/>
  <c r="G122" i="4"/>
  <c r="G123" i="4"/>
  <c r="N36" i="3" s="1"/>
  <c r="G124" i="4"/>
  <c r="G125" i="4"/>
  <c r="N33" i="3" s="1"/>
  <c r="G126" i="4"/>
  <c r="G127" i="4"/>
  <c r="G128" i="4"/>
  <c r="G129" i="4"/>
  <c r="G130" i="4"/>
  <c r="G131" i="4"/>
  <c r="G132" i="4"/>
  <c r="N27" i="3" s="1"/>
  <c r="G133" i="4"/>
  <c r="N39" i="3" s="1"/>
  <c r="G134" i="4"/>
  <c r="N9" i="3" s="1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N40" i="3" s="1"/>
  <c r="G151" i="4"/>
  <c r="G152" i="4"/>
  <c r="G153" i="4"/>
  <c r="G154" i="4"/>
  <c r="G155" i="4"/>
  <c r="G156" i="4"/>
  <c r="G157" i="4"/>
  <c r="G158" i="4"/>
  <c r="G159" i="4"/>
  <c r="N38" i="3" s="1"/>
  <c r="G160" i="4"/>
  <c r="N21" i="3" s="1"/>
  <c r="G161" i="4"/>
  <c r="N31" i="3" s="1"/>
  <c r="G162" i="4"/>
  <c r="N34" i="3" s="1"/>
  <c r="G163" i="4"/>
  <c r="G164" i="4"/>
  <c r="G165" i="4"/>
  <c r="G166" i="4"/>
  <c r="G167" i="4"/>
  <c r="N13" i="3" s="1"/>
  <c r="G168" i="4"/>
  <c r="G169" i="4"/>
  <c r="G170" i="4"/>
  <c r="G171" i="4"/>
  <c r="G172" i="4"/>
  <c r="N24" i="3" s="1"/>
  <c r="G173" i="4"/>
  <c r="G174" i="4"/>
  <c r="N29" i="3" s="1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N17" i="3" s="1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N8" i="3" s="1"/>
  <c r="G220" i="4"/>
  <c r="G221" i="4"/>
  <c r="N11" i="3" s="1"/>
  <c r="G222" i="4"/>
  <c r="G223" i="4"/>
  <c r="G224" i="4"/>
  <c r="G225" i="4"/>
  <c r="G226" i="4"/>
  <c r="G227" i="4"/>
  <c r="G228" i="4"/>
  <c r="N41" i="3" s="1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N16" i="3" s="1"/>
  <c r="G253" i="4"/>
  <c r="G254" i="4"/>
  <c r="G255" i="4"/>
  <c r="G256" i="4"/>
  <c r="G257" i="4"/>
  <c r="G258" i="4"/>
  <c r="G2" i="4"/>
  <c r="N42" i="3" l="1"/>
  <c r="N43" i="3"/>
  <c r="N12" i="3"/>
  <c r="N25" i="3"/>
  <c r="H13" i="6"/>
  <c r="N48" i="3"/>
  <c r="N19" i="3"/>
  <c r="N22" i="3"/>
  <c r="N44" i="3"/>
  <c r="N45" i="3"/>
  <c r="N46" i="3"/>
  <c r="N10" i="3"/>
  <c r="N7" i="3"/>
  <c r="N28" i="3"/>
  <c r="N49" i="3"/>
  <c r="H4" i="6"/>
  <c r="H7" i="6"/>
  <c r="H3" i="6"/>
  <c r="H15" i="6"/>
  <c r="H10" i="6"/>
  <c r="H14" i="6"/>
  <c r="H8" i="6"/>
  <c r="H5" i="6"/>
  <c r="H6" i="6"/>
  <c r="H11" i="6"/>
  <c r="H12" i="6"/>
  <c r="H9" i="6"/>
  <c r="F17" i="6"/>
  <c r="I17" i="6"/>
  <c r="G17" i="6"/>
  <c r="H17" i="6"/>
  <c r="J17" i="6"/>
  <c r="B18" i="6"/>
  <c r="L13" i="1"/>
  <c r="G18" i="6" l="1"/>
  <c r="I18" i="6"/>
  <c r="J18" i="6"/>
  <c r="F18" i="6"/>
  <c r="H18" i="6"/>
  <c r="B19" i="6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F19" i="6" l="1"/>
  <c r="G19" i="6"/>
  <c r="I19" i="6"/>
  <c r="J19" i="6"/>
  <c r="H19" i="6"/>
  <c r="B20" i="6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G20" i="6" l="1"/>
  <c r="H20" i="6"/>
  <c r="J20" i="6"/>
  <c r="I20" i="6"/>
  <c r="F20" i="6"/>
  <c r="B21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B22" i="6" l="1"/>
  <c r="F21" i="6"/>
  <c r="G21" i="6"/>
  <c r="I21" i="6"/>
  <c r="H21" i="6"/>
  <c r="J21" i="6"/>
  <c r="M30" i="5"/>
  <c r="M29" i="5"/>
  <c r="M27" i="5"/>
  <c r="G22" i="6" l="1"/>
  <c r="I22" i="6"/>
  <c r="J22" i="6"/>
  <c r="H22" i="6"/>
  <c r="F22" i="6"/>
  <c r="B23" i="6"/>
  <c r="M26" i="5"/>
  <c r="B24" i="6" l="1"/>
  <c r="F23" i="6"/>
  <c r="G23" i="6"/>
  <c r="H23" i="6"/>
  <c r="J23" i="6"/>
  <c r="I23" i="6"/>
  <c r="AH13" i="1"/>
  <c r="J7" i="1"/>
  <c r="G24" i="6" l="1"/>
  <c r="F24" i="6"/>
  <c r="H24" i="6"/>
  <c r="J24" i="6"/>
  <c r="I24" i="6"/>
  <c r="B25" i="6"/>
  <c r="X6" i="1"/>
  <c r="W6" i="1"/>
  <c r="V6" i="1"/>
  <c r="S6" i="1"/>
  <c r="R2" i="1"/>
  <c r="I2" i="1"/>
  <c r="O6" i="1"/>
  <c r="N6" i="1"/>
  <c r="M6" i="1"/>
  <c r="J6" i="1"/>
  <c r="B26" i="6" l="1"/>
  <c r="I25" i="6"/>
  <c r="G25" i="6"/>
  <c r="H25" i="6"/>
  <c r="J25" i="6"/>
  <c r="F25" i="6"/>
  <c r="P3" i="5"/>
  <c r="G26" i="6" l="1"/>
  <c r="I26" i="6"/>
  <c r="J26" i="6"/>
  <c r="F26" i="6"/>
  <c r="H26" i="6"/>
  <c r="B27" i="6"/>
  <c r="M18" i="5"/>
  <c r="B28" i="6" l="1"/>
  <c r="F27" i="6"/>
  <c r="G27" i="6"/>
  <c r="I27" i="6"/>
  <c r="J27" i="6"/>
  <c r="H27" i="6"/>
  <c r="AF13" i="1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28" i="6" l="1"/>
  <c r="I28" i="6"/>
  <c r="J28" i="6"/>
  <c r="F28" i="6"/>
  <c r="H28" i="6"/>
  <c r="B29" i="6"/>
  <c r="V5" i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30" i="6" l="1"/>
  <c r="F29" i="6"/>
  <c r="G29" i="6"/>
  <c r="I29" i="6"/>
  <c r="H29" i="6"/>
  <c r="J29" i="6"/>
  <c r="G259" i="4"/>
  <c r="G260" i="4"/>
  <c r="G261" i="4"/>
  <c r="G262" i="4"/>
  <c r="G263" i="4"/>
  <c r="G264" i="4"/>
  <c r="G265" i="4"/>
  <c r="B31" i="6" l="1"/>
  <c r="G30" i="6"/>
  <c r="I30" i="6"/>
  <c r="H30" i="6"/>
  <c r="J30" i="6"/>
  <c r="F30" i="6"/>
  <c r="M14" i="5"/>
  <c r="M13" i="5"/>
  <c r="M12" i="5"/>
  <c r="M11" i="5"/>
  <c r="M10" i="5"/>
  <c r="M9" i="5"/>
  <c r="M8" i="5"/>
  <c r="M7" i="5"/>
  <c r="M6" i="5"/>
  <c r="M5" i="5"/>
  <c r="M4" i="5"/>
  <c r="M3" i="5"/>
  <c r="F31" i="6" l="1"/>
  <c r="G31" i="6"/>
  <c r="I31" i="6"/>
  <c r="J31" i="6"/>
  <c r="H31" i="6"/>
  <c r="B32" i="6"/>
  <c r="U13" i="1"/>
  <c r="S13" i="1" s="1"/>
  <c r="O3" i="3"/>
  <c r="H32" i="6" l="1"/>
  <c r="I32" i="6"/>
  <c r="F32" i="6"/>
  <c r="G32" i="6"/>
  <c r="J32" i="6"/>
  <c r="B33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34" i="6" l="1"/>
  <c r="F34" i="6" s="1"/>
  <c r="F33" i="6"/>
  <c r="G33" i="6"/>
  <c r="I33" i="6"/>
  <c r="H33" i="6"/>
  <c r="J33" i="6"/>
  <c r="J8" i="1"/>
  <c r="J4" i="1"/>
  <c r="S8" i="1"/>
  <c r="S4" i="1"/>
  <c r="J34" i="6" l="1"/>
  <c r="I34" i="6"/>
  <c r="G34" i="6"/>
  <c r="H34" i="6"/>
  <c r="B35" i="6"/>
  <c r="S9" i="1"/>
  <c r="J9" i="1"/>
  <c r="B36" i="6" l="1"/>
  <c r="H35" i="6"/>
  <c r="J35" i="6"/>
  <c r="F35" i="6"/>
  <c r="G35" i="6"/>
  <c r="I35" i="6"/>
  <c r="S11" i="1"/>
  <c r="A11" i="1"/>
  <c r="B37" i="6" l="1"/>
  <c r="F36" i="6"/>
  <c r="I36" i="6"/>
  <c r="J36" i="6"/>
  <c r="G36" i="6"/>
  <c r="H36" i="6"/>
  <c r="B1" i="6"/>
  <c r="A5" i="3"/>
  <c r="B38" i="6" l="1"/>
  <c r="G37" i="6"/>
  <c r="H37" i="6"/>
  <c r="F37" i="6"/>
  <c r="I37" i="6"/>
  <c r="J37" i="6"/>
  <c r="G38" i="6" l="1"/>
  <c r="H38" i="6"/>
  <c r="I38" i="6"/>
  <c r="J38" i="6"/>
  <c r="F38" i="6"/>
  <c r="B39" i="6"/>
  <c r="H39" i="6" l="1"/>
  <c r="F39" i="6"/>
  <c r="G39" i="6"/>
  <c r="I39" i="6"/>
  <c r="J39" i="6"/>
  <c r="B40" i="6"/>
  <c r="B41" i="6" l="1"/>
  <c r="G40" i="6"/>
  <c r="H40" i="6"/>
  <c r="I40" i="6"/>
  <c r="J40" i="6"/>
  <c r="F40" i="6"/>
  <c r="B42" i="6" l="1"/>
  <c r="I41" i="6"/>
  <c r="G41" i="6"/>
  <c r="F41" i="6"/>
  <c r="H41" i="6"/>
  <c r="J41" i="6"/>
  <c r="G42" i="6" l="1"/>
  <c r="F42" i="6"/>
  <c r="H42" i="6"/>
  <c r="I42" i="6"/>
  <c r="J42" i="6"/>
  <c r="B43" i="6"/>
  <c r="H43" i="6" l="1"/>
  <c r="J43" i="6"/>
  <c r="F43" i="6"/>
  <c r="G43" i="6"/>
  <c r="I43" i="6"/>
  <c r="B44" i="6"/>
  <c r="B45" i="6" l="1"/>
  <c r="F44" i="6"/>
  <c r="G44" i="6"/>
  <c r="I44" i="6"/>
  <c r="H44" i="6"/>
  <c r="J44" i="6"/>
  <c r="F45" i="6" l="1"/>
  <c r="G45" i="6"/>
  <c r="J45" i="6"/>
  <c r="H45" i="6"/>
  <c r="I45" i="6"/>
  <c r="B46" i="6"/>
  <c r="G46" i="6" l="1"/>
  <c r="J46" i="6"/>
  <c r="F46" i="6"/>
  <c r="H46" i="6"/>
  <c r="I46" i="6"/>
  <c r="B47" i="6"/>
  <c r="B48" i="6" l="1"/>
  <c r="F47" i="6"/>
  <c r="G47" i="6"/>
  <c r="H47" i="6"/>
  <c r="I47" i="6"/>
  <c r="J47" i="6"/>
  <c r="B49" i="6" l="1"/>
  <c r="J48" i="6"/>
  <c r="F48" i="6"/>
  <c r="I48" i="6"/>
  <c r="G48" i="6"/>
  <c r="H48" i="6"/>
  <c r="B50" i="6" l="1"/>
  <c r="G49" i="6"/>
  <c r="H49" i="6"/>
  <c r="F49" i="6"/>
  <c r="I49" i="6"/>
  <c r="J49" i="6"/>
  <c r="G50" i="6" l="1"/>
  <c r="I50" i="6"/>
  <c r="J50" i="6"/>
  <c r="F50" i="6"/>
  <c r="H50" i="6"/>
  <c r="B51" i="6"/>
  <c r="B52" i="6" l="1"/>
  <c r="J51" i="6"/>
  <c r="F51" i="6"/>
  <c r="H51" i="6"/>
  <c r="G51" i="6"/>
  <c r="I51" i="6"/>
  <c r="B53" i="6" l="1"/>
  <c r="H52" i="6"/>
  <c r="F52" i="6"/>
  <c r="I52" i="6"/>
  <c r="J52" i="6"/>
  <c r="G52" i="6"/>
  <c r="B55" i="6" l="1"/>
  <c r="B54" i="6"/>
  <c r="G53" i="6"/>
  <c r="H53" i="6"/>
  <c r="F53" i="6"/>
  <c r="I53" i="6"/>
  <c r="J53" i="6"/>
  <c r="G54" i="6" l="1"/>
  <c r="H54" i="6"/>
  <c r="I54" i="6"/>
  <c r="J54" i="6"/>
  <c r="F54" i="6"/>
  <c r="H55" i="6"/>
  <c r="J55" i="6"/>
  <c r="G55" i="6"/>
  <c r="I55" i="6"/>
  <c r="F55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<sst xmlns="http://schemas.openxmlformats.org/spreadsheetml/2006/main" count="2939" uniqueCount="1039">
  <si>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</si>
  <si>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</si>
  <si>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</si>
  <si>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</si>
  <si>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</si>
  <si>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</si>
  <si>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</si>
  <si>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</si>
  <si>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</si>
  <si>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</si>
  <si>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</si>
  <si>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</si>
  <si>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</si>
  <si>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</si>
  <si>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</si>
  <si>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</si>
  <si>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</si>
  <si>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</si>
  <si>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</si>
  <si>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</si>
  <si>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</si>
  <si>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</si>
  <si>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</si>
  <si>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</si>
  <si>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</si>
  <si>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</si>
  <si>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</si>
  <si>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</si>
  <si>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</si>
  <si>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</si>
  <si>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</si>
  <si>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</si>
  <si>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</si>
  <si>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</si>
  <si>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</si>
  <si>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</si>
  <si>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</si>
  <si>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</si>
  <si>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</si>
  <si>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</si>
  <si>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</si>
  <si>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</si>
  <si>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</si>
  <si>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</si>
  <si>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</si>
  <si>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</si>
  <si>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</si>
  <si>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</si>
  <si>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</si>
  <si>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</si>
  <si>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</si>
  <si>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</si>
  <si>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</si>
  <si>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</si>
  <si>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</si>
  <si>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</si>
  <si>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</si>
  <si>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</si>
  <si>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</si>
  <si>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</si>
  <si>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</si>
  <si>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</si>
  <si>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</si>
  <si>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</si>
  <si>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</si>
  <si>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</si>
  <si>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</si>
  <si>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</si>
  <si>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</si>
  <si>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</si>
  <si>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</si>
  <si>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</si>
  <si>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</si>
  <si>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</si>
  <si>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</si>
  <si>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</si>
  <si>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</si>
  <si>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</si>
  <si>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</si>
  <si>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</si>
  <si>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</si>
  <si>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</si>
  <si>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</si>
  <si>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</si>
  <si>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</si>
  <si>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</si>
  <si>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</si>
  <si>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</si>
  <si>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</si>
  <si>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</si>
  <si>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</si>
  <si>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</si>
  <si>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</si>
  <si>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</si>
  <si>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</si>
  <si>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</si>
  <si>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</si>
  <si>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</si>
  <si>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</si>
  <si>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</si>
  <si>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</si>
  <si>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</si>
  <si>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</si>
  <si>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</si>
  <si>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</si>
  <si>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</si>
  <si>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</si>
  <si>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</si>
  <si>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</si>
  <si>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</si>
  <si>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</si>
  <si>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</si>
  <si>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</si>
  <si>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</si>
  <si>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</si>
  <si>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</si>
  <si>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</si>
  <si>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</si>
  <si>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</si>
  <si>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</si>
  <si>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</si>
  <si>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</si>
  <si>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</si>
  <si>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</si>
  <si>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</si>
  <si>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</si>
  <si>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</si>
  <si>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</si>
  <si>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</si>
  <si>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</si>
  <si>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</si>
  <si>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</si>
  <si>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</si>
  <si>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</si>
  <si>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</si>
  <si>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</si>
  <si>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</si>
  <si>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</si>
  <si>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</si>
  <si>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</si>
  <si>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</si>
  <si>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</si>
  <si>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</si>
  <si>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</si>
  <si>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</si>
  <si>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</si>
  <si>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</si>
  <si>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</si>
  <si>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</si>
  <si>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</si>
  <si>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</si>
  <si>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</si>
  <si>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</si>
  <si>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</si>
  <si>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</si>
  <si>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</si>
  <si>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</si>
  <si>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</si>
  <si>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</si>
  <si>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</si>
  <si>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</si>
  <si>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</si>
  <si>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</si>
  <si>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</si>
  <si>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</si>
  <si>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</si>
  <si>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</si>
  <si>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</si>
  <si>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</si>
  <si>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</si>
  <si>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</si>
  <si>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</si>
  <si>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</si>
  <si>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</si>
  <si>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</si>
  <si>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</si>
  <si>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</si>
  <si>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</si>
  <si>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</si>
  <si>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</si>
  <si>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</si>
  <si>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</si>
  <si>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</si>
  <si>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</si>
  <si>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</si>
  <si>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</si>
  <si>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</si>
  <si>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</si>
  <si>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</si>
  <si>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</si>
  <si>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</si>
  <si>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</si>
  <si>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</si>
  <si>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</si>
  <si>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</si>
  <si>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</si>
  <si>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</si>
  <si>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AWS CP Parallel</t>
  </si>
  <si>
    <t>DownloadS3Logs</t>
  </si>
  <si>
    <t>%USERPROFILE%\Documents\GitHub\eaglep3\Utilities\DownloadLogsFromS3.py</t>
  </si>
  <si>
    <t>204:457</t>
  </si>
  <si>
    <t>204:460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</si>
  <si>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</si>
  <si>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</si>
  <si>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</si>
  <si>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</si>
  <si>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</si>
  <si>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</si>
  <si>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</si>
  <si>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</si>
  <si>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</si>
  <si>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</si>
  <si>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</si>
  <si>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</si>
  <si>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</si>
  <si>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</si>
  <si>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</si>
  <si>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</si>
  <si>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</si>
  <si>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</si>
  <si>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</si>
  <si>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</si>
  <si>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</si>
  <si>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</si>
  <si>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</si>
  <si>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</si>
  <si>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</si>
  <si>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</si>
  <si>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</si>
  <si>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</si>
  <si>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</si>
  <si>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</si>
  <si>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</si>
  <si>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</si>
  <si>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</si>
  <si>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</si>
  <si>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</si>
  <si>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</si>
  <si>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</si>
  <si>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</si>
  <si>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</si>
  <si>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</si>
  <si>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</si>
  <si>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</si>
  <si>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</si>
  <si>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</si>
  <si>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</si>
  <si>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</si>
  <si>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</si>
  <si>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</si>
  <si>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</si>
  <si>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</si>
  <si>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</si>
  <si>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</si>
  <si>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</si>
  <si>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</si>
  <si>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</si>
  <si>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</si>
  <si>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</si>
  <si>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</si>
  <si>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</si>
  <si>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</si>
  <si>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</si>
  <si>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</si>
  <si>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</si>
  <si>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</si>
  <si>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</si>
  <si>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</si>
  <si>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</si>
  <si>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</si>
  <si>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</si>
  <si>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</si>
  <si>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</si>
  <si>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</si>
  <si>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</si>
  <si>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</si>
  <si>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</si>
  <si>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</si>
  <si>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</si>
  <si>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</si>
  <si>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</si>
  <si>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</si>
  <si>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</si>
  <si>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</si>
  <si>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</si>
  <si>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</si>
  <si>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</si>
  <si>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</si>
  <si>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</si>
  <si>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</si>
  <si>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</si>
  <si>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</si>
  <si>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</si>
  <si>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</si>
  <si>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</si>
  <si>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</si>
  <si>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</si>
  <si>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</si>
  <si>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</si>
  <si>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</si>
  <si>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</si>
  <si>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</si>
  <si>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</si>
  <si>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</si>
  <si>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</si>
  <si>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</si>
  <si>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</si>
  <si>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</si>
  <si>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</si>
  <si>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</si>
  <si>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</si>
  <si>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</si>
  <si>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</si>
  <si>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</si>
  <si>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</si>
  <si>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</si>
  <si>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</si>
  <si>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</si>
  <si>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</si>
  <si>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</si>
  <si>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</si>
  <si>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</si>
  <si>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</si>
  <si>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</si>
  <si>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</si>
  <si>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</si>
  <si>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</si>
  <si>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</si>
  <si>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</si>
  <si>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</si>
  <si>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</si>
  <si>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</si>
  <si>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</si>
  <si>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</si>
  <si>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</si>
  <si>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</si>
  <si>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</si>
  <si>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</si>
  <si>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</si>
  <si>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</si>
  <si>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</si>
  <si>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rtdc.l.rtdc.4028:itc</t>
  </si>
  <si>
    <t>rtdc.l.rtdc.4027:itc</t>
  </si>
  <si>
    <t>rtdc.l.rtdc.4022:itc</t>
  </si>
  <si>
    <t>SMITH</t>
  </si>
  <si>
    <t>204:449</t>
  </si>
  <si>
    <t>WCR Redmine cURL</t>
  </si>
  <si>
    <t>27f4683f8c668ceb395ce0223286e38dfe180cf8</t>
  </si>
  <si>
    <t>https://ptcsupport.wabtec.com/issues.json</t>
  </si>
  <si>
    <t>204:446</t>
  </si>
  <si>
    <t>204:160</t>
  </si>
  <si>
    <t>204:458</t>
  </si>
  <si>
    <t>204:150</t>
  </si>
  <si>
    <t>204:149</t>
  </si>
  <si>
    <t>204:143</t>
  </si>
  <si>
    <t>204:466</t>
  </si>
  <si>
    <t>204:451</t>
  </si>
  <si>
    <t>300:23346</t>
  </si>
  <si>
    <t>204:464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</si>
  <si>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</si>
  <si>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</si>
  <si>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</si>
  <si>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</si>
  <si>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</si>
  <si>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</si>
  <si>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</si>
  <si>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SIGNAL</t>
  </si>
  <si>
    <t>Signal based authority (5)</t>
  </si>
  <si>
    <t>204:455</t>
  </si>
  <si>
    <t>rtdc.l.rtdc.4033:itc</t>
  </si>
  <si>
    <t>rtdc.l.rtdc.4034:itc</t>
  </si>
  <si>
    <t>rtdc.l.rtdc.4021:itc</t>
  </si>
  <si>
    <t>THOMAS</t>
  </si>
  <si>
    <t>NEWELL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</si>
  <si>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</si>
  <si>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</si>
  <si>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</si>
  <si>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</si>
  <si>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</si>
  <si>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</si>
  <si>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</si>
  <si>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</si>
  <si>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</si>
  <si>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CHANDLER</t>
  </si>
  <si>
    <t>KELVIN</t>
  </si>
  <si>
    <t>GUZMAN</t>
  </si>
  <si>
    <t>DANNY</t>
  </si>
  <si>
    <t>BIRENBAUM</t>
  </si>
  <si>
    <t>WILLIAMS</t>
  </si>
  <si>
    <t>DONTE</t>
  </si>
  <si>
    <t>ZEWDU</t>
  </si>
  <si>
    <t>DEREJE</t>
  </si>
  <si>
    <t>315-08</t>
  </si>
  <si>
    <t>242-08</t>
  </si>
  <si>
    <t>309-08</t>
  </si>
  <si>
    <t>311-08</t>
  </si>
  <si>
    <t>313-08</t>
  </si>
  <si>
    <t>204:462</t>
  </si>
  <si>
    <t>204:233293</t>
  </si>
  <si>
    <t>SULLIVAN</t>
  </si>
  <si>
    <t>BRANDON</t>
  </si>
  <si>
    <t>204:154</t>
  </si>
  <si>
    <t>Early arrival</t>
  </si>
  <si>
    <t>204:232982</t>
  </si>
  <si>
    <t>rtdc.l.rtdc.4049:itc</t>
  </si>
  <si>
    <t>rtdc.l.rtdc.4050:itc</t>
  </si>
  <si>
    <t>rtdc.l.rtdc.4008:itc</t>
  </si>
  <si>
    <t>rtdc.l.rtdc.4054:itc</t>
  </si>
  <si>
    <t>rtdc.l.rtdc.4059:itc</t>
  </si>
  <si>
    <t>59-16</t>
  </si>
  <si>
    <t>66-16</t>
  </si>
  <si>
    <t>rtdc.l.rtdc.4060:itc</t>
  </si>
  <si>
    <t>60-16</t>
  </si>
  <si>
    <t>309-16</t>
  </si>
  <si>
    <t>244-16</t>
  </si>
  <si>
    <t>311-16</t>
  </si>
  <si>
    <t>313-16</t>
  </si>
  <si>
    <t>Y</t>
  </si>
  <si>
    <t>Wi-MAX data drop</t>
  </si>
  <si>
    <t>Track device (7)</t>
  </si>
  <si>
    <t>ROBINSON</t>
  </si>
  <si>
    <t>KADDIBA</t>
  </si>
  <si>
    <t>SWITCH UNKNOWN</t>
  </si>
  <si>
    <t>rtdc.l.rtdc.4041:itc</t>
  </si>
  <si>
    <t>STAMBAUGH</t>
  </si>
  <si>
    <t>DAVIS</t>
  </si>
  <si>
    <t>DUNCAN</t>
  </si>
  <si>
    <t>SHEILA</t>
  </si>
  <si>
    <t>MAGEE</t>
  </si>
  <si>
    <t>KENYA</t>
  </si>
  <si>
    <t>204:232977</t>
  </si>
  <si>
    <t>204:145</t>
  </si>
  <si>
    <t>204:232980</t>
  </si>
  <si>
    <t>rtdc.l.rtdc.4043:itc</t>
  </si>
  <si>
    <t>rtdc.l.rtdc.4019:itc</t>
  </si>
  <si>
    <t>80-23</t>
  </si>
  <si>
    <t>rtdc.l.rtdc.4020:itc</t>
  </si>
  <si>
    <t>rtdc.l.rtdc.4044:itc</t>
  </si>
  <si>
    <t>FORTUNATO</t>
  </si>
  <si>
    <t>FRANK</t>
  </si>
  <si>
    <t>81-23</t>
  </si>
  <si>
    <t>908-23</t>
  </si>
  <si>
    <t>238-23</t>
  </si>
  <si>
    <t>241-23</t>
  </si>
  <si>
    <t>240-23</t>
  </si>
  <si>
    <t>243-23</t>
  </si>
  <si>
    <t>307-23</t>
  </si>
  <si>
    <t>242-23</t>
  </si>
  <si>
    <t>309-23</t>
  </si>
  <si>
    <t>244-23</t>
  </si>
  <si>
    <t>311-23</t>
  </si>
  <si>
    <t>313-23</t>
  </si>
  <si>
    <t>204:233297</t>
  </si>
  <si>
    <t>M - F = 49 trips</t>
  </si>
  <si>
    <t>Sat - Sun = 35 Trips</t>
  </si>
  <si>
    <t>204:467</t>
  </si>
  <si>
    <t>204:156</t>
  </si>
  <si>
    <t>204:138</t>
  </si>
  <si>
    <t>204:233309</t>
  </si>
  <si>
    <t>rtdc.l.rtdc.4001:itc</t>
  </si>
  <si>
    <t>rtdc.l.rtdc.4002:itc</t>
  </si>
  <si>
    <t>SAFIEF</t>
  </si>
  <si>
    <t>AEIMEN</t>
  </si>
  <si>
    <t>204:163</t>
  </si>
  <si>
    <t>204:232988</t>
  </si>
  <si>
    <t>204:233289</t>
  </si>
  <si>
    <t>81-01</t>
  </si>
  <si>
    <t>SUR-02</t>
  </si>
  <si>
    <t>SUR</t>
  </si>
  <si>
    <t>JEREMY</t>
  </si>
  <si>
    <t>313-01</t>
  </si>
  <si>
    <t>204:444</t>
  </si>
  <si>
    <t>204:233307</t>
  </si>
  <si>
    <t>204:437</t>
  </si>
  <si>
    <t>rtdc.l.rtdc.4016:itc</t>
  </si>
  <si>
    <t>partly-cloudy-day</t>
  </si>
  <si>
    <t>Partly Cloudy</t>
  </si>
  <si>
    <t>204:232989</t>
  </si>
  <si>
    <t>204:232986</t>
  </si>
  <si>
    <t>204:477</t>
  </si>
  <si>
    <t>rtdc.l.rtdc.4046:itc</t>
  </si>
  <si>
    <t>rtdc.l.rtdc.4045:itc</t>
  </si>
  <si>
    <t>HELVIE</t>
  </si>
  <si>
    <t>ADAM</t>
  </si>
  <si>
    <t>partly-cloudy-night</t>
  </si>
  <si>
    <t>204:232983</t>
  </si>
  <si>
    <t>204:694</t>
  </si>
  <si>
    <t>204:985</t>
  </si>
  <si>
    <t>300:58623</t>
  </si>
  <si>
    <t>300:58615</t>
  </si>
  <si>
    <t>rtdc.l.rtdc.4055:itc</t>
  </si>
  <si>
    <t>rtdc.l.rtdc.4056:itc</t>
  </si>
  <si>
    <t>rtdc.l.rtdc.4006:itc</t>
  </si>
  <si>
    <t>rtdc.l.rtdc.4004:itc</t>
  </si>
  <si>
    <t>STEWART</t>
  </si>
  <si>
    <t>204:233303</t>
  </si>
  <si>
    <t>204:438</t>
  </si>
  <si>
    <t>204:232990</t>
  </si>
  <si>
    <t>204:232971</t>
  </si>
  <si>
    <t>204:136</t>
  </si>
  <si>
    <t>204:232996</t>
  </si>
  <si>
    <t>204:233000</t>
  </si>
  <si>
    <t>rtdc.l.rtdc.4015:itc</t>
  </si>
  <si>
    <t>rtdc.l.rtdc.4031:itc</t>
  </si>
  <si>
    <t>rtdc.l.rtdc.4058:itc</t>
  </si>
  <si>
    <t>rtdc.l.rtdc.4057:itc</t>
  </si>
  <si>
    <t>WENDY</t>
  </si>
  <si>
    <t>rtdc.l.rtdc.4032:itc</t>
  </si>
  <si>
    <t>GEBRETEKLE</t>
  </si>
  <si>
    <t>DAGNEW</t>
  </si>
  <si>
    <t>HOLCOMB</t>
  </si>
  <si>
    <t>KAMDEN</t>
  </si>
  <si>
    <t>clear-night</t>
  </si>
  <si>
    <t>Clear</t>
  </si>
  <si>
    <t>clear-day</t>
  </si>
  <si>
    <t>204:233304</t>
  </si>
  <si>
    <t>204:232994</t>
  </si>
  <si>
    <t>204:233327</t>
  </si>
  <si>
    <t>204:233311</t>
  </si>
  <si>
    <t>204:233302</t>
  </si>
  <si>
    <t>204:233306</t>
  </si>
  <si>
    <t>204:232969</t>
  </si>
  <si>
    <t>204:161</t>
  </si>
  <si>
    <t>204:232985</t>
  </si>
  <si>
    <t>204:233321</t>
  </si>
  <si>
    <t>204:233051</t>
  </si>
  <si>
    <t>204:232965</t>
  </si>
  <si>
    <t>204:233272</t>
  </si>
  <si>
    <t>204:233340</t>
  </si>
  <si>
    <t>204:132</t>
  </si>
  <si>
    <t>204:169</t>
  </si>
  <si>
    <t>204:233315</t>
  </si>
  <si>
    <t>204:233300</t>
  </si>
  <si>
    <t>204:233291</t>
  </si>
  <si>
    <t>300:23310</t>
  </si>
  <si>
    <t>300:23295</t>
  </si>
  <si>
    <t>300:58609</t>
  </si>
  <si>
    <t>300:58928</t>
  </si>
  <si>
    <t>rtdc.l.rtdc.4029:itc</t>
  </si>
  <si>
    <t>rtdc.l.rtdc.4007:itc</t>
  </si>
  <si>
    <t>rtdc.l.rtdc.4003:itc</t>
  </si>
  <si>
    <t>rtdc.l.rtdc.4030:itc</t>
  </si>
  <si>
    <t>rtdc.l.rtdc.4053:itc</t>
  </si>
  <si>
    <t>YORK</t>
  </si>
  <si>
    <t>EDGAR</t>
  </si>
  <si>
    <t>BEAM</t>
  </si>
  <si>
    <t>ROSS</t>
  </si>
  <si>
    <t>204:233017</t>
  </si>
  <si>
    <t>204:232998</t>
  </si>
  <si>
    <t>204:233305</t>
  </si>
  <si>
    <t>204:233355</t>
  </si>
  <si>
    <t>204:232984</t>
  </si>
  <si>
    <t>204:232979</t>
  </si>
  <si>
    <t>204:134</t>
  </si>
  <si>
    <t>204:233286</t>
  </si>
  <si>
    <t>204:233338</t>
  </si>
  <si>
    <t>204:233013</t>
  </si>
  <si>
    <t>204:233361</t>
  </si>
  <si>
    <t>204:233295</t>
  </si>
  <si>
    <t>204:233336</t>
  </si>
  <si>
    <t>204:473</t>
  </si>
  <si>
    <t>204:232987</t>
  </si>
  <si>
    <t>204:233299</t>
  </si>
  <si>
    <t>204:497</t>
  </si>
  <si>
    <t>204:233331</t>
  </si>
  <si>
    <t>300:23304</t>
  </si>
  <si>
    <t>204:955</t>
  </si>
  <si>
    <t>204:962</t>
  </si>
  <si>
    <t>300:58973</t>
  </si>
  <si>
    <t>300:58950</t>
  </si>
  <si>
    <t>300:58632</t>
  </si>
  <si>
    <t>Onboard in-route failure</t>
  </si>
  <si>
    <t>86-10</t>
  </si>
  <si>
    <t>rtdc.l.rtdc.4061:itc</t>
  </si>
  <si>
    <t>312-10</t>
  </si>
  <si>
    <t>112-10</t>
  </si>
  <si>
    <t>135-10</t>
  </si>
  <si>
    <t>133-10</t>
  </si>
  <si>
    <t>136-10</t>
  </si>
  <si>
    <t>150-10</t>
  </si>
  <si>
    <t>1810-10</t>
  </si>
  <si>
    <t>1811-10</t>
  </si>
  <si>
    <t>161-10</t>
  </si>
  <si>
    <t>154-10</t>
  </si>
  <si>
    <t>156-10</t>
  </si>
  <si>
    <t>1813-10</t>
  </si>
  <si>
    <t>162-10</t>
  </si>
  <si>
    <t>1814-10</t>
  </si>
  <si>
    <t>166-10</t>
  </si>
  <si>
    <t>168-10</t>
  </si>
  <si>
    <t>56-10</t>
  </si>
  <si>
    <t>1817-10</t>
  </si>
  <si>
    <t>1818-10</t>
  </si>
  <si>
    <t>189-10</t>
  </si>
  <si>
    <t>184-10</t>
  </si>
  <si>
    <t>191-10</t>
  </si>
  <si>
    <t>188-10</t>
  </si>
  <si>
    <t>199-10</t>
  </si>
  <si>
    <t>192-10</t>
  </si>
  <si>
    <t>194-10</t>
  </si>
  <si>
    <t>198-10</t>
  </si>
  <si>
    <t>205-10</t>
  </si>
  <si>
    <t>209-10</t>
  </si>
  <si>
    <t>212-10</t>
  </si>
  <si>
    <t>225-10</t>
  </si>
  <si>
    <t>227-10</t>
  </si>
  <si>
    <t>1831-10</t>
  </si>
  <si>
    <t>52-10</t>
  </si>
  <si>
    <t>307-10</t>
  </si>
  <si>
    <t>NON SYNCHRONIZED SUBDIV</t>
  </si>
  <si>
    <t>PTC function (8)</t>
  </si>
  <si>
    <t>245-10</t>
  </si>
  <si>
    <t>242-09</t>
  </si>
  <si>
    <t>245-09</t>
  </si>
  <si>
    <t>rtdc.l.rtdc.4005:itc</t>
  </si>
  <si>
    <t>244-09</t>
  </si>
  <si>
    <t>307-09</t>
  </si>
  <si>
    <t>309-09</t>
  </si>
  <si>
    <t>246-09</t>
  </si>
  <si>
    <t>311-09</t>
  </si>
  <si>
    <t>313-09</t>
  </si>
  <si>
    <t>300-10</t>
  </si>
  <si>
    <t>ROCHA</t>
  </si>
  <si>
    <t>YAOTL</t>
  </si>
  <si>
    <t>67-10</t>
  </si>
  <si>
    <t>101-10</t>
  </si>
  <si>
    <t>rtdc.l.rtdc.4051:itc</t>
  </si>
  <si>
    <t>302-10</t>
  </si>
  <si>
    <t>68-10</t>
  </si>
  <si>
    <t>304-10</t>
  </si>
  <si>
    <t>rtdc.l.rtdc.4052:itc</t>
  </si>
  <si>
    <t>103-10</t>
  </si>
  <si>
    <t>306-10</t>
  </si>
  <si>
    <t>105-10</t>
  </si>
  <si>
    <t>71-10</t>
  </si>
  <si>
    <t>MAYBERRY</t>
  </si>
  <si>
    <t>BILL</t>
  </si>
  <si>
    <t>72-10</t>
  </si>
  <si>
    <t>308-10</t>
  </si>
  <si>
    <t>LALONDE</t>
  </si>
  <si>
    <t>GREGORY</t>
  </si>
  <si>
    <t>107-10</t>
  </si>
  <si>
    <t>104-10</t>
  </si>
  <si>
    <t>DE LA ROSA</t>
  </si>
  <si>
    <t>ALEX</t>
  </si>
  <si>
    <t>111-10</t>
  </si>
  <si>
    <t>310-10</t>
  </si>
  <si>
    <t>DAVIDSON</t>
  </si>
  <si>
    <t>DAVID</t>
  </si>
  <si>
    <t>109-10</t>
  </si>
  <si>
    <t>113-10</t>
  </si>
  <si>
    <t>60-10</t>
  </si>
  <si>
    <t>108-10</t>
  </si>
  <si>
    <t>106-10</t>
  </si>
  <si>
    <t>1901-10</t>
  </si>
  <si>
    <t>MACDONALD</t>
  </si>
  <si>
    <t>115-10</t>
  </si>
  <si>
    <t>110-10</t>
  </si>
  <si>
    <t>1800-10</t>
  </si>
  <si>
    <t>rtdc.l.rtdc.4062:itc</t>
  </si>
  <si>
    <t>117-10</t>
  </si>
  <si>
    <t>50-10</t>
  </si>
  <si>
    <t>119-10</t>
  </si>
  <si>
    <t>1801-10</t>
  </si>
  <si>
    <t>114-10</t>
  </si>
  <si>
    <t>51-10</t>
  </si>
  <si>
    <t>121-10</t>
  </si>
  <si>
    <t>53-10</t>
  </si>
  <si>
    <t>123-10</t>
  </si>
  <si>
    <t>116-10</t>
  </si>
  <si>
    <t>118-10</t>
  </si>
  <si>
    <t>1802-10</t>
  </si>
  <si>
    <t>125-10</t>
  </si>
  <si>
    <t>55-10</t>
  </si>
  <si>
    <t>54-10</t>
  </si>
  <si>
    <t>122-10</t>
  </si>
  <si>
    <t>127-10</t>
  </si>
  <si>
    <t>120-10</t>
  </si>
  <si>
    <t>1803-10</t>
  </si>
  <si>
    <t>124-10</t>
  </si>
  <si>
    <t>129-10</t>
  </si>
  <si>
    <t>131-10</t>
  </si>
  <si>
    <t>1804-10</t>
  </si>
  <si>
    <t>128-10</t>
  </si>
  <si>
    <t>126-10</t>
  </si>
  <si>
    <t>130-10</t>
  </si>
  <si>
    <t>1805-10</t>
  </si>
  <si>
    <t>137-10</t>
  </si>
  <si>
    <t>132-10</t>
  </si>
  <si>
    <t>139-10</t>
  </si>
  <si>
    <t>1806-10</t>
  </si>
  <si>
    <t>134-10</t>
  </si>
  <si>
    <t>141-10</t>
  </si>
  <si>
    <t>143-10</t>
  </si>
  <si>
    <t>138-10</t>
  </si>
  <si>
    <t>1807-10</t>
  </si>
  <si>
    <t>145-10</t>
  </si>
  <si>
    <t>147-10</t>
  </si>
  <si>
    <t>140-10</t>
  </si>
  <si>
    <t>142-10</t>
  </si>
  <si>
    <t>1808-10</t>
  </si>
  <si>
    <t>149-10</t>
  </si>
  <si>
    <t>144-10</t>
  </si>
  <si>
    <t>151-10</t>
  </si>
  <si>
    <t>146-10</t>
  </si>
  <si>
    <t>1809-10</t>
  </si>
  <si>
    <t>153-10</t>
  </si>
  <si>
    <t>148-10</t>
  </si>
  <si>
    <t>155-10</t>
  </si>
  <si>
    <t>157-10</t>
  </si>
  <si>
    <t>152-10</t>
  </si>
  <si>
    <t>159-10</t>
  </si>
  <si>
    <t>163-10</t>
  </si>
  <si>
    <t>BRANDNER</t>
  </si>
  <si>
    <t>MELINDA</t>
  </si>
  <si>
    <t>1812-10</t>
  </si>
  <si>
    <t>160-10</t>
  </si>
  <si>
    <t>158-10</t>
  </si>
  <si>
    <t>165-10</t>
  </si>
  <si>
    <t>BRUDER</t>
  </si>
  <si>
    <t>RICHARD</t>
  </si>
  <si>
    <t>167-10</t>
  </si>
  <si>
    <t>57-10</t>
  </si>
  <si>
    <t>169-10</t>
  </si>
  <si>
    <t>LOPES</t>
  </si>
  <si>
    <t>KIMBERLY</t>
  </si>
  <si>
    <t>164-10</t>
  </si>
  <si>
    <t>171-10</t>
  </si>
  <si>
    <t>173-10</t>
  </si>
  <si>
    <t>59-10</t>
  </si>
  <si>
    <t>1815-10</t>
  </si>
  <si>
    <t>175-10</t>
  </si>
  <si>
    <t>170-10</t>
  </si>
  <si>
    <t>177-10</t>
  </si>
  <si>
    <t>179-10</t>
  </si>
  <si>
    <t>172-10</t>
  </si>
  <si>
    <t>BROWN</t>
  </si>
  <si>
    <t>JACOB</t>
  </si>
  <si>
    <t>1816-10</t>
  </si>
  <si>
    <t>174-10</t>
  </si>
  <si>
    <t>181-10</t>
  </si>
  <si>
    <t>176-10</t>
  </si>
  <si>
    <t>183-10</t>
  </si>
  <si>
    <t>ROMERO</t>
  </si>
  <si>
    <t>CHAD</t>
  </si>
  <si>
    <t>178-10</t>
  </si>
  <si>
    <t>185-10</t>
  </si>
  <si>
    <t>NELSON</t>
  </si>
  <si>
    <t>ARIANE</t>
  </si>
  <si>
    <t>180-10</t>
  </si>
  <si>
    <t>187-10</t>
  </si>
  <si>
    <t>182-10</t>
  </si>
  <si>
    <t>1819-10</t>
  </si>
  <si>
    <t>186-10</t>
  </si>
  <si>
    <t>193-10</t>
  </si>
  <si>
    <t>195-10</t>
  </si>
  <si>
    <t>1820-10</t>
  </si>
  <si>
    <t>197-10</t>
  </si>
  <si>
    <t>190-10</t>
  </si>
  <si>
    <t>1821-10</t>
  </si>
  <si>
    <t>196-10</t>
  </si>
  <si>
    <t>201-10</t>
  </si>
  <si>
    <t>203-10</t>
  </si>
  <si>
    <t>1822-10</t>
  </si>
  <si>
    <t>200-10</t>
  </si>
  <si>
    <t>1823-10</t>
  </si>
  <si>
    <t>207-10</t>
  </si>
  <si>
    <t>202-10</t>
  </si>
  <si>
    <t>211-10</t>
  </si>
  <si>
    <t>204-10</t>
  </si>
  <si>
    <t>1824-10</t>
  </si>
  <si>
    <t>206-10</t>
  </si>
  <si>
    <t>213-10</t>
  </si>
  <si>
    <t>208-10</t>
  </si>
  <si>
    <t>210-10</t>
  </si>
  <si>
    <t>215-10</t>
  </si>
  <si>
    <t>1825-10</t>
  </si>
  <si>
    <t>217-10</t>
  </si>
  <si>
    <t>219-10</t>
  </si>
  <si>
    <t>214-10</t>
  </si>
  <si>
    <t>1826-10</t>
  </si>
  <si>
    <t>301-10</t>
  </si>
  <si>
    <t>216-10</t>
  </si>
  <si>
    <t>221-10</t>
  </si>
  <si>
    <t>1827-10</t>
  </si>
  <si>
    <t>218-10</t>
  </si>
  <si>
    <t>303-10</t>
  </si>
  <si>
    <t>220-10</t>
  </si>
  <si>
    <t>223-10</t>
  </si>
  <si>
    <t>1828-10</t>
  </si>
  <si>
    <t>305-10</t>
  </si>
  <si>
    <t>222-10</t>
  </si>
  <si>
    <t>1829-10</t>
  </si>
  <si>
    <t>224-10</t>
  </si>
  <si>
    <t>1830-10</t>
  </si>
  <si>
    <t>84-10</t>
  </si>
  <si>
    <t>229-10</t>
  </si>
  <si>
    <t>226-10</t>
  </si>
  <si>
    <t>228-10</t>
  </si>
  <si>
    <t>231-10</t>
  </si>
  <si>
    <t>1832-10</t>
  </si>
  <si>
    <t>230-10</t>
  </si>
  <si>
    <t>233-10</t>
  </si>
  <si>
    <t>1833-10</t>
  </si>
  <si>
    <t>235-10</t>
  </si>
  <si>
    <t>232-10</t>
  </si>
  <si>
    <t>1902-10</t>
  </si>
  <si>
    <t>237-10</t>
  </si>
  <si>
    <t>234-10</t>
  </si>
  <si>
    <t>236-10</t>
  </si>
  <si>
    <t>239-10</t>
  </si>
  <si>
    <t>238-10</t>
  </si>
  <si>
    <t>241-10</t>
  </si>
  <si>
    <t>243-10</t>
  </si>
  <si>
    <t>240-10</t>
  </si>
  <si>
    <t>242-10</t>
  </si>
  <si>
    <t>244-10</t>
  </si>
  <si>
    <t>309-10</t>
  </si>
  <si>
    <t>246-10</t>
  </si>
  <si>
    <t>311-10</t>
  </si>
  <si>
    <t>313-10</t>
  </si>
  <si>
    <t>300-11</t>
  </si>
  <si>
    <t>MAELZER</t>
  </si>
  <si>
    <t>KURT</t>
  </si>
  <si>
    <t>fog</t>
  </si>
  <si>
    <t>Foggy</t>
  </si>
  <si>
    <t>204:790</t>
  </si>
  <si>
    <t>204:107617</t>
  </si>
  <si>
    <t>204:1030</t>
  </si>
  <si>
    <t>204:233023</t>
  </si>
  <si>
    <t>204:1147</t>
  </si>
  <si>
    <t>204:232993</t>
  </si>
  <si>
    <t>204:233343</t>
  </si>
  <si>
    <t>204:233019</t>
  </si>
  <si>
    <t>204:233347</t>
  </si>
  <si>
    <t>204:233042</t>
  </si>
  <si>
    <t>204:440</t>
  </si>
  <si>
    <t>204:233015</t>
  </si>
  <si>
    <t>204:233270</t>
  </si>
  <si>
    <t>204:232992</t>
  </si>
  <si>
    <t>204:233344</t>
  </si>
  <si>
    <t>204:233008</t>
  </si>
  <si>
    <t>204:233332</t>
  </si>
  <si>
    <t>204:233009</t>
  </si>
  <si>
    <t>204:58289</t>
  </si>
  <si>
    <t>204:58293</t>
  </si>
  <si>
    <t>204:233319</t>
  </si>
  <si>
    <t>204:232972</t>
  </si>
  <si>
    <t>204:65799</t>
  </si>
  <si>
    <t>204:64172</t>
  </si>
  <si>
    <t>204:192</t>
  </si>
  <si>
    <t>204:232974</t>
  </si>
  <si>
    <t>204:871</t>
  </si>
  <si>
    <t>204:905</t>
  </si>
  <si>
    <t>204:233441</t>
  </si>
  <si>
    <t>204:233126</t>
  </si>
  <si>
    <t>204:232991</t>
  </si>
  <si>
    <t>204:232978</t>
  </si>
  <si>
    <t>204:480</t>
  </si>
  <si>
    <t>204:233011</t>
  </si>
  <si>
    <t>204:233274</t>
  </si>
  <si>
    <t>204:2184</t>
  </si>
  <si>
    <t>204:233288</t>
  </si>
  <si>
    <t>204:174</t>
  </si>
  <si>
    <t>204:65539</t>
  </si>
  <si>
    <t>204:478</t>
  </si>
  <si>
    <t>204:233421</t>
  </si>
  <si>
    <t>204:233147</t>
  </si>
  <si>
    <t>204:232973</t>
  </si>
  <si>
    <t>300:58624</t>
  </si>
  <si>
    <t>204:745</t>
  </si>
  <si>
    <t>204:1028</t>
  </si>
  <si>
    <t>300:58937</t>
  </si>
  <si>
    <t>204:708</t>
  </si>
  <si>
    <t>204:1007</t>
  </si>
  <si>
    <t>300:58636</t>
  </si>
  <si>
    <t>204:783</t>
  </si>
  <si>
    <t>204:1086</t>
  </si>
  <si>
    <t>300:58920</t>
  </si>
  <si>
    <t>300:58592</t>
  </si>
  <si>
    <t>204:762</t>
  </si>
  <si>
    <t>204:1056</t>
  </si>
  <si>
    <t>300:58926</t>
  </si>
  <si>
    <t>204:1027</t>
  </si>
  <si>
    <t>300:58946</t>
  </si>
  <si>
    <t>204:233266</t>
  </si>
  <si>
    <t>300:58630</t>
  </si>
  <si>
    <t>204:710</t>
  </si>
  <si>
    <t>204:997</t>
  </si>
  <si>
    <t>204:736</t>
  </si>
  <si>
    <t>204:1032</t>
  </si>
  <si>
    <t>300:58922</t>
  </si>
  <si>
    <t>300:58604</t>
  </si>
  <si>
    <t>204:663</t>
  </si>
  <si>
    <t>204:724</t>
  </si>
  <si>
    <t>204:1013</t>
  </si>
  <si>
    <t>300:58086</t>
  </si>
  <si>
    <t>300:58711</t>
  </si>
  <si>
    <t>204:615</t>
  </si>
  <si>
    <t>204:909</t>
  </si>
  <si>
    <t>300:58941</t>
  </si>
  <si>
    <t>300:58634</t>
  </si>
  <si>
    <t>204:619</t>
  </si>
  <si>
    <t>204:930</t>
  </si>
  <si>
    <t>300:58656</t>
  </si>
  <si>
    <t>204:675</t>
  </si>
  <si>
    <t>300:58933</t>
  </si>
  <si>
    <t>300:58621</t>
  </si>
  <si>
    <t>204:652</t>
  </si>
  <si>
    <t>204:927</t>
  </si>
  <si>
    <t>300:58935</t>
  </si>
  <si>
    <t>300:58626</t>
  </si>
  <si>
    <t>204:664</t>
  </si>
  <si>
    <t>204:986</t>
  </si>
  <si>
    <t>204:990</t>
  </si>
  <si>
    <t>204:976</t>
  </si>
  <si>
    <t>204:236</t>
  </si>
  <si>
    <t>204:233280</t>
  </si>
  <si>
    <t>204:45527</t>
  </si>
  <si>
    <t>204:64675</t>
  </si>
  <si>
    <t>204:233370</t>
  </si>
  <si>
    <t>300:30078</t>
  </si>
  <si>
    <t>300:58939</t>
  </si>
  <si>
    <t>300:19744</t>
  </si>
  <si>
    <t>300:20064</t>
  </si>
  <si>
    <t>300:23314</t>
  </si>
  <si>
    <t>204:233405</t>
  </si>
  <si>
    <t>204:233080</t>
  </si>
  <si>
    <t>204:66950</t>
  </si>
  <si>
    <t>204:36779</t>
  </si>
  <si>
    <t>204:233329</t>
  </si>
  <si>
    <t>204:233021</t>
  </si>
  <si>
    <t>204:549</t>
  </si>
  <si>
    <t>204:469</t>
  </si>
  <si>
    <t>204:232967</t>
  </si>
  <si>
    <t>204:121</t>
  </si>
  <si>
    <t>204:233314</t>
  </si>
  <si>
    <t>204:129</t>
  </si>
  <si>
    <t>204:233359</t>
  </si>
  <si>
    <t>204:233030</t>
  </si>
  <si>
    <t>204:233349</t>
  </si>
  <si>
    <t>204:233328</t>
  </si>
  <si>
    <t>204:233278</t>
  </si>
  <si>
    <t>204:233010</t>
  </si>
  <si>
    <t>204:183</t>
  </si>
  <si>
    <t>204:233376</t>
  </si>
  <si>
    <t>204:233092</t>
  </si>
  <si>
    <t>204:233420</t>
  </si>
  <si>
    <t>204:233032</t>
  </si>
  <si>
    <t>204:233408</t>
  </si>
  <si>
    <t>204:233068</t>
  </si>
  <si>
    <t>204:233372</t>
  </si>
  <si>
    <t>204:233055</t>
  </si>
  <si>
    <t>204:233069</t>
  </si>
  <si>
    <t>204:233028</t>
  </si>
  <si>
    <t>204:233072</t>
  </si>
  <si>
    <t>300:23290</t>
  </si>
  <si>
    <t>300:23297</t>
  </si>
  <si>
    <t>300:22539</t>
  </si>
  <si>
    <t>300:23385</t>
  </si>
  <si>
    <t>300:23299</t>
  </si>
  <si>
    <t>300:23474</t>
  </si>
  <si>
    <t>300:13165</t>
  </si>
  <si>
    <t>300:23483</t>
  </si>
  <si>
    <t>300:12973</t>
  </si>
  <si>
    <t>300:23481</t>
  </si>
  <si>
    <t>300:11672</t>
  </si>
  <si>
    <t>300:23561</t>
  </si>
  <si>
    <t>300:12884</t>
  </si>
  <si>
    <t>204:3298</t>
  </si>
  <si>
    <t>204:1228</t>
  </si>
  <si>
    <t>204:3617</t>
  </si>
  <si>
    <t>204:1165</t>
  </si>
  <si>
    <t>300:24218</t>
  </si>
  <si>
    <t>204:375</t>
  </si>
  <si>
    <t>300:5028</t>
  </si>
  <si>
    <t>204:4543</t>
  </si>
  <si>
    <t>204:1170</t>
  </si>
  <si>
    <t>300:5366</t>
  </si>
  <si>
    <t>204:3201</t>
  </si>
  <si>
    <t>204:1169</t>
  </si>
  <si>
    <t>204:3475</t>
  </si>
  <si>
    <t>300:5061</t>
  </si>
  <si>
    <t>204:1346</t>
  </si>
  <si>
    <t>300:5436</t>
  </si>
  <si>
    <t>300:22024</t>
  </si>
  <si>
    <t>300:21346</t>
  </si>
  <si>
    <t>300:21564</t>
  </si>
  <si>
    <t>300:23726</t>
  </si>
  <si>
    <t>300:23502</t>
  </si>
  <si>
    <t>204:906</t>
  </si>
  <si>
    <t>204:1183</t>
  </si>
  <si>
    <t>300:24208</t>
  </si>
  <si>
    <t>204:4819</t>
  </si>
  <si>
    <t>204:1496</t>
  </si>
  <si>
    <t>204:5156</t>
  </si>
  <si>
    <t>204:2968</t>
  </si>
  <si>
    <t>204:1148</t>
  </si>
  <si>
    <t>204:3290</t>
  </si>
  <si>
    <t>204:107293</t>
  </si>
  <si>
    <t>204:66</t>
  </si>
  <si>
    <t>204:1484</t>
  </si>
  <si>
    <t>204:1681</t>
  </si>
  <si>
    <t>204:3360</t>
  </si>
  <si>
    <t>204:3040</t>
  </si>
  <si>
    <t>204:1171</t>
  </si>
  <si>
    <t>204:1158</t>
  </si>
  <si>
    <t>204:3279</t>
  </si>
  <si>
    <t>204:2965</t>
  </si>
  <si>
    <t>300:23516</t>
  </si>
  <si>
    <t>300:21541</t>
  </si>
  <si>
    <t>300:21784</t>
  </si>
  <si>
    <t>300:23158</t>
  </si>
  <si>
    <t>start /low /b %USERPROFILE%\Documents\GitHub\eaglep3\Utilities\DownloadLogsFromS3.py --loco 4060 --day 2017-06-10</t>
  </si>
  <si>
    <t>start /low /b %USERPROFILE%\Documents\GitHub\eaglep3\Utilities\DownloadLogsFromS3.py --loco 4043 --day 2017-06-10</t>
  </si>
  <si>
    <t>start /low /b %USERPROFILE%\Documents\GitHub\eaglep3\Utilities\DownloadLogsFromS3.py --loco 4003 --day 2017-06-10</t>
  </si>
  <si>
    <t>start /low /b %USERPROFILE%\Documents\GitHub\eaglep3\Utilities\DownloadLogsFromS3.py --loco 4021 --day 2017-06-10</t>
  </si>
  <si>
    <t>start /low /b %USERPROFILE%\Documents\GitHub\eaglep3\Utilities\DownloadLogsFromS3.py --loco 4022 --day 2017-06-10</t>
  </si>
  <si>
    <t>start /low /b %USERPROFILE%\Documents\GitHub\eaglep3\Utilities\DownloadLogsFromS3.py --loco 4027 --day 2017-06-10</t>
  </si>
  <si>
    <t>start /low /b %USERPROFILE%\Documents\GitHub\eaglep3\Utilities\DownloadLogsFromS3.py --loco 4008 --day 2017-06-10</t>
  </si>
  <si>
    <t>start /low /b %USERPROFILE%\Documents\GitHub\eaglep3\Utilities\DownloadLogsFromS3.py --loco 4004 --day 2017-06-10</t>
  </si>
  <si>
    <t>start /low /b %USERPROFILE%\Documents\GitHub\eaglep3\Utilities\DownloadLogsFromS3.py --loco 4022 --day 2017-06-11</t>
  </si>
  <si>
    <t>start /low /b %USERPROFILE%\Documents\GitHub\eaglep3\Utilities\DownloadLogsFromS3.py --loco 4031 --day 2017-06-10</t>
  </si>
  <si>
    <t>start /low /b %USERPROFILE%\Documents\GitHub\eaglep3\Utilities\DownloadLogsFromS3.py --loco 4028 --day 2017-06-11</t>
  </si>
  <si>
    <t>start /low /b %USERPROFILE%\Documents\GitHub\eaglep3\Utilities\DownloadLogsFromS3.py --loco 4028 --day 2017-06-10</t>
  </si>
  <si>
    <t>start /low /b %USERPROFILE%\Documents\GitHub\eaglep3\Utilities\DownloadLogsFromS3.py --loco 4001 --day 2017-06-10</t>
  </si>
  <si>
    <t>start /low /b %USERPROFILE%\Documents\GitHub\eaglep3\Utilities\DownloadLogsFromS3.py --loco 4002 --day 2017-06-10</t>
  </si>
  <si>
    <t>start /low /b %USERPROFILE%\Documents\GitHub\eaglep3\Utilities\DownloadLogsFromS3.py --loco 4004 --day 2017-06-11</t>
  </si>
  <si>
    <t>start /low /b %USERPROFILE%\Documents\GitHub\eaglep3\Utilities\DownloadLogsFromS3.py --loco 4043 --day 2017-06-11</t>
  </si>
  <si>
    <t>start /low /b %USERPROFILE%\Documents\GitHub\eaglep3\Utilities\DownloadLogsFromS3.py --loco 4056 --day 2017-06-10</t>
  </si>
  <si>
    <t>start /low /b %USERPROFILE%\Documents\GitHub\eaglep3\Utilities\DownloadLogsFromS3.py --loco 4007 --day 2017-06-10</t>
  </si>
  <si>
    <t>start /low /b %USERPROFILE%\Documents\GitHub\eaglep3\Utilities\DownloadLogsFromS3.py --loco 4008 --day 2017-06-11</t>
  </si>
  <si>
    <t>Cancelled</t>
  </si>
  <si>
    <t>EC0508 ELXS failure</t>
  </si>
  <si>
    <t>EC0508 dropped offline from 14:56:44 - 14:59:18; do logs tell us for any reason?</t>
  </si>
  <si>
    <t>Havana Wi-MAX base radio outage</t>
  </si>
  <si>
    <t>Intermittent faults observed, no impact to run</t>
  </si>
  <si>
    <t>102-10</t>
  </si>
  <si>
    <t>Parked on Chambers SIDING, propulsion issue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</si>
</sst>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3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9"/>
  <sheetViews>
    <sheetView topLeftCell="A167" zoomScaleNormal="100" workbookViewId="0">
      <selection activeCell="R108" sqref="R108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32.28515625" style="167" customWidth="1"/>
    <col min="19" max="19" width="6" style="174" customWidth="1"/>
    <col min="20" max="20" width="3.85546875" style="179" customWidth="1"/>
    <col min="21" max="21" width="5" style="179" customWidth="1"/>
    <col min="22" max="22" width="5.7109375" style="205" customWidth="1"/>
    <col min="23" max="23" width="3.85546875" style="198" customWidth="1"/>
    <col min="24" max="24" width="6.5703125" style="198" customWidth="1"/>
    <col min="25" max="25" width="11.5703125" style="198" bestFit="1" customWidth="1"/>
    <col min="26" max="26" width="7.28515625" style="198" customWidth="1"/>
    <col min="27" max="27" width="9.140625" style="198"/>
    <col min="28" max="28" width="10.7109375" style="55" hidden="1" customWidth="1"/>
    <col min="29" max="29" width="9.42578125" style="49" hidden="1" customWidth="1"/>
    <col min="30" max="30" width="7.85546875" style="50" customWidth="1"/>
    <col min="31" max="31" width="4.5703125" style="78" customWidth="1"/>
    <col min="32" max="32" width="6.28515625" style="75" customWidth="1"/>
    <col min="33" max="33" width="5.42578125" customWidth="1"/>
    <col min="34" max="34" width="5" style="81" customWidth="1"/>
    <col min="35" max="35" width="5.7109375" style="94" customWidth="1"/>
    <col min="36" max="36" width="9.85546875" customWidth="1"/>
    <col min="37" max="37" width="5" customWidth="1"/>
    <col min="38" max="38" width="4.140625" customWidth="1"/>
    <col min="39" max="39" width="9.140625" style="145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105</v>
      </c>
      <c r="J1" s="36"/>
      <c r="K1" s="27"/>
      <c r="L1" s="27"/>
      <c r="M1" s="35"/>
      <c r="N1" s="36"/>
      <c r="O1" s="2"/>
      <c r="P1" s="2"/>
      <c r="R1" s="166" t="s">
        <v>106</v>
      </c>
      <c r="S1" s="180"/>
      <c r="T1" s="181"/>
      <c r="U1" s="181"/>
      <c r="V1" s="182"/>
      <c r="W1" s="181"/>
      <c r="X1" s="179"/>
      <c r="Y1" s="198"/>
      <c r="Z1" s="198"/>
      <c r="AA1" s="198"/>
      <c r="AB1" s="55"/>
      <c r="AC1" s="49"/>
      <c r="AD1" s="50"/>
      <c r="AE1" s="1"/>
      <c r="AF1" s="1"/>
      <c r="AG1" s="1"/>
      <c r="AH1" s="47"/>
      <c r="AI1" s="1"/>
      <c r="AM1" s="145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60">
        <f>Variables!$A$2</f>
        <v>42896</v>
      </c>
      <c r="J2" s="61"/>
      <c r="K2" s="62"/>
      <c r="L2" s="62"/>
      <c r="M2" s="63" t="s">
        <v>8</v>
      </c>
      <c r="N2" s="64"/>
      <c r="O2" s="65"/>
      <c r="P2" s="2"/>
      <c r="R2" s="60">
        <f>Variables!$A$2</f>
        <v>42896</v>
      </c>
      <c r="S2" s="183"/>
      <c r="T2" s="184"/>
      <c r="U2" s="184"/>
      <c r="V2" s="185" t="s">
        <v>8</v>
      </c>
      <c r="W2" s="186"/>
      <c r="X2" s="187"/>
      <c r="Y2" s="198"/>
      <c r="Z2" s="198"/>
      <c r="AA2" s="198"/>
      <c r="AB2" s="55"/>
      <c r="AC2" s="49"/>
      <c r="AD2" s="50"/>
      <c r="AE2" s="1"/>
      <c r="AF2" s="1"/>
      <c r="AG2" s="1"/>
      <c r="AH2" s="47"/>
      <c r="AI2" s="1"/>
      <c r="AM2" s="145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6" t="s">
        <v>10</v>
      </c>
      <c r="J3" s="67"/>
      <c r="K3" s="68"/>
      <c r="L3" s="68"/>
      <c r="M3" s="37" t="s">
        <v>11</v>
      </c>
      <c r="N3" s="38" t="s">
        <v>12</v>
      </c>
      <c r="O3" s="3" t="s">
        <v>13</v>
      </c>
      <c r="P3" s="2"/>
      <c r="R3" s="168" t="s">
        <v>10</v>
      </c>
      <c r="S3" s="188"/>
      <c r="T3" s="189"/>
      <c r="U3" s="189"/>
      <c r="V3" s="190" t="s">
        <v>11</v>
      </c>
      <c r="W3" s="191" t="s">
        <v>12</v>
      </c>
      <c r="X3" s="192" t="s">
        <v>13</v>
      </c>
      <c r="Y3" s="198"/>
      <c r="Z3" s="198"/>
      <c r="AA3" s="198"/>
      <c r="AB3" s="55"/>
      <c r="AC3" s="49"/>
      <c r="AD3" s="50"/>
      <c r="AE3" s="1"/>
      <c r="AF3" s="1"/>
      <c r="AG3" s="1"/>
      <c r="AH3" s="47"/>
      <c r="AI3" s="1"/>
      <c r="AM3" s="145"/>
    </row>
    <row r="4" spans="1:91" s="20" customFormat="1" ht="15.75" thickBot="1" x14ac:dyDescent="0.3">
      <c r="A4" s="34"/>
      <c r="B4" s="36"/>
      <c r="C4" s="27"/>
      <c r="D4" s="27"/>
      <c r="E4" s="33"/>
      <c r="F4" s="166"/>
      <c r="G4" s="36"/>
      <c r="H4" s="33"/>
      <c r="I4" s="69" t="s">
        <v>14</v>
      </c>
      <c r="J4" s="48">
        <f>SUM(J5:J7)</f>
        <v>145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9" t="s">
        <v>14</v>
      </c>
      <c r="S4" s="193">
        <f>SUM(S5:S7)</f>
        <v>34</v>
      </c>
      <c r="T4" s="194"/>
      <c r="U4" s="194"/>
      <c r="V4" s="190" t="s">
        <v>15</v>
      </c>
      <c r="W4" s="191" t="s">
        <v>15</v>
      </c>
      <c r="X4" s="192" t="s">
        <v>15</v>
      </c>
      <c r="Y4" s="198"/>
      <c r="Z4" s="198"/>
      <c r="AA4" s="198"/>
      <c r="AB4" s="55"/>
      <c r="AC4" s="49"/>
      <c r="AD4" s="50"/>
      <c r="AE4" s="1"/>
      <c r="AF4" s="1"/>
      <c r="AG4" s="1"/>
      <c r="AH4" s="47"/>
      <c r="AI4" s="1"/>
      <c r="AM4" s="145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9" t="s">
        <v>17</v>
      </c>
      <c r="J5" s="48">
        <f>COUNTIFS($N$13:$N$9324,"&gt;0",$AG$13:$AG$9324,I1)</f>
        <v>139</v>
      </c>
      <c r="K5" s="39"/>
      <c r="L5" s="39"/>
      <c r="M5" s="40">
        <f>AVERAGEIFS($N$13:$N$9324,$AG$13:$AG$9324,I1)</f>
        <v>37.796522781567766</v>
      </c>
      <c r="N5" s="38">
        <f t="array" ref="N5">MIN(IF($AG$13:$AG$9324=I1,IF(ISNUMBER($N$13:$N$9324),IF($N$13:$N$9324&gt;0,$N$13:$N$9324))))</f>
        <v>34.566666658502072</v>
      </c>
      <c r="O5" s="3">
        <f t="array" ref="O5">MAX(IF($AG$13:$AG$9324=I1,IF(ISNUMBER($N$13:$N$9324),IF($N$13:$N$9324&gt;0,$N$13:$N$9324))))</f>
        <v>45.93333333148621</v>
      </c>
      <c r="P5" s="2"/>
      <c r="R5" s="169" t="s">
        <v>17</v>
      </c>
      <c r="S5" s="193">
        <f>COUNTIFS($N$13:$N$9324,"&gt;0",$AG$13:$AG$9324,R1)</f>
        <v>34</v>
      </c>
      <c r="T5" s="194"/>
      <c r="U5" s="194"/>
      <c r="V5" s="190">
        <f>AVERAGEIFS($N$13:$N$9324,$AG$13:$AG$9324,R1)</f>
        <v>15.159803920302211</v>
      </c>
      <c r="W5" s="191">
        <f t="array" ref="W5">MIN(IF($AG$13:$AG$9324=R1,IF(ISNUMBER($N$13:$N$9324),IF($N$13:$N$9324&gt;0,$N$13:$N$9324))))</f>
        <v>12.733333334326744</v>
      </c>
      <c r="X5" s="192">
        <f t="array" ref="X5">MAX(IF($AG$13:$AG$9324=R1,IF(ISNUMBER($N$13:$N$9324),IF($N$13:$N$9324&gt;0,$N$13:$N$9324))))</f>
        <v>18.166666670003906</v>
      </c>
      <c r="Y5" s="198"/>
      <c r="Z5" s="198"/>
      <c r="AA5" s="198"/>
      <c r="AB5" s="55"/>
      <c r="AC5" s="49"/>
      <c r="AD5" s="50"/>
      <c r="AE5" s="1"/>
      <c r="AF5" s="1"/>
      <c r="AG5" s="1"/>
      <c r="AH5" s="47"/>
      <c r="AI5" s="1"/>
      <c r="AM5" s="145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70" t="s">
        <v>43</v>
      </c>
      <c r="J6" s="48">
        <f>COUNT($O$13:$O$127)</f>
        <v>0</v>
      </c>
      <c r="K6" s="39"/>
      <c r="L6" s="39"/>
      <c r="M6" s="40">
        <f>IFERROR(AVERAGE($O$13:$O$127),0)</f>
        <v>0</v>
      </c>
      <c r="N6" s="38">
        <f>MIN($O$13:$O$127)</f>
        <v>0</v>
      </c>
      <c r="O6" s="3">
        <f>MAX($O$13:$O$127)</f>
        <v>0</v>
      </c>
      <c r="P6" s="2"/>
      <c r="R6" s="170" t="s">
        <v>43</v>
      </c>
      <c r="S6" s="193">
        <f>COUNT($O$13:$O$127)</f>
        <v>0</v>
      </c>
      <c r="T6" s="194"/>
      <c r="U6" s="194"/>
      <c r="V6" s="190">
        <f>IFERROR(AVERAGE($O$13:$O$127),0)</f>
        <v>0</v>
      </c>
      <c r="W6" s="191">
        <f>MIN($O$13:$O$127)</f>
        <v>0</v>
      </c>
      <c r="X6" s="192">
        <f>MAX($O$13:$O$127)</f>
        <v>0</v>
      </c>
      <c r="Y6" s="198"/>
      <c r="Z6" s="198"/>
      <c r="AA6" s="198"/>
      <c r="AB6" s="55"/>
      <c r="AC6" s="49"/>
      <c r="AD6" s="50"/>
      <c r="AE6" s="1"/>
      <c r="AF6" s="1"/>
      <c r="AG6" s="1"/>
      <c r="AH6" s="47"/>
      <c r="AI6" s="1"/>
      <c r="AM6" s="145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71" t="s">
        <v>9</v>
      </c>
      <c r="J7" s="48">
        <f>COUNTIFS($P$13:$P$9324,"&gt;0",$AG$13:$AG$9324,I1)</f>
        <v>6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71" t="s">
        <v>9</v>
      </c>
      <c r="S7" s="193">
        <f>COUNTIFS($P$13:$P$9324,"&gt;0",$AG$13:$AG$9324,R1)</f>
        <v>0</v>
      </c>
      <c r="T7" s="194"/>
      <c r="U7" s="194"/>
      <c r="V7" s="190" t="s">
        <v>15</v>
      </c>
      <c r="W7" s="191" t="s">
        <v>15</v>
      </c>
      <c r="X7" s="192" t="s">
        <v>15</v>
      </c>
      <c r="Y7" s="198"/>
      <c r="Z7" s="198"/>
      <c r="AA7" s="198"/>
      <c r="AB7" s="55"/>
      <c r="AC7" s="49"/>
      <c r="AD7" s="50"/>
      <c r="AE7" s="1"/>
      <c r="AF7" s="1"/>
      <c r="AG7" s="1"/>
      <c r="AH7" s="47"/>
      <c r="AI7" s="1"/>
      <c r="AM7" s="145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9" t="s">
        <v>16</v>
      </c>
      <c r="J8" s="48">
        <f>J5</f>
        <v>139</v>
      </c>
      <c r="K8" s="39"/>
      <c r="L8" s="39"/>
      <c r="M8" s="40">
        <f>M5</f>
        <v>37.796522781567766</v>
      </c>
      <c r="N8" s="38">
        <f>N5</f>
        <v>34.566666658502072</v>
      </c>
      <c r="O8" s="3">
        <f>O5</f>
        <v>45.93333333148621</v>
      </c>
      <c r="P8" s="2"/>
      <c r="R8" s="169" t="s">
        <v>16</v>
      </c>
      <c r="S8" s="193">
        <f>S5</f>
        <v>34</v>
      </c>
      <c r="T8" s="194"/>
      <c r="U8" s="194"/>
      <c r="V8" s="190">
        <f>V5</f>
        <v>15.159803920302211</v>
      </c>
      <c r="W8" s="191">
        <f>W5</f>
        <v>12.733333334326744</v>
      </c>
      <c r="X8" s="192">
        <f>X5</f>
        <v>18.166666670003906</v>
      </c>
      <c r="Y8" s="198"/>
      <c r="Z8" s="198"/>
      <c r="AA8" s="198"/>
      <c r="AB8" s="55"/>
      <c r="AC8" s="49"/>
      <c r="AD8" s="50"/>
      <c r="AE8" s="1"/>
      <c r="AF8" s="1"/>
      <c r="AG8" s="1"/>
      <c r="AH8" s="47"/>
      <c r="AI8" s="1"/>
      <c r="AM8" s="145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9" t="s">
        <v>19</v>
      </c>
      <c r="J9" s="126">
        <f>J8/J4</f>
        <v>0.95862068965517244</v>
      </c>
      <c r="K9" s="41"/>
      <c r="L9" s="41"/>
      <c r="M9" s="72"/>
      <c r="N9" s="36"/>
      <c r="O9" s="73"/>
      <c r="P9" s="2"/>
      <c r="R9" s="169" t="s">
        <v>19</v>
      </c>
      <c r="S9" s="177">
        <f>S8/S4</f>
        <v>1</v>
      </c>
      <c r="T9" s="181"/>
      <c r="U9" s="181"/>
      <c r="V9" s="195"/>
      <c r="W9" s="181"/>
      <c r="X9" s="196"/>
      <c r="Y9" s="198"/>
      <c r="Z9" s="198"/>
      <c r="AA9" s="198"/>
      <c r="AB9" s="55"/>
      <c r="AC9" s="49"/>
      <c r="AD9" s="50"/>
      <c r="AE9" s="1"/>
      <c r="AF9" s="1"/>
      <c r="AG9" s="1"/>
      <c r="AH9" s="47"/>
      <c r="AI9" s="1"/>
      <c r="AM9" s="145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7"/>
      <c r="S10" s="174"/>
      <c r="T10" s="179"/>
      <c r="U10" s="179"/>
      <c r="V10" s="197"/>
      <c r="W10" s="198"/>
      <c r="X10" s="198"/>
      <c r="Y10" s="198"/>
      <c r="Z10" s="198"/>
      <c r="AA10" s="198"/>
      <c r="AB10" s="55"/>
      <c r="AC10" s="49"/>
      <c r="AD10" s="50"/>
      <c r="AE10" s="1"/>
      <c r="AF10" s="1"/>
      <c r="AG10" s="1"/>
      <c r="AH10" s="47"/>
      <c r="AI10" s="1"/>
      <c r="AM10" s="145"/>
    </row>
    <row r="11" spans="1:91" ht="16.5" thickBot="1" x14ac:dyDescent="0.3">
      <c r="A11" s="211" t="str">
        <f>"Eagle P3 System Performance - "&amp;TEXT(Variables!A2,"yyyy-mm-dd")</f>
        <v>Eagle P3 System Performance - 2017-06-10</v>
      </c>
      <c r="B11" s="211"/>
      <c r="C11" s="211"/>
      <c r="D11" s="211"/>
      <c r="E11" s="211"/>
      <c r="F11" s="211"/>
      <c r="G11" s="211"/>
      <c r="H11" s="211"/>
      <c r="I11" s="211"/>
      <c r="J11" s="211"/>
      <c r="K11" s="211"/>
      <c r="L11" s="211"/>
      <c r="M11" s="211"/>
      <c r="N11" s="211"/>
      <c r="O11" s="211"/>
      <c r="P11" s="211"/>
      <c r="S11" s="174">
        <f>AVERAGE(S13:S99)</f>
        <v>0.98412698412698396</v>
      </c>
      <c r="V11" s="197"/>
      <c r="AE11" s="1"/>
      <c r="AF11" s="1"/>
      <c r="AG11" s="1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4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72" t="s">
        <v>24</v>
      </c>
      <c r="S12" s="175" t="s">
        <v>63</v>
      </c>
      <c r="T12" s="199" t="s">
        <v>64</v>
      </c>
      <c r="U12" s="199" t="s">
        <v>65</v>
      </c>
      <c r="V12" s="200" t="s">
        <v>45</v>
      </c>
      <c r="W12" s="201" t="s">
        <v>23</v>
      </c>
      <c r="X12" s="201" t="s">
        <v>48</v>
      </c>
      <c r="Y12" s="201" t="s">
        <v>20</v>
      </c>
      <c r="Z12" s="201" t="s">
        <v>21</v>
      </c>
      <c r="AA12" s="201" t="s">
        <v>22</v>
      </c>
      <c r="AB12" s="56" t="s">
        <v>39</v>
      </c>
      <c r="AC12" s="52" t="s">
        <v>40</v>
      </c>
      <c r="AD12" s="51" t="s">
        <v>82</v>
      </c>
      <c r="AE12" s="79" t="s">
        <v>89</v>
      </c>
      <c r="AF12" s="76" t="s">
        <v>94</v>
      </c>
      <c r="AG12" s="4" t="s">
        <v>107</v>
      </c>
      <c r="AH12" s="82" t="s">
        <v>109</v>
      </c>
      <c r="AI12" s="98" t="s">
        <v>145</v>
      </c>
      <c r="AJ12" s="46" t="s">
        <v>146</v>
      </c>
      <c r="AK12" s="46" t="s">
        <v>119</v>
      </c>
      <c r="AL12" s="46" t="s">
        <v>147</v>
      </c>
      <c r="AM12" s="146" t="s">
        <v>197</v>
      </c>
      <c r="AN12" s="46" t="s">
        <v>346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625</v>
      </c>
      <c r="B13" s="7">
        <v>4060</v>
      </c>
      <c r="C13" s="21" t="s">
        <v>204</v>
      </c>
      <c r="D13" s="21" t="s">
        <v>826</v>
      </c>
      <c r="E13" s="13">
        <v>42896.129641203705</v>
      </c>
      <c r="F13" s="13">
        <v>42896.135671296295</v>
      </c>
      <c r="G13" s="7">
        <v>2</v>
      </c>
      <c r="H13" s="21" t="s">
        <v>827</v>
      </c>
      <c r="I13" s="13">
        <v>42896.161863425928</v>
      </c>
      <c r="J13" s="7">
        <v>0</v>
      </c>
      <c r="K13" s="92" t="str">
        <f t="shared" ref="K13:K77" si="0">IF(ISEVEN(B13),(B13-1)&amp;"/"&amp;B13,B13&amp;"/"&amp;(B13+1))</f>
        <v>4059/4060</v>
      </c>
      <c r="L13" s="21" t="str">
        <f>VLOOKUP(A13,'Trips&amp;Operators'!$C$1:$G$99999,5,FALSE)</f>
        <v>ROCHA YAOTL</v>
      </c>
      <c r="M13" s="6">
        <f t="shared" ref="M13:M77" si="1">I13-F13</f>
        <v>2.6192129633272998E-2</v>
      </c>
      <c r="N13" s="7"/>
      <c r="O13" s="7"/>
      <c r="P13" s="7">
        <f>24*60*SUM($M13:$M13)</f>
        <v>37.716666671913117</v>
      </c>
      <c r="Q13" s="22"/>
      <c r="R13" s="173" t="s">
        <v>1038</v>
      </c>
      <c r="S13" s="176">
        <f t="shared" ref="S13:S53" si="2">SUM(U13:U13)/IF(AG13="EC",12,1)</f>
        <v>0.91666666666666663</v>
      </c>
      <c r="T13" s="202" t="str">
        <f t="shared" ref="T13:T77" si="3">IF(ISEVEN(LEFT(AD13,4)),"Southbound","NorthBound")</f>
        <v>NorthBound</v>
      </c>
      <c r="U13" s="202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11</v>
      </c>
      <c r="V13" s="203" t="str">
        <f t="shared" ref="V13:V77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-06-10T02:06:41-0600',mode:absolute,to:'2017-06-10T04:53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3" s="204" t="str">
        <f t="shared" ref="W13:W77" si="5">IF(AA13&lt;IF(AG13="EC",23,5.65),"Y","N")</f>
        <v>Y</v>
      </c>
      <c r="X13" s="204" t="e">
        <f t="shared" ref="X13:X77" si="6">VALUE(LEFT(AD13,4))-VALUE(LEFT(AD12,4))</f>
        <v>#VALUE!</v>
      </c>
      <c r="Y13" s="204">
        <f t="shared" ref="Y13:Y45" si="7">RIGHT(D13,LEN(D13)-4)/10000</f>
        <v>7.9000000000000001E-2</v>
      </c>
      <c r="Z13" s="204">
        <f t="shared" ref="Z13:Z45" si="8">RIGHT(H13,LEN(H13)-4)/10000</f>
        <v>10.761699999999999</v>
      </c>
      <c r="AA13" s="204">
        <f t="shared" ref="AA13:AA77" si="9">ABS(Z13-Y13)</f>
        <v>10.682699999999999</v>
      </c>
      <c r="AB13" s="57" t="e">
        <f>VLOOKUP(A13,Enforcements!$C$7:$K$13,8,0)</f>
        <v>#N/A</v>
      </c>
      <c r="AC13" s="53" t="e">
        <f>VLOOKUP(A13,Enforcements!$C$7:$E$13,3,0)</f>
        <v>#N/A</v>
      </c>
      <c r="AD13" s="54" t="str">
        <f t="shared" ref="AD13:AD77" si="10">IF(LEN(A13)=6,"0"&amp;A13,A13)</f>
        <v>0101-10</v>
      </c>
      <c r="AE13" s="80" t="str">
        <f t="shared" ref="AE13:AE77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s3://rtdc.mdm.uploadarchive.raw/RTDC4060/ "%USERPROFILE%\AppData\Local\Temp\OnboardLogs"\RTDC4060\2017-06-10 --exclude "*" --recursive --include "*20170610*" &amp; "%USERPROFILE%\Documents\GitHub\mrs-test-scripts\Headless Mode &amp; Sideloading\WalkAndUnGZ.bat" "%USERPROFILE%\AppData\Local\Temp\OnboardLogs"\RTDC4060\2017-06-10 &amp; aws s3 cp s3://rtdc.mdm.uploadarchive.raw/RTDC4060/ "%USERPROFILE%\AppData\Local\Temp\OnboardLogs"\RTDC4060\2017-06-11 --exclude "*" --recursive --include "*20170611*" &amp; "%USERPROFILE%\Documents\GitHub\mrs-test-scripts\Headless Mode &amp; Sideloading\WalkAndUnGZ.bat" "%USERPROFILE%\AppData\Local\Temp\OnboardLogs"\RTDC4060\2017-06-11</v>
      </c>
      <c r="AF13" s="77" t="str">
        <f t="shared" ref="AF13:AF77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/stypes="app*4060*20170610*" /stext=" 09:.+((SYSTEM_STATE.+slice.+state.+changed )|(ment ac)|(multiple cpu faults)|(system.+state.+changed )|(\[timeout)|(PRM\|1\|D)|(kpr)|(kdp)|(train st.+moving)|(\|lc)|(penalty))"</v>
      </c>
      <c r="AG13" s="1" t="str">
        <f t="shared" ref="AG13:AG77" si="13">IFERROR(IF(VALUE(LEFT(AD13,2))&lt;=2,"EC",IF(OR(VALUE(LEFT(AD13,2))=8,VALUE(LEFT(AD13,2))=18),"NW","Other")),"Other")</f>
        <v>EC</v>
      </c>
      <c r="AH13" s="81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101-10 --locoid 4060 --swversion DE.1.0.9.0 --startMP 204:790 --initTime 2017-06-10T03:06:41 --startdatetime 2017-06-10T03:15:22 --delay 2 --endMP 204:107617 --enddatetime 2017-06-10T03:53:05 --enforcementcount 0 &gt;&gt;C:\Users\stu\Documents\GitHub\eaglep3-reporting\EC\2017-06-10-refined-times.txt</v>
      </c>
      <c r="AI13" s="99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{"issue":{"subject":"Parked on Chambers SIDING, propulsion issue","project_id":79,"tracker_id":40,"status_id":1,"priority_id":2,"assigned_to_id":23,"start_date":"2017-06-10","description":"","custom_fields":[{"id":1,"name":"Subdivision","value":"EC"},{"id":4,"name":"Milepost","value":"10.7617"},{"id":17,"name":"Train ID","value":"101-10"},{"id":16,"name":"Locomotive ID","value":"4060"},{"id":130,"name":"Impact","value":""},{"id":150,"name":"Time of Event (Mountain Time)","value":"03:53:05"},{"id":151,"name":"Denver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5" t="str">
        <f t="shared" ref="AM13" si="16">"start /low /b "&amp;dls3logs&amp;" --loco "&amp;B13&amp;" --day "&amp;TEXT(F13,"YYYY-MM-DD")</f>
        <v>start /low /b %USERPROFILE%\Documents\GitHub\eaglep3\Utilities\DownloadLogsFromS3.py --loco 4060 --day 2017-06-10</v>
      </c>
      <c r="AN13" s="154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{"issue":{"subject":"Parked on Chambers SIDING, propulsion issue","project_id":30,"tracker_id":4,"status_id":1,"priority_id":1,"assigned_to_id":10,"start_date":"2017-06-10","description":"","custom_fields":[{"id":30,"name":"Category","value":"Issue"},{"id":3,"name":"Functional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09:53:05"},{"id":29,"name":"Sharepoint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2" t="s">
        <v>1037</v>
      </c>
      <c r="B14" s="7"/>
      <c r="C14" s="21" t="s">
        <v>204</v>
      </c>
      <c r="D14" s="21" t="s">
        <v>826</v>
      </c>
      <c r="E14" s="13">
        <v>42896.129641203705</v>
      </c>
      <c r="F14" s="13"/>
      <c r="G14" s="7">
        <v>2</v>
      </c>
      <c r="H14" s="21" t="s">
        <v>827</v>
      </c>
      <c r="I14" s="13"/>
      <c r="J14" s="7">
        <v>0</v>
      </c>
      <c r="K14" s="92" t="str">
        <f t="shared" ref="K14" si="18">IF(ISEVEN(B14),(B14-1)&amp;"/"&amp;B14,B14&amp;"/"&amp;(B14+1))</f>
        <v>-1/</v>
      </c>
      <c r="L14" s="21" t="e">
        <f>VLOOKUP(A14,'Trips&amp;Operators'!$C$1:$G$99999,5,FALSE)</f>
        <v>#N/A</v>
      </c>
      <c r="M14" s="6">
        <f t="shared" ref="M14" si="19">I14-F14</f>
        <v>0</v>
      </c>
      <c r="N14" s="7"/>
      <c r="O14" s="7"/>
      <c r="P14" s="7">
        <f>24*60*SUM($M14:$M14)</f>
        <v>0</v>
      </c>
      <c r="Q14" s="22"/>
      <c r="R14" s="173"/>
      <c r="S14" s="176">
        <f t="shared" ref="S14" si="20">SUM(U14:U14)/IF(AG14="EC",12,1)</f>
        <v>0</v>
      </c>
      <c r="T14" s="202" t="str">
        <f t="shared" ref="T14" si="21">IF(ISEVEN(LEFT(AD14,4)),"Southbound","NorthBound")</f>
        <v>Southbound</v>
      </c>
      <c r="U14" s="202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0</v>
      </c>
      <c r="V14" s="203" t="str">
        <f t="shared" ref="V14" si="22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-06-10T02:06:41-0600',mode:absolute,to:'1900-01-00T01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%22')),sort:!(Time.ISO8601,asc))</v>
      </c>
      <c r="W14" s="204" t="str">
        <f t="shared" ref="W14" si="23">IF(AA14&lt;IF(AG14="EC",23,5.65),"Y","N")</f>
        <v>Y</v>
      </c>
      <c r="X14" s="204">
        <f t="shared" ref="X14:X15" si="24">VALUE(LEFT(AD14,4))-VALUE(LEFT(AD13,4))</f>
        <v>1</v>
      </c>
      <c r="Y14" s="204">
        <f t="shared" ref="Y14" si="25">RIGHT(D14,LEN(D14)-4)/10000</f>
        <v>7.9000000000000001E-2</v>
      </c>
      <c r="Z14" s="204">
        <f t="shared" ref="Z14" si="26">RIGHT(H14,LEN(H14)-4)/10000</f>
        <v>10.761699999999999</v>
      </c>
      <c r="AA14" s="204">
        <f t="shared" ref="AA14" si="27">ABS(Z14-Y14)</f>
        <v>10.682699999999999</v>
      </c>
      <c r="AB14" s="57" t="e">
        <f>VLOOKUP(A14,Enforcements!$C$7:$K$13,8,0)</f>
        <v>#N/A</v>
      </c>
      <c r="AC14" s="53" t="e">
        <f>VLOOKUP(A14,Enforcements!$C$7:$E$13,3,0)</f>
        <v>#N/A</v>
      </c>
      <c r="AD14" s="54" t="str">
        <f t="shared" ref="AD14" si="28">IF(LEN(A14)=6,"0"&amp;A14,A14)</f>
        <v>0102-10</v>
      </c>
      <c r="AE14" s="80" t="str">
        <f t="shared" ref="AE14" si="29"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4" s="77" t="str">
        <f t="shared" ref="AF14" si="30"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/stypes="app**19000100*" /stext=" 06:.+((SYSTEM_STATE.+slice.+state.+changed )|(ment ac)|(multiple cpu faults)|(system.+state.+changed )|(\[timeout)|(PRM\|1\|D)|(kpr)|(kdp)|(train st.+moving)|(\|lc)|(penalty))"</v>
      </c>
      <c r="AG14" s="1" t="str">
        <f t="shared" ref="AG14" si="31">IFERROR(IF(VALUE(LEFT(AD14,2))&lt;=2,"EC",IF(OR(VALUE(LEFT(AD14,2))=8,VALUE(LEFT(AD14,2))=18),"NW","Other")),"Other")</f>
        <v>EC</v>
      </c>
      <c r="AH14" s="81" t="str">
        <f t="shared" ref="AH14" si="32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102-10 --locoid  --swversion DE.1.0.9.0 --startMP 204:790 --initTime 2017-06-10T03:06:41 --startdatetime 1900-01-00T00:00:00 --delay 2 --endMP 204:107617 --enddatetime 1900-01-00T00:00:00 --enforcementcount 0 &gt;&gt;C:\Users\stu\Documents\GitHub\eaglep3-reporting\EC\2017-06-10-refined-times.txt</v>
      </c>
      <c r="AI14" s="99" t="str">
        <f t="shared" ref="AI14" si="33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{"issue":{"subject":"","project_id":79,"tracker_id":40,"status_id":1,"priority_id":2,"assigned_to_id":23,"start_date":"1900-01-00","description":"","custom_fields":[{"id":1,"name":"Subdivision","value":"EC"},{"id":4,"name":"Milepost","value":"10.7617"},{"id":17,"name":"Train ID","value":"102-10"},{"id":16,"name":"Locomotive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5" t="str">
        <f t="shared" ref="AM14" si="34">"start /low /b "&amp;dls3logs&amp;" --loco "&amp;B14&amp;" --day "&amp;TEXT(F14,"YYYY-MM-DD")</f>
        <v>start /low /b %USERPROFILE%\Documents\GitHub\eaglep3\Utilities\DownloadLogsFromS3.py --loco  --day 1900-01-00</v>
      </c>
      <c r="AN14" s="154" t="str">
        <f t="shared" ref="AN14" si="35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{"issue":{"subject":"","project_id":30,"tracker_id":4,"status_id":1,"priority_id":1,"assigned_to_id":10,"start_date":"1900-01-00","description":"","custom_fields":[{"id":30,"name":"Category","value":"Issue"},{"id":3,"name":"Functional Component","value":"Onboard"},{"id":31,"name":"Version","value":"N/A"},{"id":8,"name":"Reporting RR","value":"WABTEC"},{"id":27,"name":"Locomotive ID","value":""},{"id":20,"name":"RR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UTC","value":"1900-01-00 06:00:00"},{"id":29,"name":"Sharepoint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20"/>
      <c r="BI14" s="20"/>
      <c r="BJ14" s="20"/>
      <c r="BK14" s="20"/>
      <c r="BL14" s="20"/>
      <c r="BM14" s="20"/>
      <c r="BN14" s="20"/>
      <c r="BO14" s="20"/>
      <c r="BP14" s="20"/>
      <c r="BQ14" s="20"/>
      <c r="BR14" s="20"/>
      <c r="BS14" s="20"/>
      <c r="BT14" s="20"/>
      <c r="BU14" s="20"/>
      <c r="BV14" s="20"/>
      <c r="BW14" s="20"/>
      <c r="BX14" s="20"/>
      <c r="BY14" s="20"/>
      <c r="BZ14" s="20"/>
      <c r="CA14" s="20"/>
      <c r="CB14" s="20"/>
      <c r="CC14" s="20"/>
      <c r="CD14" s="20"/>
      <c r="CE14" s="20"/>
      <c r="CF14" s="20"/>
      <c r="CG14" s="20"/>
      <c r="CH14" s="20"/>
      <c r="CI14" s="20"/>
      <c r="CJ14" s="20"/>
      <c r="CK14" s="20"/>
      <c r="CL14" s="20"/>
      <c r="CM14" s="20"/>
    </row>
    <row r="15" spans="1:91" s="1" customFormat="1" x14ac:dyDescent="0.25">
      <c r="A15" s="32" t="s">
        <v>631</v>
      </c>
      <c r="B15" s="7">
        <v>4052</v>
      </c>
      <c r="C15" s="21" t="s">
        <v>204</v>
      </c>
      <c r="D15" s="21" t="s">
        <v>349</v>
      </c>
      <c r="E15" s="13">
        <v>42896.155856481484</v>
      </c>
      <c r="F15" s="13">
        <v>42896.158750000002</v>
      </c>
      <c r="G15" s="7">
        <v>1</v>
      </c>
      <c r="H15" s="21" t="s">
        <v>562</v>
      </c>
      <c r="I15" s="13">
        <v>42896.18545138889</v>
      </c>
      <c r="J15" s="7">
        <v>0</v>
      </c>
      <c r="K15" s="92" t="str">
        <f t="shared" si="0"/>
        <v>4051/4052</v>
      </c>
      <c r="L15" s="21" t="str">
        <f>VLOOKUP(A15,'Trips&amp;Operators'!$C$1:$G$99999,5,FALSE)</f>
        <v>WILLIAMS DONTE</v>
      </c>
      <c r="M15" s="6">
        <f t="shared" si="1"/>
        <v>2.6701388887886424E-2</v>
      </c>
      <c r="N15" s="7">
        <f t="shared" ref="N15:N53" si="36">24*60*SUM($M15:$M15)</f>
        <v>38.44999999855645</v>
      </c>
      <c r="O15" s="7"/>
      <c r="P15" s="7"/>
      <c r="Q15" s="22"/>
      <c r="R15" s="173"/>
      <c r="S15" s="176">
        <f t="shared" si="2"/>
        <v>1</v>
      </c>
      <c r="T15" s="202" t="str">
        <f t="shared" si="3"/>
        <v>NorthBound</v>
      </c>
      <c r="U15" s="202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03" t="str">
        <f t="shared" si="4"/>
        <v>https://d0f6bd738d7f1b3e5a7ca70fe4ff75f0.us-east-1.aws.found.io/app/kibana#/discover/Steve-Slow-Train-Analysis-(2080s-and-2083s)?_g=(refreshInterval:(display:Off,pause:!f,section:0,value:0),time:(from:'2017-06-10T02:44:26-0600',mode:absolute,to:'2017-06-10T05:27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5" s="204" t="str">
        <f t="shared" si="5"/>
        <v>N</v>
      </c>
      <c r="X15" s="204">
        <f t="shared" si="24"/>
        <v>1</v>
      </c>
      <c r="Y15" s="204">
        <f t="shared" si="7"/>
        <v>4.4600000000000001E-2</v>
      </c>
      <c r="Z15" s="204">
        <f t="shared" si="8"/>
        <v>23.329899999999999</v>
      </c>
      <c r="AA15" s="204">
        <f t="shared" si="9"/>
        <v>23.285299999999999</v>
      </c>
      <c r="AB15" s="57" t="e">
        <f>VLOOKUP(A15,Enforcements!$C$7:$K$13,8,0)</f>
        <v>#N/A</v>
      </c>
      <c r="AC15" s="53" t="e">
        <f>VLOOKUP(A15,Enforcements!$C$7:$E$13,3,0)</f>
        <v>#N/A</v>
      </c>
      <c r="AD15" s="54" t="str">
        <f t="shared" si="10"/>
        <v>0103-10</v>
      </c>
      <c r="AE15" s="80" t="str">
        <f t="shared" si="11"/>
        <v>aws s3 cp s3://rtdc.mdm.uploadarchive.raw/RTDC4052/ "%USERPROFILE%\AppData\Local\Temp\OnboardLogs"\RTDC4052\2017-06-10 --exclude "*" --recursive --include "*20170610*" &amp; "%USERPROFILE%\Documents\GitHub\mrs-test-scripts\Headless Mode &amp; Sideloading\WalkAndUnGZ.bat" "%USERPROFILE%\AppData\Local\Temp\OnboardLogs"\RTDC4052\2017-06-10 &amp; aws s3 cp s3://rtdc.mdm.uploadarchive.raw/RTDC4052/ "%USERPROFILE%\AppData\Local\Temp\OnboardLogs"\RTDC4052\2017-06-11 --exclude "*" --recursive --include "*20170611*" &amp; "%USERPROFILE%\Documents\GitHub\mrs-test-scripts\Headless Mode &amp; Sideloading\WalkAndUnGZ.bat" "%USERPROFILE%\AppData\Local\Temp\OnboardLogs"\RTDC4052\2017-06-11</v>
      </c>
      <c r="AF15" s="77" t="str">
        <f t="shared" si="12"/>
        <v>"C:\Program Files (x86)\AstroGrep\AstroGrep.exe" /e /r /s /spath="%USERPROFILE%\AppData\Local\Temp\OnboardLogs" /stypes="app*4052*20170610*" /stext=" 10:.+((SYSTEM_STATE.+slice.+state.+changed )|(ment ac)|(multiple cpu faults)|(system.+state.+changed )|(\[timeout)|(PRM\|1\|D)|(kpr)|(kdp)|(train st.+moving)|(\|lc)|(penalty))"</v>
      </c>
      <c r="AG15" s="1" t="str">
        <f t="shared" si="13"/>
        <v>EC</v>
      </c>
      <c r="AH15" s="81" t="str">
        <f t="shared" ref="AH15:AH78" si="37">refinertdcruntimes&amp;" --tripid "&amp;A15&amp;" --locoid "&amp;B15&amp;" --swversion "&amp;C15&amp;" --startMP "&amp;D15&amp;" --initTime "&amp;TEXT(E15,"yyyy-mm-ddTHH:MM:SS")&amp;" --startdatetime "&amp;TEXT(F15,"yyyy-mm-ddTHH:MM:SS")&amp;" --delay "&amp;G15&amp;" --endMP "&amp;H15&amp;" --enddatetime "&amp;TEXT(I15,"yyyy-mm-ddTHH:MM:SS")&amp;" --enforcementcount "&amp;J15&amp;IF(outputrefinedruntimes," &gt;&gt;"&amp;RefinedRTDCRunTimesOutputFile,"")</f>
        <v>"%USERPROFILE%\Documents\GitHub\eaglep3\Utilities\RefineRTDCRunTimes.py" --tripid 103-10 --locoid 4052 --swversion DE.1.0.9.0 --startMP 204:446 --initTime 2017-06-10T03:44:26 --startdatetime 2017-06-10T03:48:36 --delay 1 --endMP 204:233299 --enddatetime 2017-06-10T04:27:03 --enforcementcount 0 &gt;&gt;C:\Users\stu\Documents\GitHub\eaglep3-reporting\EC\2017-06-10-refined-times.txt</v>
      </c>
      <c r="AI15" s="99" t="str">
        <f t="shared" ref="AI15:AI78" si="38">"echo {""issue"":{""subject"":"""&amp;R15&amp;""",""project_id"":79,""tracker_id"":40,""status_id"":"&amp;redmine_status&amp;",""priority_id"":"&amp;redmine_priority&amp;",""assigned_to_id"":"&amp;redmine_assignee&amp;",""start_date"":"""&amp;TEXT(I15,"YYYY-mm-dd")&amp;""",""description"":"""&amp;AJ15&amp;""",""custom_fields"":[{""id"":1,""name"":""Subdivision"",""value"":"""&amp;AG15&amp;"""},{""id"":4,""name"":""Milepost"",""value"":"""&amp;Z15&amp;"""},{""id"":17,""name"":""Train ID"",""value"":"""&amp;A15&amp;"""},{""id"":16,""name"":""Locomotive ID"",""value"":"""&amp;B15&amp;"""},{""id"":130,""name"":""Impact"",""value"":"""&amp;AK15&amp;"""},{""id"":150,""name"":""Time of Event (Mountain Time)"",""value"":"""&amp;TEXT(I15,"hh:mm:ss")&amp;"""},{""id"":151,""name"":""Denver Issue ID"",""value"":"""&amp;"""},{""id"":178,""name"":""Operational Impact"",""value"":"""&amp;redmine_op_impact&amp;"""},{""id"":179,""name"":""Denver Segment Assigned"",""value"":"""&amp;AL15&amp;"""}]}}"&amp;"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{"issue":{"subject":"","project_id":79,"tracker_id":40,"status_id":1,"priority_id":2,"assigned_to_id":23,"start_date":"2017-06-10","description":"","custom_fields":[{"id":1,"name":"Subdivision","value":"EC"},{"id":4,"name":"Milepost","value":"23.3299"},{"id":17,"name":"Train ID","value":"103-10"},{"id":16,"name":"Locomotive ID","value":"4052"},{"id":130,"name":"Impact","value":""},{"id":150,"name":"Time of Event (Mountain Time)","value":"04:27:03"},{"id":151,"name":"Denver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5" t="str">
        <f t="shared" ref="AM15:AM78" si="39">"start /low /b "&amp;dls3logs&amp;" --loco "&amp;B15&amp;" --day "&amp;TEXT(F15,"YYYY-MM-DD")</f>
        <v>start /low /b %USERPROFILE%\Documents\GitHub\eaglep3\Utilities\DownloadLogsFromS3.py --loco 4052 --day 2017-06-10</v>
      </c>
      <c r="AN15" s="154" t="str">
        <f t="shared" ref="AN15:AN78" si="40">"echo {""issue"":{""subject"":"""&amp;R15&amp;""",""project_id"":30,""tracker_id"":4,""status_id"":"&amp;redmine_status_wcr&amp;",""priority_id"":"&amp;redmine_priority_wcr&amp;",""assigned_to_id"":"&amp;redmine_assignee_wcr&amp;",""start_date"":"""&amp;TEXT(I15-utc_offset/24,"YYYY-mm-dd")&amp;""",""description"":"""&amp;AJ15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10:27:03"},{"id":29,"name":"Sharepoint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642</v>
      </c>
      <c r="B16" s="7">
        <v>4051</v>
      </c>
      <c r="C16" s="21" t="s">
        <v>204</v>
      </c>
      <c r="D16" s="21" t="s">
        <v>430</v>
      </c>
      <c r="E16" s="13">
        <v>42896.187685185185</v>
      </c>
      <c r="F16" s="13">
        <v>42896.19636574074</v>
      </c>
      <c r="G16" s="7">
        <v>1</v>
      </c>
      <c r="H16" s="21" t="s">
        <v>828</v>
      </c>
      <c r="I16" s="13">
        <v>42896.228263888886</v>
      </c>
      <c r="J16" s="7">
        <v>0</v>
      </c>
      <c r="K16" s="92" t="str">
        <f t="shared" si="0"/>
        <v>4051/4052</v>
      </c>
      <c r="L16" s="21" t="str">
        <f>VLOOKUP(A16,'Trips&amp;Operators'!$C$1:$G$99999,5,FALSE)</f>
        <v>WILLIAMS DONTE</v>
      </c>
      <c r="M16" s="6">
        <f t="shared" si="1"/>
        <v>3.1898148146865424E-2</v>
      </c>
      <c r="N16" s="7">
        <f t="shared" si="36"/>
        <v>45.93333333148621</v>
      </c>
      <c r="O16" s="7"/>
      <c r="P16" s="7"/>
      <c r="Q16" s="22"/>
      <c r="R16" s="173"/>
      <c r="S16" s="176">
        <f t="shared" si="2"/>
        <v>1</v>
      </c>
      <c r="T16" s="202" t="str">
        <f t="shared" si="3"/>
        <v>Southbound</v>
      </c>
      <c r="U16" s="202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03" t="str">
        <f t="shared" si="4"/>
        <v>https://d0f6bd738d7f1b3e5a7ca70fe4ff75f0.us-east-1.aws.found.io/app/kibana#/discover/Steve-Slow-Train-Analysis-(2080s-and-2083s)?_g=(refreshInterval:(display:Off,pause:!f,section:0,value:0),time:(from:'2017-06-10T03:30:16-0600',mode:absolute,to:'2017-06-10T06:28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6" s="204" t="str">
        <f t="shared" si="5"/>
        <v>N</v>
      </c>
      <c r="X16" s="204">
        <f t="shared" si="6"/>
        <v>1</v>
      </c>
      <c r="Y16" s="204">
        <f t="shared" si="7"/>
        <v>23.297699999999999</v>
      </c>
      <c r="Z16" s="204">
        <f t="shared" si="8"/>
        <v>0.10299999999999999</v>
      </c>
      <c r="AA16" s="204">
        <f t="shared" si="9"/>
        <v>23.194699999999997</v>
      </c>
      <c r="AB16" s="57" t="e">
        <f>VLOOKUP(A16,Enforcements!$C$7:$K$13,8,0)</f>
        <v>#N/A</v>
      </c>
      <c r="AC16" s="53" t="e">
        <f>VLOOKUP(A16,Enforcements!$C$7:$E$13,3,0)</f>
        <v>#N/A</v>
      </c>
      <c r="AD16" s="54" t="str">
        <f t="shared" si="10"/>
        <v>0104-10</v>
      </c>
      <c r="AE16" s="80" t="str">
        <f t="shared" si="11"/>
        <v>aws s3 cp s3://rtdc.mdm.uploadarchive.raw/RTDC4051/ "%USERPROFILE%\AppData\Local\Temp\OnboardLogs"\RTDC4051\2017-06-10 --exclude "*" --recursive --include "*20170610*" &amp; "%USERPROFILE%\Documents\GitHub\mrs-test-scripts\Headless Mode &amp; Sideloading\WalkAndUnGZ.bat" "%USERPROFILE%\AppData\Local\Temp\OnboardLogs"\RTDC4051\2017-06-10 &amp; aws s3 cp s3://rtdc.mdm.uploadarchive.raw/RTDC4051/ "%USERPROFILE%\AppData\Local\Temp\OnboardLogs"\RTDC4051\2017-06-11 --exclude "*" --recursive --include "*20170611*" &amp; "%USERPROFILE%\Documents\GitHub\mrs-test-scripts\Headless Mode &amp; Sideloading\WalkAndUnGZ.bat" "%USERPROFILE%\AppData\Local\Temp\OnboardLogs"\RTDC4051\2017-06-11</v>
      </c>
      <c r="AF16" s="77" t="str">
        <f t="shared" si="12"/>
        <v>"C:\Program Files (x86)\AstroGrep\AstroGrep.exe" /e /r /s /spath="%USERPROFILE%\AppData\Local\Temp\OnboardLogs" /stypes="app*4051*20170610*" /stext=" 11:.+((SYSTEM_STATE.+slice.+state.+changed )|(ment ac)|(multiple cpu faults)|(system.+state.+changed )|(\[timeout)|(PRM\|1\|D)|(kpr)|(kdp)|(train st.+moving)|(\|lc)|(penalty))"</v>
      </c>
      <c r="AG16" s="1" t="str">
        <f t="shared" si="13"/>
        <v>EC</v>
      </c>
      <c r="AH16" s="81" t="str">
        <f t="shared" si="37"/>
        <v>"%USERPROFILE%\Documents\GitHub\eaglep3\Utilities\RefineRTDCRunTimes.py" --tripid 104-10 --locoid 4051 --swversion DE.1.0.9.0 --startMP 204:232977 --initTime 2017-06-10T04:30:16 --startdatetime 2017-06-10T04:42:46 --delay 1 --endMP 204:1030 --enddatetime 2017-06-10T05:28:42 --enforcementcount 0 &gt;&gt;C:\Users\stu\Documents\GitHub\eaglep3-reporting\EC\2017-06-10-refined-times.txt</v>
      </c>
      <c r="AI16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{"issue":{"subject":"","project_id":79,"tracker_id":40,"status_id":1,"priority_id":2,"assigned_to_id":23,"start_date":"2017-06-10","description":"","custom_fields":[{"id":1,"name":"Subdivision","value":"EC"},{"id":4,"name":"Milepost","value":"0.103"},{"id":17,"name":"Train ID","value":"104-10"},{"id":16,"name":"Locomotive ID","value":"4051"},{"id":130,"name":"Impact","value":""},{"id":150,"name":"Time of Event (Mountain Time)","value":"05:28:42"},{"id":151,"name":"Denver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5" t="str">
        <f t="shared" si="39"/>
        <v>start /low /b %USERPROFILE%\Documents\GitHub\eaglep3\Utilities\DownloadLogsFromS3.py --loco 4051 --day 2017-06-10</v>
      </c>
      <c r="AN16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11:28:42"},{"id":29,"name":"Sharepoint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633</v>
      </c>
      <c r="B17" s="7">
        <v>4002</v>
      </c>
      <c r="C17" s="21" t="s">
        <v>204</v>
      </c>
      <c r="D17" s="21" t="s">
        <v>358</v>
      </c>
      <c r="E17" s="13">
        <v>42896.171203703707</v>
      </c>
      <c r="F17" s="13">
        <v>42896.177256944444</v>
      </c>
      <c r="G17" s="7">
        <v>1</v>
      </c>
      <c r="H17" s="21" t="s">
        <v>520</v>
      </c>
      <c r="I17" s="13">
        <v>42896.205289351848</v>
      </c>
      <c r="J17" s="7">
        <v>0</v>
      </c>
      <c r="K17" s="92" t="str">
        <f t="shared" si="0"/>
        <v>4001/4002</v>
      </c>
      <c r="L17" s="21" t="str">
        <f>VLOOKUP(A17,'Trips&amp;Operators'!$C$1:$G$99999,5,FALSE)</f>
        <v>DAVIS WENDY</v>
      </c>
      <c r="M17" s="6">
        <f t="shared" si="1"/>
        <v>2.8032407404680271E-2</v>
      </c>
      <c r="N17" s="7">
        <f t="shared" si="36"/>
        <v>40.36666666273959</v>
      </c>
      <c r="O17" s="7"/>
      <c r="P17" s="7"/>
      <c r="Q17" s="22"/>
      <c r="R17" s="173"/>
      <c r="S17" s="176">
        <f t="shared" si="2"/>
        <v>1</v>
      </c>
      <c r="T17" s="202" t="str">
        <f t="shared" si="3"/>
        <v>NorthBound</v>
      </c>
      <c r="U17" s="202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03" t="str">
        <f t="shared" si="4"/>
        <v>https://d0f6bd738d7f1b3e5a7ca70fe4ff75f0.us-east-1.aws.found.io/app/kibana#/discover/Steve-Slow-Train-Analysis-(2080s-and-2083s)?_g=(refreshInterval:(display:Off,pause:!f,section:0,value:0),time:(from:'2017-06-10T03:06:32-0600',mode:absolute,to:'2017-06-10T05:55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" s="204" t="str">
        <f t="shared" si="5"/>
        <v>N</v>
      </c>
      <c r="X17" s="204">
        <f t="shared" si="6"/>
        <v>1</v>
      </c>
      <c r="Y17" s="204">
        <f t="shared" si="7"/>
        <v>4.6399999999999997E-2</v>
      </c>
      <c r="Z17" s="204">
        <f t="shared" si="8"/>
        <v>23.3306</v>
      </c>
      <c r="AA17" s="204">
        <f t="shared" si="9"/>
        <v>23.284200000000002</v>
      </c>
      <c r="AB17" s="57" t="e">
        <f>VLOOKUP(A17,Enforcements!$C$7:$K$13,8,0)</f>
        <v>#N/A</v>
      </c>
      <c r="AC17" s="53" t="e">
        <f>VLOOKUP(A17,Enforcements!$C$7:$E$13,3,0)</f>
        <v>#N/A</v>
      </c>
      <c r="AD17" s="54" t="str">
        <f t="shared" si="10"/>
        <v>0105-10</v>
      </c>
      <c r="AE17" s="80" t="str">
        <f t="shared" si="11"/>
        <v>aws s3 cp s3://rtdc.mdm.uploadarchive.raw/RTDC4002/ "%USERPROFILE%\AppData\Local\Temp\OnboardLogs"\RTDC4002\2017-06-10 --exclude "*" --recursive --include "*20170610*" &amp; "%USERPROFILE%\Documents\GitHub\mrs-test-scripts\Headless Mode &amp; Sideloading\WalkAndUnGZ.bat" "%USERPROFILE%\AppData\Local\Temp\OnboardLogs"\RTDC4002\2017-06-10 &amp; aws s3 cp s3://rtdc.mdm.uploadarchive.raw/RTDC4002/ "%USERPROFILE%\AppData\Local\Temp\OnboardLogs"\RTDC4002\2017-06-11 --exclude "*" --recursive --include "*20170611*" &amp; "%USERPROFILE%\Documents\GitHub\mrs-test-scripts\Headless Mode &amp; Sideloading\WalkAndUnGZ.bat" "%USERPROFILE%\AppData\Local\Temp\OnboardLogs"\RTDC4002\2017-06-11</v>
      </c>
      <c r="AF17" s="77" t="str">
        <f t="shared" si="12"/>
        <v>"C:\Program Files (x86)\AstroGrep\AstroGrep.exe" /e /r /s /spath="%USERPROFILE%\AppData\Local\Temp\OnboardLogs" /stypes="app*4002*20170610*" /stext=" 10:.+((SYSTEM_STATE.+slice.+state.+changed )|(ment ac)|(multiple cpu faults)|(system.+state.+changed )|(\[timeout)|(PRM\|1\|D)|(kpr)|(kdp)|(train st.+moving)|(\|lc)|(penalty))"</v>
      </c>
      <c r="AG17" s="1" t="str">
        <f t="shared" si="13"/>
        <v>EC</v>
      </c>
      <c r="AH17" s="81" t="str">
        <f t="shared" si="37"/>
        <v>"%USERPROFILE%\Documents\GitHub\eaglep3\Utilities\RefineRTDCRunTimes.py" --tripid 105-10 --locoid 4002 --swversion DE.1.0.9.0 --startMP 204:464 --initTime 2017-06-10T04:06:32 --startdatetime 2017-06-10T04:15:15 --delay 1 --endMP 204:233306 --enddatetime 2017-06-10T04:55:37 --enforcementcount 0 &gt;&gt;C:\Users\stu\Documents\GitHub\eaglep3-reporting\EC\2017-06-10-refined-times.txt</v>
      </c>
      <c r="AI17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{"issue":{"subject":"","project_id":79,"tracker_id":40,"status_id":1,"priority_id":2,"assigned_to_id":23,"start_date":"2017-06-10","description":"","custom_fields":[{"id":1,"name":"Subdivision","value":"EC"},{"id":4,"name":"Milepost","value":"23.3306"},{"id":17,"name":"Train ID","value":"105-10"},{"id":16,"name":"Locomotive ID","value":"4002"},{"id":130,"name":"Impact","value":""},{"id":150,"name":"Time of Event (Mountain Time)","value":"04:55:37"},{"id":151,"name":"Denver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5" t="str">
        <f t="shared" si="39"/>
        <v>start /low /b %USERPROFILE%\Documents\GitHub\eaglep3\Utilities\DownloadLogsFromS3.py --loco 4002 --day 2017-06-10</v>
      </c>
      <c r="AN17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10:55:37"},{"id":29,"name":"Sharepoint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653</v>
      </c>
      <c r="B18" s="7">
        <v>4001</v>
      </c>
      <c r="C18" s="21" t="s">
        <v>204</v>
      </c>
      <c r="D18" s="21" t="s">
        <v>477</v>
      </c>
      <c r="E18" s="13">
        <v>42896.214756944442</v>
      </c>
      <c r="F18" s="13">
        <v>42896.216828703706</v>
      </c>
      <c r="G18" s="7">
        <v>1</v>
      </c>
      <c r="H18" s="21" t="s">
        <v>364</v>
      </c>
      <c r="I18" s="13">
        <v>42896.244976851849</v>
      </c>
      <c r="J18" s="7">
        <v>0</v>
      </c>
      <c r="K18" s="92" t="str">
        <f t="shared" si="0"/>
        <v>4001/4002</v>
      </c>
      <c r="L18" s="21" t="str">
        <f>VLOOKUP(A18,'Trips&amp;Operators'!$C$1:$G$99999,5,FALSE)</f>
        <v>DAVIS WENDY</v>
      </c>
      <c r="M18" s="6">
        <f t="shared" si="1"/>
        <v>2.8148148143372964E-2</v>
      </c>
      <c r="N18" s="7">
        <f t="shared" si="36"/>
        <v>40.533333326457068</v>
      </c>
      <c r="O18" s="7"/>
      <c r="P18" s="7"/>
      <c r="Q18" s="22"/>
      <c r="R18" s="173"/>
      <c r="S18" s="176">
        <f t="shared" si="2"/>
        <v>1</v>
      </c>
      <c r="T18" s="202" t="str">
        <f t="shared" si="3"/>
        <v>Southbound</v>
      </c>
      <c r="U18" s="202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03" t="str">
        <f t="shared" si="4"/>
        <v>https://d0f6bd738d7f1b3e5a7ca70fe4ff75f0.us-east-1.aws.found.io/app/kibana#/discover/Steve-Slow-Train-Analysis-(2080s-and-2083s)?_g=(refreshInterval:(display:Off,pause:!f,section:0,value:0),time:(from:'2017-06-10T04:09:15-0600',mode:absolute,to:'2017-06-10T06:52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" s="204" t="str">
        <f t="shared" si="5"/>
        <v>N</v>
      </c>
      <c r="X18" s="204">
        <f t="shared" si="6"/>
        <v>1</v>
      </c>
      <c r="Y18" s="204">
        <f t="shared" si="7"/>
        <v>23.2989</v>
      </c>
      <c r="Z18" s="204">
        <f t="shared" si="8"/>
        <v>1.47E-2</v>
      </c>
      <c r="AA18" s="204">
        <f t="shared" si="9"/>
        <v>23.284199999999998</v>
      </c>
      <c r="AB18" s="57" t="e">
        <f>VLOOKUP(A18,Enforcements!$C$7:$K$13,8,0)</f>
        <v>#N/A</v>
      </c>
      <c r="AC18" s="53" t="e">
        <f>VLOOKUP(A18,Enforcements!$C$7:$E$13,3,0)</f>
        <v>#N/A</v>
      </c>
      <c r="AD18" s="54" t="str">
        <f t="shared" si="10"/>
        <v>0106-10</v>
      </c>
      <c r="AE18" s="80" t="str">
        <f t="shared" si="11"/>
        <v>aws s3 cp s3://rtdc.mdm.uploadarchive.raw/RTDC4001/ "%USERPROFILE%\AppData\Local\Temp\OnboardLogs"\RTDC4001\2017-06-10 --exclude "*" --recursive --include "*20170610*" &amp; "%USERPROFILE%\Documents\GitHub\mrs-test-scripts\Headless Mode &amp; Sideloading\WalkAndUnGZ.bat" "%USERPROFILE%\AppData\Local\Temp\OnboardLogs"\RTDC4001\2017-06-10 &amp; aws s3 cp s3://rtdc.mdm.uploadarchive.raw/RTDC4001/ "%USERPROFILE%\AppData\Local\Temp\OnboardLogs"\RTDC4001\2017-06-11 --exclude "*" --recursive --include "*20170611*" &amp; "%USERPROFILE%\Documents\GitHub\mrs-test-scripts\Headless Mode &amp; Sideloading\WalkAndUnGZ.bat" "%USERPROFILE%\AppData\Local\Temp\OnboardLogs"\RTDC4001\2017-06-11</v>
      </c>
      <c r="AF18" s="77" t="str">
        <f t="shared" si="12"/>
        <v>"C:\Program Files (x86)\AstroGrep\AstroGrep.exe" /e /r /s /spath="%USERPROFILE%\AppData\Local\Temp\OnboardLogs" /stypes="app*4001*20170610*" /stext=" 11:.+((SYSTEM_STATE.+slice.+state.+changed )|(ment ac)|(multiple cpu faults)|(system.+state.+changed )|(\[timeout)|(PRM\|1\|D)|(kpr)|(kdp)|(train st.+moving)|(\|lc)|(penalty))"</v>
      </c>
      <c r="AG18" s="1" t="str">
        <f t="shared" si="13"/>
        <v>EC</v>
      </c>
      <c r="AH18" s="81" t="str">
        <f t="shared" si="37"/>
        <v>"%USERPROFILE%\Documents\GitHub\eaglep3\Utilities\RefineRTDCRunTimes.py" --tripid 106-10 --locoid 4001 --swversion DE.1.0.9.0 --startMP 204:232989 --initTime 2017-06-10T05:09:15 --startdatetime 2017-06-10T05:12:14 --delay 1 --endMP 204:147 --enddatetime 2017-06-10T05:52:46 --enforcementcount 0 &gt;&gt;C:\Users\stu\Documents\GitHub\eaglep3-reporting\EC\2017-06-10-refined-times.txt</v>
      </c>
      <c r="AI18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{"issue":{"subject":"","project_id":79,"tracker_id":40,"status_id":1,"priority_id":2,"assigned_to_id":23,"start_date":"2017-06-10","description":"","custom_fields":[{"id":1,"name":"Subdivision","value":"EC"},{"id":4,"name":"Milepost","value":"0.0147"},{"id":17,"name":"Train ID","value":"106-10"},{"id":16,"name":"Locomotive ID","value":"4001"},{"id":130,"name":"Impact","value":""},{"id":150,"name":"Time of Event (Mountain Time)","value":"05:52:46"},{"id":151,"name":"Denver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5" t="str">
        <f t="shared" si="39"/>
        <v>start /low /b %USERPROFILE%\Documents\GitHub\eaglep3\Utilities\DownloadLogsFromS3.py --loco 4001 --day 2017-06-10</v>
      </c>
      <c r="AN18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11:52:46"},{"id":29,"name":"Sharepoint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641</v>
      </c>
      <c r="B19" s="7">
        <v>4028</v>
      </c>
      <c r="C19" s="21" t="s">
        <v>204</v>
      </c>
      <c r="D19" s="21" t="s">
        <v>471</v>
      </c>
      <c r="E19" s="13">
        <v>42896.185763888891</v>
      </c>
      <c r="F19" s="13">
        <v>42896.187777777777</v>
      </c>
      <c r="G19" s="7">
        <v>1</v>
      </c>
      <c r="H19" s="21" t="s">
        <v>518</v>
      </c>
      <c r="I19" s="13">
        <v>42896.212777777779</v>
      </c>
      <c r="J19" s="7">
        <v>0</v>
      </c>
      <c r="K19" s="92" t="str">
        <f t="shared" si="0"/>
        <v>4027/4028</v>
      </c>
      <c r="L19" s="21" t="str">
        <f>VLOOKUP(A19,'Trips&amp;Operators'!$C$1:$G$99999,5,FALSE)</f>
        <v>GEBRETEKLE DAGNEW</v>
      </c>
      <c r="M19" s="6">
        <f t="shared" si="1"/>
        <v>2.5000000001455192E-2</v>
      </c>
      <c r="N19" s="7">
        <f t="shared" si="36"/>
        <v>36.000000002095476</v>
      </c>
      <c r="O19" s="7"/>
      <c r="P19" s="7"/>
      <c r="Q19" s="22"/>
      <c r="R19" s="173"/>
      <c r="S19" s="176">
        <f t="shared" si="2"/>
        <v>1</v>
      </c>
      <c r="T19" s="202" t="str">
        <f t="shared" si="3"/>
        <v>NorthBound</v>
      </c>
      <c r="U19" s="202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03" t="str">
        <f t="shared" si="4"/>
        <v>https://d0f6bd738d7f1b3e5a7ca70fe4ff75f0.us-east-1.aws.found.io/app/kibana#/discover/Steve-Slow-Train-Analysis-(2080s-and-2083s)?_g=(refreshInterval:(display:Off,pause:!f,section:0,value:0),time:(from:'2017-06-10T03:27:30-0600',mode:absolute,to:'2017-06-10T06:06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" s="204" t="str">
        <f t="shared" si="5"/>
        <v>N</v>
      </c>
      <c r="X19" s="204">
        <f t="shared" si="6"/>
        <v>1</v>
      </c>
      <c r="Y19" s="204">
        <f t="shared" si="7"/>
        <v>4.4400000000000002E-2</v>
      </c>
      <c r="Z19" s="204">
        <f t="shared" si="8"/>
        <v>23.331099999999999</v>
      </c>
      <c r="AA19" s="204">
        <f t="shared" si="9"/>
        <v>23.2867</v>
      </c>
      <c r="AB19" s="57" t="e">
        <f>VLOOKUP(A19,Enforcements!$C$7:$K$13,8,0)</f>
        <v>#N/A</v>
      </c>
      <c r="AC19" s="53" t="e">
        <f>VLOOKUP(A19,Enforcements!$C$7:$E$13,3,0)</f>
        <v>#N/A</v>
      </c>
      <c r="AD19" s="54" t="str">
        <f t="shared" si="10"/>
        <v>0107-10</v>
      </c>
      <c r="AE19" s="80" t="str">
        <f t="shared" si="11"/>
        <v>aws s3 cp s3://rtdc.mdm.uploadarchive.raw/RTDC4028/ "%USERPROFILE%\AppData\Local\Temp\OnboardLogs"\RTDC4028\2017-06-10 --exclude "*" --recursive --include "*20170610*" &amp; "%USERPROFILE%\Documents\GitHub\mrs-test-scripts\Headless Mode &amp; Sideloading\WalkAndUnGZ.bat" "%USERPROFILE%\AppData\Local\Temp\OnboardLogs"\RTDC4028\2017-06-10 &amp; aws s3 cp s3://rtdc.mdm.uploadarchive.raw/RTDC4028/ "%USERPROFILE%\AppData\Local\Temp\OnboardLogs"\RTDC4028\2017-06-11 --exclude "*" --recursive --include "*20170611*" &amp; "%USERPROFILE%\Documents\GitHub\mrs-test-scripts\Headless Mode &amp; Sideloading\WalkAndUnGZ.bat" "%USERPROFILE%\AppData\Local\Temp\OnboardLogs"\RTDC4028\2017-06-11</v>
      </c>
      <c r="AF19" s="77" t="str">
        <f t="shared" si="12"/>
        <v>"C:\Program Files (x86)\AstroGrep\AstroGrep.exe" /e /r /s /spath="%USERPROFILE%\AppData\Local\Temp\OnboardLogs" /stypes="app*4028*20170610*" /stext=" 11:.+((SYSTEM_STATE.+slice.+state.+changed )|(ment ac)|(multiple cpu faults)|(system.+state.+changed )|(\[timeout)|(PRM\|1\|D)|(kpr)|(kdp)|(train st.+moving)|(\|lc)|(penalty))"</v>
      </c>
      <c r="AG19" s="1" t="str">
        <f t="shared" si="13"/>
        <v>EC</v>
      </c>
      <c r="AH19" s="81" t="str">
        <f t="shared" si="37"/>
        <v>"%USERPROFILE%\Documents\GitHub\eaglep3\Utilities\RefineRTDCRunTimes.py" --tripid 107-10 --locoid 4028 --swversion DE.1.0.9.0 --startMP 204:444 --initTime 2017-06-10T04:27:30 --startdatetime 2017-06-10T04:30:24 --delay 1 --endMP 204:233311 --enddatetime 2017-06-10T05:06:24 --enforcementcount 0 &gt;&gt;C:\Users\stu\Documents\GitHub\eaglep3-reporting\EC\2017-06-10-refined-times.txt</v>
      </c>
      <c r="AI19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{"issue":{"subject":"","project_id":79,"tracker_id":40,"status_id":1,"priority_id":2,"assigned_to_id":23,"start_date":"2017-06-10","description":"","custom_fields":[{"id":1,"name":"Subdivision","value":"EC"},{"id":4,"name":"Milepost","value":"23.3311"},{"id":17,"name":"Train ID","value":"107-10"},{"id":16,"name":"Locomotive ID","value":"4028"},{"id":130,"name":"Impact","value":""},{"id":150,"name":"Time of Event (Mountain Time)","value":"05:06:24"},{"id":151,"name":"Denver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5" t="str">
        <f t="shared" si="39"/>
        <v>start /low /b %USERPROFILE%\Documents\GitHub\eaglep3\Utilities\DownloadLogsFromS3.py --loco 4028 --day 2017-06-10</v>
      </c>
      <c r="AN19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11:06:24"},{"id":29,"name":"Sharepoint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652</v>
      </c>
      <c r="B20" s="7">
        <v>4027</v>
      </c>
      <c r="C20" s="21" t="s">
        <v>204</v>
      </c>
      <c r="D20" s="21" t="s">
        <v>500</v>
      </c>
      <c r="E20" s="13">
        <v>42896.214004629626</v>
      </c>
      <c r="F20" s="13">
        <v>42896.227256944447</v>
      </c>
      <c r="G20" s="7">
        <v>1</v>
      </c>
      <c r="H20" s="21" t="s">
        <v>352</v>
      </c>
      <c r="I20" s="13">
        <v>42896.254340277781</v>
      </c>
      <c r="J20" s="7">
        <v>0</v>
      </c>
      <c r="K20" s="92" t="str">
        <f t="shared" si="0"/>
        <v>4027/4028</v>
      </c>
      <c r="L20" s="21" t="str">
        <f>VLOOKUP(A20,'Trips&amp;Operators'!$C$1:$G$99999,5,FALSE)</f>
        <v>GEBRETEKLE DAGNEW</v>
      </c>
      <c r="M20" s="6">
        <f t="shared" si="1"/>
        <v>2.7083333334303461E-2</v>
      </c>
      <c r="N20" s="7">
        <f t="shared" si="36"/>
        <v>39.000000001396984</v>
      </c>
      <c r="O20" s="7"/>
      <c r="P20" s="7"/>
      <c r="Q20" s="22"/>
      <c r="R20" s="173"/>
      <c r="S20" s="176">
        <f t="shared" si="2"/>
        <v>1</v>
      </c>
      <c r="T20" s="202" t="str">
        <f t="shared" si="3"/>
        <v>Southbound</v>
      </c>
      <c r="U20" s="202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03" t="str">
        <f t="shared" si="4"/>
        <v>https://d0f6bd738d7f1b3e5a7ca70fe4ff75f0.us-east-1.aws.found.io/app/kibana#/discover/Steve-Slow-Train-Analysis-(2080s-and-2083s)?_g=(refreshInterval:(display:Off,pause:!f,section:0,value:0),time:(from:'2017-06-10T04:08:10-0600',mode:absolute,to:'2017-06-10T07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0" s="204" t="str">
        <f t="shared" si="5"/>
        <v>N</v>
      </c>
      <c r="X20" s="204">
        <f t="shared" si="6"/>
        <v>1</v>
      </c>
      <c r="Y20" s="204">
        <f t="shared" si="7"/>
        <v>23.299600000000002</v>
      </c>
      <c r="Z20" s="204">
        <f t="shared" si="8"/>
        <v>1.4999999999999999E-2</v>
      </c>
      <c r="AA20" s="204">
        <f t="shared" si="9"/>
        <v>23.284600000000001</v>
      </c>
      <c r="AB20" s="57" t="e">
        <f>VLOOKUP(A20,Enforcements!$C$7:$K$13,8,0)</f>
        <v>#N/A</v>
      </c>
      <c r="AC20" s="53" t="e">
        <f>VLOOKUP(A20,Enforcements!$C$7:$E$13,3,0)</f>
        <v>#N/A</v>
      </c>
      <c r="AD20" s="54" t="str">
        <f t="shared" si="10"/>
        <v>0108-10</v>
      </c>
      <c r="AE20" s="80" t="str">
        <f t="shared" si="11"/>
        <v>aws s3 cp s3://rtdc.mdm.uploadarchive.raw/RTDC4027/ "%USERPROFILE%\AppData\Local\Temp\OnboardLogs"\RTDC4027\2017-06-10 --exclude "*" --recursive --include "*20170610*" &amp; "%USERPROFILE%\Documents\GitHub\mrs-test-scripts\Headless Mode &amp; Sideloading\WalkAndUnGZ.bat" "%USERPROFILE%\AppData\Local\Temp\OnboardLogs"\RTDC4027\2017-06-10 &amp; aws s3 cp s3://rtdc.mdm.uploadarchive.raw/RTDC4027/ "%USERPROFILE%\AppData\Local\Temp\OnboardLogs"\RTDC4027\2017-06-11 --exclude "*" --recursive --include "*20170611*" &amp; "%USERPROFILE%\Documents\GitHub\mrs-test-scripts\Headless Mode &amp; Sideloading\WalkAndUnGZ.bat" "%USERPROFILE%\AppData\Local\Temp\OnboardLogs"\RTDC4027\2017-06-11</v>
      </c>
      <c r="AF20" s="77" t="str">
        <f t="shared" si="12"/>
        <v>"C:\Program Files (x86)\AstroGrep\AstroGrep.exe" /e /r /s /spath="%USERPROFILE%\AppData\Local\Temp\OnboardLogs" /stypes="app*4027*20170610*" /stext=" 12:.+((SYSTEM_STATE.+slice.+state.+changed )|(ment ac)|(multiple cpu faults)|(system.+state.+changed )|(\[timeout)|(PRM\|1\|D)|(kpr)|(kdp)|(train st.+moving)|(\|lc)|(penalty))"</v>
      </c>
      <c r="AG20" s="1" t="str">
        <f t="shared" si="13"/>
        <v>EC</v>
      </c>
      <c r="AH20" s="81" t="str">
        <f t="shared" si="37"/>
        <v>"%USERPROFILE%\Documents\GitHub\eaglep3\Utilities\RefineRTDCRunTimes.py" --tripid 108-10 --locoid 4027 --swversion DE.1.0.9.0 --startMP 204:232996 --initTime 2017-06-10T05:08:10 --startdatetime 2017-06-10T05:27:15 --delay 1 --endMP 204:150 --enddatetime 2017-06-10T06:06:15 --enforcementcount 0 &gt;&gt;C:\Users\stu\Documents\GitHub\eaglep3-reporting\EC\2017-06-10-refined-times.txt</v>
      </c>
      <c r="AI20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{"issue":{"subject":"","project_id":79,"tracker_id":40,"status_id":1,"priority_id":2,"assigned_to_id":23,"start_date":"2017-06-10","description":"","custom_fields":[{"id":1,"name":"Subdivision","value":"EC"},{"id":4,"name":"Milepost","value":"0.015"},{"id":17,"name":"Train ID","value":"108-10"},{"id":16,"name":"Locomotive ID","value":"4027"},{"id":130,"name":"Impact","value":""},{"id":150,"name":"Time of Event (Mountain Time)","value":"06:06:15"},{"id":151,"name":"Denver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5" t="str">
        <f t="shared" si="39"/>
        <v>start /low /b %USERPROFILE%\Documents\GitHub\eaglep3\Utilities\DownloadLogsFromS3.py --loco 4027 --day 2017-06-10</v>
      </c>
      <c r="AN20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12:06:15"},{"id":29,"name":"Sharepoint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649</v>
      </c>
      <c r="B21" s="7">
        <v>4032</v>
      </c>
      <c r="C21" s="21" t="s">
        <v>204</v>
      </c>
      <c r="D21" s="21" t="s">
        <v>356</v>
      </c>
      <c r="E21" s="13">
        <v>42896.195625</v>
      </c>
      <c r="F21" s="13">
        <v>42896.198078703703</v>
      </c>
      <c r="G21" s="7">
        <v>1</v>
      </c>
      <c r="H21" s="21" t="s">
        <v>528</v>
      </c>
      <c r="I21" s="13">
        <v>42896.224039351851</v>
      </c>
      <c r="J21" s="7">
        <v>0</v>
      </c>
      <c r="K21" s="92" t="str">
        <f t="shared" si="0"/>
        <v>4031/4032</v>
      </c>
      <c r="L21" s="21" t="str">
        <f>VLOOKUP(A21,'Trips&amp;Operators'!$C$1:$G$99999,5,FALSE)</f>
        <v>LALONDE GREGORY</v>
      </c>
      <c r="M21" s="6">
        <f t="shared" si="1"/>
        <v>2.5960648148611654E-2</v>
      </c>
      <c r="N21" s="7">
        <f t="shared" si="36"/>
        <v>37.383333334000781</v>
      </c>
      <c r="O21" s="7"/>
      <c r="P21" s="7"/>
      <c r="Q21" s="22"/>
      <c r="R21" s="173"/>
      <c r="S21" s="176">
        <f t="shared" si="2"/>
        <v>1</v>
      </c>
      <c r="T21" s="202" t="str">
        <f t="shared" si="3"/>
        <v>NorthBound</v>
      </c>
      <c r="U21" s="202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03" t="str">
        <f t="shared" si="4"/>
        <v>https://d0f6bd738d7f1b3e5a7ca70fe4ff75f0.us-east-1.aws.found.io/app/kibana#/discover/Steve-Slow-Train-Analysis-(2080s-and-2083s)?_g=(refreshInterval:(display:Off,pause:!f,section:0,value:0),time:(from:'2017-06-10T03:41:42-0600',mode:absolute,to:'2017-06-10T06:22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1" s="204" t="str">
        <f t="shared" si="5"/>
        <v>N</v>
      </c>
      <c r="X21" s="204">
        <f t="shared" si="6"/>
        <v>1</v>
      </c>
      <c r="Y21" s="204">
        <f t="shared" si="7"/>
        <v>4.5100000000000001E-2</v>
      </c>
      <c r="Z21" s="204">
        <f t="shared" si="8"/>
        <v>23.334</v>
      </c>
      <c r="AA21" s="204">
        <f t="shared" si="9"/>
        <v>23.288899999999998</v>
      </c>
      <c r="AB21" s="57" t="e">
        <f>VLOOKUP(A21,Enforcements!$C$7:$K$13,8,0)</f>
        <v>#N/A</v>
      </c>
      <c r="AC21" s="53" t="e">
        <f>VLOOKUP(A21,Enforcements!$C$7:$E$13,3,0)</f>
        <v>#N/A</v>
      </c>
      <c r="AD21" s="54" t="str">
        <f t="shared" si="10"/>
        <v>0109-10</v>
      </c>
      <c r="AE21" s="80" t="str">
        <f t="shared" si="11"/>
        <v>aws s3 cp s3://rtdc.mdm.uploadarchive.raw/RTDC4032/ "%USERPROFILE%\AppData\Local\Temp\OnboardLogs"\RTDC4032\2017-06-10 --exclude "*" --recursive --include "*20170610*" &amp; "%USERPROFILE%\Documents\GitHub\mrs-test-scripts\Headless Mode &amp; Sideloading\WalkAndUnGZ.bat" "%USERPROFILE%\AppData\Local\Temp\OnboardLogs"\RTDC4032\2017-06-10 &amp; aws s3 cp s3://rtdc.mdm.uploadarchive.raw/RTDC4032/ "%USERPROFILE%\AppData\Local\Temp\OnboardLogs"\RTDC4032\2017-06-11 --exclude "*" --recursive --include "*20170611*" &amp; "%USERPROFILE%\Documents\GitHub\mrs-test-scripts\Headless Mode &amp; Sideloading\WalkAndUnGZ.bat" "%USERPROFILE%\AppData\Local\Temp\OnboardLogs"\RTDC4032\2017-06-11</v>
      </c>
      <c r="AF21" s="77" t="str">
        <f t="shared" si="12"/>
        <v>"C:\Program Files (x86)\AstroGrep\AstroGrep.exe" /e /r /s /spath="%USERPROFILE%\AppData\Local\Temp\OnboardLogs" /stypes="app*4032*20170610*" /stext=" 11:.+((SYSTEM_STATE.+slice.+state.+changed )|(ment ac)|(multiple cpu faults)|(system.+state.+changed )|(\[timeout)|(PRM\|1\|D)|(kpr)|(kdp)|(train st.+moving)|(\|lc)|(penalty))"</v>
      </c>
      <c r="AG21" s="1" t="str">
        <f t="shared" si="13"/>
        <v>EC</v>
      </c>
      <c r="AH21" s="81" t="str">
        <f t="shared" si="37"/>
        <v>"%USERPROFILE%\Documents\GitHub\eaglep3\Utilities\RefineRTDCRunTimes.py" --tripid 109-10 --locoid 4032 --swversion DE.1.0.9.0 --startMP 204:451 --initTime 2017-06-10T04:41:42 --startdatetime 2017-06-10T04:45:14 --delay 1 --endMP 204:233340 --enddatetime 2017-06-10T05:22:37 --enforcementcount 0 &gt;&gt;C:\Users\stu\Documents\GitHub\eaglep3-reporting\EC\2017-06-10-refined-times.txt</v>
      </c>
      <c r="AI21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{"issue":{"subject":"","project_id":79,"tracker_id":40,"status_id":1,"priority_id":2,"assigned_to_id":23,"start_date":"2017-06-10","description":"","custom_fields":[{"id":1,"name":"Subdivision","value":"EC"},{"id":4,"name":"Milepost","value":"23.334"},{"id":17,"name":"Train ID","value":"109-10"},{"id":16,"name":"Locomotive ID","value":"4032"},{"id":130,"name":"Impact","value":""},{"id":150,"name":"Time of Event (Mountain Time)","value":"05:22:37"},{"id":151,"name":"Denver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5" t="str">
        <f t="shared" si="39"/>
        <v>start /low /b %USERPROFILE%\Documents\GitHub\eaglep3\Utilities\DownloadLogsFromS3.py --loco 4032 --day 2017-06-10</v>
      </c>
      <c r="AN21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11:22:37"},{"id":29,"name":"Sharepoint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657</v>
      </c>
      <c r="B22" s="7">
        <v>4031</v>
      </c>
      <c r="C22" s="21" t="s">
        <v>204</v>
      </c>
      <c r="D22" s="21" t="s">
        <v>829</v>
      </c>
      <c r="E22" s="13">
        <v>42896.226759259262</v>
      </c>
      <c r="F22" s="13">
        <v>42896.237685185188</v>
      </c>
      <c r="G22" s="7">
        <v>1</v>
      </c>
      <c r="H22" s="21" t="s">
        <v>364</v>
      </c>
      <c r="I22" s="13">
        <v>42896.263229166667</v>
      </c>
      <c r="J22" s="7">
        <v>0</v>
      </c>
      <c r="K22" s="92" t="str">
        <f t="shared" si="0"/>
        <v>4031/4032</v>
      </c>
      <c r="L22" s="21" t="str">
        <f>VLOOKUP(A22,'Trips&amp;Operators'!$C$1:$G$99999,5,FALSE)</f>
        <v>LALONDE GREGORY</v>
      </c>
      <c r="M22" s="6">
        <f t="shared" si="1"/>
        <v>2.5543981479131617E-2</v>
      </c>
      <c r="N22" s="7">
        <f t="shared" si="36"/>
        <v>36.783333329949528</v>
      </c>
      <c r="O22" s="7"/>
      <c r="P22" s="7"/>
      <c r="Q22" s="22"/>
      <c r="R22" s="173"/>
      <c r="S22" s="176">
        <f t="shared" si="2"/>
        <v>1</v>
      </c>
      <c r="T22" s="202" t="str">
        <f t="shared" si="3"/>
        <v>Southbound</v>
      </c>
      <c r="U22" s="202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03" t="str">
        <f t="shared" si="4"/>
        <v>https://d0f6bd738d7f1b3e5a7ca70fe4ff75f0.us-east-1.aws.found.io/app/kibana#/discover/Steve-Slow-Train-Analysis-(2080s-and-2083s)?_g=(refreshInterval:(display:Off,pause:!f,section:0,value:0),time:(from:'2017-06-10T04:26:32-0600',mode:absolute,to:'2017-06-10T07:19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2" s="204" t="str">
        <f t="shared" si="5"/>
        <v>N</v>
      </c>
      <c r="X22" s="204">
        <f t="shared" si="6"/>
        <v>1</v>
      </c>
      <c r="Y22" s="204">
        <f t="shared" si="7"/>
        <v>23.302299999999999</v>
      </c>
      <c r="Z22" s="204">
        <f t="shared" si="8"/>
        <v>1.47E-2</v>
      </c>
      <c r="AA22" s="204">
        <f t="shared" si="9"/>
        <v>23.287599999999998</v>
      </c>
      <c r="AB22" s="57" t="e">
        <f>VLOOKUP(A22,Enforcements!$C$7:$K$13,8,0)</f>
        <v>#N/A</v>
      </c>
      <c r="AC22" s="53" t="e">
        <f>VLOOKUP(A22,Enforcements!$C$7:$E$13,3,0)</f>
        <v>#N/A</v>
      </c>
      <c r="AD22" s="54" t="str">
        <f t="shared" si="10"/>
        <v>0110-10</v>
      </c>
      <c r="AE22" s="80" t="str">
        <f t="shared" si="11"/>
        <v>aws s3 cp s3://rtdc.mdm.uploadarchive.raw/RTDC4031/ "%USERPROFILE%\AppData\Local\Temp\OnboardLogs"\RTDC4031\2017-06-10 --exclude "*" --recursive --include "*20170610*" &amp; "%USERPROFILE%\Documents\GitHub\mrs-test-scripts\Headless Mode &amp; Sideloading\WalkAndUnGZ.bat" "%USERPROFILE%\AppData\Local\Temp\OnboardLogs"\RTDC4031\2017-06-10 &amp; aws s3 cp s3://rtdc.mdm.uploadarchive.raw/RTDC4031/ "%USERPROFILE%\AppData\Local\Temp\OnboardLogs"\RTDC4031\2017-06-11 --exclude "*" --recursive --include "*20170611*" &amp; "%USERPROFILE%\Documents\GitHub\mrs-test-scripts\Headless Mode &amp; Sideloading\WalkAndUnGZ.bat" "%USERPROFILE%\AppData\Local\Temp\OnboardLogs"\RTDC4031\2017-06-11</v>
      </c>
      <c r="AF22" s="77" t="str">
        <f t="shared" si="12"/>
        <v>"C:\Program Files (x86)\AstroGrep\AstroGrep.exe" /e /r /s /spath="%USERPROFILE%\AppData\Local\Temp\OnboardLogs" /stypes="app*4031*20170610*" /stext=" 12:.+((SYSTEM_STATE.+slice.+state.+changed )|(ment ac)|(multiple cpu faults)|(system.+state.+changed )|(\[timeout)|(PRM\|1\|D)|(kpr)|(kdp)|(train st.+moving)|(\|lc)|(penalty))"</v>
      </c>
      <c r="AG22" s="1" t="str">
        <f t="shared" si="13"/>
        <v>EC</v>
      </c>
      <c r="AH22" s="81" t="str">
        <f t="shared" si="37"/>
        <v>"%USERPROFILE%\Documents\GitHub\eaglep3\Utilities\RefineRTDCRunTimes.py" --tripid 110-10 --locoid 4031 --swversion DE.1.0.9.0 --startMP 204:233023 --initTime 2017-06-10T05:26:32 --startdatetime 2017-06-10T05:42:16 --delay 1 --endMP 204:147 --enddatetime 2017-06-10T06:19:03 --enforcementcount 0 &gt;&gt;C:\Users\stu\Documents\GitHub\eaglep3-reporting\EC\2017-06-10-refined-times.txt</v>
      </c>
      <c r="AI22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{"issue":{"subject":"","project_id":79,"tracker_id":40,"status_id":1,"priority_id":2,"assigned_to_id":23,"start_date":"2017-06-10","description":"","custom_fields":[{"id":1,"name":"Subdivision","value":"EC"},{"id":4,"name":"Milepost","value":"0.0147"},{"id":17,"name":"Train ID","value":"110-10"},{"id":16,"name":"Locomotive ID","value":"4031"},{"id":130,"name":"Impact","value":""},{"id":150,"name":"Time of Event (Mountain Time)","value":"06:19:03"},{"id":151,"name":"Denver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5" t="str">
        <f t="shared" si="39"/>
        <v>start /low /b %USERPROFILE%\Documents\GitHub\eaglep3\Utilities\DownloadLogsFromS3.py --loco 4031 --day 2017-06-10</v>
      </c>
      <c r="AN22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12:19:03"},{"id":29,"name":"Sharepoint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645</v>
      </c>
      <c r="B23" s="7">
        <v>4022</v>
      </c>
      <c r="C23" s="21" t="s">
        <v>204</v>
      </c>
      <c r="D23" s="21" t="s">
        <v>397</v>
      </c>
      <c r="E23" s="13">
        <v>42896.191087962965</v>
      </c>
      <c r="F23" s="13">
        <v>42896.21</v>
      </c>
      <c r="G23" s="7">
        <v>3</v>
      </c>
      <c r="H23" s="21" t="s">
        <v>549</v>
      </c>
      <c r="I23" s="13">
        <v>42896.234803240739</v>
      </c>
      <c r="J23" s="7">
        <v>0</v>
      </c>
      <c r="K23" s="92" t="str">
        <f t="shared" si="0"/>
        <v>4021/4022</v>
      </c>
      <c r="L23" s="21" t="str">
        <f>VLOOKUP(A23,'Trips&amp;Operators'!$C$1:$G$99999,5,FALSE)</f>
        <v>MAYBERRY BILL</v>
      </c>
      <c r="M23" s="6">
        <f t="shared" si="1"/>
        <v>2.4803240739856847E-2</v>
      </c>
      <c r="N23" s="7">
        <f t="shared" si="36"/>
        <v>35.716666665393859</v>
      </c>
      <c r="O23" s="7"/>
      <c r="P23" s="7"/>
      <c r="Q23" s="22"/>
      <c r="R23" s="173"/>
      <c r="S23" s="176">
        <f t="shared" si="2"/>
        <v>1</v>
      </c>
      <c r="T23" s="202" t="str">
        <f t="shared" si="3"/>
        <v>NorthBound</v>
      </c>
      <c r="U23" s="202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03" t="str">
        <f t="shared" si="4"/>
        <v>https://d0f6bd738d7f1b3e5a7ca70fe4ff75f0.us-east-1.aws.found.io/app/kibana#/discover/Steve-Slow-Train-Analysis-(2080s-and-2083s)?_g=(refreshInterval:(display:Off,pause:!f,section:0,value:0),time:(from:'2017-06-10T03:35:10-0600',mode:absolute,to:'2017-06-10T06:38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3" s="204" t="str">
        <f t="shared" si="5"/>
        <v>N</v>
      </c>
      <c r="X23" s="204">
        <f t="shared" si="6"/>
        <v>1</v>
      </c>
      <c r="Y23" s="204">
        <f t="shared" si="7"/>
        <v>4.6199999999999998E-2</v>
      </c>
      <c r="Z23" s="204">
        <f t="shared" si="8"/>
        <v>23.330500000000001</v>
      </c>
      <c r="AA23" s="204">
        <f t="shared" si="9"/>
        <v>23.284300000000002</v>
      </c>
      <c r="AB23" s="57" t="e">
        <f>VLOOKUP(A23,Enforcements!$C$7:$K$13,8,0)</f>
        <v>#N/A</v>
      </c>
      <c r="AC23" s="53" t="e">
        <f>VLOOKUP(A23,Enforcements!$C$7:$E$13,3,0)</f>
        <v>#N/A</v>
      </c>
      <c r="AD23" s="54" t="str">
        <f t="shared" si="10"/>
        <v>0111-10</v>
      </c>
      <c r="AE23" s="80" t="str">
        <f t="shared" si="11"/>
        <v>aws s3 cp s3://rtdc.mdm.uploadarchive.raw/RTDC4022/ "%USERPROFILE%\AppData\Local\Temp\OnboardLogs"\RTDC4022\2017-06-10 --exclude "*" --recursive --include "*20170610*" &amp; "%USERPROFILE%\Documents\GitHub\mrs-test-scripts\Headless Mode &amp; Sideloading\WalkAndUnGZ.bat" "%USERPROFILE%\AppData\Local\Temp\OnboardLogs"\RTDC4022\2017-06-10 &amp; aws s3 cp s3://rtdc.mdm.uploadarchive.raw/RTDC4022/ "%USERPROFILE%\AppData\Local\Temp\OnboardLogs"\RTDC4022\2017-06-11 --exclude "*" --recursive --include "*20170611*" &amp; "%USERPROFILE%\Documents\GitHub\mrs-test-scripts\Headless Mode &amp; Sideloading\WalkAndUnGZ.bat" "%USERPROFILE%\AppData\Local\Temp\OnboardLogs"\RTDC4022\2017-06-11</v>
      </c>
      <c r="AF23" s="77" t="str">
        <f t="shared" si="12"/>
        <v>"C:\Program Files (x86)\AstroGrep\AstroGrep.exe" /e /r /s /spath="%USERPROFILE%\AppData\Local\Temp\OnboardLogs" /stypes="app*4022*20170610*" /stext=" 11:.+((SYSTEM_STATE.+slice.+state.+changed )|(ment ac)|(multiple cpu faults)|(system.+state.+changed )|(\[timeout)|(PRM\|1\|D)|(kpr)|(kdp)|(train st.+moving)|(\|lc)|(penalty))"</v>
      </c>
      <c r="AG23" s="1" t="str">
        <f t="shared" si="13"/>
        <v>EC</v>
      </c>
      <c r="AH23" s="81" t="str">
        <f t="shared" si="37"/>
        <v>"%USERPROFILE%\Documents\GitHub\eaglep3\Utilities\RefineRTDCRunTimes.py" --tripid 111-10 --locoid 4022 --swversion DE.1.0.9.0 --startMP 204:462 --initTime 2017-06-10T04:35:10 --startdatetime 2017-06-10T05:02:24 --delay 3 --endMP 204:233305 --enddatetime 2017-06-10T05:38:07 --enforcementcount 0 &gt;&gt;C:\Users\stu\Documents\GitHub\eaglep3-reporting\EC\2017-06-10-refined-times.txt</v>
      </c>
      <c r="AI23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{"issue":{"subject":"","project_id":79,"tracker_id":40,"status_id":1,"priority_id":2,"assigned_to_id":23,"start_date":"2017-06-10","description":"","custom_fields":[{"id":1,"name":"Subdivision","value":"EC"},{"id":4,"name":"Milepost","value":"23.3305"},{"id":17,"name":"Train ID","value":"111-10"},{"id":16,"name":"Locomotive ID","value":"4022"},{"id":130,"name":"Impact","value":""},{"id":150,"name":"Time of Event (Mountain Time)","value":"05:38:07"},{"id":151,"name":"Denver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5" t="str">
        <f t="shared" si="39"/>
        <v>start /low /b %USERPROFILE%\Documents\GitHub\eaglep3\Utilities\DownloadLogsFromS3.py --loco 4022 --day 2017-06-10</v>
      </c>
      <c r="AN23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11:38:07"},{"id":29,"name":"Sharepoint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575</v>
      </c>
      <c r="B24" s="7">
        <v>4021</v>
      </c>
      <c r="C24" s="21" t="s">
        <v>204</v>
      </c>
      <c r="D24" s="21" t="s">
        <v>403</v>
      </c>
      <c r="E24" s="13">
        <v>42896.243472222224</v>
      </c>
      <c r="F24" s="13">
        <v>42896.248240740744</v>
      </c>
      <c r="G24" s="7">
        <v>1</v>
      </c>
      <c r="H24" s="21" t="s">
        <v>830</v>
      </c>
      <c r="I24" s="13">
        <v>42896.275208333333</v>
      </c>
      <c r="J24" s="7">
        <v>0</v>
      </c>
      <c r="K24" s="92" t="str">
        <f t="shared" si="0"/>
        <v>4021/4022</v>
      </c>
      <c r="L24" s="21" t="str">
        <f>VLOOKUP(A24,'Trips&amp;Operators'!$C$1:$G$99999,5,FALSE)</f>
        <v>MAYBERRY BILL</v>
      </c>
      <c r="M24" s="6">
        <f t="shared" si="1"/>
        <v>2.696759258833481E-2</v>
      </c>
      <c r="N24" s="7">
        <f t="shared" si="36"/>
        <v>38.833333327202126</v>
      </c>
      <c r="O24" s="7"/>
      <c r="P24" s="7"/>
      <c r="Q24" s="22"/>
      <c r="R24" s="173"/>
      <c r="S24" s="176">
        <f t="shared" si="2"/>
        <v>1</v>
      </c>
      <c r="T24" s="202" t="str">
        <f t="shared" si="3"/>
        <v>Southbound</v>
      </c>
      <c r="U24" s="202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03" t="str">
        <f t="shared" si="4"/>
        <v>https://d0f6bd738d7f1b3e5a7ca70fe4ff75f0.us-east-1.aws.found.io/app/kibana#/discover/Steve-Slow-Train-Analysis-(2080s-and-2083s)?_g=(refreshInterval:(display:Off,pause:!f,section:0,value:0),time:(from:'2017-06-10T04:50:36-0600',mode:absolute,to:'2017-06-10T07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4" s="204" t="str">
        <f t="shared" si="5"/>
        <v>N</v>
      </c>
      <c r="X24" s="204">
        <f t="shared" si="6"/>
        <v>1</v>
      </c>
      <c r="Y24" s="204">
        <f t="shared" si="7"/>
        <v>23.298200000000001</v>
      </c>
      <c r="Z24" s="204">
        <f t="shared" si="8"/>
        <v>0.1147</v>
      </c>
      <c r="AA24" s="204">
        <f t="shared" si="9"/>
        <v>23.183500000000002</v>
      </c>
      <c r="AB24" s="57" t="e">
        <f>VLOOKUP(A24,Enforcements!$C$7:$K$13,8,0)</f>
        <v>#N/A</v>
      </c>
      <c r="AC24" s="53" t="e">
        <f>VLOOKUP(A24,Enforcements!$C$7:$E$13,3,0)</f>
        <v>#N/A</v>
      </c>
      <c r="AD24" s="54" t="str">
        <f t="shared" si="10"/>
        <v>0112-10</v>
      </c>
      <c r="AE24" s="80" t="str">
        <f t="shared" si="11"/>
        <v>aws s3 cp s3://rtdc.mdm.uploadarchive.raw/RTDC4021/ "%USERPROFILE%\AppData\Local\Temp\OnboardLogs"\RTDC4021\2017-06-10 --exclude "*" --recursive --include "*20170610*" &amp; "%USERPROFILE%\Documents\GitHub\mrs-test-scripts\Headless Mode &amp; Sideloading\WalkAndUnGZ.bat" "%USERPROFILE%\AppData\Local\Temp\OnboardLogs"\RTDC4021\2017-06-10 &amp; aws s3 cp s3://rtdc.mdm.uploadarchive.raw/RTDC4021/ "%USERPROFILE%\AppData\Local\Temp\OnboardLogs"\RTDC4021\2017-06-11 --exclude "*" --recursive --include "*20170611*" &amp; "%USERPROFILE%\Documents\GitHub\mrs-test-scripts\Headless Mode &amp; Sideloading\WalkAndUnGZ.bat" "%USERPROFILE%\AppData\Local\Temp\OnboardLogs"\RTDC4021\2017-06-11</v>
      </c>
      <c r="AF24" s="77" t="str">
        <f t="shared" si="12"/>
        <v>"C:\Program Files (x86)\AstroGrep\AstroGrep.exe" /e /r /s /spath="%USERPROFILE%\AppData\Local\Temp\OnboardLogs" /stypes="app*4021*20170610*" /stext=" 12:.+((SYSTEM_STATE.+slice.+state.+changed )|(ment ac)|(multiple cpu faults)|(system.+state.+changed )|(\[timeout)|(PRM\|1\|D)|(kpr)|(kdp)|(train st.+moving)|(\|lc)|(penalty))"</v>
      </c>
      <c r="AG24" s="1" t="str">
        <f t="shared" si="13"/>
        <v>EC</v>
      </c>
      <c r="AH24" s="81" t="str">
        <f t="shared" si="37"/>
        <v>"%USERPROFILE%\Documents\GitHub\eaglep3\Utilities\RefineRTDCRunTimes.py" --tripid 112-10 --locoid 4021 --swversion DE.1.0.9.0 --startMP 204:232982 --initTime 2017-06-10T05:50:36 --startdatetime 2017-06-10T05:57:28 --delay 1 --endMP 204:1147 --enddatetime 2017-06-10T06:36:18 --enforcementcount 0 &gt;&gt;C:\Users\stu\Documents\GitHub\eaglep3-reporting\EC\2017-06-10-refined-times.txt</v>
      </c>
      <c r="AI24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{"issue":{"subject":"","project_id":79,"tracker_id":40,"status_id":1,"priority_id":2,"assigned_to_id":23,"start_date":"2017-06-10","description":"","custom_fields":[{"id":1,"name":"Subdivision","value":"EC"},{"id":4,"name":"Milepost","value":"0.1147"},{"id":17,"name":"Train ID","value":"112-10"},{"id":16,"name":"Locomotive ID","value":"4021"},{"id":130,"name":"Impact","value":""},{"id":150,"name":"Time of Event (Mountain Time)","value":"06:36:18"},{"id":151,"name":"Denver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5" t="str">
        <f t="shared" si="39"/>
        <v>start /low /b %USERPROFILE%\Documents\GitHub\eaglep3\Utilities\DownloadLogsFromS3.py --loco 4021 --day 2017-06-10</v>
      </c>
      <c r="AN24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12:36:18"},{"id":29,"name":"Sharepoint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650</v>
      </c>
      <c r="B25" s="7">
        <v>4044</v>
      </c>
      <c r="C25" s="21" t="s">
        <v>204</v>
      </c>
      <c r="D25" s="21" t="s">
        <v>560</v>
      </c>
      <c r="E25" s="13">
        <v>42896.207962962966</v>
      </c>
      <c r="F25" s="13">
        <v>42896.218969907408</v>
      </c>
      <c r="G25" s="7">
        <v>1</v>
      </c>
      <c r="H25" s="21" t="s">
        <v>519</v>
      </c>
      <c r="I25" s="13">
        <v>42896.245717592596</v>
      </c>
      <c r="J25" s="7">
        <v>0</v>
      </c>
      <c r="K25" s="92" t="str">
        <f t="shared" si="0"/>
        <v>4043/4044</v>
      </c>
      <c r="L25" s="21" t="str">
        <f>VLOOKUP(A25,'Trips&amp;Operators'!$C$1:$G$99999,5,FALSE)</f>
        <v>DAVIDSON DAVID</v>
      </c>
      <c r="M25" s="6">
        <f t="shared" si="1"/>
        <v>2.6747685187729076E-2</v>
      </c>
      <c r="N25" s="7">
        <f t="shared" si="36"/>
        <v>38.516666670329869</v>
      </c>
      <c r="O25" s="7"/>
      <c r="P25" s="7"/>
      <c r="Q25" s="22"/>
      <c r="R25" s="173"/>
      <c r="S25" s="176">
        <f t="shared" si="2"/>
        <v>1</v>
      </c>
      <c r="T25" s="202" t="str">
        <f t="shared" si="3"/>
        <v>NorthBound</v>
      </c>
      <c r="U25" s="202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03" t="str">
        <f t="shared" si="4"/>
        <v>https://d0f6bd738d7f1b3e5a7ca70fe4ff75f0.us-east-1.aws.found.io/app/kibana#/discover/Steve-Slow-Train-Analysis-(2080s-and-2083s)?_g=(refreshInterval:(display:Off,pause:!f,section:0,value:0),time:(from:'2017-06-10T03:59:28-0600',mode:absolute,to:'2017-06-10T06:53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5" s="204" t="str">
        <f t="shared" si="5"/>
        <v>N</v>
      </c>
      <c r="X25" s="204">
        <f t="shared" si="6"/>
        <v>1</v>
      </c>
      <c r="Y25" s="204">
        <f t="shared" si="7"/>
        <v>4.7300000000000002E-2</v>
      </c>
      <c r="Z25" s="204">
        <f t="shared" si="8"/>
        <v>23.330200000000001</v>
      </c>
      <c r="AA25" s="204">
        <f t="shared" si="9"/>
        <v>23.282900000000001</v>
      </c>
      <c r="AB25" s="57" t="e">
        <f>VLOOKUP(A25,Enforcements!$C$7:$K$13,8,0)</f>
        <v>#N/A</v>
      </c>
      <c r="AC25" s="53" t="e">
        <f>VLOOKUP(A25,Enforcements!$C$7:$E$13,3,0)</f>
        <v>#N/A</v>
      </c>
      <c r="AD25" s="54" t="str">
        <f t="shared" si="10"/>
        <v>0113-10</v>
      </c>
      <c r="AE25" s="80" t="str">
        <f t="shared" si="11"/>
        <v>aws s3 cp s3://rtdc.mdm.uploadarchive.raw/RTDC4044/ "%USERPROFILE%\AppData\Local\Temp\OnboardLogs"\RTDC4044\2017-06-10 --exclude "*" --recursive --include "*20170610*" &amp; "%USERPROFILE%\Documents\GitHub\mrs-test-scripts\Headless Mode &amp; Sideloading\WalkAndUnGZ.bat" "%USERPROFILE%\AppData\Local\Temp\OnboardLogs"\RTDC4044\2017-06-10 &amp; aws s3 cp s3://rtdc.mdm.uploadarchive.raw/RTDC4044/ "%USERPROFILE%\AppData\Local\Temp\OnboardLogs"\RTDC4044\2017-06-11 --exclude "*" --recursive --include "*20170611*" &amp; "%USERPROFILE%\Documents\GitHub\mrs-test-scripts\Headless Mode &amp; Sideloading\WalkAndUnGZ.bat" "%USERPROFILE%\AppData\Local\Temp\OnboardLogs"\RTDC4044\2017-06-11</v>
      </c>
      <c r="AF25" s="77" t="str">
        <f t="shared" si="12"/>
        <v>"C:\Program Files (x86)\AstroGrep\AstroGrep.exe" /e /r /s /spath="%USERPROFILE%\AppData\Local\Temp\OnboardLogs" /stypes="app*4044*20170610*" /stext=" 11:.+((SYSTEM_STATE.+slice.+state.+changed )|(ment ac)|(multiple cpu faults)|(system.+state.+changed )|(\[timeout)|(PRM\|1\|D)|(kpr)|(kdp)|(train st.+moving)|(\|lc)|(penalty))"</v>
      </c>
      <c r="AG25" s="1" t="str">
        <f t="shared" si="13"/>
        <v>EC</v>
      </c>
      <c r="AH25" s="81" t="str">
        <f t="shared" si="37"/>
        <v>"%USERPROFILE%\Documents\GitHub\eaglep3\Utilities\RefineRTDCRunTimes.py" --tripid 113-10 --locoid 4044 --swversion DE.1.0.9.0 --startMP 204:473 --initTime 2017-06-10T04:59:28 --startdatetime 2017-06-10T05:15:19 --delay 1 --endMP 204:233302 --enddatetime 2017-06-10T05:53:50 --enforcementcount 0 &gt;&gt;C:\Users\stu\Documents\GitHub\eaglep3-reporting\EC\2017-06-10-refined-times.txt</v>
      </c>
      <c r="AI25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{"issue":{"subject":"","project_id":79,"tracker_id":40,"status_id":1,"priority_id":2,"assigned_to_id":23,"start_date":"2017-06-10","description":"","custom_fields":[{"id":1,"name":"Subdivision","value":"EC"},{"id":4,"name":"Milepost","value":"23.3302"},{"id":17,"name":"Train ID","value":"113-10"},{"id":16,"name":"Locomotive ID","value":"4044"},{"id":130,"name":"Impact","value":""},{"id":150,"name":"Time of Event (Mountain Time)","value":"05:53:50"},{"id":151,"name":"Denver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5" t="str">
        <f t="shared" si="39"/>
        <v>start /low /b %USERPROFILE%\Documents\GitHub\eaglep3\Utilities\DownloadLogsFromS3.py --loco 4044 --day 2017-06-10</v>
      </c>
      <c r="AN25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11:53:50"},{"id":29,"name":"Sharepoint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664</v>
      </c>
      <c r="B26" s="7">
        <v>4043</v>
      </c>
      <c r="C26" s="21" t="s">
        <v>204</v>
      </c>
      <c r="D26" s="21" t="s">
        <v>831</v>
      </c>
      <c r="E26" s="13">
        <v>42896.247615740744</v>
      </c>
      <c r="F26" s="13">
        <v>42896.258553240739</v>
      </c>
      <c r="G26" s="7">
        <v>1</v>
      </c>
      <c r="H26" s="21" t="s">
        <v>456</v>
      </c>
      <c r="I26" s="13">
        <v>42896.285520833335</v>
      </c>
      <c r="J26" s="7">
        <v>0</v>
      </c>
      <c r="K26" s="92" t="str">
        <f t="shared" si="0"/>
        <v>4043/4044</v>
      </c>
      <c r="L26" s="21" t="str">
        <f>VLOOKUP(A26,'Trips&amp;Operators'!$C$1:$G$99999,5,FALSE)</f>
        <v>DAVIDSON DAVID</v>
      </c>
      <c r="M26" s="6">
        <f t="shared" si="1"/>
        <v>2.6967592595610768E-2</v>
      </c>
      <c r="N26" s="7">
        <f t="shared" si="36"/>
        <v>38.833333337679505</v>
      </c>
      <c r="O26" s="7"/>
      <c r="P26" s="7"/>
      <c r="Q26" s="22"/>
      <c r="R26" s="173"/>
      <c r="S26" s="176">
        <f t="shared" si="2"/>
        <v>1</v>
      </c>
      <c r="T26" s="202" t="str">
        <f t="shared" si="3"/>
        <v>Southbound</v>
      </c>
      <c r="U26" s="202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03" t="str">
        <f t="shared" si="4"/>
        <v>https://d0f6bd738d7f1b3e5a7ca70fe4ff75f0.us-east-1.aws.found.io/app/kibana#/discover/Steve-Slow-Train-Analysis-(2080s-and-2083s)?_g=(refreshInterval:(display:Off,pause:!f,section:0,value:0),time:(from:'2017-06-10T04:56:34-0600',mode:absolute,to:'2017-06-10T07:51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6" s="204" t="str">
        <f t="shared" si="5"/>
        <v>N</v>
      </c>
      <c r="X26" s="204">
        <f t="shared" si="6"/>
        <v>1</v>
      </c>
      <c r="Y26" s="204">
        <f t="shared" si="7"/>
        <v>23.299299999999999</v>
      </c>
      <c r="Z26" s="204">
        <f t="shared" si="8"/>
        <v>1.5599999999999999E-2</v>
      </c>
      <c r="AA26" s="204">
        <f t="shared" si="9"/>
        <v>23.2837</v>
      </c>
      <c r="AB26" s="57" t="e">
        <f>VLOOKUP(A26,Enforcements!$C$7:$K$13,8,0)</f>
        <v>#N/A</v>
      </c>
      <c r="AC26" s="53" t="e">
        <f>VLOOKUP(A26,Enforcements!$C$7:$E$13,3,0)</f>
        <v>#N/A</v>
      </c>
      <c r="AD26" s="54" t="str">
        <f t="shared" si="10"/>
        <v>0114-10</v>
      </c>
      <c r="AE26" s="80" t="str">
        <f t="shared" si="11"/>
        <v>aws s3 cp s3://rtdc.mdm.uploadarchive.raw/RTDC4043/ "%USERPROFILE%\AppData\Local\Temp\OnboardLogs"\RTDC4043\2017-06-10 --exclude "*" --recursive --include "*20170610*" &amp; "%USERPROFILE%\Documents\GitHub\mrs-test-scripts\Headless Mode &amp; Sideloading\WalkAndUnGZ.bat" "%USERPROFILE%\AppData\Local\Temp\OnboardLogs"\RTDC4043\2017-06-10 &amp; aws s3 cp s3://rtdc.mdm.uploadarchive.raw/RTDC4043/ "%USERPROFILE%\AppData\Local\Temp\OnboardLogs"\RTDC4043\2017-06-11 --exclude "*" --recursive --include "*20170611*" &amp; "%USERPROFILE%\Documents\GitHub\mrs-test-scripts\Headless Mode &amp; Sideloading\WalkAndUnGZ.bat" "%USERPROFILE%\AppData\Local\Temp\OnboardLogs"\RTDC4043\2017-06-11</v>
      </c>
      <c r="AF26" s="77" t="str">
        <f t="shared" si="12"/>
        <v>"C:\Program Files (x86)\AstroGrep\AstroGrep.exe" /e /r /s /spath="%USERPROFILE%\AppData\Local\Temp\OnboardLogs" /stypes="app*4043*20170610*" /stext=" 12:.+((SYSTEM_STATE.+slice.+state.+changed )|(ment ac)|(multiple cpu faults)|(system.+state.+changed )|(\[timeout)|(PRM\|1\|D)|(kpr)|(kdp)|(train st.+moving)|(\|lc)|(penalty))"</v>
      </c>
      <c r="AG26" s="1" t="str">
        <f t="shared" si="13"/>
        <v>EC</v>
      </c>
      <c r="AH26" s="81" t="str">
        <f t="shared" si="37"/>
        <v>"%USERPROFILE%\Documents\GitHub\eaglep3\Utilities\RefineRTDCRunTimes.py" --tripid 114-10 --locoid 4043 --swversion DE.1.0.9.0 --startMP 204:232993 --initTime 2017-06-10T05:56:34 --startdatetime 2017-06-10T06:12:19 --delay 1 --endMP 204:156 --enddatetime 2017-06-10T06:51:09 --enforcementcount 0 &gt;&gt;C:\Users\stu\Documents\GitHub\eaglep3-reporting\EC\2017-06-10-refined-times.txt</v>
      </c>
      <c r="AI26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{"issue":{"subject":"","project_id":79,"tracker_id":40,"status_id":1,"priority_id":2,"assigned_to_id":23,"start_date":"2017-06-10","description":"","custom_fields":[{"id":1,"name":"Subdivision","value":"EC"},{"id":4,"name":"Milepost","value":"0.0156"},{"id":17,"name":"Train ID","value":"114-10"},{"id":16,"name":"Locomotive ID","value":"4043"},{"id":130,"name":"Impact","value":""},{"id":150,"name":"Time of Event (Mountain Time)","value":"06:51:09"},{"id":151,"name":"Denver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5" t="str">
        <f t="shared" si="39"/>
        <v>start /low /b %USERPROFILE%\Documents\GitHub\eaglep3\Utilities\DownloadLogsFromS3.py --loco 4043 --day 2017-06-10</v>
      </c>
      <c r="AN26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12:51:09"},{"id":29,"name":"Sharepoint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656</v>
      </c>
      <c r="B27" s="7">
        <v>4056</v>
      </c>
      <c r="C27" s="21" t="s">
        <v>204</v>
      </c>
      <c r="D27" s="21" t="s">
        <v>345</v>
      </c>
      <c r="E27" s="13">
        <v>42896.225416666668</v>
      </c>
      <c r="F27" s="13">
        <v>42896.230069444442</v>
      </c>
      <c r="G27" s="7">
        <v>1</v>
      </c>
      <c r="H27" s="21" t="s">
        <v>562</v>
      </c>
      <c r="I27" s="13">
        <v>42896.254259259258</v>
      </c>
      <c r="J27" s="7">
        <v>0</v>
      </c>
      <c r="K27" s="92" t="str">
        <f t="shared" si="0"/>
        <v>4055/4056</v>
      </c>
      <c r="L27" s="21" t="str">
        <f>VLOOKUP(A27,'Trips&amp;Operators'!$C$1:$G$99999,5,FALSE)</f>
        <v>BEAM ROSS</v>
      </c>
      <c r="M27" s="6">
        <f t="shared" si="1"/>
        <v>2.4189814816054422E-2</v>
      </c>
      <c r="N27" s="7">
        <f t="shared" si="36"/>
        <v>34.833333335118368</v>
      </c>
      <c r="O27" s="7"/>
      <c r="P27" s="7"/>
      <c r="Q27" s="22"/>
      <c r="R27" s="173"/>
      <c r="S27" s="176">
        <f t="shared" si="2"/>
        <v>1</v>
      </c>
      <c r="T27" s="202" t="str">
        <f t="shared" si="3"/>
        <v>NorthBound</v>
      </c>
      <c r="U27" s="202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03" t="str">
        <f t="shared" si="4"/>
        <v>https://d0f6bd738d7f1b3e5a7ca70fe4ff75f0.us-east-1.aws.found.io/app/kibana#/discover/Steve-Slow-Train-Analysis-(2080s-and-2083s)?_g=(refreshInterval:(display:Off,pause:!f,section:0,value:0),time:(from:'2017-06-10T04:24:36-0600',mode:absolute,to:'2017-06-10T07:06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7" s="204" t="str">
        <f t="shared" si="5"/>
        <v>N</v>
      </c>
      <c r="X27" s="204">
        <f t="shared" si="6"/>
        <v>1</v>
      </c>
      <c r="Y27" s="204">
        <f t="shared" si="7"/>
        <v>4.4900000000000002E-2</v>
      </c>
      <c r="Z27" s="204">
        <f t="shared" si="8"/>
        <v>23.329899999999999</v>
      </c>
      <c r="AA27" s="204">
        <f t="shared" si="9"/>
        <v>23.285</v>
      </c>
      <c r="AB27" s="57" t="e">
        <f>VLOOKUP(A27,Enforcements!$C$7:$K$13,8,0)</f>
        <v>#N/A</v>
      </c>
      <c r="AC27" s="53" t="e">
        <f>VLOOKUP(A27,Enforcements!$C$7:$E$13,3,0)</f>
        <v>#N/A</v>
      </c>
      <c r="AD27" s="54" t="str">
        <f t="shared" si="10"/>
        <v>0115-10</v>
      </c>
      <c r="AE27" s="80" t="str">
        <f t="shared" si="11"/>
        <v>aws s3 cp s3://rtdc.mdm.uploadarchive.raw/RTDC4056/ "%USERPROFILE%\AppData\Local\Temp\OnboardLogs"\RTDC4056\2017-06-10 --exclude "*" --recursive --include "*20170610*" &amp; "%USERPROFILE%\Documents\GitHub\mrs-test-scripts\Headless Mode &amp; Sideloading\WalkAndUnGZ.bat" "%USERPROFILE%\AppData\Local\Temp\OnboardLogs"\RTDC4056\2017-06-10 &amp; aws s3 cp s3://rtdc.mdm.uploadarchive.raw/RTDC4056/ "%USERPROFILE%\AppData\Local\Temp\OnboardLogs"\RTDC4056\2017-06-11 --exclude "*" --recursive --include "*20170611*" &amp; "%USERPROFILE%\Documents\GitHub\mrs-test-scripts\Headless Mode &amp; Sideloading\WalkAndUnGZ.bat" "%USERPROFILE%\AppData\Local\Temp\OnboardLogs"\RTDC4056\2017-06-11</v>
      </c>
      <c r="AF27" s="77" t="str">
        <f t="shared" si="12"/>
        <v>"C:\Program Files (x86)\AstroGrep\AstroGrep.exe" /e /r /s /spath="%USERPROFILE%\AppData\Local\Temp\OnboardLogs" /stypes="app*4056*20170610*" /stext=" 12:.+((SYSTEM_STATE.+slice.+state.+changed )|(ment ac)|(multiple cpu faults)|(system.+state.+changed )|(\[timeout)|(PRM\|1\|D)|(kpr)|(kdp)|(train st.+moving)|(\|lc)|(penalty))"</v>
      </c>
      <c r="AG27" s="1" t="str">
        <f t="shared" si="13"/>
        <v>EC</v>
      </c>
      <c r="AH27" s="81" t="str">
        <f t="shared" si="37"/>
        <v>"%USERPROFILE%\Documents\GitHub\eaglep3\Utilities\RefineRTDCRunTimes.py" --tripid 115-10 --locoid 4056 --swversion DE.1.0.9.0 --startMP 204:449 --initTime 2017-06-10T05:24:36 --startdatetime 2017-06-10T05:31:18 --delay 1 --endMP 204:233299 --enddatetime 2017-06-10T06:06:08 --enforcementcount 0 &gt;&gt;C:\Users\stu\Documents\GitHub\eaglep3-reporting\EC\2017-06-10-refined-times.txt</v>
      </c>
      <c r="AI27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{"issue":{"subject":"","project_id":79,"tracker_id":40,"status_id":1,"priority_id":2,"assigned_to_id":23,"start_date":"2017-06-10","description":"","custom_fields":[{"id":1,"name":"Subdivision","value":"EC"},{"id":4,"name":"Milepost","value":"23.3299"},{"id":17,"name":"Train ID","value":"115-10"},{"id":16,"name":"Locomotive ID","value":"4056"},{"id":130,"name":"Impact","value":""},{"id":150,"name":"Time of Event (Mountain Time)","value":"06:06:08"},{"id":151,"name":"Denver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5" t="str">
        <f t="shared" si="39"/>
        <v>start /low /b %USERPROFILE%\Documents\GitHub\eaglep3\Utilities\DownloadLogsFromS3.py --loco 4056 --day 2017-06-10</v>
      </c>
      <c r="AN27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12:06:08"},{"id":29,"name":"Sharepoint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669</v>
      </c>
      <c r="B28" s="7">
        <v>4055</v>
      </c>
      <c r="C28" s="21" t="s">
        <v>204</v>
      </c>
      <c r="D28" s="21" t="s">
        <v>464</v>
      </c>
      <c r="E28" s="13">
        <v>42896.264710648145</v>
      </c>
      <c r="F28" s="13">
        <v>42896.268912037034</v>
      </c>
      <c r="G28" s="7">
        <v>2</v>
      </c>
      <c r="H28" s="21" t="s">
        <v>352</v>
      </c>
      <c r="I28" s="13">
        <v>42896.295023148145</v>
      </c>
      <c r="J28" s="7">
        <v>0</v>
      </c>
      <c r="K28" s="92" t="str">
        <f t="shared" si="0"/>
        <v>4055/4056</v>
      </c>
      <c r="L28" s="21" t="str">
        <f>VLOOKUP(A28,'Trips&amp;Operators'!$C$1:$G$99999,5,FALSE)</f>
        <v>BEAM ROSS</v>
      </c>
      <c r="M28" s="6">
        <f t="shared" si="1"/>
        <v>2.6111111110367347E-2</v>
      </c>
      <c r="N28" s="7">
        <f t="shared" si="36"/>
        <v>37.599999998928979</v>
      </c>
      <c r="O28" s="7"/>
      <c r="P28" s="7"/>
      <c r="Q28" s="22"/>
      <c r="R28" s="173"/>
      <c r="S28" s="176">
        <f t="shared" si="2"/>
        <v>1</v>
      </c>
      <c r="T28" s="202" t="str">
        <f t="shared" si="3"/>
        <v>Southbound</v>
      </c>
      <c r="U28" s="202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03" t="str">
        <f t="shared" si="4"/>
        <v>https://d0f6bd738d7f1b3e5a7ca70fe4ff75f0.us-east-1.aws.found.io/app/kibana#/discover/Steve-Slow-Train-Analysis-(2080s-and-2083s)?_g=(refreshInterval:(display:Off,pause:!f,section:0,value:0),time:(from:'2017-06-10T05:21:11-0600',mode:absolute,to:'2017-06-10T08:04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8" s="204" t="str">
        <f t="shared" si="5"/>
        <v>N</v>
      </c>
      <c r="X28" s="204">
        <f t="shared" si="6"/>
        <v>1</v>
      </c>
      <c r="Y28" s="204">
        <f t="shared" si="7"/>
        <v>23.2988</v>
      </c>
      <c r="Z28" s="204">
        <f t="shared" si="8"/>
        <v>1.4999999999999999E-2</v>
      </c>
      <c r="AA28" s="204">
        <f t="shared" si="9"/>
        <v>23.283799999999999</v>
      </c>
      <c r="AB28" s="57" t="e">
        <f>VLOOKUP(A28,Enforcements!$C$7:$K$13,8,0)</f>
        <v>#N/A</v>
      </c>
      <c r="AC28" s="53" t="e">
        <f>VLOOKUP(A28,Enforcements!$C$7:$E$13,3,0)</f>
        <v>#N/A</v>
      </c>
      <c r="AD28" s="54" t="str">
        <f t="shared" si="10"/>
        <v>0116-10</v>
      </c>
      <c r="AE28" s="80" t="str">
        <f t="shared" si="11"/>
        <v>aws s3 cp s3://rtdc.mdm.uploadarchive.raw/RTDC4055/ "%USERPROFILE%\AppData\Local\Temp\OnboardLogs"\RTDC4055\2017-06-10 --exclude "*" --recursive --include "*20170610*" &amp; "%USERPROFILE%\Documents\GitHub\mrs-test-scripts\Headless Mode &amp; Sideloading\WalkAndUnGZ.bat" "%USERPROFILE%\AppData\Local\Temp\OnboardLogs"\RTDC4055\2017-06-10 &amp; aws s3 cp s3://rtdc.mdm.uploadarchive.raw/RTDC4055/ "%USERPROFILE%\AppData\Local\Temp\OnboardLogs"\RTDC4055\2017-06-11 --exclude "*" --recursive --include "*20170611*" &amp; "%USERPROFILE%\Documents\GitHub\mrs-test-scripts\Headless Mode &amp; Sideloading\WalkAndUnGZ.bat" "%USERPROFILE%\AppData\Local\Temp\OnboardLogs"\RTDC4055\2017-06-11</v>
      </c>
      <c r="AF28" s="77" t="str">
        <f t="shared" si="12"/>
        <v>"C:\Program Files (x86)\AstroGrep\AstroGrep.exe" /e /r /s /spath="%USERPROFILE%\AppData\Local\Temp\OnboardLogs" /stypes="app*4055*20170610*" /stext=" 13:.+((SYSTEM_STATE.+slice.+state.+changed )|(ment ac)|(multiple cpu faults)|(system.+state.+changed )|(\[timeout)|(PRM\|1\|D)|(kpr)|(kdp)|(train st.+moving)|(\|lc)|(penalty))"</v>
      </c>
      <c r="AG28" s="1" t="str">
        <f t="shared" si="13"/>
        <v>EC</v>
      </c>
      <c r="AH28" s="81" t="str">
        <f t="shared" si="37"/>
        <v>"%USERPROFILE%\Documents\GitHub\eaglep3\Utilities\RefineRTDCRunTimes.py" --tripid 116-10 --locoid 4055 --swversion DE.1.0.9.0 --startMP 204:232988 --initTime 2017-06-10T06:21:11 --startdatetime 2017-06-10T06:27:14 --delay 2 --endMP 204:150 --enddatetime 2017-06-10T07:04:50 --enforcementcount 0 &gt;&gt;C:\Users\stu\Documents\GitHub\eaglep3-reporting\EC\2017-06-10-refined-times.txt</v>
      </c>
      <c r="AI28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{"issue":{"subject":"","project_id":79,"tracker_id":40,"status_id":1,"priority_id":2,"assigned_to_id":23,"start_date":"2017-06-10","description":"","custom_fields":[{"id":1,"name":"Subdivision","value":"EC"},{"id":4,"name":"Milepost","value":"0.015"},{"id":17,"name":"Train ID","value":"116-10"},{"id":16,"name":"Locomotive ID","value":"4055"},{"id":130,"name":"Impact","value":""},{"id":150,"name":"Time of Event (Mountain Time)","value":"07:04:50"},{"id":151,"name":"Denver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5" t="str">
        <f t="shared" si="39"/>
        <v>start /low /b %USERPROFILE%\Documents\GitHub\eaglep3\Utilities\DownloadLogsFromS3.py --loco 4055 --day 2017-06-10</v>
      </c>
      <c r="AN28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13:04:50"},{"id":29,"name":"Sharepoint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660</v>
      </c>
      <c r="B29" s="7">
        <v>4062</v>
      </c>
      <c r="C29" s="21" t="s">
        <v>204</v>
      </c>
      <c r="D29" s="21" t="s">
        <v>368</v>
      </c>
      <c r="E29" s="13">
        <v>42896.236203703702</v>
      </c>
      <c r="F29" s="13">
        <v>42896.239768518521</v>
      </c>
      <c r="G29" s="7">
        <v>1</v>
      </c>
      <c r="H29" s="21" t="s">
        <v>564</v>
      </c>
      <c r="I29" s="13">
        <v>42896.265289351853</v>
      </c>
      <c r="J29" s="7">
        <v>0</v>
      </c>
      <c r="K29" s="92" t="str">
        <f t="shared" si="0"/>
        <v>4061/4062</v>
      </c>
      <c r="L29" s="21" t="str">
        <f>VLOOKUP(A29,'Trips&amp;Operators'!$C$1:$G$99999,5,FALSE)</f>
        <v>GUZMAN DANNY</v>
      </c>
      <c r="M29" s="6">
        <f t="shared" si="1"/>
        <v>2.5520833332848269E-2</v>
      </c>
      <c r="N29" s="7">
        <f t="shared" si="36"/>
        <v>36.749999999301508</v>
      </c>
      <c r="O29" s="7"/>
      <c r="P29" s="7"/>
      <c r="Q29" s="22"/>
      <c r="R29" s="173"/>
      <c r="S29" s="176">
        <f t="shared" si="2"/>
        <v>1</v>
      </c>
      <c r="T29" s="202" t="str">
        <f t="shared" si="3"/>
        <v>NorthBound</v>
      </c>
      <c r="U29" s="202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03" t="str">
        <f t="shared" si="4"/>
        <v>https://d0f6bd738d7f1b3e5a7ca70fe4ff75f0.us-east-1.aws.found.io/app/kibana#/discover/Steve-Slow-Train-Analysis-(2080s-and-2083s)?_g=(refreshInterval:(display:Off,pause:!f,section:0,value:0),time:(from:'2017-06-10T04:40:08-0600',mode:absolute,to:'2017-06-10T07:22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9" s="204" t="str">
        <f t="shared" si="5"/>
        <v>N</v>
      </c>
      <c r="X29" s="204">
        <f t="shared" si="6"/>
        <v>1</v>
      </c>
      <c r="Y29" s="204">
        <f t="shared" si="7"/>
        <v>4.5499999999999999E-2</v>
      </c>
      <c r="Z29" s="204">
        <f t="shared" si="8"/>
        <v>23.333100000000002</v>
      </c>
      <c r="AA29" s="204">
        <f t="shared" si="9"/>
        <v>23.287600000000001</v>
      </c>
      <c r="AB29" s="57" t="e">
        <f>VLOOKUP(A29,Enforcements!$C$7:$K$13,8,0)</f>
        <v>#N/A</v>
      </c>
      <c r="AC29" s="53" t="e">
        <f>VLOOKUP(A29,Enforcements!$C$7:$E$13,3,0)</f>
        <v>#N/A</v>
      </c>
      <c r="AD29" s="54" t="str">
        <f t="shared" si="10"/>
        <v>0117-10</v>
      </c>
      <c r="AE29" s="80" t="str">
        <f t="shared" si="11"/>
        <v>aws s3 cp s3://rtdc.mdm.uploadarchive.raw/RTDC4062/ "%USERPROFILE%\AppData\Local\Temp\OnboardLogs"\RTDC4062\2017-06-10 --exclude "*" --recursive --include "*20170610*" &amp; "%USERPROFILE%\Documents\GitHub\mrs-test-scripts\Headless Mode &amp; Sideloading\WalkAndUnGZ.bat" "%USERPROFILE%\AppData\Local\Temp\OnboardLogs"\RTDC4062\2017-06-10 &amp; aws s3 cp s3://rtdc.mdm.uploadarchive.raw/RTDC4062/ "%USERPROFILE%\AppData\Local\Temp\OnboardLogs"\RTDC4062\2017-06-11 --exclude "*" --recursive --include "*20170611*" &amp; "%USERPROFILE%\Documents\GitHub\mrs-test-scripts\Headless Mode &amp; Sideloading\WalkAndUnGZ.bat" "%USERPROFILE%\AppData\Local\Temp\OnboardLogs"\RTDC4062\2017-06-11</v>
      </c>
      <c r="AF29" s="77" t="str">
        <f t="shared" si="12"/>
        <v>"C:\Program Files (x86)\AstroGrep\AstroGrep.exe" /e /r /s /spath="%USERPROFILE%\AppData\Local\Temp\OnboardLogs" /stypes="app*4062*20170610*" /stext=" 12:.+((SYSTEM_STATE.+slice.+state.+changed )|(ment ac)|(multiple cpu faults)|(system.+state.+changed )|(\[timeout)|(PRM\|1\|D)|(kpr)|(kdp)|(train st.+moving)|(\|lc)|(penalty))"</v>
      </c>
      <c r="AG29" s="1" t="str">
        <f t="shared" si="13"/>
        <v>EC</v>
      </c>
      <c r="AH29" s="81" t="str">
        <f t="shared" si="37"/>
        <v>"%USERPROFILE%\Documents\GitHub\eaglep3\Utilities\RefineRTDCRunTimes.py" --tripid 117-10 --locoid 4062 --swversion DE.1.0.9.0 --startMP 204:455 --initTime 2017-06-10T05:40:08 --startdatetime 2017-06-10T05:45:16 --delay 1 --endMP 204:233331 --enddatetime 2017-06-10T06:22:01 --enforcementcount 0 &gt;&gt;C:\Users\stu\Documents\GitHub\eaglep3-reporting\EC\2017-06-10-refined-times.txt</v>
      </c>
      <c r="AI29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{"issue":{"subject":"","project_id":79,"tracker_id":40,"status_id":1,"priority_id":2,"assigned_to_id":23,"start_date":"2017-06-10","description":"","custom_fields":[{"id":1,"name":"Subdivision","value":"EC"},{"id":4,"name":"Milepost","value":"23.3331"},{"id":17,"name":"Train ID","value":"117-10"},{"id":16,"name":"Locomotive ID","value":"4062"},{"id":130,"name":"Impact","value":""},{"id":150,"name":"Time of Event (Mountain Time)","value":"06:22:01"},{"id":151,"name":"Denver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5" t="str">
        <f t="shared" si="39"/>
        <v>start /low /b %USERPROFILE%\Documents\GitHub\eaglep3\Utilities\DownloadLogsFromS3.py --loco 4062 --day 2017-06-10</v>
      </c>
      <c r="AN29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12:22:01"},{"id":29,"name":"Sharepoint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670</v>
      </c>
      <c r="B30" s="7">
        <v>4061</v>
      </c>
      <c r="C30" s="21" t="s">
        <v>204</v>
      </c>
      <c r="D30" s="21" t="s">
        <v>501</v>
      </c>
      <c r="E30" s="13">
        <v>42896.267407407409</v>
      </c>
      <c r="F30" s="13">
        <v>42896.279328703706</v>
      </c>
      <c r="G30" s="7">
        <v>1</v>
      </c>
      <c r="H30" s="21" t="s">
        <v>363</v>
      </c>
      <c r="I30" s="13">
        <v>42896.306041666663</v>
      </c>
      <c r="J30" s="7">
        <v>0</v>
      </c>
      <c r="K30" s="92" t="str">
        <f t="shared" si="0"/>
        <v>4061/4062</v>
      </c>
      <c r="L30" s="21" t="str">
        <f>VLOOKUP(A30,'Trips&amp;Operators'!$C$1:$G$99999,5,FALSE)</f>
        <v>GUZMAN DANNY</v>
      </c>
      <c r="M30" s="6">
        <f t="shared" si="1"/>
        <v>2.6712962957390118E-2</v>
      </c>
      <c r="N30" s="7">
        <f t="shared" si="36"/>
        <v>38.46666665864177</v>
      </c>
      <c r="O30" s="7"/>
      <c r="P30" s="7"/>
      <c r="Q30" s="22"/>
      <c r="R30" s="173"/>
      <c r="S30" s="176">
        <f t="shared" si="2"/>
        <v>1</v>
      </c>
      <c r="T30" s="202" t="str">
        <f t="shared" si="3"/>
        <v>Southbound</v>
      </c>
      <c r="U30" s="202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03" t="str">
        <f t="shared" si="4"/>
        <v>https://d0f6bd738d7f1b3e5a7ca70fe4ff75f0.us-east-1.aws.found.io/app/kibana#/discover/Steve-Slow-Train-Analysis-(2080s-and-2083s)?_g=(refreshInterval:(display:Off,pause:!f,section:0,value:0),time:(from:'2017-06-10T05:25:04-0600',mode:absolute,to:'2017-06-10T08:20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30" s="204" t="str">
        <f t="shared" si="5"/>
        <v>N</v>
      </c>
      <c r="X30" s="204">
        <f t="shared" si="6"/>
        <v>1</v>
      </c>
      <c r="Y30" s="204">
        <f t="shared" si="7"/>
        <v>23.3</v>
      </c>
      <c r="Z30" s="204">
        <f t="shared" si="8"/>
        <v>1.41E-2</v>
      </c>
      <c r="AA30" s="204">
        <f t="shared" si="9"/>
        <v>23.285900000000002</v>
      </c>
      <c r="AB30" s="57" t="e">
        <f>VLOOKUP(A30,Enforcements!$C$7:$K$13,8,0)</f>
        <v>#N/A</v>
      </c>
      <c r="AC30" s="53" t="e">
        <f>VLOOKUP(A30,Enforcements!$C$7:$E$13,3,0)</f>
        <v>#N/A</v>
      </c>
      <c r="AD30" s="54" t="str">
        <f t="shared" si="10"/>
        <v>0118-10</v>
      </c>
      <c r="AE30" s="80" t="str">
        <f t="shared" si="11"/>
        <v>aws s3 cp s3://rtdc.mdm.uploadarchive.raw/RTDC4061/ "%USERPROFILE%\AppData\Local\Temp\OnboardLogs"\RTDC4061\2017-06-10 --exclude "*" --recursive --include "*20170610*" &amp; "%USERPROFILE%\Documents\GitHub\mrs-test-scripts\Headless Mode &amp; Sideloading\WalkAndUnGZ.bat" "%USERPROFILE%\AppData\Local\Temp\OnboardLogs"\RTDC4061\2017-06-10 &amp; aws s3 cp s3://rtdc.mdm.uploadarchive.raw/RTDC4061/ "%USERPROFILE%\AppData\Local\Temp\OnboardLogs"\RTDC4061\2017-06-11 --exclude "*" --recursive --include "*20170611*" &amp; "%USERPROFILE%\Documents\GitHub\mrs-test-scripts\Headless Mode &amp; Sideloading\WalkAndUnGZ.bat" "%USERPROFILE%\AppData\Local\Temp\OnboardLogs"\RTDC4061\2017-06-11</v>
      </c>
      <c r="AF30" s="77" t="str">
        <f t="shared" si="12"/>
        <v>"C:\Program Files (x86)\AstroGrep\AstroGrep.exe" /e /r /s /spath="%USERPROFILE%\AppData\Local\Temp\OnboardLogs" /stypes="app*4061*20170610*" /stext=" 13:.+((SYSTEM_STATE.+slice.+state.+changed )|(ment ac)|(multiple cpu faults)|(system.+state.+changed )|(\[timeout)|(PRM\|1\|D)|(kpr)|(kdp)|(train st.+moving)|(\|lc)|(penalty))"</v>
      </c>
      <c r="AG30" s="1" t="str">
        <f t="shared" si="13"/>
        <v>EC</v>
      </c>
      <c r="AH30" s="81" t="str">
        <f t="shared" si="37"/>
        <v>"%USERPROFILE%\Documents\GitHub\eaglep3\Utilities\RefineRTDCRunTimes.py" --tripid 118-10 --locoid 4061 --swversion DE.1.0.9.0 --startMP 204:233000 --initTime 2017-06-10T06:25:04 --startdatetime 2017-06-10T06:42:14 --delay 1 --endMP 204:141 --enddatetime 2017-06-10T07:20:42 --enforcementcount 0 &gt;&gt;C:\Users\stu\Documents\GitHub\eaglep3-reporting\EC\2017-06-10-refined-times.txt</v>
      </c>
      <c r="AI30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{"issue":{"subject":"","project_id":79,"tracker_id":40,"status_id":1,"priority_id":2,"assigned_to_id":23,"start_date":"2017-06-10","description":"","custom_fields":[{"id":1,"name":"Subdivision","value":"EC"},{"id":4,"name":"Milepost","value":"0.0141"},{"id":17,"name":"Train ID","value":"118-10"},{"id":16,"name":"Locomotive ID","value":"4061"},{"id":130,"name":"Impact","value":""},{"id":150,"name":"Time of Event (Mountain Time)","value":"07:20:42"},{"id":151,"name":"Denver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5" t="str">
        <f t="shared" si="39"/>
        <v>start /low /b %USERPROFILE%\Documents\GitHub\eaglep3\Utilities\DownloadLogsFromS3.py --loco 4061 --day 2017-06-10</v>
      </c>
      <c r="AN30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13:20:42"},{"id":29,"name":"Sharepoint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662</v>
      </c>
      <c r="B31" s="7">
        <v>4002</v>
      </c>
      <c r="C31" s="21" t="s">
        <v>204</v>
      </c>
      <c r="D31" s="21" t="s">
        <v>200</v>
      </c>
      <c r="E31" s="13">
        <v>42896.246724537035</v>
      </c>
      <c r="F31" s="13">
        <v>42896.250162037039</v>
      </c>
      <c r="G31" s="7">
        <v>1</v>
      </c>
      <c r="H31" s="21" t="s">
        <v>495</v>
      </c>
      <c r="I31" s="13">
        <v>42896.276250000003</v>
      </c>
      <c r="J31" s="7">
        <v>0</v>
      </c>
      <c r="K31" s="92" t="str">
        <f t="shared" si="0"/>
        <v>4001/4002</v>
      </c>
      <c r="L31" s="21" t="str">
        <f>VLOOKUP(A31,'Trips&amp;Operators'!$C$1:$G$99999,5,FALSE)</f>
        <v>DAVIS WENDY</v>
      </c>
      <c r="M31" s="6">
        <f t="shared" si="1"/>
        <v>2.6087962964083999E-2</v>
      </c>
      <c r="N31" s="7">
        <f t="shared" si="36"/>
        <v>37.566666668280959</v>
      </c>
      <c r="O31" s="7"/>
      <c r="P31" s="7"/>
      <c r="Q31" s="22"/>
      <c r="R31" s="173"/>
      <c r="S31" s="176">
        <f t="shared" si="2"/>
        <v>1</v>
      </c>
      <c r="T31" s="202" t="str">
        <f t="shared" si="3"/>
        <v>NorthBound</v>
      </c>
      <c r="U31" s="202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03" t="str">
        <f t="shared" si="4"/>
        <v>https://d0f6bd738d7f1b3e5a7ca70fe4ff75f0.us-east-1.aws.found.io/app/kibana#/discover/Steve-Slow-Train-Analysis-(2080s-and-2083s)?_g=(refreshInterval:(display:Off,pause:!f,section:0,value:0),time:(from:'2017-06-10T04:55:17-0600',mode:absolute,to:'2017-06-10T07:37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31" s="204" t="str">
        <f t="shared" si="5"/>
        <v>N</v>
      </c>
      <c r="X31" s="204">
        <f t="shared" si="6"/>
        <v>1</v>
      </c>
      <c r="Y31" s="204">
        <f t="shared" si="7"/>
        <v>4.5699999999999998E-2</v>
      </c>
      <c r="Z31" s="204">
        <f t="shared" si="8"/>
        <v>23.330300000000001</v>
      </c>
      <c r="AA31" s="204">
        <f t="shared" si="9"/>
        <v>23.284600000000001</v>
      </c>
      <c r="AB31" s="57" t="e">
        <f>VLOOKUP(A31,Enforcements!$C$7:$K$13,8,0)</f>
        <v>#N/A</v>
      </c>
      <c r="AC31" s="53" t="e">
        <f>VLOOKUP(A31,Enforcements!$C$7:$E$13,3,0)</f>
        <v>#N/A</v>
      </c>
      <c r="AD31" s="54" t="str">
        <f t="shared" si="10"/>
        <v>0119-10</v>
      </c>
      <c r="AE31" s="80" t="str">
        <f t="shared" si="11"/>
        <v>aws s3 cp s3://rtdc.mdm.uploadarchive.raw/RTDC4002/ "%USERPROFILE%\AppData\Local\Temp\OnboardLogs"\RTDC4002\2017-06-10 --exclude "*" --recursive --include "*20170610*" &amp; "%USERPROFILE%\Documents\GitHub\mrs-test-scripts\Headless Mode &amp; Sideloading\WalkAndUnGZ.bat" "%USERPROFILE%\AppData\Local\Temp\OnboardLogs"\RTDC4002\2017-06-10 &amp; aws s3 cp s3://rtdc.mdm.uploadarchive.raw/RTDC4002/ "%USERPROFILE%\AppData\Local\Temp\OnboardLogs"\RTDC4002\2017-06-11 --exclude "*" --recursive --include "*20170611*" &amp; "%USERPROFILE%\Documents\GitHub\mrs-test-scripts\Headless Mode &amp; Sideloading\WalkAndUnGZ.bat" "%USERPROFILE%\AppData\Local\Temp\OnboardLogs"\RTDC4002\2017-06-11</v>
      </c>
      <c r="AF31" s="77" t="str">
        <f t="shared" si="12"/>
        <v>"C:\Program Files (x86)\AstroGrep\AstroGrep.exe" /e /r /s /spath="%USERPROFILE%\AppData\Local\Temp\OnboardLogs" /stypes="app*4002*20170610*" /stext=" 12:.+((SYSTEM_STATE.+slice.+state.+changed )|(ment ac)|(multiple cpu faults)|(system.+state.+changed )|(\[timeout)|(PRM\|1\|D)|(kpr)|(kdp)|(train st.+moving)|(\|lc)|(penalty))"</v>
      </c>
      <c r="AG31" s="1" t="str">
        <f t="shared" si="13"/>
        <v>EC</v>
      </c>
      <c r="AH31" s="81" t="str">
        <f t="shared" si="37"/>
        <v>"%USERPROFILE%\Documents\GitHub\eaglep3\Utilities\RefineRTDCRunTimes.py" --tripid 119-10 --locoid 4002 --swversion DE.1.0.9.0 --startMP 204:457 --initTime 2017-06-10T05:55:17 --startdatetime 2017-06-10T06:00:14 --delay 1 --endMP 204:233303 --enddatetime 2017-06-10T06:37:48 --enforcementcount 0 &gt;&gt;C:\Users\stu\Documents\GitHub\eaglep3-reporting\EC\2017-06-10-refined-times.txt</v>
      </c>
      <c r="AI31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{"issue":{"subject":"","project_id":79,"tracker_id":40,"status_id":1,"priority_id":2,"assigned_to_id":23,"start_date":"2017-06-10","description":"","custom_fields":[{"id":1,"name":"Subdivision","value":"EC"},{"id":4,"name":"Milepost","value":"23.3303"},{"id":17,"name":"Train ID","value":"119-10"},{"id":16,"name":"Locomotive ID","value":"4002"},{"id":130,"name":"Impact","value":""},{"id":150,"name":"Time of Event (Mountain Time)","value":"06:37:48"},{"id":151,"name":"Denver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5" t="str">
        <f t="shared" si="39"/>
        <v>start /low /b %USERPROFILE%\Documents\GitHub\eaglep3\Utilities\DownloadLogsFromS3.py --loco 4002 --day 2017-06-10</v>
      </c>
      <c r="AN31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12:37:48"},{"id":29,"name":"Sharepoint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677</v>
      </c>
      <c r="B32" s="7">
        <v>4001</v>
      </c>
      <c r="C32" s="21" t="s">
        <v>204</v>
      </c>
      <c r="D32" s="21" t="s">
        <v>430</v>
      </c>
      <c r="E32" s="13">
        <v>42896.287303240744</v>
      </c>
      <c r="F32" s="13">
        <v>42896.28974537037</v>
      </c>
      <c r="G32" s="7">
        <v>1</v>
      </c>
      <c r="H32" s="21" t="s">
        <v>195</v>
      </c>
      <c r="I32" s="13">
        <v>42896.316701388889</v>
      </c>
      <c r="J32" s="7">
        <v>0</v>
      </c>
      <c r="K32" s="92" t="str">
        <f t="shared" si="0"/>
        <v>4001/4002</v>
      </c>
      <c r="L32" s="21" t="str">
        <f>VLOOKUP(A32,'Trips&amp;Operators'!$C$1:$G$99999,5,FALSE)</f>
        <v>DAVIS WENDY</v>
      </c>
      <c r="M32" s="6">
        <f t="shared" si="1"/>
        <v>2.6956018518831115E-2</v>
      </c>
      <c r="N32" s="7">
        <f t="shared" si="36"/>
        <v>38.816666667116806</v>
      </c>
      <c r="O32" s="7"/>
      <c r="P32" s="7"/>
      <c r="Q32" s="22"/>
      <c r="R32" s="173"/>
      <c r="S32" s="176">
        <f t="shared" si="2"/>
        <v>1</v>
      </c>
      <c r="T32" s="202" t="str">
        <f t="shared" si="3"/>
        <v>Southbound</v>
      </c>
      <c r="U32" s="202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03" t="str">
        <f t="shared" si="4"/>
        <v>https://d0f6bd738d7f1b3e5a7ca70fe4ff75f0.us-east-1.aws.found.io/app/kibana#/discover/Steve-Slow-Train-Analysis-(2080s-and-2083s)?_g=(refreshInterval:(display:Off,pause:!f,section:0,value:0),time:(from:'2017-06-10T05:53:43-0600',mode:absolute,to:'2017-06-10T08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2" s="204" t="str">
        <f t="shared" si="5"/>
        <v>N</v>
      </c>
      <c r="X32" s="204">
        <f t="shared" si="6"/>
        <v>1</v>
      </c>
      <c r="Y32" s="204">
        <f t="shared" si="7"/>
        <v>23.297699999999999</v>
      </c>
      <c r="Z32" s="204">
        <f t="shared" si="8"/>
        <v>1.52E-2</v>
      </c>
      <c r="AA32" s="204">
        <f t="shared" si="9"/>
        <v>23.282499999999999</v>
      </c>
      <c r="AB32" s="57" t="e">
        <f>VLOOKUP(A32,Enforcements!$C$7:$K$13,8,0)</f>
        <v>#N/A</v>
      </c>
      <c r="AC32" s="53" t="e">
        <f>VLOOKUP(A32,Enforcements!$C$7:$E$13,3,0)</f>
        <v>#N/A</v>
      </c>
      <c r="AD32" s="54" t="str">
        <f t="shared" si="10"/>
        <v>0120-10</v>
      </c>
      <c r="AE32" s="80" t="str">
        <f t="shared" si="11"/>
        <v>aws s3 cp s3://rtdc.mdm.uploadarchive.raw/RTDC4001/ "%USERPROFILE%\AppData\Local\Temp\OnboardLogs"\RTDC4001\2017-06-10 --exclude "*" --recursive --include "*20170610*" &amp; "%USERPROFILE%\Documents\GitHub\mrs-test-scripts\Headless Mode &amp; Sideloading\WalkAndUnGZ.bat" "%USERPROFILE%\AppData\Local\Temp\OnboardLogs"\RTDC4001\2017-06-10 &amp; aws s3 cp s3://rtdc.mdm.uploadarchive.raw/RTDC4001/ "%USERPROFILE%\AppData\Local\Temp\OnboardLogs"\RTDC4001\2017-06-11 --exclude "*" --recursive --include "*20170611*" &amp; "%USERPROFILE%\Documents\GitHub\mrs-test-scripts\Headless Mode &amp; Sideloading\WalkAndUnGZ.bat" "%USERPROFILE%\AppData\Local\Temp\OnboardLogs"\RTDC4001\2017-06-11</v>
      </c>
      <c r="AF32" s="77" t="str">
        <f t="shared" si="12"/>
        <v>"C:\Program Files (x86)\AstroGrep\AstroGrep.exe" /e /r /s /spath="%USERPROFILE%\AppData\Local\Temp\OnboardLogs" /stypes="app*4001*20170610*" /stext=" 13:.+((SYSTEM_STATE.+slice.+state.+changed )|(ment ac)|(multiple cpu faults)|(system.+state.+changed )|(\[timeout)|(PRM\|1\|D)|(kpr)|(kdp)|(train st.+moving)|(\|lc)|(penalty))"</v>
      </c>
      <c r="AG32" s="1" t="str">
        <f t="shared" si="13"/>
        <v>EC</v>
      </c>
      <c r="AH32" s="81" t="str">
        <f t="shared" si="37"/>
        <v>"%USERPROFILE%\Documents\GitHub\eaglep3\Utilities\RefineRTDCRunTimes.py" --tripid 120-10 --locoid 4001 --swversion DE.1.0.9.0 --startMP 204:232977 --initTime 2017-06-10T06:53:43 --startdatetime 2017-06-10T06:57:14 --delay 1 --endMP 204:152 --enddatetime 2017-06-10T07:36:03 --enforcementcount 0 &gt;&gt;C:\Users\stu\Documents\GitHub\eaglep3-reporting\EC\2017-06-10-refined-times.txt</v>
      </c>
      <c r="AI32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{"issue":{"subject":"","project_id":79,"tracker_id":40,"status_id":1,"priority_id":2,"assigned_to_id":23,"start_date":"2017-06-10","description":"","custom_fields":[{"id":1,"name":"Subdivision","value":"EC"},{"id":4,"name":"Milepost","value":"0.0152"},{"id":17,"name":"Train ID","value":"120-10"},{"id":16,"name":"Locomotive ID","value":"4001"},{"id":130,"name":"Impact","value":""},{"id":150,"name":"Time of Event (Mountain Time)","value":"07:36:03"},{"id":151,"name":"Denver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5" t="str">
        <f t="shared" si="39"/>
        <v>start /low /b %USERPROFILE%\Documents\GitHub\eaglep3\Utilities\DownloadLogsFromS3.py --loco 4001 --day 2017-06-10</v>
      </c>
      <c r="AN32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13:36:03"},{"id":29,"name":"Sharepoint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666</v>
      </c>
      <c r="B33" s="7">
        <v>4028</v>
      </c>
      <c r="C33" s="21" t="s">
        <v>204</v>
      </c>
      <c r="D33" s="21" t="s">
        <v>351</v>
      </c>
      <c r="E33" s="13">
        <v>42896.256956018522</v>
      </c>
      <c r="F33" s="13">
        <v>42896.260694444441</v>
      </c>
      <c r="G33" s="7">
        <v>1</v>
      </c>
      <c r="H33" s="21" t="s">
        <v>517</v>
      </c>
      <c r="I33" s="13">
        <v>42896.285393518519</v>
      </c>
      <c r="J33" s="7">
        <v>0</v>
      </c>
      <c r="K33" s="92" t="str">
        <f t="shared" si="0"/>
        <v>4027/4028</v>
      </c>
      <c r="L33" s="21" t="str">
        <f>VLOOKUP(A33,'Trips&amp;Operators'!$C$1:$G$99999,5,FALSE)</f>
        <v>GEBRETEKLE DAGNEW</v>
      </c>
      <c r="M33" s="6">
        <f t="shared" si="1"/>
        <v>2.4699074077943806E-2</v>
      </c>
      <c r="N33" s="7">
        <f t="shared" si="36"/>
        <v>35.56666667223908</v>
      </c>
      <c r="O33" s="7"/>
      <c r="P33" s="7"/>
      <c r="Q33" s="22"/>
      <c r="R33" s="173"/>
      <c r="S33" s="176">
        <f t="shared" si="2"/>
        <v>1</v>
      </c>
      <c r="T33" s="202" t="str">
        <f t="shared" si="3"/>
        <v>NorthBound</v>
      </c>
      <c r="U33" s="202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03" t="str">
        <f t="shared" si="4"/>
        <v>https://d0f6bd738d7f1b3e5a7ca70fe4ff75f0.us-east-1.aws.found.io/app/kibana#/discover/Steve-Slow-Train-Analysis-(2080s-and-2083s)?_g=(refreshInterval:(display:Off,pause:!f,section:0,value:0),time:(from:'2017-06-10T05:10:01-0600',mode:absolute,to:'2017-06-10T07:50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3" s="204" t="str">
        <f t="shared" si="5"/>
        <v>N</v>
      </c>
      <c r="X33" s="204">
        <f t="shared" si="6"/>
        <v>1</v>
      </c>
      <c r="Y33" s="204">
        <f t="shared" si="7"/>
        <v>4.58E-2</v>
      </c>
      <c r="Z33" s="204">
        <f t="shared" si="8"/>
        <v>23.332699999999999</v>
      </c>
      <c r="AA33" s="204">
        <f t="shared" si="9"/>
        <v>23.286899999999999</v>
      </c>
      <c r="AB33" s="57" t="e">
        <f>VLOOKUP(A33,Enforcements!$C$7:$K$13,8,0)</f>
        <v>#N/A</v>
      </c>
      <c r="AC33" s="53" t="e">
        <f>VLOOKUP(A33,Enforcements!$C$7:$E$13,3,0)</f>
        <v>#N/A</v>
      </c>
      <c r="AD33" s="54" t="str">
        <f t="shared" si="10"/>
        <v>0121-10</v>
      </c>
      <c r="AE33" s="80" t="str">
        <f t="shared" si="11"/>
        <v>aws s3 cp s3://rtdc.mdm.uploadarchive.raw/RTDC4028/ "%USERPROFILE%\AppData\Local\Temp\OnboardLogs"\RTDC4028\2017-06-10 --exclude "*" --recursive --include "*20170610*" &amp; "%USERPROFILE%\Documents\GitHub\mrs-test-scripts\Headless Mode &amp; Sideloading\WalkAndUnGZ.bat" "%USERPROFILE%\AppData\Local\Temp\OnboardLogs"\RTDC4028\2017-06-10 &amp; aws s3 cp s3://rtdc.mdm.uploadarchive.raw/RTDC4028/ "%USERPROFILE%\AppData\Local\Temp\OnboardLogs"\RTDC4028\2017-06-11 --exclude "*" --recursive --include "*20170611*" &amp; "%USERPROFILE%\Documents\GitHub\mrs-test-scripts\Headless Mode &amp; Sideloading\WalkAndUnGZ.bat" "%USERPROFILE%\AppData\Local\Temp\OnboardLogs"\RTDC4028\2017-06-11</v>
      </c>
      <c r="AF33" s="77" t="str">
        <f t="shared" si="12"/>
        <v>"C:\Program Files (x86)\AstroGrep\AstroGrep.exe" /e /r /s /spath="%USERPROFILE%\AppData\Local\Temp\OnboardLogs" /stypes="app*4028*20170610*" /stext=" 12:.+((SYSTEM_STATE.+slice.+state.+changed )|(ment ac)|(multiple cpu faults)|(system.+state.+changed )|(\[timeout)|(PRM\|1\|D)|(kpr)|(kdp)|(train st.+moving)|(\|lc)|(penalty))"</v>
      </c>
      <c r="AG33" s="1" t="str">
        <f t="shared" si="13"/>
        <v>EC</v>
      </c>
      <c r="AH33" s="81" t="str">
        <f t="shared" si="37"/>
        <v>"%USERPROFILE%\Documents\GitHub\eaglep3\Utilities\RefineRTDCRunTimes.py" --tripid 121-10 --locoid 4028 --swversion DE.1.0.9.0 --startMP 204:458 --initTime 2017-06-10T06:10:01 --startdatetime 2017-06-10T06:15:24 --delay 1 --endMP 204:233327 --enddatetime 2017-06-10T06:50:58 --enforcementcount 0 &gt;&gt;C:\Users\stu\Documents\GitHub\eaglep3-reporting\EC\2017-06-10-refined-times.txt</v>
      </c>
      <c r="AI33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{"issue":{"subject":"","project_id":79,"tracker_id":40,"status_id":1,"priority_id":2,"assigned_to_id":23,"start_date":"2017-06-10","description":"","custom_fields":[{"id":1,"name":"Subdivision","value":"EC"},{"id":4,"name":"Milepost","value":"23.3327"},{"id":17,"name":"Train ID","value":"121-10"},{"id":16,"name":"Locomotive ID","value":"4028"},{"id":130,"name":"Impact","value":""},{"id":150,"name":"Time of Event (Mountain Time)","value":"06:50:58"},{"id":151,"name":"Denver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5" t="str">
        <f t="shared" si="39"/>
        <v>start /low /b %USERPROFILE%\Documents\GitHub\eaglep3\Utilities\DownloadLogsFromS3.py --loco 4028 --day 2017-06-10</v>
      </c>
      <c r="AN33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12:50:58"},{"id":29,"name":"Sharepoint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675</v>
      </c>
      <c r="B34" s="7">
        <v>4027</v>
      </c>
      <c r="C34" s="21" t="s">
        <v>204</v>
      </c>
      <c r="D34" s="21" t="s">
        <v>556</v>
      </c>
      <c r="E34" s="13">
        <v>42896.286851851852</v>
      </c>
      <c r="F34" s="13">
        <v>42896.300300925926</v>
      </c>
      <c r="G34" s="7">
        <v>1</v>
      </c>
      <c r="H34" s="21" t="s">
        <v>353</v>
      </c>
      <c r="I34" s="13">
        <v>42896.32607638889</v>
      </c>
      <c r="J34" s="7">
        <v>0</v>
      </c>
      <c r="K34" s="92" t="str">
        <f t="shared" si="0"/>
        <v>4027/4028</v>
      </c>
      <c r="L34" s="21" t="str">
        <f>VLOOKUP(A34,'Trips&amp;Operators'!$C$1:$G$99999,5,FALSE)</f>
        <v>GEBRETEKLE DAGNEW</v>
      </c>
      <c r="M34" s="6">
        <f t="shared" si="1"/>
        <v>2.5775462963792961E-2</v>
      </c>
      <c r="N34" s="7">
        <f t="shared" si="36"/>
        <v>37.116666667861864</v>
      </c>
      <c r="O34" s="7"/>
      <c r="P34" s="7"/>
      <c r="Q34" s="22"/>
      <c r="R34" s="173"/>
      <c r="S34" s="176">
        <f t="shared" si="2"/>
        <v>1</v>
      </c>
      <c r="T34" s="202" t="str">
        <f t="shared" si="3"/>
        <v>Southbound</v>
      </c>
      <c r="U34" s="202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03" t="str">
        <f t="shared" si="4"/>
        <v>https://d0f6bd738d7f1b3e5a7ca70fe4ff75f0.us-east-1.aws.found.io/app/kibana#/discover/Steve-Slow-Train-Analysis-(2080s-and-2083s)?_g=(refreshInterval:(display:Off,pause:!f,section:0,value:0),time:(from:'2017-06-10T05:53:04-0600',mode:absolute,to:'2017-06-10T08:49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4" s="204" t="str">
        <f t="shared" si="5"/>
        <v>N</v>
      </c>
      <c r="X34" s="204">
        <f t="shared" si="6"/>
        <v>1</v>
      </c>
      <c r="Y34" s="204">
        <f t="shared" si="7"/>
        <v>23.301300000000001</v>
      </c>
      <c r="Z34" s="204">
        <f t="shared" si="8"/>
        <v>1.49E-2</v>
      </c>
      <c r="AA34" s="204">
        <f t="shared" si="9"/>
        <v>23.2864</v>
      </c>
      <c r="AB34" s="57" t="e">
        <f>VLOOKUP(A34,Enforcements!$C$7:$K$13,8,0)</f>
        <v>#N/A</v>
      </c>
      <c r="AC34" s="53" t="e">
        <f>VLOOKUP(A34,Enforcements!$C$7:$E$13,3,0)</f>
        <v>#N/A</v>
      </c>
      <c r="AD34" s="54" t="str">
        <f t="shared" si="10"/>
        <v>0122-10</v>
      </c>
      <c r="AE34" s="80" t="str">
        <f t="shared" si="11"/>
        <v>aws s3 cp s3://rtdc.mdm.uploadarchive.raw/RTDC4027/ "%USERPROFILE%\AppData\Local\Temp\OnboardLogs"\RTDC4027\2017-06-10 --exclude "*" --recursive --include "*20170610*" &amp; "%USERPROFILE%\Documents\GitHub\mrs-test-scripts\Headless Mode &amp; Sideloading\WalkAndUnGZ.bat" "%USERPROFILE%\AppData\Local\Temp\OnboardLogs"\RTDC4027\2017-06-10 &amp; aws s3 cp s3://rtdc.mdm.uploadarchive.raw/RTDC4027/ "%USERPROFILE%\AppData\Local\Temp\OnboardLogs"\RTDC4027\2017-06-11 --exclude "*" --recursive --include "*20170611*" &amp; "%USERPROFILE%\Documents\GitHub\mrs-test-scripts\Headless Mode &amp; Sideloading\WalkAndUnGZ.bat" "%USERPROFILE%\AppData\Local\Temp\OnboardLogs"\RTDC4027\2017-06-11</v>
      </c>
      <c r="AF34" s="77" t="str">
        <f t="shared" si="12"/>
        <v>"C:\Program Files (x86)\AstroGrep\AstroGrep.exe" /e /r /s /spath="%USERPROFILE%\AppData\Local\Temp\OnboardLogs" /stypes="app*4027*20170610*" /stext=" 13:.+((SYSTEM_STATE.+slice.+state.+changed )|(ment ac)|(multiple cpu faults)|(system.+state.+changed )|(\[timeout)|(PRM\|1\|D)|(kpr)|(kdp)|(train st.+moving)|(\|lc)|(penalty))"</v>
      </c>
      <c r="AG34" s="1" t="str">
        <f t="shared" si="13"/>
        <v>EC</v>
      </c>
      <c r="AH34" s="81" t="str">
        <f t="shared" si="37"/>
        <v>"%USERPROFILE%\Documents\GitHub\eaglep3\Utilities\RefineRTDCRunTimes.py" --tripid 122-10 --locoid 4027 --swversion DE.1.0.9.0 --startMP 204:233013 --initTime 2017-06-10T06:53:04 --startdatetime 2017-06-10T07:12:26 --delay 1 --endMP 204:149 --enddatetime 2017-06-10T07:49:33 --enforcementcount 0 &gt;&gt;C:\Users\stu\Documents\GitHub\eaglep3-reporting\EC\2017-06-10-refined-times.txt</v>
      </c>
      <c r="AI34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{"issue":{"subject":"","project_id":79,"tracker_id":40,"status_id":1,"priority_id":2,"assigned_to_id":23,"start_date":"2017-06-10","description":"","custom_fields":[{"id":1,"name":"Subdivision","value":"EC"},{"id":4,"name":"Milepost","value":"0.0149"},{"id":17,"name":"Train ID","value":"122-10"},{"id":16,"name":"Locomotive ID","value":"4027"},{"id":130,"name":"Impact","value":""},{"id":150,"name":"Time of Event (Mountain Time)","value":"07:49:33"},{"id":151,"name":"Denver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5" t="str">
        <f t="shared" si="39"/>
        <v>start /low /b %USERPROFILE%\Documents\GitHub\eaglep3\Utilities\DownloadLogsFromS3.py --loco 4027 --day 2017-06-10</v>
      </c>
      <c r="AN34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13:49:33"},{"id":29,"name":"Sharepoint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668</v>
      </c>
      <c r="B35" s="7">
        <v>4032</v>
      </c>
      <c r="C35" s="21" t="s">
        <v>204</v>
      </c>
      <c r="D35" s="21" t="s">
        <v>356</v>
      </c>
      <c r="E35" s="13">
        <v>42896.264803240738</v>
      </c>
      <c r="F35" s="13">
        <v>42896.271041666667</v>
      </c>
      <c r="G35" s="7">
        <v>1</v>
      </c>
      <c r="H35" s="21" t="s">
        <v>832</v>
      </c>
      <c r="I35" s="13">
        <v>42896.295092592591</v>
      </c>
      <c r="J35" s="7">
        <v>0</v>
      </c>
      <c r="K35" s="92" t="str">
        <f t="shared" si="0"/>
        <v>4031/4032</v>
      </c>
      <c r="L35" s="21" t="str">
        <f>VLOOKUP(A35,'Trips&amp;Operators'!$C$1:$G$99999,5,FALSE)</f>
        <v>LALONDE GREGORY</v>
      </c>
      <c r="M35" s="6">
        <f t="shared" si="1"/>
        <v>2.4050925923802424E-2</v>
      </c>
      <c r="N35" s="7">
        <f t="shared" si="36"/>
        <v>34.633333330275491</v>
      </c>
      <c r="O35" s="7"/>
      <c r="P35" s="7"/>
      <c r="Q35" s="22"/>
      <c r="R35" s="173"/>
      <c r="S35" s="176">
        <f t="shared" si="2"/>
        <v>1</v>
      </c>
      <c r="T35" s="202" t="str">
        <f t="shared" si="3"/>
        <v>NorthBound</v>
      </c>
      <c r="U35" s="202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03" t="str">
        <f t="shared" si="4"/>
        <v>https://d0f6bd738d7f1b3e5a7ca70fe4ff75f0.us-east-1.aws.found.io/app/kibana#/discover/Steve-Slow-Train-Analysis-(2080s-and-2083s)?_g=(refreshInterval:(display:Off,pause:!f,section:0,value:0),time:(from:'2017-06-10T05:21:19-0600',mode:absolute,to:'2017-06-10T08:04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5" s="204" t="str">
        <f t="shared" si="5"/>
        <v>N</v>
      </c>
      <c r="X35" s="204">
        <f t="shared" si="6"/>
        <v>1</v>
      </c>
      <c r="Y35" s="204">
        <f t="shared" si="7"/>
        <v>4.5100000000000001E-2</v>
      </c>
      <c r="Z35" s="204">
        <f t="shared" si="8"/>
        <v>23.334299999999999</v>
      </c>
      <c r="AA35" s="204">
        <f t="shared" si="9"/>
        <v>23.289199999999997</v>
      </c>
      <c r="AB35" s="57" t="e">
        <f>VLOOKUP(A35,Enforcements!$C$7:$K$13,8,0)</f>
        <v>#N/A</v>
      </c>
      <c r="AC35" s="53" t="e">
        <f>VLOOKUP(A35,Enforcements!$C$7:$E$13,3,0)</f>
        <v>#N/A</v>
      </c>
      <c r="AD35" s="54" t="str">
        <f t="shared" si="10"/>
        <v>0123-10</v>
      </c>
      <c r="AE35" s="80" t="str">
        <f t="shared" si="11"/>
        <v>aws s3 cp s3://rtdc.mdm.uploadarchive.raw/RTDC4032/ "%USERPROFILE%\AppData\Local\Temp\OnboardLogs"\RTDC4032\2017-06-10 --exclude "*" --recursive --include "*20170610*" &amp; "%USERPROFILE%\Documents\GitHub\mrs-test-scripts\Headless Mode &amp; Sideloading\WalkAndUnGZ.bat" "%USERPROFILE%\AppData\Local\Temp\OnboardLogs"\RTDC4032\2017-06-10 &amp; aws s3 cp s3://rtdc.mdm.uploadarchive.raw/RTDC4032/ "%USERPROFILE%\AppData\Local\Temp\OnboardLogs"\RTDC4032\2017-06-11 --exclude "*" --recursive --include "*20170611*" &amp; "%USERPROFILE%\Documents\GitHub\mrs-test-scripts\Headless Mode &amp; Sideloading\WalkAndUnGZ.bat" "%USERPROFILE%\AppData\Local\Temp\OnboardLogs"\RTDC4032\2017-06-11</v>
      </c>
      <c r="AF35" s="77" t="str">
        <f t="shared" si="12"/>
        <v>"C:\Program Files (x86)\AstroGrep\AstroGrep.exe" /e /r /s /spath="%USERPROFILE%\AppData\Local\Temp\OnboardLogs" /stypes="app*4032*20170610*" /stext=" 13:.+((SYSTEM_STATE.+slice.+state.+changed )|(ment ac)|(multiple cpu faults)|(system.+state.+changed )|(\[timeout)|(PRM\|1\|D)|(kpr)|(kdp)|(train st.+moving)|(\|lc)|(penalty))"</v>
      </c>
      <c r="AG35" s="1" t="str">
        <f t="shared" si="13"/>
        <v>EC</v>
      </c>
      <c r="AH35" s="81" t="str">
        <f t="shared" si="37"/>
        <v>"%USERPROFILE%\Documents\GitHub\eaglep3\Utilities\RefineRTDCRunTimes.py" --tripid 123-10 --locoid 4032 --swversion DE.1.0.9.0 --startMP 204:451 --initTime 2017-06-10T06:21:19 --startdatetime 2017-06-10T06:30:18 --delay 1 --endMP 204:233343 --enddatetime 2017-06-10T07:04:56 --enforcementcount 0 &gt;&gt;C:\Users\stu\Documents\GitHub\eaglep3-reporting\EC\2017-06-10-refined-times.txt</v>
      </c>
      <c r="AI35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{"issue":{"subject":"","project_id":79,"tracker_id":40,"status_id":1,"priority_id":2,"assigned_to_id":23,"start_date":"2017-06-10","description":"","custom_fields":[{"id":1,"name":"Subdivision","value":"EC"},{"id":4,"name":"Milepost","value":"23.3343"},{"id":17,"name":"Train ID","value":"123-10"},{"id":16,"name":"Locomotive ID","value":"4032"},{"id":130,"name":"Impact","value":""},{"id":150,"name":"Time of Event (Mountain Time)","value":"07:04:56"},{"id":151,"name":"Denver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5" t="str">
        <f t="shared" si="39"/>
        <v>start /low /b %USERPROFILE%\Documents\GitHub\eaglep3\Utilities\DownloadLogsFromS3.py --loco 4032 --day 2017-06-10</v>
      </c>
      <c r="AN35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13:04:56"},{"id":29,"name":"Sharepoint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679</v>
      </c>
      <c r="B36" s="7">
        <v>4031</v>
      </c>
      <c r="C36" s="21" t="s">
        <v>204</v>
      </c>
      <c r="D36" s="21" t="s">
        <v>833</v>
      </c>
      <c r="E36" s="13">
        <v>42896.296840277777</v>
      </c>
      <c r="F36" s="13">
        <v>42896.310694444444</v>
      </c>
      <c r="G36" s="7">
        <v>0</v>
      </c>
      <c r="H36" s="21" t="s">
        <v>401</v>
      </c>
      <c r="I36" s="13">
        <v>42896.336226851854</v>
      </c>
      <c r="J36" s="7">
        <v>0</v>
      </c>
      <c r="K36" s="92" t="str">
        <f t="shared" si="0"/>
        <v>4031/4032</v>
      </c>
      <c r="L36" s="21" t="str">
        <f>VLOOKUP(A36,'Trips&amp;Operators'!$C$1:$G$99999,5,FALSE)</f>
        <v>LALONDE GREGORY</v>
      </c>
      <c r="M36" s="6">
        <f t="shared" si="1"/>
        <v>2.5532407409627922E-2</v>
      </c>
      <c r="N36" s="7">
        <f t="shared" si="36"/>
        <v>36.766666669864208</v>
      </c>
      <c r="O36" s="7"/>
      <c r="P36" s="7"/>
      <c r="Q36" s="22"/>
      <c r="R36" s="173"/>
      <c r="S36" s="176">
        <f t="shared" si="2"/>
        <v>1</v>
      </c>
      <c r="T36" s="202" t="str">
        <f t="shared" si="3"/>
        <v>Southbound</v>
      </c>
      <c r="U36" s="202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03" t="str">
        <f t="shared" si="4"/>
        <v>https://d0f6bd738d7f1b3e5a7ca70fe4ff75f0.us-east-1.aws.found.io/app/kibana#/discover/Steve-Slow-Train-Analysis-(2080s-and-2083s)?_g=(refreshInterval:(display:Off,pause:!f,section:0,value:0),time:(from:'2017-06-10T06:07:27-0600',mode:absolute,to:'2017-06-10T09:04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6" s="204" t="str">
        <f t="shared" si="5"/>
        <v>N</v>
      </c>
      <c r="X36" s="204">
        <f t="shared" si="6"/>
        <v>1</v>
      </c>
      <c r="Y36" s="204">
        <f t="shared" si="7"/>
        <v>23.3019</v>
      </c>
      <c r="Z36" s="204">
        <f t="shared" si="8"/>
        <v>1.54E-2</v>
      </c>
      <c r="AA36" s="204">
        <f t="shared" si="9"/>
        <v>23.2865</v>
      </c>
      <c r="AB36" s="57" t="e">
        <f>VLOOKUP(A36,Enforcements!$C$7:$K$13,8,0)</f>
        <v>#N/A</v>
      </c>
      <c r="AC36" s="53" t="e">
        <f>VLOOKUP(A36,Enforcements!$C$7:$E$13,3,0)</f>
        <v>#N/A</v>
      </c>
      <c r="AD36" s="54" t="str">
        <f t="shared" si="10"/>
        <v>0124-10</v>
      </c>
      <c r="AE36" s="80" t="str">
        <f t="shared" si="11"/>
        <v>aws s3 cp s3://rtdc.mdm.uploadarchive.raw/RTDC4031/ "%USERPROFILE%\AppData\Local\Temp\OnboardLogs"\RTDC4031\2017-06-10 --exclude "*" --recursive --include "*20170610*" &amp; "%USERPROFILE%\Documents\GitHub\mrs-test-scripts\Headless Mode &amp; Sideloading\WalkAndUnGZ.bat" "%USERPROFILE%\AppData\Local\Temp\OnboardLogs"\RTDC4031\2017-06-10 &amp; aws s3 cp s3://rtdc.mdm.uploadarchive.raw/RTDC4031/ "%USERPROFILE%\AppData\Local\Temp\OnboardLogs"\RTDC4031\2017-06-11 --exclude "*" --recursive --include "*20170611*" &amp; "%USERPROFILE%\Documents\GitHub\mrs-test-scripts\Headless Mode &amp; Sideloading\WalkAndUnGZ.bat" "%USERPROFILE%\AppData\Local\Temp\OnboardLogs"\RTDC4031\2017-06-11</v>
      </c>
      <c r="AF36" s="77" t="str">
        <f t="shared" si="12"/>
        <v>"C:\Program Files (x86)\AstroGrep\AstroGrep.exe" /e /r /s /spath="%USERPROFILE%\AppData\Local\Temp\OnboardLogs" /stypes="app*4031*20170610*" /stext=" 14:.+((SYSTEM_STATE.+slice.+state.+changed )|(ment ac)|(multiple cpu faults)|(system.+state.+changed )|(\[timeout)|(PRM\|1\|D)|(kpr)|(kdp)|(train st.+moving)|(\|lc)|(penalty))"</v>
      </c>
      <c r="AG36" s="1" t="str">
        <f t="shared" si="13"/>
        <v>EC</v>
      </c>
      <c r="AH36" s="81" t="str">
        <f t="shared" si="37"/>
        <v>"%USERPROFILE%\Documents\GitHub\eaglep3\Utilities\RefineRTDCRunTimes.py" --tripid 124-10 --locoid 4031 --swversion DE.1.0.9.0 --startMP 204:233019 --initTime 2017-06-10T07:07:27 --startdatetime 2017-06-10T07:27:24 --delay 0 --endMP 204:154 --enddatetime 2017-06-10T08:04:10 --enforcementcount 0 &gt;&gt;C:\Users\stu\Documents\GitHub\eaglep3-reporting\EC\2017-06-10-refined-times.txt</v>
      </c>
      <c r="AI36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{"issue":{"subject":"","project_id":79,"tracker_id":40,"status_id":1,"priority_id":2,"assigned_to_id":23,"start_date":"2017-06-10","description":"","custom_fields":[{"id":1,"name":"Subdivision","value":"EC"},{"id":4,"name":"Milepost","value":"0.0154"},{"id":17,"name":"Train ID","value":"124-10"},{"id":16,"name":"Locomotive ID","value":"4031"},{"id":130,"name":"Impact","value":""},{"id":150,"name":"Time of Event (Mountain Time)","value":"08:04:10"},{"id":151,"name":"Denver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5" t="str">
        <f t="shared" si="39"/>
        <v>start /low /b %USERPROFILE%\Documents\GitHub\eaglep3\Utilities\DownloadLogsFromS3.py --loco 4031 --day 2017-06-10</v>
      </c>
      <c r="AN36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14:04:10"},{"id":29,"name":"Sharepoint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672</v>
      </c>
      <c r="B37" s="7">
        <v>4004</v>
      </c>
      <c r="C37" s="21" t="s">
        <v>204</v>
      </c>
      <c r="D37" s="21" t="s">
        <v>397</v>
      </c>
      <c r="E37" s="13">
        <v>42896.27851851852</v>
      </c>
      <c r="F37" s="13">
        <v>42896.281412037039</v>
      </c>
      <c r="G37" s="7">
        <v>1</v>
      </c>
      <c r="H37" s="21" t="s">
        <v>834</v>
      </c>
      <c r="I37" s="13">
        <v>42896.306319444448</v>
      </c>
      <c r="J37" s="7">
        <v>0</v>
      </c>
      <c r="K37" s="92" t="str">
        <f t="shared" si="0"/>
        <v>4003/4004</v>
      </c>
      <c r="L37" s="21" t="str">
        <f>VLOOKUP(A37,'Trips&amp;Operators'!$C$1:$G$99999,5,FALSE)</f>
        <v>ROCHA YAOTL</v>
      </c>
      <c r="M37" s="6">
        <f t="shared" si="1"/>
        <v>2.4907407409045845E-2</v>
      </c>
      <c r="N37" s="7">
        <f t="shared" si="36"/>
        <v>35.866666669026017</v>
      </c>
      <c r="O37" s="7"/>
      <c r="P37" s="7"/>
      <c r="Q37" s="22"/>
      <c r="R37" s="173"/>
      <c r="S37" s="176">
        <f t="shared" si="2"/>
        <v>1</v>
      </c>
      <c r="T37" s="202" t="str">
        <f t="shared" si="3"/>
        <v>NorthBound</v>
      </c>
      <c r="U37" s="202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03" t="str">
        <f t="shared" si="4"/>
        <v>https://d0f6bd738d7f1b3e5a7ca70fe4ff75f0.us-east-1.aws.found.io/app/kibana#/discover/Steve-Slow-Train-Analysis-(2080s-and-2083s)?_g=(refreshInterval:(display:Off,pause:!f,section:0,value:0),time:(from:'2017-06-10T05:41:04-0600',mode:absolute,to:'2017-06-10T08:21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7" s="204" t="str">
        <f t="shared" si="5"/>
        <v>N</v>
      </c>
      <c r="X37" s="204">
        <f t="shared" si="6"/>
        <v>1</v>
      </c>
      <c r="Y37" s="204">
        <f t="shared" si="7"/>
        <v>4.6199999999999998E-2</v>
      </c>
      <c r="Z37" s="204">
        <f t="shared" si="8"/>
        <v>23.334700000000002</v>
      </c>
      <c r="AA37" s="204">
        <f t="shared" si="9"/>
        <v>23.288500000000003</v>
      </c>
      <c r="AB37" s="57" t="e">
        <f>VLOOKUP(A37,Enforcements!$C$7:$K$13,8,0)</f>
        <v>#N/A</v>
      </c>
      <c r="AC37" s="53" t="e">
        <f>VLOOKUP(A37,Enforcements!$C$7:$E$13,3,0)</f>
        <v>#N/A</v>
      </c>
      <c r="AD37" s="54" t="str">
        <f t="shared" si="10"/>
        <v>0125-10</v>
      </c>
      <c r="AE37" s="80" t="str">
        <f t="shared" si="11"/>
        <v>aws s3 cp s3://rtdc.mdm.uploadarchive.raw/RTDC4004/ "%USERPROFILE%\AppData\Local\Temp\OnboardLogs"\RTDC4004\2017-06-10 --exclude "*" --recursive --include "*20170610*" &amp; "%USERPROFILE%\Documents\GitHub\mrs-test-scripts\Headless Mode &amp; Sideloading\WalkAndUnGZ.bat" "%USERPROFILE%\AppData\Local\Temp\OnboardLogs"\RTDC4004\2017-06-10 &amp; aws s3 cp s3://rtdc.mdm.uploadarchive.raw/RTDC4004/ "%USERPROFILE%\AppData\Local\Temp\OnboardLogs"\RTDC4004\2017-06-11 --exclude "*" --recursive --include "*20170611*" &amp; "%USERPROFILE%\Documents\GitHub\mrs-test-scripts\Headless Mode &amp; Sideloading\WalkAndUnGZ.bat" "%USERPROFILE%\AppData\Local\Temp\OnboardLogs"\RTDC4004\2017-06-11</v>
      </c>
      <c r="AF37" s="77" t="str">
        <f t="shared" si="12"/>
        <v>"C:\Program Files (x86)\AstroGrep\AstroGrep.exe" /e /r /s /spath="%USERPROFILE%\AppData\Local\Temp\OnboardLogs" /stypes="app*4004*20170610*" /stext=" 13:.+((SYSTEM_STATE.+slice.+state.+changed )|(ment ac)|(multiple cpu faults)|(system.+state.+changed )|(\[timeout)|(PRM\|1\|D)|(kpr)|(kdp)|(train st.+moving)|(\|lc)|(penalty))"</v>
      </c>
      <c r="AG37" s="1" t="str">
        <f t="shared" si="13"/>
        <v>EC</v>
      </c>
      <c r="AH37" s="81" t="str">
        <f t="shared" si="37"/>
        <v>"%USERPROFILE%\Documents\GitHub\eaglep3\Utilities\RefineRTDCRunTimes.py" --tripid 125-10 --locoid 4004 --swversion DE.1.0.9.0 --startMP 204:462 --initTime 2017-06-10T06:41:04 --startdatetime 2017-06-10T06:45:14 --delay 1 --endMP 204:233347 --enddatetime 2017-06-10T07:21:06 --enforcementcount 0 &gt;&gt;C:\Users\stu\Documents\GitHub\eaglep3-reporting\EC\2017-06-10-refined-times.txt</v>
      </c>
      <c r="AI37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{"issue":{"subject":"","project_id":79,"tracker_id":40,"status_id":1,"priority_id":2,"assigned_to_id":23,"start_date":"2017-06-10","description":"","custom_fields":[{"id":1,"name":"Subdivision","value":"EC"},{"id":4,"name":"Milepost","value":"23.3347"},{"id":17,"name":"Train ID","value":"125-10"},{"id":16,"name":"Locomotive ID","value":"4004"},{"id":130,"name":"Impact","value":""},{"id":150,"name":"Time of Event (Mountain Time)","value":"07:21:06"},{"id":151,"name":"Denver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5" t="str">
        <f t="shared" si="39"/>
        <v>start /low /b %USERPROFILE%\Documents\GitHub\eaglep3\Utilities\DownloadLogsFromS3.py --loco 4004 --day 2017-06-10</v>
      </c>
      <c r="AN37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13:21:06"},{"id":29,"name":"Sharepoint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684</v>
      </c>
      <c r="B38" s="7">
        <v>4003</v>
      </c>
      <c r="C38" s="21" t="s">
        <v>204</v>
      </c>
      <c r="D38" s="21" t="s">
        <v>835</v>
      </c>
      <c r="E38" s="13">
        <v>42896.318958333337</v>
      </c>
      <c r="F38" s="13">
        <v>42896.321319444447</v>
      </c>
      <c r="G38" s="7">
        <v>1</v>
      </c>
      <c r="H38" s="21" t="s">
        <v>354</v>
      </c>
      <c r="I38" s="13">
        <v>42896.346828703703</v>
      </c>
      <c r="J38" s="7">
        <v>0</v>
      </c>
      <c r="K38" s="92" t="str">
        <f t="shared" si="0"/>
        <v>4003/4004</v>
      </c>
      <c r="L38" s="21" t="str">
        <f>VLOOKUP(A38,'Trips&amp;Operators'!$C$1:$G$99999,5,FALSE)</f>
        <v>ROCHA YAOTL</v>
      </c>
      <c r="M38" s="6">
        <f t="shared" si="1"/>
        <v>2.5509259256068617E-2</v>
      </c>
      <c r="N38" s="7">
        <f t="shared" si="36"/>
        <v>36.733333328738809</v>
      </c>
      <c r="O38" s="7"/>
      <c r="P38" s="7"/>
      <c r="Q38" s="22"/>
      <c r="R38" s="173"/>
      <c r="S38" s="176">
        <f t="shared" si="2"/>
        <v>1</v>
      </c>
      <c r="T38" s="202" t="str">
        <f t="shared" si="3"/>
        <v>Southbound</v>
      </c>
      <c r="U38" s="202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03" t="str">
        <f t="shared" si="4"/>
        <v>https://d0f6bd738d7f1b3e5a7ca70fe4ff75f0.us-east-1.aws.found.io/app/kibana#/discover/Steve-Slow-Train-Analysis-(2080s-and-2083s)?_g=(refreshInterval:(display:Off,pause:!f,section:0,value:0),time:(from:'2017-06-10T06:39:18-0600',mode:absolute,to:'2017-06-10T09:19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38" s="204" t="str">
        <f t="shared" si="5"/>
        <v>N</v>
      </c>
      <c r="X38" s="204">
        <f t="shared" si="6"/>
        <v>1</v>
      </c>
      <c r="Y38" s="204">
        <f t="shared" si="7"/>
        <v>23.304200000000002</v>
      </c>
      <c r="Z38" s="204">
        <f t="shared" si="8"/>
        <v>1.43E-2</v>
      </c>
      <c r="AA38" s="204">
        <f t="shared" si="9"/>
        <v>23.289900000000003</v>
      </c>
      <c r="AB38" s="57" t="e">
        <f>VLOOKUP(A38,Enforcements!$C$7:$K$13,8,0)</f>
        <v>#N/A</v>
      </c>
      <c r="AC38" s="53" t="e">
        <f>VLOOKUP(A38,Enforcements!$C$7:$E$13,3,0)</f>
        <v>#N/A</v>
      </c>
      <c r="AD38" s="54" t="str">
        <f t="shared" si="10"/>
        <v>0126-10</v>
      </c>
      <c r="AE38" s="80" t="str">
        <f t="shared" si="11"/>
        <v>aws s3 cp s3://rtdc.mdm.uploadarchive.raw/RTDC4003/ "%USERPROFILE%\AppData\Local\Temp\OnboardLogs"\RTDC4003\2017-06-10 --exclude "*" --recursive --include "*20170610*" &amp; "%USERPROFILE%\Documents\GitHub\mrs-test-scripts\Headless Mode &amp; Sideloading\WalkAndUnGZ.bat" "%USERPROFILE%\AppData\Local\Temp\OnboardLogs"\RTDC4003\2017-06-10 &amp; aws s3 cp s3://rtdc.mdm.uploadarchive.raw/RTDC4003/ "%USERPROFILE%\AppData\Local\Temp\OnboardLogs"\RTDC4003\2017-06-11 --exclude "*" --recursive --include "*20170611*" &amp; "%USERPROFILE%\Documents\GitHub\mrs-test-scripts\Headless Mode &amp; Sideloading\WalkAndUnGZ.bat" "%USERPROFILE%\AppData\Local\Temp\OnboardLogs"\RTDC4003\2017-06-11</v>
      </c>
      <c r="AF38" s="77" t="str">
        <f t="shared" si="12"/>
        <v>"C:\Program Files (x86)\AstroGrep\AstroGrep.exe" /e /r /s /spath="%USERPROFILE%\AppData\Local\Temp\OnboardLogs" /stypes="app*4003*20170610*" /stext=" 14:.+((SYSTEM_STATE.+slice.+state.+changed )|(ment ac)|(multiple cpu faults)|(system.+state.+changed )|(\[timeout)|(PRM\|1\|D)|(kpr)|(kdp)|(train st.+moving)|(\|lc)|(penalty))"</v>
      </c>
      <c r="AG38" s="1" t="str">
        <f t="shared" si="13"/>
        <v>EC</v>
      </c>
      <c r="AH38" s="81" t="str">
        <f t="shared" si="37"/>
        <v>"%USERPROFILE%\Documents\GitHub\eaglep3\Utilities\RefineRTDCRunTimes.py" --tripid 126-10 --locoid 4003 --swversion DE.1.0.9.0 --startMP 204:233042 --initTime 2017-06-10T07:39:18 --startdatetime 2017-06-10T07:42:42 --delay 1 --endMP 204:143 --enddatetime 2017-06-10T08:19:26 --enforcementcount 0 &gt;&gt;C:\Users\stu\Documents\GitHub\eaglep3-reporting\EC\2017-06-10-refined-times.txt</v>
      </c>
      <c r="AI38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{"issue":{"subject":"","project_id":79,"tracker_id":40,"status_id":1,"priority_id":2,"assigned_to_id":23,"start_date":"2017-06-10","description":"","custom_fields":[{"id":1,"name":"Subdivision","value":"EC"},{"id":4,"name":"Milepost","value":"0.0143"},{"id":17,"name":"Train ID","value":"126-10"},{"id":16,"name":"Locomotive ID","value":"4003"},{"id":130,"name":"Impact","value":""},{"id":150,"name":"Time of Event (Mountain Time)","value":"08:19:26"},{"id":151,"name":"Denver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5" t="str">
        <f t="shared" si="39"/>
        <v>start /low /b %USERPROFILE%\Documents\GitHub\eaglep3\Utilities\DownloadLogsFromS3.py --loco 4003 --day 2017-06-10</v>
      </c>
      <c r="AN38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14:19:26"},{"id":29,"name":"Sharepoint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676</v>
      </c>
      <c r="B39" s="7">
        <v>4044</v>
      </c>
      <c r="C39" s="21" t="s">
        <v>204</v>
      </c>
      <c r="D39" s="21" t="s">
        <v>201</v>
      </c>
      <c r="E39" s="13">
        <v>42896.287048611113</v>
      </c>
      <c r="F39" s="13">
        <v>42896.291863425926</v>
      </c>
      <c r="G39" s="7">
        <v>1</v>
      </c>
      <c r="H39" s="21" t="s">
        <v>472</v>
      </c>
      <c r="I39" s="13">
        <v>42896.316990740743</v>
      </c>
      <c r="J39" s="7">
        <v>0</v>
      </c>
      <c r="K39" s="92" t="str">
        <f t="shared" si="0"/>
        <v>4043/4044</v>
      </c>
      <c r="L39" s="21" t="str">
        <f>VLOOKUP(A39,'Trips&amp;Operators'!$C$1:$G$99999,5,FALSE)</f>
        <v>DAVIDSON DAVID</v>
      </c>
      <c r="M39" s="6">
        <f t="shared" si="1"/>
        <v>2.5127314816927537E-2</v>
      </c>
      <c r="N39" s="7">
        <f t="shared" si="36"/>
        <v>36.183333336375654</v>
      </c>
      <c r="O39" s="7"/>
      <c r="P39" s="7"/>
      <c r="Q39" s="22"/>
      <c r="R39" s="173"/>
      <c r="S39" s="176">
        <f t="shared" si="2"/>
        <v>1</v>
      </c>
      <c r="T39" s="202" t="str">
        <f t="shared" si="3"/>
        <v>NorthBound</v>
      </c>
      <c r="U39" s="202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03" t="str">
        <f t="shared" si="4"/>
        <v>https://d0f6bd738d7f1b3e5a7ca70fe4ff75f0.us-east-1.aws.found.io/app/kibana#/discover/Steve-Slow-Train-Analysis-(2080s-and-2083s)?_g=(refreshInterval:(display:Off,pause:!f,section:0,value:0),time:(from:'2017-06-10T05:53:21-0600',mode:absolute,to:'2017-06-10T08:36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9" s="204" t="str">
        <f t="shared" si="5"/>
        <v>N</v>
      </c>
      <c r="X39" s="204">
        <f t="shared" si="6"/>
        <v>1</v>
      </c>
      <c r="Y39" s="204">
        <f t="shared" si="7"/>
        <v>4.5999999999999999E-2</v>
      </c>
      <c r="Z39" s="204">
        <f t="shared" si="8"/>
        <v>23.3307</v>
      </c>
      <c r="AA39" s="204">
        <f t="shared" si="9"/>
        <v>23.284700000000001</v>
      </c>
      <c r="AB39" s="57" t="e">
        <f>VLOOKUP(A39,Enforcements!$C$7:$K$13,8,0)</f>
        <v>#N/A</v>
      </c>
      <c r="AC39" s="53" t="e">
        <f>VLOOKUP(A39,Enforcements!$C$7:$E$13,3,0)</f>
        <v>#N/A</v>
      </c>
      <c r="AD39" s="54" t="str">
        <f t="shared" si="10"/>
        <v>0127-10</v>
      </c>
      <c r="AE39" s="80" t="str">
        <f t="shared" si="11"/>
        <v>aws s3 cp s3://rtdc.mdm.uploadarchive.raw/RTDC4044/ "%USERPROFILE%\AppData\Local\Temp\OnboardLogs"\RTDC4044\2017-06-10 --exclude "*" --recursive --include "*20170610*" &amp; "%USERPROFILE%\Documents\GitHub\mrs-test-scripts\Headless Mode &amp; Sideloading\WalkAndUnGZ.bat" "%USERPROFILE%\AppData\Local\Temp\OnboardLogs"\RTDC4044\2017-06-10 &amp; aws s3 cp s3://rtdc.mdm.uploadarchive.raw/RTDC4044/ "%USERPROFILE%\AppData\Local\Temp\OnboardLogs"\RTDC4044\2017-06-11 --exclude "*" --recursive --include "*20170611*" &amp; "%USERPROFILE%\Documents\GitHub\mrs-test-scripts\Headless Mode &amp; Sideloading\WalkAndUnGZ.bat" "%USERPROFILE%\AppData\Local\Temp\OnboardLogs"\RTDC4044\2017-06-11</v>
      </c>
      <c r="AF39" s="77" t="str">
        <f t="shared" si="12"/>
        <v>"C:\Program Files (x86)\AstroGrep\AstroGrep.exe" /e /r /s /spath="%USERPROFILE%\AppData\Local\Temp\OnboardLogs" /stypes="app*4044*20170610*" /stext=" 13:.+((SYSTEM_STATE.+slice.+state.+changed )|(ment ac)|(multiple cpu faults)|(system.+state.+changed )|(\[timeout)|(PRM\|1\|D)|(kpr)|(kdp)|(train st.+moving)|(\|lc)|(penalty))"</v>
      </c>
      <c r="AG39" s="1" t="str">
        <f t="shared" si="13"/>
        <v>EC</v>
      </c>
      <c r="AH39" s="81" t="str">
        <f t="shared" si="37"/>
        <v>"%USERPROFILE%\Documents\GitHub\eaglep3\Utilities\RefineRTDCRunTimes.py" --tripid 127-10 --locoid 4044 --swversion DE.1.0.9.0 --startMP 204:460 --initTime 2017-06-10T06:53:21 --startdatetime 2017-06-10T07:00:17 --delay 1 --endMP 204:233307 --enddatetime 2017-06-10T07:36:28 --enforcementcount 0 &gt;&gt;C:\Users\stu\Documents\GitHub\eaglep3-reporting\EC\2017-06-10-refined-times.txt</v>
      </c>
      <c r="AI39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{"issue":{"subject":"","project_id":79,"tracker_id":40,"status_id":1,"priority_id":2,"assigned_to_id":23,"start_date":"2017-06-10","description":"","custom_fields":[{"id":1,"name":"Subdivision","value":"EC"},{"id":4,"name":"Milepost","value":"23.3307"},{"id":17,"name":"Train ID","value":"127-10"},{"id":16,"name":"Locomotive ID","value":"4044"},{"id":130,"name":"Impact","value":""},{"id":150,"name":"Time of Event (Mountain Time)","value":"07:36:28"},{"id":151,"name":"Denver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5" t="str">
        <f t="shared" si="39"/>
        <v>start /low /b %USERPROFILE%\Documents\GitHub\eaglep3\Utilities\DownloadLogsFromS3.py --loco 4044 --day 2017-06-10</v>
      </c>
      <c r="AN39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13:36:28"},{"id":29,"name":"Sharepoint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683</v>
      </c>
      <c r="B40" s="7">
        <v>4043</v>
      </c>
      <c r="C40" s="21" t="s">
        <v>204</v>
      </c>
      <c r="D40" s="21" t="s">
        <v>516</v>
      </c>
      <c r="E40" s="13">
        <v>42896.318506944444</v>
      </c>
      <c r="F40" s="13">
        <v>42896.331493055557</v>
      </c>
      <c r="G40" s="7">
        <v>1</v>
      </c>
      <c r="H40" s="21" t="s">
        <v>352</v>
      </c>
      <c r="I40" s="13">
        <v>42896.358773148146</v>
      </c>
      <c r="J40" s="7">
        <v>0</v>
      </c>
      <c r="K40" s="92" t="str">
        <f t="shared" si="0"/>
        <v>4043/4044</v>
      </c>
      <c r="L40" s="21" t="str">
        <f>VLOOKUP(A40,'Trips&amp;Operators'!$C$1:$G$99999,5,FALSE)</f>
        <v>DAVIDSON DAVID</v>
      </c>
      <c r="M40" s="6">
        <f t="shared" si="1"/>
        <v>2.7280092588625848E-2</v>
      </c>
      <c r="N40" s="7">
        <f t="shared" si="36"/>
        <v>39.283333327621222</v>
      </c>
      <c r="O40" s="7"/>
      <c r="P40" s="7"/>
      <c r="Q40" s="22"/>
      <c r="R40" s="173"/>
      <c r="S40" s="176">
        <f t="shared" si="2"/>
        <v>1</v>
      </c>
      <c r="T40" s="202" t="str">
        <f t="shared" si="3"/>
        <v>Southbound</v>
      </c>
      <c r="U40" s="202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03" t="str">
        <f t="shared" si="4"/>
        <v>https://d0f6bd738d7f1b3e5a7ca70fe4ff75f0.us-east-1.aws.found.io/app/kibana#/discover/Steve-Slow-Train-Analysis-(2080s-and-2083s)?_g=(refreshInterval:(display:Off,pause:!f,section:0,value:0),time:(from:'2017-06-10T06:38:39-0600',mode:absolute,to:'2017-06-10T09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0" s="204" t="str">
        <f t="shared" si="5"/>
        <v>N</v>
      </c>
      <c r="X40" s="204">
        <f t="shared" si="6"/>
        <v>1</v>
      </c>
      <c r="Y40" s="204">
        <f t="shared" si="7"/>
        <v>23.299399999999999</v>
      </c>
      <c r="Z40" s="204">
        <f t="shared" si="8"/>
        <v>1.4999999999999999E-2</v>
      </c>
      <c r="AA40" s="204">
        <f t="shared" si="9"/>
        <v>23.284399999999998</v>
      </c>
      <c r="AB40" s="57" t="e">
        <f>VLOOKUP(A40,Enforcements!$C$7:$K$13,8,0)</f>
        <v>#N/A</v>
      </c>
      <c r="AC40" s="53" t="e">
        <f>VLOOKUP(A40,Enforcements!$C$7:$E$13,3,0)</f>
        <v>#N/A</v>
      </c>
      <c r="AD40" s="54" t="str">
        <f t="shared" si="10"/>
        <v>0128-10</v>
      </c>
      <c r="AE40" s="80" t="str">
        <f t="shared" si="11"/>
        <v>aws s3 cp s3://rtdc.mdm.uploadarchive.raw/RTDC4043/ "%USERPROFILE%\AppData\Local\Temp\OnboardLogs"\RTDC4043\2017-06-10 --exclude "*" --recursive --include "*20170610*" &amp; "%USERPROFILE%\Documents\GitHub\mrs-test-scripts\Headless Mode &amp; Sideloading\WalkAndUnGZ.bat" "%USERPROFILE%\AppData\Local\Temp\OnboardLogs"\RTDC4043\2017-06-10 &amp; aws s3 cp s3://rtdc.mdm.uploadarchive.raw/RTDC4043/ "%USERPROFILE%\AppData\Local\Temp\OnboardLogs"\RTDC4043\2017-06-11 --exclude "*" --recursive --include "*20170611*" &amp; "%USERPROFILE%\Documents\GitHub\mrs-test-scripts\Headless Mode &amp; Sideloading\WalkAndUnGZ.bat" "%USERPROFILE%\AppData\Local\Temp\OnboardLogs"\RTDC4043\2017-06-11</v>
      </c>
      <c r="AF40" s="77" t="str">
        <f t="shared" si="12"/>
        <v>"C:\Program Files (x86)\AstroGrep\AstroGrep.exe" /e /r /s /spath="%USERPROFILE%\AppData\Local\Temp\OnboardLogs" /stypes="app*4043*20170610*" /stext=" 14:.+((SYSTEM_STATE.+slice.+state.+changed )|(ment ac)|(multiple cpu faults)|(system.+state.+changed )|(\[timeout)|(PRM\|1\|D)|(kpr)|(kdp)|(train st.+moving)|(\|lc)|(penalty))"</v>
      </c>
      <c r="AG40" s="1" t="str">
        <f t="shared" si="13"/>
        <v>EC</v>
      </c>
      <c r="AH40" s="81" t="str">
        <f t="shared" si="37"/>
        <v>"%USERPROFILE%\Documents\GitHub\eaglep3\Utilities\RefineRTDCRunTimes.py" --tripid 128-10 --locoid 4043 --swversion DE.1.0.9.0 --startMP 204:232994 --initTime 2017-06-10T07:38:39 --startdatetime 2017-06-10T07:57:21 --delay 1 --endMP 204:150 --enddatetime 2017-06-10T08:36:38 --enforcementcount 0 &gt;&gt;C:\Users\stu\Documents\GitHub\eaglep3-reporting\EC\2017-06-10-refined-times.txt</v>
      </c>
      <c r="AI40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{"issue":{"subject":"","project_id":79,"tracker_id":40,"status_id":1,"priority_id":2,"assigned_to_id":23,"start_date":"2017-06-10","description":"","custom_fields":[{"id":1,"name":"Subdivision","value":"EC"},{"id":4,"name":"Milepost","value":"0.015"},{"id":17,"name":"Train ID","value":"128-10"},{"id":16,"name":"Locomotive ID","value":"4043"},{"id":130,"name":"Impact","value":""},{"id":150,"name":"Time of Event (Mountain Time)","value":"08:36:38"},{"id":151,"name":"Denver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5" t="str">
        <f t="shared" si="39"/>
        <v>start /low /b %USERPROFILE%\Documents\GitHub\eaglep3\Utilities\DownloadLogsFromS3.py --loco 4043 --day 2017-06-10</v>
      </c>
      <c r="AN40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14:36:38"},{"id":29,"name":"Sharepoint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680</v>
      </c>
      <c r="B41" s="7">
        <v>4056</v>
      </c>
      <c r="C41" s="21" t="s">
        <v>204</v>
      </c>
      <c r="D41" s="21" t="s">
        <v>836</v>
      </c>
      <c r="E41" s="13">
        <v>42896.298402777778</v>
      </c>
      <c r="F41" s="13">
        <v>42896.302384259259</v>
      </c>
      <c r="G41" s="7">
        <v>3</v>
      </c>
      <c r="H41" s="21" t="s">
        <v>555</v>
      </c>
      <c r="I41" s="13">
        <v>42896.328067129631</v>
      </c>
      <c r="J41" s="7">
        <v>0</v>
      </c>
      <c r="K41" s="92" t="str">
        <f t="shared" si="0"/>
        <v>4055/4056</v>
      </c>
      <c r="L41" s="21" t="str">
        <f>VLOOKUP(A41,'Trips&amp;Operators'!$C$1:$G$99999,5,FALSE)</f>
        <v>WILLIAMS DONTE</v>
      </c>
      <c r="M41" s="6">
        <f t="shared" si="1"/>
        <v>2.5682870371383615E-2</v>
      </c>
      <c r="N41" s="7">
        <f t="shared" si="36"/>
        <v>36.983333334792405</v>
      </c>
      <c r="O41" s="7"/>
      <c r="P41" s="7"/>
      <c r="Q41" s="22"/>
      <c r="R41" s="173"/>
      <c r="S41" s="176">
        <f t="shared" si="2"/>
        <v>1</v>
      </c>
      <c r="T41" s="202" t="str">
        <f t="shared" si="3"/>
        <v>NorthBound</v>
      </c>
      <c r="U41" s="202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03" t="str">
        <f t="shared" si="4"/>
        <v>https://d0f6bd738d7f1b3e5a7ca70fe4ff75f0.us-east-1.aws.found.io/app/kibana#/discover/Steve-Slow-Train-Analysis-(2080s-and-2083s)?_g=(refreshInterval:(display:Off,pause:!f,section:0,value:0),time:(from:'2017-06-10T06:09:42-0600',mode:absolute,to:'2017-06-10T08:52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41" s="204" t="str">
        <f t="shared" si="5"/>
        <v>N</v>
      </c>
      <c r="X41" s="204">
        <f t="shared" si="6"/>
        <v>1</v>
      </c>
      <c r="Y41" s="204">
        <f t="shared" si="7"/>
        <v>4.3999999999999997E-2</v>
      </c>
      <c r="Z41" s="204">
        <f t="shared" si="8"/>
        <v>23.3338</v>
      </c>
      <c r="AA41" s="204">
        <f t="shared" si="9"/>
        <v>23.2898</v>
      </c>
      <c r="AB41" s="57" t="e">
        <f>VLOOKUP(A41,Enforcements!$C$7:$K$13,8,0)</f>
        <v>#N/A</v>
      </c>
      <c r="AC41" s="53" t="e">
        <f>VLOOKUP(A41,Enforcements!$C$7:$E$13,3,0)</f>
        <v>#N/A</v>
      </c>
      <c r="AD41" s="54" t="str">
        <f t="shared" si="10"/>
        <v>0129-10</v>
      </c>
      <c r="AE41" s="80" t="str">
        <f t="shared" si="11"/>
        <v>aws s3 cp s3://rtdc.mdm.uploadarchive.raw/RTDC4056/ "%USERPROFILE%\AppData\Local\Temp\OnboardLogs"\RTDC4056\2017-06-10 --exclude "*" --recursive --include "*20170610*" &amp; "%USERPROFILE%\Documents\GitHub\mrs-test-scripts\Headless Mode &amp; Sideloading\WalkAndUnGZ.bat" "%USERPROFILE%\AppData\Local\Temp\OnboardLogs"\RTDC4056\2017-06-10 &amp; aws s3 cp s3://rtdc.mdm.uploadarchive.raw/RTDC4056/ "%USERPROFILE%\AppData\Local\Temp\OnboardLogs"\RTDC4056\2017-06-11 --exclude "*" --recursive --include "*20170611*" &amp; "%USERPROFILE%\Documents\GitHub\mrs-test-scripts\Headless Mode &amp; Sideloading\WalkAndUnGZ.bat" "%USERPROFILE%\AppData\Local\Temp\OnboardLogs"\RTDC4056\2017-06-11</v>
      </c>
      <c r="AF41" s="77" t="str">
        <f t="shared" si="12"/>
        <v>"C:\Program Files (x86)\AstroGrep\AstroGrep.exe" /e /r /s /spath="%USERPROFILE%\AppData\Local\Temp\OnboardLogs" /stypes="app*4056*20170610*" /stext=" 13:.+((SYSTEM_STATE.+slice.+state.+changed )|(ment ac)|(multiple cpu faults)|(system.+state.+changed )|(\[timeout)|(PRM\|1\|D)|(kpr)|(kdp)|(train st.+moving)|(\|lc)|(penalty))"</v>
      </c>
      <c r="AG41" s="1" t="str">
        <f t="shared" si="13"/>
        <v>EC</v>
      </c>
      <c r="AH41" s="81" t="str">
        <f t="shared" si="37"/>
        <v>"%USERPROFILE%\Documents\GitHub\eaglep3\Utilities\RefineRTDCRunTimes.py" --tripid 129-10 --locoid 4056 --swversion DE.1.0.9.0 --startMP 204:440 --initTime 2017-06-10T07:09:42 --startdatetime 2017-06-10T07:15:26 --delay 3 --endMP 204:233338 --enddatetime 2017-06-10T07:52:25 --enforcementcount 0 &gt;&gt;C:\Users\stu\Documents\GitHub\eaglep3-reporting\EC\2017-06-10-refined-times.txt</v>
      </c>
      <c r="AI41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{"issue":{"subject":"","project_id":79,"tracker_id":40,"status_id":1,"priority_id":2,"assigned_to_id":23,"start_date":"2017-06-10","description":"","custom_fields":[{"id":1,"name":"Subdivision","value":"EC"},{"id":4,"name":"Milepost","value":"23.3338"},{"id":17,"name":"Train ID","value":"129-10"},{"id":16,"name":"Locomotive ID","value":"4056"},{"id":130,"name":"Impact","value":""},{"id":150,"name":"Time of Event (Mountain Time)","value":"07:52:25"},{"id":151,"name":"Denver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5" t="str">
        <f t="shared" si="39"/>
        <v>start /low /b %USERPROFILE%\Documents\GitHub\eaglep3\Utilities\DownloadLogsFromS3.py --loco 4056 --day 2017-06-10</v>
      </c>
      <c r="AN41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13:52:25"},{"id":29,"name":"Sharepoint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685</v>
      </c>
      <c r="B42" s="7">
        <v>4055</v>
      </c>
      <c r="C42" s="21" t="s">
        <v>204</v>
      </c>
      <c r="D42" s="21" t="s">
        <v>837</v>
      </c>
      <c r="E42" s="13">
        <v>42896.329837962963</v>
      </c>
      <c r="F42" s="13">
        <v>42896.341956018521</v>
      </c>
      <c r="G42" s="7">
        <v>1</v>
      </c>
      <c r="H42" s="21" t="s">
        <v>363</v>
      </c>
      <c r="I42" s="13">
        <v>42896.36922453704</v>
      </c>
      <c r="J42" s="7">
        <v>0</v>
      </c>
      <c r="K42" s="92" t="str">
        <f t="shared" si="0"/>
        <v>4055/4056</v>
      </c>
      <c r="L42" s="21" t="str">
        <f>VLOOKUP(A42,'Trips&amp;Operators'!$C$1:$G$99999,5,FALSE)</f>
        <v>WILLIAMS DONTE</v>
      </c>
      <c r="M42" s="6">
        <f t="shared" si="1"/>
        <v>2.7268518519122154E-2</v>
      </c>
      <c r="N42" s="7">
        <f t="shared" si="36"/>
        <v>39.266666667535901</v>
      </c>
      <c r="O42" s="7"/>
      <c r="P42" s="7"/>
      <c r="Q42" s="22"/>
      <c r="R42" s="173"/>
      <c r="S42" s="176">
        <f t="shared" si="2"/>
        <v>1</v>
      </c>
      <c r="T42" s="202" t="str">
        <f t="shared" si="3"/>
        <v>Southbound</v>
      </c>
      <c r="U42" s="202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03" t="str">
        <f t="shared" si="4"/>
        <v>https://d0f6bd738d7f1b3e5a7ca70fe4ff75f0.us-east-1.aws.found.io/app/kibana#/discover/Steve-Slow-Train-Analysis-(2080s-and-2083s)?_g=(refreshInterval:(display:Off,pause:!f,section:0,value:0),time:(from:'2017-06-10T06:54:58-0600',mode:absolute,to:'2017-06-10T09:51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42" s="204" t="str">
        <f t="shared" si="5"/>
        <v>N</v>
      </c>
      <c r="X42" s="204">
        <f t="shared" si="6"/>
        <v>1</v>
      </c>
      <c r="Y42" s="204">
        <f t="shared" si="7"/>
        <v>23.301500000000001</v>
      </c>
      <c r="Z42" s="204">
        <f t="shared" si="8"/>
        <v>1.41E-2</v>
      </c>
      <c r="AA42" s="204">
        <f t="shared" si="9"/>
        <v>23.287400000000002</v>
      </c>
      <c r="AB42" s="57" t="e">
        <f>VLOOKUP(A42,Enforcements!$C$7:$K$13,8,0)</f>
        <v>#N/A</v>
      </c>
      <c r="AC42" s="53" t="e">
        <f>VLOOKUP(A42,Enforcements!$C$7:$E$13,3,0)</f>
        <v>#N/A</v>
      </c>
      <c r="AD42" s="54" t="str">
        <f t="shared" si="10"/>
        <v>0130-10</v>
      </c>
      <c r="AE42" s="80" t="str">
        <f t="shared" si="11"/>
        <v>aws s3 cp s3://rtdc.mdm.uploadarchive.raw/RTDC4055/ "%USERPROFILE%\AppData\Local\Temp\OnboardLogs"\RTDC4055\2017-06-10 --exclude "*" --recursive --include "*20170610*" &amp; "%USERPROFILE%\Documents\GitHub\mrs-test-scripts\Headless Mode &amp; Sideloading\WalkAndUnGZ.bat" "%USERPROFILE%\AppData\Local\Temp\OnboardLogs"\RTDC4055\2017-06-10 &amp; aws s3 cp s3://rtdc.mdm.uploadarchive.raw/RTDC4055/ "%USERPROFILE%\AppData\Local\Temp\OnboardLogs"\RTDC4055\2017-06-11 --exclude "*" --recursive --include "*20170611*" &amp; "%USERPROFILE%\Documents\GitHub\mrs-test-scripts\Headless Mode &amp; Sideloading\WalkAndUnGZ.bat" "%USERPROFILE%\AppData\Local\Temp\OnboardLogs"\RTDC4055\2017-06-11</v>
      </c>
      <c r="AF42" s="77" t="str">
        <f t="shared" si="12"/>
        <v>"C:\Program Files (x86)\AstroGrep\AstroGrep.exe" /e /r /s /spath="%USERPROFILE%\AppData\Local\Temp\OnboardLogs" /stypes="app*4055*20170610*" /stext=" 14:.+((SYSTEM_STATE.+slice.+state.+changed )|(ment ac)|(multiple cpu faults)|(system.+state.+changed )|(\[timeout)|(PRM\|1\|D)|(kpr)|(kdp)|(train st.+moving)|(\|lc)|(penalty))"</v>
      </c>
      <c r="AG42" s="1" t="str">
        <f t="shared" si="13"/>
        <v>EC</v>
      </c>
      <c r="AH42" s="81" t="str">
        <f t="shared" si="37"/>
        <v>"%USERPROFILE%\Documents\GitHub\eaglep3\Utilities\RefineRTDCRunTimes.py" --tripid 130-10 --locoid 4055 --swversion DE.1.0.9.0 --startMP 204:233015 --initTime 2017-06-10T07:54:58 --startdatetime 2017-06-10T08:12:25 --delay 1 --endMP 204:141 --enddatetime 2017-06-10T08:51:41 --enforcementcount 0 &gt;&gt;C:\Users\stu\Documents\GitHub\eaglep3-reporting\EC\2017-06-10-refined-times.txt</v>
      </c>
      <c r="AI42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{"issue":{"subject":"","project_id":79,"tracker_id":40,"status_id":1,"priority_id":2,"assigned_to_id":23,"start_date":"2017-06-10","description":"","custom_fields":[{"id":1,"name":"Subdivision","value":"EC"},{"id":4,"name":"Milepost","value":"0.0141"},{"id":17,"name":"Train ID","value":"130-10"},{"id":16,"name":"Locomotive ID","value":"4055"},{"id":130,"name":"Impact","value":""},{"id":150,"name":"Time of Event (Mountain Time)","value":"08:51:41"},{"id":151,"name":"Denver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5" t="str">
        <f t="shared" si="39"/>
        <v>start /low /b %USERPROFILE%\Documents\GitHub\eaglep3\Utilities\DownloadLogsFromS3.py --loco 4055 --day 2017-06-10</v>
      </c>
      <c r="AN42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14:51:41"},{"id":29,"name":"Sharepoint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681</v>
      </c>
      <c r="B43" s="7">
        <v>4062</v>
      </c>
      <c r="C43" s="21" t="s">
        <v>204</v>
      </c>
      <c r="D43" s="21" t="s">
        <v>356</v>
      </c>
      <c r="E43" s="13">
        <v>42896.308333333334</v>
      </c>
      <c r="F43" s="13">
        <v>42896.312696759262</v>
      </c>
      <c r="G43" s="7">
        <v>2</v>
      </c>
      <c r="H43" s="21" t="s">
        <v>838</v>
      </c>
      <c r="I43" s="13">
        <v>42896.337777777779</v>
      </c>
      <c r="J43" s="7">
        <v>0</v>
      </c>
      <c r="K43" s="92" t="str">
        <f t="shared" si="0"/>
        <v>4061/4062</v>
      </c>
      <c r="L43" s="21" t="str">
        <f>VLOOKUP(A43,'Trips&amp;Operators'!$C$1:$G$99999,5,FALSE)</f>
        <v>GUZMAN DANNY</v>
      </c>
      <c r="M43" s="6">
        <f t="shared" si="1"/>
        <v>2.5081018517084885E-2</v>
      </c>
      <c r="N43" s="7">
        <f t="shared" si="36"/>
        <v>36.116666664602235</v>
      </c>
      <c r="O43" s="7"/>
      <c r="P43" s="7"/>
      <c r="Q43" s="22"/>
      <c r="R43" s="173"/>
      <c r="S43" s="176">
        <f t="shared" si="2"/>
        <v>1</v>
      </c>
      <c r="T43" s="202" t="str">
        <f t="shared" si="3"/>
        <v>NorthBound</v>
      </c>
      <c r="U43" s="202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03" t="str">
        <f t="shared" si="4"/>
        <v>https://d0f6bd738d7f1b3e5a7ca70fe4ff75f0.us-east-1.aws.found.io/app/kibana#/discover/Steve-Slow-Train-Analysis-(2080s-and-2083s)?_g=(refreshInterval:(display:Off,pause:!f,section:0,value:0),time:(from:'2017-06-10T06:24:00-0600',mode:absolute,to:'2017-06-10T09:06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43" s="204" t="str">
        <f t="shared" si="5"/>
        <v>N</v>
      </c>
      <c r="X43" s="204">
        <f t="shared" si="6"/>
        <v>1</v>
      </c>
      <c r="Y43" s="204">
        <f t="shared" si="7"/>
        <v>4.5100000000000001E-2</v>
      </c>
      <c r="Z43" s="204">
        <f t="shared" si="8"/>
        <v>23.327000000000002</v>
      </c>
      <c r="AA43" s="204">
        <f t="shared" si="9"/>
        <v>23.2819</v>
      </c>
      <c r="AB43" s="57" t="e">
        <f>VLOOKUP(A43,Enforcements!$C$7:$K$13,8,0)</f>
        <v>#N/A</v>
      </c>
      <c r="AC43" s="53" t="e">
        <f>VLOOKUP(A43,Enforcements!$C$7:$E$13,3,0)</f>
        <v>#N/A</v>
      </c>
      <c r="AD43" s="54" t="str">
        <f t="shared" si="10"/>
        <v>0131-10</v>
      </c>
      <c r="AE43" s="80" t="str">
        <f t="shared" si="11"/>
        <v>aws s3 cp s3://rtdc.mdm.uploadarchive.raw/RTDC4062/ "%USERPROFILE%\AppData\Local\Temp\OnboardLogs"\RTDC4062\2017-06-10 --exclude "*" --recursive --include "*20170610*" &amp; "%USERPROFILE%\Documents\GitHub\mrs-test-scripts\Headless Mode &amp; Sideloading\WalkAndUnGZ.bat" "%USERPROFILE%\AppData\Local\Temp\OnboardLogs"\RTDC4062\2017-06-10 &amp; aws s3 cp s3://rtdc.mdm.uploadarchive.raw/RTDC4062/ "%USERPROFILE%\AppData\Local\Temp\OnboardLogs"\RTDC4062\2017-06-11 --exclude "*" --recursive --include "*20170611*" &amp; "%USERPROFILE%\Documents\GitHub\mrs-test-scripts\Headless Mode &amp; Sideloading\WalkAndUnGZ.bat" "%USERPROFILE%\AppData\Local\Temp\OnboardLogs"\RTDC4062\2017-06-11</v>
      </c>
      <c r="AF43" s="77" t="str">
        <f t="shared" si="12"/>
        <v>"C:\Program Files (x86)\AstroGrep\AstroGrep.exe" /e /r /s /spath="%USERPROFILE%\AppData\Local\Temp\OnboardLogs" /stypes="app*4062*20170610*" /stext=" 14:.+((SYSTEM_STATE.+slice.+state.+changed )|(ment ac)|(multiple cpu faults)|(system.+state.+changed )|(\[timeout)|(PRM\|1\|D)|(kpr)|(kdp)|(train st.+moving)|(\|lc)|(penalty))"</v>
      </c>
      <c r="AG43" s="1" t="str">
        <f t="shared" si="13"/>
        <v>EC</v>
      </c>
      <c r="AH43" s="81" t="str">
        <f t="shared" si="37"/>
        <v>"%USERPROFILE%\Documents\GitHub\eaglep3\Utilities\RefineRTDCRunTimes.py" --tripid 131-10 --locoid 4062 --swversion DE.1.0.9.0 --startMP 204:451 --initTime 2017-06-10T07:24:00 --startdatetime 2017-06-10T07:30:17 --delay 2 --endMP 204:233270 --enddatetime 2017-06-10T08:06:24 --enforcementcount 0 &gt;&gt;C:\Users\stu\Documents\GitHub\eaglep3-reporting\EC\2017-06-10-refined-times.txt</v>
      </c>
      <c r="AI43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{"issue":{"subject":"","project_id":79,"tracker_id":40,"status_id":1,"priority_id":2,"assigned_to_id":23,"start_date":"2017-06-10","description":"","custom_fields":[{"id":1,"name":"Subdivision","value":"EC"},{"id":4,"name":"Milepost","value":"23.327"},{"id":17,"name":"Train ID","value":"131-10"},{"id":16,"name":"Locomotive ID","value":"4062"},{"id":130,"name":"Impact","value":""},{"id":150,"name":"Time of Event (Mountain Time)","value":"08:06:24"},{"id":151,"name":"Denver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5" t="str">
        <f t="shared" si="39"/>
        <v>start /low /b %USERPROFILE%\Documents\GitHub\eaglep3\Utilities\DownloadLogsFromS3.py --loco 4062 --day 2017-06-10</v>
      </c>
      <c r="AN43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14:06:24"},{"id":29,"name":"Sharepoint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688</v>
      </c>
      <c r="B44" s="7">
        <v>4061</v>
      </c>
      <c r="C44" s="21" t="s">
        <v>204</v>
      </c>
      <c r="D44" s="21" t="s">
        <v>548</v>
      </c>
      <c r="E44" s="13">
        <v>42896.34171296296</v>
      </c>
      <c r="F44" s="13">
        <v>42896.35224537037</v>
      </c>
      <c r="G44" s="7">
        <v>2</v>
      </c>
      <c r="H44" s="21" t="s">
        <v>499</v>
      </c>
      <c r="I44" s="13">
        <v>42896.379062499997</v>
      </c>
      <c r="J44" s="7">
        <v>0</v>
      </c>
      <c r="K44" s="92" t="str">
        <f t="shared" si="0"/>
        <v>4061/4062</v>
      </c>
      <c r="L44" s="21" t="str">
        <f>VLOOKUP(A44,'Trips&amp;Operators'!$C$1:$G$99999,5,FALSE)</f>
        <v>GUZMAN DANNY</v>
      </c>
      <c r="M44" s="6">
        <f t="shared" si="1"/>
        <v>2.6817129626579117E-2</v>
      </c>
      <c r="N44" s="7">
        <f t="shared" si="36"/>
        <v>38.616666662273929</v>
      </c>
      <c r="O44" s="7"/>
      <c r="P44" s="7"/>
      <c r="Q44" s="22"/>
      <c r="R44" s="173"/>
      <c r="S44" s="176">
        <f t="shared" si="2"/>
        <v>1</v>
      </c>
      <c r="T44" s="202" t="str">
        <f t="shared" si="3"/>
        <v>Southbound</v>
      </c>
      <c r="U44" s="202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03" t="str">
        <f t="shared" si="4"/>
        <v>https://d0f6bd738d7f1b3e5a7ca70fe4ff75f0.us-east-1.aws.found.io/app/kibana#/discover/Steve-Slow-Train-Analysis-(2080s-and-2083s)?_g=(refreshInterval:(display:Off,pause:!f,section:0,value:0),time:(from:'2017-06-10T07:12:04-0600',mode:absolute,to:'2017-06-10T10:05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44" s="204" t="str">
        <f t="shared" si="5"/>
        <v>N</v>
      </c>
      <c r="X44" s="204">
        <f t="shared" si="6"/>
        <v>1</v>
      </c>
      <c r="Y44" s="204">
        <f t="shared" si="7"/>
        <v>23.299800000000001</v>
      </c>
      <c r="Z44" s="204">
        <f t="shared" si="8"/>
        <v>1.3599999999999999E-2</v>
      </c>
      <c r="AA44" s="204">
        <f t="shared" si="9"/>
        <v>23.286200000000001</v>
      </c>
      <c r="AB44" s="57" t="e">
        <f>VLOOKUP(A44,Enforcements!$C$7:$K$13,8,0)</f>
        <v>#N/A</v>
      </c>
      <c r="AC44" s="53" t="e">
        <f>VLOOKUP(A44,Enforcements!$C$7:$E$13,3,0)</f>
        <v>#N/A</v>
      </c>
      <c r="AD44" s="54" t="str">
        <f t="shared" si="10"/>
        <v>0132-10</v>
      </c>
      <c r="AE44" s="80" t="str">
        <f t="shared" si="11"/>
        <v>aws s3 cp s3://rtdc.mdm.uploadarchive.raw/RTDC4061/ "%USERPROFILE%\AppData\Local\Temp\OnboardLogs"\RTDC4061\2017-06-10 --exclude "*" --recursive --include "*20170610*" &amp; "%USERPROFILE%\Documents\GitHub\mrs-test-scripts\Headless Mode &amp; Sideloading\WalkAndUnGZ.bat" "%USERPROFILE%\AppData\Local\Temp\OnboardLogs"\RTDC4061\2017-06-10 &amp; aws s3 cp s3://rtdc.mdm.uploadarchive.raw/RTDC4061/ "%USERPROFILE%\AppData\Local\Temp\OnboardLogs"\RTDC4061\2017-06-11 --exclude "*" --recursive --include "*20170611*" &amp; "%USERPROFILE%\Documents\GitHub\mrs-test-scripts\Headless Mode &amp; Sideloading\WalkAndUnGZ.bat" "%USERPROFILE%\AppData\Local\Temp\OnboardLogs"\RTDC4061\2017-06-11</v>
      </c>
      <c r="AF44" s="77" t="str">
        <f t="shared" si="12"/>
        <v>"C:\Program Files (x86)\AstroGrep\AstroGrep.exe" /e /r /s /spath="%USERPROFILE%\AppData\Local\Temp\OnboardLogs" /stypes="app*4061*20170610*" /stext=" 15:.+((SYSTEM_STATE.+slice.+state.+changed )|(ment ac)|(multiple cpu faults)|(system.+state.+changed )|(\[timeout)|(PRM\|1\|D)|(kpr)|(kdp)|(train st.+moving)|(\|lc)|(penalty))"</v>
      </c>
      <c r="AG44" s="1" t="str">
        <f t="shared" si="13"/>
        <v>EC</v>
      </c>
      <c r="AH44" s="81" t="str">
        <f t="shared" si="37"/>
        <v>"%USERPROFILE%\Documents\GitHub\eaglep3\Utilities\RefineRTDCRunTimes.py" --tripid 132-10 --locoid 4061 --swversion DE.1.0.9.0 --startMP 204:232998 --initTime 2017-06-10T08:12:04 --startdatetime 2017-06-10T08:27:14 --delay 2 --endMP 204:136 --enddatetime 2017-06-10T09:05:51 --enforcementcount 0 &gt;&gt;C:\Users\stu\Documents\GitHub\eaglep3-reporting\EC\2017-06-10-refined-times.txt</v>
      </c>
      <c r="AI44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{"issue":{"subject":"","project_id":79,"tracker_id":40,"status_id":1,"priority_id":2,"assigned_to_id":23,"start_date":"2017-06-10","description":"","custom_fields":[{"id":1,"name":"Subdivision","value":"EC"},{"id":4,"name":"Milepost","value":"0.0136"},{"id":17,"name":"Train ID","value":"132-10"},{"id":16,"name":"Locomotive ID","value":"4061"},{"id":130,"name":"Impact","value":""},{"id":150,"name":"Time of Event (Mountain Time)","value":"09:05:51"},{"id":151,"name":"Denver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5" t="str">
        <f t="shared" si="39"/>
        <v>start /low /b %USERPROFILE%\Documents\GitHub\eaglep3\Utilities\DownloadLogsFromS3.py --loco 4061 --day 2017-06-10</v>
      </c>
      <c r="AN44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15:05:51"},{"id":29,"name":"Sharepoint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577</v>
      </c>
      <c r="B45" s="7">
        <v>4002</v>
      </c>
      <c r="C45" s="21" t="s">
        <v>204</v>
      </c>
      <c r="D45" s="21" t="s">
        <v>355</v>
      </c>
      <c r="E45" s="13">
        <v>42896.319467592592</v>
      </c>
      <c r="F45" s="13">
        <v>42896.32309027778</v>
      </c>
      <c r="G45" s="7">
        <v>2</v>
      </c>
      <c r="H45" s="21" t="s">
        <v>515</v>
      </c>
      <c r="I45" s="13">
        <v>42896.34951388889</v>
      </c>
      <c r="J45" s="7">
        <v>0</v>
      </c>
      <c r="K45" s="92" t="str">
        <f t="shared" si="0"/>
        <v>4001/4002</v>
      </c>
      <c r="L45" s="21" t="str">
        <f>VLOOKUP(A45,'Trips&amp;Operators'!$C$1:$G$99999,5,FALSE)</f>
        <v>DAVIS WENDY</v>
      </c>
      <c r="M45" s="6">
        <f t="shared" si="1"/>
        <v>2.6423611110658385E-2</v>
      </c>
      <c r="N45" s="7">
        <f t="shared" si="36"/>
        <v>38.049999999348074</v>
      </c>
      <c r="O45" s="7"/>
      <c r="P45" s="7"/>
      <c r="Q45" s="22"/>
      <c r="R45" s="173"/>
      <c r="S45" s="176">
        <f t="shared" si="2"/>
        <v>1</v>
      </c>
      <c r="T45" s="202" t="str">
        <f t="shared" si="3"/>
        <v>NorthBound</v>
      </c>
      <c r="U45" s="202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03" t="str">
        <f t="shared" si="4"/>
        <v>https://d0f6bd738d7f1b3e5a7ca70fe4ff75f0.us-east-1.aws.found.io/app/kibana#/discover/Steve-Slow-Train-Analysis-(2080s-and-2083s)?_g=(refreshInterval:(display:Off,pause:!f,section:0,value:0),time:(from:'2017-06-10T06:40:02-0600',mode:absolute,to:'2017-06-10T09:23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45" s="204" t="str">
        <f t="shared" si="5"/>
        <v>N</v>
      </c>
      <c r="X45" s="204">
        <f t="shared" si="6"/>
        <v>1</v>
      </c>
      <c r="Y45" s="204">
        <f t="shared" si="7"/>
        <v>4.6600000000000003E-2</v>
      </c>
      <c r="Z45" s="204">
        <f t="shared" si="8"/>
        <v>23.330400000000001</v>
      </c>
      <c r="AA45" s="204">
        <f t="shared" si="9"/>
        <v>23.283799999999999</v>
      </c>
      <c r="AB45" s="57" t="e">
        <f>VLOOKUP(A45,Enforcements!$C$7:$K$13,8,0)</f>
        <v>#N/A</v>
      </c>
      <c r="AC45" s="53" t="e">
        <f>VLOOKUP(A45,Enforcements!$C$7:$E$13,3,0)</f>
        <v>#N/A</v>
      </c>
      <c r="AD45" s="54" t="str">
        <f t="shared" si="10"/>
        <v>0133-10</v>
      </c>
      <c r="AE45" s="80" t="str">
        <f t="shared" si="11"/>
        <v>aws s3 cp s3://rtdc.mdm.uploadarchive.raw/RTDC4002/ "%USERPROFILE%\AppData\Local\Temp\OnboardLogs"\RTDC4002\2017-06-10 --exclude "*" --recursive --include "*20170610*" &amp; "%USERPROFILE%\Documents\GitHub\mrs-test-scripts\Headless Mode &amp; Sideloading\WalkAndUnGZ.bat" "%USERPROFILE%\AppData\Local\Temp\OnboardLogs"\RTDC4002\2017-06-10 &amp; aws s3 cp s3://rtdc.mdm.uploadarchive.raw/RTDC4002/ "%USERPROFILE%\AppData\Local\Temp\OnboardLogs"\RTDC4002\2017-06-11 --exclude "*" --recursive --include "*20170611*" &amp; "%USERPROFILE%\Documents\GitHub\mrs-test-scripts\Headless Mode &amp; Sideloading\WalkAndUnGZ.bat" "%USERPROFILE%\AppData\Local\Temp\OnboardLogs"\RTDC4002\2017-06-11</v>
      </c>
      <c r="AF45" s="77" t="str">
        <f t="shared" si="12"/>
        <v>"C:\Program Files (x86)\AstroGrep\AstroGrep.exe" /e /r /s /spath="%USERPROFILE%\AppData\Local\Temp\OnboardLogs" /stypes="app*4002*20170610*" /stext=" 14:.+((SYSTEM_STATE.+slice.+state.+changed )|(ment ac)|(multiple cpu faults)|(system.+state.+changed )|(\[timeout)|(PRM\|1\|D)|(kpr)|(kdp)|(train st.+moving)|(\|lc)|(penalty))"</v>
      </c>
      <c r="AG45" s="1" t="str">
        <f t="shared" si="13"/>
        <v>EC</v>
      </c>
      <c r="AH45" s="81" t="str">
        <f t="shared" si="37"/>
        <v>"%USERPROFILE%\Documents\GitHub\eaglep3\Utilities\RefineRTDCRunTimes.py" --tripid 133-10 --locoid 4002 --swversion DE.1.0.9.0 --startMP 204:466 --initTime 2017-06-10T07:40:02 --startdatetime 2017-06-10T07:45:15 --delay 2 --endMP 204:233304 --enddatetime 2017-06-10T08:23:18 --enforcementcount 0 &gt;&gt;C:\Users\stu\Documents\GitHub\eaglep3-reporting\EC\2017-06-10-refined-times.txt</v>
      </c>
      <c r="AI45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{"issue":{"subject":"","project_id":79,"tracker_id":40,"status_id":1,"priority_id":2,"assigned_to_id":23,"start_date":"2017-06-10","description":"","custom_fields":[{"id":1,"name":"Subdivision","value":"EC"},{"id":4,"name":"Milepost","value":"23.3304"},{"id":17,"name":"Train ID","value":"133-10"},{"id":16,"name":"Locomotive ID","value":"4002"},{"id":130,"name":"Impact","value":""},{"id":150,"name":"Time of Event (Mountain Time)","value":"08:23:18"},{"id":151,"name":"Denver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5" t="str">
        <f t="shared" si="39"/>
        <v>start /low /b %USERPROFILE%\Documents\GitHub\eaglep3\Utilities\DownloadLogsFromS3.py --loco 4002 --day 2017-06-10</v>
      </c>
      <c r="AN45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14:23:18"},{"id":29,"name":"Sharepoint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691</v>
      </c>
      <c r="B46" s="7">
        <v>4001</v>
      </c>
      <c r="C46" s="21" t="s">
        <v>204</v>
      </c>
      <c r="D46" s="21" t="s">
        <v>523</v>
      </c>
      <c r="E46" s="13">
        <v>42896.359594907408</v>
      </c>
      <c r="F46" s="13">
        <v>42896.362685185188</v>
      </c>
      <c r="G46" s="7">
        <v>1</v>
      </c>
      <c r="H46" s="21" t="s">
        <v>195</v>
      </c>
      <c r="I46" s="13">
        <v>42896.389502314814</v>
      </c>
      <c r="J46" s="7">
        <v>0</v>
      </c>
      <c r="K46" s="92" t="str">
        <f t="shared" si="0"/>
        <v>4001/4002</v>
      </c>
      <c r="L46" s="21" t="str">
        <f>VLOOKUP(A46,'Trips&amp;Operators'!$C$1:$G$99999,5,FALSE)</f>
        <v>DAVIS WENDY</v>
      </c>
      <c r="M46" s="6">
        <f t="shared" si="1"/>
        <v>2.6817129626579117E-2</v>
      </c>
      <c r="N46" s="7">
        <f t="shared" si="36"/>
        <v>38.616666662273929</v>
      </c>
      <c r="O46" s="7"/>
      <c r="P46" s="7"/>
      <c r="Q46" s="22"/>
      <c r="R46" s="173"/>
      <c r="S46" s="176">
        <f t="shared" si="2"/>
        <v>1</v>
      </c>
      <c r="T46" s="202" t="str">
        <f t="shared" si="3"/>
        <v>Southbound</v>
      </c>
      <c r="U46" s="202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03" t="str">
        <f t="shared" si="4"/>
        <v>https://d0f6bd738d7f1b3e5a7ca70fe4ff75f0.us-east-1.aws.found.io/app/kibana#/discover/Steve-Slow-Train-Analysis-(2080s-and-2083s)?_g=(refreshInterval:(display:Off,pause:!f,section:0,value:0),time:(from:'2017-06-10T07:37:49-0600',mode:absolute,to:'2017-06-10T10:20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46" s="204" t="str">
        <f t="shared" si="5"/>
        <v>N</v>
      </c>
      <c r="X46" s="204">
        <f t="shared" si="6"/>
        <v>1</v>
      </c>
      <c r="Y46" s="204">
        <f t="shared" ref="Y46:Y77" si="41">RIGHT(D46,LEN(D46)-4)/10000</f>
        <v>23.298500000000001</v>
      </c>
      <c r="Z46" s="204">
        <f t="shared" ref="Z46:Z77" si="42">RIGHT(H46,LEN(H46)-4)/10000</f>
        <v>1.52E-2</v>
      </c>
      <c r="AA46" s="204">
        <f t="shared" si="9"/>
        <v>23.283300000000001</v>
      </c>
      <c r="AB46" s="57" t="e">
        <f>VLOOKUP(A46,Enforcements!$C$7:$K$13,8,0)</f>
        <v>#N/A</v>
      </c>
      <c r="AC46" s="53" t="e">
        <f>VLOOKUP(A46,Enforcements!$C$7:$E$13,3,0)</f>
        <v>#N/A</v>
      </c>
      <c r="AD46" s="54" t="str">
        <f t="shared" si="10"/>
        <v>0134-10</v>
      </c>
      <c r="AE46" s="80" t="str">
        <f t="shared" si="11"/>
        <v>aws s3 cp s3://rtdc.mdm.uploadarchive.raw/RTDC4001/ "%USERPROFILE%\AppData\Local\Temp\OnboardLogs"\RTDC4001\2017-06-10 --exclude "*" --recursive --include "*20170610*" &amp; "%USERPROFILE%\Documents\GitHub\mrs-test-scripts\Headless Mode &amp; Sideloading\WalkAndUnGZ.bat" "%USERPROFILE%\AppData\Local\Temp\OnboardLogs"\RTDC4001\2017-06-10 &amp; aws s3 cp s3://rtdc.mdm.uploadarchive.raw/RTDC4001/ "%USERPROFILE%\AppData\Local\Temp\OnboardLogs"\RTDC4001\2017-06-11 --exclude "*" --recursive --include "*20170611*" &amp; "%USERPROFILE%\Documents\GitHub\mrs-test-scripts\Headless Mode &amp; Sideloading\WalkAndUnGZ.bat" "%USERPROFILE%\AppData\Local\Temp\OnboardLogs"\RTDC4001\2017-06-11</v>
      </c>
      <c r="AF46" s="77" t="str">
        <f t="shared" si="12"/>
        <v>"C:\Program Files (x86)\AstroGrep\AstroGrep.exe" /e /r /s /spath="%USERPROFILE%\AppData\Local\Temp\OnboardLogs" /stypes="app*4001*20170610*" /stext=" 15:.+((SYSTEM_STATE.+slice.+state.+changed )|(ment ac)|(multiple cpu faults)|(system.+state.+changed )|(\[timeout)|(PRM\|1\|D)|(kpr)|(kdp)|(train st.+moving)|(\|lc)|(penalty))"</v>
      </c>
      <c r="AG46" s="1" t="str">
        <f t="shared" si="13"/>
        <v>EC</v>
      </c>
      <c r="AH46" s="81" t="str">
        <f t="shared" si="37"/>
        <v>"%USERPROFILE%\Documents\GitHub\eaglep3\Utilities\RefineRTDCRunTimes.py" --tripid 134-10 --locoid 4001 --swversion DE.1.0.9.0 --startMP 204:232985 --initTime 2017-06-10T08:37:49 --startdatetime 2017-06-10T08:42:16 --delay 1 --endMP 204:152 --enddatetime 2017-06-10T09:20:53 --enforcementcount 0 &gt;&gt;C:\Users\stu\Documents\GitHub\eaglep3-reporting\EC\2017-06-10-refined-times.txt</v>
      </c>
      <c r="AI46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{"issue":{"subject":"","project_id":79,"tracker_id":40,"status_id":1,"priority_id":2,"assigned_to_id":23,"start_date":"2017-06-10","description":"","custom_fields":[{"id":1,"name":"Subdivision","value":"EC"},{"id":4,"name":"Milepost","value":"0.0152"},{"id":17,"name":"Train ID","value":"134-10"},{"id":16,"name":"Locomotive ID","value":"4001"},{"id":130,"name":"Impact","value":""},{"id":150,"name":"Time of Event (Mountain Time)","value":"09:20:53"},{"id":151,"name":"Denver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5" t="str">
        <f t="shared" si="39"/>
        <v>start /low /b %USERPROFILE%\Documents\GitHub\eaglep3\Utilities\DownloadLogsFromS3.py --loco 4001 --day 2017-06-10</v>
      </c>
      <c r="AN46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15:20:53"},{"id":29,"name":"Sharepoint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576</v>
      </c>
      <c r="B47" s="7">
        <v>4028</v>
      </c>
      <c r="C47" s="21" t="s">
        <v>204</v>
      </c>
      <c r="D47" s="21" t="s">
        <v>397</v>
      </c>
      <c r="E47" s="13">
        <v>42896.328263888892</v>
      </c>
      <c r="F47" s="13">
        <v>42896.333518518521</v>
      </c>
      <c r="G47" s="7">
        <v>1</v>
      </c>
      <c r="H47" s="21" t="s">
        <v>495</v>
      </c>
      <c r="I47" s="13">
        <v>42896.358344907407</v>
      </c>
      <c r="J47" s="7">
        <v>0</v>
      </c>
      <c r="K47" s="92" t="str">
        <f t="shared" si="0"/>
        <v>4027/4028</v>
      </c>
      <c r="L47" s="21" t="str">
        <f>VLOOKUP(A47,'Trips&amp;Operators'!$C$1:$G$99999,5,FALSE)</f>
        <v>GEBRETEKLE DAGNEW</v>
      </c>
      <c r="M47" s="6">
        <f t="shared" si="1"/>
        <v>2.4826388886140194E-2</v>
      </c>
      <c r="N47" s="7">
        <f t="shared" si="36"/>
        <v>35.749999996041879</v>
      </c>
      <c r="O47" s="7"/>
      <c r="P47" s="7"/>
      <c r="Q47" s="22"/>
      <c r="R47" s="173"/>
      <c r="S47" s="176">
        <f t="shared" si="2"/>
        <v>1</v>
      </c>
      <c r="T47" s="202" t="str">
        <f t="shared" si="3"/>
        <v>NorthBound</v>
      </c>
      <c r="U47" s="202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03" t="str">
        <f t="shared" si="4"/>
        <v>https://d0f6bd738d7f1b3e5a7ca70fe4ff75f0.us-east-1.aws.found.io/app/kibana#/discover/Steve-Slow-Train-Analysis-(2080s-and-2083s)?_g=(refreshInterval:(display:Off,pause:!f,section:0,value:0),time:(from:'2017-06-10T06:52:42-0600',mode:absolute,to:'2017-06-10T09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7" s="204" t="str">
        <f t="shared" si="5"/>
        <v>N</v>
      </c>
      <c r="X47" s="204">
        <f t="shared" si="6"/>
        <v>1</v>
      </c>
      <c r="Y47" s="204">
        <f t="shared" si="41"/>
        <v>4.6199999999999998E-2</v>
      </c>
      <c r="Z47" s="204">
        <f t="shared" si="42"/>
        <v>23.330300000000001</v>
      </c>
      <c r="AA47" s="204">
        <f t="shared" si="9"/>
        <v>23.284100000000002</v>
      </c>
      <c r="AB47" s="57" t="e">
        <f>VLOOKUP(A47,Enforcements!$C$7:$K$13,8,0)</f>
        <v>#N/A</v>
      </c>
      <c r="AC47" s="53" t="e">
        <f>VLOOKUP(A47,Enforcements!$C$7:$E$13,3,0)</f>
        <v>#N/A</v>
      </c>
      <c r="AD47" s="54" t="str">
        <f t="shared" si="10"/>
        <v>0135-10</v>
      </c>
      <c r="AE47" s="80" t="str">
        <f t="shared" si="11"/>
        <v>aws s3 cp s3://rtdc.mdm.uploadarchive.raw/RTDC4028/ "%USERPROFILE%\AppData\Local\Temp\OnboardLogs"\RTDC4028\2017-06-10 --exclude "*" --recursive --include "*20170610*" &amp; "%USERPROFILE%\Documents\GitHub\mrs-test-scripts\Headless Mode &amp; Sideloading\WalkAndUnGZ.bat" "%USERPROFILE%\AppData\Local\Temp\OnboardLogs"\RTDC4028\2017-06-10 &amp; aws s3 cp s3://rtdc.mdm.uploadarchive.raw/RTDC4028/ "%USERPROFILE%\AppData\Local\Temp\OnboardLogs"\RTDC4028\2017-06-11 --exclude "*" --recursive --include "*20170611*" &amp; "%USERPROFILE%\Documents\GitHub\mrs-test-scripts\Headless Mode &amp; Sideloading\WalkAndUnGZ.bat" "%USERPROFILE%\AppData\Local\Temp\OnboardLogs"\RTDC4028\2017-06-11</v>
      </c>
      <c r="AF47" s="77" t="str">
        <f t="shared" si="12"/>
        <v>"C:\Program Files (x86)\AstroGrep\AstroGrep.exe" /e /r /s /spath="%USERPROFILE%\AppData\Local\Temp\OnboardLogs" /stypes="app*4028*20170610*" /stext=" 14:.+((SYSTEM_STATE.+slice.+state.+changed )|(ment ac)|(multiple cpu faults)|(system.+state.+changed )|(\[timeout)|(PRM\|1\|D)|(kpr)|(kdp)|(train st.+moving)|(\|lc)|(penalty))"</v>
      </c>
      <c r="AG47" s="1" t="str">
        <f t="shared" si="13"/>
        <v>EC</v>
      </c>
      <c r="AH47" s="81" t="str">
        <f t="shared" si="37"/>
        <v>"%USERPROFILE%\Documents\GitHub\eaglep3\Utilities\RefineRTDCRunTimes.py" --tripid 135-10 --locoid 4028 --swversion DE.1.0.9.0 --startMP 204:462 --initTime 2017-06-10T07:52:42 --startdatetime 2017-06-10T08:00:16 --delay 1 --endMP 204:233303 --enddatetime 2017-06-10T08:36:01 --enforcementcount 0 &gt;&gt;C:\Users\stu\Documents\GitHub\eaglep3-reporting\EC\2017-06-10-refined-times.txt</v>
      </c>
      <c r="AI47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{"issue":{"subject":"","project_id":79,"tracker_id":40,"status_id":1,"priority_id":2,"assigned_to_id":23,"start_date":"2017-06-10","description":"","custom_fields":[{"id":1,"name":"Subdivision","value":"EC"},{"id":4,"name":"Milepost","value":"23.3303"},{"id":17,"name":"Train ID","value":"135-10"},{"id":16,"name":"Locomotive ID","value":"4028"},{"id":130,"name":"Impact","value":""},{"id":150,"name":"Time of Event (Mountain Time)","value":"08:36:01"},{"id":151,"name":"Denver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5" t="str">
        <f t="shared" si="39"/>
        <v>start /low /b %USERPROFILE%\Documents\GitHub\eaglep3\Utilities\DownloadLogsFromS3.py --loco 4028 --day 2017-06-10</v>
      </c>
      <c r="AN47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14:36:01"},{"id":29,"name":"Sharepoint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578</v>
      </c>
      <c r="B48" s="7">
        <v>4027</v>
      </c>
      <c r="C48" s="21" t="s">
        <v>204</v>
      </c>
      <c r="D48" s="21" t="s">
        <v>839</v>
      </c>
      <c r="E48" s="13">
        <v>42896.3596412037</v>
      </c>
      <c r="F48" s="13">
        <v>42896.373090277775</v>
      </c>
      <c r="G48" s="7">
        <v>1</v>
      </c>
      <c r="H48" s="21" t="s">
        <v>530</v>
      </c>
      <c r="I48" s="13">
        <v>42896.39949074074</v>
      </c>
      <c r="J48" s="7">
        <v>0</v>
      </c>
      <c r="K48" s="92" t="str">
        <f t="shared" si="0"/>
        <v>4027/4028</v>
      </c>
      <c r="L48" s="21" t="str">
        <f>VLOOKUP(A48,'Trips&amp;Operators'!$C$1:$G$99999,5,FALSE)</f>
        <v>GEBRETEKLE DAGNEW</v>
      </c>
      <c r="M48" s="6">
        <f t="shared" si="1"/>
        <v>2.6400462964375038E-2</v>
      </c>
      <c r="N48" s="7">
        <f t="shared" si="36"/>
        <v>38.016666668700054</v>
      </c>
      <c r="O48" s="7"/>
      <c r="P48" s="7"/>
      <c r="Q48" s="22"/>
      <c r="R48" s="173"/>
      <c r="S48" s="176">
        <f t="shared" si="2"/>
        <v>1</v>
      </c>
      <c r="T48" s="202" t="str">
        <f t="shared" si="3"/>
        <v>Southbound</v>
      </c>
      <c r="U48" s="202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03" t="str">
        <f t="shared" si="4"/>
        <v>https://d0f6bd738d7f1b3e5a7ca70fe4ff75f0.us-east-1.aws.found.io/app/kibana#/discover/Steve-Slow-Train-Analysis-(2080s-and-2083s)?_g=(refreshInterval:(display:Off,pause:!f,section:0,value:0),time:(from:'2017-06-10T07:37:53-0600',mode:absolute,to:'2017-06-10T10:35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8" s="204" t="str">
        <f t="shared" si="5"/>
        <v>N</v>
      </c>
      <c r="X48" s="204">
        <f t="shared" si="6"/>
        <v>1</v>
      </c>
      <c r="Y48" s="204">
        <f t="shared" si="41"/>
        <v>23.299199999999999</v>
      </c>
      <c r="Z48" s="204">
        <f t="shared" si="42"/>
        <v>1.6899999999999998E-2</v>
      </c>
      <c r="AA48" s="204">
        <f t="shared" si="9"/>
        <v>23.282299999999999</v>
      </c>
      <c r="AB48" s="57" t="e">
        <f>VLOOKUP(A48,Enforcements!$C$7:$K$13,8,0)</f>
        <v>#N/A</v>
      </c>
      <c r="AC48" s="53" t="e">
        <f>VLOOKUP(A48,Enforcements!$C$7:$E$13,3,0)</f>
        <v>#N/A</v>
      </c>
      <c r="AD48" s="54" t="str">
        <f t="shared" si="10"/>
        <v>0136-10</v>
      </c>
      <c r="AE48" s="80" t="str">
        <f t="shared" si="11"/>
        <v>aws s3 cp s3://rtdc.mdm.uploadarchive.raw/RTDC4027/ "%USERPROFILE%\AppData\Local\Temp\OnboardLogs"\RTDC4027\2017-06-10 --exclude "*" --recursive --include "*20170610*" &amp; "%USERPROFILE%\Documents\GitHub\mrs-test-scripts\Headless Mode &amp; Sideloading\WalkAndUnGZ.bat" "%USERPROFILE%\AppData\Local\Temp\OnboardLogs"\RTDC4027\2017-06-10 &amp; aws s3 cp s3://rtdc.mdm.uploadarchive.raw/RTDC4027/ "%USERPROFILE%\AppData\Local\Temp\OnboardLogs"\RTDC4027\2017-06-11 --exclude "*" --recursive --include "*20170611*" &amp; "%USERPROFILE%\Documents\GitHub\mrs-test-scripts\Headless Mode &amp; Sideloading\WalkAndUnGZ.bat" "%USERPROFILE%\AppData\Local\Temp\OnboardLogs"\RTDC4027\2017-06-11</v>
      </c>
      <c r="AF48" s="77" t="str">
        <f t="shared" si="12"/>
        <v>"C:\Program Files (x86)\AstroGrep\AstroGrep.exe" /e /r /s /spath="%USERPROFILE%\AppData\Local\Temp\OnboardLogs" /stypes="app*4027*20170610*" /stext=" 15:.+((SYSTEM_STATE.+slice.+state.+changed )|(ment ac)|(multiple cpu faults)|(system.+state.+changed )|(\[timeout)|(PRM\|1\|D)|(kpr)|(kdp)|(train st.+moving)|(\|lc)|(penalty))"</v>
      </c>
      <c r="AG48" s="1" t="str">
        <f t="shared" si="13"/>
        <v>EC</v>
      </c>
      <c r="AH48" s="81" t="str">
        <f t="shared" si="37"/>
        <v>"%USERPROFILE%\Documents\GitHub\eaglep3\Utilities\RefineRTDCRunTimes.py" --tripid 136-10 --locoid 4027 --swversion DE.1.0.9.0 --startMP 204:232992 --initTime 2017-06-10T08:37:53 --startdatetime 2017-06-10T08:57:15 --delay 1 --endMP 204:169 --enddatetime 2017-06-10T09:35:16 --enforcementcount 0 &gt;&gt;C:\Users\stu\Documents\GitHub\eaglep3-reporting\EC\2017-06-10-refined-times.txt</v>
      </c>
      <c r="AI48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{"issue":{"subject":"","project_id":79,"tracker_id":40,"status_id":1,"priority_id":2,"assigned_to_id":23,"start_date":"2017-06-10","description":"","custom_fields":[{"id":1,"name":"Subdivision","value":"EC"},{"id":4,"name":"Milepost","value":"0.0169"},{"id":17,"name":"Train ID","value":"136-10"},{"id":16,"name":"Locomotive ID","value":"4027"},{"id":130,"name":"Impact","value":""},{"id":150,"name":"Time of Event (Mountain Time)","value":"09:35:16"},{"id":151,"name":"Denver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5" t="str">
        <f t="shared" si="39"/>
        <v>start /low /b %USERPROFILE%\Documents\GitHub\eaglep3\Utilities\DownloadLogsFromS3.py --loco 4027 --day 2017-06-10</v>
      </c>
      <c r="AN48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15:35:16"},{"id":29,"name":"Sharepoint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687</v>
      </c>
      <c r="B49" s="7">
        <v>4032</v>
      </c>
      <c r="C49" s="21" t="s">
        <v>204</v>
      </c>
      <c r="D49" s="21" t="s">
        <v>360</v>
      </c>
      <c r="E49" s="13">
        <v>42896.337673611109</v>
      </c>
      <c r="F49" s="13">
        <v>42896.343981481485</v>
      </c>
      <c r="G49" s="7">
        <v>1</v>
      </c>
      <c r="H49" s="21" t="s">
        <v>840</v>
      </c>
      <c r="I49" s="13">
        <v>42896.368958333333</v>
      </c>
      <c r="J49" s="7">
        <v>0</v>
      </c>
      <c r="K49" s="92" t="str">
        <f t="shared" si="0"/>
        <v>4031/4032</v>
      </c>
      <c r="L49" s="21" t="str">
        <f>VLOOKUP(A49,'Trips&amp;Operators'!$C$1:$G$99999,5,FALSE)</f>
        <v>LALONDE GREGORY</v>
      </c>
      <c r="M49" s="6">
        <f t="shared" si="1"/>
        <v>2.4976851847895887E-2</v>
      </c>
      <c r="N49" s="7">
        <f t="shared" si="36"/>
        <v>35.966666660970077</v>
      </c>
      <c r="O49" s="7"/>
      <c r="P49" s="7"/>
      <c r="Q49" s="22"/>
      <c r="R49" s="173"/>
      <c r="S49" s="176">
        <f t="shared" si="2"/>
        <v>1</v>
      </c>
      <c r="T49" s="202" t="str">
        <f t="shared" si="3"/>
        <v>NorthBound</v>
      </c>
      <c r="U49" s="202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03" t="str">
        <f t="shared" si="4"/>
        <v>https://d0f6bd738d7f1b3e5a7ca70fe4ff75f0.us-east-1.aws.found.io/app/kibana#/discover/Steve-Slow-Train-Analysis-(2080s-and-2083s)?_g=(refreshInterval:(display:Off,pause:!f,section:0,value:0),time:(from:'2017-06-10T07:06:15-0600',mode:absolute,to:'2017-06-10T09:51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9" s="204" t="str">
        <f t="shared" si="5"/>
        <v>N</v>
      </c>
      <c r="X49" s="204">
        <f t="shared" si="6"/>
        <v>1</v>
      </c>
      <c r="Y49" s="204">
        <f t="shared" si="41"/>
        <v>4.4699999999999997E-2</v>
      </c>
      <c r="Z49" s="204">
        <f t="shared" si="42"/>
        <v>23.334399999999999</v>
      </c>
      <c r="AA49" s="204">
        <f t="shared" si="9"/>
        <v>23.2897</v>
      </c>
      <c r="AB49" s="57" t="e">
        <f>VLOOKUP(A49,Enforcements!$C$7:$K$13,8,0)</f>
        <v>#N/A</v>
      </c>
      <c r="AC49" s="53" t="e">
        <f>VLOOKUP(A49,Enforcements!$C$7:$E$13,3,0)</f>
        <v>#N/A</v>
      </c>
      <c r="AD49" s="54" t="str">
        <f t="shared" si="10"/>
        <v>0137-10</v>
      </c>
      <c r="AE49" s="80" t="str">
        <f t="shared" si="11"/>
        <v>aws s3 cp s3://rtdc.mdm.uploadarchive.raw/RTDC4032/ "%USERPROFILE%\AppData\Local\Temp\OnboardLogs"\RTDC4032\2017-06-10 --exclude "*" --recursive --include "*20170610*" &amp; "%USERPROFILE%\Documents\GitHub\mrs-test-scripts\Headless Mode &amp; Sideloading\WalkAndUnGZ.bat" "%USERPROFILE%\AppData\Local\Temp\OnboardLogs"\RTDC4032\2017-06-10 &amp; aws s3 cp s3://rtdc.mdm.uploadarchive.raw/RTDC4032/ "%USERPROFILE%\AppData\Local\Temp\OnboardLogs"\RTDC4032\2017-06-11 --exclude "*" --recursive --include "*20170611*" &amp; "%USERPROFILE%\Documents\GitHub\mrs-test-scripts\Headless Mode &amp; Sideloading\WalkAndUnGZ.bat" "%USERPROFILE%\AppData\Local\Temp\OnboardLogs"\RTDC4032\2017-06-11</v>
      </c>
      <c r="AF49" s="77" t="str">
        <f t="shared" si="12"/>
        <v>"C:\Program Files (x86)\AstroGrep\AstroGrep.exe" /e /r /s /spath="%USERPROFILE%\AppData\Local\Temp\OnboardLogs" /stypes="app*4032*20170610*" /stext=" 14:.+((SYSTEM_STATE.+slice.+state.+changed )|(ment ac)|(multiple cpu faults)|(system.+state.+changed )|(\[timeout)|(PRM\|1\|D)|(kpr)|(kdp)|(train st.+moving)|(\|lc)|(penalty))"</v>
      </c>
      <c r="AG49" s="1" t="str">
        <f t="shared" si="13"/>
        <v>EC</v>
      </c>
      <c r="AH49" s="81" t="str">
        <f t="shared" si="37"/>
        <v>"%USERPROFILE%\Documents\GitHub\eaglep3\Utilities\RefineRTDCRunTimes.py" --tripid 137-10 --locoid 4032 --swversion DE.1.0.9.0 --startMP 204:447 --initTime 2017-06-10T08:06:15 --startdatetime 2017-06-10T08:15:20 --delay 1 --endMP 204:233344 --enddatetime 2017-06-10T08:51:18 --enforcementcount 0 &gt;&gt;C:\Users\stu\Documents\GitHub\eaglep3-reporting\EC\2017-06-10-refined-times.txt</v>
      </c>
      <c r="AI49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{"issue":{"subject":"","project_id":79,"tracker_id":40,"status_id":1,"priority_id":2,"assigned_to_id":23,"start_date":"2017-06-10","description":"","custom_fields":[{"id":1,"name":"Subdivision","value":"EC"},{"id":4,"name":"Milepost","value":"23.3344"},{"id":17,"name":"Train ID","value":"137-10"},{"id":16,"name":"Locomotive ID","value":"4032"},{"id":130,"name":"Impact","value":""},{"id":150,"name":"Time of Event (Mountain Time)","value":"08:51:18"},{"id":151,"name":"Denver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5" t="str">
        <f t="shared" si="39"/>
        <v>start /low /b %USERPROFILE%\Documents\GitHub\eaglep3\Utilities\DownloadLogsFromS3.py --loco 4032 --day 2017-06-10</v>
      </c>
      <c r="AN49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14:51:18"},{"id":29,"name":"Sharepoint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694</v>
      </c>
      <c r="B50" s="7">
        <v>4031</v>
      </c>
      <c r="C50" s="21" t="s">
        <v>204</v>
      </c>
      <c r="D50" s="21" t="s">
        <v>841</v>
      </c>
      <c r="E50" s="13">
        <v>42896.371863425928</v>
      </c>
      <c r="F50" s="13">
        <v>42896.383472222224</v>
      </c>
      <c r="G50" s="7">
        <v>1</v>
      </c>
      <c r="H50" s="21" t="s">
        <v>195</v>
      </c>
      <c r="I50" s="13">
        <v>42896.409236111111</v>
      </c>
      <c r="J50" s="7">
        <v>0</v>
      </c>
      <c r="K50" s="92" t="str">
        <f t="shared" si="0"/>
        <v>4031/4032</v>
      </c>
      <c r="L50" s="21" t="str">
        <f>VLOOKUP(A50,'Trips&amp;Operators'!$C$1:$G$99999,5,FALSE)</f>
        <v>LALONDE GREGORY</v>
      </c>
      <c r="M50" s="6">
        <f t="shared" si="1"/>
        <v>2.5763888887013309E-2</v>
      </c>
      <c r="N50" s="7">
        <f t="shared" si="36"/>
        <v>37.099999997299165</v>
      </c>
      <c r="O50" s="7"/>
      <c r="P50" s="7"/>
      <c r="Q50" s="22"/>
      <c r="R50" s="173"/>
      <c r="S50" s="176">
        <f t="shared" si="2"/>
        <v>1</v>
      </c>
      <c r="T50" s="202" t="str">
        <f t="shared" si="3"/>
        <v>Southbound</v>
      </c>
      <c r="U50" s="202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03" t="str">
        <f t="shared" si="4"/>
        <v>https://d0f6bd738d7f1b3e5a7ca70fe4ff75f0.us-east-1.aws.found.io/app/kibana#/discover/Steve-Slow-Train-Analysis-(2080s-and-2083s)?_g=(refreshInterval:(display:Off,pause:!f,section:0,value:0),time:(from:'2017-06-10T07:55:29-0600',mode:absolute,to:'2017-06-10T10:49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0" s="204" t="str">
        <f t="shared" si="5"/>
        <v>N</v>
      </c>
      <c r="X50" s="204">
        <f t="shared" si="6"/>
        <v>1</v>
      </c>
      <c r="Y50" s="204">
        <f t="shared" si="41"/>
        <v>23.300799999999999</v>
      </c>
      <c r="Z50" s="204">
        <f t="shared" si="42"/>
        <v>1.52E-2</v>
      </c>
      <c r="AA50" s="204">
        <f t="shared" si="9"/>
        <v>23.285599999999999</v>
      </c>
      <c r="AB50" s="57" t="e">
        <f>VLOOKUP(A50,Enforcements!$C$7:$K$13,8,0)</f>
        <v>#N/A</v>
      </c>
      <c r="AC50" s="53" t="e">
        <f>VLOOKUP(A50,Enforcements!$C$7:$E$13,3,0)</f>
        <v>#N/A</v>
      </c>
      <c r="AD50" s="54" t="str">
        <f t="shared" si="10"/>
        <v>0138-10</v>
      </c>
      <c r="AE50" s="80" t="str">
        <f t="shared" si="11"/>
        <v>aws s3 cp s3://rtdc.mdm.uploadarchive.raw/RTDC4031/ "%USERPROFILE%\AppData\Local\Temp\OnboardLogs"\RTDC4031\2017-06-10 --exclude "*" --recursive --include "*20170610*" &amp; "%USERPROFILE%\Documents\GitHub\mrs-test-scripts\Headless Mode &amp; Sideloading\WalkAndUnGZ.bat" "%USERPROFILE%\AppData\Local\Temp\OnboardLogs"\RTDC4031\2017-06-10 &amp; aws s3 cp s3://rtdc.mdm.uploadarchive.raw/RTDC4031/ "%USERPROFILE%\AppData\Local\Temp\OnboardLogs"\RTDC4031\2017-06-11 --exclude "*" --recursive --include "*20170611*" &amp; "%USERPROFILE%\Documents\GitHub\mrs-test-scripts\Headless Mode &amp; Sideloading\WalkAndUnGZ.bat" "%USERPROFILE%\AppData\Local\Temp\OnboardLogs"\RTDC4031\2017-06-11</v>
      </c>
      <c r="AF50" s="77" t="str">
        <f t="shared" si="12"/>
        <v>"C:\Program Files (x86)\AstroGrep\AstroGrep.exe" /e /r /s /spath="%USERPROFILE%\AppData\Local\Temp\OnboardLogs" /stypes="app*4031*20170610*" /stext=" 15:.+((SYSTEM_STATE.+slice.+state.+changed )|(ment ac)|(multiple cpu faults)|(system.+state.+changed )|(\[timeout)|(PRM\|1\|D)|(kpr)|(kdp)|(train st.+moving)|(\|lc)|(penalty))"</v>
      </c>
      <c r="AG50" s="1" t="str">
        <f t="shared" si="13"/>
        <v>EC</v>
      </c>
      <c r="AH50" s="81" t="str">
        <f t="shared" si="37"/>
        <v>"%USERPROFILE%\Documents\GitHub\eaglep3\Utilities\RefineRTDCRunTimes.py" --tripid 138-10 --locoid 4031 --swversion DE.1.0.9.0 --startMP 204:233008 --initTime 2017-06-10T08:55:29 --startdatetime 2017-06-10T09:12:12 --delay 1 --endMP 204:152 --enddatetime 2017-06-10T09:49:18 --enforcementcount 0 &gt;&gt;C:\Users\stu\Documents\GitHub\eaglep3-reporting\EC\2017-06-10-refined-times.txt</v>
      </c>
      <c r="AI50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{"issue":{"subject":"","project_id":79,"tracker_id":40,"status_id":1,"priority_id":2,"assigned_to_id":23,"start_date":"2017-06-10","description":"","custom_fields":[{"id":1,"name":"Subdivision","value":"EC"},{"id":4,"name":"Milepost","value":"0.0152"},{"id":17,"name":"Train ID","value":"138-10"},{"id":16,"name":"Locomotive ID","value":"4031"},{"id":130,"name":"Impact","value":""},{"id":150,"name":"Time of Event (Mountain Time)","value":"09:49:18"},{"id":151,"name":"Denver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5" t="str">
        <f t="shared" si="39"/>
        <v>start /low /b %USERPROFILE%\Documents\GitHub\eaglep3\Utilities\DownloadLogsFromS3.py --loco 4031 --day 2017-06-10</v>
      </c>
      <c r="AN50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15:49:18"},{"id":29,"name":"Sharepoint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689</v>
      </c>
      <c r="B51" s="7">
        <v>4004</v>
      </c>
      <c r="C51" s="21" t="s">
        <v>204</v>
      </c>
      <c r="D51" s="21" t="s">
        <v>359</v>
      </c>
      <c r="E51" s="13">
        <v>42896.348483796297</v>
      </c>
      <c r="F51" s="13">
        <v>42896.354351851849</v>
      </c>
      <c r="G51" s="7">
        <v>1</v>
      </c>
      <c r="H51" s="21" t="s">
        <v>842</v>
      </c>
      <c r="I51" s="13">
        <v>42896.378865740742</v>
      </c>
      <c r="J51" s="7">
        <v>0</v>
      </c>
      <c r="K51" s="92" t="str">
        <f t="shared" si="0"/>
        <v>4003/4004</v>
      </c>
      <c r="L51" s="21" t="str">
        <f>VLOOKUP(A51,'Trips&amp;Operators'!$C$1:$G$99999,5,FALSE)</f>
        <v>ROCHA YAOTL</v>
      </c>
      <c r="M51" s="6">
        <f t="shared" si="1"/>
        <v>2.4513888893125113E-2</v>
      </c>
      <c r="N51" s="7">
        <f t="shared" si="36"/>
        <v>35.300000006100163</v>
      </c>
      <c r="O51" s="7"/>
      <c r="P51" s="7"/>
      <c r="Q51" s="22"/>
      <c r="R51" s="173"/>
      <c r="S51" s="176">
        <f t="shared" si="2"/>
        <v>1</v>
      </c>
      <c r="T51" s="202" t="str">
        <f t="shared" si="3"/>
        <v>NorthBound</v>
      </c>
      <c r="U51" s="202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03" t="str">
        <f t="shared" si="4"/>
        <v>https://d0f6bd738d7f1b3e5a7ca70fe4ff75f0.us-east-1.aws.found.io/app/kibana#/discover/Steve-Slow-Train-Analysis-(2080s-and-2083s)?_g=(refreshInterval:(display:Off,pause:!f,section:0,value:0),time:(from:'2017-06-10T07:21:49-0600',mode:absolute,to:'2017-06-10T10:05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51" s="204" t="str">
        <f t="shared" si="5"/>
        <v>N</v>
      </c>
      <c r="X51" s="204">
        <f t="shared" si="6"/>
        <v>1</v>
      </c>
      <c r="Y51" s="204">
        <f t="shared" si="41"/>
        <v>4.53E-2</v>
      </c>
      <c r="Z51" s="204">
        <f t="shared" si="42"/>
        <v>23.333200000000001</v>
      </c>
      <c r="AA51" s="204">
        <f t="shared" si="9"/>
        <v>23.2879</v>
      </c>
      <c r="AB51" s="57" t="e">
        <f>VLOOKUP(A51,Enforcements!$C$7:$K$13,8,0)</f>
        <v>#N/A</v>
      </c>
      <c r="AC51" s="53" t="e">
        <f>VLOOKUP(A51,Enforcements!$C$7:$E$13,3,0)</f>
        <v>#N/A</v>
      </c>
      <c r="AD51" s="54" t="str">
        <f t="shared" si="10"/>
        <v>0139-10</v>
      </c>
      <c r="AE51" s="80" t="str">
        <f t="shared" si="11"/>
        <v>aws s3 cp s3://rtdc.mdm.uploadarchive.raw/RTDC4004/ "%USERPROFILE%\AppData\Local\Temp\OnboardLogs"\RTDC4004\2017-06-10 --exclude "*" --recursive --include "*20170610*" &amp; "%USERPROFILE%\Documents\GitHub\mrs-test-scripts\Headless Mode &amp; Sideloading\WalkAndUnGZ.bat" "%USERPROFILE%\AppData\Local\Temp\OnboardLogs"\RTDC4004\2017-06-10 &amp; aws s3 cp s3://rtdc.mdm.uploadarchive.raw/RTDC4004/ "%USERPROFILE%\AppData\Local\Temp\OnboardLogs"\RTDC4004\2017-06-11 --exclude "*" --recursive --include "*20170611*" &amp; "%USERPROFILE%\Documents\GitHub\mrs-test-scripts\Headless Mode &amp; Sideloading\WalkAndUnGZ.bat" "%USERPROFILE%\AppData\Local\Temp\OnboardLogs"\RTDC4004\2017-06-11</v>
      </c>
      <c r="AF51" s="77" t="str">
        <f t="shared" si="12"/>
        <v>"C:\Program Files (x86)\AstroGrep\AstroGrep.exe" /e /r /s /spath="%USERPROFILE%\AppData\Local\Temp\OnboardLogs" /stypes="app*4004*20170610*" /stext=" 15:.+((SYSTEM_STATE.+slice.+state.+changed )|(ment ac)|(multiple cpu faults)|(system.+state.+changed )|(\[timeout)|(PRM\|1\|D)|(kpr)|(kdp)|(train st.+moving)|(\|lc)|(penalty))"</v>
      </c>
      <c r="AG51" s="1" t="str">
        <f t="shared" si="13"/>
        <v>EC</v>
      </c>
      <c r="AH51" s="81" t="str">
        <f t="shared" si="37"/>
        <v>"%USERPROFILE%\Documents\GitHub\eaglep3\Utilities\RefineRTDCRunTimes.py" --tripid 139-10 --locoid 4004 --swversion DE.1.0.9.0 --startMP 204:453 --initTime 2017-06-10T08:21:49 --startdatetime 2017-06-10T08:30:16 --delay 1 --endMP 204:233332 --enddatetime 2017-06-10T09:05:34 --enforcementcount 0 &gt;&gt;C:\Users\stu\Documents\GitHub\eaglep3-reporting\EC\2017-06-10-refined-times.txt</v>
      </c>
      <c r="AI51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{"issue":{"subject":"","project_id":79,"tracker_id":40,"status_id":1,"priority_id":2,"assigned_to_id":23,"start_date":"2017-06-10","description":"","custom_fields":[{"id":1,"name":"Subdivision","value":"EC"},{"id":4,"name":"Milepost","value":"23.3332"},{"id":17,"name":"Train ID","value":"139-10"},{"id":16,"name":"Locomotive ID","value":"4004"},{"id":130,"name":"Impact","value":""},{"id":150,"name":"Time of Event (Mountain Time)","value":"09:05:34"},{"id":151,"name":"Denver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5" t="str">
        <f t="shared" si="39"/>
        <v>start /low /b %USERPROFILE%\Documents\GitHub\eaglep3\Utilities\DownloadLogsFromS3.py --loco 4004 --day 2017-06-10</v>
      </c>
      <c r="AN51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15:05:34"},{"id":29,"name":"Sharepoint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698</v>
      </c>
      <c r="B52" s="7">
        <v>4003</v>
      </c>
      <c r="C52" s="21" t="s">
        <v>204</v>
      </c>
      <c r="D52" s="21" t="s">
        <v>843</v>
      </c>
      <c r="E52" s="13">
        <v>42896.391840277778</v>
      </c>
      <c r="F52" s="13">
        <v>42896.393969907411</v>
      </c>
      <c r="G52" s="7">
        <v>0</v>
      </c>
      <c r="H52" s="21" t="s">
        <v>363</v>
      </c>
      <c r="I52" s="13">
        <v>42896.419791666667</v>
      </c>
      <c r="J52" s="7">
        <v>0</v>
      </c>
      <c r="K52" s="92" t="str">
        <f t="shared" si="0"/>
        <v>4003/4004</v>
      </c>
      <c r="L52" s="21" t="str">
        <f>VLOOKUP(A52,'Trips&amp;Operators'!$C$1:$G$99999,5,FALSE)</f>
        <v>ROCHA YAOTL</v>
      </c>
      <c r="M52" s="6">
        <f t="shared" si="1"/>
        <v>2.5821759256359655E-2</v>
      </c>
      <c r="N52" s="7">
        <f t="shared" si="36"/>
        <v>37.183333329157904</v>
      </c>
      <c r="O52" s="7"/>
      <c r="P52" s="7"/>
      <c r="Q52" s="22"/>
      <c r="R52" s="173"/>
      <c r="S52" s="176">
        <f t="shared" si="2"/>
        <v>1</v>
      </c>
      <c r="T52" s="202" t="str">
        <f t="shared" si="3"/>
        <v>Southbound</v>
      </c>
      <c r="U52" s="202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03" t="str">
        <f t="shared" si="4"/>
        <v>https://d0f6bd738d7f1b3e5a7ca70fe4ff75f0.us-east-1.aws.found.io/app/kibana#/discover/Steve-Slow-Train-Analysis-(2080s-and-2083s)?_g=(refreshInterval:(display:Off,pause:!f,section:0,value:0),time:(from:'2017-06-10T08:24:15-0600',mode:absolute,to:'2017-06-10T11:04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52" s="204" t="str">
        <f t="shared" si="5"/>
        <v>N</v>
      </c>
      <c r="X52" s="204">
        <f t="shared" si="6"/>
        <v>1</v>
      </c>
      <c r="Y52" s="204">
        <f t="shared" si="41"/>
        <v>23.300899999999999</v>
      </c>
      <c r="Z52" s="204">
        <f t="shared" si="42"/>
        <v>1.41E-2</v>
      </c>
      <c r="AA52" s="204">
        <f t="shared" si="9"/>
        <v>23.286799999999999</v>
      </c>
      <c r="AB52" s="57" t="e">
        <f>VLOOKUP(A52,Enforcements!$C$7:$K$13,8,0)</f>
        <v>#N/A</v>
      </c>
      <c r="AC52" s="53" t="e">
        <f>VLOOKUP(A52,Enforcements!$C$7:$E$13,3,0)</f>
        <v>#N/A</v>
      </c>
      <c r="AD52" s="54" t="str">
        <f t="shared" si="10"/>
        <v>0140-10</v>
      </c>
      <c r="AE52" s="80" t="str">
        <f t="shared" si="11"/>
        <v>aws s3 cp s3://rtdc.mdm.uploadarchive.raw/RTDC4003/ "%USERPROFILE%\AppData\Local\Temp\OnboardLogs"\RTDC4003\2017-06-10 --exclude "*" --recursive --include "*20170610*" &amp; "%USERPROFILE%\Documents\GitHub\mrs-test-scripts\Headless Mode &amp; Sideloading\WalkAndUnGZ.bat" "%USERPROFILE%\AppData\Local\Temp\OnboardLogs"\RTDC4003\2017-06-10 &amp; aws s3 cp s3://rtdc.mdm.uploadarchive.raw/RTDC4003/ "%USERPROFILE%\AppData\Local\Temp\OnboardLogs"\RTDC4003\2017-06-11 --exclude "*" --recursive --include "*20170611*" &amp; "%USERPROFILE%\Documents\GitHub\mrs-test-scripts\Headless Mode &amp; Sideloading\WalkAndUnGZ.bat" "%USERPROFILE%\AppData\Local\Temp\OnboardLogs"\RTDC4003\2017-06-11</v>
      </c>
      <c r="AF52" s="77" t="str">
        <f t="shared" si="12"/>
        <v>"C:\Program Files (x86)\AstroGrep\AstroGrep.exe" /e /r /s /spath="%USERPROFILE%\AppData\Local\Temp\OnboardLogs" /stypes="app*4003*20170610*" /stext=" 16:.+((SYSTEM_STATE.+slice.+state.+changed )|(ment ac)|(multiple cpu faults)|(system.+state.+changed )|(\[timeout)|(PRM\|1\|D)|(kpr)|(kdp)|(train st.+moving)|(\|lc)|(penalty))"</v>
      </c>
      <c r="AG52" s="1" t="str">
        <f t="shared" si="13"/>
        <v>EC</v>
      </c>
      <c r="AH52" s="81" t="str">
        <f t="shared" si="37"/>
        <v>"%USERPROFILE%\Documents\GitHub\eaglep3\Utilities\RefineRTDCRunTimes.py" --tripid 140-10 --locoid 4003 --swversion DE.1.0.9.0 --startMP 204:233009 --initTime 2017-06-10T09:24:15 --startdatetime 2017-06-10T09:27:19 --delay 0 --endMP 204:141 --enddatetime 2017-06-10T10:04:30 --enforcementcount 0 &gt;&gt;C:\Users\stu\Documents\GitHub\eaglep3-reporting\EC\2017-06-10-refined-times.txt</v>
      </c>
      <c r="AI52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{"issue":{"subject":"","project_id":79,"tracker_id":40,"status_id":1,"priority_id":2,"assigned_to_id":23,"start_date":"2017-06-10","description":"","custom_fields":[{"id":1,"name":"Subdivision","value":"EC"},{"id":4,"name":"Milepost","value":"0.0141"},{"id":17,"name":"Train ID","value":"140-10"},{"id":16,"name":"Locomotive ID","value":"4003"},{"id":130,"name":"Impact","value":""},{"id":150,"name":"Time of Event (Mountain Time)","value":"10:04:30"},{"id":151,"name":"Denver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5" t="str">
        <f t="shared" si="39"/>
        <v>start /low /b %USERPROFILE%\Documents\GitHub\eaglep3\Utilities\DownloadLogsFromS3.py --loco 4003 --day 2017-06-10</v>
      </c>
      <c r="AN52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16:04:30"},{"id":29,"name":"Sharepoint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692</v>
      </c>
      <c r="B53" s="7">
        <v>4044</v>
      </c>
      <c r="C53" s="21" t="s">
        <v>204</v>
      </c>
      <c r="D53" s="21" t="s">
        <v>473</v>
      </c>
      <c r="E53" s="13">
        <v>42896.361168981479</v>
      </c>
      <c r="F53" s="13">
        <v>42896.364791666667</v>
      </c>
      <c r="G53" s="7">
        <v>1</v>
      </c>
      <c r="H53" s="21" t="s">
        <v>531</v>
      </c>
      <c r="I53" s="13">
        <v>42896.390196759261</v>
      </c>
      <c r="J53" s="7">
        <v>0</v>
      </c>
      <c r="K53" s="92" t="str">
        <f t="shared" si="0"/>
        <v>4043/4044</v>
      </c>
      <c r="L53" s="21" t="str">
        <f>VLOOKUP(A53,'Trips&amp;Operators'!$C$1:$G$99999,5,FALSE)</f>
        <v>DAVIDSON DAVID</v>
      </c>
      <c r="M53" s="6">
        <f t="shared" si="1"/>
        <v>2.5405092594155576E-2</v>
      </c>
      <c r="N53" s="7">
        <f t="shared" si="36"/>
        <v>36.58333333558403</v>
      </c>
      <c r="O53" s="7"/>
      <c r="P53" s="7"/>
      <c r="Q53" s="22"/>
      <c r="R53" s="173"/>
      <c r="S53" s="176">
        <f t="shared" si="2"/>
        <v>1</v>
      </c>
      <c r="T53" s="202" t="str">
        <f t="shared" si="3"/>
        <v>NorthBound</v>
      </c>
      <c r="U53" s="202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03" t="str">
        <f t="shared" si="4"/>
        <v>https://d0f6bd738d7f1b3e5a7ca70fe4ff75f0.us-east-1.aws.found.io/app/kibana#/discover/Steve-Slow-Train-Analysis-(2080s-and-2083s)?_g=(refreshInterval:(display:Off,pause:!f,section:0,value:0),time:(from:'2017-06-10T07:40:05-0600',mode:absolute,to:'2017-06-10T10:21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3" s="204" t="str">
        <f t="shared" si="5"/>
        <v>N</v>
      </c>
      <c r="X53" s="204">
        <f t="shared" si="6"/>
        <v>1</v>
      </c>
      <c r="Y53" s="204">
        <f t="shared" si="41"/>
        <v>4.3700000000000003E-2</v>
      </c>
      <c r="Z53" s="204">
        <f t="shared" si="42"/>
        <v>23.331499999999998</v>
      </c>
      <c r="AA53" s="204">
        <f t="shared" si="9"/>
        <v>23.287799999999997</v>
      </c>
      <c r="AB53" s="57" t="e">
        <f>VLOOKUP(A53,Enforcements!$C$7:$K$13,8,0)</f>
        <v>#N/A</v>
      </c>
      <c r="AC53" s="53" t="e">
        <f>VLOOKUP(A53,Enforcements!$C$7:$E$13,3,0)</f>
        <v>#N/A</v>
      </c>
      <c r="AD53" s="54" t="str">
        <f t="shared" si="10"/>
        <v>0141-10</v>
      </c>
      <c r="AE53" s="80" t="str">
        <f t="shared" si="11"/>
        <v>aws s3 cp s3://rtdc.mdm.uploadarchive.raw/RTDC4044/ "%USERPROFILE%\AppData\Local\Temp\OnboardLogs"\RTDC4044\2017-06-10 --exclude "*" --recursive --include "*20170610*" &amp; "%USERPROFILE%\Documents\GitHub\mrs-test-scripts\Headless Mode &amp; Sideloading\WalkAndUnGZ.bat" "%USERPROFILE%\AppData\Local\Temp\OnboardLogs"\RTDC4044\2017-06-10 &amp; aws s3 cp s3://rtdc.mdm.uploadarchive.raw/RTDC4044/ "%USERPROFILE%\AppData\Local\Temp\OnboardLogs"\RTDC4044\2017-06-11 --exclude "*" --recursive --include "*20170611*" &amp; "%USERPROFILE%\Documents\GitHub\mrs-test-scripts\Headless Mode &amp; Sideloading\WalkAndUnGZ.bat" "%USERPROFILE%\AppData\Local\Temp\OnboardLogs"\RTDC4044\2017-06-11</v>
      </c>
      <c r="AF53" s="77" t="str">
        <f t="shared" si="12"/>
        <v>"C:\Program Files (x86)\AstroGrep\AstroGrep.exe" /e /r /s /spath="%USERPROFILE%\AppData\Local\Temp\OnboardLogs" /stypes="app*4044*20170610*" /stext=" 15:.+((SYSTEM_STATE.+slice.+state.+changed )|(ment ac)|(multiple cpu faults)|(system.+state.+changed )|(\[timeout)|(PRM\|1\|D)|(kpr)|(kdp)|(train st.+moving)|(\|lc)|(penalty))"</v>
      </c>
      <c r="AG53" s="1" t="str">
        <f t="shared" si="13"/>
        <v>EC</v>
      </c>
      <c r="AH53" s="81" t="str">
        <f t="shared" si="37"/>
        <v>"%USERPROFILE%\Documents\GitHub\eaglep3\Utilities\RefineRTDCRunTimes.py" --tripid 141-10 --locoid 4044 --swversion DE.1.0.9.0 --startMP 204:437 --initTime 2017-06-10T08:40:05 --startdatetime 2017-06-10T08:45:18 --delay 1 --endMP 204:233315 --enddatetime 2017-06-10T09:21:53 --enforcementcount 0 &gt;&gt;C:\Users\stu\Documents\GitHub\eaglep3-reporting\EC\2017-06-10-refined-times.txt</v>
      </c>
      <c r="AI53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{"issue":{"subject":"","project_id":79,"tracker_id":40,"status_id":1,"priority_id":2,"assigned_to_id":23,"start_date":"2017-06-10","description":"","custom_fields":[{"id":1,"name":"Subdivision","value":"EC"},{"id":4,"name":"Milepost","value":"23.3315"},{"id":17,"name":"Train ID","value":"141-10"},{"id":16,"name":"Locomotive ID","value":"4044"},{"id":130,"name":"Impact","value":""},{"id":150,"name":"Time of Event (Mountain Time)","value":"09:21:53"},{"id":151,"name":"Denver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5" t="str">
        <f t="shared" si="39"/>
        <v>start /low /b %USERPROFILE%\Documents\GitHub\eaglep3\Utilities\DownloadLogsFromS3.py --loco 4044 --day 2017-06-10</v>
      </c>
      <c r="AN53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15:21:53"},{"id":29,"name":"Sharepoint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699</v>
      </c>
      <c r="B54" s="7">
        <v>4043</v>
      </c>
      <c r="C54" s="21" t="s">
        <v>204</v>
      </c>
      <c r="D54" s="21" t="s">
        <v>548</v>
      </c>
      <c r="E54" s="13">
        <v>42896.392708333333</v>
      </c>
      <c r="F54" s="13">
        <v>42896.393472222226</v>
      </c>
      <c r="G54" s="7">
        <v>1</v>
      </c>
      <c r="H54" s="21" t="s">
        <v>844</v>
      </c>
      <c r="I54" s="13">
        <v>42896.423125000001</v>
      </c>
      <c r="J54" s="7">
        <v>0</v>
      </c>
      <c r="K54" s="92" t="str">
        <f t="shared" si="0"/>
        <v>4043/4044</v>
      </c>
      <c r="L54" s="21" t="str">
        <f>VLOOKUP(A54,'Trips&amp;Operators'!$C$1:$G$99999,5,FALSE)</f>
        <v>DAVIDSON DAVID</v>
      </c>
      <c r="M54" s="6">
        <f t="shared" si="1"/>
        <v>2.9652777775481809E-2</v>
      </c>
      <c r="N54" s="7"/>
      <c r="O54" s="7"/>
      <c r="P54" s="7">
        <f>24*60*SUM($M54:$M55)</f>
        <v>57.033333327854052</v>
      </c>
      <c r="Q54" s="22"/>
      <c r="R54" s="173" t="s">
        <v>571</v>
      </c>
      <c r="S54" s="176">
        <f>SUM(U54:U55)/IF(AG54="EC",12,1)</f>
        <v>1</v>
      </c>
      <c r="T54" s="202" t="str">
        <f t="shared" si="3"/>
        <v>Southbound</v>
      </c>
      <c r="U54" s="202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5</v>
      </c>
      <c r="V54" s="203" t="str">
        <f t="shared" si="4"/>
        <v>https://d0f6bd738d7f1b3e5a7ca70fe4ff75f0.us-east-1.aws.found.io/app/kibana#/discover/Steve-Slow-Train-Analysis-(2080s-and-2083s)?_g=(refreshInterval:(display:Off,pause:!f,section:0,value:0),time:(from:'2017-06-10T08:25:30-0600',mode:absolute,to:'2017-06-10T11:09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4" s="204" t="str">
        <f t="shared" si="5"/>
        <v>Y</v>
      </c>
      <c r="X54" s="204">
        <f t="shared" si="6"/>
        <v>1</v>
      </c>
      <c r="Y54" s="204">
        <f t="shared" si="41"/>
        <v>23.299800000000001</v>
      </c>
      <c r="Z54" s="204">
        <f t="shared" si="42"/>
        <v>5.8289</v>
      </c>
      <c r="AA54" s="204">
        <f t="shared" si="9"/>
        <v>17.4709</v>
      </c>
      <c r="AB54" s="57" t="e">
        <f>VLOOKUP(A54,Enforcements!$C$7:$K$13,8,0)</f>
        <v>#N/A</v>
      </c>
      <c r="AC54" s="53" t="e">
        <f>VLOOKUP(A54,Enforcements!$C$7:$E$13,3,0)</f>
        <v>#N/A</v>
      </c>
      <c r="AD54" s="54" t="str">
        <f t="shared" si="10"/>
        <v>0142-10</v>
      </c>
      <c r="AE54" s="80" t="str">
        <f t="shared" si="11"/>
        <v>aws s3 cp s3://rtdc.mdm.uploadarchive.raw/RTDC4043/ "%USERPROFILE%\AppData\Local\Temp\OnboardLogs"\RTDC4043\2017-06-10 --exclude "*" --recursive --include "*20170610*" &amp; "%USERPROFILE%\Documents\GitHub\mrs-test-scripts\Headless Mode &amp; Sideloading\WalkAndUnGZ.bat" "%USERPROFILE%\AppData\Local\Temp\OnboardLogs"\RTDC4043\2017-06-10 &amp; aws s3 cp s3://rtdc.mdm.uploadarchive.raw/RTDC4043/ "%USERPROFILE%\AppData\Local\Temp\OnboardLogs"\RTDC4043\2017-06-11 --exclude "*" --recursive --include "*20170611*" &amp; "%USERPROFILE%\Documents\GitHub\mrs-test-scripts\Headless Mode &amp; Sideloading\WalkAndUnGZ.bat" "%USERPROFILE%\AppData\Local\Temp\OnboardLogs"\RTDC4043\2017-06-11</v>
      </c>
      <c r="AF54" s="77" t="str">
        <f t="shared" si="12"/>
        <v>"C:\Program Files (x86)\AstroGrep\AstroGrep.exe" /e /r /s /spath="%USERPROFILE%\AppData\Local\Temp\OnboardLogs" /stypes="app*4043*20170610*" /stext=" 16:.+((SYSTEM_STATE.+slice.+state.+changed )|(ment ac)|(multiple cpu faults)|(system.+state.+changed )|(\[timeout)|(PRM\|1\|D)|(kpr)|(kdp)|(train st.+moving)|(\|lc)|(penalty))"</v>
      </c>
      <c r="AG54" s="1" t="str">
        <f t="shared" si="13"/>
        <v>EC</v>
      </c>
      <c r="AH54" s="81" t="str">
        <f t="shared" si="37"/>
        <v>"%USERPROFILE%\Documents\GitHub\eaglep3\Utilities\RefineRTDCRunTimes.py" --tripid 142-10 --locoid 4043 --swversion DE.1.0.9.0 --startMP 204:232998 --initTime 2017-06-10T09:25:30 --startdatetime 2017-06-10T09:26:36 --delay 1 --endMP 204:58289 --enddatetime 2017-06-10T10:09:18 --enforcementcount 0 &gt;&gt;C:\Users\stu\Documents\GitHub\eaglep3-reporting\EC\2017-06-10-refined-times.txt</v>
      </c>
      <c r="AI54" s="99" t="str">
        <f t="shared" si="38"/>
        <v>echo {"issue":{"subject":"Onboard in-route failure","project_id":79,"tracker_id":40,"status_id":1,"priority_id":2,"assigned_to_id":23,"start_date":"2017-06-10","description":"","custom_fields":[{"id":1,"name":"Subdivision","value":"EC"},{"id":4,"name":"Milepost","value":"5.8289"},{"id":17,"name":"Train ID","value":"142-10"},{"id":16,"name":"Locomotive ID","value":"4043"},{"id":130,"name":"Impact","value":""},{"id":150,"name":"Time of Event (Mountain Time)","value":"10:09:18"},{"id":151,"name":"Denver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5" t="str">
        <f t="shared" si="39"/>
        <v>start /low /b %USERPROFILE%\Documents\GitHub\eaglep3\Utilities\DownloadLogsFromS3.py --loco 4043 --day 2017-06-10</v>
      </c>
      <c r="AN54" s="154" t="str">
        <f t="shared" si="40"/>
        <v>echo {"issue":{"subject":"Onboard in-route failure","project_id":30,"tracker_id":4,"status_id":1,"priority_id":1,"assigned_to_id":10,"start_date":"2017-06-10","description":"","custom_fields":[{"id":30,"name":"Category","value":"Issue"},{"id":3,"name":"Functional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16:09:18"},{"id":29,"name":"Sharepoint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699</v>
      </c>
      <c r="B55" s="7">
        <v>4043</v>
      </c>
      <c r="C55" s="21" t="s">
        <v>204</v>
      </c>
      <c r="D55" s="21" t="s">
        <v>845</v>
      </c>
      <c r="E55" s="13">
        <v>42896.423333333332</v>
      </c>
      <c r="F55" s="13">
        <v>42896.423900462964</v>
      </c>
      <c r="G55" s="7">
        <v>0</v>
      </c>
      <c r="H55" s="21" t="s">
        <v>456</v>
      </c>
      <c r="I55" s="13">
        <v>42896.433854166666</v>
      </c>
      <c r="J55" s="7">
        <v>0</v>
      </c>
      <c r="K55" s="92" t="str">
        <f t="shared" si="0"/>
        <v>4043/4044</v>
      </c>
      <c r="L55" s="21" t="str">
        <f>VLOOKUP(A55,'Trips&amp;Operators'!$C$1:$G$99999,5,FALSE)</f>
        <v>DAVIDSON DAVID</v>
      </c>
      <c r="M55" s="6">
        <f t="shared" si="1"/>
        <v>9.9537037021946162E-3</v>
      </c>
      <c r="N55" s="7"/>
      <c r="O55" s="7"/>
      <c r="P55" s="7"/>
      <c r="Q55" s="22"/>
      <c r="R55" s="173"/>
      <c r="S55" s="176"/>
      <c r="T55" s="202" t="str">
        <f t="shared" si="3"/>
        <v>Southbound</v>
      </c>
      <c r="U55" s="202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7</v>
      </c>
      <c r="V55" s="203" t="str">
        <f t="shared" si="4"/>
        <v>https://d0f6bd738d7f1b3e5a7ca70fe4ff75f0.us-east-1.aws.found.io/app/kibana#/discover/Steve-Slow-Train-Analysis-(2080s-and-2083s)?_g=(refreshInterval:(display:Off,pause:!f,section:0,value:0),time:(from:'2017-06-10T09:09:36-0600',mode:absolute,to:'2017-06-10T11:24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5" s="204" t="str">
        <f t="shared" si="5"/>
        <v>Y</v>
      </c>
      <c r="X55" s="204">
        <f t="shared" si="6"/>
        <v>0</v>
      </c>
      <c r="Y55" s="204">
        <f t="shared" si="41"/>
        <v>5.8292999999999999</v>
      </c>
      <c r="Z55" s="204">
        <f t="shared" si="42"/>
        <v>1.5599999999999999E-2</v>
      </c>
      <c r="AA55" s="204">
        <f t="shared" si="9"/>
        <v>5.8136999999999999</v>
      </c>
      <c r="AB55" s="57" t="e">
        <f>VLOOKUP(A55,Enforcements!$C$7:$K$13,8,0)</f>
        <v>#N/A</v>
      </c>
      <c r="AC55" s="53" t="e">
        <f>VLOOKUP(A55,Enforcements!$C$7:$E$13,3,0)</f>
        <v>#N/A</v>
      </c>
      <c r="AD55" s="54" t="str">
        <f t="shared" si="10"/>
        <v>0142-10</v>
      </c>
      <c r="AE55" s="80" t="str">
        <f t="shared" si="11"/>
        <v>aws s3 cp s3://rtdc.mdm.uploadarchive.raw/RTDC4043/ "%USERPROFILE%\AppData\Local\Temp\OnboardLogs"\RTDC4043\2017-06-10 --exclude "*" --recursive --include "*20170610*" &amp; "%USERPROFILE%\Documents\GitHub\mrs-test-scripts\Headless Mode &amp; Sideloading\WalkAndUnGZ.bat" "%USERPROFILE%\AppData\Local\Temp\OnboardLogs"\RTDC4043\2017-06-10 &amp; aws s3 cp s3://rtdc.mdm.uploadarchive.raw/RTDC4043/ "%USERPROFILE%\AppData\Local\Temp\OnboardLogs"\RTDC4043\2017-06-11 --exclude "*" --recursive --include "*20170611*" &amp; "%USERPROFILE%\Documents\GitHub\mrs-test-scripts\Headless Mode &amp; Sideloading\WalkAndUnGZ.bat" "%USERPROFILE%\AppData\Local\Temp\OnboardLogs"\RTDC4043\2017-06-11</v>
      </c>
      <c r="AF55" s="77" t="str">
        <f t="shared" si="12"/>
        <v>"C:\Program Files (x86)\AstroGrep\AstroGrep.exe" /e /r /s /spath="%USERPROFILE%\AppData\Local\Temp\OnboardLogs" /stypes="app*4043*20170610*" /stext=" 16:.+((SYSTEM_STATE.+slice.+state.+changed )|(ment ac)|(multiple cpu faults)|(system.+state.+changed )|(\[timeout)|(PRM\|1\|D)|(kpr)|(kdp)|(train st.+moving)|(\|lc)|(penalty))"</v>
      </c>
      <c r="AG55" s="1" t="str">
        <f t="shared" si="13"/>
        <v>EC</v>
      </c>
      <c r="AH55" s="81" t="str">
        <f t="shared" si="37"/>
        <v>"%USERPROFILE%\Documents\GitHub\eaglep3\Utilities\RefineRTDCRunTimes.py" --tripid 142-10 --locoid 4043 --swversion DE.1.0.9.0 --startMP 204:58293 --initTime 2017-06-10T10:09:36 --startdatetime 2017-06-10T10:10:25 --delay 0 --endMP 204:156 --enddatetime 2017-06-10T10:24:45 --enforcementcount 0 &gt;&gt;C:\Users\stu\Documents\GitHub\eaglep3-reporting\EC\2017-06-10-refined-times.txt</v>
      </c>
      <c r="AI55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{"issue":{"subject":"","project_id":79,"tracker_id":40,"status_id":1,"priority_id":2,"assigned_to_id":23,"start_date":"2017-06-10","description":"","custom_fields":[{"id":1,"name":"Subdivision","value":"EC"},{"id":4,"name":"Milepost","value":"0.0156"},{"id":17,"name":"Train ID","value":"142-10"},{"id":16,"name":"Locomotive ID","value":"4043"},{"id":130,"name":"Impact","value":""},{"id":150,"name":"Time of Event (Mountain Time)","value":"10:24:45"},{"id":151,"name":"Denver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5" t="str">
        <f t="shared" si="39"/>
        <v>start /low /b %USERPROFILE%\Documents\GitHub\eaglep3\Utilities\DownloadLogsFromS3.py --loco 4043 --day 2017-06-10</v>
      </c>
      <c r="AN55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16:24:45"},{"id":29,"name":"Sharepoint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693</v>
      </c>
      <c r="B56" s="7">
        <v>4056</v>
      </c>
      <c r="C56" s="21" t="s">
        <v>204</v>
      </c>
      <c r="D56" s="21" t="s">
        <v>455</v>
      </c>
      <c r="E56" s="13">
        <v>42896.370648148149</v>
      </c>
      <c r="F56" s="13">
        <v>42896.375243055554</v>
      </c>
      <c r="G56" s="7">
        <v>1</v>
      </c>
      <c r="H56" s="21" t="s">
        <v>458</v>
      </c>
      <c r="I56" s="13">
        <v>42896.40048611111</v>
      </c>
      <c r="J56" s="7">
        <v>0</v>
      </c>
      <c r="K56" s="92" t="str">
        <f t="shared" si="0"/>
        <v>4055/4056</v>
      </c>
      <c r="L56" s="21" t="str">
        <f>VLOOKUP(A56,'Trips&amp;Operators'!$C$1:$G$99999,5,FALSE)</f>
        <v>WILLIAMS DONTE</v>
      </c>
      <c r="M56" s="6">
        <f t="shared" si="1"/>
        <v>2.5243055555620231E-2</v>
      </c>
      <c r="N56" s="7">
        <f t="shared" ref="N56:N66" si="43">24*60*SUM($M56:$M56)</f>
        <v>36.350000000093132</v>
      </c>
      <c r="O56" s="7"/>
      <c r="P56" s="7"/>
      <c r="Q56" s="22"/>
      <c r="R56" s="173"/>
      <c r="S56" s="176">
        <f t="shared" ref="S56:S66" si="44">SUM(U56:U56)/IF(AG56="EC",12,1)</f>
        <v>1</v>
      </c>
      <c r="T56" s="202" t="str">
        <f t="shared" si="3"/>
        <v>NorthBound</v>
      </c>
      <c r="U56" s="202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03" t="str">
        <f t="shared" si="4"/>
        <v>https://d0f6bd738d7f1b3e5a7ca70fe4ff75f0.us-east-1.aws.found.io/app/kibana#/discover/Steve-Slow-Train-Analysis-(2080s-and-2083s)?_g=(refreshInterval:(display:Off,pause:!f,section:0,value:0),time:(from:'2017-06-10T07:53:44-0600',mode:absolute,to:'2017-06-10T10:36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56" s="204" t="str">
        <f t="shared" si="5"/>
        <v>N</v>
      </c>
      <c r="X56" s="204">
        <f t="shared" si="6"/>
        <v>1</v>
      </c>
      <c r="Y56" s="204">
        <f t="shared" si="41"/>
        <v>4.6699999999999998E-2</v>
      </c>
      <c r="Z56" s="204">
        <f t="shared" si="42"/>
        <v>23.3309</v>
      </c>
      <c r="AA56" s="204">
        <f t="shared" si="9"/>
        <v>23.284199999999998</v>
      </c>
      <c r="AB56" s="57" t="e">
        <f>VLOOKUP(A56,Enforcements!$C$7:$K$13,8,0)</f>
        <v>#N/A</v>
      </c>
      <c r="AC56" s="53" t="e">
        <f>VLOOKUP(A56,Enforcements!$C$7:$E$13,3,0)</f>
        <v>#N/A</v>
      </c>
      <c r="AD56" s="54" t="str">
        <f t="shared" si="10"/>
        <v>0143-10</v>
      </c>
      <c r="AE56" s="80" t="str">
        <f t="shared" si="11"/>
        <v>aws s3 cp s3://rtdc.mdm.uploadarchive.raw/RTDC4056/ "%USERPROFILE%\AppData\Local\Temp\OnboardLogs"\RTDC4056\2017-06-10 --exclude "*" --recursive --include "*20170610*" &amp; "%USERPROFILE%\Documents\GitHub\mrs-test-scripts\Headless Mode &amp; Sideloading\WalkAndUnGZ.bat" "%USERPROFILE%\AppData\Local\Temp\OnboardLogs"\RTDC4056\2017-06-10 &amp; aws s3 cp s3://rtdc.mdm.uploadarchive.raw/RTDC4056/ "%USERPROFILE%\AppData\Local\Temp\OnboardLogs"\RTDC4056\2017-06-11 --exclude "*" --recursive --include "*20170611*" &amp; "%USERPROFILE%\Documents\GitHub\mrs-test-scripts\Headless Mode &amp; Sideloading\WalkAndUnGZ.bat" "%USERPROFILE%\AppData\Local\Temp\OnboardLogs"\RTDC4056\2017-06-11</v>
      </c>
      <c r="AF56" s="77" t="str">
        <f t="shared" si="12"/>
        <v>"C:\Program Files (x86)\AstroGrep\AstroGrep.exe" /e /r /s /spath="%USERPROFILE%\AppData\Local\Temp\OnboardLogs" /stypes="app*4056*20170610*" /stext=" 15:.+((SYSTEM_STATE.+slice.+state.+changed )|(ment ac)|(multiple cpu faults)|(system.+state.+changed )|(\[timeout)|(PRM\|1\|D)|(kpr)|(kdp)|(train st.+moving)|(\|lc)|(penalty))"</v>
      </c>
      <c r="AG56" s="1" t="str">
        <f t="shared" si="13"/>
        <v>EC</v>
      </c>
      <c r="AH56" s="81" t="str">
        <f t="shared" si="37"/>
        <v>"%USERPROFILE%\Documents\GitHub\eaglep3\Utilities\RefineRTDCRunTimes.py" --tripid 143-10 --locoid 4056 --swversion DE.1.0.9.0 --startMP 204:467 --initTime 2017-06-10T08:53:44 --startdatetime 2017-06-10T09:00:21 --delay 1 --endMP 204:233309 --enddatetime 2017-06-10T09:36:42 --enforcementcount 0 &gt;&gt;C:\Users\stu\Documents\GitHub\eaglep3-reporting\EC\2017-06-10-refined-times.txt</v>
      </c>
      <c r="AI56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{"issue":{"subject":"","project_id":79,"tracker_id":40,"status_id":1,"priority_id":2,"assigned_to_id":23,"start_date":"2017-06-10","description":"","custom_fields":[{"id":1,"name":"Subdivision","value":"EC"},{"id":4,"name":"Milepost","value":"23.3309"},{"id":17,"name":"Train ID","value":"143-10"},{"id":16,"name":"Locomotive ID","value":"4056"},{"id":130,"name":"Impact","value":""},{"id":150,"name":"Time of Event (Mountain Time)","value":"09:36:42"},{"id":151,"name":"Denver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5" t="str">
        <f t="shared" si="39"/>
        <v>start /low /b %USERPROFILE%\Documents\GitHub\eaglep3\Utilities\DownloadLogsFromS3.py --loco 4056 --day 2017-06-10</v>
      </c>
      <c r="AN56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15:36:42"},{"id":29,"name":"Sharepoint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702</v>
      </c>
      <c r="B57" s="7">
        <v>4055</v>
      </c>
      <c r="C57" s="21" t="s">
        <v>204</v>
      </c>
      <c r="D57" s="21" t="s">
        <v>498</v>
      </c>
      <c r="E57" s="13">
        <v>42896.403819444444</v>
      </c>
      <c r="F57" s="13">
        <v>42896.414872685185</v>
      </c>
      <c r="G57" s="7">
        <v>1</v>
      </c>
      <c r="H57" s="21" t="s">
        <v>431</v>
      </c>
      <c r="I57" s="13">
        <v>42896.443113425928</v>
      </c>
      <c r="J57" s="7">
        <v>0</v>
      </c>
      <c r="K57" s="92" t="str">
        <f t="shared" si="0"/>
        <v>4055/4056</v>
      </c>
      <c r="L57" s="21" t="str">
        <f>VLOOKUP(A57,'Trips&amp;Operators'!$C$1:$G$99999,5,FALSE)</f>
        <v>WILLIAMS DONTE</v>
      </c>
      <c r="M57" s="6">
        <f t="shared" si="1"/>
        <v>2.8240740743058268E-2</v>
      </c>
      <c r="N57" s="7">
        <f t="shared" si="43"/>
        <v>40.666666670003906</v>
      </c>
      <c r="O57" s="7"/>
      <c r="P57" s="7"/>
      <c r="Q57" s="22"/>
      <c r="R57" s="173"/>
      <c r="S57" s="176">
        <f t="shared" si="44"/>
        <v>1</v>
      </c>
      <c r="T57" s="202" t="str">
        <f t="shared" si="3"/>
        <v>Southbound</v>
      </c>
      <c r="U57" s="202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03" t="str">
        <f t="shared" si="4"/>
        <v>https://d0f6bd738d7f1b3e5a7ca70fe4ff75f0.us-east-1.aws.found.io/app/kibana#/discover/Steve-Slow-Train-Analysis-(2080s-and-2083s)?_g=(refreshInterval:(display:Off,pause:!f,section:0,value:0),time:(from:'2017-06-10T08:41:30-0600',mode:absolute,to:'2017-06-10T11:38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57" s="204" t="str">
        <f t="shared" si="5"/>
        <v>N</v>
      </c>
      <c r="X57" s="204">
        <f t="shared" si="6"/>
        <v>1</v>
      </c>
      <c r="Y57" s="204">
        <f t="shared" si="41"/>
        <v>23.2971</v>
      </c>
      <c r="Z57" s="204">
        <f t="shared" si="42"/>
        <v>1.4500000000000001E-2</v>
      </c>
      <c r="AA57" s="204">
        <f t="shared" si="9"/>
        <v>23.282599999999999</v>
      </c>
      <c r="AB57" s="57" t="e">
        <f>VLOOKUP(A57,Enforcements!$C$7:$K$13,8,0)</f>
        <v>#N/A</v>
      </c>
      <c r="AC57" s="53" t="e">
        <f>VLOOKUP(A57,Enforcements!$C$7:$E$13,3,0)</f>
        <v>#N/A</v>
      </c>
      <c r="AD57" s="54" t="str">
        <f t="shared" si="10"/>
        <v>0144-10</v>
      </c>
      <c r="AE57" s="80" t="str">
        <f t="shared" si="11"/>
        <v>aws s3 cp s3://rtdc.mdm.uploadarchive.raw/RTDC4055/ "%USERPROFILE%\AppData\Local\Temp\OnboardLogs"\RTDC4055\2017-06-10 --exclude "*" --recursive --include "*20170610*" &amp; "%USERPROFILE%\Documents\GitHub\mrs-test-scripts\Headless Mode &amp; Sideloading\WalkAndUnGZ.bat" "%USERPROFILE%\AppData\Local\Temp\OnboardLogs"\RTDC4055\2017-06-10 &amp; aws s3 cp s3://rtdc.mdm.uploadarchive.raw/RTDC4055/ "%USERPROFILE%\AppData\Local\Temp\OnboardLogs"\RTDC4055\2017-06-11 --exclude "*" --recursive --include "*20170611*" &amp; "%USERPROFILE%\Documents\GitHub\mrs-test-scripts\Headless Mode &amp; Sideloading\WalkAndUnGZ.bat" "%USERPROFILE%\AppData\Local\Temp\OnboardLogs"\RTDC4055\2017-06-11</v>
      </c>
      <c r="AF57" s="77" t="str">
        <f t="shared" si="12"/>
        <v>"C:\Program Files (x86)\AstroGrep\AstroGrep.exe" /e /r /s /spath="%USERPROFILE%\AppData\Local\Temp\OnboardLogs" /stypes="app*4055*20170610*" /stext=" 16:.+((SYSTEM_STATE.+slice.+state.+changed )|(ment ac)|(multiple cpu faults)|(system.+state.+changed )|(\[timeout)|(PRM\|1\|D)|(kpr)|(kdp)|(train st.+moving)|(\|lc)|(penalty))"</v>
      </c>
      <c r="AG57" s="1" t="str">
        <f t="shared" si="13"/>
        <v>EC</v>
      </c>
      <c r="AH57" s="81" t="str">
        <f t="shared" si="37"/>
        <v>"%USERPROFILE%\Documents\GitHub\eaglep3\Utilities\RefineRTDCRunTimes.py" --tripid 144-10 --locoid 4055 --swversion DE.1.0.9.0 --startMP 204:232971 --initTime 2017-06-10T09:41:30 --startdatetime 2017-06-10T09:57:25 --delay 1 --endMP 204:145 --enddatetime 2017-06-10T10:38:05 --enforcementcount 0 &gt;&gt;C:\Users\stu\Documents\GitHub\eaglep3-reporting\EC\2017-06-10-refined-times.txt</v>
      </c>
      <c r="AI57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{"issue":{"subject":"","project_id":79,"tracker_id":40,"status_id":1,"priority_id":2,"assigned_to_id":23,"start_date":"2017-06-10","description":"","custom_fields":[{"id":1,"name":"Subdivision","value":"EC"},{"id":4,"name":"Milepost","value":"0.0145"},{"id":17,"name":"Train ID","value":"144-10"},{"id":16,"name":"Locomotive ID","value":"4055"},{"id":130,"name":"Impact","value":""},{"id":150,"name":"Time of Event (Mountain Time)","value":"10:38:05"},{"id":151,"name":"Denver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5" t="str">
        <f t="shared" si="39"/>
        <v>start /low /b %USERPROFILE%\Documents\GitHub\eaglep3\Utilities\DownloadLogsFromS3.py --loco 4055 --day 2017-06-10</v>
      </c>
      <c r="AN57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16:38:05"},{"id":29,"name":"Sharepoint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696</v>
      </c>
      <c r="B58" s="7">
        <v>4062</v>
      </c>
      <c r="C58" s="21" t="s">
        <v>204</v>
      </c>
      <c r="D58" s="21" t="s">
        <v>200</v>
      </c>
      <c r="E58" s="13">
        <v>42896.380706018521</v>
      </c>
      <c r="F58" s="13">
        <v>42896.385578703703</v>
      </c>
      <c r="G58" s="7">
        <v>1</v>
      </c>
      <c r="H58" s="21" t="s">
        <v>531</v>
      </c>
      <c r="I58" s="13">
        <v>42896.411134259259</v>
      </c>
      <c r="J58" s="7">
        <v>0</v>
      </c>
      <c r="K58" s="92" t="str">
        <f t="shared" si="0"/>
        <v>4061/4062</v>
      </c>
      <c r="L58" s="21" t="str">
        <f>VLOOKUP(A58,'Trips&amp;Operators'!$C$1:$G$99999,5,FALSE)</f>
        <v>GUZMAN DANNY</v>
      </c>
      <c r="M58" s="6">
        <f t="shared" si="1"/>
        <v>2.5555555555911269E-2</v>
      </c>
      <c r="N58" s="7">
        <f t="shared" si="43"/>
        <v>36.800000000512227</v>
      </c>
      <c r="O58" s="7"/>
      <c r="P58" s="7"/>
      <c r="Q58" s="22"/>
      <c r="R58" s="173"/>
      <c r="S58" s="176">
        <f t="shared" si="44"/>
        <v>1</v>
      </c>
      <c r="T58" s="202" t="str">
        <f t="shared" si="3"/>
        <v>NorthBound</v>
      </c>
      <c r="U58" s="202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03" t="str">
        <f t="shared" si="4"/>
        <v>https://d0f6bd738d7f1b3e5a7ca70fe4ff75f0.us-east-1.aws.found.io/app/kibana#/discover/Steve-Slow-Train-Analysis-(2080s-and-2083s)?_g=(refreshInterval:(display:Off,pause:!f,section:0,value:0),time:(from:'2017-06-10T08:08:13-0600',mode:absolute,to:'2017-06-10T10:52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58" s="204" t="str">
        <f t="shared" si="5"/>
        <v>N</v>
      </c>
      <c r="X58" s="204">
        <f t="shared" si="6"/>
        <v>1</v>
      </c>
      <c r="Y58" s="204">
        <f t="shared" si="41"/>
        <v>4.5699999999999998E-2</v>
      </c>
      <c r="Z58" s="204">
        <f t="shared" si="42"/>
        <v>23.331499999999998</v>
      </c>
      <c r="AA58" s="204">
        <f t="shared" si="9"/>
        <v>23.285799999999998</v>
      </c>
      <c r="AB58" s="57" t="e">
        <f>VLOOKUP(A58,Enforcements!$C$7:$K$13,8,0)</f>
        <v>#N/A</v>
      </c>
      <c r="AC58" s="53" t="e">
        <f>VLOOKUP(A58,Enforcements!$C$7:$E$13,3,0)</f>
        <v>#N/A</v>
      </c>
      <c r="AD58" s="54" t="str">
        <f t="shared" si="10"/>
        <v>0145-10</v>
      </c>
      <c r="AE58" s="80" t="str">
        <f t="shared" si="11"/>
        <v>aws s3 cp s3://rtdc.mdm.uploadarchive.raw/RTDC4062/ "%USERPROFILE%\AppData\Local\Temp\OnboardLogs"\RTDC4062\2017-06-10 --exclude "*" --recursive --include "*20170610*" &amp; "%USERPROFILE%\Documents\GitHub\mrs-test-scripts\Headless Mode &amp; Sideloading\WalkAndUnGZ.bat" "%USERPROFILE%\AppData\Local\Temp\OnboardLogs"\RTDC4062\2017-06-10 &amp; aws s3 cp s3://rtdc.mdm.uploadarchive.raw/RTDC4062/ "%USERPROFILE%\AppData\Local\Temp\OnboardLogs"\RTDC4062\2017-06-11 --exclude "*" --recursive --include "*20170611*" &amp; "%USERPROFILE%\Documents\GitHub\mrs-test-scripts\Headless Mode &amp; Sideloading\WalkAndUnGZ.bat" "%USERPROFILE%\AppData\Local\Temp\OnboardLogs"\RTDC4062\2017-06-11</v>
      </c>
      <c r="AF58" s="77" t="str">
        <f t="shared" si="12"/>
        <v>"C:\Program Files (x86)\AstroGrep\AstroGrep.exe" /e /r /s /spath="%USERPROFILE%\AppData\Local\Temp\OnboardLogs" /stypes="app*4062*20170610*" /stext=" 15:.+((SYSTEM_STATE.+slice.+state.+changed )|(ment ac)|(multiple cpu faults)|(system.+state.+changed )|(\[timeout)|(PRM\|1\|D)|(kpr)|(kdp)|(train st.+moving)|(\|lc)|(penalty))"</v>
      </c>
      <c r="AG58" s="1" t="str">
        <f t="shared" si="13"/>
        <v>EC</v>
      </c>
      <c r="AH58" s="81" t="str">
        <f t="shared" si="37"/>
        <v>"%USERPROFILE%\Documents\GitHub\eaglep3\Utilities\RefineRTDCRunTimes.py" --tripid 145-10 --locoid 4062 --swversion DE.1.0.9.0 --startMP 204:457 --initTime 2017-06-10T09:08:13 --startdatetime 2017-06-10T09:15:14 --delay 1 --endMP 204:233315 --enddatetime 2017-06-10T09:52:02 --enforcementcount 0 &gt;&gt;C:\Users\stu\Documents\GitHub\eaglep3-reporting\EC\2017-06-10-refined-times.txt</v>
      </c>
      <c r="AI58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{"issue":{"subject":"","project_id":79,"tracker_id":40,"status_id":1,"priority_id":2,"assigned_to_id":23,"start_date":"2017-06-10","description":"","custom_fields":[{"id":1,"name":"Subdivision","value":"EC"},{"id":4,"name":"Milepost","value":"23.3315"},{"id":17,"name":"Train ID","value":"145-10"},{"id":16,"name":"Locomotive ID","value":"4062"},{"id":130,"name":"Impact","value":""},{"id":150,"name":"Time of Event (Mountain Time)","value":"09:52:02"},{"id":151,"name":"Denver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5" t="str">
        <f t="shared" si="39"/>
        <v>start /low /b %USERPROFILE%\Documents\GitHub\eaglep3\Utilities\DownloadLogsFromS3.py --loco 4062 --day 2017-06-10</v>
      </c>
      <c r="AN58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15:52:02"},{"id":29,"name":"Sharepoint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704</v>
      </c>
      <c r="B59" s="7">
        <v>4061</v>
      </c>
      <c r="C59" s="21" t="s">
        <v>204</v>
      </c>
      <c r="D59" s="21" t="s">
        <v>831</v>
      </c>
      <c r="E59" s="13">
        <v>42896.412858796299</v>
      </c>
      <c r="F59" s="13">
        <v>42896.42527777778</v>
      </c>
      <c r="G59" s="7">
        <v>0</v>
      </c>
      <c r="H59" s="21" t="s">
        <v>401</v>
      </c>
      <c r="I59" s="13">
        <v>42896.451770833337</v>
      </c>
      <c r="J59" s="7">
        <v>0</v>
      </c>
      <c r="K59" s="92" t="str">
        <f t="shared" si="0"/>
        <v>4061/4062</v>
      </c>
      <c r="L59" s="21" t="str">
        <f>VLOOKUP(A59,'Trips&amp;Operators'!$C$1:$G$99999,5,FALSE)</f>
        <v>GUZMAN DANNY</v>
      </c>
      <c r="M59" s="6">
        <f t="shared" si="1"/>
        <v>2.6493055556784384E-2</v>
      </c>
      <c r="N59" s="7">
        <f t="shared" si="43"/>
        <v>38.150000001769513</v>
      </c>
      <c r="O59" s="7"/>
      <c r="P59" s="7"/>
      <c r="Q59" s="22"/>
      <c r="R59" s="173"/>
      <c r="S59" s="176">
        <f t="shared" si="44"/>
        <v>1</v>
      </c>
      <c r="T59" s="202" t="str">
        <f t="shared" si="3"/>
        <v>Southbound</v>
      </c>
      <c r="U59" s="202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03" t="str">
        <f t="shared" si="4"/>
        <v>https://d0f6bd738d7f1b3e5a7ca70fe4ff75f0.us-east-1.aws.found.io/app/kibana#/discover/Steve-Slow-Train-Analysis-(2080s-and-2083s)?_g=(refreshInterval:(display:Off,pause:!f,section:0,value:0),time:(from:'2017-06-10T08:54:31-0600',mode:absolute,to:'2017-06-10T11:50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59" s="204" t="str">
        <f t="shared" si="5"/>
        <v>N</v>
      </c>
      <c r="X59" s="204">
        <f t="shared" si="6"/>
        <v>1</v>
      </c>
      <c r="Y59" s="204">
        <f t="shared" si="41"/>
        <v>23.299299999999999</v>
      </c>
      <c r="Z59" s="204">
        <f t="shared" si="42"/>
        <v>1.54E-2</v>
      </c>
      <c r="AA59" s="204">
        <f t="shared" si="9"/>
        <v>23.283899999999999</v>
      </c>
      <c r="AB59" s="57" t="e">
        <f>VLOOKUP(A59,Enforcements!$C$7:$K$13,8,0)</f>
        <v>#N/A</v>
      </c>
      <c r="AC59" s="53" t="e">
        <f>VLOOKUP(A59,Enforcements!$C$7:$E$13,3,0)</f>
        <v>#N/A</v>
      </c>
      <c r="AD59" s="54" t="str">
        <f t="shared" si="10"/>
        <v>0146-10</v>
      </c>
      <c r="AE59" s="80" t="str">
        <f t="shared" si="11"/>
        <v>aws s3 cp s3://rtdc.mdm.uploadarchive.raw/RTDC4061/ "%USERPROFILE%\AppData\Local\Temp\OnboardLogs"\RTDC4061\2017-06-10 --exclude "*" --recursive --include "*20170610*" &amp; "%USERPROFILE%\Documents\GitHub\mrs-test-scripts\Headless Mode &amp; Sideloading\WalkAndUnGZ.bat" "%USERPROFILE%\AppData\Local\Temp\OnboardLogs"\RTDC4061\2017-06-10 &amp; aws s3 cp s3://rtdc.mdm.uploadarchive.raw/RTDC4061/ "%USERPROFILE%\AppData\Local\Temp\OnboardLogs"\RTDC4061\2017-06-11 --exclude "*" --recursive --include "*20170611*" &amp; "%USERPROFILE%\Documents\GitHub\mrs-test-scripts\Headless Mode &amp; Sideloading\WalkAndUnGZ.bat" "%USERPROFILE%\AppData\Local\Temp\OnboardLogs"\RTDC4061\2017-06-11</v>
      </c>
      <c r="AF59" s="77" t="str">
        <f t="shared" si="12"/>
        <v>"C:\Program Files (x86)\AstroGrep\AstroGrep.exe" /e /r /s /spath="%USERPROFILE%\AppData\Local\Temp\OnboardLogs" /stypes="app*4061*20170610*" /stext=" 16:.+((SYSTEM_STATE.+slice.+state.+changed )|(ment ac)|(multiple cpu faults)|(system.+state.+changed )|(\[timeout)|(PRM\|1\|D)|(kpr)|(kdp)|(train st.+moving)|(\|lc)|(penalty))"</v>
      </c>
      <c r="AG59" s="1" t="str">
        <f t="shared" si="13"/>
        <v>EC</v>
      </c>
      <c r="AH59" s="81" t="str">
        <f t="shared" si="37"/>
        <v>"%USERPROFILE%\Documents\GitHub\eaglep3\Utilities\RefineRTDCRunTimes.py" --tripid 146-10 --locoid 4061 --swversion DE.1.0.9.0 --startMP 204:232993 --initTime 2017-06-10T09:54:31 --startdatetime 2017-06-10T10:12:24 --delay 0 --endMP 204:154 --enddatetime 2017-06-10T10:50:33 --enforcementcount 0 &gt;&gt;C:\Users\stu\Documents\GitHub\eaglep3-reporting\EC\2017-06-10-refined-times.txt</v>
      </c>
      <c r="AI59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{"issue":{"subject":"","project_id":79,"tracker_id":40,"status_id":1,"priority_id":2,"assigned_to_id":23,"start_date":"2017-06-10","description":"","custom_fields":[{"id":1,"name":"Subdivision","value":"EC"},{"id":4,"name":"Milepost","value":"0.0154"},{"id":17,"name":"Train ID","value":"146-10"},{"id":16,"name":"Locomotive ID","value":"4061"},{"id":130,"name":"Impact","value":""},{"id":150,"name":"Time of Event (Mountain Time)","value":"10:50:33"},{"id":151,"name":"Denver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5" t="str">
        <f t="shared" si="39"/>
        <v>start /low /b %USERPROFILE%\Documents\GitHub\eaglep3\Utilities\DownloadLogsFromS3.py --loco 4061 --day 2017-06-10</v>
      </c>
      <c r="AN59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16:50:33"},{"id":29,"name":"Sharepoint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697</v>
      </c>
      <c r="B60" s="7">
        <v>4002</v>
      </c>
      <c r="C60" s="21" t="s">
        <v>204</v>
      </c>
      <c r="D60" s="21" t="s">
        <v>201</v>
      </c>
      <c r="E60" s="13">
        <v>42896.391261574077</v>
      </c>
      <c r="F60" s="13">
        <v>42896.396041666667</v>
      </c>
      <c r="G60" s="7">
        <v>1</v>
      </c>
      <c r="H60" s="21" t="s">
        <v>495</v>
      </c>
      <c r="I60" s="13">
        <v>42896.421944444446</v>
      </c>
      <c r="J60" s="7">
        <v>0</v>
      </c>
      <c r="K60" s="92" t="str">
        <f t="shared" si="0"/>
        <v>4001/4002</v>
      </c>
      <c r="L60" s="21" t="str">
        <f>VLOOKUP(A60,'Trips&amp;Operators'!$C$1:$G$99999,5,FALSE)</f>
        <v>DAVIS WENDY</v>
      </c>
      <c r="M60" s="6">
        <f t="shared" si="1"/>
        <v>2.5902777779265307E-2</v>
      </c>
      <c r="N60" s="7">
        <f t="shared" si="43"/>
        <v>37.300000002142042</v>
      </c>
      <c r="O60" s="7"/>
      <c r="P60" s="7"/>
      <c r="Q60" s="22"/>
      <c r="R60" s="173"/>
      <c r="S60" s="176">
        <f t="shared" si="44"/>
        <v>1</v>
      </c>
      <c r="T60" s="202" t="str">
        <f t="shared" si="3"/>
        <v>NorthBound</v>
      </c>
      <c r="U60" s="202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03" t="str">
        <f t="shared" si="4"/>
        <v>https://d0f6bd738d7f1b3e5a7ca70fe4ff75f0.us-east-1.aws.found.io/app/kibana#/discover/Steve-Slow-Train-Analysis-(2080s-and-2083s)?_g=(refreshInterval:(display:Off,pause:!f,section:0,value:0),time:(from:'2017-06-10T08:23:25-0600',mode:absolute,to:'2017-06-10T11:07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0" s="204" t="str">
        <f t="shared" si="5"/>
        <v>N</v>
      </c>
      <c r="X60" s="204">
        <f t="shared" si="6"/>
        <v>1</v>
      </c>
      <c r="Y60" s="204">
        <f t="shared" si="41"/>
        <v>4.5999999999999999E-2</v>
      </c>
      <c r="Z60" s="204">
        <f t="shared" si="42"/>
        <v>23.330300000000001</v>
      </c>
      <c r="AA60" s="204">
        <f t="shared" si="9"/>
        <v>23.284300000000002</v>
      </c>
      <c r="AB60" s="57" t="e">
        <f>VLOOKUP(A60,Enforcements!$C$7:$K$13,8,0)</f>
        <v>#N/A</v>
      </c>
      <c r="AC60" s="53" t="e">
        <f>VLOOKUP(A60,Enforcements!$C$7:$E$13,3,0)</f>
        <v>#N/A</v>
      </c>
      <c r="AD60" s="54" t="str">
        <f t="shared" si="10"/>
        <v>0147-10</v>
      </c>
      <c r="AE60" s="80" t="str">
        <f t="shared" si="11"/>
        <v>aws s3 cp s3://rtdc.mdm.uploadarchive.raw/RTDC4002/ "%USERPROFILE%\AppData\Local\Temp\OnboardLogs"\RTDC4002\2017-06-10 --exclude "*" --recursive --include "*20170610*" &amp; "%USERPROFILE%\Documents\GitHub\mrs-test-scripts\Headless Mode &amp; Sideloading\WalkAndUnGZ.bat" "%USERPROFILE%\AppData\Local\Temp\OnboardLogs"\RTDC4002\2017-06-10 &amp; aws s3 cp s3://rtdc.mdm.uploadarchive.raw/RTDC4002/ "%USERPROFILE%\AppData\Local\Temp\OnboardLogs"\RTDC4002\2017-06-11 --exclude "*" --recursive --include "*20170611*" &amp; "%USERPROFILE%\Documents\GitHub\mrs-test-scripts\Headless Mode &amp; Sideloading\WalkAndUnGZ.bat" "%USERPROFILE%\AppData\Local\Temp\OnboardLogs"\RTDC4002\2017-06-11</v>
      </c>
      <c r="AF60" s="77" t="str">
        <f t="shared" si="12"/>
        <v>"C:\Program Files (x86)\AstroGrep\AstroGrep.exe" /e /r /s /spath="%USERPROFILE%\AppData\Local\Temp\OnboardLogs" /stypes="app*4002*20170610*" /stext=" 16:.+((SYSTEM_STATE.+slice.+state.+changed )|(ment ac)|(multiple cpu faults)|(system.+state.+changed )|(\[timeout)|(PRM\|1\|D)|(kpr)|(kdp)|(train st.+moving)|(\|lc)|(penalty))"</v>
      </c>
      <c r="AG60" s="1" t="str">
        <f t="shared" si="13"/>
        <v>EC</v>
      </c>
      <c r="AH60" s="81" t="str">
        <f t="shared" si="37"/>
        <v>"%USERPROFILE%\Documents\GitHub\eaglep3\Utilities\RefineRTDCRunTimes.py" --tripid 147-10 --locoid 4002 --swversion DE.1.0.9.0 --startMP 204:460 --initTime 2017-06-10T09:23:25 --startdatetime 2017-06-10T09:30:18 --delay 1 --endMP 204:233303 --enddatetime 2017-06-10T10:07:36 --enforcementcount 0 &gt;&gt;C:\Users\stu\Documents\GitHub\eaglep3-reporting\EC\2017-06-10-refined-times.txt</v>
      </c>
      <c r="AI60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{"issue":{"subject":"","project_id":79,"tracker_id":40,"status_id":1,"priority_id":2,"assigned_to_id":23,"start_date":"2017-06-10","description":"","custom_fields":[{"id":1,"name":"Subdivision","value":"EC"},{"id":4,"name":"Milepost","value":"23.3303"},{"id":17,"name":"Train ID","value":"147-10"},{"id":16,"name":"Locomotive ID","value":"4002"},{"id":130,"name":"Impact","value":""},{"id":150,"name":"Time of Event (Mountain Time)","value":"10:07:36"},{"id":151,"name":"Denver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5" t="str">
        <f t="shared" si="39"/>
        <v>start /low /b %USERPROFILE%\Documents\GitHub\eaglep3\Utilities\DownloadLogsFromS3.py --loco 4002 --day 2017-06-10</v>
      </c>
      <c r="AN60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16:07:36"},{"id":29,"name":"Sharepoint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707</v>
      </c>
      <c r="B61" s="7">
        <v>4001</v>
      </c>
      <c r="C61" s="21" t="s">
        <v>204</v>
      </c>
      <c r="D61" s="21" t="s">
        <v>430</v>
      </c>
      <c r="E61" s="13">
        <v>42896.43341435185</v>
      </c>
      <c r="F61" s="13">
        <v>42896.435578703706</v>
      </c>
      <c r="G61" s="7">
        <v>1</v>
      </c>
      <c r="H61" s="21" t="s">
        <v>195</v>
      </c>
      <c r="I61" s="13">
        <v>42896.46297453704</v>
      </c>
      <c r="J61" s="7">
        <v>0</v>
      </c>
      <c r="K61" s="92" t="str">
        <f t="shared" si="0"/>
        <v>4001/4002</v>
      </c>
      <c r="L61" s="21" t="str">
        <f>VLOOKUP(A61,'Trips&amp;Operators'!$C$1:$G$99999,5,FALSE)</f>
        <v>DAVIS WENDY</v>
      </c>
      <c r="M61" s="6">
        <f t="shared" si="1"/>
        <v>2.7395833334594499E-2</v>
      </c>
      <c r="N61" s="7">
        <f t="shared" si="43"/>
        <v>39.450000001816079</v>
      </c>
      <c r="O61" s="7"/>
      <c r="P61" s="7"/>
      <c r="Q61" s="22"/>
      <c r="R61" s="173"/>
      <c r="S61" s="176">
        <f t="shared" si="44"/>
        <v>1</v>
      </c>
      <c r="T61" s="202" t="str">
        <f t="shared" si="3"/>
        <v>Southbound</v>
      </c>
      <c r="U61" s="202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03" t="str">
        <f t="shared" si="4"/>
        <v>https://d0f6bd738d7f1b3e5a7ca70fe4ff75f0.us-east-1.aws.found.io/app/kibana#/discover/Steve-Slow-Train-Analysis-(2080s-and-2083s)?_g=(refreshInterval:(display:Off,pause:!f,section:0,value:0),time:(from:'2017-06-10T09:24:07-0600',mode:absolute,to:'2017-06-10T12:06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1" s="204" t="str">
        <f t="shared" si="5"/>
        <v>N</v>
      </c>
      <c r="X61" s="204">
        <f t="shared" si="6"/>
        <v>1</v>
      </c>
      <c r="Y61" s="204">
        <f t="shared" si="41"/>
        <v>23.297699999999999</v>
      </c>
      <c r="Z61" s="204">
        <f t="shared" si="42"/>
        <v>1.52E-2</v>
      </c>
      <c r="AA61" s="204">
        <f t="shared" si="9"/>
        <v>23.282499999999999</v>
      </c>
      <c r="AB61" s="57" t="e">
        <f>VLOOKUP(A61,Enforcements!$C$7:$K$13,8,0)</f>
        <v>#N/A</v>
      </c>
      <c r="AC61" s="53" t="e">
        <f>VLOOKUP(A61,Enforcements!$C$7:$E$13,3,0)</f>
        <v>#N/A</v>
      </c>
      <c r="AD61" s="54" t="str">
        <f t="shared" si="10"/>
        <v>0148-10</v>
      </c>
      <c r="AE61" s="80" t="str">
        <f t="shared" si="11"/>
        <v>aws s3 cp s3://rtdc.mdm.uploadarchive.raw/RTDC4001/ "%USERPROFILE%\AppData\Local\Temp\OnboardLogs"\RTDC4001\2017-06-10 --exclude "*" --recursive --include "*20170610*" &amp; "%USERPROFILE%\Documents\GitHub\mrs-test-scripts\Headless Mode &amp; Sideloading\WalkAndUnGZ.bat" "%USERPROFILE%\AppData\Local\Temp\OnboardLogs"\RTDC4001\2017-06-10 &amp; aws s3 cp s3://rtdc.mdm.uploadarchive.raw/RTDC4001/ "%USERPROFILE%\AppData\Local\Temp\OnboardLogs"\RTDC4001\2017-06-11 --exclude "*" --recursive --include "*20170611*" &amp; "%USERPROFILE%\Documents\GitHub\mrs-test-scripts\Headless Mode &amp; Sideloading\WalkAndUnGZ.bat" "%USERPROFILE%\AppData\Local\Temp\OnboardLogs"\RTDC4001\2017-06-11</v>
      </c>
      <c r="AF61" s="77" t="str">
        <f t="shared" si="12"/>
        <v>"C:\Program Files (x86)\AstroGrep\AstroGrep.exe" /e /r /s /spath="%USERPROFILE%\AppData\Local\Temp\OnboardLogs" /stypes="app*4001*20170610*" /stext=" 17:.+((SYSTEM_STATE.+slice.+state.+changed )|(ment ac)|(multiple cpu faults)|(system.+state.+changed )|(\[timeout)|(PRM\|1\|D)|(kpr)|(kdp)|(train st.+moving)|(\|lc)|(penalty))"</v>
      </c>
      <c r="AG61" s="1" t="str">
        <f t="shared" si="13"/>
        <v>EC</v>
      </c>
      <c r="AH61" s="81" t="str">
        <f t="shared" si="37"/>
        <v>"%USERPROFILE%\Documents\GitHub\eaglep3\Utilities\RefineRTDCRunTimes.py" --tripid 148-10 --locoid 4001 --swversion DE.1.0.9.0 --startMP 204:232977 --initTime 2017-06-10T10:24:07 --startdatetime 2017-06-10T10:27:14 --delay 1 --endMP 204:152 --enddatetime 2017-06-10T11:06:41 --enforcementcount 0 &gt;&gt;C:\Users\stu\Documents\GitHub\eaglep3-reporting\EC\2017-06-10-refined-times.txt</v>
      </c>
      <c r="AI61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{"issue":{"subject":"","project_id":79,"tracker_id":40,"status_id":1,"priority_id":2,"assigned_to_id":23,"start_date":"2017-06-10","description":"","custom_fields":[{"id":1,"name":"Subdivision","value":"EC"},{"id":4,"name":"Milepost","value":"0.0152"},{"id":17,"name":"Train ID","value":"148-10"},{"id":16,"name":"Locomotive ID","value":"4001"},{"id":130,"name":"Impact","value":""},{"id":150,"name":"Time of Event (Mountain Time)","value":"11:06:41"},{"id":151,"name":"Denver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5" t="str">
        <f t="shared" si="39"/>
        <v>start /low /b %USERPROFILE%\Documents\GitHub\eaglep3\Utilities\DownloadLogsFromS3.py --loco 4001 --day 2017-06-10</v>
      </c>
      <c r="AN61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17:06:41"},{"id":29,"name":"Sharepoint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701</v>
      </c>
      <c r="B62" s="7">
        <v>4028</v>
      </c>
      <c r="C62" s="21" t="s">
        <v>204</v>
      </c>
      <c r="D62" s="21" t="s">
        <v>358</v>
      </c>
      <c r="E62" s="13">
        <v>42896.402638888889</v>
      </c>
      <c r="F62" s="13">
        <v>42896.406435185185</v>
      </c>
      <c r="G62" s="7">
        <v>1</v>
      </c>
      <c r="H62" s="21" t="s">
        <v>846</v>
      </c>
      <c r="I62" s="13">
        <v>42896.431203703702</v>
      </c>
      <c r="J62" s="7">
        <v>0</v>
      </c>
      <c r="K62" s="92" t="str">
        <f t="shared" si="0"/>
        <v>4027/4028</v>
      </c>
      <c r="L62" s="21" t="str">
        <f>VLOOKUP(A62,'Trips&amp;Operators'!$C$1:$G$99999,5,FALSE)</f>
        <v>GEBRETEKLE DAGNEW</v>
      </c>
      <c r="M62" s="6">
        <f t="shared" si="1"/>
        <v>2.4768518516793847E-2</v>
      </c>
      <c r="N62" s="7">
        <f t="shared" si="43"/>
        <v>35.66666666418314</v>
      </c>
      <c r="O62" s="7"/>
      <c r="P62" s="7"/>
      <c r="Q62" s="22"/>
      <c r="R62" s="173"/>
      <c r="S62" s="176">
        <f t="shared" si="44"/>
        <v>1</v>
      </c>
      <c r="T62" s="202" t="str">
        <f t="shared" si="3"/>
        <v>NorthBound</v>
      </c>
      <c r="U62" s="202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03" t="str">
        <f t="shared" si="4"/>
        <v>https://d0f6bd738d7f1b3e5a7ca70fe4ff75f0.us-east-1.aws.found.io/app/kibana#/discover/Steve-Slow-Train-Analysis-(2080s-and-2083s)?_g=(refreshInterval:(display:Off,pause:!f,section:0,value:0),time:(from:'2017-06-10T08:39:48-0600',mode:absolute,to:'2017-06-10T11:20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2" s="204" t="str">
        <f t="shared" si="5"/>
        <v>N</v>
      </c>
      <c r="X62" s="204">
        <f t="shared" si="6"/>
        <v>1</v>
      </c>
      <c r="Y62" s="204">
        <f t="shared" si="41"/>
        <v>4.6399999999999997E-2</v>
      </c>
      <c r="Z62" s="204">
        <f t="shared" si="42"/>
        <v>23.331900000000001</v>
      </c>
      <c r="AA62" s="204">
        <f t="shared" si="9"/>
        <v>23.285500000000003</v>
      </c>
      <c r="AB62" s="57" t="e">
        <f>VLOOKUP(A62,Enforcements!$C$7:$K$13,8,0)</f>
        <v>#N/A</v>
      </c>
      <c r="AC62" s="53" t="e">
        <f>VLOOKUP(A62,Enforcements!$C$7:$E$13,3,0)</f>
        <v>#N/A</v>
      </c>
      <c r="AD62" s="54" t="str">
        <f t="shared" si="10"/>
        <v>0149-10</v>
      </c>
      <c r="AE62" s="80" t="str">
        <f t="shared" si="11"/>
        <v>aws s3 cp s3://rtdc.mdm.uploadarchive.raw/RTDC4028/ "%USERPROFILE%\AppData\Local\Temp\OnboardLogs"\RTDC4028\2017-06-10 --exclude "*" --recursive --include "*20170610*" &amp; "%USERPROFILE%\Documents\GitHub\mrs-test-scripts\Headless Mode &amp; Sideloading\WalkAndUnGZ.bat" "%USERPROFILE%\AppData\Local\Temp\OnboardLogs"\RTDC4028\2017-06-10 &amp; aws s3 cp s3://rtdc.mdm.uploadarchive.raw/RTDC4028/ "%USERPROFILE%\AppData\Local\Temp\OnboardLogs"\RTDC4028\2017-06-11 --exclude "*" --recursive --include "*20170611*" &amp; "%USERPROFILE%\Documents\GitHub\mrs-test-scripts\Headless Mode &amp; Sideloading\WalkAndUnGZ.bat" "%USERPROFILE%\AppData\Local\Temp\OnboardLogs"\RTDC4028\2017-06-11</v>
      </c>
      <c r="AF62" s="77" t="str">
        <f t="shared" si="12"/>
        <v>"C:\Program Files (x86)\AstroGrep\AstroGrep.exe" /e /r /s /spath="%USERPROFILE%\AppData\Local\Temp\OnboardLogs" /stypes="app*4028*20170610*" /stext=" 16:.+((SYSTEM_STATE.+slice.+state.+changed )|(ment ac)|(multiple cpu faults)|(system.+state.+changed )|(\[timeout)|(PRM\|1\|D)|(kpr)|(kdp)|(train st.+moving)|(\|lc)|(penalty))"</v>
      </c>
      <c r="AG62" s="1" t="str">
        <f t="shared" si="13"/>
        <v>EC</v>
      </c>
      <c r="AH62" s="81" t="str">
        <f t="shared" si="37"/>
        <v>"%USERPROFILE%\Documents\GitHub\eaglep3\Utilities\RefineRTDCRunTimes.py" --tripid 149-10 --locoid 4028 --swversion DE.1.0.9.0 --startMP 204:464 --initTime 2017-06-10T09:39:48 --startdatetime 2017-06-10T09:45:16 --delay 1 --endMP 204:233319 --enddatetime 2017-06-10T10:20:56 --enforcementcount 0 &gt;&gt;C:\Users\stu\Documents\GitHub\eaglep3-reporting\EC\2017-06-10-refined-times.txt</v>
      </c>
      <c r="AI62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{"issue":{"subject":"","project_id":79,"tracker_id":40,"status_id":1,"priority_id":2,"assigned_to_id":23,"start_date":"2017-06-10","description":"","custom_fields":[{"id":1,"name":"Subdivision","value":"EC"},{"id":4,"name":"Milepost","value":"23.3319"},{"id":17,"name":"Train ID","value":"149-10"},{"id":16,"name":"Locomotive ID","value":"4028"},{"id":130,"name":"Impact","value":""},{"id":150,"name":"Time of Event (Mountain Time)","value":"10:20:56"},{"id":151,"name":"Denver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5" t="str">
        <f t="shared" si="39"/>
        <v>start /low /b %USERPROFILE%\Documents\GitHub\eaglep3\Utilities\DownloadLogsFromS3.py --loco 4028 --day 2017-06-10</v>
      </c>
      <c r="AN62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16:20:56"},{"id":29,"name":"Sharepoint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579</v>
      </c>
      <c r="B63" s="7">
        <v>4027</v>
      </c>
      <c r="C63" s="21" t="s">
        <v>204</v>
      </c>
      <c r="D63" s="21" t="s">
        <v>523</v>
      </c>
      <c r="E63" s="13">
        <v>42896.432534722226</v>
      </c>
      <c r="F63" s="13">
        <v>42896.44599537037</v>
      </c>
      <c r="G63" s="7">
        <v>1</v>
      </c>
      <c r="H63" s="21" t="s">
        <v>354</v>
      </c>
      <c r="I63" s="13">
        <v>42896.47278935185</v>
      </c>
      <c r="J63" s="7">
        <v>0</v>
      </c>
      <c r="K63" s="92" t="str">
        <f t="shared" si="0"/>
        <v>4027/4028</v>
      </c>
      <c r="L63" s="21" t="str">
        <f>VLOOKUP(A63,'Trips&amp;Operators'!$C$1:$G$99999,5,FALSE)</f>
        <v>GEBRETEKLE DAGNEW</v>
      </c>
      <c r="M63" s="6">
        <f t="shared" si="1"/>
        <v>2.679398148029577E-2</v>
      </c>
      <c r="N63" s="7">
        <f t="shared" si="43"/>
        <v>38.583333331625909</v>
      </c>
      <c r="O63" s="7"/>
      <c r="P63" s="7"/>
      <c r="Q63" s="22"/>
      <c r="R63" s="173"/>
      <c r="S63" s="176">
        <f t="shared" si="44"/>
        <v>1</v>
      </c>
      <c r="T63" s="202" t="str">
        <f t="shared" si="3"/>
        <v>Southbound</v>
      </c>
      <c r="U63" s="202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03" t="str">
        <f t="shared" si="4"/>
        <v>https://d0f6bd738d7f1b3e5a7ca70fe4ff75f0.us-east-1.aws.found.io/app/kibana#/discover/Steve-Slow-Train-Analysis-(2080s-and-2083s)?_g=(refreshInterval:(display:Off,pause:!f,section:0,value:0),time:(from:'2017-06-10T09:22:51-0600',mode:absolute,to:'2017-06-10T12:20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3" s="204" t="str">
        <f t="shared" si="5"/>
        <v>N</v>
      </c>
      <c r="X63" s="204">
        <f t="shared" si="6"/>
        <v>1</v>
      </c>
      <c r="Y63" s="204">
        <f t="shared" si="41"/>
        <v>23.298500000000001</v>
      </c>
      <c r="Z63" s="204">
        <f t="shared" si="42"/>
        <v>1.43E-2</v>
      </c>
      <c r="AA63" s="204">
        <f t="shared" si="9"/>
        <v>23.284200000000002</v>
      </c>
      <c r="AB63" s="57" t="e">
        <f>VLOOKUP(A63,Enforcements!$C$7:$K$13,8,0)</f>
        <v>#N/A</v>
      </c>
      <c r="AC63" s="53" t="e">
        <f>VLOOKUP(A63,Enforcements!$C$7:$E$13,3,0)</f>
        <v>#N/A</v>
      </c>
      <c r="AD63" s="54" t="str">
        <f t="shared" si="10"/>
        <v>0150-10</v>
      </c>
      <c r="AE63" s="80" t="str">
        <f t="shared" si="11"/>
        <v>aws s3 cp s3://rtdc.mdm.uploadarchive.raw/RTDC4027/ "%USERPROFILE%\AppData\Local\Temp\OnboardLogs"\RTDC4027\2017-06-10 --exclude "*" --recursive --include "*20170610*" &amp; "%USERPROFILE%\Documents\GitHub\mrs-test-scripts\Headless Mode &amp; Sideloading\WalkAndUnGZ.bat" "%USERPROFILE%\AppData\Local\Temp\OnboardLogs"\RTDC4027\2017-06-10 &amp; aws s3 cp s3://rtdc.mdm.uploadarchive.raw/RTDC4027/ "%USERPROFILE%\AppData\Local\Temp\OnboardLogs"\RTDC4027\2017-06-11 --exclude "*" --recursive --include "*20170611*" &amp; "%USERPROFILE%\Documents\GitHub\mrs-test-scripts\Headless Mode &amp; Sideloading\WalkAndUnGZ.bat" "%USERPROFILE%\AppData\Local\Temp\OnboardLogs"\RTDC4027\2017-06-11</v>
      </c>
      <c r="AF63" s="77" t="str">
        <f t="shared" si="12"/>
        <v>"C:\Program Files (x86)\AstroGrep\AstroGrep.exe" /e /r /s /spath="%USERPROFILE%\AppData\Local\Temp\OnboardLogs" /stypes="app*4027*20170610*" /stext=" 17:.+((SYSTEM_STATE.+slice.+state.+changed )|(ment ac)|(multiple cpu faults)|(system.+state.+changed )|(\[timeout)|(PRM\|1\|D)|(kpr)|(kdp)|(train st.+moving)|(\|lc)|(penalty))"</v>
      </c>
      <c r="AG63" s="1" t="str">
        <f t="shared" si="13"/>
        <v>EC</v>
      </c>
      <c r="AH63" s="81" t="str">
        <f t="shared" si="37"/>
        <v>"%USERPROFILE%\Documents\GitHub\eaglep3\Utilities\RefineRTDCRunTimes.py" --tripid 150-10 --locoid 4027 --swversion DE.1.0.9.0 --startMP 204:232985 --initTime 2017-06-10T10:22:51 --startdatetime 2017-06-10T10:42:14 --delay 1 --endMP 204:143 --enddatetime 2017-06-10T11:20:49 --enforcementcount 0 &gt;&gt;C:\Users\stu\Documents\GitHub\eaglep3-reporting\EC\2017-06-10-refined-times.txt</v>
      </c>
      <c r="AI63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{"issue":{"subject":"","project_id":79,"tracker_id":40,"status_id":1,"priority_id":2,"assigned_to_id":23,"start_date":"2017-06-10","description":"","custom_fields":[{"id":1,"name":"Subdivision","value":"EC"},{"id":4,"name":"Milepost","value":"0.0143"},{"id":17,"name":"Train ID","value":"150-10"},{"id":16,"name":"Locomotive ID","value":"4027"},{"id":130,"name":"Impact","value":""},{"id":150,"name":"Time of Event (Mountain Time)","value":"11:20:49"},{"id":151,"name":"Denver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5" t="str">
        <f t="shared" si="39"/>
        <v>start /low /b %USERPROFILE%\Documents\GitHub\eaglep3\Utilities\DownloadLogsFromS3.py --loco 4027 --day 2017-06-10</v>
      </c>
      <c r="AN63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17:20:49"},{"id":29,"name":"Sharepoint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703</v>
      </c>
      <c r="B64" s="7">
        <v>4032</v>
      </c>
      <c r="C64" s="21" t="s">
        <v>204</v>
      </c>
      <c r="D64" s="21" t="s">
        <v>359</v>
      </c>
      <c r="E64" s="13">
        <v>42896.412199074075</v>
      </c>
      <c r="F64" s="13">
        <v>42896.416898148149</v>
      </c>
      <c r="G64" s="7">
        <v>1</v>
      </c>
      <c r="H64" s="21" t="s">
        <v>558</v>
      </c>
      <c r="I64" s="13">
        <v>42896.442928240744</v>
      </c>
      <c r="J64" s="7">
        <v>0</v>
      </c>
      <c r="K64" s="92" t="str">
        <f t="shared" si="0"/>
        <v>4031/4032</v>
      </c>
      <c r="L64" s="21" t="str">
        <f>VLOOKUP(A64,'Trips&amp;Operators'!$C$1:$G$99999,5,FALSE)</f>
        <v>CHANDLER KELVIN</v>
      </c>
      <c r="M64" s="6">
        <f t="shared" si="1"/>
        <v>2.6030092594737653E-2</v>
      </c>
      <c r="N64" s="7">
        <f t="shared" si="43"/>
        <v>37.48333333642222</v>
      </c>
      <c r="O64" s="7"/>
      <c r="P64" s="7"/>
      <c r="Q64" s="22"/>
      <c r="R64" s="173"/>
      <c r="S64" s="176">
        <f t="shared" si="44"/>
        <v>1</v>
      </c>
      <c r="T64" s="202" t="str">
        <f t="shared" si="3"/>
        <v>NorthBound</v>
      </c>
      <c r="U64" s="202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03" t="str">
        <f t="shared" si="4"/>
        <v>https://d0f6bd738d7f1b3e5a7ca70fe4ff75f0.us-east-1.aws.found.io/app/kibana#/discover/Steve-Slow-Train-Analysis-(2080s-and-2083s)?_g=(refreshInterval:(display:Off,pause:!f,section:0,value:0),time:(from:'2017-06-10T08:53:34-0600',mode:absolute,to:'2017-06-10T11:37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4" s="204" t="str">
        <f t="shared" si="5"/>
        <v>N</v>
      </c>
      <c r="X64" s="204">
        <f t="shared" si="6"/>
        <v>1</v>
      </c>
      <c r="Y64" s="204">
        <f t="shared" si="41"/>
        <v>4.53E-2</v>
      </c>
      <c r="Z64" s="204">
        <f t="shared" si="42"/>
        <v>23.329499999999999</v>
      </c>
      <c r="AA64" s="204">
        <f t="shared" si="9"/>
        <v>23.284199999999998</v>
      </c>
      <c r="AB64" s="57" t="e">
        <f>VLOOKUP(A64,Enforcements!$C$7:$K$13,8,0)</f>
        <v>#N/A</v>
      </c>
      <c r="AC64" s="53" t="e">
        <f>VLOOKUP(A64,Enforcements!$C$7:$E$13,3,0)</f>
        <v>#N/A</v>
      </c>
      <c r="AD64" s="54" t="str">
        <f t="shared" si="10"/>
        <v>0151-10</v>
      </c>
      <c r="AE64" s="80" t="str">
        <f t="shared" si="11"/>
        <v>aws s3 cp s3://rtdc.mdm.uploadarchive.raw/RTDC4032/ "%USERPROFILE%\AppData\Local\Temp\OnboardLogs"\RTDC4032\2017-06-10 --exclude "*" --recursive --include "*20170610*" &amp; "%USERPROFILE%\Documents\GitHub\mrs-test-scripts\Headless Mode &amp; Sideloading\WalkAndUnGZ.bat" "%USERPROFILE%\AppData\Local\Temp\OnboardLogs"\RTDC4032\2017-06-10 &amp; aws s3 cp s3://rtdc.mdm.uploadarchive.raw/RTDC4032/ "%USERPROFILE%\AppData\Local\Temp\OnboardLogs"\RTDC4032\2017-06-11 --exclude "*" --recursive --include "*20170611*" &amp; "%USERPROFILE%\Documents\GitHub\mrs-test-scripts\Headless Mode &amp; Sideloading\WalkAndUnGZ.bat" "%USERPROFILE%\AppData\Local\Temp\OnboardLogs"\RTDC4032\2017-06-11</v>
      </c>
      <c r="AF64" s="77" t="str">
        <f t="shared" si="12"/>
        <v>"C:\Program Files (x86)\AstroGrep\AstroGrep.exe" /e /r /s /spath="%USERPROFILE%\AppData\Local\Temp\OnboardLogs" /stypes="app*4032*20170610*" /stext=" 16:.+((SYSTEM_STATE.+slice.+state.+changed )|(ment ac)|(multiple cpu faults)|(system.+state.+changed )|(\[timeout)|(PRM\|1\|D)|(kpr)|(kdp)|(train st.+moving)|(\|lc)|(penalty))"</v>
      </c>
      <c r="AG64" s="1" t="str">
        <f t="shared" si="13"/>
        <v>EC</v>
      </c>
      <c r="AH64" s="81" t="str">
        <f t="shared" si="37"/>
        <v>"%USERPROFILE%\Documents\GitHub\eaglep3\Utilities\RefineRTDCRunTimes.py" --tripid 151-10 --locoid 4032 --swversion DE.1.0.9.0 --startMP 204:453 --initTime 2017-06-10T09:53:34 --startdatetime 2017-06-10T10:00:20 --delay 1 --endMP 204:233295 --enddatetime 2017-06-10T10:37:49 --enforcementcount 0 &gt;&gt;C:\Users\stu\Documents\GitHub\eaglep3-reporting\EC\2017-06-10-refined-times.txt</v>
      </c>
      <c r="AI64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{"issue":{"subject":"","project_id":79,"tracker_id":40,"status_id":1,"priority_id":2,"assigned_to_id":23,"start_date":"2017-06-10","description":"","custom_fields":[{"id":1,"name":"Subdivision","value":"EC"},{"id":4,"name":"Milepost","value":"23.3295"},{"id":17,"name":"Train ID","value":"151-10"},{"id":16,"name":"Locomotive ID","value":"4032"},{"id":130,"name":"Impact","value":""},{"id":150,"name":"Time of Event (Mountain Time)","value":"10:37:49"},{"id":151,"name":"Denver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5" t="str">
        <f t="shared" si="39"/>
        <v>start /low /b %USERPROFILE%\Documents\GitHub\eaglep3\Utilities\DownloadLogsFromS3.py --loco 4032 --day 2017-06-10</v>
      </c>
      <c r="AN64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16:37:49"},{"id":29,"name":"Sharepoint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710</v>
      </c>
      <c r="B65" s="7">
        <v>4031</v>
      </c>
      <c r="C65" s="21" t="s">
        <v>204</v>
      </c>
      <c r="D65" s="21" t="s">
        <v>432</v>
      </c>
      <c r="E65" s="13">
        <v>42896.453194444446</v>
      </c>
      <c r="F65" s="13">
        <v>42896.456597222219</v>
      </c>
      <c r="G65" s="7">
        <v>1</v>
      </c>
      <c r="H65" s="21" t="s">
        <v>431</v>
      </c>
      <c r="I65" s="13">
        <v>42896.484571759262</v>
      </c>
      <c r="J65" s="7">
        <v>0</v>
      </c>
      <c r="K65" s="92" t="str">
        <f t="shared" si="0"/>
        <v>4031/4032</v>
      </c>
      <c r="L65" s="21" t="str">
        <f>VLOOKUP(A65,'Trips&amp;Operators'!$C$1:$G$99999,5,FALSE)</f>
        <v>CHANDLER KELVIN</v>
      </c>
      <c r="M65" s="6">
        <f t="shared" si="1"/>
        <v>2.7974537042609882E-2</v>
      </c>
      <c r="N65" s="7">
        <f t="shared" si="43"/>
        <v>40.28333334135823</v>
      </c>
      <c r="O65" s="7"/>
      <c r="P65" s="7"/>
      <c r="Q65" s="22"/>
      <c r="R65" s="173"/>
      <c r="S65" s="176">
        <f t="shared" si="44"/>
        <v>1</v>
      </c>
      <c r="T65" s="202" t="str">
        <f t="shared" si="3"/>
        <v>Southbound</v>
      </c>
      <c r="U65" s="202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03" t="str">
        <f t="shared" si="4"/>
        <v>https://d0f6bd738d7f1b3e5a7ca70fe4ff75f0.us-east-1.aws.found.io/app/kibana#/discover/Steve-Slow-Train-Analysis-(2080s-and-2083s)?_g=(refreshInterval:(display:Off,pause:!f,section:0,value:0),time:(from:'2017-06-10T09:52:36-0600',mode:absolute,to:'2017-06-10T12:37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5" s="204" t="str">
        <f t="shared" si="5"/>
        <v>N</v>
      </c>
      <c r="X65" s="204">
        <f t="shared" si="6"/>
        <v>1</v>
      </c>
      <c r="Y65" s="204">
        <f t="shared" si="41"/>
        <v>23.297999999999998</v>
      </c>
      <c r="Z65" s="204">
        <f t="shared" si="42"/>
        <v>1.4500000000000001E-2</v>
      </c>
      <c r="AA65" s="204">
        <f t="shared" si="9"/>
        <v>23.283499999999997</v>
      </c>
      <c r="AB65" s="57" t="e">
        <f>VLOOKUP(A65,Enforcements!$C$7:$K$13,8,0)</f>
        <v>#N/A</v>
      </c>
      <c r="AC65" s="53" t="e">
        <f>VLOOKUP(A65,Enforcements!$C$7:$E$13,3,0)</f>
        <v>#N/A</v>
      </c>
      <c r="AD65" s="54" t="str">
        <f t="shared" si="10"/>
        <v>0152-10</v>
      </c>
      <c r="AE65" s="80" t="str">
        <f t="shared" si="11"/>
        <v>aws s3 cp s3://rtdc.mdm.uploadarchive.raw/RTDC4031/ "%USERPROFILE%\AppData\Local\Temp\OnboardLogs"\RTDC4031\2017-06-10 --exclude "*" --recursive --include "*20170610*" &amp; "%USERPROFILE%\Documents\GitHub\mrs-test-scripts\Headless Mode &amp; Sideloading\WalkAndUnGZ.bat" "%USERPROFILE%\AppData\Local\Temp\OnboardLogs"\RTDC4031\2017-06-10 &amp; aws s3 cp s3://rtdc.mdm.uploadarchive.raw/RTDC4031/ "%USERPROFILE%\AppData\Local\Temp\OnboardLogs"\RTDC4031\2017-06-11 --exclude "*" --recursive --include "*20170611*" &amp; "%USERPROFILE%\Documents\GitHub\mrs-test-scripts\Headless Mode &amp; Sideloading\WalkAndUnGZ.bat" "%USERPROFILE%\AppData\Local\Temp\OnboardLogs"\RTDC4031\2017-06-11</v>
      </c>
      <c r="AF65" s="77" t="str">
        <f t="shared" si="12"/>
        <v>"C:\Program Files (x86)\AstroGrep\AstroGrep.exe" /e /r /s /spath="%USERPROFILE%\AppData\Local\Temp\OnboardLogs" /stypes="app*4031*20170610*" /stext=" 17:.+((SYSTEM_STATE.+slice.+state.+changed )|(ment ac)|(multiple cpu faults)|(system.+state.+changed )|(\[timeout)|(PRM\|1\|D)|(kpr)|(kdp)|(train st.+moving)|(\|lc)|(penalty))"</v>
      </c>
      <c r="AG65" s="1" t="str">
        <f t="shared" si="13"/>
        <v>EC</v>
      </c>
      <c r="AH65" s="81" t="str">
        <f t="shared" si="37"/>
        <v>"%USERPROFILE%\Documents\GitHub\eaglep3\Utilities\RefineRTDCRunTimes.py" --tripid 152-10 --locoid 4031 --swversion DE.1.0.9.0 --startMP 204:232980 --initTime 2017-06-10T10:52:36 --startdatetime 2017-06-10T10:57:30 --delay 1 --endMP 204:145 --enddatetime 2017-06-10T11:37:47 --enforcementcount 0 &gt;&gt;C:\Users\stu\Documents\GitHub\eaglep3-reporting\EC\2017-06-10-refined-times.txt</v>
      </c>
      <c r="AI65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{"issue":{"subject":"","project_id":79,"tracker_id":40,"status_id":1,"priority_id":2,"assigned_to_id":23,"start_date":"2017-06-10","description":"","custom_fields":[{"id":1,"name":"Subdivision","value":"EC"},{"id":4,"name":"Milepost","value":"0.0145"},{"id":17,"name":"Train ID","value":"152-10"},{"id":16,"name":"Locomotive ID","value":"4031"},{"id":130,"name":"Impact","value":""},{"id":150,"name":"Time of Event (Mountain Time)","value":"11:37:47"},{"id":151,"name":"Denver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5" t="str">
        <f t="shared" si="39"/>
        <v>start /low /b %USERPROFILE%\Documents\GitHub\eaglep3\Utilities\DownloadLogsFromS3.py --loco 4031 --day 2017-06-10</v>
      </c>
      <c r="AN65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17:37:47"},{"id":29,"name":"Sharepoint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706</v>
      </c>
      <c r="B66" s="7">
        <v>4004</v>
      </c>
      <c r="C66" s="21" t="s">
        <v>204</v>
      </c>
      <c r="D66" s="21" t="s">
        <v>355</v>
      </c>
      <c r="E66" s="13">
        <v>42896.423206018517</v>
      </c>
      <c r="F66" s="13">
        <v>42896.427662037036</v>
      </c>
      <c r="G66" s="7">
        <v>2</v>
      </c>
      <c r="H66" s="21" t="s">
        <v>558</v>
      </c>
      <c r="I66" s="13">
        <v>42896.452187499999</v>
      </c>
      <c r="J66" s="7">
        <v>0</v>
      </c>
      <c r="K66" s="92" t="str">
        <f t="shared" si="0"/>
        <v>4003/4004</v>
      </c>
      <c r="L66" s="21" t="str">
        <f>VLOOKUP(A66,'Trips&amp;Operators'!$C$1:$G$99999,5,FALSE)</f>
        <v>YORK EDGAR</v>
      </c>
      <c r="M66" s="6">
        <f t="shared" si="1"/>
        <v>2.4525462962628808E-2</v>
      </c>
      <c r="N66" s="7">
        <f t="shared" si="43"/>
        <v>35.316666666185483</v>
      </c>
      <c r="O66" s="7"/>
      <c r="P66" s="7"/>
      <c r="Q66" s="22"/>
      <c r="R66" s="173"/>
      <c r="S66" s="176">
        <f t="shared" si="44"/>
        <v>1</v>
      </c>
      <c r="T66" s="202" t="str">
        <f t="shared" si="3"/>
        <v>NorthBound</v>
      </c>
      <c r="U66" s="202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03" t="str">
        <f t="shared" si="4"/>
        <v>https://d0f6bd738d7f1b3e5a7ca70fe4ff75f0.us-east-1.aws.found.io/app/kibana#/discover/Steve-Slow-Train-Analysis-(2080s-and-2083s)?_g=(refreshInterval:(display:Off,pause:!f,section:0,value:0),time:(from:'2017-06-10T09:09:25-0600',mode:absolute,to:'2017-06-10T11:51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66" s="204" t="str">
        <f t="shared" si="5"/>
        <v>N</v>
      </c>
      <c r="X66" s="204">
        <f t="shared" si="6"/>
        <v>1</v>
      </c>
      <c r="Y66" s="204">
        <f t="shared" si="41"/>
        <v>4.6600000000000003E-2</v>
      </c>
      <c r="Z66" s="204">
        <f t="shared" si="42"/>
        <v>23.329499999999999</v>
      </c>
      <c r="AA66" s="204">
        <f t="shared" si="9"/>
        <v>23.282899999999998</v>
      </c>
      <c r="AB66" s="57" t="e">
        <f>VLOOKUP(A66,Enforcements!$C$7:$K$13,8,0)</f>
        <v>#N/A</v>
      </c>
      <c r="AC66" s="53" t="e">
        <f>VLOOKUP(A66,Enforcements!$C$7:$E$13,3,0)</f>
        <v>#N/A</v>
      </c>
      <c r="AD66" s="54" t="str">
        <f t="shared" si="10"/>
        <v>0153-10</v>
      </c>
      <c r="AE66" s="80" t="str">
        <f t="shared" si="11"/>
        <v>aws s3 cp s3://rtdc.mdm.uploadarchive.raw/RTDC4004/ "%USERPROFILE%\AppData\Local\Temp\OnboardLogs"\RTDC4004\2017-06-10 --exclude "*" --recursive --include "*20170610*" &amp; "%USERPROFILE%\Documents\GitHub\mrs-test-scripts\Headless Mode &amp; Sideloading\WalkAndUnGZ.bat" "%USERPROFILE%\AppData\Local\Temp\OnboardLogs"\RTDC4004\2017-06-10 &amp; aws s3 cp s3://rtdc.mdm.uploadarchive.raw/RTDC4004/ "%USERPROFILE%\AppData\Local\Temp\OnboardLogs"\RTDC4004\2017-06-11 --exclude "*" --recursive --include "*20170611*" &amp; "%USERPROFILE%\Documents\GitHub\mrs-test-scripts\Headless Mode &amp; Sideloading\WalkAndUnGZ.bat" "%USERPROFILE%\AppData\Local\Temp\OnboardLogs"\RTDC4004\2017-06-11</v>
      </c>
      <c r="AF66" s="77" t="str">
        <f t="shared" si="12"/>
        <v>"C:\Program Files (x86)\AstroGrep\AstroGrep.exe" /e /r /s /spath="%USERPROFILE%\AppData\Local\Temp\OnboardLogs" /stypes="app*4004*20170610*" /stext=" 16:.+((SYSTEM_STATE.+slice.+state.+changed )|(ment ac)|(multiple cpu faults)|(system.+state.+changed )|(\[timeout)|(PRM\|1\|D)|(kpr)|(kdp)|(train st.+moving)|(\|lc)|(penalty))"</v>
      </c>
      <c r="AG66" s="1" t="str">
        <f t="shared" si="13"/>
        <v>EC</v>
      </c>
      <c r="AH66" s="81" t="str">
        <f t="shared" si="37"/>
        <v>"%USERPROFILE%\Documents\GitHub\eaglep3\Utilities\RefineRTDCRunTimes.py" --tripid 153-10 --locoid 4004 --swversion DE.1.0.9.0 --startMP 204:466 --initTime 2017-06-10T10:09:25 --startdatetime 2017-06-10T10:15:50 --delay 2 --endMP 204:233295 --enddatetime 2017-06-10T10:51:09 --enforcementcount 0 &gt;&gt;C:\Users\stu\Documents\GitHub\eaglep3-reporting\EC\2017-06-10-refined-times.txt</v>
      </c>
      <c r="AI66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{"issue":{"subject":"","project_id":79,"tracker_id":40,"status_id":1,"priority_id":2,"assigned_to_id":23,"start_date":"2017-06-10","description":"","custom_fields":[{"id":1,"name":"Subdivision","value":"EC"},{"id":4,"name":"Milepost","value":"23.3295"},{"id":17,"name":"Train ID","value":"153-10"},{"id":16,"name":"Locomotive ID","value":"4004"},{"id":130,"name":"Impact","value":""},{"id":150,"name":"Time of Event (Mountain Time)","value":"10:51:09"},{"id":151,"name":"Denver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5" t="str">
        <f t="shared" si="39"/>
        <v>start /low /b %USERPROFILE%\Documents\GitHub\eaglep3\Utilities\DownloadLogsFromS3.py --loco 4004 --day 2017-06-10</v>
      </c>
      <c r="AN66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16:51:09"},{"id":29,"name":"Sharepoint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583</v>
      </c>
      <c r="B67" s="7">
        <v>4003</v>
      </c>
      <c r="C67" s="21" t="s">
        <v>204</v>
      </c>
      <c r="D67" s="21" t="s">
        <v>847</v>
      </c>
      <c r="E67" s="13">
        <v>42896.453287037039</v>
      </c>
      <c r="F67" s="13">
        <v>42896.45453703704</v>
      </c>
      <c r="G67" s="7">
        <v>1</v>
      </c>
      <c r="H67" s="21" t="s">
        <v>848</v>
      </c>
      <c r="I67" s="13">
        <v>42896.482534722221</v>
      </c>
      <c r="J67" s="7">
        <v>1</v>
      </c>
      <c r="K67" s="92" t="str">
        <f t="shared" si="0"/>
        <v>4003/4004</v>
      </c>
      <c r="L67" s="21" t="str">
        <f>VLOOKUP(A67,'Trips&amp;Operators'!$C$1:$G$99999,5,FALSE)</f>
        <v>YORK EDGAR</v>
      </c>
      <c r="M67" s="6">
        <f t="shared" si="1"/>
        <v>2.7997685181617271E-2</v>
      </c>
      <c r="N67" s="7"/>
      <c r="O67" s="7"/>
      <c r="P67" s="7">
        <f>24*60*SUM($M67:$M68)</f>
        <v>54.283333334606141</v>
      </c>
      <c r="Q67" s="22"/>
      <c r="R67" s="173" t="s">
        <v>1035</v>
      </c>
      <c r="S67" s="176">
        <f>SUM(U67:U68)/IF(AG67="EC",12,1)</f>
        <v>1</v>
      </c>
      <c r="T67" s="202" t="str">
        <f t="shared" si="3"/>
        <v>Southbound</v>
      </c>
      <c r="U67" s="202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3</v>
      </c>
      <c r="V67" s="203" t="str">
        <f t="shared" si="4"/>
        <v>https://d0f6bd738d7f1b3e5a7ca70fe4ff75f0.us-east-1.aws.found.io/app/kibana#/discover/Steve-Slow-Train-Analysis-(2080s-and-2083s)?_g=(refreshInterval:(display:Off,pause:!f,section:0,value:0),time:(from:'2017-06-10T09:52:44-0600',mode:absolute,to:'2017-06-10T12:34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7" s="204" t="str">
        <f t="shared" si="5"/>
        <v>Y</v>
      </c>
      <c r="X67" s="204">
        <f t="shared" si="6"/>
        <v>1</v>
      </c>
      <c r="Y67" s="204">
        <f t="shared" si="41"/>
        <v>23.2972</v>
      </c>
      <c r="Z67" s="204">
        <f t="shared" si="42"/>
        <v>6.5799000000000003</v>
      </c>
      <c r="AA67" s="204">
        <f t="shared" si="9"/>
        <v>16.717300000000002</v>
      </c>
      <c r="AB67" s="57" t="e">
        <f>VLOOKUP(A67,Enforcements!$C$7:$K$13,8,0)</f>
        <v>#N/A</v>
      </c>
      <c r="AC67" s="53" t="e">
        <f>VLOOKUP(A67,Enforcements!$C$7:$E$13,3,0)</f>
        <v>#N/A</v>
      </c>
      <c r="AD67" s="54" t="str">
        <f t="shared" si="10"/>
        <v>0154-10</v>
      </c>
      <c r="AE67" s="80" t="str">
        <f t="shared" si="11"/>
        <v>aws s3 cp s3://rtdc.mdm.uploadarchive.raw/RTDC4003/ "%USERPROFILE%\AppData\Local\Temp\OnboardLogs"\RTDC4003\2017-06-10 --exclude "*" --recursive --include "*20170610*" &amp; "%USERPROFILE%\Documents\GitHub\mrs-test-scripts\Headless Mode &amp; Sideloading\WalkAndUnGZ.bat" "%USERPROFILE%\AppData\Local\Temp\OnboardLogs"\RTDC4003\2017-06-10 &amp; aws s3 cp s3://rtdc.mdm.uploadarchive.raw/RTDC4003/ "%USERPROFILE%\AppData\Local\Temp\OnboardLogs"\RTDC4003\2017-06-11 --exclude "*" --recursive --include "*20170611*" &amp; "%USERPROFILE%\Documents\GitHub\mrs-test-scripts\Headless Mode &amp; Sideloading\WalkAndUnGZ.bat" "%USERPROFILE%\AppData\Local\Temp\OnboardLogs"\RTDC4003\2017-06-11</v>
      </c>
      <c r="AF67" s="77" t="str">
        <f t="shared" si="12"/>
        <v>"C:\Program Files (x86)\AstroGrep\AstroGrep.exe" /e /r /s /spath="%USERPROFILE%\AppData\Local\Temp\OnboardLogs" /stypes="app*4003*20170610*" /stext=" 17:.+((SYSTEM_STATE.+slice.+state.+changed )|(ment ac)|(multiple cpu faults)|(system.+state.+changed )|(\[timeout)|(PRM\|1\|D)|(kpr)|(kdp)|(train st.+moving)|(\|lc)|(penalty))"</v>
      </c>
      <c r="AG67" s="1" t="str">
        <f t="shared" si="13"/>
        <v>EC</v>
      </c>
      <c r="AH67" s="81" t="str">
        <f t="shared" si="37"/>
        <v>"%USERPROFILE%\Documents\GitHub\eaglep3\Utilities\RefineRTDCRunTimes.py" --tripid 154-10 --locoid 4003 --swversion DE.1.0.9.0 --startMP 204:232972 --initTime 2017-06-10T10:52:44 --startdatetime 2017-06-10T10:54:32 --delay 1 --endMP 204:65799 --enddatetime 2017-06-10T11:34:51 --enforcementcount 1 &gt;&gt;C:\Users\stu\Documents\GitHub\eaglep3-reporting\EC\2017-06-10-refined-times.txt</v>
      </c>
      <c r="AI67" s="99" t="str">
        <f t="shared" si="38"/>
        <v>echo {"issue":{"subject":"Havana Wi-MAX base radio outage","project_id":79,"tracker_id":40,"status_id":1,"priority_id":2,"assigned_to_id":23,"start_date":"2017-06-10","description":"","custom_fields":[{"id":1,"name":"Subdivision","value":"EC"},{"id":4,"name":"Milepost","value":"6.5799"},{"id":17,"name":"Train ID","value":"154-10"},{"id":16,"name":"Locomotive ID","value":"4003"},{"id":130,"name":"Impact","value":""},{"id":150,"name":"Time of Event (Mountain Time)","value":"11:34:51"},{"id":151,"name":"Denver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5" t="str">
        <f t="shared" si="39"/>
        <v>start /low /b %USERPROFILE%\Documents\GitHub\eaglep3\Utilities\DownloadLogsFromS3.py --loco 4003 --day 2017-06-10</v>
      </c>
      <c r="AN67" s="154" t="str">
        <f t="shared" si="40"/>
        <v>echo {"issue":{"subject":"Havana Wi-MAX base radio outage","project_id":30,"tracker_id":4,"status_id":1,"priority_id":1,"assigned_to_id":10,"start_date":"2017-06-10","description":"","custom_fields":[{"id":30,"name":"Category","value":"Issue"},{"id":3,"name":"Functional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17:34:51"},{"id":29,"name":"Sharepoint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583</v>
      </c>
      <c r="B68" s="7">
        <v>4003</v>
      </c>
      <c r="C68" s="21" t="s">
        <v>204</v>
      </c>
      <c r="D68" s="21" t="s">
        <v>849</v>
      </c>
      <c r="E68" s="13">
        <v>42896.484155092592</v>
      </c>
      <c r="F68" s="13">
        <v>42896.484895833331</v>
      </c>
      <c r="G68" s="7">
        <v>1</v>
      </c>
      <c r="H68" s="21" t="s">
        <v>401</v>
      </c>
      <c r="I68" s="13">
        <v>42896.49459490741</v>
      </c>
      <c r="J68" s="7">
        <v>0</v>
      </c>
      <c r="K68" s="92" t="str">
        <f t="shared" si="0"/>
        <v>4003/4004</v>
      </c>
      <c r="L68" s="21" t="str">
        <f>VLOOKUP(A68,'Trips&amp;Operators'!$C$1:$G$99999,5,FALSE)</f>
        <v>YORK EDGAR</v>
      </c>
      <c r="M68" s="6">
        <f t="shared" si="1"/>
        <v>9.6990740785258822E-3</v>
      </c>
      <c r="N68" s="7"/>
      <c r="O68" s="7"/>
      <c r="P68" s="7"/>
      <c r="Q68" s="22"/>
      <c r="R68" s="173"/>
      <c r="S68" s="176"/>
      <c r="T68" s="202" t="str">
        <f t="shared" si="3"/>
        <v>Southbound</v>
      </c>
      <c r="U68" s="202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9</v>
      </c>
      <c r="V68" s="203" t="str">
        <f t="shared" si="4"/>
        <v>https://d0f6bd738d7f1b3e5a7ca70fe4ff75f0.us-east-1.aws.found.io/app/kibana#/discover/Steve-Slow-Train-Analysis-(2080s-and-2083s)?_g=(refreshInterval:(display:Off,pause:!f,section:0,value:0),time:(from:'2017-06-10T10:37:11-0600',mode:absolute,to:'2017-06-10T12:52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8" s="204" t="str">
        <f t="shared" si="5"/>
        <v>Y</v>
      </c>
      <c r="X68" s="204">
        <f t="shared" si="6"/>
        <v>0</v>
      </c>
      <c r="Y68" s="204">
        <f t="shared" si="41"/>
        <v>6.4172000000000002</v>
      </c>
      <c r="Z68" s="204">
        <f t="shared" si="42"/>
        <v>1.54E-2</v>
      </c>
      <c r="AA68" s="204">
        <f t="shared" si="9"/>
        <v>6.4018000000000006</v>
      </c>
      <c r="AB68" s="57" t="e">
        <f>VLOOKUP(A68,Enforcements!$C$7:$K$13,8,0)</f>
        <v>#N/A</v>
      </c>
      <c r="AC68" s="53" t="e">
        <f>VLOOKUP(A68,Enforcements!$C$7:$E$13,3,0)</f>
        <v>#N/A</v>
      </c>
      <c r="AD68" s="54" t="str">
        <f t="shared" si="10"/>
        <v>0154-10</v>
      </c>
      <c r="AE68" s="80" t="str">
        <f t="shared" si="11"/>
        <v>aws s3 cp s3://rtdc.mdm.uploadarchive.raw/RTDC4003/ "%USERPROFILE%\AppData\Local\Temp\OnboardLogs"\RTDC4003\2017-06-10 --exclude "*" --recursive --include "*20170610*" &amp; "%USERPROFILE%\Documents\GitHub\mrs-test-scripts\Headless Mode &amp; Sideloading\WalkAndUnGZ.bat" "%USERPROFILE%\AppData\Local\Temp\OnboardLogs"\RTDC4003\2017-06-10 &amp; aws s3 cp s3://rtdc.mdm.uploadarchive.raw/RTDC4003/ "%USERPROFILE%\AppData\Local\Temp\OnboardLogs"\RTDC4003\2017-06-11 --exclude "*" --recursive --include "*20170611*" &amp; "%USERPROFILE%\Documents\GitHub\mrs-test-scripts\Headless Mode &amp; Sideloading\WalkAndUnGZ.bat" "%USERPROFILE%\AppData\Local\Temp\OnboardLogs"\RTDC4003\2017-06-11</v>
      </c>
      <c r="AF68" s="77" t="str">
        <f t="shared" si="12"/>
        <v>"C:\Program Files (x86)\AstroGrep\AstroGrep.exe" /e /r /s /spath="%USERPROFILE%\AppData\Local\Temp\OnboardLogs" /stypes="app*4003*20170610*" /stext=" 17:.+((SYSTEM_STATE.+slice.+state.+changed )|(ment ac)|(multiple cpu faults)|(system.+state.+changed )|(\[timeout)|(PRM\|1\|D)|(kpr)|(kdp)|(train st.+moving)|(\|lc)|(penalty))"</v>
      </c>
      <c r="AG68" s="1" t="str">
        <f t="shared" si="13"/>
        <v>EC</v>
      </c>
      <c r="AH68" s="81" t="str">
        <f t="shared" si="37"/>
        <v>"%USERPROFILE%\Documents\GitHub\eaglep3\Utilities\RefineRTDCRunTimes.py" --tripid 154-10 --locoid 4003 --swversion DE.1.0.9.0 --startMP 204:64172 --initTime 2017-06-10T11:37:11 --startdatetime 2017-06-10T11:38:15 --delay 1 --endMP 204:154 --enddatetime 2017-06-10T11:52:13 --enforcementcount 0 &gt;&gt;C:\Users\stu\Documents\GitHub\eaglep3-reporting\EC\2017-06-10-refined-times.txt</v>
      </c>
      <c r="AI68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{"issue":{"subject":"","project_id":79,"tracker_id":40,"status_id":1,"priority_id":2,"assigned_to_id":23,"start_date":"2017-06-10","description":"","custom_fields":[{"id":1,"name":"Subdivision","value":"EC"},{"id":4,"name":"Milepost","value":"0.0154"},{"id":17,"name":"Train ID","value":"154-10"},{"id":16,"name":"Locomotive ID","value":"4003"},{"id":130,"name":"Impact","value":""},{"id":150,"name":"Time of Event (Mountain Time)","value":"11:52:13"},{"id":151,"name":"Denver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5" t="str">
        <f t="shared" si="39"/>
        <v>start /low /b %USERPROFILE%\Documents\GitHub\eaglep3\Utilities\DownloadLogsFromS3.py --loco 4003 --day 2017-06-10</v>
      </c>
      <c r="AN68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17:52:13"},{"id":29,"name":"Sharepoint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708</v>
      </c>
      <c r="B69" s="7">
        <v>4044</v>
      </c>
      <c r="C69" s="21" t="s">
        <v>204</v>
      </c>
      <c r="D69" s="21" t="s">
        <v>351</v>
      </c>
      <c r="E69" s="13">
        <v>42896.435381944444</v>
      </c>
      <c r="F69" s="13">
        <v>42896.437916666669</v>
      </c>
      <c r="G69" s="7">
        <v>1</v>
      </c>
      <c r="H69" s="21" t="s">
        <v>465</v>
      </c>
      <c r="I69" s="13">
        <v>42896.464525462965</v>
      </c>
      <c r="J69" s="7">
        <v>0</v>
      </c>
      <c r="K69" s="92" t="str">
        <f t="shared" si="0"/>
        <v>4043/4044</v>
      </c>
      <c r="L69" s="21" t="str">
        <f>VLOOKUP(A69,'Trips&amp;Operators'!$C$1:$G$99999,5,FALSE)</f>
        <v>DAVIDSON DAVID</v>
      </c>
      <c r="M69" s="6">
        <f t="shared" si="1"/>
        <v>2.6608796295477077E-2</v>
      </c>
      <c r="N69" s="7">
        <f t="shared" ref="N69:N89" si="45">24*60*SUM($M69:$M69)</f>
        <v>38.316666665486991</v>
      </c>
      <c r="O69" s="7"/>
      <c r="P69" s="7"/>
      <c r="Q69" s="22"/>
      <c r="R69" s="173"/>
      <c r="S69" s="176">
        <f t="shared" ref="S69:S89" si="46">SUM(U69:U69)/IF(AG69="EC",12,1)</f>
        <v>1</v>
      </c>
      <c r="T69" s="202" t="str">
        <f t="shared" si="3"/>
        <v>NorthBound</v>
      </c>
      <c r="U69" s="202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03" t="str">
        <f t="shared" si="4"/>
        <v>https://d0f6bd738d7f1b3e5a7ca70fe4ff75f0.us-east-1.aws.found.io/app/kibana#/discover/Steve-Slow-Train-Analysis-(2080s-and-2083s)?_g=(refreshInterval:(display:Off,pause:!f,section:0,value:0),time:(from:'2017-06-10T09:26:57-0600',mode:absolute,to:'2017-06-10T12:08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9" s="204" t="str">
        <f t="shared" si="5"/>
        <v>N</v>
      </c>
      <c r="X69" s="204">
        <f t="shared" si="6"/>
        <v>1</v>
      </c>
      <c r="Y69" s="204">
        <f t="shared" si="41"/>
        <v>4.58E-2</v>
      </c>
      <c r="Z69" s="204">
        <f t="shared" si="42"/>
        <v>23.328900000000001</v>
      </c>
      <c r="AA69" s="204">
        <f t="shared" si="9"/>
        <v>23.283100000000001</v>
      </c>
      <c r="AB69" s="57" t="e">
        <f>VLOOKUP(A69,Enforcements!$C$7:$K$13,8,0)</f>
        <v>#N/A</v>
      </c>
      <c r="AC69" s="53" t="e">
        <f>VLOOKUP(A69,Enforcements!$C$7:$E$13,3,0)</f>
        <v>#N/A</v>
      </c>
      <c r="AD69" s="54" t="str">
        <f t="shared" si="10"/>
        <v>0155-10</v>
      </c>
      <c r="AE69" s="80" t="str">
        <f t="shared" si="11"/>
        <v>aws s3 cp s3://rtdc.mdm.uploadarchive.raw/RTDC4044/ "%USERPROFILE%\AppData\Local\Temp\OnboardLogs"\RTDC4044\2017-06-10 --exclude "*" --recursive --include "*20170610*" &amp; "%USERPROFILE%\Documents\GitHub\mrs-test-scripts\Headless Mode &amp; Sideloading\WalkAndUnGZ.bat" "%USERPROFILE%\AppData\Local\Temp\OnboardLogs"\RTDC4044\2017-06-10 &amp; aws s3 cp s3://rtdc.mdm.uploadarchive.raw/RTDC4044/ "%USERPROFILE%\AppData\Local\Temp\OnboardLogs"\RTDC4044\2017-06-11 --exclude "*" --recursive --include "*20170611*" &amp; "%USERPROFILE%\Documents\GitHub\mrs-test-scripts\Headless Mode &amp; Sideloading\WalkAndUnGZ.bat" "%USERPROFILE%\AppData\Local\Temp\OnboardLogs"\RTDC4044\2017-06-11</v>
      </c>
      <c r="AF69" s="77" t="str">
        <f t="shared" si="12"/>
        <v>"C:\Program Files (x86)\AstroGrep\AstroGrep.exe" /e /r /s /spath="%USERPROFILE%\AppData\Local\Temp\OnboardLogs" /stypes="app*4044*20170610*" /stext=" 17:.+((SYSTEM_STATE.+slice.+state.+changed )|(ment ac)|(multiple cpu faults)|(system.+state.+changed )|(\[timeout)|(PRM\|1\|D)|(kpr)|(kdp)|(train st.+moving)|(\|lc)|(penalty))"</v>
      </c>
      <c r="AG69" s="1" t="str">
        <f t="shared" si="13"/>
        <v>EC</v>
      </c>
      <c r="AH69" s="81" t="str">
        <f t="shared" si="37"/>
        <v>"%USERPROFILE%\Documents\GitHub\eaglep3\Utilities\RefineRTDCRunTimes.py" --tripid 155-10 --locoid 4044 --swversion DE.1.0.9.0 --startMP 204:458 --initTime 2017-06-10T10:26:57 --startdatetime 2017-06-10T10:30:36 --delay 1 --endMP 204:233289 --enddatetime 2017-06-10T11:08:55 --enforcementcount 0 &gt;&gt;C:\Users\stu\Documents\GitHub\eaglep3-reporting\EC\2017-06-10-refined-times.txt</v>
      </c>
      <c r="AI69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{"issue":{"subject":"","project_id":79,"tracker_id":40,"status_id":1,"priority_id":2,"assigned_to_id":23,"start_date":"2017-06-10","description":"","custom_fields":[{"id":1,"name":"Subdivision","value":"EC"},{"id":4,"name":"Milepost","value":"23.3289"},{"id":17,"name":"Train ID","value":"155-10"},{"id":16,"name":"Locomotive ID","value":"4044"},{"id":130,"name":"Impact","value":""},{"id":150,"name":"Time of Event (Mountain Time)","value":"11:08:55"},{"id":151,"name":"Denver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5" t="str">
        <f t="shared" si="39"/>
        <v>start /low /b %USERPROFILE%\Documents\GitHub\eaglep3\Utilities\DownloadLogsFromS3.py --loco 4044 --day 2017-06-10</v>
      </c>
      <c r="AN69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17:08:55"},{"id":29,"name":"Sharepoint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584</v>
      </c>
      <c r="B70" s="7">
        <v>4043</v>
      </c>
      <c r="C70" s="21" t="s">
        <v>204</v>
      </c>
      <c r="D70" s="21" t="s">
        <v>498</v>
      </c>
      <c r="E70" s="13">
        <v>42896.466354166667</v>
      </c>
      <c r="F70" s="13">
        <v>42896.477349537039</v>
      </c>
      <c r="G70" s="7">
        <v>1</v>
      </c>
      <c r="H70" s="21" t="s">
        <v>850</v>
      </c>
      <c r="I70" s="13">
        <v>42896.504710648151</v>
      </c>
      <c r="J70" s="7">
        <v>0</v>
      </c>
      <c r="K70" s="92" t="str">
        <f t="shared" si="0"/>
        <v>4043/4044</v>
      </c>
      <c r="L70" s="21" t="str">
        <f>VLOOKUP(A70,'Trips&amp;Operators'!$C$1:$G$99999,5,FALSE)</f>
        <v>DAVIDSON DAVID</v>
      </c>
      <c r="M70" s="6">
        <f t="shared" si="1"/>
        <v>2.73611111115315E-2</v>
      </c>
      <c r="N70" s="7">
        <f t="shared" si="45"/>
        <v>39.40000000060536</v>
      </c>
      <c r="O70" s="7"/>
      <c r="P70" s="7"/>
      <c r="Q70" s="22"/>
      <c r="R70" s="173"/>
      <c r="S70" s="176">
        <f t="shared" si="46"/>
        <v>1</v>
      </c>
      <c r="T70" s="202" t="str">
        <f t="shared" si="3"/>
        <v>Southbound</v>
      </c>
      <c r="U70" s="202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03" t="str">
        <f t="shared" si="4"/>
        <v>https://d0f6bd738d7f1b3e5a7ca70fe4ff75f0.us-east-1.aws.found.io/app/kibana#/discover/Steve-Slow-Train-Analysis-(2080s-and-2083s)?_g=(refreshInterval:(display:Off,pause:!f,section:0,value:0),time:(from:'2017-06-10T10:11:33-0600',mode:absolute,to:'2017-06-10T13:06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0" s="204" t="str">
        <f t="shared" si="5"/>
        <v>N</v>
      </c>
      <c r="X70" s="204">
        <f t="shared" si="6"/>
        <v>1</v>
      </c>
      <c r="Y70" s="204">
        <f t="shared" si="41"/>
        <v>23.2971</v>
      </c>
      <c r="Z70" s="204">
        <f t="shared" si="42"/>
        <v>1.9199999999999998E-2</v>
      </c>
      <c r="AA70" s="204">
        <f t="shared" si="9"/>
        <v>23.277899999999999</v>
      </c>
      <c r="AB70" s="57" t="e">
        <f>VLOOKUP(A70,Enforcements!$C$7:$K$13,8,0)</f>
        <v>#N/A</v>
      </c>
      <c r="AC70" s="53" t="e">
        <f>VLOOKUP(A70,Enforcements!$C$7:$E$13,3,0)</f>
        <v>#N/A</v>
      </c>
      <c r="AD70" s="54" t="str">
        <f t="shared" si="10"/>
        <v>0156-10</v>
      </c>
      <c r="AE70" s="80" t="str">
        <f t="shared" si="11"/>
        <v>aws s3 cp s3://rtdc.mdm.uploadarchive.raw/RTDC4043/ "%USERPROFILE%\AppData\Local\Temp\OnboardLogs"\RTDC4043\2017-06-10 --exclude "*" --recursive --include "*20170610*" &amp; "%USERPROFILE%\Documents\GitHub\mrs-test-scripts\Headless Mode &amp; Sideloading\WalkAndUnGZ.bat" "%USERPROFILE%\AppData\Local\Temp\OnboardLogs"\RTDC4043\2017-06-10 &amp; aws s3 cp s3://rtdc.mdm.uploadarchive.raw/RTDC4043/ "%USERPROFILE%\AppData\Local\Temp\OnboardLogs"\RTDC4043\2017-06-11 --exclude "*" --recursive --include "*20170611*" &amp; "%USERPROFILE%\Documents\GitHub\mrs-test-scripts\Headless Mode &amp; Sideloading\WalkAndUnGZ.bat" "%USERPROFILE%\AppData\Local\Temp\OnboardLogs"\RTDC4043\2017-06-11</v>
      </c>
      <c r="AF70" s="77" t="str">
        <f t="shared" si="12"/>
        <v>"C:\Program Files (x86)\AstroGrep\AstroGrep.exe" /e /r /s /spath="%USERPROFILE%\AppData\Local\Temp\OnboardLogs" /stypes="app*4043*20170610*" /stext=" 18:.+((SYSTEM_STATE.+slice.+state.+changed )|(ment ac)|(multiple cpu faults)|(system.+state.+changed )|(\[timeout)|(PRM\|1\|D)|(kpr)|(kdp)|(train st.+moving)|(\|lc)|(penalty))"</v>
      </c>
      <c r="AG70" s="1" t="str">
        <f t="shared" si="13"/>
        <v>EC</v>
      </c>
      <c r="AH70" s="81" t="str">
        <f t="shared" si="37"/>
        <v>"%USERPROFILE%\Documents\GitHub\eaglep3\Utilities\RefineRTDCRunTimes.py" --tripid 156-10 --locoid 4043 --swversion DE.1.0.9.0 --startMP 204:232971 --initTime 2017-06-10T11:11:33 --startdatetime 2017-06-10T11:27:23 --delay 1 --endMP 204:192 --enddatetime 2017-06-10T12:06:47 --enforcementcount 0 &gt;&gt;C:\Users\stu\Documents\GitHub\eaglep3-reporting\EC\2017-06-10-refined-times.txt</v>
      </c>
      <c r="AI70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{"issue":{"subject":"","project_id":79,"tracker_id":40,"status_id":1,"priority_id":2,"assigned_to_id":23,"start_date":"2017-06-10","description":"","custom_fields":[{"id":1,"name":"Subdivision","value":"EC"},{"id":4,"name":"Milepost","value":"0.0192"},{"id":17,"name":"Train ID","value":"156-10"},{"id":16,"name":"Locomotive ID","value":"4043"},{"id":130,"name":"Impact","value":""},{"id":150,"name":"Time of Event (Mountain Time)","value":"12:06:47"},{"id":151,"name":"Denver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5" t="str">
        <f t="shared" si="39"/>
        <v>start /low /b %USERPROFILE%\Documents\GitHub\eaglep3\Utilities\DownloadLogsFromS3.py --loco 4043 --day 2017-06-10</v>
      </c>
      <c r="AN70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18:06:47"},{"id":29,"name":"Sharepoint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709</v>
      </c>
      <c r="B71" s="7">
        <v>4056</v>
      </c>
      <c r="C71" s="21" t="s">
        <v>204</v>
      </c>
      <c r="D71" s="21" t="s">
        <v>358</v>
      </c>
      <c r="E71" s="13">
        <v>42896.444930555554</v>
      </c>
      <c r="F71" s="13">
        <v>42896.448101851849</v>
      </c>
      <c r="G71" s="7">
        <v>1</v>
      </c>
      <c r="H71" s="21" t="s">
        <v>527</v>
      </c>
      <c r="I71" s="13">
        <v>42896.473055555558</v>
      </c>
      <c r="J71" s="7">
        <v>0</v>
      </c>
      <c r="K71" s="92" t="str">
        <f t="shared" si="0"/>
        <v>4055/4056</v>
      </c>
      <c r="L71" s="21" t="str">
        <f>VLOOKUP(A71,'Trips&amp;Operators'!$C$1:$G$99999,5,FALSE)</f>
        <v>STEWART MICHAEL</v>
      </c>
      <c r="M71" s="6">
        <f t="shared" si="1"/>
        <v>2.4953703708888497E-2</v>
      </c>
      <c r="N71" s="7">
        <f t="shared" si="45"/>
        <v>35.933333340799436</v>
      </c>
      <c r="O71" s="7"/>
      <c r="P71" s="7"/>
      <c r="Q71" s="22"/>
      <c r="R71" s="173"/>
      <c r="S71" s="176">
        <f t="shared" si="46"/>
        <v>1</v>
      </c>
      <c r="T71" s="202" t="str">
        <f t="shared" si="3"/>
        <v>NorthBound</v>
      </c>
      <c r="U71" s="202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03" t="str">
        <f t="shared" si="4"/>
        <v>https://d0f6bd738d7f1b3e5a7ca70fe4ff75f0.us-east-1.aws.found.io/app/kibana#/discover/Steve-Slow-Train-Analysis-(2080s-and-2083s)?_g=(refreshInterval:(display:Off,pause:!f,section:0,value:0),time:(from:'2017-06-10T09:40:42-0600',mode:absolute,to:'2017-06-10T12:21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71" s="204" t="str">
        <f t="shared" si="5"/>
        <v>N</v>
      </c>
      <c r="X71" s="204">
        <f t="shared" si="6"/>
        <v>1</v>
      </c>
      <c r="Y71" s="204">
        <f t="shared" si="41"/>
        <v>4.6399999999999997E-2</v>
      </c>
      <c r="Z71" s="204">
        <f t="shared" si="42"/>
        <v>23.327200000000001</v>
      </c>
      <c r="AA71" s="204">
        <f t="shared" si="9"/>
        <v>23.280800000000003</v>
      </c>
      <c r="AB71" s="57" t="e">
        <f>VLOOKUP(A71,Enforcements!$C$7:$K$13,8,0)</f>
        <v>#N/A</v>
      </c>
      <c r="AC71" s="53" t="e">
        <f>VLOOKUP(A71,Enforcements!$C$7:$E$13,3,0)</f>
        <v>#N/A</v>
      </c>
      <c r="AD71" s="54" t="str">
        <f t="shared" si="10"/>
        <v>0157-10</v>
      </c>
      <c r="AE71" s="80" t="str">
        <f t="shared" si="11"/>
        <v>aws s3 cp s3://rtdc.mdm.uploadarchive.raw/RTDC4056/ "%USERPROFILE%\AppData\Local\Temp\OnboardLogs"\RTDC4056\2017-06-10 --exclude "*" --recursive --include "*20170610*" &amp; "%USERPROFILE%\Documents\GitHub\mrs-test-scripts\Headless Mode &amp; Sideloading\WalkAndUnGZ.bat" "%USERPROFILE%\AppData\Local\Temp\OnboardLogs"\RTDC4056\2017-06-10 &amp; aws s3 cp s3://rtdc.mdm.uploadarchive.raw/RTDC4056/ "%USERPROFILE%\AppData\Local\Temp\OnboardLogs"\RTDC4056\2017-06-11 --exclude "*" --recursive --include "*20170611*" &amp; "%USERPROFILE%\Documents\GitHub\mrs-test-scripts\Headless Mode &amp; Sideloading\WalkAndUnGZ.bat" "%USERPROFILE%\AppData\Local\Temp\OnboardLogs"\RTDC4056\2017-06-11</v>
      </c>
      <c r="AF71" s="77" t="str">
        <f t="shared" si="12"/>
        <v>"C:\Program Files (x86)\AstroGrep\AstroGrep.exe" /e /r /s /spath="%USERPROFILE%\AppData\Local\Temp\OnboardLogs" /stypes="app*4056*20170610*" /stext=" 17:.+((SYSTEM_STATE.+slice.+state.+changed )|(ment ac)|(multiple cpu faults)|(system.+state.+changed )|(\[timeout)|(PRM\|1\|D)|(kpr)|(kdp)|(train st.+moving)|(\|lc)|(penalty))"</v>
      </c>
      <c r="AG71" s="1" t="str">
        <f t="shared" si="13"/>
        <v>EC</v>
      </c>
      <c r="AH71" s="81" t="str">
        <f t="shared" si="37"/>
        <v>"%USERPROFILE%\Documents\GitHub\eaglep3\Utilities\RefineRTDCRunTimes.py" --tripid 157-10 --locoid 4056 --swversion DE.1.0.9.0 --startMP 204:464 --initTime 2017-06-10T10:40:42 --startdatetime 2017-06-10T10:45:16 --delay 1 --endMP 204:233272 --enddatetime 2017-06-10T11:21:12 --enforcementcount 0 &gt;&gt;C:\Users\stu\Documents\GitHub\eaglep3-reporting\EC\2017-06-10-refined-times.txt</v>
      </c>
      <c r="AI71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{"issue":{"subject":"","project_id":79,"tracker_id":40,"status_id":1,"priority_id":2,"assigned_to_id":23,"start_date":"2017-06-10","description":"","custom_fields":[{"id":1,"name":"Subdivision","value":"EC"},{"id":4,"name":"Milepost","value":"23.3272"},{"id":17,"name":"Train ID","value":"157-10"},{"id":16,"name":"Locomotive ID","value":"4056"},{"id":130,"name":"Impact","value":""},{"id":150,"name":"Time of Event (Mountain Time)","value":"11:21:12"},{"id":151,"name":"Denver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5" t="str">
        <f t="shared" si="39"/>
        <v>start /low /b %USERPROFILE%\Documents\GitHub\eaglep3\Utilities\DownloadLogsFromS3.py --loco 4056 --day 2017-06-10</v>
      </c>
      <c r="AN71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17:21:12"},{"id":29,"name":"Sharepoint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717</v>
      </c>
      <c r="B72" s="7">
        <v>4055</v>
      </c>
      <c r="C72" s="21" t="s">
        <v>204</v>
      </c>
      <c r="D72" s="21" t="s">
        <v>851</v>
      </c>
      <c r="E72" s="13">
        <v>42896.486493055556</v>
      </c>
      <c r="F72" s="13">
        <v>42896.488206018519</v>
      </c>
      <c r="G72" s="7">
        <v>1</v>
      </c>
      <c r="H72" s="21" t="s">
        <v>350</v>
      </c>
      <c r="I72" s="13">
        <v>42896.5153125</v>
      </c>
      <c r="J72" s="7">
        <v>0</v>
      </c>
      <c r="K72" s="92" t="str">
        <f t="shared" si="0"/>
        <v>4055/4056</v>
      </c>
      <c r="L72" s="21" t="str">
        <f>VLOOKUP(A72,'Trips&amp;Operators'!$C$1:$G$99999,5,FALSE)</f>
        <v>STEWART MICHAEL</v>
      </c>
      <c r="M72" s="6">
        <f t="shared" si="1"/>
        <v>2.7106481480586808E-2</v>
      </c>
      <c r="N72" s="7">
        <f t="shared" si="45"/>
        <v>39.033333332045004</v>
      </c>
      <c r="O72" s="7"/>
      <c r="P72" s="7"/>
      <c r="Q72" s="22"/>
      <c r="R72" s="173"/>
      <c r="S72" s="176">
        <f t="shared" si="46"/>
        <v>1</v>
      </c>
      <c r="T72" s="202" t="str">
        <f t="shared" si="3"/>
        <v>Southbound</v>
      </c>
      <c r="U72" s="202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03" t="str">
        <f t="shared" si="4"/>
        <v>https://d0f6bd738d7f1b3e5a7ca70fe4ff75f0.us-east-1.aws.found.io/app/kibana#/discover/Steve-Slow-Train-Analysis-(2080s-and-2083s)?_g=(refreshInterval:(display:Off,pause:!f,section:0,value:0),time:(from:'2017-06-10T10:40:33-0600',mode:absolute,to:'2017-06-10T13:22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72" s="204" t="str">
        <f t="shared" si="5"/>
        <v>N</v>
      </c>
      <c r="X72" s="204">
        <f t="shared" si="6"/>
        <v>1</v>
      </c>
      <c r="Y72" s="204">
        <f t="shared" si="41"/>
        <v>23.2974</v>
      </c>
      <c r="Z72" s="204">
        <f t="shared" si="42"/>
        <v>1.6E-2</v>
      </c>
      <c r="AA72" s="204">
        <f t="shared" si="9"/>
        <v>23.281400000000001</v>
      </c>
      <c r="AB72" s="57" t="e">
        <f>VLOOKUP(A72,Enforcements!$C$7:$K$13,8,0)</f>
        <v>#N/A</v>
      </c>
      <c r="AC72" s="53" t="e">
        <f>VLOOKUP(A72,Enforcements!$C$7:$E$13,3,0)</f>
        <v>#N/A</v>
      </c>
      <c r="AD72" s="54" t="str">
        <f t="shared" si="10"/>
        <v>0158-10</v>
      </c>
      <c r="AE72" s="80" t="str">
        <f t="shared" si="11"/>
        <v>aws s3 cp s3://rtdc.mdm.uploadarchive.raw/RTDC4055/ "%USERPROFILE%\AppData\Local\Temp\OnboardLogs"\RTDC4055\2017-06-10 --exclude "*" --recursive --include "*20170610*" &amp; "%USERPROFILE%\Documents\GitHub\mrs-test-scripts\Headless Mode &amp; Sideloading\WalkAndUnGZ.bat" "%USERPROFILE%\AppData\Local\Temp\OnboardLogs"\RTDC4055\2017-06-10 &amp; aws s3 cp s3://rtdc.mdm.uploadarchive.raw/RTDC4055/ "%USERPROFILE%\AppData\Local\Temp\OnboardLogs"\RTDC4055\2017-06-11 --exclude "*" --recursive --include "*20170611*" &amp; "%USERPROFILE%\Documents\GitHub\mrs-test-scripts\Headless Mode &amp; Sideloading\WalkAndUnGZ.bat" "%USERPROFILE%\AppData\Local\Temp\OnboardLogs"\RTDC4055\2017-06-11</v>
      </c>
      <c r="AF72" s="77" t="str">
        <f t="shared" si="12"/>
        <v>"C:\Program Files (x86)\AstroGrep\AstroGrep.exe" /e /r /s /spath="%USERPROFILE%\AppData\Local\Temp\OnboardLogs" /stypes="app*4055*20170610*" /stext=" 18:.+((SYSTEM_STATE.+slice.+state.+changed )|(ment ac)|(multiple cpu faults)|(system.+state.+changed )|(\[timeout)|(PRM\|1\|D)|(kpr)|(kdp)|(train st.+moving)|(\|lc)|(penalty))"</v>
      </c>
      <c r="AG72" s="1" t="str">
        <f t="shared" si="13"/>
        <v>EC</v>
      </c>
      <c r="AH72" s="81" t="str">
        <f t="shared" si="37"/>
        <v>"%USERPROFILE%\Documents\GitHub\eaglep3\Utilities\RefineRTDCRunTimes.py" --tripid 158-10 --locoid 4055 --swversion DE.1.0.9.0 --startMP 204:232974 --initTime 2017-06-10T11:40:33 --startdatetime 2017-06-10T11:43:01 --delay 1 --endMP 204:160 --enddatetime 2017-06-10T12:22:03 --enforcementcount 0 &gt;&gt;C:\Users\stu\Documents\GitHub\eaglep3-reporting\EC\2017-06-10-refined-times.txt</v>
      </c>
      <c r="AI72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{"issue":{"subject":"","project_id":79,"tracker_id":40,"status_id":1,"priority_id":2,"assigned_to_id":23,"start_date":"2017-06-10","description":"","custom_fields":[{"id":1,"name":"Subdivision","value":"EC"},{"id":4,"name":"Milepost","value":"0.016"},{"id":17,"name":"Train ID","value":"158-10"},{"id":16,"name":"Locomotive ID","value":"4055"},{"id":130,"name":"Impact","value":""},{"id":150,"name":"Time of Event (Mountain Time)","value":"12:22:03"},{"id":151,"name":"Denver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5" t="str">
        <f t="shared" si="39"/>
        <v>start /low /b %USERPROFILE%\Documents\GitHub\eaglep3\Utilities\DownloadLogsFromS3.py --loco 4055 --day 2017-06-10</v>
      </c>
      <c r="AN72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18:22:03"},{"id":29,"name":"Sharepoint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711</v>
      </c>
      <c r="B73" s="7">
        <v>4062</v>
      </c>
      <c r="C73" s="21" t="s">
        <v>204</v>
      </c>
      <c r="D73" s="21" t="s">
        <v>360</v>
      </c>
      <c r="E73" s="13">
        <v>42896.45416666667</v>
      </c>
      <c r="F73" s="13">
        <v>42896.458506944444</v>
      </c>
      <c r="G73" s="7">
        <v>2</v>
      </c>
      <c r="H73" s="21" t="s">
        <v>838</v>
      </c>
      <c r="I73" s="13">
        <v>42896.483634259261</v>
      </c>
      <c r="J73" s="7">
        <v>0</v>
      </c>
      <c r="K73" s="92" t="str">
        <f t="shared" si="0"/>
        <v>4061/4062</v>
      </c>
      <c r="L73" s="21" t="str">
        <f>VLOOKUP(A73,'Trips&amp;Operators'!$C$1:$G$99999,5,FALSE)</f>
        <v>GUZMAN DANNY</v>
      </c>
      <c r="M73" s="6">
        <f t="shared" si="1"/>
        <v>2.5127314816927537E-2</v>
      </c>
      <c r="N73" s="7">
        <f t="shared" si="45"/>
        <v>36.183333336375654</v>
      </c>
      <c r="O73" s="7"/>
      <c r="P73" s="7"/>
      <c r="Q73" s="22"/>
      <c r="R73" s="173"/>
      <c r="S73" s="176">
        <f t="shared" si="46"/>
        <v>1</v>
      </c>
      <c r="T73" s="202" t="str">
        <f t="shared" si="3"/>
        <v>NorthBound</v>
      </c>
      <c r="U73" s="202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03" t="str">
        <f t="shared" si="4"/>
        <v>https://d0f6bd738d7f1b3e5a7ca70fe4ff75f0.us-east-1.aws.found.io/app/kibana#/discover/Steve-Slow-Train-Analysis-(2080s-and-2083s)?_g=(refreshInterval:(display:Off,pause:!f,section:0,value:0),time:(from:'2017-06-10T09:54:00-0600',mode:absolute,to:'2017-06-10T12:36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73" s="204" t="str">
        <f t="shared" si="5"/>
        <v>N</v>
      </c>
      <c r="X73" s="204">
        <f t="shared" si="6"/>
        <v>1</v>
      </c>
      <c r="Y73" s="204">
        <f t="shared" si="41"/>
        <v>4.4699999999999997E-2</v>
      </c>
      <c r="Z73" s="204">
        <f t="shared" si="42"/>
        <v>23.327000000000002</v>
      </c>
      <c r="AA73" s="204">
        <f t="shared" si="9"/>
        <v>23.282300000000003</v>
      </c>
      <c r="AB73" s="57" t="e">
        <f>VLOOKUP(A73,Enforcements!$C$7:$K$13,8,0)</f>
        <v>#N/A</v>
      </c>
      <c r="AC73" s="53" t="e">
        <f>VLOOKUP(A73,Enforcements!$C$7:$E$13,3,0)</f>
        <v>#N/A</v>
      </c>
      <c r="AD73" s="54" t="str">
        <f t="shared" si="10"/>
        <v>0159-10</v>
      </c>
      <c r="AE73" s="80" t="str">
        <f t="shared" si="11"/>
        <v>aws s3 cp s3://rtdc.mdm.uploadarchive.raw/RTDC4062/ "%USERPROFILE%\AppData\Local\Temp\OnboardLogs"\RTDC4062\2017-06-10 --exclude "*" --recursive --include "*20170610*" &amp; "%USERPROFILE%\Documents\GitHub\mrs-test-scripts\Headless Mode &amp; Sideloading\WalkAndUnGZ.bat" "%USERPROFILE%\AppData\Local\Temp\OnboardLogs"\RTDC4062\2017-06-10 &amp; aws s3 cp s3://rtdc.mdm.uploadarchive.raw/RTDC4062/ "%USERPROFILE%\AppData\Local\Temp\OnboardLogs"\RTDC4062\2017-06-11 --exclude "*" --recursive --include "*20170611*" &amp; "%USERPROFILE%\Documents\GitHub\mrs-test-scripts\Headless Mode &amp; Sideloading\WalkAndUnGZ.bat" "%USERPROFILE%\AppData\Local\Temp\OnboardLogs"\RTDC4062\2017-06-11</v>
      </c>
      <c r="AF73" s="77" t="str">
        <f t="shared" si="12"/>
        <v>"C:\Program Files (x86)\AstroGrep\AstroGrep.exe" /e /r /s /spath="%USERPROFILE%\AppData\Local\Temp\OnboardLogs" /stypes="app*4062*20170610*" /stext=" 17:.+((SYSTEM_STATE.+slice.+state.+changed )|(ment ac)|(multiple cpu faults)|(system.+state.+changed )|(\[timeout)|(PRM\|1\|D)|(kpr)|(kdp)|(train st.+moving)|(\|lc)|(penalty))"</v>
      </c>
      <c r="AG73" s="1" t="str">
        <f t="shared" si="13"/>
        <v>EC</v>
      </c>
      <c r="AH73" s="81" t="str">
        <f t="shared" si="37"/>
        <v>"%USERPROFILE%\Documents\GitHub\eaglep3\Utilities\RefineRTDCRunTimes.py" --tripid 159-10 --locoid 4062 --swversion DE.1.0.9.0 --startMP 204:447 --initTime 2017-06-10T10:54:00 --startdatetime 2017-06-10T11:00:15 --delay 2 --endMP 204:233270 --enddatetime 2017-06-10T11:36:26 --enforcementcount 0 &gt;&gt;C:\Users\stu\Documents\GitHub\eaglep3-reporting\EC\2017-06-10-refined-times.txt</v>
      </c>
      <c r="AI73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{"issue":{"subject":"","project_id":79,"tracker_id":40,"status_id":1,"priority_id":2,"assigned_to_id":23,"start_date":"2017-06-10","description":"","custom_fields":[{"id":1,"name":"Subdivision","value":"EC"},{"id":4,"name":"Milepost","value":"23.327"},{"id":17,"name":"Train ID","value":"159-10"},{"id":16,"name":"Locomotive ID","value":"4062"},{"id":130,"name":"Impact","value":""},{"id":150,"name":"Time of Event (Mountain Time)","value":"11:36:26"},{"id":151,"name":"Denver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5" t="str">
        <f t="shared" si="39"/>
        <v>start /low /b %USERPROFILE%\Documents\GitHub\eaglep3\Utilities\DownloadLogsFromS3.py --loco 4062 --day 2017-06-10</v>
      </c>
      <c r="AN73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17:36:26"},{"id":29,"name":"Sharepoint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716</v>
      </c>
      <c r="B74" s="7">
        <v>4061</v>
      </c>
      <c r="C74" s="21" t="s">
        <v>204</v>
      </c>
      <c r="D74" s="21" t="s">
        <v>526</v>
      </c>
      <c r="E74" s="13">
        <v>42896.485983796294</v>
      </c>
      <c r="F74" s="13">
        <v>42896.498067129629</v>
      </c>
      <c r="G74" s="7">
        <v>1</v>
      </c>
      <c r="H74" s="21" t="s">
        <v>852</v>
      </c>
      <c r="I74" s="13">
        <v>42896.525173611109</v>
      </c>
      <c r="J74" s="7">
        <v>0</v>
      </c>
      <c r="K74" s="92" t="str">
        <f t="shared" si="0"/>
        <v>4061/4062</v>
      </c>
      <c r="L74" s="21" t="str">
        <f>VLOOKUP(A74,'Trips&amp;Operators'!$C$1:$G$99999,5,FALSE)</f>
        <v>GUZMAN DANNY</v>
      </c>
      <c r="M74" s="6">
        <f t="shared" si="1"/>
        <v>2.7106481480586808E-2</v>
      </c>
      <c r="N74" s="7">
        <f t="shared" si="45"/>
        <v>39.033333332045004</v>
      </c>
      <c r="O74" s="7"/>
      <c r="P74" s="7"/>
      <c r="Q74" s="22"/>
      <c r="R74" s="173"/>
      <c r="S74" s="176">
        <f t="shared" si="46"/>
        <v>1</v>
      </c>
      <c r="T74" s="202" t="str">
        <f t="shared" si="3"/>
        <v>Southbound</v>
      </c>
      <c r="U74" s="202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03" t="str">
        <f t="shared" si="4"/>
        <v>https://d0f6bd738d7f1b3e5a7ca70fe4ff75f0.us-east-1.aws.found.io/app/kibana#/discover/Steve-Slow-Train-Analysis-(2080s-and-2083s)?_g=(refreshInterval:(display:Off,pause:!f,section:0,value:0),time:(from:'2017-06-10T10:39:49-0600',mode:absolute,to:'2017-06-10T13:36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74" s="204" t="str">
        <f t="shared" si="5"/>
        <v>N</v>
      </c>
      <c r="X74" s="204">
        <f t="shared" si="6"/>
        <v>1</v>
      </c>
      <c r="Y74" s="204">
        <f t="shared" si="41"/>
        <v>23.296500000000002</v>
      </c>
      <c r="Z74" s="204">
        <f t="shared" si="42"/>
        <v>8.7099999999999997E-2</v>
      </c>
      <c r="AA74" s="204">
        <f t="shared" si="9"/>
        <v>23.209400000000002</v>
      </c>
      <c r="AB74" s="57" t="e">
        <f>VLOOKUP(A74,Enforcements!$C$7:$K$13,8,0)</f>
        <v>#N/A</v>
      </c>
      <c r="AC74" s="53" t="e">
        <f>VLOOKUP(A74,Enforcements!$C$7:$E$13,3,0)</f>
        <v>#N/A</v>
      </c>
      <c r="AD74" s="54" t="str">
        <f t="shared" si="10"/>
        <v>0160-10</v>
      </c>
      <c r="AE74" s="80" t="str">
        <f t="shared" si="11"/>
        <v>aws s3 cp s3://rtdc.mdm.uploadarchive.raw/RTDC4061/ "%USERPROFILE%\AppData\Local\Temp\OnboardLogs"\RTDC4061\2017-06-10 --exclude "*" --recursive --include "*20170610*" &amp; "%USERPROFILE%\Documents\GitHub\mrs-test-scripts\Headless Mode &amp; Sideloading\WalkAndUnGZ.bat" "%USERPROFILE%\AppData\Local\Temp\OnboardLogs"\RTDC4061\2017-06-10 &amp; aws s3 cp s3://rtdc.mdm.uploadarchive.raw/RTDC4061/ "%USERPROFILE%\AppData\Local\Temp\OnboardLogs"\RTDC4061\2017-06-11 --exclude "*" --recursive --include "*20170611*" &amp; "%USERPROFILE%\Documents\GitHub\mrs-test-scripts\Headless Mode &amp; Sideloading\WalkAndUnGZ.bat" "%USERPROFILE%\AppData\Local\Temp\OnboardLogs"\RTDC4061\2017-06-11</v>
      </c>
      <c r="AF74" s="77" t="str">
        <f t="shared" si="12"/>
        <v>"C:\Program Files (x86)\AstroGrep\AstroGrep.exe" /e /r /s /spath="%USERPROFILE%\AppData\Local\Temp\OnboardLogs" /stypes="app*4061*20170610*" /stext=" 18:.+((SYSTEM_STATE.+slice.+state.+changed )|(ment ac)|(multiple cpu faults)|(system.+state.+changed )|(\[timeout)|(PRM\|1\|D)|(kpr)|(kdp)|(train st.+moving)|(\|lc)|(penalty))"</v>
      </c>
      <c r="AG74" s="1" t="str">
        <f t="shared" si="13"/>
        <v>EC</v>
      </c>
      <c r="AH74" s="81" t="str">
        <f t="shared" si="37"/>
        <v>"%USERPROFILE%\Documents\GitHub\eaglep3\Utilities\RefineRTDCRunTimes.py" --tripid 160-10 --locoid 4061 --swversion DE.1.0.9.0 --startMP 204:232965 --initTime 2017-06-10T11:39:49 --startdatetime 2017-06-10T11:57:13 --delay 1 --endMP 204:871 --enddatetime 2017-06-10T12:36:15 --enforcementcount 0 &gt;&gt;C:\Users\stu\Documents\GitHub\eaglep3-reporting\EC\2017-06-10-refined-times.txt</v>
      </c>
      <c r="AI74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{"issue":{"subject":"","project_id":79,"tracker_id":40,"status_id":1,"priority_id":2,"assigned_to_id":23,"start_date":"2017-06-10","description":"","custom_fields":[{"id":1,"name":"Subdivision","value":"EC"},{"id":4,"name":"Milepost","value":"0.0871"},{"id":17,"name":"Train ID","value":"160-10"},{"id":16,"name":"Locomotive ID","value":"4061"},{"id":130,"name":"Impact","value":""},{"id":150,"name":"Time of Event (Mountain Time)","value":"12:36:15"},{"id":151,"name":"Denver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5" t="str">
        <f t="shared" si="39"/>
        <v>start /low /b %USERPROFILE%\Documents\GitHub\eaglep3\Utilities\DownloadLogsFromS3.py --loco 4061 --day 2017-06-10</v>
      </c>
      <c r="AN74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18:36:15"},{"id":29,"name":"Sharepoint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582</v>
      </c>
      <c r="B75" s="7">
        <v>4002</v>
      </c>
      <c r="C75" s="21" t="s">
        <v>204</v>
      </c>
      <c r="D75" s="21" t="s">
        <v>479</v>
      </c>
      <c r="E75" s="13">
        <v>42896.466180555559</v>
      </c>
      <c r="F75" s="13">
        <v>42896.469027777777</v>
      </c>
      <c r="G75" s="7">
        <v>2</v>
      </c>
      <c r="H75" s="21" t="s">
        <v>838</v>
      </c>
      <c r="I75" s="13">
        <v>42896.49591435185</v>
      </c>
      <c r="J75" s="7">
        <v>0</v>
      </c>
      <c r="K75" s="92" t="str">
        <f t="shared" si="0"/>
        <v>4001/4002</v>
      </c>
      <c r="L75" s="21" t="str">
        <f>VLOOKUP(A75,'Trips&amp;Operators'!$C$1:$G$99999,5,FALSE)</f>
        <v>DAVIS MICHAEL</v>
      </c>
      <c r="M75" s="6">
        <f t="shared" si="1"/>
        <v>2.6886574072705116E-2</v>
      </c>
      <c r="N75" s="7">
        <f t="shared" si="45"/>
        <v>38.716666664695367</v>
      </c>
      <c r="O75" s="7"/>
      <c r="P75" s="7"/>
      <c r="Q75" s="22"/>
      <c r="R75" s="173"/>
      <c r="S75" s="176">
        <f t="shared" si="46"/>
        <v>1</v>
      </c>
      <c r="T75" s="202" t="str">
        <f t="shared" si="3"/>
        <v>NorthBound</v>
      </c>
      <c r="U75" s="202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03" t="str">
        <f t="shared" si="4"/>
        <v>https://d0f6bd738d7f1b3e5a7ca70fe4ff75f0.us-east-1.aws.found.io/app/kibana#/discover/Steve-Slow-Train-Analysis-(2080s-and-2083s)?_g=(refreshInterval:(display:Off,pause:!f,section:0,value:0),time:(from:'2017-06-10T10:11:18-0600',mode:absolute,to:'2017-06-10T12:54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5" s="204" t="str">
        <f t="shared" si="5"/>
        <v>N</v>
      </c>
      <c r="X75" s="204">
        <f t="shared" si="6"/>
        <v>1</v>
      </c>
      <c r="Y75" s="204">
        <f t="shared" si="41"/>
        <v>4.7699999999999999E-2</v>
      </c>
      <c r="Z75" s="204">
        <f t="shared" si="42"/>
        <v>23.327000000000002</v>
      </c>
      <c r="AA75" s="204">
        <f t="shared" si="9"/>
        <v>23.279300000000003</v>
      </c>
      <c r="AB75" s="57" t="e">
        <f>VLOOKUP(A75,Enforcements!$C$7:$K$13,8,0)</f>
        <v>#N/A</v>
      </c>
      <c r="AC75" s="53" t="e">
        <f>VLOOKUP(A75,Enforcements!$C$7:$E$13,3,0)</f>
        <v>#N/A</v>
      </c>
      <c r="AD75" s="54" t="str">
        <f t="shared" si="10"/>
        <v>0161-10</v>
      </c>
      <c r="AE75" s="80" t="str">
        <f t="shared" si="11"/>
        <v>aws s3 cp s3://rtdc.mdm.uploadarchive.raw/RTDC4002/ "%USERPROFILE%\AppData\Local\Temp\OnboardLogs"\RTDC4002\2017-06-10 --exclude "*" --recursive --include "*20170610*" &amp; "%USERPROFILE%\Documents\GitHub\mrs-test-scripts\Headless Mode &amp; Sideloading\WalkAndUnGZ.bat" "%USERPROFILE%\AppData\Local\Temp\OnboardLogs"\RTDC4002\2017-06-10 &amp; aws s3 cp s3://rtdc.mdm.uploadarchive.raw/RTDC4002/ "%USERPROFILE%\AppData\Local\Temp\OnboardLogs"\RTDC4002\2017-06-11 --exclude "*" --recursive --include "*20170611*" &amp; "%USERPROFILE%\Documents\GitHub\mrs-test-scripts\Headless Mode &amp; Sideloading\WalkAndUnGZ.bat" "%USERPROFILE%\AppData\Local\Temp\OnboardLogs"\RTDC4002\2017-06-11</v>
      </c>
      <c r="AF75" s="77" t="str">
        <f t="shared" si="12"/>
        <v>"C:\Program Files (x86)\AstroGrep\AstroGrep.exe" /e /r /s /spath="%USERPROFILE%\AppData\Local\Temp\OnboardLogs" /stypes="app*4002*20170610*" /stext=" 17:.+((SYSTEM_STATE.+slice.+state.+changed )|(ment ac)|(multiple cpu faults)|(system.+state.+changed )|(\[timeout)|(PRM\|1\|D)|(kpr)|(kdp)|(train st.+moving)|(\|lc)|(penalty))"</v>
      </c>
      <c r="AG75" s="1" t="str">
        <f t="shared" si="13"/>
        <v>EC</v>
      </c>
      <c r="AH75" s="81" t="str">
        <f t="shared" si="37"/>
        <v>"%USERPROFILE%\Documents\GitHub\eaglep3\Utilities\RefineRTDCRunTimes.py" --tripid 161-10 --locoid 4002 --swversion DE.1.0.9.0 --startMP 204:477 --initTime 2017-06-10T11:11:18 --startdatetime 2017-06-10T11:15:24 --delay 2 --endMP 204:233270 --enddatetime 2017-06-10T11:54:07 --enforcementcount 0 &gt;&gt;C:\Users\stu\Documents\GitHub\eaglep3-reporting\EC\2017-06-10-refined-times.txt</v>
      </c>
      <c r="AI75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{"issue":{"subject":"","project_id":79,"tracker_id":40,"status_id":1,"priority_id":2,"assigned_to_id":23,"start_date":"2017-06-10","description":"","custom_fields":[{"id":1,"name":"Subdivision","value":"EC"},{"id":4,"name":"Milepost","value":"23.327"},{"id":17,"name":"Train ID","value":"161-10"},{"id":16,"name":"Locomotive ID","value":"4002"},{"id":130,"name":"Impact","value":""},{"id":150,"name":"Time of Event (Mountain Time)","value":"11:54:07"},{"id":151,"name":"Denver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5" t="str">
        <f t="shared" si="39"/>
        <v>start /low /b %USERPROFILE%\Documents\GitHub\eaglep3\Utilities\DownloadLogsFromS3.py --loco 4002 --day 2017-06-10</v>
      </c>
      <c r="AN75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17:54:07"},{"id":29,"name":"Sharepoint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586</v>
      </c>
      <c r="B76" s="7">
        <v>4001</v>
      </c>
      <c r="C76" s="21" t="s">
        <v>204</v>
      </c>
      <c r="D76" s="21" t="s">
        <v>847</v>
      </c>
      <c r="E76" s="13">
        <v>42896.506412037037</v>
      </c>
      <c r="F76" s="13">
        <v>42896.508958333332</v>
      </c>
      <c r="G76" s="7">
        <v>1</v>
      </c>
      <c r="H76" s="21" t="s">
        <v>853</v>
      </c>
      <c r="I76" s="13">
        <v>42896.536412037036</v>
      </c>
      <c r="J76" s="7">
        <v>0</v>
      </c>
      <c r="K76" s="92" t="str">
        <f t="shared" si="0"/>
        <v>4001/4002</v>
      </c>
      <c r="L76" s="21" t="str">
        <f>VLOOKUP(A76,'Trips&amp;Operators'!$C$1:$G$99999,5,FALSE)</f>
        <v>DAVIS MICHAEL</v>
      </c>
      <c r="M76" s="6">
        <f t="shared" si="1"/>
        <v>2.7453703703940846E-2</v>
      </c>
      <c r="N76" s="7">
        <f t="shared" si="45"/>
        <v>39.533333333674818</v>
      </c>
      <c r="O76" s="7"/>
      <c r="P76" s="7"/>
      <c r="Q76" s="22"/>
      <c r="R76" s="173"/>
      <c r="S76" s="176">
        <f t="shared" si="46"/>
        <v>1</v>
      </c>
      <c r="T76" s="202" t="str">
        <f t="shared" si="3"/>
        <v>Southbound</v>
      </c>
      <c r="U76" s="202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03" t="str">
        <f t="shared" si="4"/>
        <v>https://d0f6bd738d7f1b3e5a7ca70fe4ff75f0.us-east-1.aws.found.io/app/kibana#/discover/Steve-Slow-Train-Analysis-(2080s-and-2083s)?_g=(refreshInterval:(display:Off,pause:!f,section:0,value:0),time:(from:'2017-06-10T11:09:14-0600',mode:absolute,to:'2017-06-10T13:52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76" s="204" t="str">
        <f t="shared" si="5"/>
        <v>N</v>
      </c>
      <c r="X76" s="204">
        <f t="shared" si="6"/>
        <v>1</v>
      </c>
      <c r="Y76" s="204">
        <f t="shared" si="41"/>
        <v>23.2972</v>
      </c>
      <c r="Z76" s="204">
        <f t="shared" si="42"/>
        <v>9.0499999999999997E-2</v>
      </c>
      <c r="AA76" s="204">
        <f t="shared" si="9"/>
        <v>23.206700000000001</v>
      </c>
      <c r="AB76" s="57" t="e">
        <f>VLOOKUP(A76,Enforcements!$C$7:$K$13,8,0)</f>
        <v>#N/A</v>
      </c>
      <c r="AC76" s="53" t="e">
        <f>VLOOKUP(A76,Enforcements!$C$7:$E$13,3,0)</f>
        <v>#N/A</v>
      </c>
      <c r="AD76" s="54" t="str">
        <f t="shared" si="10"/>
        <v>0162-10</v>
      </c>
      <c r="AE76" s="80" t="str">
        <f t="shared" si="11"/>
        <v>aws s3 cp s3://rtdc.mdm.uploadarchive.raw/RTDC4001/ "%USERPROFILE%\AppData\Local\Temp\OnboardLogs"\RTDC4001\2017-06-10 --exclude "*" --recursive --include "*20170610*" &amp; "%USERPROFILE%\Documents\GitHub\mrs-test-scripts\Headless Mode &amp; Sideloading\WalkAndUnGZ.bat" "%USERPROFILE%\AppData\Local\Temp\OnboardLogs"\RTDC4001\2017-06-10 &amp; aws s3 cp s3://rtdc.mdm.uploadarchive.raw/RTDC4001/ "%USERPROFILE%\AppData\Local\Temp\OnboardLogs"\RTDC4001\2017-06-11 --exclude "*" --recursive --include "*20170611*" &amp; "%USERPROFILE%\Documents\GitHub\mrs-test-scripts\Headless Mode &amp; Sideloading\WalkAndUnGZ.bat" "%USERPROFILE%\AppData\Local\Temp\OnboardLogs"\RTDC4001\2017-06-11</v>
      </c>
      <c r="AF76" s="77" t="str">
        <f t="shared" si="12"/>
        <v>"C:\Program Files (x86)\AstroGrep\AstroGrep.exe" /e /r /s /spath="%USERPROFILE%\AppData\Local\Temp\OnboardLogs" /stypes="app*4001*20170610*" /stext=" 18:.+((SYSTEM_STATE.+slice.+state.+changed )|(ment ac)|(multiple cpu faults)|(system.+state.+changed )|(\[timeout)|(PRM\|1\|D)|(kpr)|(kdp)|(train st.+moving)|(\|lc)|(penalty))"</v>
      </c>
      <c r="AG76" s="1" t="str">
        <f t="shared" si="13"/>
        <v>EC</v>
      </c>
      <c r="AH76" s="81" t="str">
        <f t="shared" si="37"/>
        <v>"%USERPROFILE%\Documents\GitHub\eaglep3\Utilities\RefineRTDCRunTimes.py" --tripid 162-10 --locoid 4001 --swversion DE.1.0.9.0 --startMP 204:232972 --initTime 2017-06-10T12:09:14 --startdatetime 2017-06-10T12:12:54 --delay 1 --endMP 204:905 --enddatetime 2017-06-10T12:52:26 --enforcementcount 0 &gt;&gt;C:\Users\stu\Documents\GitHub\eaglep3-reporting\EC\2017-06-10-refined-times.txt</v>
      </c>
      <c r="AI76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{"issue":{"subject":"","project_id":79,"tracker_id":40,"status_id":1,"priority_id":2,"assigned_to_id":23,"start_date":"2017-06-10","description":"","custom_fields":[{"id":1,"name":"Subdivision","value":"EC"},{"id":4,"name":"Milepost","value":"0.0905"},{"id":17,"name":"Train ID","value":"162-10"},{"id":16,"name":"Locomotive ID","value":"4001"},{"id":130,"name":"Impact","value":""},{"id":150,"name":"Time of Event (Mountain Time)","value":"12:52:26"},{"id":151,"name":"Denver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5" t="str">
        <f t="shared" si="39"/>
        <v>start /low /b %USERPROFILE%\Documents\GitHub\eaglep3\Utilities\DownloadLogsFromS3.py --loco 4001 --day 2017-06-10</v>
      </c>
      <c r="AN76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18:52:26"},{"id":29,"name":"Sharepoint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712</v>
      </c>
      <c r="B77" s="7">
        <v>4028</v>
      </c>
      <c r="C77" s="21" t="s">
        <v>204</v>
      </c>
      <c r="D77" s="21" t="s">
        <v>201</v>
      </c>
      <c r="E77" s="13">
        <v>42896.47483796296</v>
      </c>
      <c r="F77" s="13">
        <v>42896.479409722226</v>
      </c>
      <c r="G77" s="7">
        <v>1</v>
      </c>
      <c r="H77" s="21" t="s">
        <v>854</v>
      </c>
      <c r="I77" s="13">
        <v>42896.505520833336</v>
      </c>
      <c r="J77" s="7">
        <v>0</v>
      </c>
      <c r="K77" s="92" t="str">
        <f t="shared" si="0"/>
        <v>4027/4028</v>
      </c>
      <c r="L77" s="21" t="str">
        <f>VLOOKUP(A77,'Trips&amp;Operators'!$C$1:$G$99999,5,FALSE)</f>
        <v>BRANDNER MELINDA</v>
      </c>
      <c r="M77" s="6">
        <f t="shared" si="1"/>
        <v>2.6111111110367347E-2</v>
      </c>
      <c r="N77" s="7">
        <f t="shared" si="45"/>
        <v>37.599999998928979</v>
      </c>
      <c r="O77" s="7"/>
      <c r="P77" s="7"/>
      <c r="Q77" s="22"/>
      <c r="R77" s="173"/>
      <c r="S77" s="176">
        <f t="shared" si="46"/>
        <v>1</v>
      </c>
      <c r="T77" s="202" t="str">
        <f t="shared" si="3"/>
        <v>NorthBound</v>
      </c>
      <c r="U77" s="202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03" t="str">
        <f t="shared" si="4"/>
        <v>https://d0f6bd738d7f1b3e5a7ca70fe4ff75f0.us-east-1.aws.found.io/app/kibana#/discover/Steve-Slow-Train-Analysis-(2080s-and-2083s)?_g=(refreshInterval:(display:Off,pause:!f,section:0,value:0),time:(from:'2017-06-10T10:23:46-0600',mode:absolute,to:'2017-06-10T13:07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7" s="204" t="str">
        <f t="shared" si="5"/>
        <v>N</v>
      </c>
      <c r="X77" s="204">
        <f t="shared" si="6"/>
        <v>1</v>
      </c>
      <c r="Y77" s="204">
        <f t="shared" si="41"/>
        <v>4.5999999999999999E-2</v>
      </c>
      <c r="Z77" s="204">
        <f t="shared" si="42"/>
        <v>23.344100000000001</v>
      </c>
      <c r="AA77" s="204">
        <f t="shared" si="9"/>
        <v>23.298100000000002</v>
      </c>
      <c r="AB77" s="57" t="e">
        <f>VLOOKUP(A77,Enforcements!$C$7:$K$13,8,0)</f>
        <v>#N/A</v>
      </c>
      <c r="AC77" s="53" t="e">
        <f>VLOOKUP(A77,Enforcements!$C$7:$E$13,3,0)</f>
        <v>#N/A</v>
      </c>
      <c r="AD77" s="54" t="str">
        <f t="shared" si="10"/>
        <v>0163-10</v>
      </c>
      <c r="AE77" s="80" t="str">
        <f t="shared" si="11"/>
        <v>aws s3 cp s3://rtdc.mdm.uploadarchive.raw/RTDC4028/ "%USERPROFILE%\AppData\Local\Temp\OnboardLogs"\RTDC4028\2017-06-10 --exclude "*" --recursive --include "*20170610*" &amp; "%USERPROFILE%\Documents\GitHub\mrs-test-scripts\Headless Mode &amp; Sideloading\WalkAndUnGZ.bat" "%USERPROFILE%\AppData\Local\Temp\OnboardLogs"\RTDC4028\2017-06-10 &amp; aws s3 cp s3://rtdc.mdm.uploadarchive.raw/RTDC4028/ "%USERPROFILE%\AppData\Local\Temp\OnboardLogs"\RTDC4028\2017-06-11 --exclude "*" --recursive --include "*20170611*" &amp; "%USERPROFILE%\Documents\GitHub\mrs-test-scripts\Headless Mode &amp; Sideloading\WalkAndUnGZ.bat" "%USERPROFILE%\AppData\Local\Temp\OnboardLogs"\RTDC4028\2017-06-11</v>
      </c>
      <c r="AF77" s="77" t="str">
        <f t="shared" si="12"/>
        <v>"C:\Program Files (x86)\AstroGrep\AstroGrep.exe" /e /r /s /spath="%USERPROFILE%\AppData\Local\Temp\OnboardLogs" /stypes="app*4028*20170610*" /stext=" 18:.+((SYSTEM_STATE.+slice.+state.+changed )|(ment ac)|(multiple cpu faults)|(system.+state.+changed )|(\[timeout)|(PRM\|1\|D)|(kpr)|(kdp)|(train st.+moving)|(\|lc)|(penalty))"</v>
      </c>
      <c r="AG77" s="1" t="str">
        <f t="shared" si="13"/>
        <v>EC</v>
      </c>
      <c r="AH77" s="81" t="str">
        <f t="shared" si="37"/>
        <v>"%USERPROFILE%\Documents\GitHub\eaglep3\Utilities\RefineRTDCRunTimes.py" --tripid 163-10 --locoid 4028 --swversion DE.1.0.9.0 --startMP 204:460 --initTime 2017-06-10T11:23:46 --startdatetime 2017-06-10T11:30:21 --delay 1 --endMP 204:233441 --enddatetime 2017-06-10T12:07:57 --enforcementcount 0 &gt;&gt;C:\Users\stu\Documents\GitHub\eaglep3-reporting\EC\2017-06-10-refined-times.txt</v>
      </c>
      <c r="AI77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{"issue":{"subject":"","project_id":79,"tracker_id":40,"status_id":1,"priority_id":2,"assigned_to_id":23,"start_date":"2017-06-10","description":"","custom_fields":[{"id":1,"name":"Subdivision","value":"EC"},{"id":4,"name":"Milepost","value":"23.3441"},{"id":17,"name":"Train ID","value":"163-10"},{"id":16,"name":"Locomotive ID","value":"4028"},{"id":130,"name":"Impact","value":""},{"id":150,"name":"Time of Event (Mountain Time)","value":"12:07:57"},{"id":151,"name":"Denver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5" t="str">
        <f t="shared" si="39"/>
        <v>start /low /b %USERPROFILE%\Documents\GitHub\eaglep3\Utilities\DownloadLogsFromS3.py --loco 4028 --day 2017-06-10</v>
      </c>
      <c r="AN77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18:07:57"},{"id":29,"name":"Sharepoint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726</v>
      </c>
      <c r="B78" s="7">
        <v>4027</v>
      </c>
      <c r="C78" s="21" t="s">
        <v>204</v>
      </c>
      <c r="D78" s="21" t="s">
        <v>855</v>
      </c>
      <c r="E78" s="13">
        <v>42896.514548611114</v>
      </c>
      <c r="F78" s="13">
        <v>42896.519224537034</v>
      </c>
      <c r="G78" s="7">
        <v>2</v>
      </c>
      <c r="H78" s="21" t="s">
        <v>529</v>
      </c>
      <c r="I78" s="13">
        <v>42896.546666666669</v>
      </c>
      <c r="J78" s="7">
        <v>0</v>
      </c>
      <c r="K78" s="92" t="str">
        <f t="shared" ref="K78:K141" si="47">IF(ISEVEN(B78),(B78-1)&amp;"/"&amp;B78,B78&amp;"/"&amp;(B78+1))</f>
        <v>4027/4028</v>
      </c>
      <c r="L78" s="21" t="str">
        <f>VLOOKUP(A78,'Trips&amp;Operators'!$C$1:$G$99999,5,FALSE)</f>
        <v>BRANDNER MELINDA</v>
      </c>
      <c r="M78" s="6">
        <f t="shared" ref="M78:M141" si="48">I78-F78</f>
        <v>2.7442129634437151E-2</v>
      </c>
      <c r="N78" s="7">
        <f t="shared" si="45"/>
        <v>39.516666673589498</v>
      </c>
      <c r="O78" s="7"/>
      <c r="P78" s="7"/>
      <c r="Q78" s="22"/>
      <c r="R78" s="173"/>
      <c r="S78" s="176">
        <f t="shared" si="46"/>
        <v>1</v>
      </c>
      <c r="T78" s="202" t="str">
        <f t="shared" ref="T78:T141" si="49">IF(ISEVEN(LEFT(AD78,4)),"Southbound","NorthBound")</f>
        <v>Southbound</v>
      </c>
      <c r="U78" s="202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03" t="str">
        <f t="shared" ref="V78:V141" si="50"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-06-10T11:20:57-0600',mode:absolute,to:'2017-06-10T14:07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8" s="204" t="str">
        <f t="shared" ref="W78:W141" si="51">IF(AA78&lt;IF(AG78="EC",23,5.65),"Y","N")</f>
        <v>N</v>
      </c>
      <c r="X78" s="204">
        <f t="shared" ref="X78:X141" si="52">VALUE(LEFT(AD78,4))-VALUE(LEFT(AD77,4))</f>
        <v>1</v>
      </c>
      <c r="Y78" s="204">
        <f t="shared" ref="Y78:Y109" si="53">RIGHT(D78,LEN(D78)-4)/10000</f>
        <v>23.3126</v>
      </c>
      <c r="Z78" s="204">
        <f t="shared" ref="Z78:Z89" si="54">RIGHT(H78,LEN(H78)-4)/10000</f>
        <v>1.32E-2</v>
      </c>
      <c r="AA78" s="204">
        <f t="shared" ref="AA78:AA141" si="55">ABS(Z78-Y78)</f>
        <v>23.299399999999999</v>
      </c>
      <c r="AB78" s="57" t="e">
        <f>VLOOKUP(A78,Enforcements!$C$7:$K$13,8,0)</f>
        <v>#N/A</v>
      </c>
      <c r="AC78" s="53" t="e">
        <f>VLOOKUP(A78,Enforcements!$C$7:$E$13,3,0)</f>
        <v>#N/A</v>
      </c>
      <c r="AD78" s="54" t="str">
        <f t="shared" ref="AD78:AD141" si="56">IF(LEN(A78)=6,"0"&amp;A78,A78)</f>
        <v>0164-10</v>
      </c>
      <c r="AE78" s="80" t="str">
        <f t="shared" ref="AE78:AE141" si="57"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s3://rtdc.mdm.uploadarchive.raw/RTDC4027/ "%USERPROFILE%\AppData\Local\Temp\OnboardLogs"\RTDC4027\2017-06-10 --exclude "*" --recursive --include "*20170610*" &amp; "%USERPROFILE%\Documents\GitHub\mrs-test-scripts\Headless Mode &amp; Sideloading\WalkAndUnGZ.bat" "%USERPROFILE%\AppData\Local\Temp\OnboardLogs"\RTDC4027\2017-06-10 &amp; aws s3 cp s3://rtdc.mdm.uploadarchive.raw/RTDC4027/ "%USERPROFILE%\AppData\Local\Temp\OnboardLogs"\RTDC4027\2017-06-11 --exclude "*" --recursive --include "*20170611*" &amp; "%USERPROFILE%\Documents\GitHub\mrs-test-scripts\Headless Mode &amp; Sideloading\WalkAndUnGZ.bat" "%USERPROFILE%\AppData\Local\Temp\OnboardLogs"\RTDC4027\2017-06-11</v>
      </c>
      <c r="AF78" s="77" t="str">
        <f t="shared" ref="AF78:AF141" si="58"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/stypes="app*4027*20170610*" /stext=" 19:.+((SYSTEM_STATE.+slice.+state.+changed )|(ment ac)|(multiple cpu faults)|(system.+state.+changed )|(\[timeout)|(PRM\|1\|D)|(kpr)|(kdp)|(train st.+moving)|(\|lc)|(penalty))"</v>
      </c>
      <c r="AG78" s="1" t="str">
        <f t="shared" ref="AG78:AG141" si="59">IFERROR(IF(VALUE(LEFT(AD78,2))&lt;=2,"EC",IF(OR(VALUE(LEFT(AD78,2))=8,VALUE(LEFT(AD78,2))=18),"NW","Other")),"Other")</f>
        <v>EC</v>
      </c>
      <c r="AH78" s="81" t="str">
        <f t="shared" si="37"/>
        <v>"%USERPROFILE%\Documents\GitHub\eaglep3\Utilities\RefineRTDCRunTimes.py" --tripid 164-10 --locoid 4027 --swversion DE.1.0.9.0 --startMP 204:233126 --initTime 2017-06-10T12:20:57 --startdatetime 2017-06-10T12:27:41 --delay 2 --endMP 204:132 --enddatetime 2017-06-10T13:07:12 --enforcementcount 0 &gt;&gt;C:\Users\stu\Documents\GitHub\eaglep3-reporting\EC\2017-06-10-refined-times.txt</v>
      </c>
      <c r="AI78" s="99" t="str">
        <f t="shared" si="38"/>
        <v>echo {"issue":{"subject":"","project_id":79,"tracker_id":40,"status_id":1,"priority_id":2,"assigned_to_id":23,"start_date":"2017-06-10","description":"","custom_fields":[{"id":1,"name":"Subdivision","value":"EC"},{"id":4,"name":"Milepost","value":"0.0132"},{"id":17,"name":"Train ID","value":"164-10"},{"id":16,"name":"Locomotive ID","value":"4027"},{"id":130,"name":"Impact","value":""},{"id":150,"name":"Time of Event (Mountain Time)","value":"13:07:12"},{"id":151,"name":"Denver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5" t="str">
        <f t="shared" si="39"/>
        <v>start /low /b %USERPROFILE%\Documents\GitHub\eaglep3\Utilities\DownloadLogsFromS3.py --loco 4027 --day 2017-06-10</v>
      </c>
      <c r="AN78" s="154" t="str">
        <f t="shared" si="40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19:07:12"},{"id":29,"name":"Sharepoint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718</v>
      </c>
      <c r="B79" s="7">
        <v>4032</v>
      </c>
      <c r="C79" s="21" t="s">
        <v>204</v>
      </c>
      <c r="D79" s="21" t="s">
        <v>345</v>
      </c>
      <c r="E79" s="13">
        <v>42896.487650462965</v>
      </c>
      <c r="F79" s="13">
        <v>42896.489768518521</v>
      </c>
      <c r="G79" s="7">
        <v>1</v>
      </c>
      <c r="H79" s="21" t="s">
        <v>531</v>
      </c>
      <c r="I79" s="13">
        <v>42896.515046296299</v>
      </c>
      <c r="J79" s="7">
        <v>0</v>
      </c>
      <c r="K79" s="92" t="str">
        <f t="shared" si="47"/>
        <v>4031/4032</v>
      </c>
      <c r="L79" s="21" t="str">
        <f>VLOOKUP(A79,'Trips&amp;Operators'!$C$1:$G$99999,5,FALSE)</f>
        <v>BRUDER RICHARD</v>
      </c>
      <c r="M79" s="6">
        <f t="shared" si="48"/>
        <v>2.527777777868323E-2</v>
      </c>
      <c r="N79" s="7">
        <f t="shared" si="45"/>
        <v>36.400000001303852</v>
      </c>
      <c r="O79" s="7"/>
      <c r="P79" s="7"/>
      <c r="Q79" s="22"/>
      <c r="R79" s="173"/>
      <c r="S79" s="176">
        <f t="shared" si="46"/>
        <v>1</v>
      </c>
      <c r="T79" s="202" t="str">
        <f t="shared" si="49"/>
        <v>NorthBound</v>
      </c>
      <c r="U79" s="202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03" t="str">
        <f t="shared" si="50"/>
        <v>https://d0f6bd738d7f1b3e5a7ca70fe4ff75f0.us-east-1.aws.found.io/app/kibana#/discover/Steve-Slow-Train-Analysis-(2080s-and-2083s)?_g=(refreshInterval:(display:Off,pause:!f,section:0,value:0),time:(from:'2017-06-10T10:42:13-0600',mode:absolute,to:'2017-06-10T13:21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9" s="204" t="str">
        <f t="shared" si="51"/>
        <v>N</v>
      </c>
      <c r="X79" s="204">
        <f t="shared" si="52"/>
        <v>1</v>
      </c>
      <c r="Y79" s="204">
        <f t="shared" si="53"/>
        <v>4.4900000000000002E-2</v>
      </c>
      <c r="Z79" s="204">
        <f t="shared" si="54"/>
        <v>23.331499999999998</v>
      </c>
      <c r="AA79" s="204">
        <f t="shared" si="55"/>
        <v>23.2866</v>
      </c>
      <c r="AB79" s="57" t="e">
        <f>VLOOKUP(A79,Enforcements!$C$7:$K$13,8,0)</f>
        <v>#N/A</v>
      </c>
      <c r="AC79" s="53" t="e">
        <f>VLOOKUP(A79,Enforcements!$C$7:$E$13,3,0)</f>
        <v>#N/A</v>
      </c>
      <c r="AD79" s="54" t="str">
        <f t="shared" si="56"/>
        <v>0165-10</v>
      </c>
      <c r="AE79" s="80" t="str">
        <f t="shared" si="57"/>
        <v>aws s3 cp s3://rtdc.mdm.uploadarchive.raw/RTDC4032/ "%USERPROFILE%\AppData\Local\Temp\OnboardLogs"\RTDC4032\2017-06-10 --exclude "*" --recursive --include "*20170610*" &amp; "%USERPROFILE%\Documents\GitHub\mrs-test-scripts\Headless Mode &amp; Sideloading\WalkAndUnGZ.bat" "%USERPROFILE%\AppData\Local\Temp\OnboardLogs"\RTDC4032\2017-06-10 &amp; aws s3 cp s3://rtdc.mdm.uploadarchive.raw/RTDC4032/ "%USERPROFILE%\AppData\Local\Temp\OnboardLogs"\RTDC4032\2017-06-11 --exclude "*" --recursive --include "*20170611*" &amp; "%USERPROFILE%\Documents\GitHub\mrs-test-scripts\Headless Mode &amp; Sideloading\WalkAndUnGZ.bat" "%USERPROFILE%\AppData\Local\Temp\OnboardLogs"\RTDC4032\2017-06-11</v>
      </c>
      <c r="AF79" s="77" t="str">
        <f t="shared" si="58"/>
        <v>"C:\Program Files (x86)\AstroGrep\AstroGrep.exe" /e /r /s /spath="%USERPROFILE%\AppData\Local\Temp\OnboardLogs" /stypes="app*4032*20170610*" /stext=" 18:.+((SYSTEM_STATE.+slice.+state.+changed )|(ment ac)|(multiple cpu faults)|(system.+state.+changed )|(\[timeout)|(PRM\|1\|D)|(kpr)|(kdp)|(train st.+moving)|(\|lc)|(penalty))"</v>
      </c>
      <c r="AG79" s="1" t="str">
        <f t="shared" si="59"/>
        <v>EC</v>
      </c>
      <c r="AH79" s="81" t="str">
        <f t="shared" ref="AH79:AH142" si="60"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"&amp;J79&amp;IF(outputrefinedruntimes," &gt;&gt;"&amp;RefinedRTDCRunTimesOutputFile,"")</f>
        <v>"%USERPROFILE%\Documents\GitHub\eaglep3\Utilities\RefineRTDCRunTimes.py" --tripid 165-10 --locoid 4032 --swversion DE.1.0.9.0 --startMP 204:449 --initTime 2017-06-10T11:42:13 --startdatetime 2017-06-10T11:45:16 --delay 1 --endMP 204:233315 --enddatetime 2017-06-10T12:21:40 --enforcementcount 0 &gt;&gt;C:\Users\stu\Documents\GitHub\eaglep3-reporting\EC\2017-06-10-refined-times.txt</v>
      </c>
      <c r="AI79" s="99" t="str">
        <f t="shared" ref="AI79:AI142" si="61">"echo {""issue"":{""subject"":"""&amp;R79&amp;""",""project_id"":79,""tracker_id"":40,""status_id"":"&amp;redmine_status&amp;",""priority_id"":"&amp;redmine_priority&amp;",""assigned_to_id"":"&amp;redmine_assignee&amp;",""start_date"":"""&amp;TEXT(I79,"YYYY-mm-dd")&amp;""",""description"":"""&amp;AJ79&amp;""",""custom_fields"":[{""id"":1,""name"":""Subdivision"",""value"":"""&amp;AG79&amp;"""},{""id"":4,""name"":""Milepost"",""value"":"""&amp;Z79&amp;"""},{""id"":17,""name"":""Train ID"",""value"":"""&amp;A79&amp;"""},{""id"":16,""name"":""Locomotive ID"",""value"":"""&amp;B79&amp;"""},{""id"":130,""name"":""Impact"",""value"":"""&amp;AK79&amp;"""},{""id"":150,""name"":""Time of Event (Mountain Time)"",""value"":"""&amp;TEXT(I79,"hh:mm:ss")&amp;"""},{""id"":151,""name"":""Denver Issue ID"",""value"":"""&amp;"""},{""id"":178,""name"":""Operational Impact"",""value"":"""&amp;redmine_op_impact&amp;"""},{""id"":179,""name"":""Denver Segment Assigned"",""value"":"""&amp;AL79&amp;"""}]}}"&amp;"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{"issue":{"subject":"","project_id":79,"tracker_id":40,"status_id":1,"priority_id":2,"assigned_to_id":23,"start_date":"2017-06-10","description":"","custom_fields":[{"id":1,"name":"Subdivision","value":"EC"},{"id":4,"name":"Milepost","value":"23.3315"},{"id":17,"name":"Train ID","value":"165-10"},{"id":16,"name":"Locomotive ID","value":"4032"},{"id":130,"name":"Impact","value":""},{"id":150,"name":"Time of Event (Mountain Time)","value":"12:21:40"},{"id":151,"name":"Denver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5" t="str">
        <f t="shared" ref="AM79:AM142" si="62">"start /low /b "&amp;dls3logs&amp;" --loco "&amp;B79&amp;" --day "&amp;TEXT(F79,"YYYY-MM-DD")</f>
        <v>start /low /b %USERPROFILE%\Documents\GitHub\eaglep3\Utilities\DownloadLogsFromS3.py --loco 4032 --day 2017-06-10</v>
      </c>
      <c r="AN79" s="154" t="str">
        <f t="shared" ref="AN79:AN142" si="63">"echo {""issue"":{""subject"":"""&amp;R79&amp;""",""project_id"":30,""tracker_id"":4,""status_id"":"&amp;redmine_status_wcr&amp;",""priority_id"":"&amp;redmine_priority_wcr&amp;",""assigned_to_id"":"&amp;redmine_assignee_wcr&amp;",""start_date"":"""&amp;TEXT(I79-utc_offset/24,"YYYY-mm-dd")&amp;""",""description"":"""&amp;AJ79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18:21:40"},{"id":29,"name":"Sharepoint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588</v>
      </c>
      <c r="B80" s="7">
        <v>4031</v>
      </c>
      <c r="C80" s="21" t="s">
        <v>204</v>
      </c>
      <c r="D80" s="21" t="s">
        <v>856</v>
      </c>
      <c r="E80" s="13">
        <v>42896.526261574072</v>
      </c>
      <c r="F80" s="13">
        <v>42896.529374999998</v>
      </c>
      <c r="G80" s="7">
        <v>1</v>
      </c>
      <c r="H80" s="21" t="s">
        <v>361</v>
      </c>
      <c r="I80" s="13">
        <v>42896.55568287037</v>
      </c>
      <c r="J80" s="7">
        <v>0</v>
      </c>
      <c r="K80" s="92" t="str">
        <f t="shared" si="47"/>
        <v>4031/4032</v>
      </c>
      <c r="L80" s="21" t="str">
        <f>VLOOKUP(A80,'Trips&amp;Operators'!$C$1:$G$99999,5,FALSE)</f>
        <v>BRUDER RICHARD</v>
      </c>
      <c r="M80" s="6">
        <f t="shared" si="48"/>
        <v>2.6307870371965691E-2</v>
      </c>
      <c r="N80" s="7">
        <f t="shared" si="45"/>
        <v>37.883333335630596</v>
      </c>
      <c r="O80" s="7"/>
      <c r="P80" s="7"/>
      <c r="Q80" s="22"/>
      <c r="R80" s="173"/>
      <c r="S80" s="176">
        <f t="shared" si="46"/>
        <v>1</v>
      </c>
      <c r="T80" s="202" t="str">
        <f t="shared" si="49"/>
        <v>Southbound</v>
      </c>
      <c r="U80" s="202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03" t="str">
        <f t="shared" si="50"/>
        <v>https://d0f6bd738d7f1b3e5a7ca70fe4ff75f0.us-east-1.aws.found.io/app/kibana#/discover/Steve-Slow-Train-Analysis-(2080s-and-2083s)?_g=(refreshInterval:(display:Off,pause:!f,section:0,value:0),time:(from:'2017-06-10T11:37:49-0600',mode:absolute,to:'2017-06-10T14:20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80" s="204" t="str">
        <f t="shared" si="51"/>
        <v>N</v>
      </c>
      <c r="X80" s="204">
        <f t="shared" si="52"/>
        <v>1</v>
      </c>
      <c r="Y80" s="204">
        <f t="shared" si="53"/>
        <v>23.299099999999999</v>
      </c>
      <c r="Z80" s="204">
        <f t="shared" si="54"/>
        <v>1.3899999999999999E-2</v>
      </c>
      <c r="AA80" s="204">
        <f t="shared" si="55"/>
        <v>23.2852</v>
      </c>
      <c r="AB80" s="57" t="str">
        <f>VLOOKUP(A80,Enforcements!$C$7:$K$13,8,0)</f>
        <v>Bulletin (2)</v>
      </c>
      <c r="AC80" s="53" t="str">
        <f>VLOOKUP(A80,Enforcements!$C$7:$E$13,3,0)</f>
        <v>GRADE CROSSING</v>
      </c>
      <c r="AD80" s="54" t="str">
        <f t="shared" si="56"/>
        <v>0166-10</v>
      </c>
      <c r="AE80" s="80" t="str">
        <f t="shared" si="57"/>
        <v>aws s3 cp s3://rtdc.mdm.uploadarchive.raw/RTDC4031/ "%USERPROFILE%\AppData\Local\Temp\OnboardLogs"\RTDC4031\2017-06-10 --exclude "*" --recursive --include "*20170610*" &amp; "%USERPROFILE%\Documents\GitHub\mrs-test-scripts\Headless Mode &amp; Sideloading\WalkAndUnGZ.bat" "%USERPROFILE%\AppData\Local\Temp\OnboardLogs"\RTDC4031\2017-06-10 &amp; aws s3 cp s3://rtdc.mdm.uploadarchive.raw/RTDC4031/ "%USERPROFILE%\AppData\Local\Temp\OnboardLogs"\RTDC4031\2017-06-11 --exclude "*" --recursive --include "*20170611*" &amp; "%USERPROFILE%\Documents\GitHub\mrs-test-scripts\Headless Mode &amp; Sideloading\WalkAndUnGZ.bat" "%USERPROFILE%\AppData\Local\Temp\OnboardLogs"\RTDC4031\2017-06-11</v>
      </c>
      <c r="AF80" s="77" t="str">
        <f t="shared" si="58"/>
        <v>"C:\Program Files (x86)\AstroGrep\AstroGrep.exe" /e /r /s /spath="%USERPROFILE%\AppData\Local\Temp\OnboardLogs" /stypes="app*4031*20170610*" /stext=" 19:.+((SYSTEM_STATE.+slice.+state.+changed )|(ment ac)|(multiple cpu faults)|(system.+state.+changed )|(\[timeout)|(PRM\|1\|D)|(kpr)|(kdp)|(train st.+moving)|(\|lc)|(penalty))"</v>
      </c>
      <c r="AG80" s="1" t="str">
        <f t="shared" si="59"/>
        <v>EC</v>
      </c>
      <c r="AH80" s="81" t="str">
        <f t="shared" si="60"/>
        <v>"%USERPROFILE%\Documents\GitHub\eaglep3\Utilities\RefineRTDCRunTimes.py" --tripid 166-10 --locoid 4031 --swversion DE.1.0.9.0 --startMP 204:232991 --initTime 2017-06-10T12:37:49 --startdatetime 2017-06-10T12:42:18 --delay 1 --endMP 204:139 --enddatetime 2017-06-10T13:20:11 --enforcementcount 0 &gt;&gt;C:\Users\stu\Documents\GitHub\eaglep3-reporting\EC\2017-06-10-refined-times.txt</v>
      </c>
      <c r="AI80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{"issue":{"subject":"","project_id":79,"tracker_id":40,"status_id":1,"priority_id":2,"assigned_to_id":23,"start_date":"2017-06-10","description":"","custom_fields":[{"id":1,"name":"Subdivision","value":"EC"},{"id":4,"name":"Milepost","value":"0.0139"},{"id":17,"name":"Train ID","value":"166-10"},{"id":16,"name":"Locomotive ID","value":"4031"},{"id":130,"name":"Impact","value":""},{"id":150,"name":"Time of Event (Mountain Time)","value":"13:20:11"},{"id":151,"name":"Denver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5" t="str">
        <f t="shared" si="62"/>
        <v>start /low /b %USERPROFILE%\Documents\GitHub\eaglep3\Utilities\DownloadLogsFromS3.py --loco 4031 --day 2017-06-10</v>
      </c>
      <c r="AN80" s="154" t="str">
        <f t="shared" si="63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19:20:11"},{"id":29,"name":"Sharepoint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721</v>
      </c>
      <c r="B81" s="7">
        <v>4004</v>
      </c>
      <c r="C81" s="21" t="s">
        <v>204</v>
      </c>
      <c r="D81" s="21" t="s">
        <v>351</v>
      </c>
      <c r="E81" s="13">
        <v>42896.496516203704</v>
      </c>
      <c r="F81" s="13">
        <v>42896.500358796293</v>
      </c>
      <c r="G81" s="7">
        <v>1</v>
      </c>
      <c r="H81" s="21" t="s">
        <v>472</v>
      </c>
      <c r="I81" s="13">
        <v>42896.524652777778</v>
      </c>
      <c r="J81" s="7">
        <v>0</v>
      </c>
      <c r="K81" s="92" t="str">
        <f t="shared" si="47"/>
        <v>4003/4004</v>
      </c>
      <c r="L81" s="21" t="str">
        <f>VLOOKUP(A81,'Trips&amp;Operators'!$C$1:$G$99999,5,FALSE)</f>
        <v>YORK EDGAR</v>
      </c>
      <c r="M81" s="6">
        <f t="shared" si="48"/>
        <v>2.4293981485243421E-2</v>
      </c>
      <c r="N81" s="7">
        <f t="shared" si="45"/>
        <v>34.983333338750526</v>
      </c>
      <c r="O81" s="7"/>
      <c r="P81" s="7"/>
      <c r="Q81" s="22"/>
      <c r="R81" s="173"/>
      <c r="S81" s="176">
        <f t="shared" si="46"/>
        <v>1</v>
      </c>
      <c r="T81" s="202" t="str">
        <f t="shared" si="49"/>
        <v>NorthBound</v>
      </c>
      <c r="U81" s="202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03" t="str">
        <f t="shared" si="50"/>
        <v>https://d0f6bd738d7f1b3e5a7ca70fe4ff75f0.us-east-1.aws.found.io/app/kibana#/discover/Steve-Slow-Train-Analysis-(2080s-and-2083s)?_g=(refreshInterval:(display:Off,pause:!f,section:0,value:0),time:(from:'2017-06-10T10:54:59-0600',mode:absolute,to:'2017-06-10T13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81" s="204" t="str">
        <f t="shared" si="51"/>
        <v>N</v>
      </c>
      <c r="X81" s="204">
        <f t="shared" si="52"/>
        <v>1</v>
      </c>
      <c r="Y81" s="204">
        <f t="shared" si="53"/>
        <v>4.58E-2</v>
      </c>
      <c r="Z81" s="204">
        <f t="shared" si="54"/>
        <v>23.3307</v>
      </c>
      <c r="AA81" s="204">
        <f t="shared" si="55"/>
        <v>23.2849</v>
      </c>
      <c r="AB81" s="57" t="e">
        <f>VLOOKUP(A81,Enforcements!$C$7:$K$13,8,0)</f>
        <v>#N/A</v>
      </c>
      <c r="AC81" s="53" t="e">
        <f>VLOOKUP(A81,Enforcements!$C$7:$E$13,3,0)</f>
        <v>#N/A</v>
      </c>
      <c r="AD81" s="54" t="str">
        <f t="shared" si="56"/>
        <v>0167-10</v>
      </c>
      <c r="AE81" s="80" t="str">
        <f t="shared" si="57"/>
        <v>aws s3 cp s3://rtdc.mdm.uploadarchive.raw/RTDC4004/ "%USERPROFILE%\AppData\Local\Temp\OnboardLogs"\RTDC4004\2017-06-10 --exclude "*" --recursive --include "*20170610*" &amp; "%USERPROFILE%\Documents\GitHub\mrs-test-scripts\Headless Mode &amp; Sideloading\WalkAndUnGZ.bat" "%USERPROFILE%\AppData\Local\Temp\OnboardLogs"\RTDC4004\2017-06-10 &amp; aws s3 cp s3://rtdc.mdm.uploadarchive.raw/RTDC4004/ "%USERPROFILE%\AppData\Local\Temp\OnboardLogs"\RTDC4004\2017-06-11 --exclude "*" --recursive --include "*20170611*" &amp; "%USERPROFILE%\Documents\GitHub\mrs-test-scripts\Headless Mode &amp; Sideloading\WalkAndUnGZ.bat" "%USERPROFILE%\AppData\Local\Temp\OnboardLogs"\RTDC4004\2017-06-11</v>
      </c>
      <c r="AF81" s="77" t="str">
        <f t="shared" si="58"/>
        <v>"C:\Program Files (x86)\AstroGrep\AstroGrep.exe" /e /r /s /spath="%USERPROFILE%\AppData\Local\Temp\OnboardLogs" /stypes="app*4004*20170610*" /stext=" 18:.+((SYSTEM_STATE.+slice.+state.+changed )|(ment ac)|(multiple cpu faults)|(system.+state.+changed )|(\[timeout)|(PRM\|1\|D)|(kpr)|(kdp)|(train st.+moving)|(\|lc)|(penalty))"</v>
      </c>
      <c r="AG81" s="1" t="str">
        <f t="shared" si="59"/>
        <v>EC</v>
      </c>
      <c r="AH81" s="81" t="str">
        <f t="shared" si="60"/>
        <v>"%USERPROFILE%\Documents\GitHub\eaglep3\Utilities\RefineRTDCRunTimes.py" --tripid 167-10 --locoid 4004 --swversion DE.1.0.9.0 --startMP 204:458 --initTime 2017-06-10T11:54:59 --startdatetime 2017-06-10T12:00:31 --delay 1 --endMP 204:233307 --enddatetime 2017-06-10T12:35:30 --enforcementcount 0 &gt;&gt;C:\Users\stu\Documents\GitHub\eaglep3-reporting\EC\2017-06-10-refined-times.txt</v>
      </c>
      <c r="AI81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{"issue":{"subject":"","project_id":79,"tracker_id":40,"status_id":1,"priority_id":2,"assigned_to_id":23,"start_date":"2017-06-10","description":"","custom_fields":[{"id":1,"name":"Subdivision","value":"EC"},{"id":4,"name":"Milepost","value":"23.3307"},{"id":17,"name":"Train ID","value":"167-10"},{"id":16,"name":"Locomotive ID","value":"4004"},{"id":130,"name":"Impact","value":""},{"id":150,"name":"Time of Event (Mountain Time)","value":"12:35:30"},{"id":151,"name":"Denver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5" t="str">
        <f t="shared" si="62"/>
        <v>start /low /b %USERPROFILE%\Documents\GitHub\eaglep3\Utilities\DownloadLogsFromS3.py --loco 4004 --day 2017-06-10</v>
      </c>
      <c r="AN81" s="154" t="str">
        <f t="shared" si="63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18:35:30"},{"id":29,"name":"Sharepoint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589</v>
      </c>
      <c r="B82" s="7">
        <v>4003</v>
      </c>
      <c r="C82" s="21" t="s">
        <v>204</v>
      </c>
      <c r="D82" s="21" t="s">
        <v>857</v>
      </c>
      <c r="E82" s="13">
        <v>42896.525520833333</v>
      </c>
      <c r="F82" s="13">
        <v>42896.54005787037</v>
      </c>
      <c r="G82" s="7">
        <v>1</v>
      </c>
      <c r="H82" s="21" t="s">
        <v>463</v>
      </c>
      <c r="I82" s="13">
        <v>42896.569502314815</v>
      </c>
      <c r="J82" s="7">
        <v>0</v>
      </c>
      <c r="K82" s="92" t="str">
        <f t="shared" si="47"/>
        <v>4003/4004</v>
      </c>
      <c r="L82" s="21" t="str">
        <f>VLOOKUP(A82,'Trips&amp;Operators'!$C$1:$G$99999,5,FALSE)</f>
        <v>YORK EDGAR</v>
      </c>
      <c r="M82" s="6">
        <f t="shared" si="48"/>
        <v>2.9444444444379769E-2</v>
      </c>
      <c r="N82" s="7">
        <f t="shared" si="45"/>
        <v>42.399999999906868</v>
      </c>
      <c r="O82" s="7"/>
      <c r="P82" s="7"/>
      <c r="Q82" s="22"/>
      <c r="R82" s="173"/>
      <c r="S82" s="176">
        <f t="shared" si="46"/>
        <v>1</v>
      </c>
      <c r="T82" s="202" t="str">
        <f t="shared" si="49"/>
        <v>Southbound</v>
      </c>
      <c r="U82" s="202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03" t="str">
        <f t="shared" si="50"/>
        <v>https://d0f6bd738d7f1b3e5a7ca70fe4ff75f0.us-east-1.aws.found.io/app/kibana#/discover/Steve-Slow-Train-Analysis-(2080s-and-2083s)?_g=(refreshInterval:(display:Off,pause:!f,section:0,value:0),time:(from:'2017-06-10T11:36:45-0600',mode:absolute,to:'2017-06-10T14:40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2" s="204" t="str">
        <f t="shared" si="51"/>
        <v>N</v>
      </c>
      <c r="X82" s="204">
        <f t="shared" si="52"/>
        <v>1</v>
      </c>
      <c r="Y82" s="204">
        <f t="shared" si="53"/>
        <v>23.297799999999999</v>
      </c>
      <c r="Z82" s="204">
        <f t="shared" si="54"/>
        <v>1.6299999999999999E-2</v>
      </c>
      <c r="AA82" s="204">
        <f t="shared" si="55"/>
        <v>23.281499999999998</v>
      </c>
      <c r="AB82" s="57" t="e">
        <f>VLOOKUP(A82,Enforcements!$C$7:$K$13,8,0)</f>
        <v>#N/A</v>
      </c>
      <c r="AC82" s="53" t="e">
        <f>VLOOKUP(A82,Enforcements!$C$7:$E$13,3,0)</f>
        <v>#N/A</v>
      </c>
      <c r="AD82" s="54" t="str">
        <f t="shared" si="56"/>
        <v>0168-10</v>
      </c>
      <c r="AE82" s="80" t="str">
        <f t="shared" si="57"/>
        <v>aws s3 cp s3://rtdc.mdm.uploadarchive.raw/RTDC4003/ "%USERPROFILE%\AppData\Local\Temp\OnboardLogs"\RTDC4003\2017-06-10 --exclude "*" --recursive --include "*20170610*" &amp; "%USERPROFILE%\Documents\GitHub\mrs-test-scripts\Headless Mode &amp; Sideloading\WalkAndUnGZ.bat" "%USERPROFILE%\AppData\Local\Temp\OnboardLogs"\RTDC4003\2017-06-10 &amp; aws s3 cp s3://rtdc.mdm.uploadarchive.raw/RTDC4003/ "%USERPROFILE%\AppData\Local\Temp\OnboardLogs"\RTDC4003\2017-06-11 --exclude "*" --recursive --include "*20170611*" &amp; "%USERPROFILE%\Documents\GitHub\mrs-test-scripts\Headless Mode &amp; Sideloading\WalkAndUnGZ.bat" "%USERPROFILE%\AppData\Local\Temp\OnboardLogs"\RTDC4003\2017-06-11</v>
      </c>
      <c r="AF82" s="77" t="str">
        <f t="shared" si="58"/>
        <v>"C:\Program Files (x86)\AstroGrep\AstroGrep.exe" /e /r /s /spath="%USERPROFILE%\AppData\Local\Temp\OnboardLogs" /stypes="app*4003*20170610*" /stext=" 19:.+((SYSTEM_STATE.+slice.+state.+changed )|(ment ac)|(multiple cpu faults)|(system.+state.+changed )|(\[timeout)|(PRM\|1\|D)|(kpr)|(kdp)|(train st.+moving)|(\|lc)|(penalty))"</v>
      </c>
      <c r="AG82" s="1" t="str">
        <f t="shared" si="59"/>
        <v>EC</v>
      </c>
      <c r="AH82" s="81" t="str">
        <f t="shared" si="60"/>
        <v>"%USERPROFILE%\Documents\GitHub\eaglep3\Utilities\RefineRTDCRunTimes.py" --tripid 168-10 --locoid 4003 --swversion DE.1.0.9.0 --startMP 204:232978 --initTime 2017-06-10T12:36:45 --startdatetime 2017-06-10T12:57:41 --delay 1 --endMP 204:163 --enddatetime 2017-06-10T13:40:05 --enforcementcount 0 &gt;&gt;C:\Users\stu\Documents\GitHub\eaglep3-reporting\EC\2017-06-10-refined-times.txt</v>
      </c>
      <c r="AI82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{"issue":{"subject":"","project_id":79,"tracker_id":40,"status_id":1,"priority_id":2,"assigned_to_id":23,"start_date":"2017-06-10","description":"","custom_fields":[{"id":1,"name":"Subdivision","value":"EC"},{"id":4,"name":"Milepost","value":"0.0163"},{"id":17,"name":"Train ID","value":"168-10"},{"id":16,"name":"Locomotive ID","value":"4003"},{"id":130,"name":"Impact","value":""},{"id":150,"name":"Time of Event (Mountain Time)","value":"13:40:05"},{"id":151,"name":"Denver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5" t="str">
        <f t="shared" si="62"/>
        <v>start /low /b %USERPROFILE%\Documents\GitHub\eaglep3\Utilities\DownloadLogsFromS3.py --loco 4003 --day 2017-06-10</v>
      </c>
      <c r="AN82" s="154" t="str">
        <f t="shared" si="63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19:40:05"},{"id":29,"name":"Sharepoint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723</v>
      </c>
      <c r="B83" s="7">
        <v>4044</v>
      </c>
      <c r="C83" s="21" t="s">
        <v>204</v>
      </c>
      <c r="D83" s="21" t="s">
        <v>858</v>
      </c>
      <c r="E83" s="13">
        <v>42896.506597222222</v>
      </c>
      <c r="F83" s="13">
        <v>42896.510613425926</v>
      </c>
      <c r="G83" s="7">
        <v>1</v>
      </c>
      <c r="H83" s="21" t="s">
        <v>520</v>
      </c>
      <c r="I83" s="13">
        <v>42896.535543981481</v>
      </c>
      <c r="J83" s="7">
        <v>0</v>
      </c>
      <c r="K83" s="92" t="str">
        <f t="shared" si="47"/>
        <v>4043/4044</v>
      </c>
      <c r="L83" s="21" t="str">
        <f>VLOOKUP(A83,'Trips&amp;Operators'!$C$1:$G$99999,5,FALSE)</f>
        <v>LOPES KIMBERLY</v>
      </c>
      <c r="M83" s="6">
        <f t="shared" si="48"/>
        <v>2.4930555555329192E-2</v>
      </c>
      <c r="N83" s="7">
        <f t="shared" si="45"/>
        <v>35.899999999674037</v>
      </c>
      <c r="O83" s="7"/>
      <c r="P83" s="7"/>
      <c r="Q83" s="22"/>
      <c r="R83" s="173"/>
      <c r="S83" s="176">
        <f t="shared" si="46"/>
        <v>1</v>
      </c>
      <c r="T83" s="202" t="str">
        <f t="shared" si="49"/>
        <v>NorthBound</v>
      </c>
      <c r="U83" s="202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03" t="str">
        <f t="shared" si="50"/>
        <v>https://d0f6bd738d7f1b3e5a7ca70fe4ff75f0.us-east-1.aws.found.io/app/kibana#/discover/Steve-Slow-Train-Analysis-(2080s-and-2083s)?_g=(refreshInterval:(display:Off,pause:!f,section:0,value:0),time:(from:'2017-06-10T11:09:30-0600',mode:absolute,to:'2017-06-10T13:51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3" s="204" t="str">
        <f t="shared" si="51"/>
        <v>N</v>
      </c>
      <c r="X83" s="204">
        <f t="shared" si="52"/>
        <v>1</v>
      </c>
      <c r="Y83" s="204">
        <f t="shared" si="53"/>
        <v>4.8000000000000001E-2</v>
      </c>
      <c r="Z83" s="204">
        <f t="shared" si="54"/>
        <v>23.3306</v>
      </c>
      <c r="AA83" s="204">
        <f t="shared" si="55"/>
        <v>23.282600000000002</v>
      </c>
      <c r="AB83" s="57" t="e">
        <f>VLOOKUP(A83,Enforcements!$C$7:$K$13,8,0)</f>
        <v>#N/A</v>
      </c>
      <c r="AC83" s="53" t="e">
        <f>VLOOKUP(A83,Enforcements!$C$7:$E$13,3,0)</f>
        <v>#N/A</v>
      </c>
      <c r="AD83" s="54" t="str">
        <f t="shared" si="56"/>
        <v>0169-10</v>
      </c>
      <c r="AE83" s="80" t="str">
        <f t="shared" si="57"/>
        <v>aws s3 cp s3://rtdc.mdm.uploadarchive.raw/RTDC4044/ "%USERPROFILE%\AppData\Local\Temp\OnboardLogs"\RTDC4044\2017-06-10 --exclude "*" --recursive --include "*20170610*" &amp; "%USERPROFILE%\Documents\GitHub\mrs-test-scripts\Headless Mode &amp; Sideloading\WalkAndUnGZ.bat" "%USERPROFILE%\AppData\Local\Temp\OnboardLogs"\RTDC4044\2017-06-10 &amp; aws s3 cp s3://rtdc.mdm.uploadarchive.raw/RTDC4044/ "%USERPROFILE%\AppData\Local\Temp\OnboardLogs"\RTDC4044\2017-06-11 --exclude "*" --recursive --include "*20170611*" &amp; "%USERPROFILE%\Documents\GitHub\mrs-test-scripts\Headless Mode &amp; Sideloading\WalkAndUnGZ.bat" "%USERPROFILE%\AppData\Local\Temp\OnboardLogs"\RTDC4044\2017-06-11</v>
      </c>
      <c r="AF83" s="77" t="str">
        <f t="shared" si="58"/>
        <v>"C:\Program Files (x86)\AstroGrep\AstroGrep.exe" /e /r /s /spath="%USERPROFILE%\AppData\Local\Temp\OnboardLogs" /stypes="app*4044*20170610*" /stext=" 18:.+((SYSTEM_STATE.+slice.+state.+changed )|(ment ac)|(multiple cpu faults)|(system.+state.+changed )|(\[timeout)|(PRM\|1\|D)|(kpr)|(kdp)|(train st.+moving)|(\|lc)|(penalty))"</v>
      </c>
      <c r="AG83" s="1" t="str">
        <f t="shared" si="59"/>
        <v>EC</v>
      </c>
      <c r="AH83" s="81" t="str">
        <f t="shared" si="60"/>
        <v>"%USERPROFILE%\Documents\GitHub\eaglep3\Utilities\RefineRTDCRunTimes.py" --tripid 169-10 --locoid 4044 --swversion DE.1.0.9.0 --startMP 204:480 --initTime 2017-06-10T12:09:30 --startdatetime 2017-06-10T12:15:17 --delay 1 --endMP 204:233306 --enddatetime 2017-06-10T12:51:11 --enforcementcount 0 &gt;&gt;C:\Users\stu\Documents\GitHub\eaglep3-reporting\EC\2017-06-10-refined-times.txt</v>
      </c>
      <c r="AI83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{"issue":{"subject":"","project_id":79,"tracker_id":40,"status_id":1,"priority_id":2,"assigned_to_id":23,"start_date":"2017-06-10","description":"","custom_fields":[{"id":1,"name":"Subdivision","value":"EC"},{"id":4,"name":"Milepost","value":"23.3306"},{"id":17,"name":"Train ID","value":"169-10"},{"id":16,"name":"Locomotive ID","value":"4044"},{"id":130,"name":"Impact","value":""},{"id":150,"name":"Time of Event (Mountain Time)","value":"12:51:11"},{"id":151,"name":"Denver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5" t="str">
        <f t="shared" si="62"/>
        <v>start /low /b %USERPROFILE%\Documents\GitHub\eaglep3\Utilities\DownloadLogsFromS3.py --loco 4044 --day 2017-06-10</v>
      </c>
      <c r="AN83" s="154" t="str">
        <f t="shared" si="63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18:51:11"},{"id":29,"name":"Sharepoint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732</v>
      </c>
      <c r="B84" s="7">
        <v>4043</v>
      </c>
      <c r="C84" s="21" t="s">
        <v>204</v>
      </c>
      <c r="D84" s="21" t="s">
        <v>859</v>
      </c>
      <c r="E84" s="13">
        <v>42896.541064814817</v>
      </c>
      <c r="F84" s="13">
        <v>42896.550185185188</v>
      </c>
      <c r="G84" s="7">
        <v>1</v>
      </c>
      <c r="H84" s="21" t="s">
        <v>499</v>
      </c>
      <c r="I84" s="13">
        <v>42896.579525462963</v>
      </c>
      <c r="J84" s="7">
        <v>0</v>
      </c>
      <c r="K84" s="92" t="str">
        <f t="shared" si="47"/>
        <v>4043/4044</v>
      </c>
      <c r="L84" s="21" t="str">
        <f>VLOOKUP(A84,'Trips&amp;Operators'!$C$1:$G$99999,5,FALSE)</f>
        <v>LOPES KIMBERLY</v>
      </c>
      <c r="M84" s="6">
        <f t="shared" si="48"/>
        <v>2.9340277775190771E-2</v>
      </c>
      <c r="N84" s="7">
        <f t="shared" si="45"/>
        <v>42.24999999627471</v>
      </c>
      <c r="O84" s="7"/>
      <c r="P84" s="7"/>
      <c r="Q84" s="22"/>
      <c r="R84" s="173"/>
      <c r="S84" s="176">
        <f t="shared" si="46"/>
        <v>1</v>
      </c>
      <c r="T84" s="202" t="str">
        <f t="shared" si="49"/>
        <v>Southbound</v>
      </c>
      <c r="U84" s="202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03" t="str">
        <f t="shared" si="50"/>
        <v>https://d0f6bd738d7f1b3e5a7ca70fe4ff75f0.us-east-1.aws.found.io/app/kibana#/discover/Steve-Slow-Train-Analysis-(2080s-and-2083s)?_g=(refreshInterval:(display:Off,pause:!f,section:0,value:0),time:(from:'2017-06-10T11:59:08-0600',mode:absolute,to:'2017-06-10T14:54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4" s="204" t="str">
        <f t="shared" si="51"/>
        <v>N</v>
      </c>
      <c r="X84" s="204">
        <f t="shared" si="52"/>
        <v>1</v>
      </c>
      <c r="Y84" s="204">
        <f t="shared" si="53"/>
        <v>23.301100000000002</v>
      </c>
      <c r="Z84" s="204">
        <f t="shared" si="54"/>
        <v>1.3599999999999999E-2</v>
      </c>
      <c r="AA84" s="204">
        <f t="shared" si="55"/>
        <v>23.287500000000001</v>
      </c>
      <c r="AB84" s="57" t="e">
        <f>VLOOKUP(A84,Enforcements!$C$7:$K$13,8,0)</f>
        <v>#N/A</v>
      </c>
      <c r="AC84" s="53" t="e">
        <f>VLOOKUP(A84,Enforcements!$C$7:$E$13,3,0)</f>
        <v>#N/A</v>
      </c>
      <c r="AD84" s="54" t="str">
        <f t="shared" si="56"/>
        <v>0170-10</v>
      </c>
      <c r="AE84" s="80" t="str">
        <f t="shared" si="57"/>
        <v>aws s3 cp s3://rtdc.mdm.uploadarchive.raw/RTDC4043/ "%USERPROFILE%\AppData\Local\Temp\OnboardLogs"\RTDC4043\2017-06-10 --exclude "*" --recursive --include "*20170610*" &amp; "%USERPROFILE%\Documents\GitHub\mrs-test-scripts\Headless Mode &amp; Sideloading\WalkAndUnGZ.bat" "%USERPROFILE%\AppData\Local\Temp\OnboardLogs"\RTDC4043\2017-06-10 &amp; aws s3 cp s3://rtdc.mdm.uploadarchive.raw/RTDC4043/ "%USERPROFILE%\AppData\Local\Temp\OnboardLogs"\RTDC4043\2017-06-11 --exclude "*" --recursive --include "*20170611*" &amp; "%USERPROFILE%\Documents\GitHub\mrs-test-scripts\Headless Mode &amp; Sideloading\WalkAndUnGZ.bat" "%USERPROFILE%\AppData\Local\Temp\OnboardLogs"\RTDC4043\2017-06-11</v>
      </c>
      <c r="AF84" s="77" t="str">
        <f t="shared" si="58"/>
        <v>"C:\Program Files (x86)\AstroGrep\AstroGrep.exe" /e /r /s /spath="%USERPROFILE%\AppData\Local\Temp\OnboardLogs" /stypes="app*4043*20170610*" /stext=" 19:.+((SYSTEM_STATE.+slice.+state.+changed )|(ment ac)|(multiple cpu faults)|(system.+state.+changed )|(\[timeout)|(PRM\|1\|D)|(kpr)|(kdp)|(train st.+moving)|(\|lc)|(penalty))"</v>
      </c>
      <c r="AG84" s="1" t="str">
        <f t="shared" si="59"/>
        <v>EC</v>
      </c>
      <c r="AH84" s="81" t="str">
        <f t="shared" si="60"/>
        <v>"%USERPROFILE%\Documents\GitHub\eaglep3\Utilities\RefineRTDCRunTimes.py" --tripid 170-10 --locoid 4043 --swversion DE.1.0.9.0 --startMP 204:233011 --initTime 2017-06-10T12:59:08 --startdatetime 2017-06-10T13:12:16 --delay 1 --endMP 204:136 --enddatetime 2017-06-10T13:54:31 --enforcementcount 0 &gt;&gt;C:\Users\stu\Documents\GitHub\eaglep3-reporting\EC\2017-06-10-refined-times.txt</v>
      </c>
      <c r="AI84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{"issue":{"subject":"","project_id":79,"tracker_id":40,"status_id":1,"priority_id":2,"assigned_to_id":23,"start_date":"2017-06-10","description":"","custom_fields":[{"id":1,"name":"Subdivision","value":"EC"},{"id":4,"name":"Milepost","value":"0.0136"},{"id":17,"name":"Train ID","value":"170-10"},{"id":16,"name":"Locomotive ID","value":"4043"},{"id":130,"name":"Impact","value":""},{"id":150,"name":"Time of Event (Mountain Time)","value":"13:54:31"},{"id":151,"name":"Denver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5" t="str">
        <f t="shared" si="62"/>
        <v>start /low /b %USERPROFILE%\Documents\GitHub\eaglep3\Utilities\DownloadLogsFromS3.py --loco 4043 --day 2017-06-10</v>
      </c>
      <c r="AN84" s="154" t="str">
        <f t="shared" si="63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19:54:31"},{"id":29,"name":"Sharepoint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727</v>
      </c>
      <c r="B85" s="7">
        <v>4056</v>
      </c>
      <c r="C85" s="21" t="s">
        <v>204</v>
      </c>
      <c r="D85" s="21" t="s">
        <v>356</v>
      </c>
      <c r="E85" s="13">
        <v>42896.517754629633</v>
      </c>
      <c r="F85" s="13">
        <v>42896.521273148152</v>
      </c>
      <c r="G85" s="7">
        <v>1</v>
      </c>
      <c r="H85" s="21" t="s">
        <v>860</v>
      </c>
      <c r="I85" s="13">
        <v>42896.545636574076</v>
      </c>
      <c r="J85" s="7">
        <v>0</v>
      </c>
      <c r="K85" s="92" t="str">
        <f t="shared" si="47"/>
        <v>4055/4056</v>
      </c>
      <c r="L85" s="21" t="str">
        <f>VLOOKUP(A85,'Trips&amp;Operators'!$C$1:$G$99999,5,FALSE)</f>
        <v>STEWART MICHAEL</v>
      </c>
      <c r="M85" s="6">
        <f t="shared" si="48"/>
        <v>2.4363425924093463E-2</v>
      </c>
      <c r="N85" s="7">
        <f t="shared" si="45"/>
        <v>35.083333330694586</v>
      </c>
      <c r="O85" s="7"/>
      <c r="P85" s="7"/>
      <c r="Q85" s="22"/>
      <c r="R85" s="173"/>
      <c r="S85" s="176">
        <f t="shared" si="46"/>
        <v>1</v>
      </c>
      <c r="T85" s="202" t="str">
        <f t="shared" si="49"/>
        <v>NorthBound</v>
      </c>
      <c r="U85" s="202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03" t="str">
        <f t="shared" si="50"/>
        <v>https://d0f6bd738d7f1b3e5a7ca70fe4ff75f0.us-east-1.aws.found.io/app/kibana#/discover/Steve-Slow-Train-Analysis-(2080s-and-2083s)?_g=(refreshInterval:(display:Off,pause:!f,section:0,value:0),time:(from:'2017-06-10T11:25:34-0600',mode:absolute,to:'2017-06-10T14:05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85" s="204" t="str">
        <f t="shared" si="51"/>
        <v>N</v>
      </c>
      <c r="X85" s="204">
        <f t="shared" si="52"/>
        <v>1</v>
      </c>
      <c r="Y85" s="204">
        <f t="shared" si="53"/>
        <v>4.5100000000000001E-2</v>
      </c>
      <c r="Z85" s="204">
        <f t="shared" si="54"/>
        <v>23.327400000000001</v>
      </c>
      <c r="AA85" s="204">
        <f t="shared" si="55"/>
        <v>23.282299999999999</v>
      </c>
      <c r="AB85" s="57" t="e">
        <f>VLOOKUP(A85,Enforcements!$C$7:$K$13,8,0)</f>
        <v>#N/A</v>
      </c>
      <c r="AC85" s="53" t="e">
        <f>VLOOKUP(A85,Enforcements!$C$7:$E$13,3,0)</f>
        <v>#N/A</v>
      </c>
      <c r="AD85" s="54" t="str">
        <f t="shared" si="56"/>
        <v>0171-10</v>
      </c>
      <c r="AE85" s="80" t="str">
        <f t="shared" si="57"/>
        <v>aws s3 cp s3://rtdc.mdm.uploadarchive.raw/RTDC4056/ "%USERPROFILE%\AppData\Local\Temp\OnboardLogs"\RTDC4056\2017-06-10 --exclude "*" --recursive --include "*20170610*" &amp; "%USERPROFILE%\Documents\GitHub\mrs-test-scripts\Headless Mode &amp; Sideloading\WalkAndUnGZ.bat" "%USERPROFILE%\AppData\Local\Temp\OnboardLogs"\RTDC4056\2017-06-10 &amp; aws s3 cp s3://rtdc.mdm.uploadarchive.raw/RTDC4056/ "%USERPROFILE%\AppData\Local\Temp\OnboardLogs"\RTDC4056\2017-06-11 --exclude "*" --recursive --include "*20170611*" &amp; "%USERPROFILE%\Documents\GitHub\mrs-test-scripts\Headless Mode &amp; Sideloading\WalkAndUnGZ.bat" "%USERPROFILE%\AppData\Local\Temp\OnboardLogs"\RTDC4056\2017-06-11</v>
      </c>
      <c r="AF85" s="77" t="str">
        <f t="shared" si="58"/>
        <v>"C:\Program Files (x86)\AstroGrep\AstroGrep.exe" /e /r /s /spath="%USERPROFILE%\AppData\Local\Temp\OnboardLogs" /stypes="app*4056*20170610*" /stext=" 19:.+((SYSTEM_STATE.+slice.+state.+changed )|(ment ac)|(multiple cpu faults)|(system.+state.+changed )|(\[timeout)|(PRM\|1\|D)|(kpr)|(kdp)|(train st.+moving)|(\|lc)|(penalty))"</v>
      </c>
      <c r="AG85" s="1" t="str">
        <f t="shared" si="59"/>
        <v>EC</v>
      </c>
      <c r="AH85" s="81" t="str">
        <f t="shared" si="60"/>
        <v>"%USERPROFILE%\Documents\GitHub\eaglep3\Utilities\RefineRTDCRunTimes.py" --tripid 171-10 --locoid 4056 --swversion DE.1.0.9.0 --startMP 204:451 --initTime 2017-06-10T12:25:34 --startdatetime 2017-06-10T12:30:38 --delay 1 --endMP 204:233274 --enddatetime 2017-06-10T13:05:43 --enforcementcount 0 &gt;&gt;C:\Users\stu\Documents\GitHub\eaglep3-reporting\EC\2017-06-10-refined-times.txt</v>
      </c>
      <c r="AI85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{"issue":{"subject":"","project_id":79,"tracker_id":40,"status_id":1,"priority_id":2,"assigned_to_id":23,"start_date":"2017-06-10","description":"","custom_fields":[{"id":1,"name":"Subdivision","value":"EC"},{"id":4,"name":"Milepost","value":"23.3274"},{"id":17,"name":"Train ID","value":"171-10"},{"id":16,"name":"Locomotive ID","value":"4056"},{"id":130,"name":"Impact","value":""},{"id":150,"name":"Time of Event (Mountain Time)","value":"13:05:43"},{"id":151,"name":"Denver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5" t="str">
        <f t="shared" si="62"/>
        <v>start /low /b %USERPROFILE%\Documents\GitHub\eaglep3\Utilities\DownloadLogsFromS3.py --loco 4056 --day 2017-06-10</v>
      </c>
      <c r="AN85" s="154" t="str">
        <f t="shared" si="63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19:05:43"},{"id":29,"name":"Sharepoint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735</v>
      </c>
      <c r="B86" s="7">
        <v>4055</v>
      </c>
      <c r="C86" s="21" t="s">
        <v>204</v>
      </c>
      <c r="D86" s="21" t="s">
        <v>403</v>
      </c>
      <c r="E86" s="13">
        <v>42896.558506944442</v>
      </c>
      <c r="F86" s="13">
        <v>42896.560567129629</v>
      </c>
      <c r="G86" s="7">
        <v>1</v>
      </c>
      <c r="H86" s="21" t="s">
        <v>361</v>
      </c>
      <c r="I86" s="13">
        <v>42896.588379629633</v>
      </c>
      <c r="J86" s="7">
        <v>0</v>
      </c>
      <c r="K86" s="92" t="str">
        <f t="shared" si="47"/>
        <v>4055/4056</v>
      </c>
      <c r="L86" s="21" t="str">
        <f>VLOOKUP(A86,'Trips&amp;Operators'!$C$1:$G$99999,5,FALSE)</f>
        <v>STEWART MICHAEL</v>
      </c>
      <c r="M86" s="6">
        <f t="shared" si="48"/>
        <v>2.7812500004074536E-2</v>
      </c>
      <c r="N86" s="7">
        <f t="shared" si="45"/>
        <v>40.050000005867332</v>
      </c>
      <c r="O86" s="7"/>
      <c r="P86" s="7"/>
      <c r="Q86" s="22"/>
      <c r="R86" s="173"/>
      <c r="S86" s="176">
        <f t="shared" si="46"/>
        <v>1</v>
      </c>
      <c r="T86" s="202" t="str">
        <f t="shared" si="49"/>
        <v>Southbound</v>
      </c>
      <c r="U86" s="202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03" t="str">
        <f t="shared" si="50"/>
        <v>https://d0f6bd738d7f1b3e5a7ca70fe4ff75f0.us-east-1.aws.found.io/app/kibana#/discover/Steve-Slow-Train-Analysis-(2080s-and-2083s)?_g=(refreshInterval:(display:Off,pause:!f,section:0,value:0),time:(from:'2017-06-10T12:24:15-0600',mode:absolute,to:'2017-06-10T15:07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86" s="204" t="str">
        <f t="shared" si="51"/>
        <v>N</v>
      </c>
      <c r="X86" s="204">
        <f t="shared" si="52"/>
        <v>1</v>
      </c>
      <c r="Y86" s="204">
        <f t="shared" si="53"/>
        <v>23.298200000000001</v>
      </c>
      <c r="Z86" s="204">
        <f t="shared" si="54"/>
        <v>1.3899999999999999E-2</v>
      </c>
      <c r="AA86" s="204">
        <f t="shared" si="55"/>
        <v>23.284300000000002</v>
      </c>
      <c r="AB86" s="57" t="e">
        <f>VLOOKUP(A86,Enforcements!$C$7:$K$13,8,0)</f>
        <v>#N/A</v>
      </c>
      <c r="AC86" s="53" t="e">
        <f>VLOOKUP(A86,Enforcements!$C$7:$E$13,3,0)</f>
        <v>#N/A</v>
      </c>
      <c r="AD86" s="54" t="str">
        <f t="shared" si="56"/>
        <v>0172-10</v>
      </c>
      <c r="AE86" s="80" t="str">
        <f t="shared" si="57"/>
        <v>aws s3 cp s3://rtdc.mdm.uploadarchive.raw/RTDC4055/ "%USERPROFILE%\AppData\Local\Temp\OnboardLogs"\RTDC4055\2017-06-10 --exclude "*" --recursive --include "*20170610*" &amp; "%USERPROFILE%\Documents\GitHub\mrs-test-scripts\Headless Mode &amp; Sideloading\WalkAndUnGZ.bat" "%USERPROFILE%\AppData\Local\Temp\OnboardLogs"\RTDC4055\2017-06-10 &amp; aws s3 cp s3://rtdc.mdm.uploadarchive.raw/RTDC4055/ "%USERPROFILE%\AppData\Local\Temp\OnboardLogs"\RTDC4055\2017-06-11 --exclude "*" --recursive --include "*20170611*" &amp; "%USERPROFILE%\Documents\GitHub\mrs-test-scripts\Headless Mode &amp; Sideloading\WalkAndUnGZ.bat" "%USERPROFILE%\AppData\Local\Temp\OnboardLogs"\RTDC4055\2017-06-11</v>
      </c>
      <c r="AF86" s="77" t="str">
        <f t="shared" si="58"/>
        <v>"C:\Program Files (x86)\AstroGrep\AstroGrep.exe" /e /r /s /spath="%USERPROFILE%\AppData\Local\Temp\OnboardLogs" /stypes="app*4055*20170610*" /stext=" 20:.+((SYSTEM_STATE.+slice.+state.+changed )|(ment ac)|(multiple cpu faults)|(system.+state.+changed )|(\[timeout)|(PRM\|1\|D)|(kpr)|(kdp)|(train st.+moving)|(\|lc)|(penalty))"</v>
      </c>
      <c r="AG86" s="1" t="str">
        <f t="shared" si="59"/>
        <v>EC</v>
      </c>
      <c r="AH86" s="81" t="str">
        <f t="shared" si="60"/>
        <v>"%USERPROFILE%\Documents\GitHub\eaglep3\Utilities\RefineRTDCRunTimes.py" --tripid 172-10 --locoid 4055 --swversion DE.1.0.9.0 --startMP 204:232982 --initTime 2017-06-10T13:24:15 --startdatetime 2017-06-10T13:27:13 --delay 1 --endMP 204:139 --enddatetime 2017-06-10T14:07:16 --enforcementcount 0 &gt;&gt;C:\Users\stu\Documents\GitHub\eaglep3-reporting\EC\2017-06-10-refined-times.txt</v>
      </c>
      <c r="AI86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{"issue":{"subject":"","project_id":79,"tracker_id":40,"status_id":1,"priority_id":2,"assigned_to_id":23,"start_date":"2017-06-10","description":"","custom_fields":[{"id":1,"name":"Subdivision","value":"EC"},{"id":4,"name":"Milepost","value":"0.0139"},{"id":17,"name":"Train ID","value":"172-10"},{"id":16,"name":"Locomotive ID","value":"4055"},{"id":130,"name":"Impact","value":""},{"id":150,"name":"Time of Event (Mountain Time)","value":"14:07:16"},{"id":151,"name":"Denver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5" t="str">
        <f t="shared" si="62"/>
        <v>start /low /b %USERPROFILE%\Documents\GitHub\eaglep3\Utilities\DownloadLogsFromS3.py --loco 4055 --day 2017-06-10</v>
      </c>
      <c r="AN86" s="154" t="str">
        <f t="shared" si="63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20:07:16"},{"id":29,"name":"Sharepoint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728</v>
      </c>
      <c r="B87" s="7">
        <v>4052</v>
      </c>
      <c r="C87" s="21" t="s">
        <v>204</v>
      </c>
      <c r="D87" s="21" t="s">
        <v>356</v>
      </c>
      <c r="E87" s="13">
        <v>42896.524965277778</v>
      </c>
      <c r="F87" s="13">
        <v>42896.5315625</v>
      </c>
      <c r="G87" s="7">
        <v>1</v>
      </c>
      <c r="H87" s="21" t="s">
        <v>524</v>
      </c>
      <c r="I87" s="13">
        <v>42896.561273148145</v>
      </c>
      <c r="J87" s="7">
        <v>0</v>
      </c>
      <c r="K87" s="92" t="str">
        <f t="shared" si="47"/>
        <v>4051/4052</v>
      </c>
      <c r="L87" s="21" t="str">
        <f>VLOOKUP(A87,'Trips&amp;Operators'!$C$1:$G$99999,5,FALSE)</f>
        <v>HOLCOMB KAMDEN</v>
      </c>
      <c r="M87" s="6">
        <f t="shared" si="48"/>
        <v>2.9710648144828156E-2</v>
      </c>
      <c r="N87" s="7">
        <f t="shared" si="45"/>
        <v>42.783333328552544</v>
      </c>
      <c r="O87" s="7"/>
      <c r="P87" s="7"/>
      <c r="Q87" s="22"/>
      <c r="R87" s="173"/>
      <c r="S87" s="176">
        <f t="shared" si="46"/>
        <v>1</v>
      </c>
      <c r="T87" s="202" t="str">
        <f t="shared" si="49"/>
        <v>NorthBound</v>
      </c>
      <c r="U87" s="202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03" t="str">
        <f t="shared" si="50"/>
        <v>https://d0f6bd738d7f1b3e5a7ca70fe4ff75f0.us-east-1.aws.found.io/app/kibana#/discover/Steve-Slow-Train-Analysis-(2080s-and-2083s)?_g=(refreshInterval:(display:Off,pause:!f,section:0,value:0),time:(from:'2017-06-10T11:35:57-0600',mode:absolute,to:'2017-06-10T14:28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87" s="204" t="str">
        <f t="shared" si="51"/>
        <v>N</v>
      </c>
      <c r="X87" s="204">
        <f t="shared" si="52"/>
        <v>1</v>
      </c>
      <c r="Y87" s="204">
        <f t="shared" si="53"/>
        <v>4.5100000000000001E-2</v>
      </c>
      <c r="Z87" s="204">
        <f t="shared" si="54"/>
        <v>23.332100000000001</v>
      </c>
      <c r="AA87" s="204">
        <f t="shared" si="55"/>
        <v>23.286999999999999</v>
      </c>
      <c r="AB87" s="57" t="e">
        <f>VLOOKUP(A87,Enforcements!$C$7:$K$13,8,0)</f>
        <v>#N/A</v>
      </c>
      <c r="AC87" s="53" t="e">
        <f>VLOOKUP(A87,Enforcements!$C$7:$E$13,3,0)</f>
        <v>#N/A</v>
      </c>
      <c r="AD87" s="54" t="str">
        <f t="shared" si="56"/>
        <v>0173-10</v>
      </c>
      <c r="AE87" s="80" t="str">
        <f t="shared" si="57"/>
        <v>aws s3 cp s3://rtdc.mdm.uploadarchive.raw/RTDC4052/ "%USERPROFILE%\AppData\Local\Temp\OnboardLogs"\RTDC4052\2017-06-10 --exclude "*" --recursive --include "*20170610*" &amp; "%USERPROFILE%\Documents\GitHub\mrs-test-scripts\Headless Mode &amp; Sideloading\WalkAndUnGZ.bat" "%USERPROFILE%\AppData\Local\Temp\OnboardLogs"\RTDC4052\2017-06-10 &amp; aws s3 cp s3://rtdc.mdm.uploadarchive.raw/RTDC4052/ "%USERPROFILE%\AppData\Local\Temp\OnboardLogs"\RTDC4052\2017-06-11 --exclude "*" --recursive --include "*20170611*" &amp; "%USERPROFILE%\Documents\GitHub\mrs-test-scripts\Headless Mode &amp; Sideloading\WalkAndUnGZ.bat" "%USERPROFILE%\AppData\Local\Temp\OnboardLogs"\RTDC4052\2017-06-11</v>
      </c>
      <c r="AF87" s="77" t="str">
        <f t="shared" si="58"/>
        <v>"C:\Program Files (x86)\AstroGrep\AstroGrep.exe" /e /r /s /spath="%USERPROFILE%\AppData\Local\Temp\OnboardLogs" /stypes="app*4052*20170610*" /stext=" 19:.+((SYSTEM_STATE.+slice.+state.+changed )|(ment ac)|(multiple cpu faults)|(system.+state.+changed )|(\[timeout)|(PRM\|1\|D)|(kpr)|(kdp)|(train st.+moving)|(\|lc)|(penalty))"</v>
      </c>
      <c r="AG87" s="1" t="str">
        <f t="shared" si="59"/>
        <v>EC</v>
      </c>
      <c r="AH87" s="81" t="str">
        <f t="shared" si="60"/>
        <v>"%USERPROFILE%\Documents\GitHub\eaglep3\Utilities\RefineRTDCRunTimes.py" --tripid 173-10 --locoid 4052 --swversion DE.1.0.9.0 --startMP 204:451 --initTime 2017-06-10T12:35:57 --startdatetime 2017-06-10T12:45:27 --delay 1 --endMP 204:233321 --enddatetime 2017-06-10T13:28:14 --enforcementcount 0 &gt;&gt;C:\Users\stu\Documents\GitHub\eaglep3-reporting\EC\2017-06-10-refined-times.txt</v>
      </c>
      <c r="AI87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{"issue":{"subject":"","project_id":79,"tracker_id":40,"status_id":1,"priority_id":2,"assigned_to_id":23,"start_date":"2017-06-10","description":"","custom_fields":[{"id":1,"name":"Subdivision","value":"EC"},{"id":4,"name":"Milepost","value":"23.3321"},{"id":17,"name":"Train ID","value":"173-10"},{"id":16,"name":"Locomotive ID","value":"4052"},{"id":130,"name":"Impact","value":""},{"id":150,"name":"Time of Event (Mountain Time)","value":"13:28:14"},{"id":151,"name":"Denver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5" t="str">
        <f t="shared" si="62"/>
        <v>start /low /b %USERPROFILE%\Documents\GitHub\eaglep3\Utilities\DownloadLogsFromS3.py --loco 4052 --day 2017-06-10</v>
      </c>
      <c r="AN87" s="154" t="str">
        <f t="shared" si="63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19:28:14"},{"id":29,"name":"Sharepoint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739</v>
      </c>
      <c r="B88" s="7">
        <v>4051</v>
      </c>
      <c r="C88" s="21" t="s">
        <v>204</v>
      </c>
      <c r="D88" s="21" t="s">
        <v>477</v>
      </c>
      <c r="E88" s="13">
        <v>42896.567893518521</v>
      </c>
      <c r="F88" s="13">
        <v>42896.571030092593</v>
      </c>
      <c r="G88" s="7">
        <v>1</v>
      </c>
      <c r="H88" s="21" t="s">
        <v>861</v>
      </c>
      <c r="I88" s="13">
        <v>42896.599317129629</v>
      </c>
      <c r="J88" s="7">
        <v>0</v>
      </c>
      <c r="K88" s="92" t="str">
        <f t="shared" si="47"/>
        <v>4051/4052</v>
      </c>
      <c r="L88" s="21" t="str">
        <f>VLOOKUP(A88,'Trips&amp;Operators'!$C$1:$G$99999,5,FALSE)</f>
        <v>HOLCOMB KAMDEN</v>
      </c>
      <c r="M88" s="6">
        <f t="shared" si="48"/>
        <v>2.8287037035624962E-2</v>
      </c>
      <c r="N88" s="7">
        <f t="shared" si="45"/>
        <v>40.733333331299946</v>
      </c>
      <c r="O88" s="7"/>
      <c r="P88" s="7"/>
      <c r="Q88" s="22"/>
      <c r="R88" s="173"/>
      <c r="S88" s="176">
        <f t="shared" si="46"/>
        <v>1</v>
      </c>
      <c r="T88" s="202" t="str">
        <f t="shared" si="49"/>
        <v>Southbound</v>
      </c>
      <c r="U88" s="202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03" t="str">
        <f t="shared" si="50"/>
        <v>https://d0f6bd738d7f1b3e5a7ca70fe4ff75f0.us-east-1.aws.found.io/app/kibana#/discover/Steve-Slow-Train-Analysis-(2080s-and-2083s)?_g=(refreshInterval:(display:Off,pause:!f,section:0,value:0),time:(from:'2017-06-10T12:37:46-0600',mode:absolute,to:'2017-06-10T15:23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88" s="204" t="str">
        <f t="shared" si="51"/>
        <v>N</v>
      </c>
      <c r="X88" s="204">
        <f t="shared" si="52"/>
        <v>1</v>
      </c>
      <c r="Y88" s="204">
        <f t="shared" si="53"/>
        <v>23.2989</v>
      </c>
      <c r="Z88" s="204">
        <f t="shared" si="54"/>
        <v>0.21840000000000001</v>
      </c>
      <c r="AA88" s="204">
        <f t="shared" si="55"/>
        <v>23.080500000000001</v>
      </c>
      <c r="AB88" s="57" t="e">
        <f>VLOOKUP(A88,Enforcements!$C$7:$K$13,8,0)</f>
        <v>#N/A</v>
      </c>
      <c r="AC88" s="53" t="e">
        <f>VLOOKUP(A88,Enforcements!$C$7:$E$13,3,0)</f>
        <v>#N/A</v>
      </c>
      <c r="AD88" s="54" t="str">
        <f t="shared" si="56"/>
        <v>0174-10</v>
      </c>
      <c r="AE88" s="80" t="str">
        <f t="shared" si="57"/>
        <v>aws s3 cp s3://rtdc.mdm.uploadarchive.raw/RTDC4051/ "%USERPROFILE%\AppData\Local\Temp\OnboardLogs"\RTDC4051\2017-06-10 --exclude "*" --recursive --include "*20170610*" &amp; "%USERPROFILE%\Documents\GitHub\mrs-test-scripts\Headless Mode &amp; Sideloading\WalkAndUnGZ.bat" "%USERPROFILE%\AppData\Local\Temp\OnboardLogs"\RTDC4051\2017-06-10 &amp; aws s3 cp s3://rtdc.mdm.uploadarchive.raw/RTDC4051/ "%USERPROFILE%\AppData\Local\Temp\OnboardLogs"\RTDC4051\2017-06-11 --exclude "*" --recursive --include "*20170611*" &amp; "%USERPROFILE%\Documents\GitHub\mrs-test-scripts\Headless Mode &amp; Sideloading\WalkAndUnGZ.bat" "%USERPROFILE%\AppData\Local\Temp\OnboardLogs"\RTDC4051\2017-06-11</v>
      </c>
      <c r="AF88" s="77" t="str">
        <f t="shared" si="58"/>
        <v>"C:\Program Files (x86)\AstroGrep\AstroGrep.exe" /e /r /s /spath="%USERPROFILE%\AppData\Local\Temp\OnboardLogs" /stypes="app*4051*20170610*" /stext=" 20:.+((SYSTEM_STATE.+slice.+state.+changed )|(ment ac)|(multiple cpu faults)|(system.+state.+changed )|(\[timeout)|(PRM\|1\|D)|(kpr)|(kdp)|(train st.+moving)|(\|lc)|(penalty))"</v>
      </c>
      <c r="AG88" s="1" t="str">
        <f t="shared" si="59"/>
        <v>EC</v>
      </c>
      <c r="AH88" s="81" t="str">
        <f t="shared" si="60"/>
        <v>"%USERPROFILE%\Documents\GitHub\eaglep3\Utilities\RefineRTDCRunTimes.py" --tripid 174-10 --locoid 4051 --swversion DE.1.0.9.0 --startMP 204:232989 --initTime 2017-06-10T13:37:46 --startdatetime 2017-06-10T13:42:17 --delay 1 --endMP 204:2184 --enddatetime 2017-06-10T14:23:01 --enforcementcount 0 &gt;&gt;C:\Users\stu\Documents\GitHub\eaglep3-reporting\EC\2017-06-10-refined-times.txt</v>
      </c>
      <c r="AI88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{"issue":{"subject":"","project_id":79,"tracker_id":40,"status_id":1,"priority_id":2,"assigned_to_id":23,"start_date":"2017-06-10","description":"","custom_fields":[{"id":1,"name":"Subdivision","value":"EC"},{"id":4,"name":"Milepost","value":"0.2184"},{"id":17,"name":"Train ID","value":"174-10"},{"id":16,"name":"Locomotive ID","value":"4051"},{"id":130,"name":"Impact","value":""},{"id":150,"name":"Time of Event (Mountain Time)","value":"14:23:01"},{"id":151,"name":"Denver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5" t="str">
        <f t="shared" si="62"/>
        <v>start /low /b %USERPROFILE%\Documents\GitHub\eaglep3\Utilities\DownloadLogsFromS3.py --loco 4051 --day 2017-06-10</v>
      </c>
      <c r="AN88" s="154" t="str">
        <f t="shared" si="63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20:23:01"},{"id":29,"name":"Sharepoint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731</v>
      </c>
      <c r="B89" s="7">
        <v>4022</v>
      </c>
      <c r="C89" s="21" t="s">
        <v>204</v>
      </c>
      <c r="D89" s="21" t="s">
        <v>368</v>
      </c>
      <c r="E89" s="13">
        <v>42896.540578703702</v>
      </c>
      <c r="F89" s="13">
        <v>42896.543206018519</v>
      </c>
      <c r="G89" s="7">
        <v>2</v>
      </c>
      <c r="H89" s="21" t="s">
        <v>862</v>
      </c>
      <c r="I89" s="13">
        <v>42896.569004629629</v>
      </c>
      <c r="J89" s="7">
        <v>0</v>
      </c>
      <c r="K89" s="92" t="str">
        <f t="shared" si="47"/>
        <v>4021/4022</v>
      </c>
      <c r="L89" s="21" t="str">
        <f>VLOOKUP(A89,'Trips&amp;Operators'!$C$1:$G$99999,5,FALSE)</f>
        <v>DAVIS MICHAEL</v>
      </c>
      <c r="M89" s="6">
        <f t="shared" si="48"/>
        <v>2.5798611110076308E-2</v>
      </c>
      <c r="N89" s="7">
        <f t="shared" si="45"/>
        <v>37.149999998509884</v>
      </c>
      <c r="O89" s="7"/>
      <c r="P89" s="7"/>
      <c r="Q89" s="22"/>
      <c r="R89" s="173"/>
      <c r="S89" s="176">
        <f t="shared" si="46"/>
        <v>1</v>
      </c>
      <c r="T89" s="202" t="str">
        <f t="shared" si="49"/>
        <v>NorthBound</v>
      </c>
      <c r="U89" s="202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03" t="str">
        <f t="shared" si="50"/>
        <v>https://d0f6bd738d7f1b3e5a7ca70fe4ff75f0.us-east-1.aws.found.io/app/kibana#/discover/Steve-Slow-Train-Analysis-(2080s-and-2083s)?_g=(refreshInterval:(display:Off,pause:!f,section:0,value:0),time:(from:'2017-06-10T11:58:26-0600',mode:absolute,to:'2017-06-10T14:39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89" s="204" t="str">
        <f t="shared" si="51"/>
        <v>N</v>
      </c>
      <c r="X89" s="204">
        <f t="shared" si="52"/>
        <v>1</v>
      </c>
      <c r="Y89" s="204">
        <f t="shared" si="53"/>
        <v>4.5499999999999999E-2</v>
      </c>
      <c r="Z89" s="204">
        <f t="shared" si="54"/>
        <v>23.328800000000001</v>
      </c>
      <c r="AA89" s="204">
        <f t="shared" si="55"/>
        <v>23.283300000000001</v>
      </c>
      <c r="AB89" s="57" t="e">
        <f>VLOOKUP(A89,Enforcements!$C$7:$K$13,8,0)</f>
        <v>#N/A</v>
      </c>
      <c r="AC89" s="53" t="e">
        <f>VLOOKUP(A89,Enforcements!$C$7:$E$13,3,0)</f>
        <v>#N/A</v>
      </c>
      <c r="AD89" s="54" t="str">
        <f t="shared" si="56"/>
        <v>0175-10</v>
      </c>
      <c r="AE89" s="80" t="str">
        <f t="shared" si="57"/>
        <v>aws s3 cp s3://rtdc.mdm.uploadarchive.raw/RTDC4022/ "%USERPROFILE%\AppData\Local\Temp\OnboardLogs"\RTDC4022\2017-06-10 --exclude "*" --recursive --include "*20170610*" &amp; "%USERPROFILE%\Documents\GitHub\mrs-test-scripts\Headless Mode &amp; Sideloading\WalkAndUnGZ.bat" "%USERPROFILE%\AppData\Local\Temp\OnboardLogs"\RTDC4022\2017-06-10 &amp; aws s3 cp s3://rtdc.mdm.uploadarchive.raw/RTDC4022/ "%USERPROFILE%\AppData\Local\Temp\OnboardLogs"\RTDC4022\2017-06-11 --exclude "*" --recursive --include "*20170611*" &amp; "%USERPROFILE%\Documents\GitHub\mrs-test-scripts\Headless Mode &amp; Sideloading\WalkAndUnGZ.bat" "%USERPROFILE%\AppData\Local\Temp\OnboardLogs"\RTDC4022\2017-06-11</v>
      </c>
      <c r="AF89" s="77" t="str">
        <f t="shared" si="58"/>
        <v>"C:\Program Files (x86)\AstroGrep\AstroGrep.exe" /e /r /s /spath="%USERPROFILE%\AppData\Local\Temp\OnboardLogs" /stypes="app*4022*20170610*" /stext=" 19:.+((SYSTEM_STATE.+slice.+state.+changed )|(ment ac)|(multiple cpu faults)|(system.+state.+changed )|(\[timeout)|(PRM\|1\|D)|(kpr)|(kdp)|(train st.+moving)|(\|lc)|(penalty))"</v>
      </c>
      <c r="AG89" s="1" t="str">
        <f t="shared" si="59"/>
        <v>EC</v>
      </c>
      <c r="AH89" s="81" t="str">
        <f t="shared" si="60"/>
        <v>"%USERPROFILE%\Documents\GitHub\eaglep3\Utilities\RefineRTDCRunTimes.py" --tripid 175-10 --locoid 4022 --swversion DE.1.0.9.0 --startMP 204:455 --initTime 2017-06-10T12:58:26 --startdatetime 2017-06-10T13:02:13 --delay 2 --endMP 204:233288 --enddatetime 2017-06-10T13:39:22 --enforcementcount 0 &gt;&gt;C:\Users\stu\Documents\GitHub\eaglep3-reporting\EC\2017-06-10-refined-times.txt</v>
      </c>
      <c r="AI89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{"issue":{"subject":"","project_id":79,"tracker_id":40,"status_id":1,"priority_id":2,"assigned_to_id":23,"start_date":"2017-06-10","description":"","custom_fields":[{"id":1,"name":"Subdivision","value":"EC"},{"id":4,"name":"Milepost","value":"23.3288"},{"id":17,"name":"Train ID","value":"175-10"},{"id":16,"name":"Locomotive ID","value":"4022"},{"id":130,"name":"Impact","value":""},{"id":150,"name":"Time of Event (Mountain Time)","value":"13:39:22"},{"id":151,"name":"Denver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5" t="str">
        <f t="shared" si="62"/>
        <v>start /low /b %USERPROFILE%\Documents\GitHub\eaglep3\Utilities\DownloadLogsFromS3.py --loco 4022 --day 2017-06-10</v>
      </c>
      <c r="AN89" s="154" t="str">
        <f t="shared" si="63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19:39:22"},{"id":29,"name":"Sharepoint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741</v>
      </c>
      <c r="B90" s="7">
        <v>4021</v>
      </c>
      <c r="C90" s="21" t="s">
        <v>204</v>
      </c>
      <c r="D90" s="21" t="s">
        <v>551</v>
      </c>
      <c r="E90" s="13">
        <v>42896.57917824074</v>
      </c>
      <c r="F90" s="13">
        <v>42896.580405092594</v>
      </c>
      <c r="G90" s="7">
        <v>1</v>
      </c>
      <c r="H90" s="21" t="s">
        <v>863</v>
      </c>
      <c r="I90" s="13">
        <v>42896.611296296294</v>
      </c>
      <c r="J90" s="7">
        <v>0</v>
      </c>
      <c r="K90" s="92" t="str">
        <f t="shared" si="47"/>
        <v>4021/4022</v>
      </c>
      <c r="L90" s="21" t="str">
        <f>VLOOKUP(A90,'Trips&amp;Operators'!$C$1:$G$99999,5,FALSE)</f>
        <v>DAVIS MICHAEL</v>
      </c>
      <c r="M90" s="6">
        <f t="shared" si="48"/>
        <v>3.089120369986631E-2</v>
      </c>
      <c r="N90" s="7"/>
      <c r="O90" s="7"/>
      <c r="P90" s="7">
        <f>24*60*SUM($M90:$M91)</f>
        <v>61.9499999913387</v>
      </c>
      <c r="Q90" s="22"/>
      <c r="R90" s="173" t="s">
        <v>418</v>
      </c>
      <c r="S90" s="176">
        <f>SUM(U90:U91)/IF(AG90="EC",12,1)</f>
        <v>0.75</v>
      </c>
      <c r="T90" s="202" t="str">
        <f t="shared" si="49"/>
        <v>Southbound</v>
      </c>
      <c r="U90" s="202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0</v>
      </c>
      <c r="V90" s="203" t="str">
        <f t="shared" si="50"/>
        <v>https://d0f6bd738d7f1b3e5a7ca70fe4ff75f0.us-east-1.aws.found.io/app/kibana#/discover/Steve-Slow-Train-Analysis-(2080s-and-2083s)?_g=(refreshInterval:(display:Off,pause:!f,section:0,value:0),time:(from:'2017-06-10T12:54:01-0600',mode:absolute,to:'2017-06-10T15:40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90" s="204" t="str">
        <f t="shared" si="51"/>
        <v>Y</v>
      </c>
      <c r="X90" s="204">
        <f t="shared" si="52"/>
        <v>1</v>
      </c>
      <c r="Y90" s="204">
        <f t="shared" si="53"/>
        <v>23.298400000000001</v>
      </c>
      <c r="Z90" s="204">
        <v>12.7872</v>
      </c>
      <c r="AA90" s="204">
        <f t="shared" si="55"/>
        <v>10.511200000000001</v>
      </c>
      <c r="AB90" s="57" t="e">
        <f>VLOOKUP(A90,Enforcements!$C$7:$K$13,8,0)</f>
        <v>#N/A</v>
      </c>
      <c r="AC90" s="53" t="e">
        <f>VLOOKUP(A90,Enforcements!$C$7:$E$13,3,0)</f>
        <v>#N/A</v>
      </c>
      <c r="AD90" s="54" t="str">
        <f t="shared" si="56"/>
        <v>0176-10</v>
      </c>
      <c r="AE90" s="80" t="str">
        <f t="shared" si="57"/>
        <v>aws s3 cp s3://rtdc.mdm.uploadarchive.raw/RTDC4021/ "%USERPROFILE%\AppData\Local\Temp\OnboardLogs"\RTDC4021\2017-06-10 --exclude "*" --recursive --include "*20170610*" &amp; "%USERPROFILE%\Documents\GitHub\mrs-test-scripts\Headless Mode &amp; Sideloading\WalkAndUnGZ.bat" "%USERPROFILE%\AppData\Local\Temp\OnboardLogs"\RTDC4021\2017-06-10 &amp; aws s3 cp s3://rtdc.mdm.uploadarchive.raw/RTDC4021/ "%USERPROFILE%\AppData\Local\Temp\OnboardLogs"\RTDC4021\2017-06-11 --exclude "*" --recursive --include "*20170611*" &amp; "%USERPROFILE%\Documents\GitHub\mrs-test-scripts\Headless Mode &amp; Sideloading\WalkAndUnGZ.bat" "%USERPROFILE%\AppData\Local\Temp\OnboardLogs"\RTDC4021\2017-06-11</v>
      </c>
      <c r="AF90" s="77" t="str">
        <f t="shared" si="58"/>
        <v>"C:\Program Files (x86)\AstroGrep\AstroGrep.exe" /e /r /s /spath="%USERPROFILE%\AppData\Local\Temp\OnboardLogs" /stypes="app*4021*20170610*" /stext=" 20:.+((SYSTEM_STATE.+slice.+state.+changed )|(ment ac)|(multiple cpu faults)|(system.+state.+changed )|(\[timeout)|(PRM\|1\|D)|(kpr)|(kdp)|(train st.+moving)|(\|lc)|(penalty))"</v>
      </c>
      <c r="AG90" s="1" t="str">
        <f t="shared" si="59"/>
        <v>EC</v>
      </c>
      <c r="AH90" s="81" t="str">
        <f t="shared" si="60"/>
        <v>"%USERPROFILE%\Documents\GitHub\eaglep3\Utilities\RefineRTDCRunTimes.py" --tripid 176-10 --locoid 4021 --swversion DE.1.0.9.0 --startMP 204:232984 --initTime 2017-06-10T13:54:01 --startdatetime 2017-06-10T13:55:47 --delay 1 --endMP 204:174 --enddatetime 2017-06-10T14:40:16 --enforcementcount 0 &gt;&gt;C:\Users\stu\Documents\GitHub\eaglep3-reporting\EC\2017-06-10-refined-times.txt</v>
      </c>
      <c r="AI90" s="99" t="str">
        <f t="shared" si="61"/>
        <v>echo {"issue":{"subject":"Wi-MAX data drop","project_id":79,"tracker_id":40,"status_id":1,"priority_id":2,"assigned_to_id":23,"start_date":"2017-06-10","description":"","custom_fields":[{"id":1,"name":"Subdivision","value":"EC"},{"id":4,"name":"Milepost","value":"12.7872"},{"id":17,"name":"Train ID","value":"176-10"},{"id":16,"name":"Locomotive ID","value":"4021"},{"id":130,"name":"Impact","value":""},{"id":150,"name":"Time of Event (Mountain Time)","value":"14:40:16"},{"id":151,"name":"Denver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5" t="str">
        <f t="shared" si="62"/>
        <v>start /low /b %USERPROFILE%\Documents\GitHub\eaglep3\Utilities\DownloadLogsFromS3.py --loco 4021 --day 2017-06-10</v>
      </c>
      <c r="AN90" s="154" t="str">
        <f t="shared" si="63"/>
        <v>echo {"issue":{"subject":"Wi-MAX data drop","project_id":30,"tracker_id":4,"status_id":1,"priority_id":1,"assigned_to_id":10,"start_date":"2017-06-10","description":"","custom_fields":[{"id":30,"name":"Category","value":"Issue"},{"id":3,"name":"Functional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20:40:16"},{"id":29,"name":"Sharepoint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741</v>
      </c>
      <c r="B91" s="7">
        <v>4021</v>
      </c>
      <c r="C91" s="21" t="s">
        <v>204</v>
      </c>
      <c r="D91" s="21" t="s">
        <v>864</v>
      </c>
      <c r="E91" s="13">
        <v>42896.598287037035</v>
      </c>
      <c r="F91" s="13">
        <v>42896.599166666667</v>
      </c>
      <c r="G91" s="7">
        <v>1</v>
      </c>
      <c r="H91" s="21" t="s">
        <v>863</v>
      </c>
      <c r="I91" s="13">
        <v>42896.611296296294</v>
      </c>
      <c r="J91" s="7">
        <v>0</v>
      </c>
      <c r="K91" s="92" t="str">
        <f t="shared" si="47"/>
        <v>4021/4022</v>
      </c>
      <c r="L91" s="21" t="str">
        <f>VLOOKUP(A91,'Trips&amp;Operators'!$C$1:$G$99999,5,FALSE)</f>
        <v>DAVIS MICHAEL</v>
      </c>
      <c r="M91" s="6">
        <f t="shared" si="48"/>
        <v>1.2129629627452232E-2</v>
      </c>
      <c r="N91" s="7"/>
      <c r="O91" s="7"/>
      <c r="P91" s="7"/>
      <c r="Q91" s="22"/>
      <c r="R91" s="173"/>
      <c r="S91" s="176"/>
      <c r="T91" s="202" t="str">
        <f t="shared" si="49"/>
        <v>Southbound</v>
      </c>
      <c r="U91" s="202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9</v>
      </c>
      <c r="V91" s="203" t="str">
        <f t="shared" si="50"/>
        <v>https://d0f6bd738d7f1b3e5a7ca70fe4ff75f0.us-east-1.aws.found.io/app/kibana#/discover/Steve-Slow-Train-Analysis-(2080s-and-2083s)?_g=(refreshInterval:(display:Off,pause:!f,section:0,value:0),time:(from:'2017-06-10T13:21:32-0600',mode:absolute,to:'2017-06-10T15:40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91" s="204" t="str">
        <f t="shared" si="51"/>
        <v>Y</v>
      </c>
      <c r="X91" s="204">
        <f t="shared" si="52"/>
        <v>0</v>
      </c>
      <c r="Y91" s="204">
        <f t="shared" si="53"/>
        <v>6.5538999999999996</v>
      </c>
      <c r="Z91" s="204">
        <f t="shared" ref="Z91:Z122" si="64">RIGHT(H91,LEN(H91)-4)/10000</f>
        <v>1.7399999999999999E-2</v>
      </c>
      <c r="AA91" s="204">
        <f t="shared" si="55"/>
        <v>6.5364999999999993</v>
      </c>
      <c r="AB91" s="57" t="e">
        <f>VLOOKUP(A91,Enforcements!$C$7:$K$13,8,0)</f>
        <v>#N/A</v>
      </c>
      <c r="AC91" s="53" t="e">
        <f>VLOOKUP(A91,Enforcements!$C$7:$E$13,3,0)</f>
        <v>#N/A</v>
      </c>
      <c r="AD91" s="54" t="str">
        <f t="shared" si="56"/>
        <v>0176-10</v>
      </c>
      <c r="AE91" s="80" t="str">
        <f t="shared" si="57"/>
        <v>aws s3 cp s3://rtdc.mdm.uploadarchive.raw/RTDC4021/ "%USERPROFILE%\AppData\Local\Temp\OnboardLogs"\RTDC4021\2017-06-10 --exclude "*" --recursive --include "*20170610*" &amp; "%USERPROFILE%\Documents\GitHub\mrs-test-scripts\Headless Mode &amp; Sideloading\WalkAndUnGZ.bat" "%USERPROFILE%\AppData\Local\Temp\OnboardLogs"\RTDC4021\2017-06-10 &amp; aws s3 cp s3://rtdc.mdm.uploadarchive.raw/RTDC4021/ "%USERPROFILE%\AppData\Local\Temp\OnboardLogs"\RTDC4021\2017-06-11 --exclude "*" --recursive --include "*20170611*" &amp; "%USERPROFILE%\Documents\GitHub\mrs-test-scripts\Headless Mode &amp; Sideloading\WalkAndUnGZ.bat" "%USERPROFILE%\AppData\Local\Temp\OnboardLogs"\RTDC4021\2017-06-11</v>
      </c>
      <c r="AF91" s="77" t="str">
        <f t="shared" si="58"/>
        <v>"C:\Program Files (x86)\AstroGrep\AstroGrep.exe" /e /r /s /spath="%USERPROFILE%\AppData\Local\Temp\OnboardLogs" /stypes="app*4021*20170610*" /stext=" 20:.+((SYSTEM_STATE.+slice.+state.+changed )|(ment ac)|(multiple cpu faults)|(system.+state.+changed )|(\[timeout)|(PRM\|1\|D)|(kpr)|(kdp)|(train st.+moving)|(\|lc)|(penalty))"</v>
      </c>
      <c r="AG91" s="1" t="str">
        <f t="shared" si="59"/>
        <v>EC</v>
      </c>
      <c r="AH91" s="81" t="str">
        <f t="shared" si="60"/>
        <v>"%USERPROFILE%\Documents\GitHub\eaglep3\Utilities\RefineRTDCRunTimes.py" --tripid 176-10 --locoid 4021 --swversion DE.1.0.9.0 --startMP 204:65539 --initTime 2017-06-10T14:21:32 --startdatetime 2017-06-10T14:22:48 --delay 1 --endMP 204:174 --enddatetime 2017-06-10T14:40:16 --enforcementcount 0 &gt;&gt;C:\Users\stu\Documents\GitHub\eaglep3-reporting\EC\2017-06-10-refined-times.txt</v>
      </c>
      <c r="AI91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{"issue":{"subject":"","project_id":79,"tracker_id":40,"status_id":1,"priority_id":2,"assigned_to_id":23,"start_date":"2017-06-10","description":"","custom_fields":[{"id":1,"name":"Subdivision","value":"EC"},{"id":4,"name":"Milepost","value":"0.0174"},{"id":17,"name":"Train ID","value":"176-10"},{"id":16,"name":"Locomotive ID","value":"4021"},{"id":130,"name":"Impact","value":""},{"id":150,"name":"Time of Event (Mountain Time)","value":"14:40:16"},{"id":151,"name":"Denver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5" t="str">
        <f t="shared" si="62"/>
        <v>start /low /b %USERPROFILE%\Documents\GitHub\eaglep3\Utilities\DownloadLogsFromS3.py --loco 4021 --day 2017-06-10</v>
      </c>
      <c r="AN91" s="154" t="str">
        <f t="shared" si="63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20:40:16"},{"id":29,"name":"Sharepoint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733</v>
      </c>
      <c r="B92" s="7">
        <v>4028</v>
      </c>
      <c r="C92" s="21" t="s">
        <v>204</v>
      </c>
      <c r="D92" s="21" t="s">
        <v>865</v>
      </c>
      <c r="E92" s="13">
        <v>42896.548182870371</v>
      </c>
      <c r="F92" s="13">
        <v>42896.55228009259</v>
      </c>
      <c r="G92" s="7">
        <v>1</v>
      </c>
      <c r="H92" s="21" t="s">
        <v>866</v>
      </c>
      <c r="I92" s="13">
        <v>42896.578680555554</v>
      </c>
      <c r="J92" s="7">
        <v>0</v>
      </c>
      <c r="K92" s="92" t="str">
        <f t="shared" si="47"/>
        <v>4027/4028</v>
      </c>
      <c r="L92" s="21" t="str">
        <f>VLOOKUP(A92,'Trips&amp;Operators'!$C$1:$G$99999,5,FALSE)</f>
        <v>BRANDNER MELINDA</v>
      </c>
      <c r="M92" s="6">
        <f t="shared" si="48"/>
        <v>2.6400462964375038E-2</v>
      </c>
      <c r="N92" s="7">
        <f t="shared" ref="N92:N103" si="65">24*60*SUM($M92:$M92)</f>
        <v>38.016666668700054</v>
      </c>
      <c r="O92" s="7"/>
      <c r="P92" s="7"/>
      <c r="Q92" s="22"/>
      <c r="R92" s="173"/>
      <c r="S92" s="176">
        <f t="shared" ref="S92:S103" si="66">SUM(U92:U92)/IF(AG92="EC",12,1)</f>
        <v>1</v>
      </c>
      <c r="T92" s="202" t="str">
        <f t="shared" si="49"/>
        <v>NorthBound</v>
      </c>
      <c r="U92" s="202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03" t="str">
        <f t="shared" si="50"/>
        <v>https://d0f6bd738d7f1b3e5a7ca70fe4ff75f0.us-east-1.aws.found.io/app/kibana#/discover/Steve-Slow-Train-Analysis-(2080s-and-2083s)?_g=(refreshInterval:(display:Off,pause:!f,section:0,value:0),time:(from:'2017-06-10T12:09:23-0600',mode:absolute,to:'2017-06-10T14:53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2" s="204" t="str">
        <f t="shared" si="51"/>
        <v>N</v>
      </c>
      <c r="X92" s="204">
        <f t="shared" si="52"/>
        <v>1</v>
      </c>
      <c r="Y92" s="204">
        <f t="shared" si="53"/>
        <v>4.7800000000000002E-2</v>
      </c>
      <c r="Z92" s="204">
        <f t="shared" si="64"/>
        <v>23.342099999999999</v>
      </c>
      <c r="AA92" s="204">
        <f t="shared" si="55"/>
        <v>23.2943</v>
      </c>
      <c r="AB92" s="57" t="e">
        <f>VLOOKUP(A92,Enforcements!$C$7:$K$13,8,0)</f>
        <v>#N/A</v>
      </c>
      <c r="AC92" s="53" t="e">
        <f>VLOOKUP(A92,Enforcements!$C$7:$E$13,3,0)</f>
        <v>#N/A</v>
      </c>
      <c r="AD92" s="54" t="str">
        <f t="shared" si="56"/>
        <v>0177-10</v>
      </c>
      <c r="AE92" s="80" t="str">
        <f t="shared" si="57"/>
        <v>aws s3 cp s3://rtdc.mdm.uploadarchive.raw/RTDC4028/ "%USERPROFILE%\AppData\Local\Temp\OnboardLogs"\RTDC4028\2017-06-10 --exclude "*" --recursive --include "*20170610*" &amp; "%USERPROFILE%\Documents\GitHub\mrs-test-scripts\Headless Mode &amp; Sideloading\WalkAndUnGZ.bat" "%USERPROFILE%\AppData\Local\Temp\OnboardLogs"\RTDC4028\2017-06-10 &amp; aws s3 cp s3://rtdc.mdm.uploadarchive.raw/RTDC4028/ "%USERPROFILE%\AppData\Local\Temp\OnboardLogs"\RTDC4028\2017-06-11 --exclude "*" --recursive --include "*20170611*" &amp; "%USERPROFILE%\Documents\GitHub\mrs-test-scripts\Headless Mode &amp; Sideloading\WalkAndUnGZ.bat" "%USERPROFILE%\AppData\Local\Temp\OnboardLogs"\RTDC4028\2017-06-11</v>
      </c>
      <c r="AF92" s="77" t="str">
        <f t="shared" si="58"/>
        <v>"C:\Program Files (x86)\AstroGrep\AstroGrep.exe" /e /r /s /spath="%USERPROFILE%\AppData\Local\Temp\OnboardLogs" /stypes="app*4028*20170610*" /stext=" 19:.+((SYSTEM_STATE.+slice.+state.+changed )|(ment ac)|(multiple cpu faults)|(system.+state.+changed )|(\[timeout)|(PRM\|1\|D)|(kpr)|(kdp)|(train st.+moving)|(\|lc)|(penalty))"</v>
      </c>
      <c r="AG92" s="1" t="str">
        <f t="shared" si="59"/>
        <v>EC</v>
      </c>
      <c r="AH92" s="81" t="str">
        <f t="shared" si="60"/>
        <v>"%USERPROFILE%\Documents\GitHub\eaglep3\Utilities\RefineRTDCRunTimes.py" --tripid 177-10 --locoid 4028 --swversion DE.1.0.9.0 --startMP 204:478 --initTime 2017-06-10T13:09:23 --startdatetime 2017-06-10T13:15:17 --delay 1 --endMP 204:233421 --enddatetime 2017-06-10T13:53:18 --enforcementcount 0 &gt;&gt;C:\Users\stu\Documents\GitHub\eaglep3-reporting\EC\2017-06-10-refined-times.txt</v>
      </c>
      <c r="AI92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{"issue":{"subject":"","project_id":79,"tracker_id":40,"status_id":1,"priority_id":2,"assigned_to_id":23,"start_date":"2017-06-10","description":"","custom_fields":[{"id":1,"name":"Subdivision","value":"EC"},{"id":4,"name":"Milepost","value":"23.3421"},{"id":17,"name":"Train ID","value":"177-10"},{"id":16,"name":"Locomotive ID","value":"4028"},{"id":130,"name":"Impact","value":""},{"id":150,"name":"Time of Event (Mountain Time)","value":"13:53:18"},{"id":151,"name":"Denver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5" t="str">
        <f t="shared" si="62"/>
        <v>start /low /b %USERPROFILE%\Documents\GitHub\eaglep3\Utilities\DownloadLogsFromS3.py --loco 4028 --day 2017-06-10</v>
      </c>
      <c r="AN92" s="154" t="str">
        <f t="shared" si="63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19:53:18"},{"id":29,"name":"Sharepoint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745</v>
      </c>
      <c r="B93" s="7">
        <v>4027</v>
      </c>
      <c r="C93" s="21" t="s">
        <v>204</v>
      </c>
      <c r="D93" s="21" t="s">
        <v>867</v>
      </c>
      <c r="E93" s="13">
        <v>42896.590219907404</v>
      </c>
      <c r="F93" s="13">
        <v>42896.591840277775</v>
      </c>
      <c r="G93" s="7">
        <v>1</v>
      </c>
      <c r="H93" s="21" t="s">
        <v>363</v>
      </c>
      <c r="I93" s="13">
        <v>42896.619675925926</v>
      </c>
      <c r="J93" s="7">
        <v>0</v>
      </c>
      <c r="K93" s="92" t="str">
        <f t="shared" si="47"/>
        <v>4027/4028</v>
      </c>
      <c r="L93" s="21" t="str">
        <f>VLOOKUP(A93,'Trips&amp;Operators'!$C$1:$G$99999,5,FALSE)</f>
        <v>BRANDNER MELINDA</v>
      </c>
      <c r="M93" s="6">
        <f t="shared" si="48"/>
        <v>2.7835648150357883E-2</v>
      </c>
      <c r="N93" s="7">
        <f t="shared" si="65"/>
        <v>40.083333336515352</v>
      </c>
      <c r="O93" s="7"/>
      <c r="P93" s="7"/>
      <c r="Q93" s="22"/>
      <c r="R93" s="173"/>
      <c r="S93" s="176">
        <f t="shared" si="66"/>
        <v>1</v>
      </c>
      <c r="T93" s="202" t="str">
        <f t="shared" si="49"/>
        <v>Southbound</v>
      </c>
      <c r="U93" s="202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03" t="str">
        <f t="shared" si="50"/>
        <v>https://d0f6bd738d7f1b3e5a7ca70fe4ff75f0.us-east-1.aws.found.io/app/kibana#/discover/Steve-Slow-Train-Analysis-(2080s-and-2083s)?_g=(refreshInterval:(display:Off,pause:!f,section:0,value:0),time:(from:'2017-06-10T13:09:55-0600',mode:absolute,to:'2017-06-10T15:52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3" s="204" t="str">
        <f t="shared" si="51"/>
        <v>N</v>
      </c>
      <c r="X93" s="204">
        <f t="shared" si="52"/>
        <v>1</v>
      </c>
      <c r="Y93" s="204">
        <f t="shared" si="53"/>
        <v>23.314699999999998</v>
      </c>
      <c r="Z93" s="204">
        <f t="shared" si="64"/>
        <v>1.41E-2</v>
      </c>
      <c r="AA93" s="204">
        <f t="shared" si="55"/>
        <v>23.300599999999999</v>
      </c>
      <c r="AB93" s="57" t="e">
        <f>VLOOKUP(A93,Enforcements!$C$7:$K$13,8,0)</f>
        <v>#N/A</v>
      </c>
      <c r="AC93" s="53" t="e">
        <f>VLOOKUP(A93,Enforcements!$C$7:$E$13,3,0)</f>
        <v>#N/A</v>
      </c>
      <c r="AD93" s="54" t="str">
        <f t="shared" si="56"/>
        <v>0178-10</v>
      </c>
      <c r="AE93" s="80" t="str">
        <f t="shared" si="57"/>
        <v>aws s3 cp s3://rtdc.mdm.uploadarchive.raw/RTDC4027/ "%USERPROFILE%\AppData\Local\Temp\OnboardLogs"\RTDC4027\2017-06-10 --exclude "*" --recursive --include "*20170610*" &amp; "%USERPROFILE%\Documents\GitHub\mrs-test-scripts\Headless Mode &amp; Sideloading\WalkAndUnGZ.bat" "%USERPROFILE%\AppData\Local\Temp\OnboardLogs"\RTDC4027\2017-06-10 &amp; aws s3 cp s3://rtdc.mdm.uploadarchive.raw/RTDC4027/ "%USERPROFILE%\AppData\Local\Temp\OnboardLogs"\RTDC4027\2017-06-11 --exclude "*" --recursive --include "*20170611*" &amp; "%USERPROFILE%\Documents\GitHub\mrs-test-scripts\Headless Mode &amp; Sideloading\WalkAndUnGZ.bat" "%USERPROFILE%\AppData\Local\Temp\OnboardLogs"\RTDC4027\2017-06-11</v>
      </c>
      <c r="AF93" s="77" t="str">
        <f t="shared" si="58"/>
        <v>"C:\Program Files (x86)\AstroGrep\AstroGrep.exe" /e /r /s /spath="%USERPROFILE%\AppData\Local\Temp\OnboardLogs" /stypes="app*4027*20170610*" /stext=" 20:.+((SYSTEM_STATE.+slice.+state.+changed )|(ment ac)|(multiple cpu faults)|(system.+state.+changed )|(\[timeout)|(PRM\|1\|D)|(kpr)|(kdp)|(train st.+moving)|(\|lc)|(penalty))"</v>
      </c>
      <c r="AG93" s="1" t="str">
        <f t="shared" si="59"/>
        <v>EC</v>
      </c>
      <c r="AH93" s="81" t="str">
        <f t="shared" si="60"/>
        <v>"%USERPROFILE%\Documents\GitHub\eaglep3\Utilities\RefineRTDCRunTimes.py" --tripid 178-10 --locoid 4027 --swversion DE.1.0.9.0 --startMP 204:233147 --initTime 2017-06-10T14:09:55 --startdatetime 2017-06-10T14:12:15 --delay 1 --endMP 204:141 --enddatetime 2017-06-10T14:52:20 --enforcementcount 0 &gt;&gt;C:\Users\stu\Documents\GitHub\eaglep3-reporting\EC\2017-06-10-refined-times.txt</v>
      </c>
      <c r="AI93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{"issue":{"subject":"","project_id":79,"tracker_id":40,"status_id":1,"priority_id":2,"assigned_to_id":23,"start_date":"2017-06-10","description":"","custom_fields":[{"id":1,"name":"Subdivision","value":"EC"},{"id":4,"name":"Milepost","value":"0.0141"},{"id":17,"name":"Train ID","value":"178-10"},{"id":16,"name":"Locomotive ID","value":"4027"},{"id":130,"name":"Impact","value":""},{"id":150,"name":"Time of Event (Mountain Time)","value":"14:52:20"},{"id":151,"name":"Denver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5" t="str">
        <f t="shared" si="62"/>
        <v>start /low /b %USERPROFILE%\Documents\GitHub\eaglep3\Utilities\DownloadLogsFromS3.py --loco 4027 --day 2017-06-10</v>
      </c>
      <c r="AN93" s="154" t="str">
        <f t="shared" si="63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20:52:20"},{"id":29,"name":"Sharepoint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2" t="s">
        <v>734</v>
      </c>
      <c r="B94" s="7">
        <v>4032</v>
      </c>
      <c r="C94" s="21" t="s">
        <v>204</v>
      </c>
      <c r="D94" s="21" t="s">
        <v>351</v>
      </c>
      <c r="E94" s="13">
        <v>42896.558333333334</v>
      </c>
      <c r="F94" s="13">
        <v>42896.562685185185</v>
      </c>
      <c r="G94" s="7">
        <v>1</v>
      </c>
      <c r="H94" s="21" t="s">
        <v>398</v>
      </c>
      <c r="I94" s="13">
        <v>42896.587453703702</v>
      </c>
      <c r="J94" s="7">
        <v>0</v>
      </c>
      <c r="K94" s="92" t="str">
        <f t="shared" si="47"/>
        <v>4031/4032</v>
      </c>
      <c r="L94" s="21" t="str">
        <f>VLOOKUP(A94,'Trips&amp;Operators'!$C$1:$G$99999,5,FALSE)</f>
        <v>BRUDER RICHARD</v>
      </c>
      <c r="M94" s="6">
        <f t="shared" si="48"/>
        <v>2.4768518516793847E-2</v>
      </c>
      <c r="N94" s="7">
        <f t="shared" si="65"/>
        <v>35.66666666418314</v>
      </c>
      <c r="O94" s="7"/>
      <c r="P94" s="7"/>
      <c r="Q94" s="22"/>
      <c r="R94" s="173"/>
      <c r="S94" s="176">
        <f t="shared" si="66"/>
        <v>1</v>
      </c>
      <c r="T94" s="202" t="str">
        <f t="shared" si="49"/>
        <v>NorthBound</v>
      </c>
      <c r="U94" s="202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03" t="str">
        <f t="shared" si="50"/>
        <v>https://d0f6bd738d7f1b3e5a7ca70fe4ff75f0.us-east-1.aws.found.io/app/kibana#/discover/Steve-Slow-Train-Analysis-(2080s-and-2083s)?_g=(refreshInterval:(display:Off,pause:!f,section:0,value:0),time:(from:'2017-06-10T12:24:00-0600',mode:absolute,to:'2017-06-10T15:05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94" s="204" t="str">
        <f t="shared" si="51"/>
        <v>N</v>
      </c>
      <c r="X94" s="204">
        <f t="shared" si="52"/>
        <v>1</v>
      </c>
      <c r="Y94" s="204">
        <f t="shared" si="53"/>
        <v>4.58E-2</v>
      </c>
      <c r="Z94" s="204">
        <f t="shared" si="64"/>
        <v>23.3293</v>
      </c>
      <c r="AA94" s="204">
        <f t="shared" si="55"/>
        <v>23.2835</v>
      </c>
      <c r="AB94" s="57" t="e">
        <f>VLOOKUP(A94,Enforcements!$C$7:$K$13,8,0)</f>
        <v>#N/A</v>
      </c>
      <c r="AC94" s="53" t="e">
        <f>VLOOKUP(A94,Enforcements!$C$7:$E$13,3,0)</f>
        <v>#N/A</v>
      </c>
      <c r="AD94" s="54" t="str">
        <f t="shared" si="56"/>
        <v>0179-10</v>
      </c>
      <c r="AE94" s="80" t="str">
        <f t="shared" si="57"/>
        <v>aws s3 cp s3://rtdc.mdm.uploadarchive.raw/RTDC4032/ "%USERPROFILE%\AppData\Local\Temp\OnboardLogs"\RTDC4032\2017-06-10 --exclude "*" --recursive --include "*20170610*" &amp; "%USERPROFILE%\Documents\GitHub\mrs-test-scripts\Headless Mode &amp; Sideloading\WalkAndUnGZ.bat" "%USERPROFILE%\AppData\Local\Temp\OnboardLogs"\RTDC4032\2017-06-10 &amp; aws s3 cp s3://rtdc.mdm.uploadarchive.raw/RTDC4032/ "%USERPROFILE%\AppData\Local\Temp\OnboardLogs"\RTDC4032\2017-06-11 --exclude "*" --recursive --include "*20170611*" &amp; "%USERPROFILE%\Documents\GitHub\mrs-test-scripts\Headless Mode &amp; Sideloading\WalkAndUnGZ.bat" "%USERPROFILE%\AppData\Local\Temp\OnboardLogs"\RTDC4032\2017-06-11</v>
      </c>
      <c r="AF94" s="77" t="str">
        <f t="shared" si="58"/>
        <v>"C:\Program Files (x86)\AstroGrep\AstroGrep.exe" /e /r /s /spath="%USERPROFILE%\AppData\Local\Temp\OnboardLogs" /stypes="app*4032*20170610*" /stext=" 20:.+((SYSTEM_STATE.+slice.+state.+changed )|(ment ac)|(multiple cpu faults)|(system.+state.+changed )|(\[timeout)|(PRM\|1\|D)|(kpr)|(kdp)|(train st.+moving)|(\|lc)|(penalty))"</v>
      </c>
      <c r="AG94" s="1" t="str">
        <f t="shared" si="59"/>
        <v>EC</v>
      </c>
      <c r="AH94" s="81" t="str">
        <f t="shared" si="60"/>
        <v>"%USERPROFILE%\Documents\GitHub\eaglep3\Utilities\RefineRTDCRunTimes.py" --tripid 179-10 --locoid 4032 --swversion DE.1.0.9.0 --startMP 204:458 --initTime 2017-06-10T13:24:00 --startdatetime 2017-06-10T13:30:16 --delay 1 --endMP 204:233293 --enddatetime 2017-06-10T14:05:56 --enforcementcount 0 &gt;&gt;C:\Users\stu\Documents\GitHub\eaglep3-reporting\EC\2017-06-10-refined-times.txt</v>
      </c>
      <c r="AI94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{"issue":{"subject":"","project_id":79,"tracker_id":40,"status_id":1,"priority_id":2,"assigned_to_id":23,"start_date":"2017-06-10","description":"","custom_fields":[{"id":1,"name":"Subdivision","value":"EC"},{"id":4,"name":"Milepost","value":"23.3293"},{"id":17,"name":"Train ID","value":"179-10"},{"id":16,"name":"Locomotive ID","value":"4032"},{"id":130,"name":"Impact","value":""},{"id":150,"name":"Time of Event (Mountain Time)","value":"14:05:56"},{"id":151,"name":"Denver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5" t="str">
        <f t="shared" si="62"/>
        <v>start /low /b %USERPROFILE%\Documents\GitHub\eaglep3\Utilities\DownloadLogsFromS3.py --loco 4032 --day 2017-06-10</v>
      </c>
      <c r="AN94" s="154" t="str">
        <f t="shared" si="63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20:05:56"},{"id":29,"name":"Sharepoint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x14ac:dyDescent="0.25">
      <c r="A95" s="32" t="s">
        <v>749</v>
      </c>
      <c r="B95" s="7">
        <v>4031</v>
      </c>
      <c r="C95" s="21" t="s">
        <v>204</v>
      </c>
      <c r="D95" s="21" t="s">
        <v>868</v>
      </c>
      <c r="E95" s="13">
        <v>42896.596886574072</v>
      </c>
      <c r="F95" s="13">
        <v>42896.602280092593</v>
      </c>
      <c r="G95" s="7">
        <v>2</v>
      </c>
      <c r="H95" s="21" t="s">
        <v>354</v>
      </c>
      <c r="I95" s="13">
        <v>42896.629212962966</v>
      </c>
      <c r="J95" s="7">
        <v>0</v>
      </c>
      <c r="K95" s="92" t="str">
        <f t="shared" si="47"/>
        <v>4031/4032</v>
      </c>
      <c r="L95" s="21" t="str">
        <f>VLOOKUP(A95,'Trips&amp;Operators'!$C$1:$G$99999,5,FALSE)</f>
        <v>BRUDER RICHARD</v>
      </c>
      <c r="M95" s="6">
        <f t="shared" si="48"/>
        <v>2.6932870372547768E-2</v>
      </c>
      <c r="N95" s="7">
        <f t="shared" si="65"/>
        <v>38.783333336468786</v>
      </c>
      <c r="O95" s="7"/>
      <c r="P95" s="7"/>
      <c r="Q95" s="22"/>
      <c r="R95" s="173"/>
      <c r="S95" s="176">
        <f t="shared" si="66"/>
        <v>1</v>
      </c>
      <c r="T95" s="202" t="str">
        <f t="shared" si="49"/>
        <v>Southbound</v>
      </c>
      <c r="U95" s="202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03" t="str">
        <f t="shared" si="50"/>
        <v>https://d0f6bd738d7f1b3e5a7ca70fe4ff75f0.us-east-1.aws.found.io/app/kibana#/discover/Steve-Slow-Train-Analysis-(2080s-and-2083s)?_g=(refreshInterval:(display:Off,pause:!f,section:0,value:0),time:(from:'2017-06-10T13:19:31-0600',mode:absolute,to:'2017-06-10T16:06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95" s="204" t="str">
        <f t="shared" si="51"/>
        <v>N</v>
      </c>
      <c r="X95" s="204">
        <f t="shared" si="52"/>
        <v>1</v>
      </c>
      <c r="Y95" s="204">
        <f t="shared" si="53"/>
        <v>23.2973</v>
      </c>
      <c r="Z95" s="204">
        <f t="shared" si="64"/>
        <v>1.43E-2</v>
      </c>
      <c r="AA95" s="204">
        <f t="shared" si="55"/>
        <v>23.283000000000001</v>
      </c>
      <c r="AB95" s="57" t="e">
        <f>VLOOKUP(A95,Enforcements!$C$7:$K$13,8,0)</f>
        <v>#N/A</v>
      </c>
      <c r="AC95" s="53" t="e">
        <f>VLOOKUP(A95,Enforcements!$C$7:$E$13,3,0)</f>
        <v>#N/A</v>
      </c>
      <c r="AD95" s="54" t="str">
        <f t="shared" si="56"/>
        <v>0180-10</v>
      </c>
      <c r="AE95" s="80" t="str">
        <f t="shared" si="57"/>
        <v>aws s3 cp s3://rtdc.mdm.uploadarchive.raw/RTDC4031/ "%USERPROFILE%\AppData\Local\Temp\OnboardLogs"\RTDC4031\2017-06-10 --exclude "*" --recursive --include "*20170610*" &amp; "%USERPROFILE%\Documents\GitHub\mrs-test-scripts\Headless Mode &amp; Sideloading\WalkAndUnGZ.bat" "%USERPROFILE%\AppData\Local\Temp\OnboardLogs"\RTDC4031\2017-06-10 &amp; aws s3 cp s3://rtdc.mdm.uploadarchive.raw/RTDC4031/ "%USERPROFILE%\AppData\Local\Temp\OnboardLogs"\RTDC4031\2017-06-11 --exclude "*" --recursive --include "*20170611*" &amp; "%USERPROFILE%\Documents\GitHub\mrs-test-scripts\Headless Mode &amp; Sideloading\WalkAndUnGZ.bat" "%USERPROFILE%\AppData\Local\Temp\OnboardLogs"\RTDC4031\2017-06-11</v>
      </c>
      <c r="AF95" s="77" t="str">
        <f t="shared" si="58"/>
        <v>"C:\Program Files (x86)\AstroGrep\AstroGrep.exe" /e /r /s /spath="%USERPROFILE%\AppData\Local\Temp\OnboardLogs" /stypes="app*4031*20170610*" /stext=" 21:.+((SYSTEM_STATE.+slice.+state.+changed )|(ment ac)|(multiple cpu faults)|(system.+state.+changed )|(\[timeout)|(PRM\|1\|D)|(kpr)|(kdp)|(train st.+moving)|(\|lc)|(penalty))"</v>
      </c>
      <c r="AG95" s="1" t="str">
        <f t="shared" si="59"/>
        <v>EC</v>
      </c>
      <c r="AH95" s="81" t="str">
        <f t="shared" si="60"/>
        <v>"%USERPROFILE%\Documents\GitHub\eaglep3\Utilities\RefineRTDCRunTimes.py" --tripid 180-10 --locoid 4031 --swversion DE.1.0.9.0 --startMP 204:232973 --initTime 2017-06-10T14:19:31 --startdatetime 2017-06-10T14:27:17 --delay 2 --endMP 204:143 --enddatetime 2017-06-10T15:06:04 --enforcementcount 0 &gt;&gt;C:\Users\stu\Documents\GitHub\eaglep3-reporting\EC\2017-06-10-refined-times.txt</v>
      </c>
      <c r="AI95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{"issue":{"subject":"","project_id":79,"tracker_id":40,"status_id":1,"priority_id":2,"assigned_to_id":23,"start_date":"2017-06-10","description":"","custom_fields":[{"id":1,"name":"Subdivision","value":"EC"},{"id":4,"name":"Milepost","value":"0.0143"},{"id":17,"name":"Train ID","value":"180-10"},{"id":16,"name":"Locomotive ID","value":"4031"},{"id":130,"name":"Impact","value":""},{"id":150,"name":"Time of Event (Mountain Time)","value":"15:06:04"},{"id":151,"name":"Denver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20"/>
      <c r="AK95" s="47"/>
      <c r="AL95" s="47"/>
      <c r="AM95" s="145" t="str">
        <f t="shared" si="62"/>
        <v>start /low /b %USERPROFILE%\Documents\GitHub\eaglep3\Utilities\DownloadLogsFromS3.py --loco 4031 --day 2017-06-10</v>
      </c>
      <c r="AN95" s="154" t="str">
        <f t="shared" si="63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21:06:04"},{"id":29,"name":"Sharepoint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6" spans="1:91" s="20" customFormat="1" x14ac:dyDescent="0.25">
      <c r="A96" s="32" t="s">
        <v>740</v>
      </c>
      <c r="B96" s="7">
        <v>4004</v>
      </c>
      <c r="C96" s="21" t="s">
        <v>204</v>
      </c>
      <c r="D96" s="21" t="s">
        <v>359</v>
      </c>
      <c r="E96" s="13">
        <v>42896.570891203701</v>
      </c>
      <c r="F96" s="13">
        <v>42896.573807870373</v>
      </c>
      <c r="G96" s="7">
        <v>1</v>
      </c>
      <c r="H96" s="21" t="s">
        <v>885</v>
      </c>
      <c r="I96" s="13">
        <v>42896.597812499997</v>
      </c>
      <c r="J96" s="7">
        <v>0</v>
      </c>
      <c r="K96" s="92" t="str">
        <f t="shared" si="47"/>
        <v>4003/4004</v>
      </c>
      <c r="L96" s="21" t="str">
        <f>VLOOKUP(A96,'Trips&amp;Operators'!$C$1:$G$99999,5,FALSE)</f>
        <v>YORK EDGAR</v>
      </c>
      <c r="M96" s="6">
        <f t="shared" si="48"/>
        <v>2.4004629623959772E-2</v>
      </c>
      <c r="N96" s="7">
        <f t="shared" si="65"/>
        <v>34.566666658502072</v>
      </c>
      <c r="O96" s="7"/>
      <c r="P96" s="7"/>
      <c r="Q96" s="22"/>
      <c r="R96" s="173"/>
      <c r="S96" s="176">
        <f t="shared" si="66"/>
        <v>1</v>
      </c>
      <c r="T96" s="202" t="str">
        <f t="shared" si="49"/>
        <v>NorthBound</v>
      </c>
      <c r="U96" s="202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03" t="str">
        <f t="shared" si="50"/>
        <v>https://d0f6bd738d7f1b3e5a7ca70fe4ff75f0.us-east-1.aws.found.io/app/kibana#/discover/Steve-Slow-Train-Analysis-(2080s-and-2083s)?_g=(refreshInterval:(display:Off,pause:!f,section:0,value:0),time:(from:'2017-06-10T12:42:05-0600',mode:absolute,to:'2017-06-10T15:20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96" s="204" t="str">
        <f t="shared" si="51"/>
        <v>N</v>
      </c>
      <c r="X96" s="204">
        <f t="shared" si="52"/>
        <v>1</v>
      </c>
      <c r="Y96" s="204">
        <f t="shared" si="53"/>
        <v>4.53E-2</v>
      </c>
      <c r="Z96" s="204">
        <f t="shared" si="64"/>
        <v>23.326599999999999</v>
      </c>
      <c r="AA96" s="204">
        <f t="shared" si="55"/>
        <v>23.281299999999998</v>
      </c>
      <c r="AB96" s="57" t="e">
        <f>VLOOKUP(A96,Enforcements!$C$7:$K$13,8,0)</f>
        <v>#N/A</v>
      </c>
      <c r="AC96" s="53" t="e">
        <f>VLOOKUP(A96,Enforcements!$C$7:$E$13,3,0)</f>
        <v>#N/A</v>
      </c>
      <c r="AD96" s="54" t="str">
        <f t="shared" si="56"/>
        <v>0181-10</v>
      </c>
      <c r="AE96" s="80" t="str">
        <f t="shared" si="57"/>
        <v>aws s3 cp s3://rtdc.mdm.uploadarchive.raw/RTDC4004/ "%USERPROFILE%\AppData\Local\Temp\OnboardLogs"\RTDC4004\2017-06-10 --exclude "*" --recursive --include "*20170610*" &amp; "%USERPROFILE%\Documents\GitHub\mrs-test-scripts\Headless Mode &amp; Sideloading\WalkAndUnGZ.bat" "%USERPROFILE%\AppData\Local\Temp\OnboardLogs"\RTDC4004\2017-06-10 &amp; aws s3 cp s3://rtdc.mdm.uploadarchive.raw/RTDC4004/ "%USERPROFILE%\AppData\Local\Temp\OnboardLogs"\RTDC4004\2017-06-11 --exclude "*" --recursive --include "*20170611*" &amp; "%USERPROFILE%\Documents\GitHub\mrs-test-scripts\Headless Mode &amp; Sideloading\WalkAndUnGZ.bat" "%USERPROFILE%\AppData\Local\Temp\OnboardLogs"\RTDC4004\2017-06-11</v>
      </c>
      <c r="AF96" s="77" t="str">
        <f t="shared" si="58"/>
        <v>"C:\Program Files (x86)\AstroGrep\AstroGrep.exe" /e /r /s /spath="%USERPROFILE%\AppData\Local\Temp\OnboardLogs" /stypes="app*4004*20170610*" /stext=" 20:.+((SYSTEM_STATE.+slice.+state.+changed )|(ment ac)|(multiple cpu faults)|(system.+state.+changed )|(\[timeout)|(PRM\|1\|D)|(kpr)|(kdp)|(train st.+moving)|(\|lc)|(penalty))"</v>
      </c>
      <c r="AG96" s="1" t="str">
        <f t="shared" si="59"/>
        <v>EC</v>
      </c>
      <c r="AH96" s="81" t="str">
        <f t="shared" si="60"/>
        <v>"%USERPROFILE%\Documents\GitHub\eaglep3\Utilities\RefineRTDCRunTimes.py" --tripid 181-10 --locoid 4004 --swversion DE.1.0.9.0 --startMP 204:453 --initTime 2017-06-10T13:42:05 --startdatetime 2017-06-10T13:46:17 --delay 1 --endMP 204:233266 --enddatetime 2017-06-10T14:20:51 --enforcementcount 0 &gt;&gt;C:\Users\stu\Documents\GitHub\eaglep3-reporting\EC\2017-06-10-refined-times.txt</v>
      </c>
      <c r="AI96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{"issue":{"subject":"","project_id":79,"tracker_id":40,"status_id":1,"priority_id":2,"assigned_to_id":23,"start_date":"2017-06-10","description":"","custom_fields":[{"id":1,"name":"Subdivision","value":"EC"},{"id":4,"name":"Milepost","value":"23.3266"},{"id":17,"name":"Train ID","value":"181-10"},{"id":16,"name":"Locomotive ID","value":"4004"},{"id":130,"name":"Impact","value":""},{"id":150,"name":"Time of Event (Mountain Time)","value":"14:20:51"},{"id":151,"name":"Denver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5" t="str">
        <f t="shared" si="62"/>
        <v>start /low /b %USERPROFILE%\Documents\GitHub\eaglep3\Utilities\DownloadLogsFromS3.py --loco 4004 --day 2017-06-10</v>
      </c>
      <c r="AN96" s="154" t="str">
        <f t="shared" si="63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20:20:51"},{"id":29,"name":"Sharepoint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751</v>
      </c>
      <c r="B97" s="7">
        <v>4003</v>
      </c>
      <c r="C97" s="21" t="s">
        <v>204</v>
      </c>
      <c r="D97" s="21" t="s">
        <v>561</v>
      </c>
      <c r="E97" s="13">
        <v>42896.599108796298</v>
      </c>
      <c r="F97" s="13">
        <v>42896.613009259258</v>
      </c>
      <c r="G97" s="7">
        <v>0</v>
      </c>
      <c r="H97" s="21" t="s">
        <v>401</v>
      </c>
      <c r="I97" s="13">
        <v>42896.638958333337</v>
      </c>
      <c r="J97" s="7">
        <v>0</v>
      </c>
      <c r="K97" s="92" t="str">
        <f t="shared" si="47"/>
        <v>4003/4004</v>
      </c>
      <c r="L97" s="21" t="str">
        <f>VLOOKUP(A97,'Trips&amp;Operators'!$C$1:$G$99999,5,FALSE)</f>
        <v>YORK EDGAR</v>
      </c>
      <c r="M97" s="6">
        <f t="shared" si="48"/>
        <v>2.5949074079107959E-2</v>
      </c>
      <c r="N97" s="7">
        <f t="shared" si="65"/>
        <v>37.366666673915461</v>
      </c>
      <c r="O97" s="7"/>
      <c r="P97" s="7"/>
      <c r="Q97" s="22"/>
      <c r="R97" s="173"/>
      <c r="S97" s="176">
        <f t="shared" si="66"/>
        <v>1</v>
      </c>
      <c r="T97" s="202" t="str">
        <f t="shared" si="49"/>
        <v>Southbound</v>
      </c>
      <c r="U97" s="202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03" t="str">
        <f t="shared" si="50"/>
        <v>https://d0f6bd738d7f1b3e5a7ca70fe4ff75f0.us-east-1.aws.found.io/app/kibana#/discover/Steve-Slow-Train-Analysis-(2080s-and-2083s)?_g=(refreshInterval:(display:Off,pause:!f,section:0,value:0),time:(from:'2017-06-10T13:22:43-0600',mode:absolute,to:'2017-06-10T16:20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7" s="204" t="str">
        <f t="shared" si="51"/>
        <v>N</v>
      </c>
      <c r="X97" s="204">
        <f t="shared" si="52"/>
        <v>1</v>
      </c>
      <c r="Y97" s="204">
        <f t="shared" si="53"/>
        <v>23.2987</v>
      </c>
      <c r="Z97" s="204">
        <f t="shared" si="64"/>
        <v>1.54E-2</v>
      </c>
      <c r="AA97" s="204">
        <f t="shared" si="55"/>
        <v>23.283300000000001</v>
      </c>
      <c r="AB97" s="57" t="e">
        <f>VLOOKUP(A97,Enforcements!$C$7:$K$13,8,0)</f>
        <v>#N/A</v>
      </c>
      <c r="AC97" s="53" t="e">
        <f>VLOOKUP(A97,Enforcements!$C$7:$E$13,3,0)</f>
        <v>#N/A</v>
      </c>
      <c r="AD97" s="54" t="str">
        <f t="shared" si="56"/>
        <v>0182-10</v>
      </c>
      <c r="AE97" s="80" t="str">
        <f t="shared" si="57"/>
        <v>aws s3 cp s3://rtdc.mdm.uploadarchive.raw/RTDC4003/ "%USERPROFILE%\AppData\Local\Temp\OnboardLogs"\RTDC4003\2017-06-10 --exclude "*" --recursive --include "*20170610*" &amp; "%USERPROFILE%\Documents\GitHub\mrs-test-scripts\Headless Mode &amp; Sideloading\WalkAndUnGZ.bat" "%USERPROFILE%\AppData\Local\Temp\OnboardLogs"\RTDC4003\2017-06-10 &amp; aws s3 cp s3://rtdc.mdm.uploadarchive.raw/RTDC4003/ "%USERPROFILE%\AppData\Local\Temp\OnboardLogs"\RTDC4003\2017-06-11 --exclude "*" --recursive --include "*20170611*" &amp; "%USERPROFILE%\Documents\GitHub\mrs-test-scripts\Headless Mode &amp; Sideloading\WalkAndUnGZ.bat" "%USERPROFILE%\AppData\Local\Temp\OnboardLogs"\RTDC4003\2017-06-11</v>
      </c>
      <c r="AF97" s="77" t="str">
        <f t="shared" si="58"/>
        <v>"C:\Program Files (x86)\AstroGrep\AstroGrep.exe" /e /r /s /spath="%USERPROFILE%\AppData\Local\Temp\OnboardLogs" /stypes="app*4003*20170610*" /stext=" 21:.+((SYSTEM_STATE.+slice.+state.+changed )|(ment ac)|(multiple cpu faults)|(system.+state.+changed )|(\[timeout)|(PRM\|1\|D)|(kpr)|(kdp)|(train st.+moving)|(\|lc)|(penalty))"</v>
      </c>
      <c r="AG97" s="1" t="str">
        <f t="shared" si="59"/>
        <v>EC</v>
      </c>
      <c r="AH97" s="81" t="str">
        <f t="shared" si="60"/>
        <v>"%USERPROFILE%\Documents\GitHub\eaglep3\Utilities\RefineRTDCRunTimes.py" --tripid 182-10 --locoid 4003 --swversion DE.1.0.9.0 --startMP 204:232987 --initTime 2017-06-10T14:22:43 --startdatetime 2017-06-10T14:42:44 --delay 0 --endMP 204:154 --enddatetime 2017-06-10T15:20:06 --enforcementcount 0 &gt;&gt;C:\Users\stu\Documents\GitHub\eaglep3-reporting\EC\2017-06-10-refined-times.txt</v>
      </c>
      <c r="AI97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{"issue":{"subject":"","project_id":79,"tracker_id":40,"status_id":1,"priority_id":2,"assigned_to_id":23,"start_date":"2017-06-10","description":"","custom_fields":[{"id":1,"name":"Subdivision","value":"EC"},{"id":4,"name":"Milepost","value":"0.0154"},{"id":17,"name":"Train ID","value":"182-10"},{"id":16,"name":"Locomotive ID","value":"4003"},{"id":130,"name":"Impact","value":""},{"id":150,"name":"Time of Event (Mountain Time)","value":"15:20:06"},{"id":151,"name":"Denver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5" t="str">
        <f t="shared" si="62"/>
        <v>start /low /b %USERPROFILE%\Documents\GitHub\eaglep3\Utilities\DownloadLogsFromS3.py --loco 4003 --day 2017-06-10</v>
      </c>
      <c r="AN97" s="154" t="str">
        <f t="shared" si="63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21:20:06"},{"id":29,"name":"Sharepoint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742</v>
      </c>
      <c r="B98" s="7">
        <v>4044</v>
      </c>
      <c r="C98" s="21" t="s">
        <v>204</v>
      </c>
      <c r="D98" s="21" t="s">
        <v>345</v>
      </c>
      <c r="E98" s="13">
        <v>42896.581006944441</v>
      </c>
      <c r="F98" s="13">
        <v>42896.583564814813</v>
      </c>
      <c r="G98" s="7">
        <v>1</v>
      </c>
      <c r="H98" s="21" t="s">
        <v>559</v>
      </c>
      <c r="I98" s="13">
        <v>42896.608611111114</v>
      </c>
      <c r="J98" s="7">
        <v>0</v>
      </c>
      <c r="K98" s="92" t="str">
        <f t="shared" si="47"/>
        <v>4043/4044</v>
      </c>
      <c r="L98" s="21" t="str">
        <f>VLOOKUP(A98,'Trips&amp;Operators'!$C$1:$G$99999,5,FALSE)</f>
        <v>LOPES KIMBERLY</v>
      </c>
      <c r="M98" s="6">
        <f t="shared" si="48"/>
        <v>2.5046296301297843E-2</v>
      </c>
      <c r="N98" s="7">
        <f t="shared" si="65"/>
        <v>36.066666673868895</v>
      </c>
      <c r="O98" s="7"/>
      <c r="P98" s="7"/>
      <c r="Q98" s="22"/>
      <c r="R98" s="173"/>
      <c r="S98" s="176">
        <f t="shared" si="66"/>
        <v>1</v>
      </c>
      <c r="T98" s="202" t="str">
        <f t="shared" si="49"/>
        <v>NorthBound</v>
      </c>
      <c r="U98" s="202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03" t="str">
        <f t="shared" si="50"/>
        <v>https://d0f6bd738d7f1b3e5a7ca70fe4ff75f0.us-east-1.aws.found.io/app/kibana#/discover/Steve-Slow-Train-Analysis-(2080s-and-2083s)?_g=(refreshInterval:(display:Off,pause:!f,section:0,value:0),time:(from:'2017-06-10T12:56:39-0600',mode:absolute,to:'2017-06-10T15:36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8" s="204" t="str">
        <f t="shared" si="51"/>
        <v>N</v>
      </c>
      <c r="X98" s="204">
        <f t="shared" si="52"/>
        <v>1</v>
      </c>
      <c r="Y98" s="204">
        <f t="shared" si="53"/>
        <v>4.4900000000000002E-2</v>
      </c>
      <c r="Z98" s="204">
        <f t="shared" si="64"/>
        <v>23.333600000000001</v>
      </c>
      <c r="AA98" s="204">
        <f t="shared" si="55"/>
        <v>23.288700000000002</v>
      </c>
      <c r="AB98" s="57" t="e">
        <f>VLOOKUP(A98,Enforcements!$C$7:$K$13,8,0)</f>
        <v>#N/A</v>
      </c>
      <c r="AC98" s="53" t="e">
        <f>VLOOKUP(A98,Enforcements!$C$7:$E$13,3,0)</f>
        <v>#N/A</v>
      </c>
      <c r="AD98" s="54" t="str">
        <f t="shared" si="56"/>
        <v>0183-10</v>
      </c>
      <c r="AE98" s="80" t="str">
        <f t="shared" si="57"/>
        <v>aws s3 cp s3://rtdc.mdm.uploadarchive.raw/RTDC4044/ "%USERPROFILE%\AppData\Local\Temp\OnboardLogs"\RTDC4044\2017-06-10 --exclude "*" --recursive --include "*20170610*" &amp; "%USERPROFILE%\Documents\GitHub\mrs-test-scripts\Headless Mode &amp; Sideloading\WalkAndUnGZ.bat" "%USERPROFILE%\AppData\Local\Temp\OnboardLogs"\RTDC4044\2017-06-10 &amp; aws s3 cp s3://rtdc.mdm.uploadarchive.raw/RTDC4044/ "%USERPROFILE%\AppData\Local\Temp\OnboardLogs"\RTDC4044\2017-06-11 --exclude "*" --recursive --include "*20170611*" &amp; "%USERPROFILE%\Documents\GitHub\mrs-test-scripts\Headless Mode &amp; Sideloading\WalkAndUnGZ.bat" "%USERPROFILE%\AppData\Local\Temp\OnboardLogs"\RTDC4044\2017-06-11</v>
      </c>
      <c r="AF98" s="77" t="str">
        <f t="shared" si="58"/>
        <v>"C:\Program Files (x86)\AstroGrep\AstroGrep.exe" /e /r /s /spath="%USERPROFILE%\AppData\Local\Temp\OnboardLogs" /stypes="app*4044*20170610*" /stext=" 20:.+((SYSTEM_STATE.+slice.+state.+changed )|(ment ac)|(multiple cpu faults)|(system.+state.+changed )|(\[timeout)|(PRM\|1\|D)|(kpr)|(kdp)|(train st.+moving)|(\|lc)|(penalty))"</v>
      </c>
      <c r="AG98" s="1" t="str">
        <f t="shared" si="59"/>
        <v>EC</v>
      </c>
      <c r="AH98" s="81" t="str">
        <f t="shared" si="60"/>
        <v>"%USERPROFILE%\Documents\GitHub\eaglep3\Utilities\RefineRTDCRunTimes.py" --tripid 183-10 --locoid 4044 --swversion DE.1.0.9.0 --startMP 204:449 --initTime 2017-06-10T13:56:39 --startdatetime 2017-06-10T14:00:20 --delay 1 --endMP 204:233336 --enddatetime 2017-06-10T14:36:24 --enforcementcount 0 &gt;&gt;C:\Users\stu\Documents\GitHub\eaglep3-reporting\EC\2017-06-10-refined-times.txt</v>
      </c>
      <c r="AI98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{"issue":{"subject":"","project_id":79,"tracker_id":40,"status_id":1,"priority_id":2,"assigned_to_id":23,"start_date":"2017-06-10","description":"","custom_fields":[{"id":1,"name":"Subdivision","value":"EC"},{"id":4,"name":"Milepost","value":"23.3336"},{"id":17,"name":"Train ID","value":"183-10"},{"id":16,"name":"Locomotive ID","value":"4044"},{"id":130,"name":"Impact","value":""},{"id":150,"name":"Time of Event (Mountain Time)","value":"14:36:24"},{"id":151,"name":"Denver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5" t="str">
        <f t="shared" si="62"/>
        <v>start /low /b %USERPROFILE%\Documents\GitHub\eaglep3\Utilities\DownloadLogsFromS3.py --loco 4044 --day 2017-06-10</v>
      </c>
      <c r="AN98" s="154" t="str">
        <f t="shared" si="63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20:36:24"},{"id":29,"name":"Sharepoint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594</v>
      </c>
      <c r="B99" s="7">
        <v>4043</v>
      </c>
      <c r="C99" s="21" t="s">
        <v>204</v>
      </c>
      <c r="D99" s="21" t="s">
        <v>478</v>
      </c>
      <c r="E99" s="13">
        <v>42896.619803240741</v>
      </c>
      <c r="F99" s="13">
        <v>42896.62327546296</v>
      </c>
      <c r="G99" s="7">
        <v>1</v>
      </c>
      <c r="H99" s="21" t="s">
        <v>916</v>
      </c>
      <c r="I99" s="13">
        <v>42896.649212962962</v>
      </c>
      <c r="J99" s="7">
        <v>0</v>
      </c>
      <c r="K99" s="92" t="str">
        <f t="shared" si="47"/>
        <v>4043/4044</v>
      </c>
      <c r="L99" s="21" t="str">
        <f>VLOOKUP(A99,'Trips&amp;Operators'!$C$1:$G$99999,5,FALSE)</f>
        <v>LOPES KIMBERLY</v>
      </c>
      <c r="M99" s="6">
        <f t="shared" si="48"/>
        <v>2.5937500002328306E-2</v>
      </c>
      <c r="N99" s="7">
        <f t="shared" si="65"/>
        <v>37.350000003352761</v>
      </c>
      <c r="O99" s="7"/>
      <c r="P99" s="7"/>
      <c r="Q99" s="22"/>
      <c r="R99" s="173"/>
      <c r="S99" s="176">
        <f t="shared" si="66"/>
        <v>1</v>
      </c>
      <c r="T99" s="202" t="str">
        <f t="shared" si="49"/>
        <v>Southbound</v>
      </c>
      <c r="U99" s="202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03" t="str">
        <f t="shared" si="50"/>
        <v>https://d0f6bd738d7f1b3e5a7ca70fe4ff75f0.us-east-1.aws.found.io/app/kibana#/discover/Steve-Slow-Train-Analysis-(2080s-and-2083s)?_g=(refreshInterval:(display:Off,pause:!f,section:0,value:0),time:(from:'2017-06-10T13:52:31-0600',mode:absolute,to:'2017-06-10T16:34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9" s="204" t="str">
        <f t="shared" si="51"/>
        <v>N</v>
      </c>
      <c r="X99" s="204">
        <f t="shared" si="52"/>
        <v>1</v>
      </c>
      <c r="Y99" s="204">
        <f t="shared" si="53"/>
        <v>23.2986</v>
      </c>
      <c r="Z99" s="204">
        <f t="shared" si="64"/>
        <v>2.3599999999999999E-2</v>
      </c>
      <c r="AA99" s="204">
        <f t="shared" si="55"/>
        <v>23.275000000000002</v>
      </c>
      <c r="AB99" s="57" t="e">
        <f>VLOOKUP(A99,Enforcements!$C$7:$K$13,8,0)</f>
        <v>#N/A</v>
      </c>
      <c r="AC99" s="53" t="e">
        <f>VLOOKUP(A99,Enforcements!$C$7:$E$13,3,0)</f>
        <v>#N/A</v>
      </c>
      <c r="AD99" s="54" t="str">
        <f t="shared" si="56"/>
        <v>0184-10</v>
      </c>
      <c r="AE99" s="80" t="str">
        <f t="shared" si="57"/>
        <v>aws s3 cp s3://rtdc.mdm.uploadarchive.raw/RTDC4043/ "%USERPROFILE%\AppData\Local\Temp\OnboardLogs"\RTDC4043\2017-06-10 --exclude "*" --recursive --include "*20170610*" &amp; "%USERPROFILE%\Documents\GitHub\mrs-test-scripts\Headless Mode &amp; Sideloading\WalkAndUnGZ.bat" "%USERPROFILE%\AppData\Local\Temp\OnboardLogs"\RTDC4043\2017-06-10 &amp; aws s3 cp s3://rtdc.mdm.uploadarchive.raw/RTDC4043/ "%USERPROFILE%\AppData\Local\Temp\OnboardLogs"\RTDC4043\2017-06-11 --exclude "*" --recursive --include "*20170611*" &amp; "%USERPROFILE%\Documents\GitHub\mrs-test-scripts\Headless Mode &amp; Sideloading\WalkAndUnGZ.bat" "%USERPROFILE%\AppData\Local\Temp\OnboardLogs"\RTDC4043\2017-06-11</v>
      </c>
      <c r="AF99" s="77" t="str">
        <f t="shared" si="58"/>
        <v>"C:\Program Files (x86)\AstroGrep\AstroGrep.exe" /e /r /s /spath="%USERPROFILE%\AppData\Local\Temp\OnboardLogs" /stypes="app*4043*20170610*" /stext=" 21:.+((SYSTEM_STATE.+slice.+state.+changed )|(ment ac)|(multiple cpu faults)|(system.+state.+changed )|(\[timeout)|(PRM\|1\|D)|(kpr)|(kdp)|(train st.+moving)|(\|lc)|(penalty))"</v>
      </c>
      <c r="AG99" s="1" t="str">
        <f t="shared" si="59"/>
        <v>EC</v>
      </c>
      <c r="AH99" s="81" t="str">
        <f t="shared" si="60"/>
        <v>"%USERPROFILE%\Documents\GitHub\eaglep3\Utilities\RefineRTDCRunTimes.py" --tripid 184-10 --locoid 4043 --swversion DE.1.0.9.0 --startMP 204:232986 --initTime 2017-06-10T14:52:31 --startdatetime 2017-06-10T14:57:31 --delay 1 --endMP 204:236 --enddatetime 2017-06-10T15:34:52 --enforcementcount 0 &gt;&gt;C:\Users\stu\Documents\GitHub\eaglep3-reporting\EC\2017-06-10-refined-times.txt</v>
      </c>
      <c r="AI99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{"issue":{"subject":"","project_id":79,"tracker_id":40,"status_id":1,"priority_id":2,"assigned_to_id":23,"start_date":"2017-06-10","description":"","custom_fields":[{"id":1,"name":"Subdivision","value":"EC"},{"id":4,"name":"Milepost","value":"0.0236"},{"id":17,"name":"Train ID","value":"184-10"},{"id":16,"name":"Locomotive ID","value":"4043"},{"id":130,"name":"Impact","value":""},{"id":150,"name":"Time of Event (Mountain Time)","value":"15:34:52"},{"id":151,"name":"Denver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5" t="str">
        <f t="shared" si="62"/>
        <v>start /low /b %USERPROFILE%\Documents\GitHub\eaglep3\Utilities\DownloadLogsFromS3.py --loco 4043 --day 2017-06-10</v>
      </c>
      <c r="AN99" s="154" t="str">
        <f t="shared" si="63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21:34:52"},{"id":29,"name":"Sharepoint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746</v>
      </c>
      <c r="B100" s="7">
        <v>4056</v>
      </c>
      <c r="C100" s="21" t="s">
        <v>204</v>
      </c>
      <c r="D100" s="21" t="s">
        <v>356</v>
      </c>
      <c r="E100" s="13">
        <v>42896.590613425928</v>
      </c>
      <c r="F100" s="13">
        <v>42896.593923611108</v>
      </c>
      <c r="G100" s="7">
        <v>1</v>
      </c>
      <c r="H100" s="21" t="s">
        <v>917</v>
      </c>
      <c r="I100" s="13">
        <v>42896.619166666664</v>
      </c>
      <c r="J100" s="7">
        <v>0</v>
      </c>
      <c r="K100" s="92" t="str">
        <f t="shared" si="47"/>
        <v>4055/4056</v>
      </c>
      <c r="L100" s="21" t="str">
        <f>VLOOKUP(A100,'Trips&amp;Operators'!$C$1:$G$99999,5,FALSE)</f>
        <v>STEWART MICHAEL</v>
      </c>
      <c r="M100" s="6">
        <f t="shared" si="48"/>
        <v>2.5243055555620231E-2</v>
      </c>
      <c r="N100" s="7">
        <f t="shared" si="65"/>
        <v>36.350000000093132</v>
      </c>
      <c r="O100" s="7"/>
      <c r="P100" s="7"/>
      <c r="Q100" s="22"/>
      <c r="R100" s="173" t="s">
        <v>1036</v>
      </c>
      <c r="S100" s="176">
        <f t="shared" si="66"/>
        <v>1</v>
      </c>
      <c r="T100" s="202" t="str">
        <f t="shared" si="49"/>
        <v>NorthBound</v>
      </c>
      <c r="U100" s="202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03" t="str">
        <f t="shared" si="50"/>
        <v>https://d0f6bd738d7f1b3e5a7ca70fe4ff75f0.us-east-1.aws.found.io/app/kibana#/discover/Steve-Slow-Train-Analysis-(2080s-and-2083s)?_g=(refreshInterval:(display:Off,pause:!f,section:0,value:0),time:(from:'2017-06-10T13:10:29-0600',mode:absolute,to:'2017-06-10T15:51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00" s="204" t="str">
        <f t="shared" si="51"/>
        <v>N</v>
      </c>
      <c r="X100" s="204">
        <f t="shared" si="52"/>
        <v>1</v>
      </c>
      <c r="Y100" s="204">
        <f t="shared" si="53"/>
        <v>4.5100000000000001E-2</v>
      </c>
      <c r="Z100" s="204">
        <f t="shared" si="64"/>
        <v>23.327999999999999</v>
      </c>
      <c r="AA100" s="204">
        <f t="shared" si="55"/>
        <v>23.282899999999998</v>
      </c>
      <c r="AB100" s="57" t="e">
        <f>VLOOKUP(A100,Enforcements!$C$7:$K$13,8,0)</f>
        <v>#N/A</v>
      </c>
      <c r="AC100" s="53" t="e">
        <f>VLOOKUP(A100,Enforcements!$C$7:$E$13,3,0)</f>
        <v>#N/A</v>
      </c>
      <c r="AD100" s="54" t="str">
        <f t="shared" si="56"/>
        <v>0185-10</v>
      </c>
      <c r="AE100" s="80" t="str">
        <f t="shared" si="57"/>
        <v>aws s3 cp s3://rtdc.mdm.uploadarchive.raw/RTDC4056/ "%USERPROFILE%\AppData\Local\Temp\OnboardLogs"\RTDC4056\2017-06-10 --exclude "*" --recursive --include "*20170610*" &amp; "%USERPROFILE%\Documents\GitHub\mrs-test-scripts\Headless Mode &amp; Sideloading\WalkAndUnGZ.bat" "%USERPROFILE%\AppData\Local\Temp\OnboardLogs"\RTDC4056\2017-06-10 &amp; aws s3 cp s3://rtdc.mdm.uploadarchive.raw/RTDC4056/ "%USERPROFILE%\AppData\Local\Temp\OnboardLogs"\RTDC4056\2017-06-11 --exclude "*" --recursive --include "*20170611*" &amp; "%USERPROFILE%\Documents\GitHub\mrs-test-scripts\Headless Mode &amp; Sideloading\WalkAndUnGZ.bat" "%USERPROFILE%\AppData\Local\Temp\OnboardLogs"\RTDC4056\2017-06-11</v>
      </c>
      <c r="AF100" s="77" t="str">
        <f t="shared" si="58"/>
        <v>"C:\Program Files (x86)\AstroGrep\AstroGrep.exe" /e /r /s /spath="%USERPROFILE%\AppData\Local\Temp\OnboardLogs" /stypes="app*4056*20170610*" /stext=" 20:.+((SYSTEM_STATE.+slice.+state.+changed )|(ment ac)|(multiple cpu faults)|(system.+state.+changed )|(\[timeout)|(PRM\|1\|D)|(kpr)|(kdp)|(train st.+moving)|(\|lc)|(penalty))"</v>
      </c>
      <c r="AG100" s="1" t="str">
        <f t="shared" si="59"/>
        <v>EC</v>
      </c>
      <c r="AH100" s="81" t="str">
        <f t="shared" si="60"/>
        <v>"%USERPROFILE%\Documents\GitHub\eaglep3\Utilities\RefineRTDCRunTimes.py" --tripid 185-10 --locoid 4056 --swversion DE.1.0.9.0 --startMP 204:451 --initTime 2017-06-10T14:10:29 --startdatetime 2017-06-10T14:15:15 --delay 1 --endMP 204:233280 --enddatetime 2017-06-10T14:51:36 --enforcementcount 0 &gt;&gt;C:\Users\stu\Documents\GitHub\eaglep3-reporting\EC\2017-06-10-refined-times.txt</v>
      </c>
      <c r="AI100" s="99" t="str">
        <f t="shared" si="61"/>
        <v>echo {"issue":{"subject":"Intermittent faults observed, no impact to run","project_id":79,"tracker_id":40,"status_id":1,"priority_id":2,"assigned_to_id":23,"start_date":"2017-06-10","description":"","custom_fields":[{"id":1,"name":"Subdivision","value":"EC"},{"id":4,"name":"Milepost","value":"23.328"},{"id":17,"name":"Train ID","value":"185-10"},{"id":16,"name":"Locomotive ID","value":"4056"},{"id":130,"name":"Impact","value":""},{"id":150,"name":"Time of Event (Mountain Time)","value":"14:51:36"},{"id":151,"name":"Denver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5" t="str">
        <f t="shared" si="62"/>
        <v>start /low /b %USERPROFILE%\Documents\GitHub\eaglep3\Utilities\DownloadLogsFromS3.py --loco 4056 --day 2017-06-10</v>
      </c>
      <c r="AN100" s="154" t="str">
        <f t="shared" si="63"/>
        <v>echo {"issue":{"subject":"Intermittent faults observed, no impact to run","project_id":30,"tracker_id":4,"status_id":1,"priority_id":1,"assigned_to_id":10,"start_date":"2017-06-10","description":"","custom_fields":[{"id":30,"name":"Category","value":"Issue"},{"id":3,"name":"Functional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20:51:36"},{"id":29,"name":"Sharepoint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x14ac:dyDescent="0.25">
      <c r="A101" s="32" t="s">
        <v>753</v>
      </c>
      <c r="B101" s="7">
        <v>4055</v>
      </c>
      <c r="C101" s="21" t="s">
        <v>204</v>
      </c>
      <c r="D101" s="21" t="s">
        <v>552</v>
      </c>
      <c r="E101" s="13">
        <v>42896.629907407405</v>
      </c>
      <c r="F101" s="13">
        <v>42896.633553240739</v>
      </c>
      <c r="G101" s="7">
        <v>1</v>
      </c>
      <c r="H101" s="21" t="s">
        <v>401</v>
      </c>
      <c r="I101" s="13">
        <v>42896.660300925927</v>
      </c>
      <c r="J101" s="7">
        <v>0</v>
      </c>
      <c r="K101" s="92" t="str">
        <f t="shared" si="47"/>
        <v>4055/4056</v>
      </c>
      <c r="L101" s="21" t="str">
        <f>VLOOKUP(A101,'Trips&amp;Operators'!$C$1:$G$99999,5,FALSE)</f>
        <v>STEWART MICHAEL</v>
      </c>
      <c r="M101" s="6">
        <f t="shared" si="48"/>
        <v>2.6747685187729076E-2</v>
      </c>
      <c r="N101" s="7">
        <f t="shared" si="65"/>
        <v>38.516666670329869</v>
      </c>
      <c r="O101" s="7"/>
      <c r="P101" s="7"/>
      <c r="Q101" s="22"/>
      <c r="R101" s="173"/>
      <c r="S101" s="176">
        <f t="shared" si="66"/>
        <v>1</v>
      </c>
      <c r="T101" s="202" t="str">
        <f t="shared" si="49"/>
        <v>Southbound</v>
      </c>
      <c r="U101" s="202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03" t="str">
        <f t="shared" si="50"/>
        <v>https://d0f6bd738d7f1b3e5a7ca70fe4ff75f0.us-east-1.aws.found.io/app/kibana#/discover/Steve-Slow-Train-Analysis-(2080s-and-2083s)?_g=(refreshInterval:(display:Off,pause:!f,section:0,value:0),time:(from:'2017-06-10T14:07:04-0600',mode:absolute,to:'2017-06-10T16:50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01" s="204" t="str">
        <f t="shared" si="51"/>
        <v>N</v>
      </c>
      <c r="X101" s="204">
        <f t="shared" si="52"/>
        <v>1</v>
      </c>
      <c r="Y101" s="204">
        <f t="shared" si="53"/>
        <v>23.297899999999998</v>
      </c>
      <c r="Z101" s="204">
        <f t="shared" si="64"/>
        <v>1.54E-2</v>
      </c>
      <c r="AA101" s="204">
        <f t="shared" si="55"/>
        <v>23.282499999999999</v>
      </c>
      <c r="AB101" s="57" t="e">
        <f>VLOOKUP(A101,Enforcements!$C$7:$K$13,8,0)</f>
        <v>#N/A</v>
      </c>
      <c r="AC101" s="53" t="e">
        <f>VLOOKUP(A101,Enforcements!$C$7:$E$13,3,0)</f>
        <v>#N/A</v>
      </c>
      <c r="AD101" s="54" t="str">
        <f t="shared" si="56"/>
        <v>0186-10</v>
      </c>
      <c r="AE101" s="80" t="str">
        <f t="shared" si="57"/>
        <v>aws s3 cp s3://rtdc.mdm.uploadarchive.raw/RTDC4055/ "%USERPROFILE%\AppData\Local\Temp\OnboardLogs"\RTDC4055\2017-06-10 --exclude "*" --recursive --include "*20170610*" &amp; "%USERPROFILE%\Documents\GitHub\mrs-test-scripts\Headless Mode &amp; Sideloading\WalkAndUnGZ.bat" "%USERPROFILE%\AppData\Local\Temp\OnboardLogs"\RTDC4055\2017-06-10 &amp; aws s3 cp s3://rtdc.mdm.uploadarchive.raw/RTDC4055/ "%USERPROFILE%\AppData\Local\Temp\OnboardLogs"\RTDC4055\2017-06-11 --exclude "*" --recursive --include "*20170611*" &amp; "%USERPROFILE%\Documents\GitHub\mrs-test-scripts\Headless Mode &amp; Sideloading\WalkAndUnGZ.bat" "%USERPROFILE%\AppData\Local\Temp\OnboardLogs"\RTDC4055\2017-06-11</v>
      </c>
      <c r="AF101" s="77" t="str">
        <f t="shared" si="58"/>
        <v>"C:\Program Files (x86)\AstroGrep\AstroGrep.exe" /e /r /s /spath="%USERPROFILE%\AppData\Local\Temp\OnboardLogs" /stypes="app*4055*20170610*" /stext=" 21:.+((SYSTEM_STATE.+slice.+state.+changed )|(ment ac)|(multiple cpu faults)|(system.+state.+changed )|(\[timeout)|(PRM\|1\|D)|(kpr)|(kdp)|(train st.+moving)|(\|lc)|(penalty))"</v>
      </c>
      <c r="AG101" s="1" t="str">
        <f t="shared" si="59"/>
        <v>EC</v>
      </c>
      <c r="AH101" s="81" t="str">
        <f t="shared" si="60"/>
        <v>"%USERPROFILE%\Documents\GitHub\eaglep3\Utilities\RefineRTDCRunTimes.py" --tripid 186-10 --locoid 4055 --swversion DE.1.0.9.0 --startMP 204:232979 --initTime 2017-06-10T15:07:04 --startdatetime 2017-06-10T15:12:19 --delay 1 --endMP 204:154 --enddatetime 2017-06-10T15:50:50 --enforcementcount 0 &gt;&gt;C:\Users\stu\Documents\GitHub\eaglep3-reporting\EC\2017-06-10-refined-times.txt</v>
      </c>
      <c r="AI101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{"issue":{"subject":"","project_id":79,"tracker_id":40,"status_id":1,"priority_id":2,"assigned_to_id":23,"start_date":"2017-06-10","description":"","custom_fields":[{"id":1,"name":"Subdivision","value":"EC"},{"id":4,"name":"Milepost","value":"0.0154"},{"id":17,"name":"Train ID","value":"186-10"},{"id":16,"name":"Locomotive ID","value":"4055"},{"id":130,"name":"Impact","value":""},{"id":150,"name":"Time of Event (Mountain Time)","value":"15:50:50"},{"id":151,"name":"Denver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20"/>
      <c r="AK101" s="47"/>
      <c r="AL101" s="47"/>
      <c r="AM101" s="145" t="str">
        <f t="shared" si="62"/>
        <v>start /low /b %USERPROFILE%\Documents\GitHub\eaglep3\Utilities\DownloadLogsFromS3.py --loco 4055 --day 2017-06-10</v>
      </c>
      <c r="AN101" s="154" t="str">
        <f t="shared" si="63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21:50:50"},{"id":29,"name":"Sharepoint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02" spans="1:91" s="20" customFormat="1" x14ac:dyDescent="0.25">
      <c r="A102" s="32" t="s">
        <v>750</v>
      </c>
      <c r="B102" s="7">
        <v>4002</v>
      </c>
      <c r="C102" s="21" t="s">
        <v>204</v>
      </c>
      <c r="D102" s="21" t="s">
        <v>368</v>
      </c>
      <c r="E102" s="13">
        <v>42896.598379629628</v>
      </c>
      <c r="F102" s="13">
        <v>42896.604583333334</v>
      </c>
      <c r="G102" s="7">
        <v>3</v>
      </c>
      <c r="H102" s="21" t="s">
        <v>554</v>
      </c>
      <c r="I102" s="13">
        <v>42896.629918981482</v>
      </c>
      <c r="J102" s="7">
        <v>0</v>
      </c>
      <c r="K102" s="92" t="str">
        <f t="shared" si="47"/>
        <v>4001/4002</v>
      </c>
      <c r="L102" s="21" t="str">
        <f>VLOOKUP(A102,'Trips&amp;Operators'!$C$1:$G$99999,5,FALSE)</f>
        <v>HOLCOMB KAMDEN</v>
      </c>
      <c r="M102" s="6">
        <f t="shared" si="48"/>
        <v>2.5335648148029577E-2</v>
      </c>
      <c r="N102" s="7">
        <f t="shared" si="65"/>
        <v>36.483333333162591</v>
      </c>
      <c r="O102" s="7"/>
      <c r="P102" s="7"/>
      <c r="Q102" s="22"/>
      <c r="R102" s="173"/>
      <c r="S102" s="176">
        <f t="shared" si="66"/>
        <v>1</v>
      </c>
      <c r="T102" s="202" t="str">
        <f t="shared" si="49"/>
        <v>NorthBound</v>
      </c>
      <c r="U102" s="202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03" t="str">
        <f t="shared" si="50"/>
        <v>https://d0f6bd738d7f1b3e5a7ca70fe4ff75f0.us-east-1.aws.found.io/app/kibana#/discover/Steve-Slow-Train-Analysis-(2080s-and-2083s)?_g=(refreshInterval:(display:Off,pause:!f,section:0,value:0),time:(from:'2017-06-10T13:21:40-0600',mode:absolute,to:'2017-06-10T16:07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2" s="204" t="str">
        <f t="shared" si="51"/>
        <v>N</v>
      </c>
      <c r="X102" s="204">
        <f t="shared" si="52"/>
        <v>1</v>
      </c>
      <c r="Y102" s="204">
        <f t="shared" si="53"/>
        <v>4.5499999999999999E-2</v>
      </c>
      <c r="Z102" s="204">
        <f t="shared" si="64"/>
        <v>23.328600000000002</v>
      </c>
      <c r="AA102" s="204">
        <f t="shared" si="55"/>
        <v>23.283100000000001</v>
      </c>
      <c r="AB102" s="57" t="e">
        <f>VLOOKUP(A102,Enforcements!$C$7:$K$13,8,0)</f>
        <v>#N/A</v>
      </c>
      <c r="AC102" s="53" t="e">
        <f>VLOOKUP(A102,Enforcements!$C$7:$E$13,3,0)</f>
        <v>#N/A</v>
      </c>
      <c r="AD102" s="54" t="str">
        <f t="shared" si="56"/>
        <v>0187-10</v>
      </c>
      <c r="AE102" s="80" t="str">
        <f t="shared" si="57"/>
        <v>aws s3 cp s3://rtdc.mdm.uploadarchive.raw/RTDC4002/ "%USERPROFILE%\AppData\Local\Temp\OnboardLogs"\RTDC4002\2017-06-10 --exclude "*" --recursive --include "*20170610*" &amp; "%USERPROFILE%\Documents\GitHub\mrs-test-scripts\Headless Mode &amp; Sideloading\WalkAndUnGZ.bat" "%USERPROFILE%\AppData\Local\Temp\OnboardLogs"\RTDC4002\2017-06-10 &amp; aws s3 cp s3://rtdc.mdm.uploadarchive.raw/RTDC4002/ "%USERPROFILE%\AppData\Local\Temp\OnboardLogs"\RTDC4002\2017-06-11 --exclude "*" --recursive --include "*20170611*" &amp; "%USERPROFILE%\Documents\GitHub\mrs-test-scripts\Headless Mode &amp; Sideloading\WalkAndUnGZ.bat" "%USERPROFILE%\AppData\Local\Temp\OnboardLogs"\RTDC4002\2017-06-11</v>
      </c>
      <c r="AF102" s="77" t="str">
        <f t="shared" si="58"/>
        <v>"C:\Program Files (x86)\AstroGrep\AstroGrep.exe" /e /r /s /spath="%USERPROFILE%\AppData\Local\Temp\OnboardLogs" /stypes="app*4002*20170610*" /stext=" 21:.+((SYSTEM_STATE.+slice.+state.+changed )|(ment ac)|(multiple cpu faults)|(system.+state.+changed )|(\[timeout)|(PRM\|1\|D)|(kpr)|(kdp)|(train st.+moving)|(\|lc)|(penalty))"</v>
      </c>
      <c r="AG102" s="1" t="str">
        <f t="shared" si="59"/>
        <v>EC</v>
      </c>
      <c r="AH102" s="81" t="str">
        <f t="shared" si="60"/>
        <v>"%USERPROFILE%\Documents\GitHub\eaglep3\Utilities\RefineRTDCRunTimes.py" --tripid 187-10 --locoid 4002 --swversion DE.1.0.9.0 --startMP 204:455 --initTime 2017-06-10T14:21:40 --startdatetime 2017-06-10T14:30:36 --delay 3 --endMP 204:233286 --enddatetime 2017-06-10T15:07:05 --enforcementcount 0 &gt;&gt;C:\Users\stu\Documents\GitHub\eaglep3-reporting\EC\2017-06-10-refined-times.txt</v>
      </c>
      <c r="AI102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{"issue":{"subject":"","project_id":79,"tracker_id":40,"status_id":1,"priority_id":2,"assigned_to_id":23,"start_date":"2017-06-10","description":"","custom_fields":[{"id":1,"name":"Subdivision","value":"EC"},{"id":4,"name":"Milepost","value":"23.3286"},{"id":17,"name":"Train ID","value":"187-10"},{"id":16,"name":"Locomotive ID","value":"4002"},{"id":130,"name":"Impact","value":""},{"id":150,"name":"Time of Event (Mountain Time)","value":"15:07:05"},{"id":151,"name":"Denver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5" t="str">
        <f t="shared" si="62"/>
        <v>start /low /b %USERPROFILE%\Documents\GitHub\eaglep3\Utilities\DownloadLogsFromS3.py --loco 4002 --day 2017-06-10</v>
      </c>
      <c r="AN102" s="154" t="str">
        <f t="shared" si="63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21:07:05"},{"id":29,"name":"Sharepoint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596</v>
      </c>
      <c r="B103" s="7">
        <v>4001</v>
      </c>
      <c r="C103" s="21" t="s">
        <v>204</v>
      </c>
      <c r="D103" s="21" t="s">
        <v>521</v>
      </c>
      <c r="E103" s="13">
        <v>42896.639930555553</v>
      </c>
      <c r="F103" s="13">
        <v>42896.644074074073</v>
      </c>
      <c r="G103" s="7">
        <v>1</v>
      </c>
      <c r="H103" s="21" t="s">
        <v>352</v>
      </c>
      <c r="I103" s="13">
        <v>42896.671261574076</v>
      </c>
      <c r="J103" s="7">
        <v>0</v>
      </c>
      <c r="K103" s="92" t="str">
        <f t="shared" si="47"/>
        <v>4001/4002</v>
      </c>
      <c r="L103" s="21" t="str">
        <f>VLOOKUP(A103,'Trips&amp;Operators'!$C$1:$G$99999,5,FALSE)</f>
        <v>HOLCOMB KAMDEN</v>
      </c>
      <c r="M103" s="6">
        <f t="shared" si="48"/>
        <v>2.718750000349246E-2</v>
      </c>
      <c r="N103" s="7">
        <f t="shared" si="65"/>
        <v>39.150000005029142</v>
      </c>
      <c r="O103" s="7"/>
      <c r="P103" s="7"/>
      <c r="Q103" s="22"/>
      <c r="R103" s="173"/>
      <c r="S103" s="176">
        <f t="shared" si="66"/>
        <v>1</v>
      </c>
      <c r="T103" s="202" t="str">
        <f t="shared" si="49"/>
        <v>Southbound</v>
      </c>
      <c r="U103" s="202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03" t="str">
        <f t="shared" si="50"/>
        <v>https://d0f6bd738d7f1b3e5a7ca70fe4ff75f0.us-east-1.aws.found.io/app/kibana#/discover/Steve-Slow-Train-Analysis-(2080s-and-2083s)?_g=(refreshInterval:(display:Off,pause:!f,section:0,value:0),time:(from:'2017-06-10T14:21:30-0600',mode:absolute,to:'2017-06-10T17:06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3" s="204" t="str">
        <f t="shared" si="51"/>
        <v>N</v>
      </c>
      <c r="X103" s="204">
        <f t="shared" si="52"/>
        <v>1</v>
      </c>
      <c r="Y103" s="204">
        <f t="shared" si="53"/>
        <v>23.296900000000001</v>
      </c>
      <c r="Z103" s="204">
        <f t="shared" si="64"/>
        <v>1.4999999999999999E-2</v>
      </c>
      <c r="AA103" s="204">
        <f t="shared" si="55"/>
        <v>23.2819</v>
      </c>
      <c r="AB103" s="57" t="str">
        <f>VLOOKUP(A103,Enforcements!$C$7:$K$13,8,0)</f>
        <v>Bulletin (2)</v>
      </c>
      <c r="AC103" s="53" t="str">
        <f>VLOOKUP(A103,Enforcements!$C$7:$E$13,3,0)</f>
        <v>GRADE CROSSING</v>
      </c>
      <c r="AD103" s="54" t="str">
        <f t="shared" si="56"/>
        <v>0188-10</v>
      </c>
      <c r="AE103" s="80" t="str">
        <f t="shared" si="57"/>
        <v>aws s3 cp s3://rtdc.mdm.uploadarchive.raw/RTDC4001/ "%USERPROFILE%\AppData\Local\Temp\OnboardLogs"\RTDC4001\2017-06-10 --exclude "*" --recursive --include "*20170610*" &amp; "%USERPROFILE%\Documents\GitHub\mrs-test-scripts\Headless Mode &amp; Sideloading\WalkAndUnGZ.bat" "%USERPROFILE%\AppData\Local\Temp\OnboardLogs"\RTDC4001\2017-06-10 &amp; aws s3 cp s3://rtdc.mdm.uploadarchive.raw/RTDC4001/ "%USERPROFILE%\AppData\Local\Temp\OnboardLogs"\RTDC4001\2017-06-11 --exclude "*" --recursive --include "*20170611*" &amp; "%USERPROFILE%\Documents\GitHub\mrs-test-scripts\Headless Mode &amp; Sideloading\WalkAndUnGZ.bat" "%USERPROFILE%\AppData\Local\Temp\OnboardLogs"\RTDC4001\2017-06-11</v>
      </c>
      <c r="AF103" s="77" t="str">
        <f t="shared" si="58"/>
        <v>"C:\Program Files (x86)\AstroGrep\AstroGrep.exe" /e /r /s /spath="%USERPROFILE%\AppData\Local\Temp\OnboardLogs" /stypes="app*4001*20170610*" /stext=" 22:.+((SYSTEM_STATE.+slice.+state.+changed )|(ment ac)|(multiple cpu faults)|(system.+state.+changed )|(\[timeout)|(PRM\|1\|D)|(kpr)|(kdp)|(train st.+moving)|(\|lc)|(penalty))"</v>
      </c>
      <c r="AG103" s="1" t="str">
        <f t="shared" si="59"/>
        <v>EC</v>
      </c>
      <c r="AH103" s="81" t="str">
        <f t="shared" si="60"/>
        <v>"%USERPROFILE%\Documents\GitHub\eaglep3\Utilities\RefineRTDCRunTimes.py" --tripid 188-10 --locoid 4001 --swversion DE.1.0.9.0 --startMP 204:232969 --initTime 2017-06-10T15:21:30 --startdatetime 2017-06-10T15:27:28 --delay 1 --endMP 204:150 --enddatetime 2017-06-10T16:06:37 --enforcementcount 0 &gt;&gt;C:\Users\stu\Documents\GitHub\eaglep3-reporting\EC\2017-06-10-refined-times.txt</v>
      </c>
      <c r="AI103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{"issue":{"subject":"","project_id":79,"tracker_id":40,"status_id":1,"priority_id":2,"assigned_to_id":23,"start_date":"2017-06-10","description":"","custom_fields":[{"id":1,"name":"Subdivision","value":"EC"},{"id":4,"name":"Milepost","value":"0.015"},{"id":17,"name":"Train ID","value":"188-10"},{"id":16,"name":"Locomotive ID","value":"4001"},{"id":130,"name":"Impact","value":""},{"id":150,"name":"Time of Event (Mountain Time)","value":"16:06:37"},{"id":151,"name":"Denver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5" t="str">
        <f t="shared" si="62"/>
        <v>start /low /b %USERPROFILE%\Documents\GitHub\eaglep3\Utilities\DownloadLogsFromS3.py --loco 4001 --day 2017-06-10</v>
      </c>
      <c r="AN103" s="154" t="str">
        <f t="shared" si="63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22:06:37"},{"id":29,"name":"Sharepoint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593</v>
      </c>
      <c r="B104" s="7">
        <v>4022</v>
      </c>
      <c r="C104" s="21" t="s">
        <v>204</v>
      </c>
      <c r="D104" s="21" t="s">
        <v>201</v>
      </c>
      <c r="E104" s="13">
        <v>42896.613842592589</v>
      </c>
      <c r="F104" s="13">
        <v>42896.614837962959</v>
      </c>
      <c r="G104" s="7">
        <v>1</v>
      </c>
      <c r="H104" s="21" t="s">
        <v>918</v>
      </c>
      <c r="I104" s="13">
        <v>42896.624525462961</v>
      </c>
      <c r="J104" s="7">
        <v>1</v>
      </c>
      <c r="K104" s="92" t="str">
        <f t="shared" si="47"/>
        <v>4021/4022</v>
      </c>
      <c r="L104" s="21" t="str">
        <f>VLOOKUP(A104,'Trips&amp;Operators'!$C$1:$G$99999,5,FALSE)</f>
        <v>DAVIS MICHAEL</v>
      </c>
      <c r="M104" s="6">
        <f t="shared" si="48"/>
        <v>9.6875000017462298E-3</v>
      </c>
      <c r="N104" s="7"/>
      <c r="O104" s="7"/>
      <c r="P104" s="7">
        <f>24*60*SUM($M104:$M105)</f>
        <v>41.099999999860302</v>
      </c>
      <c r="Q104" s="22"/>
      <c r="R104" s="173" t="s">
        <v>1033</v>
      </c>
      <c r="S104" s="176">
        <f>SUM(U104:U105)/IF(AG104="EC",12,1)</f>
        <v>0.58333333333333337</v>
      </c>
      <c r="T104" s="202" t="str">
        <f t="shared" si="49"/>
        <v>NorthBound</v>
      </c>
      <c r="U104" s="202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4</v>
      </c>
      <c r="V104" s="203" t="str">
        <f t="shared" si="50"/>
        <v>https://d0f6bd738d7f1b3e5a7ca70fe4ff75f0.us-east-1.aws.found.io/app/kibana#/discover/Steve-Slow-Train-Analysis-(2080s-and-2083s)?_g=(refreshInterval:(display:Off,pause:!f,section:0,value:0),time:(from:'2017-06-10T13:43:56-0600',mode:absolute,to:'2017-06-10T15:59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04" s="204" t="str">
        <f t="shared" si="51"/>
        <v>Y</v>
      </c>
      <c r="X104" s="204">
        <f t="shared" si="52"/>
        <v>1</v>
      </c>
      <c r="Y104" s="204">
        <f t="shared" si="53"/>
        <v>4.5999999999999999E-2</v>
      </c>
      <c r="Z104" s="204">
        <f t="shared" si="64"/>
        <v>4.5526999999999997</v>
      </c>
      <c r="AA104" s="204">
        <f t="shared" si="55"/>
        <v>4.5066999999999995</v>
      </c>
      <c r="AB104" s="57" t="e">
        <f>VLOOKUP(A104,Enforcements!$C$7:$K$13,8,0)</f>
        <v>#N/A</v>
      </c>
      <c r="AC104" s="53" t="e">
        <f>VLOOKUP(A104,Enforcements!$C$7:$E$13,3,0)</f>
        <v>#N/A</v>
      </c>
      <c r="AD104" s="54" t="str">
        <f t="shared" si="56"/>
        <v>0189-10</v>
      </c>
      <c r="AE104" s="80" t="str">
        <f t="shared" si="57"/>
        <v>aws s3 cp s3://rtdc.mdm.uploadarchive.raw/RTDC4022/ "%USERPROFILE%\AppData\Local\Temp\OnboardLogs"\RTDC4022\2017-06-10 --exclude "*" --recursive --include "*20170610*" &amp; "%USERPROFILE%\Documents\GitHub\mrs-test-scripts\Headless Mode &amp; Sideloading\WalkAndUnGZ.bat" "%USERPROFILE%\AppData\Local\Temp\OnboardLogs"\RTDC4022\2017-06-10 &amp; aws s3 cp s3://rtdc.mdm.uploadarchive.raw/RTDC4022/ "%USERPROFILE%\AppData\Local\Temp\OnboardLogs"\RTDC4022\2017-06-11 --exclude "*" --recursive --include "*20170611*" &amp; "%USERPROFILE%\Documents\GitHub\mrs-test-scripts\Headless Mode &amp; Sideloading\WalkAndUnGZ.bat" "%USERPROFILE%\AppData\Local\Temp\OnboardLogs"\RTDC4022\2017-06-11</v>
      </c>
      <c r="AF104" s="77" t="str">
        <f t="shared" si="58"/>
        <v>"C:\Program Files (x86)\AstroGrep\AstroGrep.exe" /e /r /s /spath="%USERPROFILE%\AppData\Local\Temp\OnboardLogs" /stypes="app*4022*20170610*" /stext=" 20:.+((SYSTEM_STATE.+slice.+state.+changed )|(ment ac)|(multiple cpu faults)|(system.+state.+changed )|(\[timeout)|(PRM\|1\|D)|(kpr)|(kdp)|(train st.+moving)|(\|lc)|(penalty))"</v>
      </c>
      <c r="AG104" s="1" t="str">
        <f t="shared" si="59"/>
        <v>EC</v>
      </c>
      <c r="AH104" s="81" t="str">
        <f t="shared" si="60"/>
        <v>"%USERPROFILE%\Documents\GitHub\eaglep3\Utilities\RefineRTDCRunTimes.py" --tripid 189-10 --locoid 4022 --swversion DE.1.0.9.0 --startMP 204:460 --initTime 2017-06-10T14:43:56 --startdatetime 2017-06-10T14:45:22 --delay 1 --endMP 204:45527 --enddatetime 2017-06-10T14:59:19 --enforcementcount 1 &gt;&gt;C:\Users\stu\Documents\GitHub\eaglep3-reporting\EC\2017-06-10-refined-times.txt</v>
      </c>
      <c r="AI104" s="99" t="str">
        <f t="shared" si="61"/>
        <v>echo {"issue":{"subject":"EC0508 ELXS failure","project_id":79,"tracker_id":40,"status_id":1,"priority_id":2,"assigned_to_id":23,"start_date":"2017-06-10","description":"EC0508 dropped offline from 14:56:44 - 14:59:18; do logs tell us for any reason?","custom_fields":[{"id":1,"name":"Subdivision","value":"EC"},{"id":4,"name":"Milepost","value":"4.5527"},{"id":17,"name":"Train ID","value":"189-10"},{"id":16,"name":"Locomotive ID","value":"4022"},{"id":130,"name":"Impact","value":"Enforcement"},{"id":150,"name":"Time of Event (Mountain Time)","value":"14:59:19"},{"id":151,"name":"Denver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04" s="20" t="s">
        <v>1034</v>
      </c>
      <c r="AK104" s="47" t="s">
        <v>122</v>
      </c>
      <c r="AL104" s="47" t="s">
        <v>127</v>
      </c>
      <c r="AM104" s="145" t="str">
        <f t="shared" si="62"/>
        <v>start /low /b %USERPROFILE%\Documents\GitHub\eaglep3\Utilities\DownloadLogsFromS3.py --loco 4022 --day 2017-06-10</v>
      </c>
      <c r="AN104" s="154" t="str">
        <f t="shared" si="63"/>
        <v>echo {"issue":{"subject":"EC0508 ELXS failure","project_id":30,"tracker_id":4,"status_id":1,"priority_id":1,"assigned_to_id":10,"start_date":"2017-06-10","description":"EC0508 dropped offline from 14:56:44 - 14:59:18; do logs tell us for any reason?","custom_fields":[{"id":30,"name":"Category","value":"Issue"},{"id":3,"name":"Functional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20:59:19"},{"id":29,"name":"Sharepoint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593</v>
      </c>
      <c r="B105" s="7">
        <v>4022</v>
      </c>
      <c r="C105" s="21" t="s">
        <v>204</v>
      </c>
      <c r="D105" s="21" t="s">
        <v>919</v>
      </c>
      <c r="E105" s="13">
        <v>42896.629629629628</v>
      </c>
      <c r="F105" s="13">
        <v>42896.630439814813</v>
      </c>
      <c r="G105" s="7">
        <v>1</v>
      </c>
      <c r="H105" s="21" t="s">
        <v>920</v>
      </c>
      <c r="I105" s="13">
        <v>42896.649293981478</v>
      </c>
      <c r="J105" s="7">
        <v>0</v>
      </c>
      <c r="K105" s="92" t="str">
        <f t="shared" si="47"/>
        <v>4021/4022</v>
      </c>
      <c r="L105" s="21" t="str">
        <f>VLOOKUP(A105,'Trips&amp;Operators'!$C$1:$G$99999,5,FALSE)</f>
        <v>DAVIS MICHAEL</v>
      </c>
      <c r="M105" s="6">
        <f t="shared" si="48"/>
        <v>1.8854166664823424E-2</v>
      </c>
      <c r="N105" s="7"/>
      <c r="O105" s="7"/>
      <c r="P105" s="7"/>
      <c r="Q105" s="22"/>
      <c r="R105" s="173"/>
      <c r="S105" s="176"/>
      <c r="T105" s="202" t="str">
        <f t="shared" si="49"/>
        <v>NorthBound</v>
      </c>
      <c r="U105" s="202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3</v>
      </c>
      <c r="V105" s="203" t="str">
        <f t="shared" si="50"/>
        <v>https://d0f6bd738d7f1b3e5a7ca70fe4ff75f0.us-east-1.aws.found.io/app/kibana#/discover/Steve-Slow-Train-Analysis-(2080s-and-2083s)?_g=(refreshInterval:(display:Off,pause:!f,section:0,value:0),time:(from:'2017-06-10T14:06:40-0600',mode:absolute,to:'2017-06-10T16:34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05" s="204" t="str">
        <f t="shared" si="51"/>
        <v>Y</v>
      </c>
      <c r="X105" s="204">
        <f t="shared" si="52"/>
        <v>0</v>
      </c>
      <c r="Y105" s="204">
        <f t="shared" si="53"/>
        <v>6.4675000000000002</v>
      </c>
      <c r="Z105" s="204">
        <f t="shared" si="64"/>
        <v>23.337</v>
      </c>
      <c r="AA105" s="204">
        <f t="shared" si="55"/>
        <v>16.869499999999999</v>
      </c>
      <c r="AB105" s="57" t="e">
        <f>VLOOKUP(A105,Enforcements!$C$7:$K$13,8,0)</f>
        <v>#N/A</v>
      </c>
      <c r="AC105" s="53" t="e">
        <f>VLOOKUP(A105,Enforcements!$C$7:$E$13,3,0)</f>
        <v>#N/A</v>
      </c>
      <c r="AD105" s="54" t="str">
        <f t="shared" si="56"/>
        <v>0189-10</v>
      </c>
      <c r="AE105" s="80" t="str">
        <f t="shared" si="57"/>
        <v>aws s3 cp s3://rtdc.mdm.uploadarchive.raw/RTDC4022/ "%USERPROFILE%\AppData\Local\Temp\OnboardLogs"\RTDC4022\2017-06-10 --exclude "*" --recursive --include "*20170610*" &amp; "%USERPROFILE%\Documents\GitHub\mrs-test-scripts\Headless Mode &amp; Sideloading\WalkAndUnGZ.bat" "%USERPROFILE%\AppData\Local\Temp\OnboardLogs"\RTDC4022\2017-06-10 &amp; aws s3 cp s3://rtdc.mdm.uploadarchive.raw/RTDC4022/ "%USERPROFILE%\AppData\Local\Temp\OnboardLogs"\RTDC4022\2017-06-11 --exclude "*" --recursive --include "*20170611*" &amp; "%USERPROFILE%\Documents\GitHub\mrs-test-scripts\Headless Mode &amp; Sideloading\WalkAndUnGZ.bat" "%USERPROFILE%\AppData\Local\Temp\OnboardLogs"\RTDC4022\2017-06-11</v>
      </c>
      <c r="AF105" s="77" t="str">
        <f t="shared" si="58"/>
        <v>"C:\Program Files (x86)\AstroGrep\AstroGrep.exe" /e /r /s /spath="%USERPROFILE%\AppData\Local\Temp\OnboardLogs" /stypes="app*4022*20170610*" /stext=" 21:.+((SYSTEM_STATE.+slice.+state.+changed )|(ment ac)|(multiple cpu faults)|(system.+state.+changed )|(\[timeout)|(PRM\|1\|D)|(kpr)|(kdp)|(train st.+moving)|(\|lc)|(penalty))"</v>
      </c>
      <c r="AG105" s="1" t="str">
        <f t="shared" si="59"/>
        <v>EC</v>
      </c>
      <c r="AH105" s="81" t="str">
        <f t="shared" si="60"/>
        <v>"%USERPROFILE%\Documents\GitHub\eaglep3\Utilities\RefineRTDCRunTimes.py" --tripid 189-10 --locoid 4022 --swversion DE.1.0.9.0 --startMP 204:64675 --initTime 2017-06-10T15:06:40 --startdatetime 2017-06-10T15:07:50 --delay 1 --endMP 204:233370 --enddatetime 2017-06-10T15:34:59 --enforcementcount 0 &gt;&gt;C:\Users\stu\Documents\GitHub\eaglep3-reporting\EC\2017-06-10-refined-times.txt</v>
      </c>
      <c r="AI105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{"issue":{"subject":"","project_id":79,"tracker_id":40,"status_id":1,"priority_id":2,"assigned_to_id":23,"start_date":"2017-06-10","description":"","custom_fields":[{"id":1,"name":"Subdivision","value":"EC"},{"id":4,"name":"Milepost","value":"23.337"},{"id":17,"name":"Train ID","value":"189-10"},{"id":16,"name":"Locomotive ID","value":"4022"},{"id":130,"name":"Impact","value":""},{"id":150,"name":"Time of Event (Mountain Time)","value":"15:34:59"},{"id":151,"name":"Denver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5" t="str">
        <f t="shared" si="62"/>
        <v>start /low /b %USERPROFILE%\Documents\GitHub\eaglep3\Utilities\DownloadLogsFromS3.py --loco 4022 --day 2017-06-10</v>
      </c>
      <c r="AN105" s="154" t="str">
        <f t="shared" si="63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21:34:59"},{"id":29,"name":"Sharepoint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758</v>
      </c>
      <c r="B106" s="7">
        <v>4021</v>
      </c>
      <c r="C106" s="21" t="s">
        <v>204</v>
      </c>
      <c r="D106" s="21" t="s">
        <v>548</v>
      </c>
      <c r="E106" s="13">
        <v>42896.653298611112</v>
      </c>
      <c r="F106" s="13">
        <v>42896.655266203707</v>
      </c>
      <c r="G106" s="7">
        <v>1</v>
      </c>
      <c r="H106" s="21" t="s">
        <v>195</v>
      </c>
      <c r="I106" s="13">
        <v>42896.683495370373</v>
      </c>
      <c r="J106" s="7">
        <v>0</v>
      </c>
      <c r="K106" s="92" t="str">
        <f t="shared" si="47"/>
        <v>4021/4022</v>
      </c>
      <c r="L106" s="21" t="str">
        <f>VLOOKUP(A106,'Trips&amp;Operators'!$C$1:$G$99999,5,FALSE)</f>
        <v>DAVIS MICHAEL</v>
      </c>
      <c r="M106" s="6">
        <f t="shared" si="48"/>
        <v>2.8229166666278616E-2</v>
      </c>
      <c r="N106" s="7">
        <f>24*60*SUM($M106:$M106)</f>
        <v>40.649999999441206</v>
      </c>
      <c r="O106" s="7"/>
      <c r="P106" s="7"/>
      <c r="Q106" s="22"/>
      <c r="R106" s="173"/>
      <c r="S106" s="176">
        <f>SUM(U106:U106)/IF(AG106="EC",12,1)</f>
        <v>1</v>
      </c>
      <c r="T106" s="202" t="str">
        <f t="shared" si="49"/>
        <v>Southbound</v>
      </c>
      <c r="U106" s="202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03" t="str">
        <f t="shared" si="50"/>
        <v>https://d0f6bd738d7f1b3e5a7ca70fe4ff75f0.us-east-1.aws.found.io/app/kibana#/discover/Steve-Slow-Train-Analysis-(2080s-and-2083s)?_g=(refreshInterval:(display:Off,pause:!f,section:0,value:0),time:(from:'2017-06-10T14:40:45-0600',mode:absolute,to:'2017-06-10T17:24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06" s="204" t="str">
        <f t="shared" si="51"/>
        <v>N</v>
      </c>
      <c r="X106" s="204">
        <f t="shared" si="52"/>
        <v>1</v>
      </c>
      <c r="Y106" s="204">
        <f t="shared" si="53"/>
        <v>23.299800000000001</v>
      </c>
      <c r="Z106" s="204">
        <f t="shared" si="64"/>
        <v>1.52E-2</v>
      </c>
      <c r="AA106" s="204">
        <f t="shared" si="55"/>
        <v>23.284600000000001</v>
      </c>
      <c r="AB106" s="57" t="e">
        <f>VLOOKUP(A106,Enforcements!$C$7:$K$13,8,0)</f>
        <v>#N/A</v>
      </c>
      <c r="AC106" s="53" t="e">
        <f>VLOOKUP(A106,Enforcements!$C$7:$E$13,3,0)</f>
        <v>#N/A</v>
      </c>
      <c r="AD106" s="54" t="str">
        <f t="shared" si="56"/>
        <v>0190-10</v>
      </c>
      <c r="AE106" s="80" t="str">
        <f t="shared" si="57"/>
        <v>aws s3 cp s3://rtdc.mdm.uploadarchive.raw/RTDC4021/ "%USERPROFILE%\AppData\Local\Temp\OnboardLogs"\RTDC4021\2017-06-10 --exclude "*" --recursive --include "*20170610*" &amp; "%USERPROFILE%\Documents\GitHub\mrs-test-scripts\Headless Mode &amp; Sideloading\WalkAndUnGZ.bat" "%USERPROFILE%\AppData\Local\Temp\OnboardLogs"\RTDC4021\2017-06-10 &amp; aws s3 cp s3://rtdc.mdm.uploadarchive.raw/RTDC4021/ "%USERPROFILE%\AppData\Local\Temp\OnboardLogs"\RTDC4021\2017-06-11 --exclude "*" --recursive --include "*20170611*" &amp; "%USERPROFILE%\Documents\GitHub\mrs-test-scripts\Headless Mode &amp; Sideloading\WalkAndUnGZ.bat" "%USERPROFILE%\AppData\Local\Temp\OnboardLogs"\RTDC4021\2017-06-11</v>
      </c>
      <c r="AF106" s="77" t="str">
        <f t="shared" si="58"/>
        <v>"C:\Program Files (x86)\AstroGrep\AstroGrep.exe" /e /r /s /spath="%USERPROFILE%\AppData\Local\Temp\OnboardLogs" /stypes="app*4021*20170610*" /stext=" 22:.+((SYSTEM_STATE.+slice.+state.+changed )|(ment ac)|(multiple cpu faults)|(system.+state.+changed )|(\[timeout)|(PRM\|1\|D)|(kpr)|(kdp)|(train st.+moving)|(\|lc)|(penalty))"</v>
      </c>
      <c r="AG106" s="1" t="str">
        <f t="shared" si="59"/>
        <v>EC</v>
      </c>
      <c r="AH106" s="81" t="str">
        <f t="shared" si="60"/>
        <v>"%USERPROFILE%\Documents\GitHub\eaglep3\Utilities\RefineRTDCRunTimes.py" --tripid 190-10 --locoid 4021 --swversion DE.1.0.9.0 --startMP 204:232998 --initTime 2017-06-10T15:40:45 --startdatetime 2017-06-10T15:43:35 --delay 1 --endMP 204:152 --enddatetime 2017-06-10T16:24:14 --enforcementcount 0 &gt;&gt;C:\Users\stu\Documents\GitHub\eaglep3-reporting\EC\2017-06-10-refined-times.txt</v>
      </c>
      <c r="AI106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{"issue":{"subject":"","project_id":79,"tracker_id":40,"status_id":1,"priority_id":2,"assigned_to_id":23,"start_date":"2017-06-10","description":"","custom_fields":[{"id":1,"name":"Subdivision","value":"EC"},{"id":4,"name":"Milepost","value":"0.0152"},{"id":17,"name":"Train ID","value":"190-10"},{"id":16,"name":"Locomotive ID","value":"4021"},{"id":130,"name":"Impact","value":""},{"id":150,"name":"Time of Event (Mountain Time)","value":"16:24:14"},{"id":151,"name":"Denver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5" t="str">
        <f t="shared" si="62"/>
        <v>start /low /b %USERPROFILE%\Documents\GitHub\eaglep3\Utilities\DownloadLogsFromS3.py --loco 4021 --day 2017-06-10</v>
      </c>
      <c r="AN106" s="154" t="str">
        <f t="shared" si="63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22:24:14"},{"id":29,"name":"Sharepoint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x14ac:dyDescent="0.25">
      <c r="A107" s="32" t="s">
        <v>595</v>
      </c>
      <c r="B107" s="7">
        <v>4028</v>
      </c>
      <c r="C107" s="21" t="s">
        <v>204</v>
      </c>
      <c r="D107" s="21" t="s">
        <v>473</v>
      </c>
      <c r="E107" s="13">
        <v>42896.623402777775</v>
      </c>
      <c r="F107" s="13">
        <v>42896.625254629631</v>
      </c>
      <c r="G107" s="7">
        <v>1</v>
      </c>
      <c r="H107" s="21" t="s">
        <v>926</v>
      </c>
      <c r="I107" s="13">
        <v>42896.653043981481</v>
      </c>
      <c r="J107" s="7">
        <v>0</v>
      </c>
      <c r="K107" s="92" t="str">
        <f t="shared" si="47"/>
        <v>4027/4028</v>
      </c>
      <c r="L107" s="21" t="str">
        <f>VLOOKUP(A107,'Trips&amp;Operators'!$C$1:$G$99999,5,FALSE)</f>
        <v>BRANDNER MELINDA</v>
      </c>
      <c r="M107" s="6">
        <f t="shared" si="48"/>
        <v>2.7789351850515231E-2</v>
      </c>
      <c r="N107" s="7">
        <f>24*60*SUM($M107:$M107)</f>
        <v>40.016666664741933</v>
      </c>
      <c r="O107" s="7"/>
      <c r="P107" s="7"/>
      <c r="Q107" s="22"/>
      <c r="R107" s="173"/>
      <c r="S107" s="176">
        <f>SUM(U107:U107)/IF(AG107="EC",12,1)</f>
        <v>1</v>
      </c>
      <c r="T107" s="202" t="str">
        <f t="shared" si="49"/>
        <v>NorthBound</v>
      </c>
      <c r="U107" s="202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03" t="str">
        <f t="shared" si="50"/>
        <v>https://d0f6bd738d7f1b3e5a7ca70fe4ff75f0.us-east-1.aws.found.io/app/kibana#/discover/Steve-Slow-Train-Analysis-(2080s-and-2083s)?_g=(refreshInterval:(display:Off,pause:!f,section:0,value:0),time:(from:'2017-06-10T13:57:42-0600',mode:absolute,to:'2017-06-10T16:40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7" s="204" t="str">
        <f t="shared" si="51"/>
        <v>N</v>
      </c>
      <c r="X107" s="204">
        <f t="shared" si="52"/>
        <v>1</v>
      </c>
      <c r="Y107" s="204">
        <f t="shared" si="53"/>
        <v>4.3700000000000003E-2</v>
      </c>
      <c r="Z107" s="204">
        <f t="shared" si="64"/>
        <v>23.340499999999999</v>
      </c>
      <c r="AA107" s="204">
        <f t="shared" si="55"/>
        <v>23.296799999999998</v>
      </c>
      <c r="AB107" s="57" t="e">
        <f>VLOOKUP(A107,Enforcements!$C$7:$K$13,8,0)</f>
        <v>#N/A</v>
      </c>
      <c r="AC107" s="53" t="e">
        <f>VLOOKUP(A107,Enforcements!$C$7:$E$13,3,0)</f>
        <v>#N/A</v>
      </c>
      <c r="AD107" s="54" t="str">
        <f t="shared" si="56"/>
        <v>0191-10</v>
      </c>
      <c r="AE107" s="80" t="str">
        <f t="shared" si="57"/>
        <v>aws s3 cp s3://rtdc.mdm.uploadarchive.raw/RTDC4028/ "%USERPROFILE%\AppData\Local\Temp\OnboardLogs"\RTDC4028\2017-06-10 --exclude "*" --recursive --include "*20170610*" &amp; "%USERPROFILE%\Documents\GitHub\mrs-test-scripts\Headless Mode &amp; Sideloading\WalkAndUnGZ.bat" "%USERPROFILE%\AppData\Local\Temp\OnboardLogs"\RTDC4028\2017-06-10 &amp; aws s3 cp s3://rtdc.mdm.uploadarchive.raw/RTDC4028/ "%USERPROFILE%\AppData\Local\Temp\OnboardLogs"\RTDC4028\2017-06-11 --exclude "*" --recursive --include "*20170611*" &amp; "%USERPROFILE%\Documents\GitHub\mrs-test-scripts\Headless Mode &amp; Sideloading\WalkAndUnGZ.bat" "%USERPROFILE%\AppData\Local\Temp\OnboardLogs"\RTDC4028\2017-06-11</v>
      </c>
      <c r="AF107" s="77" t="str">
        <f t="shared" si="58"/>
        <v>"C:\Program Files (x86)\AstroGrep\AstroGrep.exe" /e /r /s /spath="%USERPROFILE%\AppData\Local\Temp\OnboardLogs" /stypes="app*4028*20170610*" /stext=" 21:.+((SYSTEM_STATE.+slice.+state.+changed )|(ment ac)|(multiple cpu faults)|(system.+state.+changed )|(\[timeout)|(PRM\|1\|D)|(kpr)|(kdp)|(train st.+moving)|(\|lc)|(penalty))"</v>
      </c>
      <c r="AG107" s="1" t="str">
        <f t="shared" si="59"/>
        <v>EC</v>
      </c>
      <c r="AH107" s="81" t="str">
        <f t="shared" si="60"/>
        <v>"%USERPROFILE%\Documents\GitHub\eaglep3\Utilities\RefineRTDCRunTimes.py" --tripid 191-10 --locoid 4028 --swversion DE.1.0.9.0 --startMP 204:437 --initTime 2017-06-10T14:57:42 --startdatetime 2017-06-10T15:00:22 --delay 1 --endMP 204:233405 --enddatetime 2017-06-10T15:40:23 --enforcementcount 0 &gt;&gt;C:\Users\stu\Documents\GitHub\eaglep3-reporting\EC\2017-06-10-refined-times.txt</v>
      </c>
      <c r="AI107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{"issue":{"subject":"","project_id":79,"tracker_id":40,"status_id":1,"priority_id":2,"assigned_to_id":23,"start_date":"2017-06-10","description":"","custom_fields":[{"id":1,"name":"Subdivision","value":"EC"},{"id":4,"name":"Milepost","value":"23.3405"},{"id":17,"name":"Train ID","value":"191-10"},{"id":16,"name":"Locomotive ID","value":"4028"},{"id":130,"name":"Impact","value":""},{"id":150,"name":"Time of Event (Mountain Time)","value":"15:40:23"},{"id":151,"name":"Denver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20"/>
      <c r="AK107" s="47"/>
      <c r="AL107" s="47"/>
      <c r="AM107" s="145" t="str">
        <f t="shared" si="62"/>
        <v>start /low /b %USERPROFILE%\Documents\GitHub\eaglep3\Utilities\DownloadLogsFromS3.py --loco 4028 --day 2017-06-10</v>
      </c>
      <c r="AN107" s="154" t="str">
        <f t="shared" si="63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21:40:23"},{"id":29,"name":"Sharepoint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08" spans="1:91" s="20" customFormat="1" x14ac:dyDescent="0.25">
      <c r="A108" s="32" t="s">
        <v>598</v>
      </c>
      <c r="B108" s="7">
        <v>4027</v>
      </c>
      <c r="C108" s="21" t="s">
        <v>204</v>
      </c>
      <c r="D108" s="21" t="s">
        <v>927</v>
      </c>
      <c r="E108" s="13">
        <v>42896.664212962962</v>
      </c>
      <c r="F108" s="13">
        <v>42896.665162037039</v>
      </c>
      <c r="G108" s="7">
        <v>1</v>
      </c>
      <c r="H108" s="21" t="s">
        <v>928</v>
      </c>
      <c r="I108" s="13">
        <v>42896.681319444448</v>
      </c>
      <c r="J108" s="7">
        <v>2</v>
      </c>
      <c r="K108" s="92" t="str">
        <f t="shared" si="47"/>
        <v>4027/4028</v>
      </c>
      <c r="L108" s="21" t="str">
        <f>VLOOKUP(A108,'Trips&amp;Operators'!$C$1:$G$99999,5,FALSE)</f>
        <v>BRANDNER MELINDA</v>
      </c>
      <c r="M108" s="6">
        <f t="shared" si="48"/>
        <v>1.615740740817273E-2</v>
      </c>
      <c r="N108" s="7"/>
      <c r="O108" s="7"/>
      <c r="P108" s="7">
        <f>24*60*SUM($M108:$M109)</f>
        <v>35.200000003678724</v>
      </c>
      <c r="Q108" s="22"/>
      <c r="R108" s="173" t="s">
        <v>1035</v>
      </c>
      <c r="S108" s="176">
        <f>SUM(U108:U109)/IF(AG108="EC",12,1)</f>
        <v>0.5</v>
      </c>
      <c r="T108" s="202" t="str">
        <f t="shared" si="49"/>
        <v>Southbound</v>
      </c>
      <c r="U108" s="202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3</v>
      </c>
      <c r="V108" s="203" t="str">
        <f t="shared" si="50"/>
        <v>https://d0f6bd738d7f1b3e5a7ca70fe4ff75f0.us-east-1.aws.found.io/app/kibana#/discover/Steve-Slow-Train-Analysis-(2080s-and-2083s)?_g=(refreshInterval:(display:Off,pause:!f,section:0,value:0),time:(from:'2017-06-10T14:56:28-0600',mode:absolute,to:'2017-06-10T17:21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8" s="204" t="str">
        <f t="shared" si="51"/>
        <v>Y</v>
      </c>
      <c r="X108" s="204">
        <f t="shared" si="52"/>
        <v>1</v>
      </c>
      <c r="Y108" s="204">
        <f t="shared" si="53"/>
        <v>23.308</v>
      </c>
      <c r="Z108" s="204">
        <f t="shared" si="64"/>
        <v>6.6950000000000003</v>
      </c>
      <c r="AA108" s="204">
        <f t="shared" si="55"/>
        <v>16.613</v>
      </c>
      <c r="AB108" s="57" t="e">
        <f>VLOOKUP(A108,Enforcements!$C$7:$K$13,8,0)</f>
        <v>#N/A</v>
      </c>
      <c r="AC108" s="53" t="e">
        <f>VLOOKUP(A108,Enforcements!$C$7:$E$13,3,0)</f>
        <v>#N/A</v>
      </c>
      <c r="AD108" s="54" t="str">
        <f t="shared" si="56"/>
        <v>0192-10</v>
      </c>
      <c r="AE108" s="80" t="str">
        <f t="shared" si="57"/>
        <v>aws s3 cp s3://rtdc.mdm.uploadarchive.raw/RTDC4027/ "%USERPROFILE%\AppData\Local\Temp\OnboardLogs"\RTDC4027\2017-06-10 --exclude "*" --recursive --include "*20170610*" &amp; "%USERPROFILE%\Documents\GitHub\mrs-test-scripts\Headless Mode &amp; Sideloading\WalkAndUnGZ.bat" "%USERPROFILE%\AppData\Local\Temp\OnboardLogs"\RTDC4027\2017-06-10 &amp; aws s3 cp s3://rtdc.mdm.uploadarchive.raw/RTDC4027/ "%USERPROFILE%\AppData\Local\Temp\OnboardLogs"\RTDC4027\2017-06-11 --exclude "*" --recursive --include "*20170611*" &amp; "%USERPROFILE%\Documents\GitHub\mrs-test-scripts\Headless Mode &amp; Sideloading\WalkAndUnGZ.bat" "%USERPROFILE%\AppData\Local\Temp\OnboardLogs"\RTDC4027\2017-06-11</v>
      </c>
      <c r="AF108" s="77" t="str">
        <f t="shared" si="58"/>
        <v>"C:\Program Files (x86)\AstroGrep\AstroGrep.exe" /e /r /s /spath="%USERPROFILE%\AppData\Local\Temp\OnboardLogs" /stypes="app*4027*20170610*" /stext=" 22:.+((SYSTEM_STATE.+slice.+state.+changed )|(ment ac)|(multiple cpu faults)|(system.+state.+changed )|(\[timeout)|(PRM\|1\|D)|(kpr)|(kdp)|(train st.+moving)|(\|lc)|(penalty))"</v>
      </c>
      <c r="AG108" s="1" t="str">
        <f t="shared" si="59"/>
        <v>EC</v>
      </c>
      <c r="AH108" s="81" t="str">
        <f t="shared" si="60"/>
        <v>"%USERPROFILE%\Documents\GitHub\eaglep3\Utilities\RefineRTDCRunTimes.py" --tripid 192-10 --locoid 4027 --swversion DE.1.0.9.0 --startMP 204:233080 --initTime 2017-06-10T15:56:28 --startdatetime 2017-06-10T15:57:50 --delay 1 --endMP 204:66950 --enddatetime 2017-06-10T16:21:06 --enforcementcount 2 &gt;&gt;C:\Users\stu\Documents\GitHub\eaglep3-reporting\EC\2017-06-10-refined-times.txt</v>
      </c>
      <c r="AI108" s="99" t="str">
        <f t="shared" si="61"/>
        <v>echo {"issue":{"subject":"Havana Wi-MAX base radio outage","project_id":79,"tracker_id":40,"status_id":1,"priority_id":2,"assigned_to_id":23,"start_date":"2017-06-10","description":"","custom_fields":[{"id":1,"name":"Subdivision","value":"EC"},{"id":4,"name":"Milepost","value":"6.695"},{"id":17,"name":"Train ID","value":"192-10"},{"id":16,"name":"Locomotive ID","value":"4027"},{"id":130,"name":"Impact","value":""},{"id":150,"name":"Time of Event (Mountain Time)","value":"16:21:06"},{"id":151,"name":"Denver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5" t="str">
        <f t="shared" si="62"/>
        <v>start /low /b %USERPROFILE%\Documents\GitHub\eaglep3\Utilities\DownloadLogsFromS3.py --loco 4027 --day 2017-06-10</v>
      </c>
      <c r="AN108" s="154" t="str">
        <f t="shared" si="63"/>
        <v>echo {"issue":{"subject":"Havana Wi-MAX base radio outage","project_id":30,"tracker_id":4,"status_id":1,"priority_id":1,"assigned_to_id":10,"start_date":"2017-06-10","description":"","custom_fields":[{"id":30,"name":"Category","value":"Issue"},{"id":3,"name":"Functional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22:21:06"},{"id":29,"name":"Sharepoint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598</v>
      </c>
      <c r="B109" s="7">
        <v>4027</v>
      </c>
      <c r="C109" s="21" t="s">
        <v>204</v>
      </c>
      <c r="D109" s="21" t="s">
        <v>929</v>
      </c>
      <c r="E109" s="13">
        <v>42896.687025462961</v>
      </c>
      <c r="F109" s="13">
        <v>42896.68787037037</v>
      </c>
      <c r="G109" s="7">
        <v>1</v>
      </c>
      <c r="H109" s="21" t="s">
        <v>431</v>
      </c>
      <c r="I109" s="13">
        <v>42896.696157407408</v>
      </c>
      <c r="J109" s="7">
        <v>0</v>
      </c>
      <c r="K109" s="92" t="str">
        <f t="shared" si="47"/>
        <v>4027/4028</v>
      </c>
      <c r="L109" s="21" t="str">
        <f>VLOOKUP(A109,'Trips&amp;Operators'!$C$1:$G$99999,5,FALSE)</f>
        <v>BRANDNER MELINDA</v>
      </c>
      <c r="M109" s="6">
        <f t="shared" si="48"/>
        <v>8.2870370388263837E-3</v>
      </c>
      <c r="N109" s="7"/>
      <c r="O109" s="7"/>
      <c r="P109" s="7"/>
      <c r="Q109" s="22"/>
      <c r="R109" s="173"/>
      <c r="S109" s="176"/>
      <c r="T109" s="202" t="str">
        <f t="shared" si="49"/>
        <v>Southbound</v>
      </c>
      <c r="U109" s="202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3</v>
      </c>
      <c r="V109" s="203" t="str">
        <f t="shared" si="50"/>
        <v>https://d0f6bd738d7f1b3e5a7ca70fe4ff75f0.us-east-1.aws.found.io/app/kibana#/discover/Steve-Slow-Train-Analysis-(2080s-and-2083s)?_g=(refreshInterval:(display:Off,pause:!f,section:0,value:0),time:(from:'2017-06-10T15:29:19-0600',mode:absolute,to:'2017-06-10T17:42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9" s="204" t="str">
        <f t="shared" si="51"/>
        <v>Y</v>
      </c>
      <c r="X109" s="204">
        <f t="shared" si="52"/>
        <v>0</v>
      </c>
      <c r="Y109" s="204">
        <f t="shared" si="53"/>
        <v>3.6779000000000002</v>
      </c>
      <c r="Z109" s="204">
        <f t="shared" si="64"/>
        <v>1.4500000000000001E-2</v>
      </c>
      <c r="AA109" s="204">
        <f t="shared" si="55"/>
        <v>3.6634000000000002</v>
      </c>
      <c r="AB109" s="57" t="e">
        <f>VLOOKUP(A109,Enforcements!$C$7:$K$13,8,0)</f>
        <v>#N/A</v>
      </c>
      <c r="AC109" s="53" t="e">
        <f>VLOOKUP(A109,Enforcements!$C$7:$E$13,3,0)</f>
        <v>#N/A</v>
      </c>
      <c r="AD109" s="54" t="str">
        <f t="shared" si="56"/>
        <v>0192-10</v>
      </c>
      <c r="AE109" s="80" t="str">
        <f t="shared" si="57"/>
        <v>aws s3 cp s3://rtdc.mdm.uploadarchive.raw/RTDC4027/ "%USERPROFILE%\AppData\Local\Temp\OnboardLogs"\RTDC4027\2017-06-10 --exclude "*" --recursive --include "*20170610*" &amp; "%USERPROFILE%\Documents\GitHub\mrs-test-scripts\Headless Mode &amp; Sideloading\WalkAndUnGZ.bat" "%USERPROFILE%\AppData\Local\Temp\OnboardLogs"\RTDC4027\2017-06-10 &amp; aws s3 cp s3://rtdc.mdm.uploadarchive.raw/RTDC4027/ "%USERPROFILE%\AppData\Local\Temp\OnboardLogs"\RTDC4027\2017-06-11 --exclude "*" --recursive --include "*20170611*" &amp; "%USERPROFILE%\Documents\GitHub\mrs-test-scripts\Headless Mode &amp; Sideloading\WalkAndUnGZ.bat" "%USERPROFILE%\AppData\Local\Temp\OnboardLogs"\RTDC4027\2017-06-11</v>
      </c>
      <c r="AF109" s="77" t="str">
        <f t="shared" si="58"/>
        <v>"C:\Program Files (x86)\AstroGrep\AstroGrep.exe" /e /r /s /spath="%USERPROFILE%\AppData\Local\Temp\OnboardLogs" /stypes="app*4027*20170610*" /stext=" 22:.+((SYSTEM_STATE.+slice.+state.+changed )|(ment ac)|(multiple cpu faults)|(system.+state.+changed )|(\[timeout)|(PRM\|1\|D)|(kpr)|(kdp)|(train st.+moving)|(\|lc)|(penalty))"</v>
      </c>
      <c r="AG109" s="1" t="str">
        <f t="shared" si="59"/>
        <v>EC</v>
      </c>
      <c r="AH109" s="81" t="str">
        <f t="shared" si="60"/>
        <v>"%USERPROFILE%\Documents\GitHub\eaglep3\Utilities\RefineRTDCRunTimes.py" --tripid 192-10 --locoid 4027 --swversion DE.1.0.9.0 --startMP 204:36779 --initTime 2017-06-10T16:29:19 --startdatetime 2017-06-10T16:30:32 --delay 1 --endMP 204:145 --enddatetime 2017-06-10T16:42:28 --enforcementcount 0 &gt;&gt;C:\Users\stu\Documents\GitHub\eaglep3-reporting\EC\2017-06-10-refined-times.txt</v>
      </c>
      <c r="AI109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{"issue":{"subject":"","project_id":79,"tracker_id":40,"status_id":1,"priority_id":2,"assigned_to_id":23,"start_date":"2017-06-10","description":"","custom_fields":[{"id":1,"name":"Subdivision","value":"EC"},{"id":4,"name":"Milepost","value":"0.0145"},{"id":17,"name":"Train ID","value":"192-10"},{"id":16,"name":"Locomotive ID","value":"4027"},{"id":130,"name":"Impact","value":""},{"id":150,"name":"Time of Event (Mountain Time)","value":"16:42:28"},{"id":151,"name":"Denver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5" t="str">
        <f t="shared" si="62"/>
        <v>start /low /b %USERPROFILE%\Documents\GitHub\eaglep3\Utilities\DownloadLogsFromS3.py --loco 4027 --day 2017-06-10</v>
      </c>
      <c r="AN109" s="154" t="str">
        <f t="shared" si="63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22:42:28"},{"id":29,"name":"Sharepoint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754</v>
      </c>
      <c r="B110" s="7">
        <v>4032</v>
      </c>
      <c r="C110" s="21" t="s">
        <v>204</v>
      </c>
      <c r="D110" s="21" t="s">
        <v>368</v>
      </c>
      <c r="E110" s="13">
        <v>42896.631249999999</v>
      </c>
      <c r="F110" s="13">
        <v>42896.63559027778</v>
      </c>
      <c r="G110" s="7">
        <v>1</v>
      </c>
      <c r="H110" s="21" t="s">
        <v>930</v>
      </c>
      <c r="I110" s="13">
        <v>42896.661678240744</v>
      </c>
      <c r="J110" s="7">
        <v>0</v>
      </c>
      <c r="K110" s="92" t="str">
        <f t="shared" si="47"/>
        <v>4031/4032</v>
      </c>
      <c r="L110" s="21" t="str">
        <f>VLOOKUP(A110,'Trips&amp;Operators'!$C$1:$G$99999,5,FALSE)</f>
        <v>BROWN JACOB</v>
      </c>
      <c r="M110" s="6">
        <f t="shared" si="48"/>
        <v>2.6087962964083999E-2</v>
      </c>
      <c r="N110" s="7">
        <f t="shared" ref="N110:N141" si="67">24*60*SUM($M110:$M110)</f>
        <v>37.566666668280959</v>
      </c>
      <c r="O110" s="7"/>
      <c r="P110" s="7"/>
      <c r="Q110" s="22"/>
      <c r="R110" s="173"/>
      <c r="S110" s="176">
        <f t="shared" ref="S110:S141" si="68">SUM(U110:U110)/IF(AG110="EC",12,1)</f>
        <v>1</v>
      </c>
      <c r="T110" s="202" t="str">
        <f t="shared" si="49"/>
        <v>NorthBound</v>
      </c>
      <c r="U110" s="202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03" t="str">
        <f t="shared" si="50"/>
        <v>https://d0f6bd738d7f1b3e5a7ca70fe4ff75f0.us-east-1.aws.found.io/app/kibana#/discover/Steve-Slow-Train-Analysis-(2080s-and-2083s)?_g=(refreshInterval:(display:Off,pause:!f,section:0,value:0),time:(from:'2017-06-10T14:09:00-0600',mode:absolute,to:'2017-06-10T16:52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0" s="204" t="str">
        <f t="shared" si="51"/>
        <v>N</v>
      </c>
      <c r="X110" s="204">
        <f t="shared" si="52"/>
        <v>1</v>
      </c>
      <c r="Y110" s="204">
        <f t="shared" ref="Y110:Y141" si="69">RIGHT(D110,LEN(D110)-4)/10000</f>
        <v>4.5499999999999999E-2</v>
      </c>
      <c r="Z110" s="204">
        <f t="shared" si="64"/>
        <v>23.332899999999999</v>
      </c>
      <c r="AA110" s="204">
        <f t="shared" si="55"/>
        <v>23.287399999999998</v>
      </c>
      <c r="AB110" s="57" t="e">
        <f>VLOOKUP(A110,Enforcements!$C$7:$K$13,8,0)</f>
        <v>#N/A</v>
      </c>
      <c r="AC110" s="53" t="e">
        <f>VLOOKUP(A110,Enforcements!$C$7:$E$13,3,0)</f>
        <v>#N/A</v>
      </c>
      <c r="AD110" s="54" t="str">
        <f t="shared" si="56"/>
        <v>0193-10</v>
      </c>
      <c r="AE110" s="80" t="str">
        <f t="shared" si="57"/>
        <v>aws s3 cp s3://rtdc.mdm.uploadarchive.raw/RTDC4032/ "%USERPROFILE%\AppData\Local\Temp\OnboardLogs"\RTDC4032\2017-06-10 --exclude "*" --recursive --include "*20170610*" &amp; "%USERPROFILE%\Documents\GitHub\mrs-test-scripts\Headless Mode &amp; Sideloading\WalkAndUnGZ.bat" "%USERPROFILE%\AppData\Local\Temp\OnboardLogs"\RTDC4032\2017-06-10 &amp; aws s3 cp s3://rtdc.mdm.uploadarchive.raw/RTDC4032/ "%USERPROFILE%\AppData\Local\Temp\OnboardLogs"\RTDC4032\2017-06-11 --exclude "*" --recursive --include "*20170611*" &amp; "%USERPROFILE%\Documents\GitHub\mrs-test-scripts\Headless Mode &amp; Sideloading\WalkAndUnGZ.bat" "%USERPROFILE%\AppData\Local\Temp\OnboardLogs"\RTDC4032\2017-06-11</v>
      </c>
      <c r="AF110" s="77" t="str">
        <f t="shared" si="58"/>
        <v>"C:\Program Files (x86)\AstroGrep\AstroGrep.exe" /e /r /s /spath="%USERPROFILE%\AppData\Local\Temp\OnboardLogs" /stypes="app*4032*20170610*" /stext=" 21:.+((SYSTEM_STATE.+slice.+state.+changed )|(ment ac)|(multiple cpu faults)|(system.+state.+changed )|(\[timeout)|(PRM\|1\|D)|(kpr)|(kdp)|(train st.+moving)|(\|lc)|(penalty))"</v>
      </c>
      <c r="AG110" s="1" t="str">
        <f t="shared" si="59"/>
        <v>EC</v>
      </c>
      <c r="AH110" s="81" t="str">
        <f t="shared" si="60"/>
        <v>"%USERPROFILE%\Documents\GitHub\eaglep3\Utilities\RefineRTDCRunTimes.py" --tripid 193-10 --locoid 4032 --swversion DE.1.0.9.0 --startMP 204:455 --initTime 2017-06-10T15:09:00 --startdatetime 2017-06-10T15:15:15 --delay 1 --endMP 204:233329 --enddatetime 2017-06-10T15:52:49 --enforcementcount 0 &gt;&gt;C:\Users\stu\Documents\GitHub\eaglep3-reporting\EC\2017-06-10-refined-times.txt</v>
      </c>
      <c r="AI110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{"issue":{"subject":"","project_id":79,"tracker_id":40,"status_id":1,"priority_id":2,"assigned_to_id":23,"start_date":"2017-06-10","description":"","custom_fields":[{"id":1,"name":"Subdivision","value":"EC"},{"id":4,"name":"Milepost","value":"23.3329"},{"id":17,"name":"Train ID","value":"193-10"},{"id":16,"name":"Locomotive ID","value":"4032"},{"id":130,"name":"Impact","value":""},{"id":150,"name":"Time of Event (Mountain Time)","value":"15:52:49"},{"id":151,"name":"Denver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5" t="str">
        <f t="shared" si="62"/>
        <v>start /low /b %USERPROFILE%\Documents\GitHub\eaglep3\Utilities\DownloadLogsFromS3.py --loco 4032 --day 2017-06-10</v>
      </c>
      <c r="AN110" s="154" t="str">
        <f t="shared" si="63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21:52:49"},{"id":29,"name":"Sharepoint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599</v>
      </c>
      <c r="B111" s="7">
        <v>4031</v>
      </c>
      <c r="C111" s="21" t="s">
        <v>204</v>
      </c>
      <c r="D111" s="21" t="s">
        <v>931</v>
      </c>
      <c r="E111" s="13">
        <v>42896.664537037039</v>
      </c>
      <c r="F111" s="13">
        <v>42896.675150462965</v>
      </c>
      <c r="G111" s="7">
        <v>2</v>
      </c>
      <c r="H111" s="21" t="s">
        <v>361</v>
      </c>
      <c r="I111" s="13">
        <v>42896.703692129631</v>
      </c>
      <c r="J111" s="7">
        <v>0</v>
      </c>
      <c r="K111" s="92" t="str">
        <f t="shared" si="47"/>
        <v>4031/4032</v>
      </c>
      <c r="L111" s="21" t="str">
        <f>VLOOKUP(A111,'Trips&amp;Operators'!$C$1:$G$99999,5,FALSE)</f>
        <v>BROWN JACOB</v>
      </c>
      <c r="M111" s="6">
        <f t="shared" si="48"/>
        <v>2.8541666666569654E-2</v>
      </c>
      <c r="N111" s="7">
        <f t="shared" si="67"/>
        <v>41.099999999860302</v>
      </c>
      <c r="O111" s="7"/>
      <c r="P111" s="7"/>
      <c r="Q111" s="22"/>
      <c r="R111" s="173"/>
      <c r="S111" s="176">
        <f t="shared" si="68"/>
        <v>1</v>
      </c>
      <c r="T111" s="202" t="str">
        <f t="shared" si="49"/>
        <v>Southbound</v>
      </c>
      <c r="U111" s="202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03" t="str">
        <f t="shared" si="50"/>
        <v>https://d0f6bd738d7f1b3e5a7ca70fe4ff75f0.us-east-1.aws.found.io/app/kibana#/discover/Steve-Slow-Train-Analysis-(2080s-and-2083s)?_g=(refreshInterval:(display:Off,pause:!f,section:0,value:0),time:(from:'2017-06-10T14:56:56-0600',mode:absolute,to:'2017-06-10T17:53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11" s="204" t="str">
        <f t="shared" si="51"/>
        <v>N</v>
      </c>
      <c r="X111" s="204">
        <f t="shared" si="52"/>
        <v>1</v>
      </c>
      <c r="Y111" s="204">
        <f t="shared" si="69"/>
        <v>23.302099999999999</v>
      </c>
      <c r="Z111" s="204">
        <f t="shared" si="64"/>
        <v>1.3899999999999999E-2</v>
      </c>
      <c r="AA111" s="204">
        <f t="shared" si="55"/>
        <v>23.2882</v>
      </c>
      <c r="AB111" s="57" t="e">
        <f>VLOOKUP(A111,Enforcements!$C$7:$K$13,8,0)</f>
        <v>#N/A</v>
      </c>
      <c r="AC111" s="53" t="e">
        <f>VLOOKUP(A111,Enforcements!$C$7:$E$13,3,0)</f>
        <v>#N/A</v>
      </c>
      <c r="AD111" s="54" t="str">
        <f t="shared" si="56"/>
        <v>0194-10</v>
      </c>
      <c r="AE111" s="80" t="str">
        <f t="shared" si="57"/>
        <v>aws s3 cp s3://rtdc.mdm.uploadarchive.raw/RTDC4031/ "%USERPROFILE%\AppData\Local\Temp\OnboardLogs"\RTDC4031\2017-06-10 --exclude "*" --recursive --include "*20170610*" &amp; "%USERPROFILE%\Documents\GitHub\mrs-test-scripts\Headless Mode &amp; Sideloading\WalkAndUnGZ.bat" "%USERPROFILE%\AppData\Local\Temp\OnboardLogs"\RTDC4031\2017-06-10 &amp; aws s3 cp s3://rtdc.mdm.uploadarchive.raw/RTDC4031/ "%USERPROFILE%\AppData\Local\Temp\OnboardLogs"\RTDC4031\2017-06-11 --exclude "*" --recursive --include "*20170611*" &amp; "%USERPROFILE%\Documents\GitHub\mrs-test-scripts\Headless Mode &amp; Sideloading\WalkAndUnGZ.bat" "%USERPROFILE%\AppData\Local\Temp\OnboardLogs"\RTDC4031\2017-06-11</v>
      </c>
      <c r="AF111" s="77" t="str">
        <f t="shared" si="58"/>
        <v>"C:\Program Files (x86)\AstroGrep\AstroGrep.exe" /e /r /s /spath="%USERPROFILE%\AppData\Local\Temp\OnboardLogs" /stypes="app*4031*20170610*" /stext=" 22:.+((SYSTEM_STATE.+slice.+state.+changed )|(ment ac)|(multiple cpu faults)|(system.+state.+changed )|(\[timeout)|(PRM\|1\|D)|(kpr)|(kdp)|(train st.+moving)|(\|lc)|(penalty))"</v>
      </c>
      <c r="AG111" s="1" t="str">
        <f t="shared" si="59"/>
        <v>EC</v>
      </c>
      <c r="AH111" s="81" t="str">
        <f t="shared" si="60"/>
        <v>"%USERPROFILE%\Documents\GitHub\eaglep3\Utilities\RefineRTDCRunTimes.py" --tripid 194-10 --locoid 4031 --swversion DE.1.0.9.0 --startMP 204:233021 --initTime 2017-06-10T15:56:56 --startdatetime 2017-06-10T16:12:13 --delay 2 --endMP 204:139 --enddatetime 2017-06-10T16:53:19 --enforcementcount 0 &gt;&gt;C:\Users\stu\Documents\GitHub\eaglep3-reporting\EC\2017-06-10-refined-times.txt</v>
      </c>
      <c r="AI111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{"issue":{"subject":"","project_id":79,"tracker_id":40,"status_id":1,"priority_id":2,"assigned_to_id":23,"start_date":"2017-06-10","description":"","custom_fields":[{"id":1,"name":"Subdivision","value":"EC"},{"id":4,"name":"Milepost","value":"0.0139"},{"id":17,"name":"Train ID","value":"194-10"},{"id":16,"name":"Locomotive ID","value":"4031"},{"id":130,"name":"Impact","value":""},{"id":150,"name":"Time of Event (Mountain Time)","value":"16:53:19"},{"id":151,"name":"Denver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5" t="str">
        <f t="shared" si="62"/>
        <v>start /low /b %USERPROFILE%\Documents\GitHub\eaglep3\Utilities\DownloadLogsFromS3.py --loco 4031 --day 2017-06-10</v>
      </c>
      <c r="AN111" s="154" t="str">
        <f t="shared" si="63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22:53:19"},{"id":29,"name":"Sharepoint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755</v>
      </c>
      <c r="B112" s="7">
        <v>4004</v>
      </c>
      <c r="C112" s="21" t="s">
        <v>204</v>
      </c>
      <c r="D112" s="21" t="s">
        <v>455</v>
      </c>
      <c r="E112" s="13">
        <v>42896.641342592593</v>
      </c>
      <c r="F112" s="13">
        <v>42896.646168981482</v>
      </c>
      <c r="G112" s="7">
        <v>1</v>
      </c>
      <c r="H112" s="21" t="s">
        <v>533</v>
      </c>
      <c r="I112" s="13">
        <v>42896.671064814815</v>
      </c>
      <c r="J112" s="7">
        <v>0</v>
      </c>
      <c r="K112" s="92" t="str">
        <f t="shared" si="47"/>
        <v>4003/4004</v>
      </c>
      <c r="L112" s="21" t="str">
        <f>VLOOKUP(A112,'Trips&amp;Operators'!$C$1:$G$99999,5,FALSE)</f>
        <v>YORK EDGAR</v>
      </c>
      <c r="M112" s="6">
        <f t="shared" si="48"/>
        <v>2.4895833332266193E-2</v>
      </c>
      <c r="N112" s="7">
        <f t="shared" si="67"/>
        <v>35.849999998463318</v>
      </c>
      <c r="O112" s="7"/>
      <c r="P112" s="7"/>
      <c r="Q112" s="22"/>
      <c r="R112" s="173"/>
      <c r="S112" s="176">
        <f t="shared" si="68"/>
        <v>1</v>
      </c>
      <c r="T112" s="202" t="str">
        <f t="shared" si="49"/>
        <v>NorthBound</v>
      </c>
      <c r="U112" s="202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03" t="str">
        <f t="shared" si="50"/>
        <v>https://d0f6bd738d7f1b3e5a7ca70fe4ff75f0.us-east-1.aws.found.io/app/kibana#/discover/Steve-Slow-Train-Analysis-(2080s-and-2083s)?_g=(refreshInterval:(display:Off,pause:!f,section:0,value:0),time:(from:'2017-06-10T14:23:32-0600',mode:absolute,to:'2017-06-10T17:06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2" s="204" t="str">
        <f t="shared" si="51"/>
        <v>N</v>
      </c>
      <c r="X112" s="204">
        <f t="shared" si="52"/>
        <v>1</v>
      </c>
      <c r="Y112" s="204">
        <f t="shared" si="69"/>
        <v>4.6699999999999998E-2</v>
      </c>
      <c r="Z112" s="204">
        <f t="shared" si="64"/>
        <v>23.3291</v>
      </c>
      <c r="AA112" s="204">
        <f t="shared" si="55"/>
        <v>23.282399999999999</v>
      </c>
      <c r="AB112" s="57" t="e">
        <f>VLOOKUP(A112,Enforcements!$C$7:$K$13,8,0)</f>
        <v>#N/A</v>
      </c>
      <c r="AC112" s="53" t="e">
        <f>VLOOKUP(A112,Enforcements!$C$7:$E$13,3,0)</f>
        <v>#N/A</v>
      </c>
      <c r="AD112" s="54" t="str">
        <f t="shared" si="56"/>
        <v>0195-10</v>
      </c>
      <c r="AE112" s="80" t="str">
        <f t="shared" si="57"/>
        <v>aws s3 cp s3://rtdc.mdm.uploadarchive.raw/RTDC4004/ "%USERPROFILE%\AppData\Local\Temp\OnboardLogs"\RTDC4004\2017-06-10 --exclude "*" --recursive --include "*20170610*" &amp; "%USERPROFILE%\Documents\GitHub\mrs-test-scripts\Headless Mode &amp; Sideloading\WalkAndUnGZ.bat" "%USERPROFILE%\AppData\Local\Temp\OnboardLogs"\RTDC4004\2017-06-10 &amp; aws s3 cp s3://rtdc.mdm.uploadarchive.raw/RTDC4004/ "%USERPROFILE%\AppData\Local\Temp\OnboardLogs"\RTDC4004\2017-06-11 --exclude "*" --recursive --include "*20170611*" &amp; "%USERPROFILE%\Documents\GitHub\mrs-test-scripts\Headless Mode &amp; Sideloading\WalkAndUnGZ.bat" "%USERPROFILE%\AppData\Local\Temp\OnboardLogs"\RTDC4004\2017-06-11</v>
      </c>
      <c r="AF112" s="77" t="str">
        <f t="shared" si="58"/>
        <v>"C:\Program Files (x86)\AstroGrep\AstroGrep.exe" /e /r /s /spath="%USERPROFILE%\AppData\Local\Temp\OnboardLogs" /stypes="app*4004*20170610*" /stext=" 22:.+((SYSTEM_STATE.+slice.+state.+changed )|(ment ac)|(multiple cpu faults)|(system.+state.+changed )|(\[timeout)|(PRM\|1\|D)|(kpr)|(kdp)|(train st.+moving)|(\|lc)|(penalty))"</v>
      </c>
      <c r="AG112" s="1" t="str">
        <f t="shared" si="59"/>
        <v>EC</v>
      </c>
      <c r="AH112" s="81" t="str">
        <f t="shared" si="60"/>
        <v>"%USERPROFILE%\Documents\GitHub\eaglep3\Utilities\RefineRTDCRunTimes.py" --tripid 195-10 --locoid 4004 --swversion DE.1.0.9.0 --startMP 204:467 --initTime 2017-06-10T15:23:32 --startdatetime 2017-06-10T15:30:29 --delay 1 --endMP 204:233291 --enddatetime 2017-06-10T16:06:20 --enforcementcount 0 &gt;&gt;C:\Users\stu\Documents\GitHub\eaglep3-reporting\EC\2017-06-10-refined-times.txt</v>
      </c>
      <c r="AI112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{"issue":{"subject":"","project_id":79,"tracker_id":40,"status_id":1,"priority_id":2,"assigned_to_id":23,"start_date":"2017-06-10","description":"","custom_fields":[{"id":1,"name":"Subdivision","value":"EC"},{"id":4,"name":"Milepost","value":"23.3291"},{"id":17,"name":"Train ID","value":"195-10"},{"id":16,"name":"Locomotive ID","value":"4004"},{"id":130,"name":"Impact","value":""},{"id":150,"name":"Time of Event (Mountain Time)","value":"16:06:20"},{"id":151,"name":"Denver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5" t="str">
        <f t="shared" si="62"/>
        <v>start /low /b %USERPROFILE%\Documents\GitHub\eaglep3\Utilities\DownloadLogsFromS3.py --loco 4004 --day 2017-06-10</v>
      </c>
      <c r="AN112" s="154" t="str">
        <f t="shared" si="63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22:06:20"},{"id":29,"name":"Sharepoint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760</v>
      </c>
      <c r="B113" s="7">
        <v>4003</v>
      </c>
      <c r="C113" s="21" t="s">
        <v>204</v>
      </c>
      <c r="D113" s="21" t="s">
        <v>857</v>
      </c>
      <c r="E113" s="13">
        <v>42896.671898148146</v>
      </c>
      <c r="F113" s="13">
        <v>42896.719444444447</v>
      </c>
      <c r="G113" s="7">
        <v>1</v>
      </c>
      <c r="H113" s="21" t="s">
        <v>364</v>
      </c>
      <c r="I113" s="13">
        <v>42896.743622685186</v>
      </c>
      <c r="J113" s="7">
        <v>0</v>
      </c>
      <c r="K113" s="92" t="str">
        <f t="shared" si="47"/>
        <v>4003/4004</v>
      </c>
      <c r="L113" s="21" t="str">
        <f>VLOOKUP(A113,'Trips&amp;Operators'!$C$1:$G$99999,5,FALSE)</f>
        <v>YORK EDGAR</v>
      </c>
      <c r="M113" s="6">
        <f t="shared" si="48"/>
        <v>2.417824073927477E-2</v>
      </c>
      <c r="N113" s="7">
        <f t="shared" si="67"/>
        <v>34.816666664555669</v>
      </c>
      <c r="O113" s="7"/>
      <c r="P113" s="7"/>
      <c r="Q113" s="22"/>
      <c r="R113" s="173"/>
      <c r="S113" s="176">
        <f t="shared" si="68"/>
        <v>1</v>
      </c>
      <c r="T113" s="202" t="str">
        <f t="shared" si="49"/>
        <v>Southbound</v>
      </c>
      <c r="U113" s="202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03" t="str">
        <f t="shared" si="50"/>
        <v>https://d0f6bd738d7f1b3e5a7ca70fe4ff75f0.us-east-1.aws.found.io/app/kibana#/discover/Steve-Slow-Train-Analysis-(2080s-and-2083s)?_g=(refreshInterval:(display:Off,pause:!f,section:0,value:0),time:(from:'2017-06-10T15:07:32-0600',mode:absolute,to:'2017-06-10T18:50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3" s="204" t="str">
        <f t="shared" si="51"/>
        <v>N</v>
      </c>
      <c r="X113" s="204">
        <f t="shared" si="52"/>
        <v>1</v>
      </c>
      <c r="Y113" s="204">
        <f t="shared" si="69"/>
        <v>23.297799999999999</v>
      </c>
      <c r="Z113" s="204">
        <f t="shared" si="64"/>
        <v>1.47E-2</v>
      </c>
      <c r="AA113" s="204">
        <f t="shared" si="55"/>
        <v>23.283099999999997</v>
      </c>
      <c r="AB113" s="57" t="e">
        <f>VLOOKUP(A113,Enforcements!$C$7:$K$13,8,0)</f>
        <v>#N/A</v>
      </c>
      <c r="AC113" s="53" t="e">
        <f>VLOOKUP(A113,Enforcements!$C$7:$E$13,3,0)</f>
        <v>#N/A</v>
      </c>
      <c r="AD113" s="54" t="str">
        <f t="shared" si="56"/>
        <v>0196-10</v>
      </c>
      <c r="AE113" s="80" t="str">
        <f t="shared" si="57"/>
        <v>aws s3 cp s3://rtdc.mdm.uploadarchive.raw/RTDC4003/ "%USERPROFILE%\AppData\Local\Temp\OnboardLogs"\RTDC4003\2017-06-10 --exclude "*" --recursive --include "*20170610*" &amp; "%USERPROFILE%\Documents\GitHub\mrs-test-scripts\Headless Mode &amp; Sideloading\WalkAndUnGZ.bat" "%USERPROFILE%\AppData\Local\Temp\OnboardLogs"\RTDC4003\2017-06-10 &amp; aws s3 cp s3://rtdc.mdm.uploadarchive.raw/RTDC4003/ "%USERPROFILE%\AppData\Local\Temp\OnboardLogs"\RTDC4003\2017-06-11 --exclude "*" --recursive --include "*20170611*" &amp; "%USERPROFILE%\Documents\GitHub\mrs-test-scripts\Headless Mode &amp; Sideloading\WalkAndUnGZ.bat" "%USERPROFILE%\AppData\Local\Temp\OnboardLogs"\RTDC4003\2017-06-11</v>
      </c>
      <c r="AF113" s="77" t="str">
        <f t="shared" si="58"/>
        <v>"C:\Program Files (x86)\AstroGrep\AstroGrep.exe" /e /r /s /spath="%USERPROFILE%\AppData\Local\Temp\OnboardLogs" /stypes="app*4003*20170610*" /stext=" 23:.+((SYSTEM_STATE.+slice.+state.+changed )|(ment ac)|(multiple cpu faults)|(system.+state.+changed )|(\[timeout)|(PRM\|1\|D)|(kpr)|(kdp)|(train st.+moving)|(\|lc)|(penalty))"</v>
      </c>
      <c r="AG113" s="1" t="str">
        <f t="shared" si="59"/>
        <v>EC</v>
      </c>
      <c r="AH113" s="81" t="str">
        <f t="shared" si="60"/>
        <v>"%USERPROFILE%\Documents\GitHub\eaglep3\Utilities\RefineRTDCRunTimes.py" --tripid 196-10 --locoid 4003 --swversion DE.1.0.9.0 --startMP 204:232978 --initTime 2017-06-10T16:07:32 --startdatetime 2017-06-10T17:16:00 --delay 1 --endMP 204:147 --enddatetime 2017-06-10T17:50:49 --enforcementcount 0 &gt;&gt;C:\Users\stu\Documents\GitHub\eaglep3-reporting\EC\2017-06-10-refined-times.txt</v>
      </c>
      <c r="AI113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{"issue":{"subject":"","project_id":79,"tracker_id":40,"status_id":1,"priority_id":2,"assigned_to_id":23,"start_date":"2017-06-10","description":"","custom_fields":[{"id":1,"name":"Subdivision","value":"EC"},{"id":4,"name":"Milepost","value":"0.0147"},{"id":17,"name":"Train ID","value":"196-10"},{"id":16,"name":"Locomotive ID","value":"4003"},{"id":130,"name":"Impact","value":""},{"id":150,"name":"Time of Event (Mountain Time)","value":"17:50:49"},{"id":151,"name":"Denver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5" t="str">
        <f t="shared" si="62"/>
        <v>start /low /b %USERPROFILE%\Documents\GitHub\eaglep3\Utilities\DownloadLogsFromS3.py --loco 4003 --day 2017-06-10</v>
      </c>
      <c r="AN113" s="154" t="str">
        <f t="shared" si="63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23:50:49"},{"id":29,"name":"Sharepoint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757</v>
      </c>
      <c r="B114" s="7">
        <v>4044</v>
      </c>
      <c r="C114" s="21" t="s">
        <v>204</v>
      </c>
      <c r="D114" s="21" t="s">
        <v>932</v>
      </c>
      <c r="E114" s="13">
        <v>42896.652615740742</v>
      </c>
      <c r="F114" s="13">
        <v>42896.656655092593</v>
      </c>
      <c r="G114" s="7">
        <v>1</v>
      </c>
      <c r="H114" s="21" t="s">
        <v>517</v>
      </c>
      <c r="I114" s="13">
        <v>42896.681481481479</v>
      </c>
      <c r="J114" s="7">
        <v>0</v>
      </c>
      <c r="K114" s="92" t="str">
        <f t="shared" si="47"/>
        <v>4043/4044</v>
      </c>
      <c r="L114" s="21" t="str">
        <f>VLOOKUP(A114,'Trips&amp;Operators'!$C$1:$G$99999,5,FALSE)</f>
        <v>LOPES KIMBERLY</v>
      </c>
      <c r="M114" s="6">
        <f t="shared" si="48"/>
        <v>2.4826388886140194E-2</v>
      </c>
      <c r="N114" s="7">
        <f t="shared" si="67"/>
        <v>35.749999996041879</v>
      </c>
      <c r="O114" s="7"/>
      <c r="P114" s="7"/>
      <c r="Q114" s="22"/>
      <c r="R114" s="173"/>
      <c r="S114" s="176">
        <f t="shared" si="68"/>
        <v>1</v>
      </c>
      <c r="T114" s="202" t="str">
        <f t="shared" si="49"/>
        <v>NorthBound</v>
      </c>
      <c r="U114" s="202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03" t="str">
        <f t="shared" si="50"/>
        <v>https://d0f6bd738d7f1b3e5a7ca70fe4ff75f0.us-east-1.aws.found.io/app/kibana#/discover/Steve-Slow-Train-Analysis-(2080s-and-2083s)?_g=(refreshInterval:(display:Off,pause:!f,section:0,value:0),time:(from:'2017-06-10T14:39:46-0600',mode:absolute,to:'2017-06-10T17:21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4" s="204" t="str">
        <f t="shared" si="51"/>
        <v>N</v>
      </c>
      <c r="X114" s="204">
        <f t="shared" si="52"/>
        <v>1</v>
      </c>
      <c r="Y114" s="204">
        <f t="shared" si="69"/>
        <v>5.4899999999999997E-2</v>
      </c>
      <c r="Z114" s="204">
        <f t="shared" si="64"/>
        <v>23.332699999999999</v>
      </c>
      <c r="AA114" s="204">
        <f t="shared" si="55"/>
        <v>23.277799999999999</v>
      </c>
      <c r="AB114" s="57" t="e">
        <f>VLOOKUP(A114,Enforcements!$C$7:$K$13,8,0)</f>
        <v>#N/A</v>
      </c>
      <c r="AC114" s="53" t="e">
        <f>VLOOKUP(A114,Enforcements!$C$7:$E$13,3,0)</f>
        <v>#N/A</v>
      </c>
      <c r="AD114" s="54" t="str">
        <f t="shared" si="56"/>
        <v>0197-10</v>
      </c>
      <c r="AE114" s="80" t="str">
        <f t="shared" si="57"/>
        <v>aws s3 cp s3://rtdc.mdm.uploadarchive.raw/RTDC4044/ "%USERPROFILE%\AppData\Local\Temp\OnboardLogs"\RTDC4044\2017-06-10 --exclude "*" --recursive --include "*20170610*" &amp; "%USERPROFILE%\Documents\GitHub\mrs-test-scripts\Headless Mode &amp; Sideloading\WalkAndUnGZ.bat" "%USERPROFILE%\AppData\Local\Temp\OnboardLogs"\RTDC4044\2017-06-10 &amp; aws s3 cp s3://rtdc.mdm.uploadarchive.raw/RTDC4044/ "%USERPROFILE%\AppData\Local\Temp\OnboardLogs"\RTDC4044\2017-06-11 --exclude "*" --recursive --include "*20170611*" &amp; "%USERPROFILE%\Documents\GitHub\mrs-test-scripts\Headless Mode &amp; Sideloading\WalkAndUnGZ.bat" "%USERPROFILE%\AppData\Local\Temp\OnboardLogs"\RTDC4044\2017-06-11</v>
      </c>
      <c r="AF114" s="77" t="str">
        <f t="shared" si="58"/>
        <v>"C:\Program Files (x86)\AstroGrep\AstroGrep.exe" /e /r /s /spath="%USERPROFILE%\AppData\Local\Temp\OnboardLogs" /stypes="app*4044*20170610*" /stext=" 22:.+((SYSTEM_STATE.+slice.+state.+changed )|(ment ac)|(multiple cpu faults)|(system.+state.+changed )|(\[timeout)|(PRM\|1\|D)|(kpr)|(kdp)|(train st.+moving)|(\|lc)|(penalty))"</v>
      </c>
      <c r="AG114" s="1" t="str">
        <f t="shared" si="59"/>
        <v>EC</v>
      </c>
      <c r="AH114" s="81" t="str">
        <f t="shared" si="60"/>
        <v>"%USERPROFILE%\Documents\GitHub\eaglep3\Utilities\RefineRTDCRunTimes.py" --tripid 197-10 --locoid 4044 --swversion DE.1.0.9.0 --startMP 204:549 --initTime 2017-06-10T15:39:46 --startdatetime 2017-06-10T15:45:35 --delay 1 --endMP 204:233327 --enddatetime 2017-06-10T16:21:20 --enforcementcount 0 &gt;&gt;C:\Users\stu\Documents\GitHub\eaglep3-reporting\EC\2017-06-10-refined-times.txt</v>
      </c>
      <c r="AI114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{"issue":{"subject":"","project_id":79,"tracker_id":40,"status_id":1,"priority_id":2,"assigned_to_id":23,"start_date":"2017-06-10","description":"","custom_fields":[{"id":1,"name":"Subdivision","value":"EC"},{"id":4,"name":"Milepost","value":"23.3327"},{"id":17,"name":"Train ID","value":"197-10"},{"id":16,"name":"Locomotive ID","value":"4044"},{"id":130,"name":"Impact","value":""},{"id":150,"name":"Time of Event (Mountain Time)","value":"16:21:20"},{"id":151,"name":"Denver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5" t="str">
        <f t="shared" si="62"/>
        <v>start /low /b %USERPROFILE%\Documents\GitHub\eaglep3\Utilities\DownloadLogsFromS3.py --loco 4044 --day 2017-06-10</v>
      </c>
      <c r="AN114" s="154" t="str">
        <f t="shared" si="63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22:21:20"},{"id":29,"name":"Sharepoint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600</v>
      </c>
      <c r="B115" s="7">
        <v>4043</v>
      </c>
      <c r="C115" s="21" t="s">
        <v>204</v>
      </c>
      <c r="D115" s="21" t="s">
        <v>548</v>
      </c>
      <c r="E115" s="13">
        <v>42896.691886574074</v>
      </c>
      <c r="F115" s="13">
        <v>42896.696261574078</v>
      </c>
      <c r="G115" s="7">
        <v>1</v>
      </c>
      <c r="H115" s="21" t="s">
        <v>195</v>
      </c>
      <c r="I115" s="13">
        <v>42896.72347222222</v>
      </c>
      <c r="J115" s="7">
        <v>0</v>
      </c>
      <c r="K115" s="92" t="str">
        <f t="shared" si="47"/>
        <v>4043/4044</v>
      </c>
      <c r="L115" s="21" t="str">
        <f>VLOOKUP(A115,'Trips&amp;Operators'!$C$1:$G$99999,5,FALSE)</f>
        <v>LOPES KIMBERLY</v>
      </c>
      <c r="M115" s="6">
        <f t="shared" si="48"/>
        <v>2.7210648142499849E-2</v>
      </c>
      <c r="N115" s="7">
        <f t="shared" si="67"/>
        <v>39.183333325199783</v>
      </c>
      <c r="O115" s="7"/>
      <c r="P115" s="7"/>
      <c r="Q115" s="22"/>
      <c r="R115" s="173"/>
      <c r="S115" s="176">
        <f t="shared" si="68"/>
        <v>1</v>
      </c>
      <c r="T115" s="202" t="str">
        <f t="shared" si="49"/>
        <v>Southbound</v>
      </c>
      <c r="U115" s="202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03" t="str">
        <f t="shared" si="50"/>
        <v>https://d0f6bd738d7f1b3e5a7ca70fe4ff75f0.us-east-1.aws.found.io/app/kibana#/discover/Steve-Slow-Train-Analysis-(2080s-and-2083s)?_g=(refreshInterval:(display:Off,pause:!f,section:0,value:0),time:(from:'2017-06-10T15:36:19-0600',mode:absolute,to:'2017-06-10T18:21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5" s="204" t="str">
        <f t="shared" si="51"/>
        <v>N</v>
      </c>
      <c r="X115" s="204">
        <f t="shared" si="52"/>
        <v>1</v>
      </c>
      <c r="Y115" s="204">
        <f t="shared" si="69"/>
        <v>23.299800000000001</v>
      </c>
      <c r="Z115" s="204">
        <f t="shared" si="64"/>
        <v>1.52E-2</v>
      </c>
      <c r="AA115" s="204">
        <f t="shared" si="55"/>
        <v>23.284600000000001</v>
      </c>
      <c r="AB115" s="57" t="e">
        <f>VLOOKUP(A115,Enforcements!$C$7:$K$13,8,0)</f>
        <v>#N/A</v>
      </c>
      <c r="AC115" s="53" t="e">
        <f>VLOOKUP(A115,Enforcements!$C$7:$E$13,3,0)</f>
        <v>#N/A</v>
      </c>
      <c r="AD115" s="54" t="str">
        <f t="shared" si="56"/>
        <v>0198-10</v>
      </c>
      <c r="AE115" s="80" t="str">
        <f t="shared" si="57"/>
        <v>aws s3 cp s3://rtdc.mdm.uploadarchive.raw/RTDC4043/ "%USERPROFILE%\AppData\Local\Temp\OnboardLogs"\RTDC4043\2017-06-10 --exclude "*" --recursive --include "*20170610*" &amp; "%USERPROFILE%\Documents\GitHub\mrs-test-scripts\Headless Mode &amp; Sideloading\WalkAndUnGZ.bat" "%USERPROFILE%\AppData\Local\Temp\OnboardLogs"\RTDC4043\2017-06-10 &amp; aws s3 cp s3://rtdc.mdm.uploadarchive.raw/RTDC4043/ "%USERPROFILE%\AppData\Local\Temp\OnboardLogs"\RTDC4043\2017-06-11 --exclude "*" --recursive --include "*20170611*" &amp; "%USERPROFILE%\Documents\GitHub\mrs-test-scripts\Headless Mode &amp; Sideloading\WalkAndUnGZ.bat" "%USERPROFILE%\AppData\Local\Temp\OnboardLogs"\RTDC4043\2017-06-11</v>
      </c>
      <c r="AF115" s="77" t="str">
        <f t="shared" si="58"/>
        <v>"C:\Program Files (x86)\AstroGrep\AstroGrep.exe" /e /r /s /spath="%USERPROFILE%\AppData\Local\Temp\OnboardLogs" /stypes="app*4043*20170610*" /stext=" 23:.+((SYSTEM_STATE.+slice.+state.+changed )|(ment ac)|(multiple cpu faults)|(system.+state.+changed )|(\[timeout)|(PRM\|1\|D)|(kpr)|(kdp)|(train st.+moving)|(\|lc)|(penalty))"</v>
      </c>
      <c r="AG115" s="1" t="str">
        <f t="shared" si="59"/>
        <v>EC</v>
      </c>
      <c r="AH115" s="81" t="str">
        <f t="shared" si="60"/>
        <v>"%USERPROFILE%\Documents\GitHub\eaglep3\Utilities\RefineRTDCRunTimes.py" --tripid 198-10 --locoid 4043 --swversion DE.1.0.9.0 --startMP 204:232998 --initTime 2017-06-10T16:36:19 --startdatetime 2017-06-10T16:42:37 --delay 1 --endMP 204:152 --enddatetime 2017-06-10T17:21:48 --enforcementcount 0 &gt;&gt;C:\Users\stu\Documents\GitHub\eaglep3-reporting\EC\2017-06-10-refined-times.txt</v>
      </c>
      <c r="AI115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{"issue":{"subject":"","project_id":79,"tracker_id":40,"status_id":1,"priority_id":2,"assigned_to_id":23,"start_date":"2017-06-10","description":"","custom_fields":[{"id":1,"name":"Subdivision","value":"EC"},{"id":4,"name":"Milepost","value":"0.0152"},{"id":17,"name":"Train ID","value":"198-10"},{"id":16,"name":"Locomotive ID","value":"4043"},{"id":130,"name":"Impact","value":""},{"id":150,"name":"Time of Event (Mountain Time)","value":"17:21:48"},{"id":151,"name":"Denver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5" t="str">
        <f t="shared" si="62"/>
        <v>start /low /b %USERPROFILE%\Documents\GitHub\eaglep3\Utilities\DownloadLogsFromS3.py --loco 4043 --day 2017-06-10</v>
      </c>
      <c r="AN115" s="154" t="str">
        <f t="shared" si="63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23:21:48"},{"id":29,"name":"Sharepoint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597</v>
      </c>
      <c r="B116" s="7">
        <v>4056</v>
      </c>
      <c r="C116" s="21" t="s">
        <v>204</v>
      </c>
      <c r="D116" s="21" t="s">
        <v>933</v>
      </c>
      <c r="E116" s="13">
        <v>42896.663495370369</v>
      </c>
      <c r="F116" s="13">
        <v>42896.666875000003</v>
      </c>
      <c r="G116" s="7">
        <v>1</v>
      </c>
      <c r="H116" s="21" t="s">
        <v>554</v>
      </c>
      <c r="I116" s="13">
        <v>42896.693252314813</v>
      </c>
      <c r="J116" s="7">
        <v>0</v>
      </c>
      <c r="K116" s="92" t="str">
        <f t="shared" si="47"/>
        <v>4055/4056</v>
      </c>
      <c r="L116" s="21" t="str">
        <f>VLOOKUP(A116,'Trips&amp;Operators'!$C$1:$G$99999,5,FALSE)</f>
        <v>STEWART MICHAEL</v>
      </c>
      <c r="M116" s="6">
        <f t="shared" si="48"/>
        <v>2.6377314810815733E-2</v>
      </c>
      <c r="N116" s="7">
        <f t="shared" si="67"/>
        <v>37.983333327574655</v>
      </c>
      <c r="O116" s="7"/>
      <c r="P116" s="7"/>
      <c r="Q116" s="22"/>
      <c r="R116" s="173"/>
      <c r="S116" s="176">
        <f t="shared" si="68"/>
        <v>1</v>
      </c>
      <c r="T116" s="202" t="str">
        <f t="shared" si="49"/>
        <v>NorthBound</v>
      </c>
      <c r="U116" s="202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03" t="str">
        <f t="shared" si="50"/>
        <v>https://d0f6bd738d7f1b3e5a7ca70fe4ff75f0.us-east-1.aws.found.io/app/kibana#/discover/Steve-Slow-Train-Analysis-(2080s-and-2083s)?_g=(refreshInterval:(display:Off,pause:!f,section:0,value:0),time:(from:'2017-06-10T14:55:26-0600',mode:absolute,to:'2017-06-10T17:38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16" s="204" t="str">
        <f t="shared" si="51"/>
        <v>N</v>
      </c>
      <c r="X116" s="204">
        <f t="shared" si="52"/>
        <v>1</v>
      </c>
      <c r="Y116" s="204">
        <f t="shared" si="69"/>
        <v>4.6899999999999997E-2</v>
      </c>
      <c r="Z116" s="204">
        <f t="shared" si="64"/>
        <v>23.328600000000002</v>
      </c>
      <c r="AA116" s="204">
        <f t="shared" si="55"/>
        <v>23.281700000000001</v>
      </c>
      <c r="AB116" s="57" t="e">
        <f>VLOOKUP(A116,Enforcements!$C$7:$K$13,8,0)</f>
        <v>#N/A</v>
      </c>
      <c r="AC116" s="53" t="e">
        <f>VLOOKUP(A116,Enforcements!$C$7:$E$13,3,0)</f>
        <v>#N/A</v>
      </c>
      <c r="AD116" s="54" t="str">
        <f t="shared" si="56"/>
        <v>0199-10</v>
      </c>
      <c r="AE116" s="80" t="str">
        <f t="shared" si="57"/>
        <v>aws s3 cp s3://rtdc.mdm.uploadarchive.raw/RTDC4056/ "%USERPROFILE%\AppData\Local\Temp\OnboardLogs"\RTDC4056\2017-06-10 --exclude "*" --recursive --include "*20170610*" &amp; "%USERPROFILE%\Documents\GitHub\mrs-test-scripts\Headless Mode &amp; Sideloading\WalkAndUnGZ.bat" "%USERPROFILE%\AppData\Local\Temp\OnboardLogs"\RTDC4056\2017-06-10 &amp; aws s3 cp s3://rtdc.mdm.uploadarchive.raw/RTDC4056/ "%USERPROFILE%\AppData\Local\Temp\OnboardLogs"\RTDC4056\2017-06-11 --exclude "*" --recursive --include "*20170611*" &amp; "%USERPROFILE%\Documents\GitHub\mrs-test-scripts\Headless Mode &amp; Sideloading\WalkAndUnGZ.bat" "%USERPROFILE%\AppData\Local\Temp\OnboardLogs"\RTDC4056\2017-06-11</v>
      </c>
      <c r="AF116" s="77" t="str">
        <f t="shared" si="58"/>
        <v>"C:\Program Files (x86)\AstroGrep\AstroGrep.exe" /e /r /s /spath="%USERPROFILE%\AppData\Local\Temp\OnboardLogs" /stypes="app*4056*20170610*" /stext=" 22:.+((SYSTEM_STATE.+slice.+state.+changed )|(ment ac)|(multiple cpu faults)|(system.+state.+changed )|(\[timeout)|(PRM\|1\|D)|(kpr)|(kdp)|(train st.+moving)|(\|lc)|(penalty))"</v>
      </c>
      <c r="AG116" s="1" t="str">
        <f t="shared" si="59"/>
        <v>EC</v>
      </c>
      <c r="AH116" s="81" t="str">
        <f t="shared" si="60"/>
        <v>"%USERPROFILE%\Documents\GitHub\eaglep3\Utilities\RefineRTDCRunTimes.py" --tripid 199-10 --locoid 4056 --swversion DE.1.0.9.0 --startMP 204:469 --initTime 2017-06-10T15:55:26 --startdatetime 2017-06-10T16:00:18 --delay 1 --endMP 204:233286 --enddatetime 2017-06-10T16:38:17 --enforcementcount 0 &gt;&gt;C:\Users\stu\Documents\GitHub\eaglep3-reporting\EC\2017-06-10-refined-times.txt</v>
      </c>
      <c r="AI116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{"issue":{"subject":"","project_id":79,"tracker_id":40,"status_id":1,"priority_id":2,"assigned_to_id":23,"start_date":"2017-06-10","description":"","custom_fields":[{"id":1,"name":"Subdivision","value":"EC"},{"id":4,"name":"Milepost","value":"23.3286"},{"id":17,"name":"Train ID","value":"199-10"},{"id":16,"name":"Locomotive ID","value":"4056"},{"id":130,"name":"Impact","value":""},{"id":150,"name":"Time of Event (Mountain Time)","value":"16:38:17"},{"id":151,"name":"Denver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5" t="str">
        <f t="shared" si="62"/>
        <v>start /low /b %USERPROFILE%\Documents\GitHub\eaglep3\Utilities\DownloadLogsFromS3.py --loco 4056 --day 2017-06-10</v>
      </c>
      <c r="AN116" s="154" t="str">
        <f t="shared" si="63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22:38:17"},{"id":29,"name":"Sharepoint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764</v>
      </c>
      <c r="B117" s="7">
        <v>4055</v>
      </c>
      <c r="C117" s="21" t="s">
        <v>204</v>
      </c>
      <c r="D117" s="21" t="s">
        <v>934</v>
      </c>
      <c r="E117" s="13">
        <v>42896.703923611109</v>
      </c>
      <c r="F117" s="13">
        <v>42896.706400462965</v>
      </c>
      <c r="G117" s="7">
        <v>1</v>
      </c>
      <c r="H117" s="21" t="s">
        <v>364</v>
      </c>
      <c r="I117" s="13">
        <v>42896.734756944446</v>
      </c>
      <c r="J117" s="7">
        <v>0</v>
      </c>
      <c r="K117" s="92" t="str">
        <f t="shared" si="47"/>
        <v>4055/4056</v>
      </c>
      <c r="L117" s="21" t="str">
        <f>VLOOKUP(A117,'Trips&amp;Operators'!$C$1:$G$99999,5,FALSE)</f>
        <v>STEWART MICHAEL</v>
      </c>
      <c r="M117" s="6">
        <f t="shared" si="48"/>
        <v>2.8356481481750961E-2</v>
      </c>
      <c r="N117" s="7">
        <f t="shared" si="67"/>
        <v>40.833333333721384</v>
      </c>
      <c r="O117" s="7"/>
      <c r="P117" s="7"/>
      <c r="Q117" s="22"/>
      <c r="R117" s="173"/>
      <c r="S117" s="176">
        <f t="shared" si="68"/>
        <v>1</v>
      </c>
      <c r="T117" s="202" t="str">
        <f t="shared" si="49"/>
        <v>Southbound</v>
      </c>
      <c r="U117" s="202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03" t="str">
        <f t="shared" si="50"/>
        <v>https://d0f6bd738d7f1b3e5a7ca70fe4ff75f0.us-east-1.aws.found.io/app/kibana#/discover/Steve-Slow-Train-Analysis-(2080s-and-2083s)?_g=(refreshInterval:(display:Off,pause:!f,section:0,value:0),time:(from:'2017-06-10T15:53:39-0600',mode:absolute,to:'2017-06-10T18:38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17" s="204" t="str">
        <f t="shared" si="51"/>
        <v>N</v>
      </c>
      <c r="X117" s="204">
        <f t="shared" si="52"/>
        <v>1</v>
      </c>
      <c r="Y117" s="204">
        <f t="shared" si="69"/>
        <v>23.296700000000001</v>
      </c>
      <c r="Z117" s="204">
        <f t="shared" si="64"/>
        <v>1.47E-2</v>
      </c>
      <c r="AA117" s="204">
        <f t="shared" si="55"/>
        <v>23.282</v>
      </c>
      <c r="AB117" s="57" t="e">
        <f>VLOOKUP(A117,Enforcements!$C$7:$K$13,8,0)</f>
        <v>#N/A</v>
      </c>
      <c r="AC117" s="53" t="e">
        <f>VLOOKUP(A117,Enforcements!$C$7:$E$13,3,0)</f>
        <v>#N/A</v>
      </c>
      <c r="AD117" s="54" t="str">
        <f t="shared" si="56"/>
        <v>0200-10</v>
      </c>
      <c r="AE117" s="80" t="str">
        <f t="shared" si="57"/>
        <v>aws s3 cp s3://rtdc.mdm.uploadarchive.raw/RTDC4055/ "%USERPROFILE%\AppData\Local\Temp\OnboardLogs"\RTDC4055\2017-06-10 --exclude "*" --recursive --include "*20170610*" &amp; "%USERPROFILE%\Documents\GitHub\mrs-test-scripts\Headless Mode &amp; Sideloading\WalkAndUnGZ.bat" "%USERPROFILE%\AppData\Local\Temp\OnboardLogs"\RTDC4055\2017-06-10 &amp; aws s3 cp s3://rtdc.mdm.uploadarchive.raw/RTDC4055/ "%USERPROFILE%\AppData\Local\Temp\OnboardLogs"\RTDC4055\2017-06-11 --exclude "*" --recursive --include "*20170611*" &amp; "%USERPROFILE%\Documents\GitHub\mrs-test-scripts\Headless Mode &amp; Sideloading\WalkAndUnGZ.bat" "%USERPROFILE%\AppData\Local\Temp\OnboardLogs"\RTDC4055\2017-06-11</v>
      </c>
      <c r="AF117" s="77" t="str">
        <f t="shared" si="58"/>
        <v>"C:\Program Files (x86)\AstroGrep\AstroGrep.exe" /e /r /s /spath="%USERPROFILE%\AppData\Local\Temp\OnboardLogs" /stypes="app*4055*20170610*" /stext=" 23:.+((SYSTEM_STATE.+slice.+state.+changed )|(ment ac)|(multiple cpu faults)|(system.+state.+changed )|(\[timeout)|(PRM\|1\|D)|(kpr)|(kdp)|(train st.+moving)|(\|lc)|(penalty))"</v>
      </c>
      <c r="AG117" s="1" t="str">
        <f t="shared" si="59"/>
        <v>EC</v>
      </c>
      <c r="AH117" s="81" t="str">
        <f t="shared" si="60"/>
        <v>"%USERPROFILE%\Documents\GitHub\eaglep3\Utilities\RefineRTDCRunTimes.py" --tripid 200-10 --locoid 4055 --swversion DE.1.0.9.0 --startMP 204:232967 --initTime 2017-06-10T16:53:39 --startdatetime 2017-06-10T16:57:13 --delay 1 --endMP 204:147 --enddatetime 2017-06-10T17:38:03 --enforcementcount 0 &gt;&gt;C:\Users\stu\Documents\GitHub\eaglep3-reporting\EC\2017-06-10-refined-times.txt</v>
      </c>
      <c r="AI117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{"issue":{"subject":"","project_id":79,"tracker_id":40,"status_id":1,"priority_id":2,"assigned_to_id":23,"start_date":"2017-06-10","description":"","custom_fields":[{"id":1,"name":"Subdivision","value":"EC"},{"id":4,"name":"Milepost","value":"0.0147"},{"id":17,"name":"Train ID","value":"200-10"},{"id":16,"name":"Locomotive ID","value":"4055"},{"id":130,"name":"Impact","value":""},{"id":150,"name":"Time of Event (Mountain Time)","value":"17:38:03"},{"id":151,"name":"Denver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5" t="str">
        <f t="shared" si="62"/>
        <v>start /low /b %USERPROFILE%\Documents\GitHub\eaglep3\Utilities\DownloadLogsFromS3.py --loco 4055 --day 2017-06-10</v>
      </c>
      <c r="AN117" s="154" t="str">
        <f t="shared" si="63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23:38:03"},{"id":29,"name":"Sharepoint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761</v>
      </c>
      <c r="B118" s="7">
        <v>4002</v>
      </c>
      <c r="C118" s="21" t="s">
        <v>204</v>
      </c>
      <c r="D118" s="21" t="s">
        <v>356</v>
      </c>
      <c r="E118" s="13">
        <v>42896.673483796294</v>
      </c>
      <c r="F118" s="13">
        <v>42896.677303240744</v>
      </c>
      <c r="G118" s="7">
        <v>1</v>
      </c>
      <c r="H118" s="21" t="s">
        <v>519</v>
      </c>
      <c r="I118" s="13">
        <v>42896.702337962961</v>
      </c>
      <c r="J118" s="7">
        <v>0</v>
      </c>
      <c r="K118" s="92" t="str">
        <f t="shared" si="47"/>
        <v>4001/4002</v>
      </c>
      <c r="L118" s="21" t="str">
        <f>VLOOKUP(A118,'Trips&amp;Operators'!$C$1:$G$99999,5,FALSE)</f>
        <v>HOLCOMB KAMDEN</v>
      </c>
      <c r="M118" s="6">
        <f t="shared" si="48"/>
        <v>2.5034722217242233E-2</v>
      </c>
      <c r="N118" s="7">
        <f t="shared" si="67"/>
        <v>36.049999992828816</v>
      </c>
      <c r="O118" s="7"/>
      <c r="P118" s="7"/>
      <c r="Q118" s="22"/>
      <c r="R118" s="173"/>
      <c r="S118" s="176">
        <f t="shared" si="68"/>
        <v>1</v>
      </c>
      <c r="T118" s="202" t="str">
        <f t="shared" si="49"/>
        <v>NorthBound</v>
      </c>
      <c r="U118" s="202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03" t="str">
        <f t="shared" si="50"/>
        <v>https://d0f6bd738d7f1b3e5a7ca70fe4ff75f0.us-east-1.aws.found.io/app/kibana#/discover/Steve-Slow-Train-Analysis-(2080s-and-2083s)?_g=(refreshInterval:(display:Off,pause:!f,section:0,value:0),time:(from:'2017-06-10T15:09:49-0600',mode:absolute,to:'2017-06-10T17:51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8" s="204" t="str">
        <f t="shared" si="51"/>
        <v>N</v>
      </c>
      <c r="X118" s="204">
        <f t="shared" si="52"/>
        <v>1</v>
      </c>
      <c r="Y118" s="204">
        <f t="shared" si="69"/>
        <v>4.5100000000000001E-2</v>
      </c>
      <c r="Z118" s="204">
        <f t="shared" si="64"/>
        <v>23.330200000000001</v>
      </c>
      <c r="AA118" s="204">
        <f t="shared" si="55"/>
        <v>23.2851</v>
      </c>
      <c r="AB118" s="57" t="e">
        <f>VLOOKUP(A118,Enforcements!$C$7:$K$13,8,0)</f>
        <v>#N/A</v>
      </c>
      <c r="AC118" s="53" t="e">
        <f>VLOOKUP(A118,Enforcements!$C$7:$E$13,3,0)</f>
        <v>#N/A</v>
      </c>
      <c r="AD118" s="54" t="str">
        <f t="shared" si="56"/>
        <v>0201-10</v>
      </c>
      <c r="AE118" s="80" t="str">
        <f t="shared" si="57"/>
        <v>aws s3 cp s3://rtdc.mdm.uploadarchive.raw/RTDC4002/ "%USERPROFILE%\AppData\Local\Temp\OnboardLogs"\RTDC4002\2017-06-10 --exclude "*" --recursive --include "*20170610*" &amp; "%USERPROFILE%\Documents\GitHub\mrs-test-scripts\Headless Mode &amp; Sideloading\WalkAndUnGZ.bat" "%USERPROFILE%\AppData\Local\Temp\OnboardLogs"\RTDC4002\2017-06-10 &amp; aws s3 cp s3://rtdc.mdm.uploadarchive.raw/RTDC4002/ "%USERPROFILE%\AppData\Local\Temp\OnboardLogs"\RTDC4002\2017-06-11 --exclude "*" --recursive --include "*20170611*" &amp; "%USERPROFILE%\Documents\GitHub\mrs-test-scripts\Headless Mode &amp; Sideloading\WalkAndUnGZ.bat" "%USERPROFILE%\AppData\Local\Temp\OnboardLogs"\RTDC4002\2017-06-11</v>
      </c>
      <c r="AF118" s="77" t="str">
        <f t="shared" si="58"/>
        <v>"C:\Program Files (x86)\AstroGrep\AstroGrep.exe" /e /r /s /spath="%USERPROFILE%\AppData\Local\Temp\OnboardLogs" /stypes="app*4002*20170610*" /stext=" 22:.+((SYSTEM_STATE.+slice.+state.+changed )|(ment ac)|(multiple cpu faults)|(system.+state.+changed )|(\[timeout)|(PRM\|1\|D)|(kpr)|(kdp)|(train st.+moving)|(\|lc)|(penalty))"</v>
      </c>
      <c r="AG118" s="1" t="str">
        <f t="shared" si="59"/>
        <v>EC</v>
      </c>
      <c r="AH118" s="81" t="str">
        <f t="shared" si="60"/>
        <v>"%USERPROFILE%\Documents\GitHub\eaglep3\Utilities\RefineRTDCRunTimes.py" --tripid 201-10 --locoid 4002 --swversion DE.1.0.9.0 --startMP 204:451 --initTime 2017-06-10T16:09:49 --startdatetime 2017-06-10T16:15:19 --delay 1 --endMP 204:233302 --enddatetime 2017-06-10T16:51:22 --enforcementcount 0 &gt;&gt;C:\Users\stu\Documents\GitHub\eaglep3-reporting\EC\2017-06-10-refined-times.txt</v>
      </c>
      <c r="AI118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{"issue":{"subject":"","project_id":79,"tracker_id":40,"status_id":1,"priority_id":2,"assigned_to_id":23,"start_date":"2017-06-10","description":"","custom_fields":[{"id":1,"name":"Subdivision","value":"EC"},{"id":4,"name":"Milepost","value":"23.3302"},{"id":17,"name":"Train ID","value":"201-10"},{"id":16,"name":"Locomotive ID","value":"4002"},{"id":130,"name":"Impact","value":""},{"id":150,"name":"Time of Event (Mountain Time)","value":"16:51:22"},{"id":151,"name":"Denver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5" t="str">
        <f t="shared" si="62"/>
        <v>start /low /b %USERPROFILE%\Documents\GitHub\eaglep3\Utilities\DownloadLogsFromS3.py --loco 4002 --day 2017-06-10</v>
      </c>
      <c r="AN118" s="154" t="str">
        <f t="shared" si="63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22:51:22"},{"id":29,"name":"Sharepoint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767</v>
      </c>
      <c r="B119" s="7">
        <v>4001</v>
      </c>
      <c r="C119" s="21" t="s">
        <v>204</v>
      </c>
      <c r="D119" s="21" t="s">
        <v>856</v>
      </c>
      <c r="E119" s="13">
        <v>42896.713680555556</v>
      </c>
      <c r="F119" s="13">
        <v>42896.716840277775</v>
      </c>
      <c r="G119" s="7">
        <v>1</v>
      </c>
      <c r="H119" s="21" t="s">
        <v>195</v>
      </c>
      <c r="I119" s="13">
        <v>42896.744641203702</v>
      </c>
      <c r="J119" s="7">
        <v>0</v>
      </c>
      <c r="K119" s="92" t="str">
        <f t="shared" si="47"/>
        <v>4001/4002</v>
      </c>
      <c r="L119" s="21" t="str">
        <f>VLOOKUP(A119,'Trips&amp;Operators'!$C$1:$G$99999,5,FALSE)</f>
        <v>HOLCOMB KAMDEN</v>
      </c>
      <c r="M119" s="6">
        <f t="shared" si="48"/>
        <v>2.7800925927294884E-2</v>
      </c>
      <c r="N119" s="7">
        <f t="shared" si="67"/>
        <v>40.033333335304633</v>
      </c>
      <c r="O119" s="7"/>
      <c r="P119" s="7"/>
      <c r="Q119" s="22"/>
      <c r="R119" s="173"/>
      <c r="S119" s="176">
        <f t="shared" si="68"/>
        <v>1</v>
      </c>
      <c r="T119" s="202" t="str">
        <f t="shared" si="49"/>
        <v>Southbound</v>
      </c>
      <c r="U119" s="202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03" t="str">
        <f t="shared" si="50"/>
        <v>https://d0f6bd738d7f1b3e5a7ca70fe4ff75f0.us-east-1.aws.found.io/app/kibana#/discover/Steve-Slow-Train-Analysis-(2080s-and-2083s)?_g=(refreshInterval:(display:Off,pause:!f,section:0,value:0),time:(from:'2017-06-10T16:07:42-0600',mode:absolute,to:'2017-06-10T18:52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9" s="204" t="str">
        <f t="shared" si="51"/>
        <v>N</v>
      </c>
      <c r="X119" s="204">
        <f t="shared" si="52"/>
        <v>1</v>
      </c>
      <c r="Y119" s="204">
        <f t="shared" si="69"/>
        <v>23.299099999999999</v>
      </c>
      <c r="Z119" s="204">
        <f t="shared" si="64"/>
        <v>1.52E-2</v>
      </c>
      <c r="AA119" s="204">
        <f t="shared" si="55"/>
        <v>23.283899999999999</v>
      </c>
      <c r="AB119" s="57" t="e">
        <f>VLOOKUP(A119,Enforcements!$C$7:$K$13,8,0)</f>
        <v>#N/A</v>
      </c>
      <c r="AC119" s="53" t="e">
        <f>VLOOKUP(A119,Enforcements!$C$7:$E$13,3,0)</f>
        <v>#N/A</v>
      </c>
      <c r="AD119" s="54" t="str">
        <f t="shared" si="56"/>
        <v>0202-10</v>
      </c>
      <c r="AE119" s="80" t="str">
        <f t="shared" si="57"/>
        <v>aws s3 cp s3://rtdc.mdm.uploadarchive.raw/RTDC4001/ "%USERPROFILE%\AppData\Local\Temp\OnboardLogs"\RTDC4001\2017-06-10 --exclude "*" --recursive --include "*20170610*" &amp; "%USERPROFILE%\Documents\GitHub\mrs-test-scripts\Headless Mode &amp; Sideloading\WalkAndUnGZ.bat" "%USERPROFILE%\AppData\Local\Temp\OnboardLogs"\RTDC4001\2017-06-10 &amp; aws s3 cp s3://rtdc.mdm.uploadarchive.raw/RTDC4001/ "%USERPROFILE%\AppData\Local\Temp\OnboardLogs"\RTDC4001\2017-06-11 --exclude "*" --recursive --include "*20170611*" &amp; "%USERPROFILE%\Documents\GitHub\mrs-test-scripts\Headless Mode &amp; Sideloading\WalkAndUnGZ.bat" "%USERPROFILE%\AppData\Local\Temp\OnboardLogs"\RTDC4001\2017-06-11</v>
      </c>
      <c r="AF119" s="77" t="str">
        <f t="shared" si="58"/>
        <v>"C:\Program Files (x86)\AstroGrep\AstroGrep.exe" /e /r /s /spath="%USERPROFILE%\AppData\Local\Temp\OnboardLogs" /stypes="app*4001*20170610*" /stext=" 23:.+((SYSTEM_STATE.+slice.+state.+changed )|(ment ac)|(multiple cpu faults)|(system.+state.+changed )|(\[timeout)|(PRM\|1\|D)|(kpr)|(kdp)|(train st.+moving)|(\|lc)|(penalty))"</v>
      </c>
      <c r="AG119" s="1" t="str">
        <f t="shared" si="59"/>
        <v>EC</v>
      </c>
      <c r="AH119" s="81" t="str">
        <f t="shared" si="60"/>
        <v>"%USERPROFILE%\Documents\GitHub\eaglep3\Utilities\RefineRTDCRunTimes.py" --tripid 202-10 --locoid 4001 --swversion DE.1.0.9.0 --startMP 204:232991 --initTime 2017-06-10T17:07:42 --startdatetime 2017-06-10T17:12:15 --delay 1 --endMP 204:152 --enddatetime 2017-06-10T17:52:17 --enforcementcount 0 &gt;&gt;C:\Users\stu\Documents\GitHub\eaglep3-reporting\EC\2017-06-10-refined-times.txt</v>
      </c>
      <c r="AI119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{"issue":{"subject":"","project_id":79,"tracker_id":40,"status_id":1,"priority_id":2,"assigned_to_id":23,"start_date":"2017-06-10","description":"","custom_fields":[{"id":1,"name":"Subdivision","value":"EC"},{"id":4,"name":"Milepost","value":"0.0152"},{"id":17,"name":"Train ID","value":"202-10"},{"id":16,"name":"Locomotive ID","value":"4001"},{"id":130,"name":"Impact","value":""},{"id":150,"name":"Time of Event (Mountain Time)","value":"17:52:17"},{"id":151,"name":"Denver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5" t="str">
        <f t="shared" si="62"/>
        <v>start /low /b %USERPROFILE%\Documents\GitHub\eaglep3\Utilities\DownloadLogsFromS3.py --loco 4001 --day 2017-06-10</v>
      </c>
      <c r="AN119" s="154" t="str">
        <f t="shared" si="63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23:52:17"},{"id":29,"name":"Sharepoint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762</v>
      </c>
      <c r="B120" s="7">
        <v>4022</v>
      </c>
      <c r="C120" s="21" t="s">
        <v>204</v>
      </c>
      <c r="D120" s="21" t="s">
        <v>351</v>
      </c>
      <c r="E120" s="13">
        <v>42896.685428240744</v>
      </c>
      <c r="F120" s="13">
        <v>42896.688252314816</v>
      </c>
      <c r="G120" s="7">
        <v>1</v>
      </c>
      <c r="H120" s="21" t="s">
        <v>838</v>
      </c>
      <c r="I120" s="13">
        <v>42896.715312499997</v>
      </c>
      <c r="J120" s="7">
        <v>0</v>
      </c>
      <c r="K120" s="92" t="str">
        <f t="shared" si="47"/>
        <v>4021/4022</v>
      </c>
      <c r="L120" s="21" t="str">
        <f>VLOOKUP(A120,'Trips&amp;Operators'!$C$1:$G$99999,5,FALSE)</f>
        <v>DAVIS MICHAEL</v>
      </c>
      <c r="M120" s="6">
        <f t="shared" si="48"/>
        <v>2.7060185180744156E-2</v>
      </c>
      <c r="N120" s="7">
        <f t="shared" si="67"/>
        <v>38.966666660271585</v>
      </c>
      <c r="O120" s="7"/>
      <c r="P120" s="7"/>
      <c r="Q120" s="22"/>
      <c r="R120" s="173"/>
      <c r="S120" s="176">
        <f t="shared" si="68"/>
        <v>1</v>
      </c>
      <c r="T120" s="202" t="str">
        <f t="shared" si="49"/>
        <v>NorthBound</v>
      </c>
      <c r="U120" s="202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03" t="str">
        <f t="shared" si="50"/>
        <v>https://d0f6bd738d7f1b3e5a7ca70fe4ff75f0.us-east-1.aws.found.io/app/kibana#/discover/Steve-Slow-Train-Analysis-(2080s-and-2083s)?_g=(refreshInterval:(display:Off,pause:!f,section:0,value:0),time:(from:'2017-06-10T15:27:01-0600',mode:absolute,to:'2017-06-10T18:10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20" s="204" t="str">
        <f t="shared" si="51"/>
        <v>N</v>
      </c>
      <c r="X120" s="204">
        <f t="shared" si="52"/>
        <v>1</v>
      </c>
      <c r="Y120" s="204">
        <f t="shared" si="69"/>
        <v>4.58E-2</v>
      </c>
      <c r="Z120" s="204">
        <f t="shared" si="64"/>
        <v>23.327000000000002</v>
      </c>
      <c r="AA120" s="204">
        <f t="shared" si="55"/>
        <v>23.281200000000002</v>
      </c>
      <c r="AB120" s="57" t="e">
        <f>VLOOKUP(A120,Enforcements!$C$7:$K$13,8,0)</f>
        <v>#N/A</v>
      </c>
      <c r="AC120" s="53" t="e">
        <f>VLOOKUP(A120,Enforcements!$C$7:$E$13,3,0)</f>
        <v>#N/A</v>
      </c>
      <c r="AD120" s="54" t="str">
        <f t="shared" si="56"/>
        <v>0203-10</v>
      </c>
      <c r="AE120" s="80" t="str">
        <f t="shared" si="57"/>
        <v>aws s3 cp s3://rtdc.mdm.uploadarchive.raw/RTDC4022/ "%USERPROFILE%\AppData\Local\Temp\OnboardLogs"\RTDC4022\2017-06-10 --exclude "*" --recursive --include "*20170610*" &amp; "%USERPROFILE%\Documents\GitHub\mrs-test-scripts\Headless Mode &amp; Sideloading\WalkAndUnGZ.bat" "%USERPROFILE%\AppData\Local\Temp\OnboardLogs"\RTDC4022\2017-06-10 &amp; aws s3 cp s3://rtdc.mdm.uploadarchive.raw/RTDC4022/ "%USERPROFILE%\AppData\Local\Temp\OnboardLogs"\RTDC4022\2017-06-11 --exclude "*" --recursive --include "*20170611*" &amp; "%USERPROFILE%\Documents\GitHub\mrs-test-scripts\Headless Mode &amp; Sideloading\WalkAndUnGZ.bat" "%USERPROFILE%\AppData\Local\Temp\OnboardLogs"\RTDC4022\2017-06-11</v>
      </c>
      <c r="AF120" s="77" t="str">
        <f t="shared" si="58"/>
        <v>"C:\Program Files (x86)\AstroGrep\AstroGrep.exe" /e /r /s /spath="%USERPROFILE%\AppData\Local\Temp\OnboardLogs" /stypes="app*4022*20170610*" /stext=" 23:.+((SYSTEM_STATE.+slice.+state.+changed )|(ment ac)|(multiple cpu faults)|(system.+state.+changed )|(\[timeout)|(PRM\|1\|D)|(kpr)|(kdp)|(train st.+moving)|(\|lc)|(penalty))"</v>
      </c>
      <c r="AG120" s="1" t="str">
        <f t="shared" si="59"/>
        <v>EC</v>
      </c>
      <c r="AH120" s="81" t="str">
        <f t="shared" si="60"/>
        <v>"%USERPROFILE%\Documents\GitHub\eaglep3\Utilities\RefineRTDCRunTimes.py" --tripid 203-10 --locoid 4022 --swversion DE.1.0.9.0 --startMP 204:458 --initTime 2017-06-10T16:27:01 --startdatetime 2017-06-10T16:31:05 --delay 1 --endMP 204:233270 --enddatetime 2017-06-10T17:10:03 --enforcementcount 0 &gt;&gt;C:\Users\stu\Documents\GitHub\eaglep3-reporting\EC\2017-06-10-refined-times.txt</v>
      </c>
      <c r="AI120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{"issue":{"subject":"","project_id":79,"tracker_id":40,"status_id":1,"priority_id":2,"assigned_to_id":23,"start_date":"2017-06-10","description":"","custom_fields":[{"id":1,"name":"Subdivision","value":"EC"},{"id":4,"name":"Milepost","value":"23.327"},{"id":17,"name":"Train ID","value":"203-10"},{"id":16,"name":"Locomotive ID","value":"4022"},{"id":130,"name":"Impact","value":""},{"id":150,"name":"Time of Event (Mountain Time)","value":"17:10:03"},{"id":151,"name":"Denver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5" t="str">
        <f t="shared" si="62"/>
        <v>start /low /b %USERPROFILE%\Documents\GitHub\eaglep3\Utilities\DownloadLogsFromS3.py --loco 4022 --day 2017-06-10</v>
      </c>
      <c r="AN120" s="154" t="str">
        <f t="shared" si="63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23:10:03"},{"id":29,"name":"Sharepoint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769</v>
      </c>
      <c r="B121" s="7">
        <v>4021</v>
      </c>
      <c r="C121" s="21" t="s">
        <v>204</v>
      </c>
      <c r="D121" s="21" t="s">
        <v>551</v>
      </c>
      <c r="E121" s="13">
        <v>42896.726585648146</v>
      </c>
      <c r="F121" s="13">
        <v>42896.727893518517</v>
      </c>
      <c r="G121" s="7">
        <v>0</v>
      </c>
      <c r="H121" s="21" t="s">
        <v>457</v>
      </c>
      <c r="I121" s="13">
        <v>42896.75545138889</v>
      </c>
      <c r="J121" s="7">
        <v>0</v>
      </c>
      <c r="K121" s="92" t="str">
        <f t="shared" si="47"/>
        <v>4021/4022</v>
      </c>
      <c r="L121" s="21" t="str">
        <f>VLOOKUP(A121,'Trips&amp;Operators'!$C$1:$G$99999,5,FALSE)</f>
        <v>DAVIS MICHAEL</v>
      </c>
      <c r="M121" s="6">
        <f t="shared" si="48"/>
        <v>2.7557870373129845E-2</v>
      </c>
      <c r="N121" s="7">
        <f t="shared" si="67"/>
        <v>39.683333337306976</v>
      </c>
      <c r="O121" s="7"/>
      <c r="P121" s="7"/>
      <c r="Q121" s="22"/>
      <c r="R121" s="173"/>
      <c r="S121" s="176">
        <f t="shared" si="68"/>
        <v>1</v>
      </c>
      <c r="T121" s="202" t="str">
        <f t="shared" si="49"/>
        <v>Southbound</v>
      </c>
      <c r="U121" s="202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03" t="str">
        <f t="shared" si="50"/>
        <v>https://d0f6bd738d7f1b3e5a7ca70fe4ff75f0.us-east-1.aws.found.io/app/kibana#/discover/Steve-Slow-Train-Analysis-(2080s-and-2083s)?_g=(refreshInterval:(display:Off,pause:!f,section:0,value:0),time:(from:'2017-06-10T16:26:17-0600',mode:absolute,to:'2017-06-10T19:07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21" s="204" t="str">
        <f t="shared" si="51"/>
        <v>N</v>
      </c>
      <c r="X121" s="204">
        <f t="shared" si="52"/>
        <v>1</v>
      </c>
      <c r="Y121" s="204">
        <f t="shared" si="69"/>
        <v>23.298400000000001</v>
      </c>
      <c r="Z121" s="204">
        <f t="shared" si="64"/>
        <v>1.38E-2</v>
      </c>
      <c r="AA121" s="204">
        <f t="shared" si="55"/>
        <v>23.284600000000001</v>
      </c>
      <c r="AB121" s="57" t="e">
        <f>VLOOKUP(A121,Enforcements!$C$7:$K$13,8,0)</f>
        <v>#N/A</v>
      </c>
      <c r="AC121" s="53" t="e">
        <f>VLOOKUP(A121,Enforcements!$C$7:$E$13,3,0)</f>
        <v>#N/A</v>
      </c>
      <c r="AD121" s="54" t="str">
        <f t="shared" si="56"/>
        <v>0204-10</v>
      </c>
      <c r="AE121" s="80" t="str">
        <f t="shared" si="57"/>
        <v>aws s3 cp s3://rtdc.mdm.uploadarchive.raw/RTDC4021/ "%USERPROFILE%\AppData\Local\Temp\OnboardLogs"\RTDC4021\2017-06-10 --exclude "*" --recursive --include "*20170610*" &amp; "%USERPROFILE%\Documents\GitHub\mrs-test-scripts\Headless Mode &amp; Sideloading\WalkAndUnGZ.bat" "%USERPROFILE%\AppData\Local\Temp\OnboardLogs"\RTDC4021\2017-06-10 &amp; aws s3 cp s3://rtdc.mdm.uploadarchive.raw/RTDC4021/ "%USERPROFILE%\AppData\Local\Temp\OnboardLogs"\RTDC4021\2017-06-11 --exclude "*" --recursive --include "*20170611*" &amp; "%USERPROFILE%\Documents\GitHub\mrs-test-scripts\Headless Mode &amp; Sideloading\WalkAndUnGZ.bat" "%USERPROFILE%\AppData\Local\Temp\OnboardLogs"\RTDC4021\2017-06-11</v>
      </c>
      <c r="AF121" s="77" t="str">
        <f t="shared" si="58"/>
        <v>"C:\Program Files (x86)\AstroGrep\AstroGrep.exe" /e /r /s /spath="%USERPROFILE%\AppData\Local\Temp\OnboardLogs" /stypes="app*4021*20170611*" /stext=" 00:.+((SYSTEM_STATE.+slice.+state.+changed )|(ment ac)|(multiple cpu faults)|(system.+state.+changed )|(\[timeout)|(PRM\|1\|D)|(kpr)|(kdp)|(train st.+moving)|(\|lc)|(penalty))"</v>
      </c>
      <c r="AG121" s="1" t="str">
        <f t="shared" si="59"/>
        <v>EC</v>
      </c>
      <c r="AH121" s="81" t="str">
        <f t="shared" si="60"/>
        <v>"%USERPROFILE%\Documents\GitHub\eaglep3\Utilities\RefineRTDCRunTimes.py" --tripid 204-10 --locoid 4021 --swversion DE.1.0.9.0 --startMP 204:232984 --initTime 2017-06-10T17:26:17 --startdatetime 2017-06-10T17:28:10 --delay 0 --endMP 204:138 --enddatetime 2017-06-10T18:07:51 --enforcementcount 0 &gt;&gt;C:\Users\stu\Documents\GitHub\eaglep3-reporting\EC\2017-06-10-refined-times.txt</v>
      </c>
      <c r="AI121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{"issue":{"subject":"","project_id":79,"tracker_id":40,"status_id":1,"priority_id":2,"assigned_to_id":23,"start_date":"2017-06-10","description":"","custom_fields":[{"id":1,"name":"Subdivision","value":"EC"},{"id":4,"name":"Milepost","value":"0.0138"},{"id":17,"name":"Train ID","value":"204-10"},{"id":16,"name":"Locomotive ID","value":"4021"},{"id":130,"name":"Impact","value":""},{"id":150,"name":"Time of Event (Mountain Time)","value":"18:07:51"},{"id":151,"name":"Denver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5" t="str">
        <f t="shared" si="62"/>
        <v>start /low /b %USERPROFILE%\Documents\GitHub\eaglep3\Utilities\DownloadLogsFromS3.py --loco 4021 --day 2017-06-10</v>
      </c>
      <c r="AN121" s="154" t="str">
        <f t="shared" si="63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00:07:51"},{"id":29,"name":"Sharepoint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601</v>
      </c>
      <c r="B122" s="7">
        <v>4028</v>
      </c>
      <c r="C122" s="21" t="s">
        <v>204</v>
      </c>
      <c r="D122" s="21" t="s">
        <v>200</v>
      </c>
      <c r="E122" s="13">
        <v>42896.698483796295</v>
      </c>
      <c r="F122" s="13">
        <v>42896.699918981481</v>
      </c>
      <c r="G122" s="7">
        <v>1</v>
      </c>
      <c r="H122" s="21" t="s">
        <v>452</v>
      </c>
      <c r="I122" s="13">
        <v>42896.726377314815</v>
      </c>
      <c r="J122" s="7">
        <v>0</v>
      </c>
      <c r="K122" s="92" t="str">
        <f t="shared" si="47"/>
        <v>4027/4028</v>
      </c>
      <c r="L122" s="21" t="str">
        <f>VLOOKUP(A122,'Trips&amp;Operators'!$C$1:$G$99999,5,FALSE)</f>
        <v>BRANDNER MELINDA</v>
      </c>
      <c r="M122" s="6">
        <f t="shared" si="48"/>
        <v>2.6458333333721384E-2</v>
      </c>
      <c r="N122" s="7">
        <f t="shared" si="67"/>
        <v>38.100000000558794</v>
      </c>
      <c r="O122" s="7"/>
      <c r="P122" s="7"/>
      <c r="Q122" s="22"/>
      <c r="R122" s="173"/>
      <c r="S122" s="176">
        <f t="shared" si="68"/>
        <v>1</v>
      </c>
      <c r="T122" s="202" t="str">
        <f t="shared" si="49"/>
        <v>NorthBound</v>
      </c>
      <c r="U122" s="202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03" t="str">
        <f t="shared" si="50"/>
        <v>https://d0f6bd738d7f1b3e5a7ca70fe4ff75f0.us-east-1.aws.found.io/app/kibana#/discover/Steve-Slow-Train-Analysis-(2080s-and-2083s)?_g=(refreshInterval:(display:Off,pause:!f,section:0,value:0),time:(from:'2017-06-10T15:45:49-0600',mode:absolute,to:'2017-06-10T18:25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22" s="204" t="str">
        <f t="shared" si="51"/>
        <v>N</v>
      </c>
      <c r="X122" s="204">
        <f t="shared" si="52"/>
        <v>1</v>
      </c>
      <c r="Y122" s="204">
        <f t="shared" si="69"/>
        <v>4.5699999999999998E-2</v>
      </c>
      <c r="Z122" s="204">
        <f t="shared" si="64"/>
        <v>23.329699999999999</v>
      </c>
      <c r="AA122" s="204">
        <f t="shared" si="55"/>
        <v>23.283999999999999</v>
      </c>
      <c r="AB122" s="57" t="str">
        <f>VLOOKUP(A122,Enforcements!$C$7:$K$13,8,0)</f>
        <v>Bulletin (2)</v>
      </c>
      <c r="AC122" s="53" t="str">
        <f>VLOOKUP(A122,Enforcements!$C$7:$E$13,3,0)</f>
        <v>GRADE CROSSING</v>
      </c>
      <c r="AD122" s="54" t="str">
        <f t="shared" si="56"/>
        <v>0205-10</v>
      </c>
      <c r="AE122" s="80" t="str">
        <f t="shared" si="57"/>
        <v>aws s3 cp s3://rtdc.mdm.uploadarchive.raw/RTDC4028/ "%USERPROFILE%\AppData\Local\Temp\OnboardLogs"\RTDC4028\2017-06-10 --exclude "*" --recursive --include "*20170610*" &amp; "%USERPROFILE%\Documents\GitHub\mrs-test-scripts\Headless Mode &amp; Sideloading\WalkAndUnGZ.bat" "%USERPROFILE%\AppData\Local\Temp\OnboardLogs"\RTDC4028\2017-06-10 &amp; aws s3 cp s3://rtdc.mdm.uploadarchive.raw/RTDC4028/ "%USERPROFILE%\AppData\Local\Temp\OnboardLogs"\RTDC4028\2017-06-11 --exclude "*" --recursive --include "*20170611*" &amp; "%USERPROFILE%\Documents\GitHub\mrs-test-scripts\Headless Mode &amp; Sideloading\WalkAndUnGZ.bat" "%USERPROFILE%\AppData\Local\Temp\OnboardLogs"\RTDC4028\2017-06-11</v>
      </c>
      <c r="AF122" s="77" t="str">
        <f t="shared" si="58"/>
        <v>"C:\Program Files (x86)\AstroGrep\AstroGrep.exe" /e /r /s /spath="%USERPROFILE%\AppData\Local\Temp\OnboardLogs" /stypes="app*4028*20170610*" /stext=" 23:.+((SYSTEM_STATE.+slice.+state.+changed )|(ment ac)|(multiple cpu faults)|(system.+state.+changed )|(\[timeout)|(PRM\|1\|D)|(kpr)|(kdp)|(train st.+moving)|(\|lc)|(penalty))"</v>
      </c>
      <c r="AG122" s="1" t="str">
        <f t="shared" si="59"/>
        <v>EC</v>
      </c>
      <c r="AH122" s="81" t="str">
        <f t="shared" si="60"/>
        <v>"%USERPROFILE%\Documents\GitHub\eaglep3\Utilities\RefineRTDCRunTimes.py" --tripid 205-10 --locoid 4028 --swversion DE.1.0.9.0 --startMP 204:457 --initTime 2017-06-10T16:45:49 --startdatetime 2017-06-10T16:47:53 --delay 1 --endMP 204:233297 --enddatetime 2017-06-10T17:25:59 --enforcementcount 0 &gt;&gt;C:\Users\stu\Documents\GitHub\eaglep3-reporting\EC\2017-06-10-refined-times.txt</v>
      </c>
      <c r="AI122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{"issue":{"subject":"","project_id":79,"tracker_id":40,"status_id":1,"priority_id":2,"assigned_to_id":23,"start_date":"2017-06-10","description":"","custom_fields":[{"id":1,"name":"Subdivision","value":"EC"},{"id":4,"name":"Milepost","value":"23.3297"},{"id":17,"name":"Train ID","value":"205-10"},{"id":16,"name":"Locomotive ID","value":"4028"},{"id":130,"name":"Impact","value":""},{"id":150,"name":"Time of Event (Mountain Time)","value":"17:25:59"},{"id":151,"name":"Denver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5" t="str">
        <f t="shared" si="62"/>
        <v>start /low /b %USERPROFILE%\Documents\GitHub\eaglep3\Utilities\DownloadLogsFromS3.py --loco 4028 --day 2017-06-10</v>
      </c>
      <c r="AN122" s="154" t="str">
        <f t="shared" si="63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23:25:59"},{"id":29,"name":"Sharepoint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771</v>
      </c>
      <c r="B123" s="7">
        <v>4027</v>
      </c>
      <c r="C123" s="21" t="s">
        <v>204</v>
      </c>
      <c r="D123" s="21" t="s">
        <v>485</v>
      </c>
      <c r="E123" s="13">
        <v>42896.733124999999</v>
      </c>
      <c r="F123" s="13">
        <v>42896.737638888888</v>
      </c>
      <c r="G123" s="7">
        <v>1</v>
      </c>
      <c r="H123" s="21" t="s">
        <v>935</v>
      </c>
      <c r="I123" s="13">
        <v>42896.764918981484</v>
      </c>
      <c r="J123" s="7">
        <v>0</v>
      </c>
      <c r="K123" s="92" t="str">
        <f t="shared" si="47"/>
        <v>4027/4028</v>
      </c>
      <c r="L123" s="21" t="str">
        <f>VLOOKUP(A123,'Trips&amp;Operators'!$C$1:$G$99999,5,FALSE)</f>
        <v>BRANDNER MELINDA</v>
      </c>
      <c r="M123" s="6">
        <f t="shared" si="48"/>
        <v>2.7280092595901806E-2</v>
      </c>
      <c r="N123" s="7">
        <f t="shared" si="67"/>
        <v>39.283333338098601</v>
      </c>
      <c r="O123" s="7"/>
      <c r="P123" s="7"/>
      <c r="Q123" s="22"/>
      <c r="R123" s="173"/>
      <c r="S123" s="176">
        <f t="shared" si="68"/>
        <v>1</v>
      </c>
      <c r="T123" s="202" t="str">
        <f t="shared" si="49"/>
        <v>Southbound</v>
      </c>
      <c r="U123" s="202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03" t="str">
        <f t="shared" si="50"/>
        <v>https://d0f6bd738d7f1b3e5a7ca70fe4ff75f0.us-east-1.aws.found.io/app/kibana#/discover/Steve-Slow-Train-Analysis-(2080s-and-2083s)?_g=(refreshInterval:(display:Off,pause:!f,section:0,value:0),time:(from:'2017-06-10T16:35:42-0600',mode:absolute,to:'2017-06-10T19:21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3" s="204" t="str">
        <f t="shared" si="51"/>
        <v>N</v>
      </c>
      <c r="X123" s="204">
        <f t="shared" si="52"/>
        <v>1</v>
      </c>
      <c r="Y123" s="204">
        <f t="shared" si="69"/>
        <v>23.298300000000001</v>
      </c>
      <c r="Z123" s="204">
        <f t="shared" ref="Z123:Z154" si="70">RIGHT(H123,LEN(H123)-4)/10000</f>
        <v>1.21E-2</v>
      </c>
      <c r="AA123" s="204">
        <f t="shared" si="55"/>
        <v>23.286200000000001</v>
      </c>
      <c r="AB123" s="57" t="e">
        <f>VLOOKUP(A123,Enforcements!$C$7:$K$13,8,0)</f>
        <v>#N/A</v>
      </c>
      <c r="AC123" s="53" t="e">
        <f>VLOOKUP(A123,Enforcements!$C$7:$E$13,3,0)</f>
        <v>#N/A</v>
      </c>
      <c r="AD123" s="54" t="str">
        <f t="shared" si="56"/>
        <v>0206-10</v>
      </c>
      <c r="AE123" s="80" t="str">
        <f t="shared" si="57"/>
        <v>aws s3 cp s3://rtdc.mdm.uploadarchive.raw/RTDC4027/ "%USERPROFILE%\AppData\Local\Temp\OnboardLogs"\RTDC4027\2017-06-10 --exclude "*" --recursive --include "*20170610*" &amp; "%USERPROFILE%\Documents\GitHub\mrs-test-scripts\Headless Mode &amp; Sideloading\WalkAndUnGZ.bat" "%USERPROFILE%\AppData\Local\Temp\OnboardLogs"\RTDC4027\2017-06-10 &amp; aws s3 cp s3://rtdc.mdm.uploadarchive.raw/RTDC4027/ "%USERPROFILE%\AppData\Local\Temp\OnboardLogs"\RTDC4027\2017-06-11 --exclude "*" --recursive --include "*20170611*" &amp; "%USERPROFILE%\Documents\GitHub\mrs-test-scripts\Headless Mode &amp; Sideloading\WalkAndUnGZ.bat" "%USERPROFILE%\AppData\Local\Temp\OnboardLogs"\RTDC4027\2017-06-11</v>
      </c>
      <c r="AF123" s="77" t="str">
        <f t="shared" si="58"/>
        <v>"C:\Program Files (x86)\AstroGrep\AstroGrep.exe" /e /r /s /spath="%USERPROFILE%\AppData\Local\Temp\OnboardLogs" /stypes="app*4027*20170611*" /stext=" 00:.+((SYSTEM_STATE.+slice.+state.+changed )|(ment ac)|(multiple cpu faults)|(system.+state.+changed )|(\[timeout)|(PRM\|1\|D)|(kpr)|(kdp)|(train st.+moving)|(\|lc)|(penalty))"</v>
      </c>
      <c r="AG123" s="1" t="str">
        <f t="shared" si="59"/>
        <v>EC</v>
      </c>
      <c r="AH123" s="81" t="str">
        <f t="shared" si="60"/>
        <v>"%USERPROFILE%\Documents\GitHub\eaglep3\Utilities\RefineRTDCRunTimes.py" --tripid 206-10 --locoid 4027 --swversion DE.1.0.9.0 --startMP 204:232983 --initTime 2017-06-10T17:35:42 --startdatetime 2017-06-10T17:42:12 --delay 1 --endMP 204:121 --enddatetime 2017-06-10T18:21:29 --enforcementcount 0 &gt;&gt;C:\Users\stu\Documents\GitHub\eaglep3-reporting\EC\2017-06-10-refined-times.txt</v>
      </c>
      <c r="AI123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{"issue":{"subject":"","project_id":79,"tracker_id":40,"status_id":1,"priority_id":2,"assigned_to_id":23,"start_date":"2017-06-10","description":"","custom_fields":[{"id":1,"name":"Subdivision","value":"EC"},{"id":4,"name":"Milepost","value":"0.0121"},{"id":17,"name":"Train ID","value":"206-10"},{"id":16,"name":"Locomotive ID","value":"4027"},{"id":130,"name":"Impact","value":""},{"id":150,"name":"Time of Event (Mountain Time)","value":"18:21:29"},{"id":151,"name":"Denver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5" t="str">
        <f t="shared" si="62"/>
        <v>start /low /b %USERPROFILE%\Documents\GitHub\eaglep3\Utilities\DownloadLogsFromS3.py --loco 4027 --day 2017-06-10</v>
      </c>
      <c r="AN123" s="154" t="str">
        <f t="shared" si="63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00:21:29"},{"id":29,"name":"Sharepoint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766</v>
      </c>
      <c r="B124" s="7">
        <v>4032</v>
      </c>
      <c r="C124" s="21" t="s">
        <v>204</v>
      </c>
      <c r="D124" s="21" t="s">
        <v>368</v>
      </c>
      <c r="E124" s="13">
        <v>42896.705810185187</v>
      </c>
      <c r="F124" s="13">
        <v>42896.708541666667</v>
      </c>
      <c r="G124" s="7">
        <v>2</v>
      </c>
      <c r="H124" s="21" t="s">
        <v>452</v>
      </c>
      <c r="I124" s="13">
        <v>42896.734212962961</v>
      </c>
      <c r="J124" s="7">
        <v>0</v>
      </c>
      <c r="K124" s="92" t="str">
        <f t="shared" si="47"/>
        <v>4031/4032</v>
      </c>
      <c r="L124" s="21" t="str">
        <f>VLOOKUP(A124,'Trips&amp;Operators'!$C$1:$G$99999,5,FALSE)</f>
        <v>BRUDER RICHARD</v>
      </c>
      <c r="M124" s="6">
        <f t="shared" si="48"/>
        <v>2.5671296294603962E-2</v>
      </c>
      <c r="N124" s="7">
        <f t="shared" si="67"/>
        <v>36.966666664229706</v>
      </c>
      <c r="O124" s="7"/>
      <c r="P124" s="7"/>
      <c r="Q124" s="22"/>
      <c r="R124" s="173"/>
      <c r="S124" s="176">
        <f t="shared" si="68"/>
        <v>1</v>
      </c>
      <c r="T124" s="202" t="str">
        <f t="shared" si="49"/>
        <v>NorthBound</v>
      </c>
      <c r="U124" s="202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03" t="str">
        <f t="shared" si="50"/>
        <v>https://d0f6bd738d7f1b3e5a7ca70fe4ff75f0.us-east-1.aws.found.io/app/kibana#/discover/Steve-Slow-Train-Analysis-(2080s-and-2083s)?_g=(refreshInterval:(display:Off,pause:!f,section:0,value:0),time:(from:'2017-06-10T15:56:22-0600',mode:absolute,to:'2017-06-10T18:37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4" s="204" t="str">
        <f t="shared" si="51"/>
        <v>N</v>
      </c>
      <c r="X124" s="204">
        <f t="shared" si="52"/>
        <v>1</v>
      </c>
      <c r="Y124" s="204">
        <f t="shared" si="69"/>
        <v>4.5499999999999999E-2</v>
      </c>
      <c r="Z124" s="204">
        <f t="shared" si="70"/>
        <v>23.329699999999999</v>
      </c>
      <c r="AA124" s="204">
        <f t="shared" si="55"/>
        <v>23.284199999999998</v>
      </c>
      <c r="AB124" s="57" t="e">
        <f>VLOOKUP(A124,Enforcements!$C$7:$K$13,8,0)</f>
        <v>#N/A</v>
      </c>
      <c r="AC124" s="53" t="e">
        <f>VLOOKUP(A124,Enforcements!$C$7:$E$13,3,0)</f>
        <v>#N/A</v>
      </c>
      <c r="AD124" s="54" t="str">
        <f t="shared" si="56"/>
        <v>0207-10</v>
      </c>
      <c r="AE124" s="80" t="str">
        <f t="shared" si="57"/>
        <v>aws s3 cp s3://rtdc.mdm.uploadarchive.raw/RTDC4032/ "%USERPROFILE%\AppData\Local\Temp\OnboardLogs"\RTDC4032\2017-06-10 --exclude "*" --recursive --include "*20170610*" &amp; "%USERPROFILE%\Documents\GitHub\mrs-test-scripts\Headless Mode &amp; Sideloading\WalkAndUnGZ.bat" "%USERPROFILE%\AppData\Local\Temp\OnboardLogs"\RTDC4032\2017-06-10 &amp; aws s3 cp s3://rtdc.mdm.uploadarchive.raw/RTDC4032/ "%USERPROFILE%\AppData\Local\Temp\OnboardLogs"\RTDC4032\2017-06-11 --exclude "*" --recursive --include "*20170611*" &amp; "%USERPROFILE%\Documents\GitHub\mrs-test-scripts\Headless Mode &amp; Sideloading\WalkAndUnGZ.bat" "%USERPROFILE%\AppData\Local\Temp\OnboardLogs"\RTDC4032\2017-06-11</v>
      </c>
      <c r="AF124" s="77" t="str">
        <f t="shared" si="58"/>
        <v>"C:\Program Files (x86)\AstroGrep\AstroGrep.exe" /e /r /s /spath="%USERPROFILE%\AppData\Local\Temp\OnboardLogs" /stypes="app*4032*20170610*" /stext=" 23:.+((SYSTEM_STATE.+slice.+state.+changed )|(ment ac)|(multiple cpu faults)|(system.+state.+changed )|(\[timeout)|(PRM\|1\|D)|(kpr)|(kdp)|(train st.+moving)|(\|lc)|(penalty))"</v>
      </c>
      <c r="AG124" s="1" t="str">
        <f t="shared" si="59"/>
        <v>EC</v>
      </c>
      <c r="AH124" s="81" t="str">
        <f t="shared" si="60"/>
        <v>"%USERPROFILE%\Documents\GitHub\eaglep3\Utilities\RefineRTDCRunTimes.py" --tripid 207-10 --locoid 4032 --swversion DE.1.0.9.0 --startMP 204:455 --initTime 2017-06-10T16:56:22 --startdatetime 2017-06-10T17:00:18 --delay 2 --endMP 204:233297 --enddatetime 2017-06-10T17:37:16 --enforcementcount 0 &gt;&gt;C:\Users\stu\Documents\GitHub\eaglep3-reporting\EC\2017-06-10-refined-times.txt</v>
      </c>
      <c r="AI124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{"issue":{"subject":"","project_id":79,"tracker_id":40,"status_id":1,"priority_id":2,"assigned_to_id":23,"start_date":"2017-06-10","description":"","custom_fields":[{"id":1,"name":"Subdivision","value":"EC"},{"id":4,"name":"Milepost","value":"23.3297"},{"id":17,"name":"Train ID","value":"207-10"},{"id":16,"name":"Locomotive ID","value":"4032"},{"id":130,"name":"Impact","value":""},{"id":150,"name":"Time of Event (Mountain Time)","value":"17:37:16"},{"id":151,"name":"Denver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5" t="str">
        <f t="shared" si="62"/>
        <v>start /low /b %USERPROFILE%\Documents\GitHub\eaglep3\Utilities\DownloadLogsFromS3.py --loco 4032 --day 2017-06-10</v>
      </c>
      <c r="AN124" s="154" t="str">
        <f t="shared" si="63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23:37:16"},{"id":29,"name":"Sharepoint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773</v>
      </c>
      <c r="B125" s="7">
        <v>4031</v>
      </c>
      <c r="C125" s="21" t="s">
        <v>204</v>
      </c>
      <c r="D125" s="21" t="s">
        <v>464</v>
      </c>
      <c r="E125" s="13">
        <v>42896.743680555555</v>
      </c>
      <c r="F125" s="13">
        <v>42896.748113425929</v>
      </c>
      <c r="G125" s="7">
        <v>2</v>
      </c>
      <c r="H125" s="21" t="s">
        <v>522</v>
      </c>
      <c r="I125" s="13">
        <v>42896.774201388886</v>
      </c>
      <c r="J125" s="7">
        <v>0</v>
      </c>
      <c r="K125" s="92" t="str">
        <f t="shared" si="47"/>
        <v>4031/4032</v>
      </c>
      <c r="L125" s="21" t="str">
        <f>VLOOKUP(A125,'Trips&amp;Operators'!$C$1:$G$99999,5,FALSE)</f>
        <v>BRUDER RICHARD</v>
      </c>
      <c r="M125" s="6">
        <f t="shared" si="48"/>
        <v>2.6087962956808042E-2</v>
      </c>
      <c r="N125" s="7">
        <f t="shared" si="67"/>
        <v>37.56666665780358</v>
      </c>
      <c r="O125" s="7"/>
      <c r="P125" s="7"/>
      <c r="Q125" s="22"/>
      <c r="R125" s="173"/>
      <c r="S125" s="176">
        <f t="shared" si="68"/>
        <v>1</v>
      </c>
      <c r="T125" s="202" t="str">
        <f t="shared" si="49"/>
        <v>Southbound</v>
      </c>
      <c r="U125" s="202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03" t="str">
        <f t="shared" si="50"/>
        <v>https://d0f6bd738d7f1b3e5a7ca70fe4ff75f0.us-east-1.aws.found.io/app/kibana#/discover/Steve-Slow-Train-Analysis-(2080s-and-2083s)?_g=(refreshInterval:(display:Off,pause:!f,section:0,value:0),time:(from:'2017-06-10T16:50:54-0600',mode:absolute,to:'2017-06-10T19:34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25" s="204" t="str">
        <f t="shared" si="51"/>
        <v>N</v>
      </c>
      <c r="X125" s="204">
        <f t="shared" si="52"/>
        <v>1</v>
      </c>
      <c r="Y125" s="204">
        <f t="shared" si="69"/>
        <v>23.2988</v>
      </c>
      <c r="Z125" s="204">
        <f t="shared" si="70"/>
        <v>1.61E-2</v>
      </c>
      <c r="AA125" s="204">
        <f t="shared" si="55"/>
        <v>23.282699999999998</v>
      </c>
      <c r="AB125" s="57" t="e">
        <f>VLOOKUP(A125,Enforcements!$C$7:$K$13,8,0)</f>
        <v>#N/A</v>
      </c>
      <c r="AC125" s="53" t="e">
        <f>VLOOKUP(A125,Enforcements!$C$7:$E$13,3,0)</f>
        <v>#N/A</v>
      </c>
      <c r="AD125" s="54" t="str">
        <f t="shared" si="56"/>
        <v>0208-10</v>
      </c>
      <c r="AE125" s="80" t="str">
        <f t="shared" si="57"/>
        <v>aws s3 cp s3://rtdc.mdm.uploadarchive.raw/RTDC4031/ "%USERPROFILE%\AppData\Local\Temp\OnboardLogs"\RTDC4031\2017-06-10 --exclude "*" --recursive --include "*20170610*" &amp; "%USERPROFILE%\Documents\GitHub\mrs-test-scripts\Headless Mode &amp; Sideloading\WalkAndUnGZ.bat" "%USERPROFILE%\AppData\Local\Temp\OnboardLogs"\RTDC4031\2017-06-10 &amp; aws s3 cp s3://rtdc.mdm.uploadarchive.raw/RTDC4031/ "%USERPROFILE%\AppData\Local\Temp\OnboardLogs"\RTDC4031\2017-06-11 --exclude "*" --recursive --include "*20170611*" &amp; "%USERPROFILE%\Documents\GitHub\mrs-test-scripts\Headless Mode &amp; Sideloading\WalkAndUnGZ.bat" "%USERPROFILE%\AppData\Local\Temp\OnboardLogs"\RTDC4031\2017-06-11</v>
      </c>
      <c r="AF125" s="77" t="str">
        <f t="shared" si="58"/>
        <v>"C:\Program Files (x86)\AstroGrep\AstroGrep.exe" /e /r /s /spath="%USERPROFILE%\AppData\Local\Temp\OnboardLogs" /stypes="app*4031*20170611*" /stext=" 00:.+((SYSTEM_STATE.+slice.+state.+changed )|(ment ac)|(multiple cpu faults)|(system.+state.+changed )|(\[timeout)|(PRM\|1\|D)|(kpr)|(kdp)|(train st.+moving)|(\|lc)|(penalty))"</v>
      </c>
      <c r="AG125" s="1" t="str">
        <f t="shared" si="59"/>
        <v>EC</v>
      </c>
      <c r="AH125" s="81" t="str">
        <f t="shared" si="60"/>
        <v>"%USERPROFILE%\Documents\GitHub\eaglep3\Utilities\RefineRTDCRunTimes.py" --tripid 208-10 --locoid 4031 --swversion DE.1.0.9.0 --startMP 204:232988 --initTime 2017-06-10T17:50:54 --startdatetime 2017-06-10T17:57:17 --delay 2 --endMP 204:161 --enddatetime 2017-06-10T18:34:51 --enforcementcount 0 &gt;&gt;C:\Users\stu\Documents\GitHub\eaglep3-reporting\EC\2017-06-10-refined-times.txt</v>
      </c>
      <c r="AI125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{"issue":{"subject":"","project_id":79,"tracker_id":40,"status_id":1,"priority_id":2,"assigned_to_id":23,"start_date":"2017-06-10","description":"","custom_fields":[{"id":1,"name":"Subdivision","value":"EC"},{"id":4,"name":"Milepost","value":"0.0161"},{"id":17,"name":"Train ID","value":"208-10"},{"id":16,"name":"Locomotive ID","value":"4031"},{"id":130,"name":"Impact","value":""},{"id":150,"name":"Time of Event (Mountain Time)","value":"18:34:51"},{"id":151,"name":"Denver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5" t="str">
        <f t="shared" si="62"/>
        <v>start /low /b %USERPROFILE%\Documents\GitHub\eaglep3\Utilities\DownloadLogsFromS3.py --loco 4031 --day 2017-06-10</v>
      </c>
      <c r="AN125" s="154" t="str">
        <f t="shared" si="63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00:34:51"},{"id":29,"name":"Sharepoint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602</v>
      </c>
      <c r="B126" s="7">
        <v>4004</v>
      </c>
      <c r="C126" s="21" t="s">
        <v>204</v>
      </c>
      <c r="D126" s="21" t="s">
        <v>865</v>
      </c>
      <c r="E126" s="13">
        <v>42896.714398148149</v>
      </c>
      <c r="F126" s="13">
        <v>42896.719444444447</v>
      </c>
      <c r="G126" s="7">
        <v>1</v>
      </c>
      <c r="H126" s="21" t="s">
        <v>558</v>
      </c>
      <c r="I126" s="13">
        <v>42896.743622685186</v>
      </c>
      <c r="J126" s="7">
        <v>0</v>
      </c>
      <c r="K126" s="92" t="str">
        <f t="shared" si="47"/>
        <v>4003/4004</v>
      </c>
      <c r="L126" s="21" t="str">
        <f>VLOOKUP(A126,'Trips&amp;Operators'!$C$1:$G$99999,5,FALSE)</f>
        <v>YORK EDGAR</v>
      </c>
      <c r="M126" s="6">
        <f t="shared" si="48"/>
        <v>2.417824073927477E-2</v>
      </c>
      <c r="N126" s="7">
        <f t="shared" si="67"/>
        <v>34.816666664555669</v>
      </c>
      <c r="O126" s="7"/>
      <c r="P126" s="7"/>
      <c r="Q126" s="22"/>
      <c r="R126" s="173"/>
      <c r="S126" s="176">
        <f t="shared" si="68"/>
        <v>1</v>
      </c>
      <c r="T126" s="202" t="str">
        <f t="shared" si="49"/>
        <v>NorthBound</v>
      </c>
      <c r="U126" s="202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03" t="str">
        <f t="shared" si="50"/>
        <v>https://d0f6bd738d7f1b3e5a7ca70fe4ff75f0.us-east-1.aws.found.io/app/kibana#/discover/Steve-Slow-Train-Analysis-(2080s-and-2083s)?_g=(refreshInterval:(display:Off,pause:!f,section:0,value:0),time:(from:'2017-06-10T16:08:44-0600',mode:absolute,to:'2017-06-10T18:50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26" s="204" t="str">
        <f t="shared" si="51"/>
        <v>N</v>
      </c>
      <c r="X126" s="204">
        <f t="shared" si="52"/>
        <v>1</v>
      </c>
      <c r="Y126" s="204">
        <f t="shared" si="69"/>
        <v>4.7800000000000002E-2</v>
      </c>
      <c r="Z126" s="204">
        <f t="shared" si="70"/>
        <v>23.329499999999999</v>
      </c>
      <c r="AA126" s="204">
        <f t="shared" si="55"/>
        <v>23.281700000000001</v>
      </c>
      <c r="AB126" s="57" t="str">
        <f>VLOOKUP(A126,Enforcements!$C$7:$K$13,8,0)</f>
        <v>Bulletin (2)</v>
      </c>
      <c r="AC126" s="53" t="str">
        <f>VLOOKUP(A126,Enforcements!$C$7:$E$13,3,0)</f>
        <v>GRADE CROSSING</v>
      </c>
      <c r="AD126" s="54" t="str">
        <f t="shared" si="56"/>
        <v>0209-10</v>
      </c>
      <c r="AE126" s="80" t="str">
        <f t="shared" si="57"/>
        <v>aws s3 cp s3://rtdc.mdm.uploadarchive.raw/RTDC4004/ "%USERPROFILE%\AppData\Local\Temp\OnboardLogs"\RTDC4004\2017-06-10 --exclude "*" --recursive --include "*20170610*" &amp; "%USERPROFILE%\Documents\GitHub\mrs-test-scripts\Headless Mode &amp; Sideloading\WalkAndUnGZ.bat" "%USERPROFILE%\AppData\Local\Temp\OnboardLogs"\RTDC4004\2017-06-10 &amp; aws s3 cp s3://rtdc.mdm.uploadarchive.raw/RTDC4004/ "%USERPROFILE%\AppData\Local\Temp\OnboardLogs"\RTDC4004\2017-06-11 --exclude "*" --recursive --include "*20170611*" &amp; "%USERPROFILE%\Documents\GitHub\mrs-test-scripts\Headless Mode &amp; Sideloading\WalkAndUnGZ.bat" "%USERPROFILE%\AppData\Local\Temp\OnboardLogs"\RTDC4004\2017-06-11</v>
      </c>
      <c r="AF126" s="77" t="str">
        <f t="shared" si="58"/>
        <v>"C:\Program Files (x86)\AstroGrep\AstroGrep.exe" /e /r /s /spath="%USERPROFILE%\AppData\Local\Temp\OnboardLogs" /stypes="app*4004*20170610*" /stext=" 23:.+((SYSTEM_STATE.+slice.+state.+changed )|(ment ac)|(multiple cpu faults)|(system.+state.+changed )|(\[timeout)|(PRM\|1\|D)|(kpr)|(kdp)|(train st.+moving)|(\|lc)|(penalty))"</v>
      </c>
      <c r="AG126" s="1" t="str">
        <f t="shared" si="59"/>
        <v>EC</v>
      </c>
      <c r="AH126" s="81" t="str">
        <f t="shared" si="60"/>
        <v>"%USERPROFILE%\Documents\GitHub\eaglep3\Utilities\RefineRTDCRunTimes.py" --tripid 209-10 --locoid 4004 --swversion DE.1.0.9.0 --startMP 204:478 --initTime 2017-06-10T17:08:44 --startdatetime 2017-06-10T17:16:00 --delay 1 --endMP 204:233295 --enddatetime 2017-06-10T17:50:49 --enforcementcount 0 &gt;&gt;C:\Users\stu\Documents\GitHub\eaglep3-reporting\EC\2017-06-10-refined-times.txt</v>
      </c>
      <c r="AI126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{"issue":{"subject":"","project_id":79,"tracker_id":40,"status_id":1,"priority_id":2,"assigned_to_id":23,"start_date":"2017-06-10","description":"","custom_fields":[{"id":1,"name":"Subdivision","value":"EC"},{"id":4,"name":"Milepost","value":"23.3295"},{"id":17,"name":"Train ID","value":"209-10"},{"id":16,"name":"Locomotive ID","value":"4004"},{"id":130,"name":"Impact","value":""},{"id":150,"name":"Time of Event (Mountain Time)","value":"17:50:49"},{"id":151,"name":"Denver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5" t="str">
        <f t="shared" si="62"/>
        <v>start /low /b %USERPROFILE%\Documents\GitHub\eaglep3\Utilities\DownloadLogsFromS3.py --loco 4004 --day 2017-06-10</v>
      </c>
      <c r="AN126" s="154" t="str">
        <f t="shared" si="63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23:50:49"},{"id":29,"name":"Sharepoint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774</v>
      </c>
      <c r="B127" s="7">
        <v>4003</v>
      </c>
      <c r="C127" s="21" t="s">
        <v>204</v>
      </c>
      <c r="D127" s="21" t="s">
        <v>831</v>
      </c>
      <c r="E127" s="13">
        <v>42896.744583333333</v>
      </c>
      <c r="F127" s="13">
        <v>42896.758969907409</v>
      </c>
      <c r="G127" s="7">
        <v>1</v>
      </c>
      <c r="H127" s="21" t="s">
        <v>354</v>
      </c>
      <c r="I127" s="13">
        <v>42896.784629629627</v>
      </c>
      <c r="J127" s="7">
        <v>0</v>
      </c>
      <c r="K127" s="92" t="str">
        <f t="shared" si="47"/>
        <v>4003/4004</v>
      </c>
      <c r="L127" s="21" t="str">
        <f>VLOOKUP(A127,'Trips&amp;Operators'!$C$1:$G$99999,5,FALSE)</f>
        <v>YORK EDGAR</v>
      </c>
      <c r="M127" s="6">
        <f t="shared" si="48"/>
        <v>2.565972221782431E-2</v>
      </c>
      <c r="N127" s="7">
        <f t="shared" si="67"/>
        <v>36.949999993667006</v>
      </c>
      <c r="O127" s="7"/>
      <c r="P127" s="7"/>
      <c r="Q127" s="22"/>
      <c r="R127" s="173"/>
      <c r="S127" s="176">
        <f t="shared" si="68"/>
        <v>1</v>
      </c>
      <c r="T127" s="202" t="str">
        <f t="shared" si="49"/>
        <v>Southbound</v>
      </c>
      <c r="U127" s="202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03" t="str">
        <f t="shared" si="50"/>
        <v>https://d0f6bd738d7f1b3e5a7ca70fe4ff75f0.us-east-1.aws.found.io/app/kibana#/discover/Steve-Slow-Train-Analysis-(2080s-and-2083s)?_g=(refreshInterval:(display:Off,pause:!f,section:0,value:0),time:(from:'2017-06-10T16:52:12-0600',mode:absolute,to:'2017-06-10T19:49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27" s="204" t="str">
        <f t="shared" si="51"/>
        <v>N</v>
      </c>
      <c r="X127" s="204">
        <f t="shared" si="52"/>
        <v>1</v>
      </c>
      <c r="Y127" s="204">
        <f t="shared" si="69"/>
        <v>23.299299999999999</v>
      </c>
      <c r="Z127" s="204">
        <f t="shared" si="70"/>
        <v>1.43E-2</v>
      </c>
      <c r="AA127" s="204">
        <f t="shared" si="55"/>
        <v>23.285</v>
      </c>
      <c r="AB127" s="57" t="e">
        <f>VLOOKUP(A127,Enforcements!$C$7:$K$13,8,0)</f>
        <v>#N/A</v>
      </c>
      <c r="AC127" s="53" t="e">
        <f>VLOOKUP(A127,Enforcements!$C$7:$E$13,3,0)</f>
        <v>#N/A</v>
      </c>
      <c r="AD127" s="54" t="str">
        <f t="shared" si="56"/>
        <v>0210-10</v>
      </c>
      <c r="AE127" s="80" t="str">
        <f t="shared" si="57"/>
        <v>aws s3 cp s3://rtdc.mdm.uploadarchive.raw/RTDC4003/ "%USERPROFILE%\AppData\Local\Temp\OnboardLogs"\RTDC4003\2017-06-10 --exclude "*" --recursive --include "*20170610*" &amp; "%USERPROFILE%\Documents\GitHub\mrs-test-scripts\Headless Mode &amp; Sideloading\WalkAndUnGZ.bat" "%USERPROFILE%\AppData\Local\Temp\OnboardLogs"\RTDC4003\2017-06-10 &amp; aws s3 cp s3://rtdc.mdm.uploadarchive.raw/RTDC4003/ "%USERPROFILE%\AppData\Local\Temp\OnboardLogs"\RTDC4003\2017-06-11 --exclude "*" --recursive --include "*20170611*" &amp; "%USERPROFILE%\Documents\GitHub\mrs-test-scripts\Headless Mode &amp; Sideloading\WalkAndUnGZ.bat" "%USERPROFILE%\AppData\Local\Temp\OnboardLogs"\RTDC4003\2017-06-11</v>
      </c>
      <c r="AF127" s="77" t="str">
        <f t="shared" si="58"/>
        <v>"C:\Program Files (x86)\AstroGrep\AstroGrep.exe" /e /r /s /spath="%USERPROFILE%\AppData\Local\Temp\OnboardLogs" /stypes="app*4003*20170611*" /stext=" 00:.+((SYSTEM_STATE.+slice.+state.+changed )|(ment ac)|(multiple cpu faults)|(system.+state.+changed )|(\[timeout)|(PRM\|1\|D)|(kpr)|(kdp)|(train st.+moving)|(\|lc)|(penalty))"</v>
      </c>
      <c r="AG127" s="1" t="str">
        <f t="shared" si="59"/>
        <v>EC</v>
      </c>
      <c r="AH127" s="81" t="str">
        <f t="shared" si="60"/>
        <v>"%USERPROFILE%\Documents\GitHub\eaglep3\Utilities\RefineRTDCRunTimes.py" --tripid 210-10 --locoid 4003 --swversion DE.1.0.9.0 --startMP 204:232993 --initTime 2017-06-10T17:52:12 --startdatetime 2017-06-10T18:12:55 --delay 1 --endMP 204:143 --enddatetime 2017-06-10T18:49:52 --enforcementcount 0 &gt;&gt;C:\Users\stu\Documents\GitHub\eaglep3-reporting\EC\2017-06-10-refined-times.txt</v>
      </c>
      <c r="AI127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{"issue":{"subject":"","project_id":79,"tracker_id":40,"status_id":1,"priority_id":2,"assigned_to_id":23,"start_date":"2017-06-10","description":"","custom_fields":[{"id":1,"name":"Subdivision","value":"EC"},{"id":4,"name":"Milepost","value":"0.0143"},{"id":17,"name":"Train ID","value":"210-10"},{"id":16,"name":"Locomotive ID","value":"4003"},{"id":130,"name":"Impact","value":""},{"id":150,"name":"Time of Event (Mountain Time)","value":"18:49:52"},{"id":151,"name":"Denver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5" t="str">
        <f t="shared" si="62"/>
        <v>start /low /b %USERPROFILE%\Documents\GitHub\eaglep3\Utilities\DownloadLogsFromS3.py --loco 4003 --day 2017-06-10</v>
      </c>
      <c r="AN127" s="154" t="str">
        <f t="shared" si="63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00:49:52"},{"id":29,"name":"Sharepoint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768</v>
      </c>
      <c r="B128" s="7">
        <v>4044</v>
      </c>
      <c r="C128" s="21" t="s">
        <v>204</v>
      </c>
      <c r="D128" s="21" t="s">
        <v>471</v>
      </c>
      <c r="E128" s="13">
        <v>42896.725023148145</v>
      </c>
      <c r="F128" s="13">
        <v>42896.72934027778</v>
      </c>
      <c r="G128" s="7">
        <v>1</v>
      </c>
      <c r="H128" s="21" t="s">
        <v>472</v>
      </c>
      <c r="I128" s="13">
        <v>42896.754745370374</v>
      </c>
      <c r="J128" s="7">
        <v>0</v>
      </c>
      <c r="K128" s="92" t="str">
        <f t="shared" si="47"/>
        <v>4043/4044</v>
      </c>
      <c r="L128" s="21" t="str">
        <f>VLOOKUP(A128,'Trips&amp;Operators'!$C$1:$G$99999,5,FALSE)</f>
        <v>LOPES KIMBERLY</v>
      </c>
      <c r="M128" s="6">
        <f t="shared" si="48"/>
        <v>2.5405092594155576E-2</v>
      </c>
      <c r="N128" s="7">
        <f t="shared" si="67"/>
        <v>36.58333333558403</v>
      </c>
      <c r="O128" s="7"/>
      <c r="P128" s="7"/>
      <c r="Q128" s="22"/>
      <c r="R128" s="173"/>
      <c r="S128" s="176">
        <f t="shared" si="68"/>
        <v>1</v>
      </c>
      <c r="T128" s="202" t="str">
        <f t="shared" si="49"/>
        <v>NorthBound</v>
      </c>
      <c r="U128" s="202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03" t="str">
        <f t="shared" si="50"/>
        <v>https://d0f6bd738d7f1b3e5a7ca70fe4ff75f0.us-east-1.aws.found.io/app/kibana#/discover/Steve-Slow-Train-Analysis-(2080s-and-2083s)?_g=(refreshInterval:(display:Off,pause:!f,section:0,value:0),time:(from:'2017-06-10T16:24:02-0600',mode:absolute,to:'2017-06-10T19:06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8" s="204" t="str">
        <f t="shared" si="51"/>
        <v>N</v>
      </c>
      <c r="X128" s="204">
        <f t="shared" si="52"/>
        <v>1</v>
      </c>
      <c r="Y128" s="204">
        <f t="shared" si="69"/>
        <v>4.4400000000000002E-2</v>
      </c>
      <c r="Z128" s="204">
        <f t="shared" si="70"/>
        <v>23.3307</v>
      </c>
      <c r="AA128" s="204">
        <f t="shared" si="55"/>
        <v>23.286300000000001</v>
      </c>
      <c r="AB128" s="57" t="e">
        <f>VLOOKUP(A128,Enforcements!$C$7:$K$13,8,0)</f>
        <v>#N/A</v>
      </c>
      <c r="AC128" s="53" t="e">
        <f>VLOOKUP(A128,Enforcements!$C$7:$E$13,3,0)</f>
        <v>#N/A</v>
      </c>
      <c r="AD128" s="54" t="str">
        <f t="shared" si="56"/>
        <v>0211-10</v>
      </c>
      <c r="AE128" s="80" t="str">
        <f t="shared" si="57"/>
        <v>aws s3 cp s3://rtdc.mdm.uploadarchive.raw/RTDC4044/ "%USERPROFILE%\AppData\Local\Temp\OnboardLogs"\RTDC4044\2017-06-10 --exclude "*" --recursive --include "*20170610*" &amp; "%USERPROFILE%\Documents\GitHub\mrs-test-scripts\Headless Mode &amp; Sideloading\WalkAndUnGZ.bat" "%USERPROFILE%\AppData\Local\Temp\OnboardLogs"\RTDC4044\2017-06-10 &amp; aws s3 cp s3://rtdc.mdm.uploadarchive.raw/RTDC4044/ "%USERPROFILE%\AppData\Local\Temp\OnboardLogs"\RTDC4044\2017-06-11 --exclude "*" --recursive --include "*20170611*" &amp; "%USERPROFILE%\Documents\GitHub\mrs-test-scripts\Headless Mode &amp; Sideloading\WalkAndUnGZ.bat" "%USERPROFILE%\AppData\Local\Temp\OnboardLogs"\RTDC4044\2017-06-11</v>
      </c>
      <c r="AF128" s="77" t="str">
        <f t="shared" si="58"/>
        <v>"C:\Program Files (x86)\AstroGrep\AstroGrep.exe" /e /r /s /spath="%USERPROFILE%\AppData\Local\Temp\OnboardLogs" /stypes="app*4044*20170611*" /stext=" 00:.+((SYSTEM_STATE.+slice.+state.+changed )|(ment ac)|(multiple cpu faults)|(system.+state.+changed )|(\[timeout)|(PRM\|1\|D)|(kpr)|(kdp)|(train st.+moving)|(\|lc)|(penalty))"</v>
      </c>
      <c r="AG128" s="1" t="str">
        <f t="shared" si="59"/>
        <v>EC</v>
      </c>
      <c r="AH128" s="81" t="str">
        <f t="shared" si="60"/>
        <v>"%USERPROFILE%\Documents\GitHub\eaglep3\Utilities\RefineRTDCRunTimes.py" --tripid 211-10 --locoid 4044 --swversion DE.1.0.9.0 --startMP 204:444 --initTime 2017-06-10T17:24:02 --startdatetime 2017-06-10T17:30:15 --delay 1 --endMP 204:233307 --enddatetime 2017-06-10T18:06:50 --enforcementcount 0 &gt;&gt;C:\Users\stu\Documents\GitHub\eaglep3-reporting\EC\2017-06-10-refined-times.txt</v>
      </c>
      <c r="AI128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{"issue":{"subject":"","project_id":79,"tracker_id":40,"status_id":1,"priority_id":2,"assigned_to_id":23,"start_date":"2017-06-10","description":"","custom_fields":[{"id":1,"name":"Subdivision","value":"EC"},{"id":4,"name":"Milepost","value":"23.3307"},{"id":17,"name":"Train ID","value":"211-10"},{"id":16,"name":"Locomotive ID","value":"4044"},{"id":130,"name":"Impact","value":""},{"id":150,"name":"Time of Event (Mountain Time)","value":"18:06:50"},{"id":151,"name":"Denver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5" t="str">
        <f t="shared" si="62"/>
        <v>start /low /b %USERPROFILE%\Documents\GitHub\eaglep3\Utilities\DownloadLogsFromS3.py --loco 4044 --day 2017-06-10</v>
      </c>
      <c r="AN128" s="154" t="str">
        <f t="shared" si="63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00:06:50"},{"id":29,"name":"Sharepoint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603</v>
      </c>
      <c r="B129" s="7">
        <v>4043</v>
      </c>
      <c r="C129" s="21" t="s">
        <v>204</v>
      </c>
      <c r="D129" s="21" t="s">
        <v>551</v>
      </c>
      <c r="E129" s="13">
        <v>42896.766608796293</v>
      </c>
      <c r="F129" s="13">
        <v>42896.769004629627</v>
      </c>
      <c r="G129" s="7">
        <v>1</v>
      </c>
      <c r="H129" s="21" t="s">
        <v>361</v>
      </c>
      <c r="I129" s="13">
        <v>42896.795659722222</v>
      </c>
      <c r="J129" s="7">
        <v>0</v>
      </c>
      <c r="K129" s="92" t="str">
        <f t="shared" si="47"/>
        <v>4043/4044</v>
      </c>
      <c r="L129" s="21" t="str">
        <f>VLOOKUP(A129,'Trips&amp;Operators'!$C$1:$G$99999,5,FALSE)</f>
        <v>LOPES KIMBERLY</v>
      </c>
      <c r="M129" s="6">
        <f t="shared" si="48"/>
        <v>2.6655092595319729E-2</v>
      </c>
      <c r="N129" s="7">
        <f t="shared" si="67"/>
        <v>38.38333333726041</v>
      </c>
      <c r="O129" s="7"/>
      <c r="P129" s="7"/>
      <c r="Q129" s="22"/>
      <c r="R129" s="173"/>
      <c r="S129" s="176">
        <f t="shared" si="68"/>
        <v>1</v>
      </c>
      <c r="T129" s="202" t="str">
        <f t="shared" si="49"/>
        <v>Southbound</v>
      </c>
      <c r="U129" s="202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03" t="str">
        <f t="shared" si="50"/>
        <v>https://d0f6bd738d7f1b3e5a7ca70fe4ff75f0.us-east-1.aws.found.io/app/kibana#/discover/Steve-Slow-Train-Analysis-(2080s-and-2083s)?_g=(refreshInterval:(display:Off,pause:!f,section:0,value:0),time:(from:'2017-06-10T17:23:55-0600',mode:absolute,to:'2017-06-10T20:05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9" s="204" t="str">
        <f t="shared" si="51"/>
        <v>N</v>
      </c>
      <c r="X129" s="204">
        <f t="shared" si="52"/>
        <v>1</v>
      </c>
      <c r="Y129" s="204">
        <f t="shared" si="69"/>
        <v>23.298400000000001</v>
      </c>
      <c r="Z129" s="204">
        <f t="shared" si="70"/>
        <v>1.3899999999999999E-2</v>
      </c>
      <c r="AA129" s="204">
        <f t="shared" si="55"/>
        <v>23.284500000000001</v>
      </c>
      <c r="AB129" s="57" t="e">
        <f>VLOOKUP(A129,Enforcements!$C$7:$K$13,8,0)</f>
        <v>#N/A</v>
      </c>
      <c r="AC129" s="53" t="e">
        <f>VLOOKUP(A129,Enforcements!$C$7:$E$13,3,0)</f>
        <v>#N/A</v>
      </c>
      <c r="AD129" s="54" t="str">
        <f t="shared" si="56"/>
        <v>0212-10</v>
      </c>
      <c r="AE129" s="80" t="str">
        <f t="shared" si="57"/>
        <v>aws s3 cp s3://rtdc.mdm.uploadarchive.raw/RTDC4043/ "%USERPROFILE%\AppData\Local\Temp\OnboardLogs"\RTDC4043\2017-06-10 --exclude "*" --recursive --include "*20170610*" &amp; "%USERPROFILE%\Documents\GitHub\mrs-test-scripts\Headless Mode &amp; Sideloading\WalkAndUnGZ.bat" "%USERPROFILE%\AppData\Local\Temp\OnboardLogs"\RTDC4043\2017-06-10 &amp; aws s3 cp s3://rtdc.mdm.uploadarchive.raw/RTDC4043/ "%USERPROFILE%\AppData\Local\Temp\OnboardLogs"\RTDC4043\2017-06-11 --exclude "*" --recursive --include "*20170611*" &amp; "%USERPROFILE%\Documents\GitHub\mrs-test-scripts\Headless Mode &amp; Sideloading\WalkAndUnGZ.bat" "%USERPROFILE%\AppData\Local\Temp\OnboardLogs"\RTDC4043\2017-06-11</v>
      </c>
      <c r="AF129" s="77" t="str">
        <f t="shared" si="58"/>
        <v>"C:\Program Files (x86)\AstroGrep\AstroGrep.exe" /e /r /s /spath="%USERPROFILE%\AppData\Local\Temp\OnboardLogs" /stypes="app*4043*20170611*" /stext=" 01:.+((SYSTEM_STATE.+slice.+state.+changed )|(ment ac)|(multiple cpu faults)|(system.+state.+changed )|(\[timeout)|(PRM\|1\|D)|(kpr)|(kdp)|(train st.+moving)|(\|lc)|(penalty))"</v>
      </c>
      <c r="AG129" s="1" t="str">
        <f t="shared" si="59"/>
        <v>EC</v>
      </c>
      <c r="AH129" s="81" t="str">
        <f t="shared" si="60"/>
        <v>"%USERPROFILE%\Documents\GitHub\eaglep3\Utilities\RefineRTDCRunTimes.py" --tripid 212-10 --locoid 4043 --swversion DE.1.0.9.0 --startMP 204:232984 --initTime 2017-06-10T18:23:55 --startdatetime 2017-06-10T18:27:22 --delay 1 --endMP 204:139 --enddatetime 2017-06-10T19:05:45 --enforcementcount 0 &gt;&gt;C:\Users\stu\Documents\GitHub\eaglep3-reporting\EC\2017-06-10-refined-times.txt</v>
      </c>
      <c r="AI129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{"issue":{"subject":"","project_id":79,"tracker_id":40,"status_id":1,"priority_id":2,"assigned_to_id":23,"start_date":"2017-06-10","description":"","custom_fields":[{"id":1,"name":"Subdivision","value":"EC"},{"id":4,"name":"Milepost","value":"0.0139"},{"id":17,"name":"Train ID","value":"212-10"},{"id":16,"name":"Locomotive ID","value":"4043"},{"id":130,"name":"Impact","value":""},{"id":150,"name":"Time of Event (Mountain Time)","value":"19:05:45"},{"id":151,"name":"Denver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5" t="str">
        <f t="shared" si="62"/>
        <v>start /low /b %USERPROFILE%\Documents\GitHub\eaglep3\Utilities\DownloadLogsFromS3.py --loco 4043 --day 2017-06-10</v>
      </c>
      <c r="AN129" s="154" t="str">
        <f t="shared" si="63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01:05:45"},{"id":29,"name":"Sharepoint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772</v>
      </c>
      <c r="B130" s="7">
        <v>4056</v>
      </c>
      <c r="C130" s="21" t="s">
        <v>204</v>
      </c>
      <c r="D130" s="21" t="s">
        <v>200</v>
      </c>
      <c r="E130" s="13">
        <v>42896.736284722225</v>
      </c>
      <c r="F130" s="13">
        <v>42896.739837962959</v>
      </c>
      <c r="G130" s="7">
        <v>2</v>
      </c>
      <c r="H130" s="21" t="s">
        <v>528</v>
      </c>
      <c r="I130" s="13">
        <v>42896.764768518522</v>
      </c>
      <c r="J130" s="7">
        <v>0</v>
      </c>
      <c r="K130" s="92" t="str">
        <f t="shared" si="47"/>
        <v>4055/4056</v>
      </c>
      <c r="L130" s="21" t="str">
        <f>VLOOKUP(A130,'Trips&amp;Operators'!$C$1:$G$99999,5,FALSE)</f>
        <v>SAFIEF AEIMEN</v>
      </c>
      <c r="M130" s="6">
        <f t="shared" si="48"/>
        <v>2.493055556260515E-2</v>
      </c>
      <c r="N130" s="7">
        <f t="shared" si="67"/>
        <v>35.900000010151416</v>
      </c>
      <c r="O130" s="7"/>
      <c r="P130" s="7"/>
      <c r="Q130" s="22"/>
      <c r="R130" s="173"/>
      <c r="S130" s="176">
        <f t="shared" si="68"/>
        <v>1</v>
      </c>
      <c r="T130" s="202" t="str">
        <f t="shared" si="49"/>
        <v>NorthBound</v>
      </c>
      <c r="U130" s="202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03" t="str">
        <f t="shared" si="50"/>
        <v>https://d0f6bd738d7f1b3e5a7ca70fe4ff75f0.us-east-1.aws.found.io/app/kibana#/discover/Steve-Slow-Train-Analysis-(2080s-and-2083s)?_g=(refreshInterval:(display:Off,pause:!f,section:0,value:0),time:(from:'2017-06-10T16:40:15-0600',mode:absolute,to:'2017-06-10T19:21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30" s="204" t="str">
        <f t="shared" si="51"/>
        <v>N</v>
      </c>
      <c r="X130" s="204">
        <f t="shared" si="52"/>
        <v>1</v>
      </c>
      <c r="Y130" s="204">
        <f t="shared" si="69"/>
        <v>4.5699999999999998E-2</v>
      </c>
      <c r="Z130" s="204">
        <f t="shared" si="70"/>
        <v>23.334</v>
      </c>
      <c r="AA130" s="204">
        <f t="shared" si="55"/>
        <v>23.2883</v>
      </c>
      <c r="AB130" s="57" t="e">
        <f>VLOOKUP(A130,Enforcements!$C$7:$K$13,8,0)</f>
        <v>#N/A</v>
      </c>
      <c r="AC130" s="53" t="e">
        <f>VLOOKUP(A130,Enforcements!$C$7:$E$13,3,0)</f>
        <v>#N/A</v>
      </c>
      <c r="AD130" s="54" t="str">
        <f t="shared" si="56"/>
        <v>0213-10</v>
      </c>
      <c r="AE130" s="80" t="str">
        <f t="shared" si="57"/>
        <v>aws s3 cp s3://rtdc.mdm.uploadarchive.raw/RTDC4056/ "%USERPROFILE%\AppData\Local\Temp\OnboardLogs"\RTDC4056\2017-06-10 --exclude "*" --recursive --include "*20170610*" &amp; "%USERPROFILE%\Documents\GitHub\mrs-test-scripts\Headless Mode &amp; Sideloading\WalkAndUnGZ.bat" "%USERPROFILE%\AppData\Local\Temp\OnboardLogs"\RTDC4056\2017-06-10 &amp; aws s3 cp s3://rtdc.mdm.uploadarchive.raw/RTDC4056/ "%USERPROFILE%\AppData\Local\Temp\OnboardLogs"\RTDC4056\2017-06-11 --exclude "*" --recursive --include "*20170611*" &amp; "%USERPROFILE%\Documents\GitHub\mrs-test-scripts\Headless Mode &amp; Sideloading\WalkAndUnGZ.bat" "%USERPROFILE%\AppData\Local\Temp\OnboardLogs"\RTDC4056\2017-06-11</v>
      </c>
      <c r="AF130" s="77" t="str">
        <f t="shared" si="58"/>
        <v>"C:\Program Files (x86)\AstroGrep\AstroGrep.exe" /e /r /s /spath="%USERPROFILE%\AppData\Local\Temp\OnboardLogs" /stypes="app*4056*20170611*" /stext=" 00:.+((SYSTEM_STATE.+slice.+state.+changed )|(ment ac)|(multiple cpu faults)|(system.+state.+changed )|(\[timeout)|(PRM\|1\|D)|(kpr)|(kdp)|(train st.+moving)|(\|lc)|(penalty))"</v>
      </c>
      <c r="AG130" s="1" t="str">
        <f t="shared" si="59"/>
        <v>EC</v>
      </c>
      <c r="AH130" s="81" t="str">
        <f t="shared" si="60"/>
        <v>"%USERPROFILE%\Documents\GitHub\eaglep3\Utilities\RefineRTDCRunTimes.py" --tripid 213-10 --locoid 4056 --swversion DE.1.0.9.0 --startMP 204:457 --initTime 2017-06-10T17:40:15 --startdatetime 2017-06-10T17:45:22 --delay 2 --endMP 204:233340 --enddatetime 2017-06-10T18:21:16 --enforcementcount 0 &gt;&gt;C:\Users\stu\Documents\GitHub\eaglep3-reporting\EC\2017-06-10-refined-times.txt</v>
      </c>
      <c r="AI130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{"issue":{"subject":"","project_id":79,"tracker_id":40,"status_id":1,"priority_id":2,"assigned_to_id":23,"start_date":"2017-06-10","description":"","custom_fields":[{"id":1,"name":"Subdivision","value":"EC"},{"id":4,"name":"Milepost","value":"23.334"},{"id":17,"name":"Train ID","value":"213-10"},{"id":16,"name":"Locomotive ID","value":"4056"},{"id":130,"name":"Impact","value":""},{"id":150,"name":"Time of Event (Mountain Time)","value":"18:21:16"},{"id":151,"name":"Denver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5" t="str">
        <f t="shared" si="62"/>
        <v>start /low /b %USERPROFILE%\Documents\GitHub\eaglep3\Utilities\DownloadLogsFromS3.py --loco 4056 --day 2017-06-10</v>
      </c>
      <c r="AN130" s="154" t="str">
        <f t="shared" si="63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00:21:16"},{"id":29,"name":"Sharepoint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779</v>
      </c>
      <c r="B131" s="7">
        <v>4055</v>
      </c>
      <c r="C131" s="21" t="s">
        <v>204</v>
      </c>
      <c r="D131" s="21" t="s">
        <v>556</v>
      </c>
      <c r="E131" s="13">
        <v>42896.769409722219</v>
      </c>
      <c r="F131" s="13">
        <v>42896.779432870368</v>
      </c>
      <c r="G131" s="7">
        <v>1</v>
      </c>
      <c r="H131" s="21" t="s">
        <v>529</v>
      </c>
      <c r="I131" s="13">
        <v>42896.806006944447</v>
      </c>
      <c r="J131" s="7">
        <v>0</v>
      </c>
      <c r="K131" s="92" t="str">
        <f t="shared" si="47"/>
        <v>4055/4056</v>
      </c>
      <c r="L131" s="21" t="str">
        <f>VLOOKUP(A131,'Trips&amp;Operators'!$C$1:$G$99999,5,FALSE)</f>
        <v>SAFIEF AEIMEN</v>
      </c>
      <c r="M131" s="6">
        <f t="shared" si="48"/>
        <v>2.6574074079690035E-2</v>
      </c>
      <c r="N131" s="7">
        <f t="shared" si="67"/>
        <v>38.266666674753651</v>
      </c>
      <c r="O131" s="7"/>
      <c r="P131" s="7"/>
      <c r="Q131" s="22"/>
      <c r="R131" s="173"/>
      <c r="S131" s="176">
        <f t="shared" si="68"/>
        <v>1</v>
      </c>
      <c r="T131" s="202" t="str">
        <f t="shared" si="49"/>
        <v>Southbound</v>
      </c>
      <c r="U131" s="202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03" t="str">
        <f t="shared" si="50"/>
        <v>https://d0f6bd738d7f1b3e5a7ca70fe4ff75f0.us-east-1.aws.found.io/app/kibana#/discover/Steve-Slow-Train-Analysis-(2080s-and-2083s)?_g=(refreshInterval:(display:Off,pause:!f,section:0,value:0),time:(from:'2017-06-10T17:27:57-0600',mode:absolute,to:'2017-06-10T20:20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31" s="204" t="str">
        <f t="shared" si="51"/>
        <v>N</v>
      </c>
      <c r="X131" s="204">
        <f t="shared" si="52"/>
        <v>1</v>
      </c>
      <c r="Y131" s="204">
        <f t="shared" si="69"/>
        <v>23.301300000000001</v>
      </c>
      <c r="Z131" s="204">
        <f t="shared" si="70"/>
        <v>1.32E-2</v>
      </c>
      <c r="AA131" s="204">
        <f t="shared" si="55"/>
        <v>23.2881</v>
      </c>
      <c r="AB131" s="57" t="e">
        <f>VLOOKUP(A131,Enforcements!$C$7:$K$13,8,0)</f>
        <v>#N/A</v>
      </c>
      <c r="AC131" s="53" t="e">
        <f>VLOOKUP(A131,Enforcements!$C$7:$E$13,3,0)</f>
        <v>#N/A</v>
      </c>
      <c r="AD131" s="54" t="str">
        <f t="shared" si="56"/>
        <v>0214-10</v>
      </c>
      <c r="AE131" s="80" t="str">
        <f t="shared" si="57"/>
        <v>aws s3 cp s3://rtdc.mdm.uploadarchive.raw/RTDC4055/ "%USERPROFILE%\AppData\Local\Temp\OnboardLogs"\RTDC4055\2017-06-10 --exclude "*" --recursive --include "*20170610*" &amp; "%USERPROFILE%\Documents\GitHub\mrs-test-scripts\Headless Mode &amp; Sideloading\WalkAndUnGZ.bat" "%USERPROFILE%\AppData\Local\Temp\OnboardLogs"\RTDC4055\2017-06-10 &amp; aws s3 cp s3://rtdc.mdm.uploadarchive.raw/RTDC4055/ "%USERPROFILE%\AppData\Local\Temp\OnboardLogs"\RTDC4055\2017-06-11 --exclude "*" --recursive --include "*20170611*" &amp; "%USERPROFILE%\Documents\GitHub\mrs-test-scripts\Headless Mode &amp; Sideloading\WalkAndUnGZ.bat" "%USERPROFILE%\AppData\Local\Temp\OnboardLogs"\RTDC4055\2017-06-11</v>
      </c>
      <c r="AF131" s="77" t="str">
        <f t="shared" si="58"/>
        <v>"C:\Program Files (x86)\AstroGrep\AstroGrep.exe" /e /r /s /spath="%USERPROFILE%\AppData\Local\Temp\OnboardLogs" /stypes="app*4055*20170611*" /stext=" 01:.+((SYSTEM_STATE.+slice.+state.+changed )|(ment ac)|(multiple cpu faults)|(system.+state.+changed )|(\[timeout)|(PRM\|1\|D)|(kpr)|(kdp)|(train st.+moving)|(\|lc)|(penalty))"</v>
      </c>
      <c r="AG131" s="1" t="str">
        <f t="shared" si="59"/>
        <v>EC</v>
      </c>
      <c r="AH131" s="81" t="str">
        <f t="shared" si="60"/>
        <v>"%USERPROFILE%\Documents\GitHub\eaglep3\Utilities\RefineRTDCRunTimes.py" --tripid 214-10 --locoid 4055 --swversion DE.1.0.9.0 --startMP 204:233013 --initTime 2017-06-10T18:27:57 --startdatetime 2017-06-10T18:42:23 --delay 1 --endMP 204:132 --enddatetime 2017-06-10T19:20:39 --enforcementcount 0 &gt;&gt;C:\Users\stu\Documents\GitHub\eaglep3-reporting\EC\2017-06-10-refined-times.txt</v>
      </c>
      <c r="AI131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{"issue":{"subject":"","project_id":79,"tracker_id":40,"status_id":1,"priority_id":2,"assigned_to_id":23,"start_date":"2017-06-10","description":"","custom_fields":[{"id":1,"name":"Subdivision","value":"EC"},{"id":4,"name":"Milepost","value":"0.0132"},{"id":17,"name":"Train ID","value":"214-10"},{"id":16,"name":"Locomotive ID","value":"4055"},{"id":130,"name":"Impact","value":""},{"id":150,"name":"Time of Event (Mountain Time)","value":"19:20:39"},{"id":151,"name":"Denver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5" t="str">
        <f t="shared" si="62"/>
        <v>start /low /b %USERPROFILE%\Documents\GitHub\eaglep3\Utilities\DownloadLogsFromS3.py --loco 4055 --day 2017-06-10</v>
      </c>
      <c r="AN131" s="154" t="str">
        <f t="shared" si="63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01:20:39"},{"id":29,"name":"Sharepoint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775</v>
      </c>
      <c r="B132" s="7">
        <v>4002</v>
      </c>
      <c r="C132" s="21" t="s">
        <v>204</v>
      </c>
      <c r="D132" s="21" t="s">
        <v>836</v>
      </c>
      <c r="E132" s="13">
        <v>42896.74732638889</v>
      </c>
      <c r="F132" s="13">
        <v>42896.750509259262</v>
      </c>
      <c r="G132" s="7">
        <v>1</v>
      </c>
      <c r="H132" s="21" t="s">
        <v>495</v>
      </c>
      <c r="I132" s="13">
        <v>42896.775729166664</v>
      </c>
      <c r="J132" s="7">
        <v>0</v>
      </c>
      <c r="K132" s="92" t="str">
        <f t="shared" si="47"/>
        <v>4001/4002</v>
      </c>
      <c r="L132" s="21" t="str">
        <f>VLOOKUP(A132,'Trips&amp;Operators'!$C$1:$G$99999,5,FALSE)</f>
        <v>HOLCOMB KAMDEN</v>
      </c>
      <c r="M132" s="6">
        <f t="shared" si="48"/>
        <v>2.5219907402060926E-2</v>
      </c>
      <c r="N132" s="7">
        <f t="shared" si="67"/>
        <v>36.316666658967733</v>
      </c>
      <c r="O132" s="7"/>
      <c r="P132" s="7"/>
      <c r="Q132" s="22"/>
      <c r="R132" s="173"/>
      <c r="S132" s="176">
        <f t="shared" si="68"/>
        <v>1</v>
      </c>
      <c r="T132" s="202" t="str">
        <f t="shared" si="49"/>
        <v>NorthBound</v>
      </c>
      <c r="U132" s="202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03" t="str">
        <f t="shared" si="50"/>
        <v>https://d0f6bd738d7f1b3e5a7ca70fe4ff75f0.us-east-1.aws.found.io/app/kibana#/discover/Steve-Slow-Train-Analysis-(2080s-and-2083s)?_g=(refreshInterval:(display:Off,pause:!f,section:0,value:0),time:(from:'2017-06-10T16:56:09-0600',mode:absolute,to:'2017-06-10T19:37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2" s="204" t="str">
        <f t="shared" si="51"/>
        <v>N</v>
      </c>
      <c r="X132" s="204">
        <f t="shared" si="52"/>
        <v>1</v>
      </c>
      <c r="Y132" s="204">
        <f t="shared" si="69"/>
        <v>4.3999999999999997E-2</v>
      </c>
      <c r="Z132" s="204">
        <f t="shared" si="70"/>
        <v>23.330300000000001</v>
      </c>
      <c r="AA132" s="204">
        <f t="shared" si="55"/>
        <v>23.286300000000001</v>
      </c>
      <c r="AB132" s="57" t="e">
        <f>VLOOKUP(A132,Enforcements!$C$7:$K$13,8,0)</f>
        <v>#N/A</v>
      </c>
      <c r="AC132" s="53" t="e">
        <f>VLOOKUP(A132,Enforcements!$C$7:$E$13,3,0)</f>
        <v>#N/A</v>
      </c>
      <c r="AD132" s="54" t="str">
        <f t="shared" si="56"/>
        <v>0215-10</v>
      </c>
      <c r="AE132" s="80" t="str">
        <f t="shared" si="57"/>
        <v>aws s3 cp s3://rtdc.mdm.uploadarchive.raw/RTDC4002/ "%USERPROFILE%\AppData\Local\Temp\OnboardLogs"\RTDC4002\2017-06-10 --exclude "*" --recursive --include "*20170610*" &amp; "%USERPROFILE%\Documents\GitHub\mrs-test-scripts\Headless Mode &amp; Sideloading\WalkAndUnGZ.bat" "%USERPROFILE%\AppData\Local\Temp\OnboardLogs"\RTDC4002\2017-06-10 &amp; aws s3 cp s3://rtdc.mdm.uploadarchive.raw/RTDC4002/ "%USERPROFILE%\AppData\Local\Temp\OnboardLogs"\RTDC4002\2017-06-11 --exclude "*" --recursive --include "*20170611*" &amp; "%USERPROFILE%\Documents\GitHub\mrs-test-scripts\Headless Mode &amp; Sideloading\WalkAndUnGZ.bat" "%USERPROFILE%\AppData\Local\Temp\OnboardLogs"\RTDC4002\2017-06-11</v>
      </c>
      <c r="AF132" s="77" t="str">
        <f t="shared" si="58"/>
        <v>"C:\Program Files (x86)\AstroGrep\AstroGrep.exe" /e /r /s /spath="%USERPROFILE%\AppData\Local\Temp\OnboardLogs" /stypes="app*4002*20170611*" /stext=" 00:.+((SYSTEM_STATE.+slice.+state.+changed )|(ment ac)|(multiple cpu faults)|(system.+state.+changed )|(\[timeout)|(PRM\|1\|D)|(kpr)|(kdp)|(train st.+moving)|(\|lc)|(penalty))"</v>
      </c>
      <c r="AG132" s="1" t="str">
        <f t="shared" si="59"/>
        <v>EC</v>
      </c>
      <c r="AH132" s="81" t="str">
        <f t="shared" si="60"/>
        <v>"%USERPROFILE%\Documents\GitHub\eaglep3\Utilities\RefineRTDCRunTimes.py" --tripid 215-10 --locoid 4002 --swversion DE.1.0.9.0 --startMP 204:440 --initTime 2017-06-10T17:56:09 --startdatetime 2017-06-10T18:00:44 --delay 1 --endMP 204:233303 --enddatetime 2017-06-10T18:37:03 --enforcementcount 0 &gt;&gt;C:\Users\stu\Documents\GitHub\eaglep3-reporting\EC\2017-06-10-refined-times.txt</v>
      </c>
      <c r="AI132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{"issue":{"subject":"","project_id":79,"tracker_id":40,"status_id":1,"priority_id":2,"assigned_to_id":23,"start_date":"2017-06-10","description":"","custom_fields":[{"id":1,"name":"Subdivision","value":"EC"},{"id":4,"name":"Milepost","value":"23.3303"},{"id":17,"name":"Train ID","value":"215-10"},{"id":16,"name":"Locomotive ID","value":"4002"},{"id":130,"name":"Impact","value":""},{"id":150,"name":"Time of Event (Mountain Time)","value":"18:37:03"},{"id":151,"name":"Denver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5" t="str">
        <f t="shared" si="62"/>
        <v>start /low /b %USERPROFILE%\Documents\GitHub\eaglep3\Utilities\DownloadLogsFromS3.py --loco 4002 --day 2017-06-10</v>
      </c>
      <c r="AN132" s="154" t="str">
        <f t="shared" si="63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00:37:03"},{"id":29,"name":"Sharepoint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782</v>
      </c>
      <c r="B133" s="7">
        <v>4001</v>
      </c>
      <c r="C133" s="21" t="s">
        <v>204</v>
      </c>
      <c r="D133" s="21" t="s">
        <v>497</v>
      </c>
      <c r="E133" s="13">
        <v>42896.785509259258</v>
      </c>
      <c r="F133" s="13">
        <v>42896.789756944447</v>
      </c>
      <c r="G133" s="7">
        <v>1</v>
      </c>
      <c r="H133" s="21" t="s">
        <v>553</v>
      </c>
      <c r="I133" s="13">
        <v>42896.816006944442</v>
      </c>
      <c r="J133" s="7">
        <v>0</v>
      </c>
      <c r="K133" s="92" t="str">
        <f t="shared" si="47"/>
        <v>4001/4002</v>
      </c>
      <c r="L133" s="21" t="str">
        <f>VLOOKUP(A133,'Trips&amp;Operators'!$C$1:$G$99999,5,FALSE)</f>
        <v>HOLCOMB KAMDEN</v>
      </c>
      <c r="M133" s="6">
        <f t="shared" si="48"/>
        <v>2.6249999995343387E-2</v>
      </c>
      <c r="N133" s="7">
        <f t="shared" si="67"/>
        <v>37.799999993294477</v>
      </c>
      <c r="O133" s="7"/>
      <c r="P133" s="7"/>
      <c r="Q133" s="22"/>
      <c r="R133" s="173"/>
      <c r="S133" s="176">
        <f t="shared" si="68"/>
        <v>1</v>
      </c>
      <c r="T133" s="202" t="str">
        <f t="shared" si="49"/>
        <v>Southbound</v>
      </c>
      <c r="U133" s="202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03" t="str">
        <f t="shared" si="50"/>
        <v>https://d0f6bd738d7f1b3e5a7ca70fe4ff75f0.us-east-1.aws.found.io/app/kibana#/discover/Steve-Slow-Train-Analysis-(2080s-and-2083s)?_g=(refreshInterval:(display:Off,pause:!f,section:0,value:0),time:(from:'2017-06-10T17:51:08-0600',mode:absolute,to:'2017-06-10T20:35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3" s="204" t="str">
        <f t="shared" si="51"/>
        <v>N</v>
      </c>
      <c r="X133" s="204">
        <f t="shared" si="52"/>
        <v>1</v>
      </c>
      <c r="Y133" s="204">
        <f t="shared" si="69"/>
        <v>23.298999999999999</v>
      </c>
      <c r="Z133" s="204">
        <f t="shared" si="70"/>
        <v>1.34E-2</v>
      </c>
      <c r="AA133" s="204">
        <f t="shared" si="55"/>
        <v>23.285599999999999</v>
      </c>
      <c r="AB133" s="57" t="e">
        <f>VLOOKUP(A133,Enforcements!$C$7:$K$13,8,0)</f>
        <v>#N/A</v>
      </c>
      <c r="AC133" s="53" t="e">
        <f>VLOOKUP(A133,Enforcements!$C$7:$E$13,3,0)</f>
        <v>#N/A</v>
      </c>
      <c r="AD133" s="54" t="str">
        <f t="shared" si="56"/>
        <v>0216-10</v>
      </c>
      <c r="AE133" s="80" t="str">
        <f t="shared" si="57"/>
        <v>aws s3 cp s3://rtdc.mdm.uploadarchive.raw/RTDC4001/ "%USERPROFILE%\AppData\Local\Temp\OnboardLogs"\RTDC4001\2017-06-10 --exclude "*" --recursive --include "*20170610*" &amp; "%USERPROFILE%\Documents\GitHub\mrs-test-scripts\Headless Mode &amp; Sideloading\WalkAndUnGZ.bat" "%USERPROFILE%\AppData\Local\Temp\OnboardLogs"\RTDC4001\2017-06-10 &amp; aws s3 cp s3://rtdc.mdm.uploadarchive.raw/RTDC4001/ "%USERPROFILE%\AppData\Local\Temp\OnboardLogs"\RTDC4001\2017-06-11 --exclude "*" --recursive --include "*20170611*" &amp; "%USERPROFILE%\Documents\GitHub\mrs-test-scripts\Headless Mode &amp; Sideloading\WalkAndUnGZ.bat" "%USERPROFILE%\AppData\Local\Temp\OnboardLogs"\RTDC4001\2017-06-11</v>
      </c>
      <c r="AF133" s="77" t="str">
        <f t="shared" si="58"/>
        <v>"C:\Program Files (x86)\AstroGrep\AstroGrep.exe" /e /r /s /spath="%USERPROFILE%\AppData\Local\Temp\OnboardLogs" /stypes="app*4001*20170611*" /stext=" 01:.+((SYSTEM_STATE.+slice.+state.+changed )|(ment ac)|(multiple cpu faults)|(system.+state.+changed )|(\[timeout)|(PRM\|1\|D)|(kpr)|(kdp)|(train st.+moving)|(\|lc)|(penalty))"</v>
      </c>
      <c r="AG133" s="1" t="str">
        <f t="shared" si="59"/>
        <v>EC</v>
      </c>
      <c r="AH133" s="81" t="str">
        <f t="shared" si="60"/>
        <v>"%USERPROFILE%\Documents\GitHub\eaglep3\Utilities\RefineRTDCRunTimes.py" --tripid 216-10 --locoid 4001 --swversion DE.1.0.9.0 --startMP 204:232990 --initTime 2017-06-10T18:51:08 --startdatetime 2017-06-10T18:57:15 --delay 1 --endMP 204:134 --enddatetime 2017-06-10T19:35:03 --enforcementcount 0 &gt;&gt;C:\Users\stu\Documents\GitHub\eaglep3-reporting\EC\2017-06-10-refined-times.txt</v>
      </c>
      <c r="AI133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{"issue":{"subject":"","project_id":79,"tracker_id":40,"status_id":1,"priority_id":2,"assigned_to_id":23,"start_date":"2017-06-10","description":"","custom_fields":[{"id":1,"name":"Subdivision","value":"EC"},{"id":4,"name":"Milepost","value":"0.0134"},{"id":17,"name":"Train ID","value":"216-10"},{"id":16,"name":"Locomotive ID","value":"4001"},{"id":130,"name":"Impact","value":""},{"id":150,"name":"Time of Event (Mountain Time)","value":"19:35:03"},{"id":151,"name":"Denver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5" t="str">
        <f t="shared" si="62"/>
        <v>start /low /b %USERPROFILE%\Documents\GitHub\eaglep3\Utilities\DownloadLogsFromS3.py --loco 4001 --day 2017-06-10</v>
      </c>
      <c r="AN133" s="154" t="str">
        <f t="shared" si="63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01:35:03"},{"id":29,"name":"Sharepoint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777</v>
      </c>
      <c r="B134" s="7">
        <v>4022</v>
      </c>
      <c r="C134" s="21" t="s">
        <v>204</v>
      </c>
      <c r="D134" s="21" t="s">
        <v>345</v>
      </c>
      <c r="E134" s="13">
        <v>42896.757789351854</v>
      </c>
      <c r="F134" s="13">
        <v>42896.760601851849</v>
      </c>
      <c r="G134" s="7">
        <v>2</v>
      </c>
      <c r="H134" s="21" t="s">
        <v>936</v>
      </c>
      <c r="I134" s="13">
        <v>42896.785578703704</v>
      </c>
      <c r="J134" s="7">
        <v>0</v>
      </c>
      <c r="K134" s="92" t="str">
        <f t="shared" si="47"/>
        <v>4021/4022</v>
      </c>
      <c r="L134" s="21" t="str">
        <f>VLOOKUP(A134,'Trips&amp;Operators'!$C$1:$G$99999,5,FALSE)</f>
        <v>MAGEE KENYA</v>
      </c>
      <c r="M134" s="6">
        <f t="shared" si="48"/>
        <v>2.4976851855171844E-2</v>
      </c>
      <c r="N134" s="7">
        <f t="shared" si="67"/>
        <v>35.966666671447456</v>
      </c>
      <c r="O134" s="7"/>
      <c r="P134" s="7"/>
      <c r="Q134" s="22"/>
      <c r="R134" s="173"/>
      <c r="S134" s="176">
        <f t="shared" si="68"/>
        <v>1</v>
      </c>
      <c r="T134" s="202" t="str">
        <f t="shared" si="49"/>
        <v>NorthBound</v>
      </c>
      <c r="U134" s="202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03" t="str">
        <f t="shared" si="50"/>
        <v>https://d0f6bd738d7f1b3e5a7ca70fe4ff75f0.us-east-1.aws.found.io/app/kibana#/discover/Steve-Slow-Train-Analysis-(2080s-and-2083s)?_g=(refreshInterval:(display:Off,pause:!f,section:0,value:0),time:(from:'2017-06-10T17:11:13-0600',mode:absolute,to:'2017-06-10T19:51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4" s="204" t="str">
        <f t="shared" si="51"/>
        <v>N</v>
      </c>
      <c r="X134" s="204">
        <f t="shared" si="52"/>
        <v>1</v>
      </c>
      <c r="Y134" s="204">
        <f t="shared" si="69"/>
        <v>4.4900000000000002E-2</v>
      </c>
      <c r="Z134" s="204">
        <f t="shared" si="70"/>
        <v>23.331399999999999</v>
      </c>
      <c r="AA134" s="204">
        <f t="shared" si="55"/>
        <v>23.2865</v>
      </c>
      <c r="AB134" s="57" t="e">
        <f>VLOOKUP(A134,Enforcements!$C$7:$K$13,8,0)</f>
        <v>#N/A</v>
      </c>
      <c r="AC134" s="53" t="e">
        <f>VLOOKUP(A134,Enforcements!$C$7:$E$13,3,0)</f>
        <v>#N/A</v>
      </c>
      <c r="AD134" s="54" t="str">
        <f t="shared" si="56"/>
        <v>0217-10</v>
      </c>
      <c r="AE134" s="80" t="str">
        <f t="shared" si="57"/>
        <v>aws s3 cp s3://rtdc.mdm.uploadarchive.raw/RTDC4022/ "%USERPROFILE%\AppData\Local\Temp\OnboardLogs"\RTDC4022\2017-06-10 --exclude "*" --recursive --include "*20170610*" &amp; "%USERPROFILE%\Documents\GitHub\mrs-test-scripts\Headless Mode &amp; Sideloading\WalkAndUnGZ.bat" "%USERPROFILE%\AppData\Local\Temp\OnboardLogs"\RTDC4022\2017-06-10 &amp; aws s3 cp s3://rtdc.mdm.uploadarchive.raw/RTDC4022/ "%USERPROFILE%\AppData\Local\Temp\OnboardLogs"\RTDC4022\2017-06-11 --exclude "*" --recursive --include "*20170611*" &amp; "%USERPROFILE%\Documents\GitHub\mrs-test-scripts\Headless Mode &amp; Sideloading\WalkAndUnGZ.bat" "%USERPROFILE%\AppData\Local\Temp\OnboardLogs"\RTDC4022\2017-06-11</v>
      </c>
      <c r="AF134" s="77" t="str">
        <f t="shared" si="58"/>
        <v>"C:\Program Files (x86)\AstroGrep\AstroGrep.exe" /e /r /s /spath="%USERPROFILE%\AppData\Local\Temp\OnboardLogs" /stypes="app*4022*20170611*" /stext=" 00:.+((SYSTEM_STATE.+slice.+state.+changed )|(ment ac)|(multiple cpu faults)|(system.+state.+changed )|(\[timeout)|(PRM\|1\|D)|(kpr)|(kdp)|(train st.+moving)|(\|lc)|(penalty))"</v>
      </c>
      <c r="AG134" s="1" t="str">
        <f t="shared" si="59"/>
        <v>EC</v>
      </c>
      <c r="AH134" s="81" t="str">
        <f t="shared" si="60"/>
        <v>"%USERPROFILE%\Documents\GitHub\eaglep3\Utilities\RefineRTDCRunTimes.py" --tripid 217-10 --locoid 4022 --swversion DE.1.0.9.0 --startMP 204:449 --initTime 2017-06-10T18:11:13 --startdatetime 2017-06-10T18:15:16 --delay 2 --endMP 204:233314 --enddatetime 2017-06-10T18:51:14 --enforcementcount 0 &gt;&gt;C:\Users\stu\Documents\GitHub\eaglep3-reporting\EC\2017-06-10-refined-times.txt</v>
      </c>
      <c r="AI134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{"issue":{"subject":"","project_id":79,"tracker_id":40,"status_id":1,"priority_id":2,"assigned_to_id":23,"start_date":"2017-06-10","description":"","custom_fields":[{"id":1,"name":"Subdivision","value":"EC"},{"id":4,"name":"Milepost","value":"23.3314"},{"id":17,"name":"Train ID","value":"217-10"},{"id":16,"name":"Locomotive ID","value":"4022"},{"id":130,"name":"Impact","value":""},{"id":150,"name":"Time of Event (Mountain Time)","value":"18:51:14"},{"id":151,"name":"Denver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5" t="str">
        <f t="shared" si="62"/>
        <v>start /low /b %USERPROFILE%\Documents\GitHub\eaglep3\Utilities\DownloadLogsFromS3.py --loco 4022 --day 2017-06-10</v>
      </c>
      <c r="AN134" s="154" t="str">
        <f t="shared" si="63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00:51:14"},{"id":29,"name":"Sharepoint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785</v>
      </c>
      <c r="B135" s="7">
        <v>4021</v>
      </c>
      <c r="C135" s="21" t="s">
        <v>204</v>
      </c>
      <c r="D135" s="21" t="s">
        <v>525</v>
      </c>
      <c r="E135" s="13">
        <v>42896.798449074071</v>
      </c>
      <c r="F135" s="13">
        <v>42896.800428240742</v>
      </c>
      <c r="G135" s="7">
        <v>1</v>
      </c>
      <c r="H135" s="21" t="s">
        <v>937</v>
      </c>
      <c r="I135" s="13">
        <v>42896.826493055552</v>
      </c>
      <c r="J135" s="7">
        <v>0</v>
      </c>
      <c r="K135" s="92" t="str">
        <f t="shared" si="47"/>
        <v>4021/4022</v>
      </c>
      <c r="L135" s="21" t="str">
        <f>VLOOKUP(A135,'Trips&amp;Operators'!$C$1:$G$99999,5,FALSE)</f>
        <v>MAGEE KENYA</v>
      </c>
      <c r="M135" s="6">
        <f t="shared" si="48"/>
        <v>2.6064814810524695E-2</v>
      </c>
      <c r="N135" s="7">
        <f t="shared" si="67"/>
        <v>37.53333332715556</v>
      </c>
      <c r="O135" s="7"/>
      <c r="P135" s="7"/>
      <c r="Q135" s="22"/>
      <c r="R135" s="173"/>
      <c r="S135" s="176">
        <f t="shared" si="68"/>
        <v>1</v>
      </c>
      <c r="T135" s="202" t="str">
        <f t="shared" si="49"/>
        <v>Southbound</v>
      </c>
      <c r="U135" s="202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03" t="str">
        <f t="shared" si="50"/>
        <v>https://d0f6bd738d7f1b3e5a7ca70fe4ff75f0.us-east-1.aws.found.io/app/kibana#/discover/Steve-Slow-Train-Analysis-(2080s-and-2083s)?_g=(refreshInterval:(display:Off,pause:!f,section:0,value:0),time:(from:'2017-06-10T18:09:46-0600',mode:absolute,to:'2017-06-10T20:50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35" s="204" t="str">
        <f t="shared" si="51"/>
        <v>N</v>
      </c>
      <c r="X135" s="204">
        <f t="shared" si="52"/>
        <v>1</v>
      </c>
      <c r="Y135" s="204">
        <f t="shared" si="69"/>
        <v>23.305099999999999</v>
      </c>
      <c r="Z135" s="204">
        <f t="shared" si="70"/>
        <v>1.29E-2</v>
      </c>
      <c r="AA135" s="204">
        <f t="shared" si="55"/>
        <v>23.292200000000001</v>
      </c>
      <c r="AB135" s="57" t="e">
        <f>VLOOKUP(A135,Enforcements!$C$7:$K$13,8,0)</f>
        <v>#N/A</v>
      </c>
      <c r="AC135" s="53" t="e">
        <f>VLOOKUP(A135,Enforcements!$C$7:$E$13,3,0)</f>
        <v>#N/A</v>
      </c>
      <c r="AD135" s="54" t="str">
        <f t="shared" si="56"/>
        <v>0218-10</v>
      </c>
      <c r="AE135" s="80" t="str">
        <f t="shared" si="57"/>
        <v>aws s3 cp s3://rtdc.mdm.uploadarchive.raw/RTDC4021/ "%USERPROFILE%\AppData\Local\Temp\OnboardLogs"\RTDC4021\2017-06-10 --exclude "*" --recursive --include "*20170610*" &amp; "%USERPROFILE%\Documents\GitHub\mrs-test-scripts\Headless Mode &amp; Sideloading\WalkAndUnGZ.bat" "%USERPROFILE%\AppData\Local\Temp\OnboardLogs"\RTDC4021\2017-06-10 &amp; aws s3 cp s3://rtdc.mdm.uploadarchive.raw/RTDC4021/ "%USERPROFILE%\AppData\Local\Temp\OnboardLogs"\RTDC4021\2017-06-11 --exclude "*" --recursive --include "*20170611*" &amp; "%USERPROFILE%\Documents\GitHub\mrs-test-scripts\Headless Mode &amp; Sideloading\WalkAndUnGZ.bat" "%USERPROFILE%\AppData\Local\Temp\OnboardLogs"\RTDC4021\2017-06-11</v>
      </c>
      <c r="AF135" s="77" t="str">
        <f t="shared" si="58"/>
        <v>"C:\Program Files (x86)\AstroGrep\AstroGrep.exe" /e /r /s /spath="%USERPROFILE%\AppData\Local\Temp\OnboardLogs" /stypes="app*4021*20170611*" /stext=" 01:.+((SYSTEM_STATE.+slice.+state.+changed )|(ment ac)|(multiple cpu faults)|(system.+state.+changed )|(\[timeout)|(PRM\|1\|D)|(kpr)|(kdp)|(train st.+moving)|(\|lc)|(penalty))"</v>
      </c>
      <c r="AG135" s="1" t="str">
        <f t="shared" si="59"/>
        <v>EC</v>
      </c>
      <c r="AH135" s="81" t="str">
        <f t="shared" si="60"/>
        <v>"%USERPROFILE%\Documents\GitHub\eaglep3\Utilities\RefineRTDCRunTimes.py" --tripid 218-10 --locoid 4021 --swversion DE.1.0.9.0 --startMP 204:233051 --initTime 2017-06-10T19:09:46 --startdatetime 2017-06-10T19:12:37 --delay 1 --endMP 204:129 --enddatetime 2017-06-10T19:50:09 --enforcementcount 0 &gt;&gt;C:\Users\stu\Documents\GitHub\eaglep3-reporting\EC\2017-06-10-refined-times.txt</v>
      </c>
      <c r="AI135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{"issue":{"subject":"","project_id":79,"tracker_id":40,"status_id":1,"priority_id":2,"assigned_to_id":23,"start_date":"2017-06-10","description":"","custom_fields":[{"id":1,"name":"Subdivision","value":"EC"},{"id":4,"name":"Milepost","value":"0.0129"},{"id":17,"name":"Train ID","value":"218-10"},{"id":16,"name":"Locomotive ID","value":"4021"},{"id":130,"name":"Impact","value":""},{"id":150,"name":"Time of Event (Mountain Time)","value":"19:50:09"},{"id":151,"name":"Denver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5" t="str">
        <f t="shared" si="62"/>
        <v>start /low /b %USERPROFILE%\Documents\GitHub\eaglep3\Utilities\DownloadLogsFromS3.py --loco 4021 --day 2017-06-10</v>
      </c>
      <c r="AN135" s="154" t="str">
        <f t="shared" si="63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01:50:09"},{"id":29,"name":"Sharepoint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778</v>
      </c>
      <c r="B136" s="7">
        <v>4028</v>
      </c>
      <c r="C136" s="21" t="s">
        <v>204</v>
      </c>
      <c r="D136" s="21" t="s">
        <v>200</v>
      </c>
      <c r="E136" s="13">
        <v>42896.767141203702</v>
      </c>
      <c r="F136" s="13">
        <v>42896.771180555559</v>
      </c>
      <c r="G136" s="7">
        <v>2</v>
      </c>
      <c r="H136" s="21" t="s">
        <v>938</v>
      </c>
      <c r="I136" s="13">
        <v>42896.7965625</v>
      </c>
      <c r="J136" s="7">
        <v>0</v>
      </c>
      <c r="K136" s="92" t="str">
        <f t="shared" si="47"/>
        <v>4027/4028</v>
      </c>
      <c r="L136" s="21" t="str">
        <f>VLOOKUP(A136,'Trips&amp;Operators'!$C$1:$G$99999,5,FALSE)</f>
        <v>FORTUNATO FRANK</v>
      </c>
      <c r="M136" s="6">
        <f t="shared" si="48"/>
        <v>2.5381944440596271E-2</v>
      </c>
      <c r="N136" s="7">
        <f t="shared" si="67"/>
        <v>36.549999994458631</v>
      </c>
      <c r="O136" s="7"/>
      <c r="P136" s="7"/>
      <c r="Q136" s="22"/>
      <c r="R136" s="173"/>
      <c r="S136" s="176">
        <f t="shared" si="68"/>
        <v>1</v>
      </c>
      <c r="T136" s="202" t="str">
        <f t="shared" si="49"/>
        <v>NorthBound</v>
      </c>
      <c r="U136" s="202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03" t="str">
        <f t="shared" si="50"/>
        <v>https://d0f6bd738d7f1b3e5a7ca70fe4ff75f0.us-east-1.aws.found.io/app/kibana#/discover/Steve-Slow-Train-Analysis-(2080s-and-2083s)?_g=(refreshInterval:(display:Off,pause:!f,section:0,value:0),time:(from:'2017-06-10T17:24:41-0600',mode:absolute,to:'2017-06-10T20:07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6" s="204" t="str">
        <f t="shared" si="51"/>
        <v>N</v>
      </c>
      <c r="X136" s="204">
        <f t="shared" si="52"/>
        <v>1</v>
      </c>
      <c r="Y136" s="204">
        <f t="shared" si="69"/>
        <v>4.5699999999999998E-2</v>
      </c>
      <c r="Z136" s="204">
        <f t="shared" si="70"/>
        <v>23.335899999999999</v>
      </c>
      <c r="AA136" s="204">
        <f t="shared" si="55"/>
        <v>23.290199999999999</v>
      </c>
      <c r="AB136" s="57" t="e">
        <f>VLOOKUP(A136,Enforcements!$C$7:$K$13,8,0)</f>
        <v>#N/A</v>
      </c>
      <c r="AC136" s="53" t="e">
        <f>VLOOKUP(A136,Enforcements!$C$7:$E$13,3,0)</f>
        <v>#N/A</v>
      </c>
      <c r="AD136" s="54" t="str">
        <f t="shared" si="56"/>
        <v>0219-10</v>
      </c>
      <c r="AE136" s="80" t="str">
        <f t="shared" si="57"/>
        <v>aws s3 cp s3://rtdc.mdm.uploadarchive.raw/RTDC4028/ "%USERPROFILE%\AppData\Local\Temp\OnboardLogs"\RTDC4028\2017-06-10 --exclude "*" --recursive --include "*20170610*" &amp; "%USERPROFILE%\Documents\GitHub\mrs-test-scripts\Headless Mode &amp; Sideloading\WalkAndUnGZ.bat" "%USERPROFILE%\AppData\Local\Temp\OnboardLogs"\RTDC4028\2017-06-10 &amp; aws s3 cp s3://rtdc.mdm.uploadarchive.raw/RTDC4028/ "%USERPROFILE%\AppData\Local\Temp\OnboardLogs"\RTDC4028\2017-06-11 --exclude "*" --recursive --include "*20170611*" &amp; "%USERPROFILE%\Documents\GitHub\mrs-test-scripts\Headless Mode &amp; Sideloading\WalkAndUnGZ.bat" "%USERPROFILE%\AppData\Local\Temp\OnboardLogs"\RTDC4028\2017-06-11</v>
      </c>
      <c r="AF136" s="77" t="str">
        <f t="shared" si="58"/>
        <v>"C:\Program Files (x86)\AstroGrep\AstroGrep.exe" /e /r /s /spath="%USERPROFILE%\AppData\Local\Temp\OnboardLogs" /stypes="app*4028*20170611*" /stext=" 01:.+((SYSTEM_STATE.+slice.+state.+changed )|(ment ac)|(multiple cpu faults)|(system.+state.+changed )|(\[timeout)|(PRM\|1\|D)|(kpr)|(kdp)|(train st.+moving)|(\|lc)|(penalty))"</v>
      </c>
      <c r="AG136" s="1" t="str">
        <f t="shared" si="59"/>
        <v>EC</v>
      </c>
      <c r="AH136" s="81" t="str">
        <f t="shared" si="60"/>
        <v>"%USERPROFILE%\Documents\GitHub\eaglep3\Utilities\RefineRTDCRunTimes.py" --tripid 219-10 --locoid 4028 --swversion DE.1.0.9.0 --startMP 204:457 --initTime 2017-06-10T18:24:41 --startdatetime 2017-06-10T18:30:30 --delay 2 --endMP 204:233359 --enddatetime 2017-06-10T19:07:03 --enforcementcount 0 &gt;&gt;C:\Users\stu\Documents\GitHub\eaglep3-reporting\EC\2017-06-10-refined-times.txt</v>
      </c>
      <c r="AI136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{"issue":{"subject":"","project_id":79,"tracker_id":40,"status_id":1,"priority_id":2,"assigned_to_id":23,"start_date":"2017-06-10","description":"","custom_fields":[{"id":1,"name":"Subdivision","value":"EC"},{"id":4,"name":"Milepost","value":"23.3359"},{"id":17,"name":"Train ID","value":"219-10"},{"id":16,"name":"Locomotive ID","value":"4028"},{"id":130,"name":"Impact","value":""},{"id":150,"name":"Time of Event (Mountain Time)","value":"19:07:03"},{"id":151,"name":"Denver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5" t="str">
        <f t="shared" si="62"/>
        <v>start /low /b %USERPROFILE%\Documents\GitHub\eaglep3\Utilities\DownloadLogsFromS3.py --loco 4028 --day 2017-06-10</v>
      </c>
      <c r="AN136" s="154" t="str">
        <f t="shared" si="63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01:07:03"},{"id":29,"name":"Sharepoint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787</v>
      </c>
      <c r="B137" s="7">
        <v>4027</v>
      </c>
      <c r="C137" s="21" t="s">
        <v>204</v>
      </c>
      <c r="D137" s="21" t="s">
        <v>939</v>
      </c>
      <c r="E137" s="13">
        <v>42896.802245370367</v>
      </c>
      <c r="F137" s="13">
        <v>42896.810578703706</v>
      </c>
      <c r="G137" s="7">
        <v>1</v>
      </c>
      <c r="H137" s="21" t="s">
        <v>937</v>
      </c>
      <c r="I137" s="13">
        <v>42896.837523148148</v>
      </c>
      <c r="J137" s="7">
        <v>0</v>
      </c>
      <c r="K137" s="92" t="str">
        <f t="shared" si="47"/>
        <v>4027/4028</v>
      </c>
      <c r="L137" s="21" t="str">
        <f>VLOOKUP(A137,'Trips&amp;Operators'!$C$1:$G$99999,5,FALSE)</f>
        <v>FORTUNATO FRANK</v>
      </c>
      <c r="M137" s="6">
        <f t="shared" si="48"/>
        <v>2.6944444442051463E-2</v>
      </c>
      <c r="N137" s="7">
        <f t="shared" si="67"/>
        <v>38.799999996554106</v>
      </c>
      <c r="O137" s="7"/>
      <c r="P137" s="7"/>
      <c r="Q137" s="22"/>
      <c r="R137" s="173"/>
      <c r="S137" s="176">
        <f t="shared" si="68"/>
        <v>1</v>
      </c>
      <c r="T137" s="202" t="str">
        <f t="shared" si="49"/>
        <v>Southbound</v>
      </c>
      <c r="U137" s="202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03" t="str">
        <f t="shared" si="50"/>
        <v>https://d0f6bd738d7f1b3e5a7ca70fe4ff75f0.us-east-1.aws.found.io/app/kibana#/discover/Steve-Slow-Train-Analysis-(2080s-and-2083s)?_g=(refreshInterval:(display:Off,pause:!f,section:0,value:0),time:(from:'2017-06-10T18:15:14-0600',mode:absolute,to:'2017-06-10T21:06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7" s="204" t="str">
        <f t="shared" si="51"/>
        <v>N</v>
      </c>
      <c r="X137" s="204">
        <f t="shared" si="52"/>
        <v>1</v>
      </c>
      <c r="Y137" s="204">
        <f t="shared" si="69"/>
        <v>23.303000000000001</v>
      </c>
      <c r="Z137" s="204">
        <f t="shared" si="70"/>
        <v>1.29E-2</v>
      </c>
      <c r="AA137" s="204">
        <f t="shared" si="55"/>
        <v>23.290100000000002</v>
      </c>
      <c r="AB137" s="57" t="e">
        <f>VLOOKUP(A137,Enforcements!$C$7:$K$13,8,0)</f>
        <v>#N/A</v>
      </c>
      <c r="AC137" s="53" t="e">
        <f>VLOOKUP(A137,Enforcements!$C$7:$E$13,3,0)</f>
        <v>#N/A</v>
      </c>
      <c r="AD137" s="54" t="str">
        <f t="shared" si="56"/>
        <v>0220-10</v>
      </c>
      <c r="AE137" s="80" t="str">
        <f t="shared" si="57"/>
        <v>aws s3 cp s3://rtdc.mdm.uploadarchive.raw/RTDC4027/ "%USERPROFILE%\AppData\Local\Temp\OnboardLogs"\RTDC4027\2017-06-10 --exclude "*" --recursive --include "*20170610*" &amp; "%USERPROFILE%\Documents\GitHub\mrs-test-scripts\Headless Mode &amp; Sideloading\WalkAndUnGZ.bat" "%USERPROFILE%\AppData\Local\Temp\OnboardLogs"\RTDC4027\2017-06-10 &amp; aws s3 cp s3://rtdc.mdm.uploadarchive.raw/RTDC4027/ "%USERPROFILE%\AppData\Local\Temp\OnboardLogs"\RTDC4027\2017-06-11 --exclude "*" --recursive --include "*20170611*" &amp; "%USERPROFILE%\Documents\GitHub\mrs-test-scripts\Headless Mode &amp; Sideloading\WalkAndUnGZ.bat" "%USERPROFILE%\AppData\Local\Temp\OnboardLogs"\RTDC4027\2017-06-11</v>
      </c>
      <c r="AF137" s="77" t="str">
        <f t="shared" si="58"/>
        <v>"C:\Program Files (x86)\AstroGrep\AstroGrep.exe" /e /r /s /spath="%USERPROFILE%\AppData\Local\Temp\OnboardLogs" /stypes="app*4027*20170611*" /stext=" 02:.+((SYSTEM_STATE.+slice.+state.+changed )|(ment ac)|(multiple cpu faults)|(system.+state.+changed )|(\[timeout)|(PRM\|1\|D)|(kpr)|(kdp)|(train st.+moving)|(\|lc)|(penalty))"</v>
      </c>
      <c r="AG137" s="1" t="str">
        <f t="shared" si="59"/>
        <v>EC</v>
      </c>
      <c r="AH137" s="81" t="str">
        <f t="shared" si="60"/>
        <v>"%USERPROFILE%\Documents\GitHub\eaglep3\Utilities\RefineRTDCRunTimes.py" --tripid 220-10 --locoid 4027 --swversion DE.1.0.9.0 --startMP 204:233030 --initTime 2017-06-10T19:15:14 --startdatetime 2017-06-10T19:27:14 --delay 1 --endMP 204:129 --enddatetime 2017-06-10T20:06:02 --enforcementcount 0 &gt;&gt;C:\Users\stu\Documents\GitHub\eaglep3-reporting\EC\2017-06-10-refined-times.txt</v>
      </c>
      <c r="AI137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{"issue":{"subject":"","project_id":79,"tracker_id":40,"status_id":1,"priority_id":2,"assigned_to_id":23,"start_date":"2017-06-10","description":"","custom_fields":[{"id":1,"name":"Subdivision","value":"EC"},{"id":4,"name":"Milepost","value":"0.0129"},{"id":17,"name":"Train ID","value":"220-10"},{"id":16,"name":"Locomotive ID","value":"4027"},{"id":130,"name":"Impact","value":""},{"id":150,"name":"Time of Event (Mountain Time)","value":"20:06:02"},{"id":151,"name":"Denver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5" t="str">
        <f t="shared" si="62"/>
        <v>start /low /b %USERPROFILE%\Documents\GitHub\eaglep3\Utilities\DownloadLogsFromS3.py --loco 4027 --day 2017-06-10</v>
      </c>
      <c r="AN137" s="154" t="str">
        <f t="shared" si="63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02:06:02"},{"id":29,"name":"Sharepoint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783</v>
      </c>
      <c r="B138" s="7">
        <v>4004</v>
      </c>
      <c r="C138" s="21" t="s">
        <v>204</v>
      </c>
      <c r="D138" s="21" t="s">
        <v>563</v>
      </c>
      <c r="E138" s="13">
        <v>42896.787719907406</v>
      </c>
      <c r="F138" s="13">
        <v>42896.791817129626</v>
      </c>
      <c r="G138" s="7">
        <v>4</v>
      </c>
      <c r="H138" s="21" t="s">
        <v>940</v>
      </c>
      <c r="I138" s="13">
        <v>42896.816643518519</v>
      </c>
      <c r="J138" s="7">
        <v>0</v>
      </c>
      <c r="K138" s="92" t="str">
        <f t="shared" si="47"/>
        <v>4003/4004</v>
      </c>
      <c r="L138" s="21" t="str">
        <f>VLOOKUP(A138,'Trips&amp;Operators'!$C$1:$G$99999,5,FALSE)</f>
        <v>LAMAR NEKESHA</v>
      </c>
      <c r="M138" s="6">
        <f t="shared" si="48"/>
        <v>2.4826388893416151E-2</v>
      </c>
      <c r="N138" s="7">
        <f t="shared" si="67"/>
        <v>35.750000006519258</v>
      </c>
      <c r="O138" s="7"/>
      <c r="P138" s="7"/>
      <c r="Q138" s="22"/>
      <c r="R138" s="173"/>
      <c r="S138" s="176">
        <f t="shared" si="68"/>
        <v>1</v>
      </c>
      <c r="T138" s="202" t="str">
        <f t="shared" si="49"/>
        <v>NorthBound</v>
      </c>
      <c r="U138" s="202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03" t="str">
        <f t="shared" si="50"/>
        <v>https://d0f6bd738d7f1b3e5a7ca70fe4ff75f0.us-east-1.aws.found.io/app/kibana#/discover/Steve-Slow-Train-Analysis-(2080s-and-2083s)?_g=(refreshInterval:(display:Off,pause:!f,section:0,value:0),time:(from:'2017-06-10T17:54:19-0600',mode:absolute,to:'2017-06-10T20:35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8" s="204" t="str">
        <f t="shared" si="51"/>
        <v>N</v>
      </c>
      <c r="X138" s="204">
        <f t="shared" si="52"/>
        <v>1</v>
      </c>
      <c r="Y138" s="204">
        <f t="shared" si="69"/>
        <v>4.9700000000000001E-2</v>
      </c>
      <c r="Z138" s="204">
        <f t="shared" si="70"/>
        <v>23.334900000000001</v>
      </c>
      <c r="AA138" s="204">
        <f t="shared" si="55"/>
        <v>23.2852</v>
      </c>
      <c r="AB138" s="57" t="e">
        <f>VLOOKUP(A138,Enforcements!$C$7:$K$13,8,0)</f>
        <v>#N/A</v>
      </c>
      <c r="AC138" s="53" t="e">
        <f>VLOOKUP(A138,Enforcements!$C$7:$E$13,3,0)</f>
        <v>#N/A</v>
      </c>
      <c r="AD138" s="54" t="str">
        <f t="shared" si="56"/>
        <v>0221-10</v>
      </c>
      <c r="AE138" s="80" t="str">
        <f t="shared" si="57"/>
        <v>aws s3 cp s3://rtdc.mdm.uploadarchive.raw/RTDC4004/ "%USERPROFILE%\AppData\Local\Temp\OnboardLogs"\RTDC4004\2017-06-10 --exclude "*" --recursive --include "*20170610*" &amp; "%USERPROFILE%\Documents\GitHub\mrs-test-scripts\Headless Mode &amp; Sideloading\WalkAndUnGZ.bat" "%USERPROFILE%\AppData\Local\Temp\OnboardLogs"\RTDC4004\2017-06-10 &amp; aws s3 cp s3://rtdc.mdm.uploadarchive.raw/RTDC4004/ "%USERPROFILE%\AppData\Local\Temp\OnboardLogs"\RTDC4004\2017-06-11 --exclude "*" --recursive --include "*20170611*" &amp; "%USERPROFILE%\Documents\GitHub\mrs-test-scripts\Headless Mode &amp; Sideloading\WalkAndUnGZ.bat" "%USERPROFILE%\AppData\Local\Temp\OnboardLogs"\RTDC4004\2017-06-11</v>
      </c>
      <c r="AF138" s="77" t="str">
        <f t="shared" si="58"/>
        <v>"C:\Program Files (x86)\AstroGrep\AstroGrep.exe" /e /r /s /spath="%USERPROFILE%\AppData\Local\Temp\OnboardLogs" /stypes="app*4004*20170611*" /stext=" 01:.+((SYSTEM_STATE.+slice.+state.+changed )|(ment ac)|(multiple cpu faults)|(system.+state.+changed )|(\[timeout)|(PRM\|1\|D)|(kpr)|(kdp)|(train st.+moving)|(\|lc)|(penalty))"</v>
      </c>
      <c r="AG138" s="1" t="str">
        <f t="shared" si="59"/>
        <v>EC</v>
      </c>
      <c r="AH138" s="81" t="str">
        <f t="shared" si="60"/>
        <v>"%USERPROFILE%\Documents\GitHub\eaglep3\Utilities\RefineRTDCRunTimes.py" --tripid 221-10 --locoid 4004 --swversion DE.1.0.9.0 --startMP 204:497 --initTime 2017-06-10T18:54:19 --startdatetime 2017-06-10T19:00:13 --delay 4 --endMP 204:233349 --enddatetime 2017-06-10T19:35:58 --enforcementcount 0 &gt;&gt;C:\Users\stu\Documents\GitHub\eaglep3-reporting\EC\2017-06-10-refined-times.txt</v>
      </c>
      <c r="AI138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{"issue":{"subject":"","project_id":79,"tracker_id":40,"status_id":1,"priority_id":2,"assigned_to_id":23,"start_date":"2017-06-10","description":"","custom_fields":[{"id":1,"name":"Subdivision","value":"EC"},{"id":4,"name":"Milepost","value":"23.3349"},{"id":17,"name":"Train ID","value":"221-10"},{"id":16,"name":"Locomotive ID","value":"4004"},{"id":130,"name":"Impact","value":""},{"id":150,"name":"Time of Event (Mountain Time)","value":"19:35:58"},{"id":151,"name":"Denver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5" t="str">
        <f t="shared" si="62"/>
        <v>start /low /b %USERPROFILE%\Documents\GitHub\eaglep3\Utilities\DownloadLogsFromS3.py --loco 4004 --day 2017-06-10</v>
      </c>
      <c r="AN138" s="154" t="str">
        <f t="shared" si="63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01:35:58"},{"id":29,"name":"Sharepoint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791</v>
      </c>
      <c r="B139" s="7">
        <v>4003</v>
      </c>
      <c r="C139" s="21" t="s">
        <v>204</v>
      </c>
      <c r="D139" s="21" t="s">
        <v>501</v>
      </c>
      <c r="E139" s="13">
        <v>42896.827280092592</v>
      </c>
      <c r="F139" s="13">
        <v>42896.831412037034</v>
      </c>
      <c r="G139" s="7">
        <v>3</v>
      </c>
      <c r="H139" s="21" t="s">
        <v>364</v>
      </c>
      <c r="I139" s="13">
        <v>42896.858148148145</v>
      </c>
      <c r="J139" s="7">
        <v>0</v>
      </c>
      <c r="K139" s="92" t="str">
        <f t="shared" si="47"/>
        <v>4003/4004</v>
      </c>
      <c r="L139" s="21" t="str">
        <f>VLOOKUP(A139,'Trips&amp;Operators'!$C$1:$G$99999,5,FALSE)</f>
        <v>LAMAR NEKESHA</v>
      </c>
      <c r="M139" s="6">
        <f t="shared" si="48"/>
        <v>2.6736111110949423E-2</v>
      </c>
      <c r="N139" s="7">
        <f t="shared" si="67"/>
        <v>38.499999999767169</v>
      </c>
      <c r="O139" s="7"/>
      <c r="P139" s="7"/>
      <c r="Q139" s="22"/>
      <c r="R139" s="173"/>
      <c r="S139" s="176">
        <f t="shared" si="68"/>
        <v>1</v>
      </c>
      <c r="T139" s="202" t="str">
        <f t="shared" si="49"/>
        <v>Southbound</v>
      </c>
      <c r="U139" s="202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03" t="str">
        <f t="shared" si="50"/>
        <v>https://d0f6bd738d7f1b3e5a7ca70fe4ff75f0.us-east-1.aws.found.io/app/kibana#/discover/Steve-Slow-Train-Analysis-(2080s-and-2083s)?_g=(refreshInterval:(display:Off,pause:!f,section:0,value:0),time:(from:'2017-06-10T18:51:17-0600',mode:absolute,to:'2017-06-10T21:35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9" s="204" t="str">
        <f t="shared" si="51"/>
        <v>N</v>
      </c>
      <c r="X139" s="204">
        <f t="shared" si="52"/>
        <v>1</v>
      </c>
      <c r="Y139" s="204">
        <f t="shared" si="69"/>
        <v>23.3</v>
      </c>
      <c r="Z139" s="204">
        <f t="shared" si="70"/>
        <v>1.47E-2</v>
      </c>
      <c r="AA139" s="204">
        <f t="shared" si="55"/>
        <v>23.285299999999999</v>
      </c>
      <c r="AB139" s="57" t="e">
        <f>VLOOKUP(A139,Enforcements!$C$7:$K$13,8,0)</f>
        <v>#N/A</v>
      </c>
      <c r="AC139" s="53" t="e">
        <f>VLOOKUP(A139,Enforcements!$C$7:$E$13,3,0)</f>
        <v>#N/A</v>
      </c>
      <c r="AD139" s="54" t="str">
        <f t="shared" si="56"/>
        <v>0222-10</v>
      </c>
      <c r="AE139" s="80" t="str">
        <f t="shared" si="57"/>
        <v>aws s3 cp s3://rtdc.mdm.uploadarchive.raw/RTDC4003/ "%USERPROFILE%\AppData\Local\Temp\OnboardLogs"\RTDC4003\2017-06-10 --exclude "*" --recursive --include "*20170610*" &amp; "%USERPROFILE%\Documents\GitHub\mrs-test-scripts\Headless Mode &amp; Sideloading\WalkAndUnGZ.bat" "%USERPROFILE%\AppData\Local\Temp\OnboardLogs"\RTDC4003\2017-06-10 &amp; aws s3 cp s3://rtdc.mdm.uploadarchive.raw/RTDC4003/ "%USERPROFILE%\AppData\Local\Temp\OnboardLogs"\RTDC4003\2017-06-11 --exclude "*" --recursive --include "*20170611*" &amp; "%USERPROFILE%\Documents\GitHub\mrs-test-scripts\Headless Mode &amp; Sideloading\WalkAndUnGZ.bat" "%USERPROFILE%\AppData\Local\Temp\OnboardLogs"\RTDC4003\2017-06-11</v>
      </c>
      <c r="AF139" s="77" t="str">
        <f t="shared" si="58"/>
        <v>"C:\Program Files (x86)\AstroGrep\AstroGrep.exe" /e /r /s /spath="%USERPROFILE%\AppData\Local\Temp\OnboardLogs" /stypes="app*4003*20170611*" /stext=" 02:.+((SYSTEM_STATE.+slice.+state.+changed )|(ment ac)|(multiple cpu faults)|(system.+state.+changed )|(\[timeout)|(PRM\|1\|D)|(kpr)|(kdp)|(train st.+moving)|(\|lc)|(penalty))"</v>
      </c>
      <c r="AG139" s="1" t="str">
        <f t="shared" si="59"/>
        <v>EC</v>
      </c>
      <c r="AH139" s="81" t="str">
        <f t="shared" si="60"/>
        <v>"%USERPROFILE%\Documents\GitHub\eaglep3\Utilities\RefineRTDCRunTimes.py" --tripid 222-10 --locoid 4003 --swversion DE.1.0.9.0 --startMP 204:233000 --initTime 2017-06-10T19:51:17 --startdatetime 2017-06-10T19:57:14 --delay 3 --endMP 204:147 --enddatetime 2017-06-10T20:35:44 --enforcementcount 0 &gt;&gt;C:\Users\stu\Documents\GitHub\eaglep3-reporting\EC\2017-06-10-refined-times.txt</v>
      </c>
      <c r="AI139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{"issue":{"subject":"","project_id":79,"tracker_id":40,"status_id":1,"priority_id":2,"assigned_to_id":23,"start_date":"2017-06-10","description":"","custom_fields":[{"id":1,"name":"Subdivision","value":"EC"},{"id":4,"name":"Milepost","value":"0.0147"},{"id":17,"name":"Train ID","value":"222-10"},{"id":16,"name":"Locomotive ID","value":"4003"},{"id":130,"name":"Impact","value":""},{"id":150,"name":"Time of Event (Mountain Time)","value":"20:35:44"},{"id":151,"name":"Denver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5" t="str">
        <f t="shared" si="62"/>
        <v>start /low /b %USERPROFILE%\Documents\GitHub\eaglep3\Utilities\DownloadLogsFromS3.py --loco 4003 --day 2017-06-10</v>
      </c>
      <c r="AN139" s="154" t="str">
        <f t="shared" si="63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02:35:44"},{"id":29,"name":"Sharepoint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788</v>
      </c>
      <c r="B140" s="7">
        <v>4056</v>
      </c>
      <c r="C140" s="21" t="s">
        <v>204</v>
      </c>
      <c r="D140" s="21" t="s">
        <v>560</v>
      </c>
      <c r="E140" s="13">
        <v>42896.810428240744</v>
      </c>
      <c r="F140" s="13">
        <v>42896.812731481485</v>
      </c>
      <c r="G140" s="7">
        <v>1</v>
      </c>
      <c r="H140" s="21" t="s">
        <v>941</v>
      </c>
      <c r="I140" s="13">
        <v>42896.837395833332</v>
      </c>
      <c r="J140" s="7">
        <v>0</v>
      </c>
      <c r="K140" s="92" t="str">
        <f t="shared" si="47"/>
        <v>4055/4056</v>
      </c>
      <c r="L140" s="21" t="str">
        <f>VLOOKUP(A140,'Trips&amp;Operators'!$C$1:$G$99999,5,FALSE)</f>
        <v>SAFIEF AEIMEN</v>
      </c>
      <c r="M140" s="6">
        <f t="shared" si="48"/>
        <v>2.4664351847604848E-2</v>
      </c>
      <c r="N140" s="7">
        <f t="shared" si="67"/>
        <v>35.516666660550982</v>
      </c>
      <c r="O140" s="7"/>
      <c r="P140" s="7"/>
      <c r="Q140" s="22"/>
      <c r="R140" s="173"/>
      <c r="S140" s="176">
        <f t="shared" si="68"/>
        <v>1</v>
      </c>
      <c r="T140" s="202" t="str">
        <f t="shared" si="49"/>
        <v>NorthBound</v>
      </c>
      <c r="U140" s="202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03" t="str">
        <f t="shared" si="50"/>
        <v>https://d0f6bd738d7f1b3e5a7ca70fe4ff75f0.us-east-1.aws.found.io/app/kibana#/discover/Steve-Slow-Train-Analysis-(2080s-and-2083s)?_g=(refreshInterval:(display:Off,pause:!f,section:0,value:0),time:(from:'2017-06-10T18:27:01-0600',mode:absolute,to:'2017-06-10T21:05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40" s="204" t="str">
        <f t="shared" si="51"/>
        <v>N</v>
      </c>
      <c r="X140" s="204">
        <f t="shared" si="52"/>
        <v>1</v>
      </c>
      <c r="Y140" s="204">
        <f t="shared" si="69"/>
        <v>4.7300000000000002E-2</v>
      </c>
      <c r="Z140" s="204">
        <f t="shared" si="70"/>
        <v>23.332799999999999</v>
      </c>
      <c r="AA140" s="204">
        <f t="shared" si="55"/>
        <v>23.285499999999999</v>
      </c>
      <c r="AB140" s="57" t="e">
        <f>VLOOKUP(A140,Enforcements!$C$7:$K$13,8,0)</f>
        <v>#N/A</v>
      </c>
      <c r="AC140" s="53" t="e">
        <f>VLOOKUP(A140,Enforcements!$C$7:$E$13,3,0)</f>
        <v>#N/A</v>
      </c>
      <c r="AD140" s="54" t="str">
        <f t="shared" si="56"/>
        <v>0223-10</v>
      </c>
      <c r="AE140" s="80" t="str">
        <f t="shared" si="57"/>
        <v>aws s3 cp s3://rtdc.mdm.uploadarchive.raw/RTDC4056/ "%USERPROFILE%\AppData\Local\Temp\OnboardLogs"\RTDC4056\2017-06-10 --exclude "*" --recursive --include "*20170610*" &amp; "%USERPROFILE%\Documents\GitHub\mrs-test-scripts\Headless Mode &amp; Sideloading\WalkAndUnGZ.bat" "%USERPROFILE%\AppData\Local\Temp\OnboardLogs"\RTDC4056\2017-06-10 &amp; aws s3 cp s3://rtdc.mdm.uploadarchive.raw/RTDC4056/ "%USERPROFILE%\AppData\Local\Temp\OnboardLogs"\RTDC4056\2017-06-11 --exclude "*" --recursive --include "*20170611*" &amp; "%USERPROFILE%\Documents\GitHub\mrs-test-scripts\Headless Mode &amp; Sideloading\WalkAndUnGZ.bat" "%USERPROFILE%\AppData\Local\Temp\OnboardLogs"\RTDC4056\2017-06-11</v>
      </c>
      <c r="AF140" s="77" t="str">
        <f t="shared" si="58"/>
        <v>"C:\Program Files (x86)\AstroGrep\AstroGrep.exe" /e /r /s /spath="%USERPROFILE%\AppData\Local\Temp\OnboardLogs" /stypes="app*4056*20170611*" /stext=" 02:.+((SYSTEM_STATE.+slice.+state.+changed )|(ment ac)|(multiple cpu faults)|(system.+state.+changed )|(\[timeout)|(PRM\|1\|D)|(kpr)|(kdp)|(train st.+moving)|(\|lc)|(penalty))"</v>
      </c>
      <c r="AG140" s="1" t="str">
        <f t="shared" si="59"/>
        <v>EC</v>
      </c>
      <c r="AH140" s="81" t="str">
        <f t="shared" si="60"/>
        <v>"%USERPROFILE%\Documents\GitHub\eaglep3\Utilities\RefineRTDCRunTimes.py" --tripid 223-10 --locoid 4056 --swversion DE.1.0.9.0 --startMP 204:473 --initTime 2017-06-10T19:27:01 --startdatetime 2017-06-10T19:30:20 --delay 1 --endMP 204:233328 --enddatetime 2017-06-10T20:05:51 --enforcementcount 0 &gt;&gt;C:\Users\stu\Documents\GitHub\eaglep3-reporting\EC\2017-06-10-refined-times.txt</v>
      </c>
      <c r="AI140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{"issue":{"subject":"","project_id":79,"tracker_id":40,"status_id":1,"priority_id":2,"assigned_to_id":23,"start_date":"2017-06-10","description":"","custom_fields":[{"id":1,"name":"Subdivision","value":"EC"},{"id":4,"name":"Milepost","value":"23.3328"},{"id":17,"name":"Train ID","value":"223-10"},{"id":16,"name":"Locomotive ID","value":"4056"},{"id":130,"name":"Impact","value":""},{"id":150,"name":"Time of Event (Mountain Time)","value":"20:05:51"},{"id":151,"name":"Denver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5" t="str">
        <f t="shared" si="62"/>
        <v>start /low /b %USERPROFILE%\Documents\GitHub\eaglep3\Utilities\DownloadLogsFromS3.py --loco 4056 --day 2017-06-10</v>
      </c>
      <c r="AN140" s="154" t="str">
        <f t="shared" si="63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02:05:51"},{"id":29,"name":"Sharepoint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793</v>
      </c>
      <c r="B141" s="7">
        <v>4055</v>
      </c>
      <c r="C141" s="21" t="s">
        <v>204</v>
      </c>
      <c r="D141" s="21" t="s">
        <v>547</v>
      </c>
      <c r="E141" s="13">
        <v>42896.842719907407</v>
      </c>
      <c r="F141" s="13">
        <v>42896.852268518516</v>
      </c>
      <c r="G141" s="7">
        <v>1</v>
      </c>
      <c r="H141" s="21" t="s">
        <v>456</v>
      </c>
      <c r="I141" s="13">
        <v>42896.879328703704</v>
      </c>
      <c r="J141" s="7">
        <v>0</v>
      </c>
      <c r="K141" s="92" t="str">
        <f t="shared" si="47"/>
        <v>4055/4056</v>
      </c>
      <c r="L141" s="21" t="str">
        <f>VLOOKUP(A141,'Trips&amp;Operators'!$C$1:$G$99999,5,FALSE)</f>
        <v>SAFIEF AEIMEN</v>
      </c>
      <c r="M141" s="6">
        <f t="shared" si="48"/>
        <v>2.7060185188020114E-2</v>
      </c>
      <c r="N141" s="7">
        <f t="shared" si="67"/>
        <v>38.966666670748964</v>
      </c>
      <c r="O141" s="7"/>
      <c r="P141" s="7"/>
      <c r="Q141" s="22"/>
      <c r="R141" s="173"/>
      <c r="S141" s="176">
        <f t="shared" si="68"/>
        <v>1</v>
      </c>
      <c r="T141" s="202" t="str">
        <f t="shared" si="49"/>
        <v>Southbound</v>
      </c>
      <c r="U141" s="202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03" t="str">
        <f t="shared" si="50"/>
        <v>https://d0f6bd738d7f1b3e5a7ca70fe4ff75f0.us-east-1.aws.found.io/app/kibana#/discover/Steve-Slow-Train-Analysis-(2080s-and-2083s)?_g=(refreshInterval:(display:Off,pause:!f,section:0,value:0),time:(from:'2017-06-10T19:13:31-0600',mode:absolute,to:'2017-06-10T22:06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41" s="204" t="str">
        <f t="shared" si="51"/>
        <v>N</v>
      </c>
      <c r="X141" s="204">
        <f t="shared" si="52"/>
        <v>1</v>
      </c>
      <c r="Y141" s="204">
        <f t="shared" si="69"/>
        <v>23.3017</v>
      </c>
      <c r="Z141" s="204">
        <f t="shared" si="70"/>
        <v>1.5599999999999999E-2</v>
      </c>
      <c r="AA141" s="204">
        <f t="shared" si="55"/>
        <v>23.286100000000001</v>
      </c>
      <c r="AB141" s="57" t="e">
        <f>VLOOKUP(A141,Enforcements!$C$7:$K$13,8,0)</f>
        <v>#N/A</v>
      </c>
      <c r="AC141" s="53" t="e">
        <f>VLOOKUP(A141,Enforcements!$C$7:$E$13,3,0)</f>
        <v>#N/A</v>
      </c>
      <c r="AD141" s="54" t="str">
        <f t="shared" si="56"/>
        <v>0224-10</v>
      </c>
      <c r="AE141" s="80" t="str">
        <f t="shared" si="57"/>
        <v>aws s3 cp s3://rtdc.mdm.uploadarchive.raw/RTDC4055/ "%USERPROFILE%\AppData\Local\Temp\OnboardLogs"\RTDC4055\2017-06-10 --exclude "*" --recursive --include "*20170610*" &amp; "%USERPROFILE%\Documents\GitHub\mrs-test-scripts\Headless Mode &amp; Sideloading\WalkAndUnGZ.bat" "%USERPROFILE%\AppData\Local\Temp\OnboardLogs"\RTDC4055\2017-06-10 &amp; aws s3 cp s3://rtdc.mdm.uploadarchive.raw/RTDC4055/ "%USERPROFILE%\AppData\Local\Temp\OnboardLogs"\RTDC4055\2017-06-11 --exclude "*" --recursive --include "*20170611*" &amp; "%USERPROFILE%\Documents\GitHub\mrs-test-scripts\Headless Mode &amp; Sideloading\WalkAndUnGZ.bat" "%USERPROFILE%\AppData\Local\Temp\OnboardLogs"\RTDC4055\2017-06-11</v>
      </c>
      <c r="AF141" s="77" t="str">
        <f t="shared" si="58"/>
        <v>"C:\Program Files (x86)\AstroGrep\AstroGrep.exe" /e /r /s /spath="%USERPROFILE%\AppData\Local\Temp\OnboardLogs" /stypes="app*4055*20170611*" /stext=" 03:.+((SYSTEM_STATE.+slice.+state.+changed )|(ment ac)|(multiple cpu faults)|(system.+state.+changed )|(\[timeout)|(PRM\|1\|D)|(kpr)|(kdp)|(train st.+moving)|(\|lc)|(penalty))"</v>
      </c>
      <c r="AG141" s="1" t="str">
        <f t="shared" si="59"/>
        <v>EC</v>
      </c>
      <c r="AH141" s="81" t="str">
        <f t="shared" si="60"/>
        <v>"%USERPROFILE%\Documents\GitHub\eaglep3\Utilities\RefineRTDCRunTimes.py" --tripid 224-10 --locoid 4055 --swversion DE.1.0.9.0 --startMP 204:233017 --initTime 2017-06-10T20:13:31 --startdatetime 2017-06-10T20:27:16 --delay 1 --endMP 204:156 --enddatetime 2017-06-10T21:06:14 --enforcementcount 0 &gt;&gt;C:\Users\stu\Documents\GitHub\eaglep3-reporting\EC\2017-06-10-refined-times.txt</v>
      </c>
      <c r="AI141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{"issue":{"subject":"","project_id":79,"tracker_id":40,"status_id":1,"priority_id":2,"assigned_to_id":23,"start_date":"2017-06-10","description":"","custom_fields":[{"id":1,"name":"Subdivision","value":"EC"},{"id":4,"name":"Milepost","value":"0.0156"},{"id":17,"name":"Train ID","value":"224-10"},{"id":16,"name":"Locomotive ID","value":"4055"},{"id":130,"name":"Impact","value":""},{"id":150,"name":"Time of Event (Mountain Time)","value":"21:06:14"},{"id":151,"name":"Denver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5" t="str">
        <f t="shared" si="62"/>
        <v>start /low /b %USERPROFILE%\Documents\GitHub\eaglep3\Utilities\DownloadLogsFromS3.py --loco 4055 --day 2017-06-10</v>
      </c>
      <c r="AN141" s="154" t="str">
        <f t="shared" si="63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03:06:14"},{"id":29,"name":"Sharepoint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604</v>
      </c>
      <c r="B142" s="7">
        <v>4022</v>
      </c>
      <c r="C142" s="21" t="s">
        <v>204</v>
      </c>
      <c r="D142" s="21" t="s">
        <v>351</v>
      </c>
      <c r="E142" s="13">
        <v>42896.830266203702</v>
      </c>
      <c r="F142" s="13">
        <v>42896.833645833336</v>
      </c>
      <c r="G142" s="7">
        <v>2</v>
      </c>
      <c r="H142" s="21" t="s">
        <v>942</v>
      </c>
      <c r="I142" s="13">
        <v>42896.859016203707</v>
      </c>
      <c r="J142" s="7">
        <v>0</v>
      </c>
      <c r="K142" s="92" t="str">
        <f t="shared" ref="K142:K205" si="71">IF(ISEVEN(B142),(B142-1)&amp;"/"&amp;B142,B142&amp;"/"&amp;(B142+1))</f>
        <v>4021/4022</v>
      </c>
      <c r="L142" s="21" t="str">
        <f>VLOOKUP(A142,'Trips&amp;Operators'!$C$1:$G$99999,5,FALSE)</f>
        <v>MAGEE KENYA</v>
      </c>
      <c r="M142" s="6">
        <f t="shared" ref="M142:M205" si="72">I142-F142</f>
        <v>2.5370370371092577E-2</v>
      </c>
      <c r="N142" s="7">
        <f t="shared" ref="N142:N173" si="73">24*60*SUM($M142:$M142)</f>
        <v>36.53333333437331</v>
      </c>
      <c r="O142" s="7"/>
      <c r="P142" s="7"/>
      <c r="Q142" s="22"/>
      <c r="R142" s="173"/>
      <c r="S142" s="176">
        <f t="shared" ref="S142:S173" si="74">SUM(U142:U142)/IF(AG142="EC",12,1)</f>
        <v>1</v>
      </c>
      <c r="T142" s="202" t="str">
        <f t="shared" ref="T142:T205" si="75">IF(ISEVEN(LEFT(AD142,4)),"Southbound","NorthBound")</f>
        <v>NorthBound</v>
      </c>
      <c r="U142" s="202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03" t="str">
        <f t="shared" ref="V142:V205" si="76"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-06-10T18:55:35-0600',mode:absolute,to:'2017-06-10T21:36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42" s="204" t="str">
        <f t="shared" ref="W142:W205" si="77">IF(AA142&lt;IF(AG142="EC",23,5.65),"Y","N")</f>
        <v>N</v>
      </c>
      <c r="X142" s="204">
        <f t="shared" ref="X142:X205" si="78">VALUE(LEFT(AD142,4))-VALUE(LEFT(AD141,4))</f>
        <v>1</v>
      </c>
      <c r="Y142" s="204">
        <f t="shared" ref="Y142:Y173" si="79">RIGHT(D142,LEN(D142)-4)/10000</f>
        <v>4.58E-2</v>
      </c>
      <c r="Z142" s="204">
        <f t="shared" si="70"/>
        <v>23.3278</v>
      </c>
      <c r="AA142" s="204">
        <f t="shared" ref="AA142:AA205" si="80">ABS(Z142-Y142)</f>
        <v>23.282</v>
      </c>
      <c r="AB142" s="57" t="str">
        <f>VLOOKUP(A142,Enforcements!$C$7:$K$13,8,0)</f>
        <v>Bulletin (2)</v>
      </c>
      <c r="AC142" s="53" t="str">
        <f>VLOOKUP(A142,Enforcements!$C$7:$E$13,3,0)</f>
        <v>GRADE CROSSING</v>
      </c>
      <c r="AD142" s="54" t="str">
        <f t="shared" ref="AD142:AD205" si="81">IF(LEN(A142)=6,"0"&amp;A142,A142)</f>
        <v>0225-10</v>
      </c>
      <c r="AE142" s="80" t="str">
        <f t="shared" ref="AE142:AE205" si="82"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s3://rtdc.mdm.uploadarchive.raw/RTDC4022/ "%USERPROFILE%\AppData\Local\Temp\OnboardLogs"\RTDC4022\2017-06-10 --exclude "*" --recursive --include "*20170610*" &amp; "%USERPROFILE%\Documents\GitHub\mrs-test-scripts\Headless Mode &amp; Sideloading\WalkAndUnGZ.bat" "%USERPROFILE%\AppData\Local\Temp\OnboardLogs"\RTDC4022\2017-06-10 &amp; aws s3 cp s3://rtdc.mdm.uploadarchive.raw/RTDC4022/ "%USERPROFILE%\AppData\Local\Temp\OnboardLogs"\RTDC4022\2017-06-11 --exclude "*" --recursive --include "*20170611*" &amp; "%USERPROFILE%\Documents\GitHub\mrs-test-scripts\Headless Mode &amp; Sideloading\WalkAndUnGZ.bat" "%USERPROFILE%\AppData\Local\Temp\OnboardLogs"\RTDC4022\2017-06-11</v>
      </c>
      <c r="AF142" s="77" t="str">
        <f t="shared" ref="AF142:AF205" si="83"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/stypes="app*4022*20170611*" /stext=" 02:.+((SYSTEM_STATE.+slice.+state.+changed )|(ment ac)|(multiple cpu faults)|(system.+state.+changed )|(\[timeout)|(PRM\|1\|D)|(kpr)|(kdp)|(train st.+moving)|(\|lc)|(penalty))"</v>
      </c>
      <c r="AG142" s="1" t="str">
        <f t="shared" ref="AG142:AG205" si="84">IFERROR(IF(VALUE(LEFT(AD142,2))&lt;=2,"EC",IF(OR(VALUE(LEFT(AD142,2))=8,VALUE(LEFT(AD142,2))=18),"NW","Other")),"Other")</f>
        <v>EC</v>
      </c>
      <c r="AH142" s="81" t="str">
        <f t="shared" si="60"/>
        <v>"%USERPROFILE%\Documents\GitHub\eaglep3\Utilities\RefineRTDCRunTimes.py" --tripid 225-10 --locoid 4022 --swversion DE.1.0.9.0 --startMP 204:458 --initTime 2017-06-10T19:55:35 --startdatetime 2017-06-10T20:00:27 --delay 2 --endMP 204:233278 --enddatetime 2017-06-10T20:36:59 --enforcementcount 0 &gt;&gt;C:\Users\stu\Documents\GitHub\eaglep3-reporting\EC\2017-06-10-refined-times.txt</v>
      </c>
      <c r="AI142" s="99" t="str">
        <f t="shared" si="61"/>
        <v>echo {"issue":{"subject":"","project_id":79,"tracker_id":40,"status_id":1,"priority_id":2,"assigned_to_id":23,"start_date":"2017-06-10","description":"","custom_fields":[{"id":1,"name":"Subdivision","value":"EC"},{"id":4,"name":"Milepost","value":"23.3278"},{"id":17,"name":"Train ID","value":"225-10"},{"id":16,"name":"Locomotive ID","value":"4022"},{"id":130,"name":"Impact","value":""},{"id":150,"name":"Time of Event (Mountain Time)","value":"20:36:59"},{"id":151,"name":"Denver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5" t="str">
        <f t="shared" si="62"/>
        <v>start /low /b %USERPROFILE%\Documents\GitHub\eaglep3\Utilities\DownloadLogsFromS3.py --loco 4022 --day 2017-06-10</v>
      </c>
      <c r="AN142" s="154" t="str">
        <f t="shared" si="63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02:36:59"},{"id":29,"name":"Sharepoint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797</v>
      </c>
      <c r="B143" s="7">
        <v>4021</v>
      </c>
      <c r="C143" s="21" t="s">
        <v>204</v>
      </c>
      <c r="D143" s="21" t="s">
        <v>943</v>
      </c>
      <c r="E143" s="13">
        <v>42896.871111111112</v>
      </c>
      <c r="F143" s="13">
        <v>42896.873310185183</v>
      </c>
      <c r="G143" s="7">
        <v>0</v>
      </c>
      <c r="H143" s="21" t="s">
        <v>944</v>
      </c>
      <c r="I143" s="13">
        <v>42896.900682870371</v>
      </c>
      <c r="J143" s="7">
        <v>0</v>
      </c>
      <c r="K143" s="92" t="str">
        <f t="shared" si="71"/>
        <v>4021/4022</v>
      </c>
      <c r="L143" s="21" t="str">
        <f>VLOOKUP(A143,'Trips&amp;Operators'!$C$1:$G$99999,5,FALSE)</f>
        <v>MAGEE KENYA</v>
      </c>
      <c r="M143" s="6">
        <f t="shared" si="72"/>
        <v>2.7372685188311152E-2</v>
      </c>
      <c r="N143" s="7">
        <f t="shared" si="73"/>
        <v>39.416666671168059</v>
      </c>
      <c r="O143" s="7"/>
      <c r="P143" s="7"/>
      <c r="Q143" s="22"/>
      <c r="R143" s="173"/>
      <c r="S143" s="176">
        <f t="shared" si="74"/>
        <v>1</v>
      </c>
      <c r="T143" s="202" t="str">
        <f t="shared" si="75"/>
        <v>Southbound</v>
      </c>
      <c r="U143" s="202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03" t="str">
        <f t="shared" si="76"/>
        <v>https://d0f6bd738d7f1b3e5a7ca70fe4ff75f0.us-east-1.aws.found.io/app/kibana#/discover/Steve-Slow-Train-Analysis-(2080s-and-2083s)?_g=(refreshInterval:(display:Off,pause:!f,section:0,value:0),time:(from:'2017-06-10T19:54:24-0600',mode:absolute,to:'2017-06-10T22:36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3" s="204" t="str">
        <f t="shared" si="77"/>
        <v>N</v>
      </c>
      <c r="X143" s="204">
        <f t="shared" si="78"/>
        <v>1</v>
      </c>
      <c r="Y143" s="204">
        <f t="shared" si="79"/>
        <v>23.300999999999998</v>
      </c>
      <c r="Z143" s="204">
        <f t="shared" si="70"/>
        <v>1.83E-2</v>
      </c>
      <c r="AA143" s="204">
        <f t="shared" si="80"/>
        <v>23.282699999999998</v>
      </c>
      <c r="AB143" s="57" t="e">
        <f>VLOOKUP(A143,Enforcements!$C$7:$K$13,8,0)</f>
        <v>#N/A</v>
      </c>
      <c r="AC143" s="53" t="e">
        <f>VLOOKUP(A143,Enforcements!$C$7:$E$13,3,0)</f>
        <v>#N/A</v>
      </c>
      <c r="AD143" s="54" t="str">
        <f t="shared" si="81"/>
        <v>0226-10</v>
      </c>
      <c r="AE143" s="80" t="str">
        <f t="shared" si="82"/>
        <v>aws s3 cp s3://rtdc.mdm.uploadarchive.raw/RTDC4021/ "%USERPROFILE%\AppData\Local\Temp\OnboardLogs"\RTDC4021\2017-06-10 --exclude "*" --recursive --include "*20170610*" &amp; "%USERPROFILE%\Documents\GitHub\mrs-test-scripts\Headless Mode &amp; Sideloading\WalkAndUnGZ.bat" "%USERPROFILE%\AppData\Local\Temp\OnboardLogs"\RTDC4021\2017-06-10 &amp; aws s3 cp s3://rtdc.mdm.uploadarchive.raw/RTDC4021/ "%USERPROFILE%\AppData\Local\Temp\OnboardLogs"\RTDC4021\2017-06-11 --exclude "*" --recursive --include "*20170611*" &amp; "%USERPROFILE%\Documents\GitHub\mrs-test-scripts\Headless Mode &amp; Sideloading\WalkAndUnGZ.bat" "%USERPROFILE%\AppData\Local\Temp\OnboardLogs"\RTDC4021\2017-06-11</v>
      </c>
      <c r="AF143" s="77" t="str">
        <f t="shared" si="83"/>
        <v>"C:\Program Files (x86)\AstroGrep\AstroGrep.exe" /e /r /s /spath="%USERPROFILE%\AppData\Local\Temp\OnboardLogs" /stypes="app*4021*20170611*" /stext=" 03:.+((SYSTEM_STATE.+slice.+state.+changed )|(ment ac)|(multiple cpu faults)|(system.+state.+changed )|(\[timeout)|(PRM\|1\|D)|(kpr)|(kdp)|(train st.+moving)|(\|lc)|(penalty))"</v>
      </c>
      <c r="AG143" s="1" t="str">
        <f t="shared" si="84"/>
        <v>EC</v>
      </c>
      <c r="AH143" s="81" t="str">
        <f t="shared" ref="AH143:AH206" si="85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226-10 --locoid 4021 --swversion DE.1.0.9.0 --startMP 204:233010 --initTime 2017-06-10T20:54:24 --startdatetime 2017-06-10T20:57:34 --delay 0 --endMP 204:183 --enddatetime 2017-06-10T21:36:59 --enforcementcount 0 &gt;&gt;C:\Users\stu\Documents\GitHub\eaglep3-reporting\EC\2017-06-10-refined-times.txt</v>
      </c>
      <c r="AI143" s="99" t="str">
        <f t="shared" ref="AI143:AI206" si="86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{"issue":{"subject":"","project_id":79,"tracker_id":40,"status_id":1,"priority_id":2,"assigned_to_id":23,"start_date":"2017-06-10","description":"","custom_fields":[{"id":1,"name":"Subdivision","value":"EC"},{"id":4,"name":"Milepost","value":"0.0183"},{"id":17,"name":"Train ID","value":"226-10"},{"id":16,"name":"Locomotive ID","value":"4021"},{"id":130,"name":"Impact","value":""},{"id":150,"name":"Time of Event (Mountain Time)","value":"21:36:59"},{"id":151,"name":"Denver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5" t="str">
        <f t="shared" ref="AM143:AM206" si="87">"start /low /b "&amp;dls3logs&amp;" --loco "&amp;B143&amp;" --day "&amp;TEXT(F143,"YYYY-MM-DD")</f>
        <v>start /low /b %USERPROFILE%\Documents\GitHub\eaglep3\Utilities\DownloadLogsFromS3.py --loco 4021 --day 2017-06-10</v>
      </c>
      <c r="AN143" s="154" t="str">
        <f t="shared" ref="AN143:AN206" si="88">"echo {""issue"":{""subject"":"""&amp;R143&amp;""",""project_id"":30,""tracker_id"":4,""status_id"":"&amp;redmine_status_wcr&amp;",""priority_id"":"&amp;redmine_priority_wcr&amp;",""assigned_to_id"":"&amp;redmine_assignee_wcr&amp;",""start_date"":"""&amp;TEXT(I143-utc_offset/24,"YYYY-mm-dd")&amp;""",""description"":"""&amp;AJ143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03:36:59"},{"id":29,"name":"Sharepoint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605</v>
      </c>
      <c r="B144" s="7">
        <v>4028</v>
      </c>
      <c r="C144" s="21" t="s">
        <v>204</v>
      </c>
      <c r="D144" s="21" t="s">
        <v>496</v>
      </c>
      <c r="E144" s="13">
        <v>42896.841770833336</v>
      </c>
      <c r="F144" s="13">
        <v>42896.854351851849</v>
      </c>
      <c r="G144" s="7">
        <v>1</v>
      </c>
      <c r="H144" s="21" t="s">
        <v>945</v>
      </c>
      <c r="I144" s="13">
        <v>42896.880358796298</v>
      </c>
      <c r="J144" s="7">
        <v>0</v>
      </c>
      <c r="K144" s="92" t="str">
        <f t="shared" si="71"/>
        <v>4027/4028</v>
      </c>
      <c r="L144" s="21" t="str">
        <f>VLOOKUP(A144,'Trips&amp;Operators'!$C$1:$G$99999,5,FALSE)</f>
        <v>FORTUNATO FRANK</v>
      </c>
      <c r="M144" s="6">
        <f t="shared" si="72"/>
        <v>2.6006944448454306E-2</v>
      </c>
      <c r="N144" s="7">
        <f t="shared" si="73"/>
        <v>37.4500000057742</v>
      </c>
      <c r="O144" s="7"/>
      <c r="P144" s="7"/>
      <c r="Q144" s="22"/>
      <c r="R144" s="173"/>
      <c r="S144" s="176">
        <f t="shared" si="74"/>
        <v>1</v>
      </c>
      <c r="T144" s="202" t="str">
        <f t="shared" si="75"/>
        <v>NorthBound</v>
      </c>
      <c r="U144" s="202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03" t="str">
        <f t="shared" si="76"/>
        <v>https://d0f6bd738d7f1b3e5a7ca70fe4ff75f0.us-east-1.aws.found.io/app/kibana#/discover/Steve-Slow-Train-Analysis-(2080s-and-2083s)?_g=(refreshInterval:(display:Off,pause:!f,section:0,value:0),time:(from:'2017-06-10T19:12:09-0600',mode:absolute,to:'2017-06-10T22:07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4" s="204" t="str">
        <f t="shared" si="77"/>
        <v>N</v>
      </c>
      <c r="X144" s="204">
        <f t="shared" si="78"/>
        <v>1</v>
      </c>
      <c r="Y144" s="204">
        <f t="shared" si="79"/>
        <v>4.3799999999999999E-2</v>
      </c>
      <c r="Z144" s="204">
        <f t="shared" si="70"/>
        <v>23.337599999999998</v>
      </c>
      <c r="AA144" s="204">
        <f t="shared" si="80"/>
        <v>23.293799999999997</v>
      </c>
      <c r="AB144" s="57" t="str">
        <f>VLOOKUP(A144,Enforcements!$C$7:$K$13,8,0)</f>
        <v>Bulletin (2)</v>
      </c>
      <c r="AC144" s="53" t="str">
        <f>VLOOKUP(A144,Enforcements!$C$7:$E$13,3,0)</f>
        <v>GRADE CROSSING</v>
      </c>
      <c r="AD144" s="54" t="str">
        <f t="shared" si="81"/>
        <v>0227-10</v>
      </c>
      <c r="AE144" s="80" t="str">
        <f t="shared" si="82"/>
        <v>aws s3 cp s3://rtdc.mdm.uploadarchive.raw/RTDC4028/ "%USERPROFILE%\AppData\Local\Temp\OnboardLogs"\RTDC4028\2017-06-10 --exclude "*" --recursive --include "*20170610*" &amp; "%USERPROFILE%\Documents\GitHub\mrs-test-scripts\Headless Mode &amp; Sideloading\WalkAndUnGZ.bat" "%USERPROFILE%\AppData\Local\Temp\OnboardLogs"\RTDC4028\2017-06-10 &amp; aws s3 cp s3://rtdc.mdm.uploadarchive.raw/RTDC4028/ "%USERPROFILE%\AppData\Local\Temp\OnboardLogs"\RTDC4028\2017-06-11 --exclude "*" --recursive --include "*20170611*" &amp; "%USERPROFILE%\Documents\GitHub\mrs-test-scripts\Headless Mode &amp; Sideloading\WalkAndUnGZ.bat" "%USERPROFILE%\AppData\Local\Temp\OnboardLogs"\RTDC4028\2017-06-11</v>
      </c>
      <c r="AF144" s="77" t="str">
        <f t="shared" si="83"/>
        <v>"C:\Program Files (x86)\AstroGrep\AstroGrep.exe" /e /r /s /spath="%USERPROFILE%\AppData\Local\Temp\OnboardLogs" /stypes="app*4028*20170611*" /stext=" 03:.+((SYSTEM_STATE.+slice.+state.+changed )|(ment ac)|(multiple cpu faults)|(system.+state.+changed )|(\[timeout)|(PRM\|1\|D)|(kpr)|(kdp)|(train st.+moving)|(\|lc)|(penalty))"</v>
      </c>
      <c r="AG144" s="1" t="str">
        <f t="shared" si="84"/>
        <v>EC</v>
      </c>
      <c r="AH144" s="81" t="str">
        <f t="shared" si="85"/>
        <v>"%USERPROFILE%\Documents\GitHub\eaglep3\Utilities\RefineRTDCRunTimes.py" --tripid 227-10 --locoid 4028 --swversion DE.1.0.9.0 --startMP 204:438 --initTime 2017-06-10T20:12:09 --startdatetime 2017-06-10T20:30:16 --delay 1 --endMP 204:233376 --enddatetime 2017-06-10T21:07:43 --enforcementcount 0 &gt;&gt;C:\Users\stu\Documents\GitHub\eaglep3-reporting\EC\2017-06-10-refined-times.txt</v>
      </c>
      <c r="AI144" s="99" t="str">
        <f t="shared" si="86"/>
        <v>echo {"issue":{"subject":"","project_id":79,"tracker_id":40,"status_id":1,"priority_id":2,"assigned_to_id":23,"start_date":"2017-06-10","description":"","custom_fields":[{"id":1,"name":"Subdivision","value":"EC"},{"id":4,"name":"Milepost","value":"23.3376"},{"id":17,"name":"Train ID","value":"227-10"},{"id":16,"name":"Locomotive ID","value":"4028"},{"id":130,"name":"Impact","value":""},{"id":150,"name":"Time of Event (Mountain Time)","value":"21:07:43"},{"id":151,"name":"Denver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5" t="str">
        <f t="shared" si="87"/>
        <v>start /low /b %USERPROFILE%\Documents\GitHub\eaglep3\Utilities\DownloadLogsFromS3.py --loco 4028 --day 2017-06-10</v>
      </c>
      <c r="AN144" s="154" t="str">
        <f t="shared" si="88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03:07:43"},{"id":29,"name":"Sharepoint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798</v>
      </c>
      <c r="B145" s="7">
        <v>4027</v>
      </c>
      <c r="C145" s="21" t="s">
        <v>204</v>
      </c>
      <c r="D145" s="21" t="s">
        <v>946</v>
      </c>
      <c r="E145" s="13">
        <v>42896.88212962963</v>
      </c>
      <c r="F145" s="13">
        <v>42896.893877314818</v>
      </c>
      <c r="G145" s="7">
        <v>1</v>
      </c>
      <c r="H145" s="21" t="s">
        <v>456</v>
      </c>
      <c r="I145" s="13">
        <v>42896.92083333333</v>
      </c>
      <c r="J145" s="7">
        <v>0</v>
      </c>
      <c r="K145" s="92" t="str">
        <f t="shared" si="71"/>
        <v>4027/4028</v>
      </c>
      <c r="L145" s="21" t="str">
        <f>VLOOKUP(A145,'Trips&amp;Operators'!$C$1:$G$99999,5,FALSE)</f>
        <v>FORTUNATO FRANK</v>
      </c>
      <c r="M145" s="6">
        <f t="shared" si="72"/>
        <v>2.6956018511555158E-2</v>
      </c>
      <c r="N145" s="7">
        <f t="shared" si="73"/>
        <v>38.816666656639427</v>
      </c>
      <c r="O145" s="7"/>
      <c r="P145" s="7"/>
      <c r="Q145" s="22"/>
      <c r="R145" s="173"/>
      <c r="S145" s="176">
        <f t="shared" si="74"/>
        <v>1</v>
      </c>
      <c r="T145" s="202" t="str">
        <f t="shared" si="75"/>
        <v>Southbound</v>
      </c>
      <c r="U145" s="202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03" t="str">
        <f t="shared" si="76"/>
        <v>https://d0f6bd738d7f1b3e5a7ca70fe4ff75f0.us-east-1.aws.found.io/app/kibana#/discover/Steve-Slow-Train-Analysis-(2080s-and-2083s)?_g=(refreshInterval:(display:Off,pause:!f,section:0,value:0),time:(from:'2017-06-10T20:10:16-0600',mode:absolute,to:'2017-06-10T23:06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5" s="204" t="str">
        <f t="shared" si="77"/>
        <v>N</v>
      </c>
      <c r="X145" s="204">
        <f t="shared" si="78"/>
        <v>1</v>
      </c>
      <c r="Y145" s="204">
        <f t="shared" si="79"/>
        <v>23.309200000000001</v>
      </c>
      <c r="Z145" s="204">
        <f t="shared" si="70"/>
        <v>1.5599999999999999E-2</v>
      </c>
      <c r="AA145" s="204">
        <f t="shared" si="80"/>
        <v>23.293600000000001</v>
      </c>
      <c r="AB145" s="57" t="e">
        <f>VLOOKUP(A145,Enforcements!$C$7:$K$13,8,0)</f>
        <v>#N/A</v>
      </c>
      <c r="AC145" s="53" t="e">
        <f>VLOOKUP(A145,Enforcements!$C$7:$E$13,3,0)</f>
        <v>#N/A</v>
      </c>
      <c r="AD145" s="54" t="str">
        <f t="shared" si="81"/>
        <v>0228-10</v>
      </c>
      <c r="AE145" s="80" t="str">
        <f t="shared" si="82"/>
        <v>aws s3 cp s3://rtdc.mdm.uploadarchive.raw/RTDC4027/ "%USERPROFILE%\AppData\Local\Temp\OnboardLogs"\RTDC4027\2017-06-10 --exclude "*" --recursive --include "*20170610*" &amp; "%USERPROFILE%\Documents\GitHub\mrs-test-scripts\Headless Mode &amp; Sideloading\WalkAndUnGZ.bat" "%USERPROFILE%\AppData\Local\Temp\OnboardLogs"\RTDC4027\2017-06-10 &amp; aws s3 cp s3://rtdc.mdm.uploadarchive.raw/RTDC4027/ "%USERPROFILE%\AppData\Local\Temp\OnboardLogs"\RTDC4027\2017-06-11 --exclude "*" --recursive --include "*20170611*" &amp; "%USERPROFILE%\Documents\GitHub\mrs-test-scripts\Headless Mode &amp; Sideloading\WalkAndUnGZ.bat" "%USERPROFILE%\AppData\Local\Temp\OnboardLogs"\RTDC4027\2017-06-11</v>
      </c>
      <c r="AF145" s="77" t="str">
        <f t="shared" si="83"/>
        <v>"C:\Program Files (x86)\AstroGrep\AstroGrep.exe" /e /r /s /spath="%USERPROFILE%\AppData\Local\Temp\OnboardLogs" /stypes="app*4027*20170611*" /stext=" 04:.+((SYSTEM_STATE.+slice.+state.+changed )|(ment ac)|(multiple cpu faults)|(system.+state.+changed )|(\[timeout)|(PRM\|1\|D)|(kpr)|(kdp)|(train st.+moving)|(\|lc)|(penalty))"</v>
      </c>
      <c r="AG145" s="1" t="str">
        <f t="shared" si="84"/>
        <v>EC</v>
      </c>
      <c r="AH145" s="81" t="str">
        <f t="shared" si="85"/>
        <v>"%USERPROFILE%\Documents\GitHub\eaglep3\Utilities\RefineRTDCRunTimes.py" --tripid 228-10 --locoid 4027 --swversion DE.1.0.9.0 --startMP 204:233092 --initTime 2017-06-10T21:10:16 --startdatetime 2017-06-10T21:27:11 --delay 1 --endMP 204:156 --enddatetime 2017-06-10T22:06:00 --enforcementcount 0 &gt;&gt;C:\Users\stu\Documents\GitHub\eaglep3-reporting\EC\2017-06-10-refined-times.txt</v>
      </c>
      <c r="AI145" s="99" t="str">
        <f t="shared" si="86"/>
        <v>echo {"issue":{"subject":"","project_id":79,"tracker_id":40,"status_id":1,"priority_id":2,"assigned_to_id":23,"start_date":"2017-06-10","description":"","custom_fields":[{"id":1,"name":"Subdivision","value":"EC"},{"id":4,"name":"Milepost","value":"0.0156"},{"id":17,"name":"Train ID","value":"228-10"},{"id":16,"name":"Locomotive ID","value":"4027"},{"id":130,"name":"Impact","value":""},{"id":150,"name":"Time of Event (Mountain Time)","value":"22:06:00"},{"id":151,"name":"Denver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5" t="str">
        <f t="shared" si="87"/>
        <v>start /low /b %USERPROFILE%\Documents\GitHub\eaglep3\Utilities\DownloadLogsFromS3.py --loco 4027 --day 2017-06-10</v>
      </c>
      <c r="AN145" s="154" t="str">
        <f t="shared" si="88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04:06:00"},{"id":29,"name":"Sharepoint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796</v>
      </c>
      <c r="B146" s="7">
        <v>4004</v>
      </c>
      <c r="C146" s="21" t="s">
        <v>204</v>
      </c>
      <c r="D146" s="21" t="s">
        <v>836</v>
      </c>
      <c r="E146" s="13">
        <v>42896.86990740741</v>
      </c>
      <c r="F146" s="13">
        <v>42896.875486111108</v>
      </c>
      <c r="G146" s="7">
        <v>2</v>
      </c>
      <c r="H146" s="21" t="s">
        <v>550</v>
      </c>
      <c r="I146" s="13">
        <v>42896.900891203702</v>
      </c>
      <c r="J146" s="7">
        <v>0</v>
      </c>
      <c r="K146" s="92" t="str">
        <f t="shared" si="71"/>
        <v>4003/4004</v>
      </c>
      <c r="L146" s="21" t="str">
        <f>VLOOKUP(A146,'Trips&amp;Operators'!$C$1:$G$99999,5,FALSE)</f>
        <v>LAMAR NEKESHA</v>
      </c>
      <c r="M146" s="6">
        <f t="shared" si="72"/>
        <v>2.5405092594155576E-2</v>
      </c>
      <c r="N146" s="7">
        <f t="shared" si="73"/>
        <v>36.58333333558403</v>
      </c>
      <c r="O146" s="7"/>
      <c r="P146" s="7"/>
      <c r="Q146" s="22"/>
      <c r="R146" s="173"/>
      <c r="S146" s="176">
        <f t="shared" si="74"/>
        <v>1</v>
      </c>
      <c r="T146" s="202" t="str">
        <f t="shared" si="75"/>
        <v>NorthBound</v>
      </c>
      <c r="U146" s="202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03" t="str">
        <f t="shared" si="76"/>
        <v>https://d0f6bd738d7f1b3e5a7ca70fe4ff75f0.us-east-1.aws.found.io/app/kibana#/discover/Steve-Slow-Train-Analysis-(2080s-and-2083s)?_g=(refreshInterval:(display:Off,pause:!f,section:0,value:0),time:(from:'2017-06-10T19:52:40-0600',mode:absolute,to:'2017-06-10T22:37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6" s="204" t="str">
        <f t="shared" si="77"/>
        <v>N</v>
      </c>
      <c r="X146" s="204">
        <f t="shared" si="78"/>
        <v>1</v>
      </c>
      <c r="Y146" s="204">
        <f t="shared" si="79"/>
        <v>4.3999999999999997E-2</v>
      </c>
      <c r="Z146" s="204">
        <f t="shared" si="70"/>
        <v>23.3355</v>
      </c>
      <c r="AA146" s="204">
        <f t="shared" si="80"/>
        <v>23.291499999999999</v>
      </c>
      <c r="AB146" s="57" t="e">
        <f>VLOOKUP(A146,Enforcements!$C$7:$K$13,8,0)</f>
        <v>#N/A</v>
      </c>
      <c r="AC146" s="53" t="e">
        <f>VLOOKUP(A146,Enforcements!$C$7:$E$13,3,0)</f>
        <v>#N/A</v>
      </c>
      <c r="AD146" s="54" t="str">
        <f t="shared" si="81"/>
        <v>0229-10</v>
      </c>
      <c r="AE146" s="80" t="str">
        <f t="shared" si="82"/>
        <v>aws s3 cp s3://rtdc.mdm.uploadarchive.raw/RTDC4004/ "%USERPROFILE%\AppData\Local\Temp\OnboardLogs"\RTDC4004\2017-06-10 --exclude "*" --recursive --include "*20170610*" &amp; "%USERPROFILE%\Documents\GitHub\mrs-test-scripts\Headless Mode &amp; Sideloading\WalkAndUnGZ.bat" "%USERPROFILE%\AppData\Local\Temp\OnboardLogs"\RTDC4004\2017-06-10 &amp; aws s3 cp s3://rtdc.mdm.uploadarchive.raw/RTDC4004/ "%USERPROFILE%\AppData\Local\Temp\OnboardLogs"\RTDC4004\2017-06-11 --exclude "*" --recursive --include "*20170611*" &amp; "%USERPROFILE%\Documents\GitHub\mrs-test-scripts\Headless Mode &amp; Sideloading\WalkAndUnGZ.bat" "%USERPROFILE%\AppData\Local\Temp\OnboardLogs"\RTDC4004\2017-06-11</v>
      </c>
      <c r="AF146" s="77" t="str">
        <f t="shared" si="83"/>
        <v>"C:\Program Files (x86)\AstroGrep\AstroGrep.exe" /e /r /s /spath="%USERPROFILE%\AppData\Local\Temp\OnboardLogs" /stypes="app*4004*20170611*" /stext=" 03:.+((SYSTEM_STATE.+slice.+state.+changed )|(ment ac)|(multiple cpu faults)|(system.+state.+changed )|(\[timeout)|(PRM\|1\|D)|(kpr)|(kdp)|(train st.+moving)|(\|lc)|(penalty))"</v>
      </c>
      <c r="AG146" s="1" t="str">
        <f t="shared" si="84"/>
        <v>EC</v>
      </c>
      <c r="AH146" s="81" t="str">
        <f t="shared" si="85"/>
        <v>"%USERPROFILE%\Documents\GitHub\eaglep3\Utilities\RefineRTDCRunTimes.py" --tripid 229-10 --locoid 4004 --swversion DE.1.0.9.0 --startMP 204:440 --initTime 2017-06-10T20:52:40 --startdatetime 2017-06-10T21:00:42 --delay 2 --endMP 204:233355 --enddatetime 2017-06-10T21:37:17 --enforcementcount 0 &gt;&gt;C:\Users\stu\Documents\GitHub\eaglep3-reporting\EC\2017-06-10-refined-times.txt</v>
      </c>
      <c r="AI146" s="99" t="str">
        <f t="shared" si="86"/>
        <v>echo {"issue":{"subject":"","project_id":79,"tracker_id":40,"status_id":1,"priority_id":2,"assigned_to_id":23,"start_date":"2017-06-10","description":"","custom_fields":[{"id":1,"name":"Subdivision","value":"EC"},{"id":4,"name":"Milepost","value":"23.3355"},{"id":17,"name":"Train ID","value":"229-10"},{"id":16,"name":"Locomotive ID","value":"4004"},{"id":130,"name":"Impact","value":""},{"id":150,"name":"Time of Event (Mountain Time)","value":"21:37:17"},{"id":151,"name":"Denver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5" t="str">
        <f t="shared" si="87"/>
        <v>start /low /b %USERPROFILE%\Documents\GitHub\eaglep3\Utilities\DownloadLogsFromS3.py --loco 4004 --day 2017-06-10</v>
      </c>
      <c r="AN146" s="154" t="str">
        <f t="shared" si="88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03:37:17"},{"id":29,"name":"Sharepoint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801</v>
      </c>
      <c r="B147" s="7">
        <v>4003</v>
      </c>
      <c r="C147" s="21" t="s">
        <v>204</v>
      </c>
      <c r="D147" s="21" t="s">
        <v>500</v>
      </c>
      <c r="E147" s="13">
        <v>42896.913634259261</v>
      </c>
      <c r="F147" s="13">
        <v>42896.914895833332</v>
      </c>
      <c r="G147" s="7">
        <v>1</v>
      </c>
      <c r="H147" s="21" t="s">
        <v>522</v>
      </c>
      <c r="I147" s="13">
        <v>42896.94226851852</v>
      </c>
      <c r="J147" s="7">
        <v>0</v>
      </c>
      <c r="K147" s="92" t="str">
        <f t="shared" si="71"/>
        <v>4003/4004</v>
      </c>
      <c r="L147" s="21" t="str">
        <f>VLOOKUP(A147,'Trips&amp;Operators'!$C$1:$G$99999,5,FALSE)</f>
        <v>LAMAR NEKESHA</v>
      </c>
      <c r="M147" s="6">
        <f t="shared" si="72"/>
        <v>2.7372685188311152E-2</v>
      </c>
      <c r="N147" s="7">
        <f t="shared" si="73"/>
        <v>39.416666671168059</v>
      </c>
      <c r="O147" s="7"/>
      <c r="P147" s="7"/>
      <c r="Q147" s="22"/>
      <c r="R147" s="173"/>
      <c r="S147" s="176">
        <f t="shared" si="74"/>
        <v>1</v>
      </c>
      <c r="T147" s="202" t="str">
        <f t="shared" si="75"/>
        <v>Southbound</v>
      </c>
      <c r="U147" s="202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03" t="str">
        <f t="shared" si="76"/>
        <v>https://d0f6bd738d7f1b3e5a7ca70fe4ff75f0.us-east-1.aws.found.io/app/kibana#/discover/Steve-Slow-Train-Analysis-(2080s-and-2083s)?_g=(refreshInterval:(display:Off,pause:!f,section:0,value:0),time:(from:'2017-06-10T20:55:38-0600',mode:absolute,to:'2017-06-10T23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7" s="204" t="str">
        <f t="shared" si="77"/>
        <v>N</v>
      </c>
      <c r="X147" s="204">
        <f t="shared" si="78"/>
        <v>1</v>
      </c>
      <c r="Y147" s="204">
        <f t="shared" si="79"/>
        <v>23.299600000000002</v>
      </c>
      <c r="Z147" s="204">
        <f t="shared" si="70"/>
        <v>1.61E-2</v>
      </c>
      <c r="AA147" s="204">
        <f t="shared" si="80"/>
        <v>23.2835</v>
      </c>
      <c r="AB147" s="57" t="e">
        <f>VLOOKUP(A147,Enforcements!$C$7:$K$13,8,0)</f>
        <v>#N/A</v>
      </c>
      <c r="AC147" s="53" t="e">
        <f>VLOOKUP(A147,Enforcements!$C$7:$E$13,3,0)</f>
        <v>#N/A</v>
      </c>
      <c r="AD147" s="54" t="str">
        <f t="shared" si="81"/>
        <v>0230-10</v>
      </c>
      <c r="AE147" s="80" t="str">
        <f t="shared" si="82"/>
        <v>aws s3 cp s3://rtdc.mdm.uploadarchive.raw/RTDC4003/ "%USERPROFILE%\AppData\Local\Temp\OnboardLogs"\RTDC4003\2017-06-10 --exclude "*" --recursive --include "*20170610*" &amp; "%USERPROFILE%\Documents\GitHub\mrs-test-scripts\Headless Mode &amp; Sideloading\WalkAndUnGZ.bat" "%USERPROFILE%\AppData\Local\Temp\OnboardLogs"\RTDC4003\2017-06-10 &amp; aws s3 cp s3://rtdc.mdm.uploadarchive.raw/RTDC4003/ "%USERPROFILE%\AppData\Local\Temp\OnboardLogs"\RTDC4003\2017-06-11 --exclude "*" --recursive --include "*20170611*" &amp; "%USERPROFILE%\Documents\GitHub\mrs-test-scripts\Headless Mode &amp; Sideloading\WalkAndUnGZ.bat" "%USERPROFILE%\AppData\Local\Temp\OnboardLogs"\RTDC4003\2017-06-11</v>
      </c>
      <c r="AF147" s="77" t="str">
        <f t="shared" si="83"/>
        <v>"C:\Program Files (x86)\AstroGrep\AstroGrep.exe" /e /r /s /spath="%USERPROFILE%\AppData\Local\Temp\OnboardLogs" /stypes="app*4003*20170611*" /stext=" 04:.+((SYSTEM_STATE.+slice.+state.+changed )|(ment ac)|(multiple cpu faults)|(system.+state.+changed )|(\[timeout)|(PRM\|1\|D)|(kpr)|(kdp)|(train st.+moving)|(\|lc)|(penalty))"</v>
      </c>
      <c r="AG147" s="1" t="str">
        <f t="shared" si="84"/>
        <v>EC</v>
      </c>
      <c r="AH147" s="81" t="str">
        <f t="shared" si="85"/>
        <v>"%USERPROFILE%\Documents\GitHub\eaglep3\Utilities\RefineRTDCRunTimes.py" --tripid 230-10 --locoid 4003 --swversion DE.1.0.9.0 --startMP 204:232996 --initTime 2017-06-10T21:55:38 --startdatetime 2017-06-10T21:57:27 --delay 1 --endMP 204:161 --enddatetime 2017-06-10T22:36:52 --enforcementcount 0 &gt;&gt;C:\Users\stu\Documents\GitHub\eaglep3-reporting\EC\2017-06-10-refined-times.txt</v>
      </c>
      <c r="AI147" s="99" t="str">
        <f t="shared" si="86"/>
        <v>echo {"issue":{"subject":"","project_id":79,"tracker_id":40,"status_id":1,"priority_id":2,"assigned_to_id":23,"start_date":"2017-06-10","description":"","custom_fields":[{"id":1,"name":"Subdivision","value":"EC"},{"id":4,"name":"Milepost","value":"0.0161"},{"id":17,"name":"Train ID","value":"230-10"},{"id":16,"name":"Locomotive ID","value":"4003"},{"id":130,"name":"Impact","value":""},{"id":150,"name":"Time of Event (Mountain Time)","value":"22:36:52"},{"id":151,"name":"Denver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5" t="str">
        <f t="shared" si="87"/>
        <v>start /low /b %USERPROFILE%\Documents\GitHub\eaglep3\Utilities\DownloadLogsFromS3.py --loco 4003 --day 2017-06-10</v>
      </c>
      <c r="AN147" s="154" t="str">
        <f t="shared" si="88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04:36:52"},{"id":29,"name":"Sharepoint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799</v>
      </c>
      <c r="B148" s="7">
        <v>4056</v>
      </c>
      <c r="C148" s="21" t="s">
        <v>204</v>
      </c>
      <c r="D148" s="21" t="s">
        <v>359</v>
      </c>
      <c r="E148" s="13">
        <v>42896.888321759259</v>
      </c>
      <c r="F148" s="13">
        <v>42896.896053240744</v>
      </c>
      <c r="G148" s="7">
        <v>1</v>
      </c>
      <c r="H148" s="21" t="s">
        <v>947</v>
      </c>
      <c r="I148" s="13">
        <v>42896.922754629632</v>
      </c>
      <c r="J148" s="7">
        <v>0</v>
      </c>
      <c r="K148" s="92" t="str">
        <f t="shared" si="71"/>
        <v>4055/4056</v>
      </c>
      <c r="L148" s="21" t="str">
        <f>VLOOKUP(A148,'Trips&amp;Operators'!$C$1:$G$99999,5,FALSE)</f>
        <v>SAFIEF AEIMEN</v>
      </c>
      <c r="M148" s="6">
        <f t="shared" si="72"/>
        <v>2.6701388887886424E-2</v>
      </c>
      <c r="N148" s="7">
        <f t="shared" si="73"/>
        <v>38.44999999855645</v>
      </c>
      <c r="O148" s="7"/>
      <c r="P148" s="7"/>
      <c r="Q148" s="22"/>
      <c r="R148" s="173"/>
      <c r="S148" s="176">
        <f t="shared" si="74"/>
        <v>1</v>
      </c>
      <c r="T148" s="202" t="str">
        <f t="shared" si="75"/>
        <v>NorthBound</v>
      </c>
      <c r="U148" s="202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03" t="str">
        <f t="shared" si="76"/>
        <v>https://d0f6bd738d7f1b3e5a7ca70fe4ff75f0.us-east-1.aws.found.io/app/kibana#/discover/Steve-Slow-Train-Analysis-(2080s-and-2083s)?_g=(refreshInterval:(display:Off,pause:!f,section:0,value:0),time:(from:'2017-06-10T20:19:11-0600',mode:absolute,to:'2017-06-10T23:08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48" s="204" t="str">
        <f t="shared" si="77"/>
        <v>N</v>
      </c>
      <c r="X148" s="204">
        <f t="shared" si="78"/>
        <v>1</v>
      </c>
      <c r="Y148" s="204">
        <f t="shared" si="79"/>
        <v>4.53E-2</v>
      </c>
      <c r="Z148" s="204">
        <f t="shared" si="70"/>
        <v>23.341999999999999</v>
      </c>
      <c r="AA148" s="204">
        <f t="shared" si="80"/>
        <v>23.296699999999998</v>
      </c>
      <c r="AB148" s="57" t="e">
        <f>VLOOKUP(A148,Enforcements!$C$7:$K$13,8,0)</f>
        <v>#N/A</v>
      </c>
      <c r="AC148" s="53" t="e">
        <f>VLOOKUP(A148,Enforcements!$C$7:$E$13,3,0)</f>
        <v>#N/A</v>
      </c>
      <c r="AD148" s="54" t="str">
        <f t="shared" si="81"/>
        <v>0231-10</v>
      </c>
      <c r="AE148" s="80" t="str">
        <f t="shared" si="82"/>
        <v>aws s3 cp s3://rtdc.mdm.uploadarchive.raw/RTDC4056/ "%USERPROFILE%\AppData\Local\Temp\OnboardLogs"\RTDC4056\2017-06-10 --exclude "*" --recursive --include "*20170610*" &amp; "%USERPROFILE%\Documents\GitHub\mrs-test-scripts\Headless Mode &amp; Sideloading\WalkAndUnGZ.bat" "%USERPROFILE%\AppData\Local\Temp\OnboardLogs"\RTDC4056\2017-06-10 &amp; aws s3 cp s3://rtdc.mdm.uploadarchive.raw/RTDC4056/ "%USERPROFILE%\AppData\Local\Temp\OnboardLogs"\RTDC4056\2017-06-11 --exclude "*" --recursive --include "*20170611*" &amp; "%USERPROFILE%\Documents\GitHub\mrs-test-scripts\Headless Mode &amp; Sideloading\WalkAndUnGZ.bat" "%USERPROFILE%\AppData\Local\Temp\OnboardLogs"\RTDC4056\2017-06-11</v>
      </c>
      <c r="AF148" s="77" t="str">
        <f t="shared" si="83"/>
        <v>"C:\Program Files (x86)\AstroGrep\AstroGrep.exe" /e /r /s /spath="%USERPROFILE%\AppData\Local\Temp\OnboardLogs" /stypes="app*4056*20170611*" /stext=" 04:.+((SYSTEM_STATE.+slice.+state.+changed )|(ment ac)|(multiple cpu faults)|(system.+state.+changed )|(\[timeout)|(PRM\|1\|D)|(kpr)|(kdp)|(train st.+moving)|(\|lc)|(penalty))"</v>
      </c>
      <c r="AG148" s="1" t="str">
        <f t="shared" si="84"/>
        <v>EC</v>
      </c>
      <c r="AH148" s="81" t="str">
        <f t="shared" si="85"/>
        <v>"%USERPROFILE%\Documents\GitHub\eaglep3\Utilities\RefineRTDCRunTimes.py" --tripid 231-10 --locoid 4056 --swversion DE.1.0.9.0 --startMP 204:453 --initTime 2017-06-10T21:19:11 --startdatetime 2017-06-10T21:30:19 --delay 1 --endMP 204:233420 --enddatetime 2017-06-10T22:08:46 --enforcementcount 0 &gt;&gt;C:\Users\stu\Documents\GitHub\eaglep3-reporting\EC\2017-06-10-refined-times.txt</v>
      </c>
      <c r="AI148" s="99" t="str">
        <f t="shared" si="86"/>
        <v>echo {"issue":{"subject":"","project_id":79,"tracker_id":40,"status_id":1,"priority_id":2,"assigned_to_id":23,"start_date":"2017-06-10","description":"","custom_fields":[{"id":1,"name":"Subdivision","value":"EC"},{"id":4,"name":"Milepost","value":"23.342"},{"id":17,"name":"Train ID","value":"231-10"},{"id":16,"name":"Locomotive ID","value":"4056"},{"id":130,"name":"Impact","value":""},{"id":150,"name":"Time of Event (Mountain Time)","value":"22:08:46"},{"id":151,"name":"Denver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5" t="str">
        <f t="shared" si="87"/>
        <v>start /low /b %USERPROFILE%\Documents\GitHub\eaglep3\Utilities\DownloadLogsFromS3.py --loco 4056 --day 2017-06-10</v>
      </c>
      <c r="AN148" s="154" t="str">
        <f t="shared" si="88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04:08:46"},{"id":29,"name":"Sharepoint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805</v>
      </c>
      <c r="B149" s="7">
        <v>4055</v>
      </c>
      <c r="C149" s="21" t="s">
        <v>204</v>
      </c>
      <c r="D149" s="21" t="s">
        <v>948</v>
      </c>
      <c r="E149" s="13">
        <v>42896.927858796298</v>
      </c>
      <c r="F149" s="13">
        <v>42896.935601851852</v>
      </c>
      <c r="G149" s="7">
        <v>1</v>
      </c>
      <c r="H149" s="21" t="s">
        <v>196</v>
      </c>
      <c r="I149" s="13">
        <v>42896.962488425925</v>
      </c>
      <c r="J149" s="7">
        <v>0</v>
      </c>
      <c r="K149" s="92" t="str">
        <f t="shared" si="71"/>
        <v>4055/4056</v>
      </c>
      <c r="L149" s="21" t="str">
        <f>VLOOKUP(A149,'Trips&amp;Operators'!$C$1:$G$99999,5,FALSE)</f>
        <v>SAFIEF AEIMEN</v>
      </c>
      <c r="M149" s="6">
        <f t="shared" si="72"/>
        <v>2.6886574072705116E-2</v>
      </c>
      <c r="N149" s="7">
        <f t="shared" si="73"/>
        <v>38.716666664695367</v>
      </c>
      <c r="O149" s="7"/>
      <c r="P149" s="7"/>
      <c r="Q149" s="22"/>
      <c r="R149" s="173"/>
      <c r="S149" s="176">
        <f t="shared" si="74"/>
        <v>1</v>
      </c>
      <c r="T149" s="202" t="str">
        <f t="shared" si="75"/>
        <v>Southbound</v>
      </c>
      <c r="U149" s="202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03" t="str">
        <f t="shared" si="76"/>
        <v>https://d0f6bd738d7f1b3e5a7ca70fe4ff75f0.us-east-1.aws.found.io/app/kibana#/discover/Steve-Slow-Train-Analysis-(2080s-and-2083s)?_g=(refreshInterval:(display:Off,pause:!f,section:0,value:0),time:(from:'2017-06-10T21:16:07-0600',mode:absolute,to:'2017-06-11T00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49" s="204" t="str">
        <f t="shared" si="77"/>
        <v>N</v>
      </c>
      <c r="X149" s="204">
        <f t="shared" si="78"/>
        <v>1</v>
      </c>
      <c r="Y149" s="204">
        <f t="shared" si="79"/>
        <v>23.3032</v>
      </c>
      <c r="Z149" s="204">
        <f t="shared" si="70"/>
        <v>1.5800000000000002E-2</v>
      </c>
      <c r="AA149" s="204">
        <f t="shared" si="80"/>
        <v>23.287400000000002</v>
      </c>
      <c r="AB149" s="57" t="e">
        <f>VLOOKUP(A149,Enforcements!$C$7:$K$13,8,0)</f>
        <v>#N/A</v>
      </c>
      <c r="AC149" s="53" t="e">
        <f>VLOOKUP(A149,Enforcements!$C$7:$E$13,3,0)</f>
        <v>#N/A</v>
      </c>
      <c r="AD149" s="54" t="str">
        <f t="shared" si="81"/>
        <v>0232-10</v>
      </c>
      <c r="AE149" s="80" t="str">
        <f t="shared" si="82"/>
        <v>aws s3 cp s3://rtdc.mdm.uploadarchive.raw/RTDC4055/ "%USERPROFILE%\AppData\Local\Temp\OnboardLogs"\RTDC4055\2017-06-10 --exclude "*" --recursive --include "*20170610*" &amp; "%USERPROFILE%\Documents\GitHub\mrs-test-scripts\Headless Mode &amp; Sideloading\WalkAndUnGZ.bat" "%USERPROFILE%\AppData\Local\Temp\OnboardLogs"\RTDC4055\2017-06-10 &amp; aws s3 cp s3://rtdc.mdm.uploadarchive.raw/RTDC4055/ "%USERPROFILE%\AppData\Local\Temp\OnboardLogs"\RTDC4055\2017-06-11 --exclude "*" --recursive --include "*20170611*" &amp; "%USERPROFILE%\Documents\GitHub\mrs-test-scripts\Headless Mode &amp; Sideloading\WalkAndUnGZ.bat" "%USERPROFILE%\AppData\Local\Temp\OnboardLogs"\RTDC4055\2017-06-11</v>
      </c>
      <c r="AF149" s="77" t="str">
        <f t="shared" si="83"/>
        <v>"C:\Program Files (x86)\AstroGrep\AstroGrep.exe" /e /r /s /spath="%USERPROFILE%\AppData\Local\Temp\OnboardLogs" /stypes="app*4055*20170611*" /stext=" 05:.+((SYSTEM_STATE.+slice.+state.+changed )|(ment ac)|(multiple cpu faults)|(system.+state.+changed )|(\[timeout)|(PRM\|1\|D)|(kpr)|(kdp)|(train st.+moving)|(\|lc)|(penalty))"</v>
      </c>
      <c r="AG149" s="1" t="str">
        <f t="shared" si="84"/>
        <v>EC</v>
      </c>
      <c r="AH149" s="81" t="str">
        <f t="shared" si="85"/>
        <v>"%USERPROFILE%\Documents\GitHub\eaglep3\Utilities\RefineRTDCRunTimes.py" --tripid 232-10 --locoid 4055 --swversion DE.1.0.9.0 --startMP 204:233032 --initTime 2017-06-10T22:16:07 --startdatetime 2017-06-10T22:27:16 --delay 1 --endMP 204:158 --enddatetime 2017-06-10T23:05:59 --enforcementcount 0 &gt;&gt;C:\Users\stu\Documents\GitHub\eaglep3-reporting\EC\2017-06-10-refined-times.txt</v>
      </c>
      <c r="AI149" s="99" t="str">
        <f t="shared" si="86"/>
        <v>echo {"issue":{"subject":"","project_id":79,"tracker_id":40,"status_id":1,"priority_id":2,"assigned_to_id":23,"start_date":"2017-06-10","description":"","custom_fields":[{"id":1,"name":"Subdivision","value":"EC"},{"id":4,"name":"Milepost","value":"0.0158"},{"id":17,"name":"Train ID","value":"232-10"},{"id":16,"name":"Locomotive ID","value":"4055"},{"id":130,"name":"Impact","value":""},{"id":150,"name":"Time of Event (Mountain Time)","value":"23:05:59"},{"id":151,"name":"Denver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5" t="str">
        <f t="shared" si="87"/>
        <v>start /low /b %USERPROFILE%\Documents\GitHub\eaglep3\Utilities\DownloadLogsFromS3.py --loco 4055 --day 2017-06-10</v>
      </c>
      <c r="AN149" s="154" t="str">
        <f t="shared" si="88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05:05:59"},{"id":29,"name":"Sharepoint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802</v>
      </c>
      <c r="B150" s="7">
        <v>4022</v>
      </c>
      <c r="C150" s="21" t="s">
        <v>204</v>
      </c>
      <c r="D150" s="21" t="s">
        <v>345</v>
      </c>
      <c r="E150" s="13">
        <v>42896.913912037038</v>
      </c>
      <c r="F150" s="13">
        <v>42896.916828703703</v>
      </c>
      <c r="G150" s="7">
        <v>1</v>
      </c>
      <c r="H150" s="21" t="s">
        <v>949</v>
      </c>
      <c r="I150" s="13">
        <v>42896.942280092589</v>
      </c>
      <c r="J150" s="7">
        <v>0</v>
      </c>
      <c r="K150" s="92" t="str">
        <f t="shared" si="71"/>
        <v>4021/4022</v>
      </c>
      <c r="L150" s="21" t="str">
        <f>VLOOKUP(A150,'Trips&amp;Operators'!$C$1:$G$99999,5,FALSE)</f>
        <v>MAGEE KENYA</v>
      </c>
      <c r="M150" s="6">
        <f t="shared" si="72"/>
        <v>2.545138888672227E-2</v>
      </c>
      <c r="N150" s="7">
        <f t="shared" si="73"/>
        <v>36.649999996880069</v>
      </c>
      <c r="O150" s="7"/>
      <c r="P150" s="7"/>
      <c r="Q150" s="22"/>
      <c r="R150" s="173"/>
      <c r="S150" s="176">
        <f t="shared" si="74"/>
        <v>1</v>
      </c>
      <c r="T150" s="202" t="str">
        <f t="shared" si="75"/>
        <v>NorthBound</v>
      </c>
      <c r="U150" s="202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03" t="str">
        <f t="shared" si="76"/>
        <v>https://d0f6bd738d7f1b3e5a7ca70fe4ff75f0.us-east-1.aws.found.io/app/kibana#/discover/Steve-Slow-Train-Analysis-(2080s-and-2083s)?_g=(refreshInterval:(display:Off,pause:!f,section:0,value:0),time:(from:'2017-06-10T20:56:02-0600',mode:absolute,to:'2017-06-10T23:36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50" s="204" t="str">
        <f t="shared" si="77"/>
        <v>N</v>
      </c>
      <c r="X150" s="204">
        <f t="shared" si="78"/>
        <v>1</v>
      </c>
      <c r="Y150" s="204">
        <f t="shared" si="79"/>
        <v>4.4900000000000002E-2</v>
      </c>
      <c r="Z150" s="204">
        <f t="shared" si="70"/>
        <v>23.340800000000002</v>
      </c>
      <c r="AA150" s="204">
        <f t="shared" si="80"/>
        <v>23.295900000000003</v>
      </c>
      <c r="AB150" s="57" t="e">
        <f>VLOOKUP(A150,Enforcements!$C$7:$K$13,8,0)</f>
        <v>#N/A</v>
      </c>
      <c r="AC150" s="53" t="e">
        <f>VLOOKUP(A150,Enforcements!$C$7:$E$13,3,0)</f>
        <v>#N/A</v>
      </c>
      <c r="AD150" s="54" t="str">
        <f t="shared" si="81"/>
        <v>0233-10</v>
      </c>
      <c r="AE150" s="80" t="str">
        <f t="shared" si="82"/>
        <v>aws s3 cp s3://rtdc.mdm.uploadarchive.raw/RTDC4022/ "%USERPROFILE%\AppData\Local\Temp\OnboardLogs"\RTDC4022\2017-06-10 --exclude "*" --recursive --include "*20170610*" &amp; "%USERPROFILE%\Documents\GitHub\mrs-test-scripts\Headless Mode &amp; Sideloading\WalkAndUnGZ.bat" "%USERPROFILE%\AppData\Local\Temp\OnboardLogs"\RTDC4022\2017-06-10 &amp; aws s3 cp s3://rtdc.mdm.uploadarchive.raw/RTDC4022/ "%USERPROFILE%\AppData\Local\Temp\OnboardLogs"\RTDC4022\2017-06-11 --exclude "*" --recursive --include "*20170611*" &amp; "%USERPROFILE%\Documents\GitHub\mrs-test-scripts\Headless Mode &amp; Sideloading\WalkAndUnGZ.bat" "%USERPROFILE%\AppData\Local\Temp\OnboardLogs"\RTDC4022\2017-06-11</v>
      </c>
      <c r="AF150" s="77" t="str">
        <f t="shared" si="83"/>
        <v>"C:\Program Files (x86)\AstroGrep\AstroGrep.exe" /e /r /s /spath="%USERPROFILE%\AppData\Local\Temp\OnboardLogs" /stypes="app*4022*20170611*" /stext=" 04:.+((SYSTEM_STATE.+slice.+state.+changed )|(ment ac)|(multiple cpu faults)|(system.+state.+changed )|(\[timeout)|(PRM\|1\|D)|(kpr)|(kdp)|(train st.+moving)|(\|lc)|(penalty))"</v>
      </c>
      <c r="AG150" s="1" t="str">
        <f t="shared" si="84"/>
        <v>EC</v>
      </c>
      <c r="AH150" s="81" t="str">
        <f t="shared" si="85"/>
        <v>"%USERPROFILE%\Documents\GitHub\eaglep3\Utilities\RefineRTDCRunTimes.py" --tripid 233-10 --locoid 4022 --swversion DE.1.0.9.0 --startMP 204:449 --initTime 2017-06-10T21:56:02 --startdatetime 2017-06-10T22:00:14 --delay 1 --endMP 204:233408 --enddatetime 2017-06-10T22:36:53 --enforcementcount 0 &gt;&gt;C:\Users\stu\Documents\GitHub\eaglep3-reporting\EC\2017-06-10-refined-times.txt</v>
      </c>
      <c r="AI150" s="99" t="str">
        <f t="shared" si="86"/>
        <v>echo {"issue":{"subject":"","project_id":79,"tracker_id":40,"status_id":1,"priority_id":2,"assigned_to_id":23,"start_date":"2017-06-10","description":"","custom_fields":[{"id":1,"name":"Subdivision","value":"EC"},{"id":4,"name":"Milepost","value":"23.3408"},{"id":17,"name":"Train ID","value":"233-10"},{"id":16,"name":"Locomotive ID","value":"4022"},{"id":130,"name":"Impact","value":""},{"id":150,"name":"Time of Event (Mountain Time)","value":"22:36:53"},{"id":151,"name":"Denver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5" t="str">
        <f t="shared" si="87"/>
        <v>start /low /b %USERPROFILE%\Documents\GitHub\eaglep3\Utilities\DownloadLogsFromS3.py --loco 4022 --day 2017-06-10</v>
      </c>
      <c r="AN150" s="154" t="str">
        <f t="shared" si="88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04:36:53"},{"id":29,"name":"Sharepoint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808</v>
      </c>
      <c r="B151" s="7">
        <v>4021</v>
      </c>
      <c r="C151" s="21" t="s">
        <v>204</v>
      </c>
      <c r="D151" s="21" t="s">
        <v>950</v>
      </c>
      <c r="E151" s="13">
        <v>42896.952962962961</v>
      </c>
      <c r="F151" s="13">
        <v>42896.956550925926</v>
      </c>
      <c r="G151" s="7">
        <v>1</v>
      </c>
      <c r="H151" s="21" t="s">
        <v>401</v>
      </c>
      <c r="I151" s="13">
        <v>42896.984166666669</v>
      </c>
      <c r="J151" s="7">
        <v>0</v>
      </c>
      <c r="K151" s="92" t="str">
        <f t="shared" si="71"/>
        <v>4021/4022</v>
      </c>
      <c r="L151" s="21" t="str">
        <f>VLOOKUP(A151,'Trips&amp;Operators'!$C$1:$G$99999,5,FALSE)</f>
        <v>MAGEE KENYA</v>
      </c>
      <c r="M151" s="6">
        <f t="shared" si="72"/>
        <v>2.7615740742476191E-2</v>
      </c>
      <c r="N151" s="7">
        <f t="shared" si="73"/>
        <v>39.766666669165716</v>
      </c>
      <c r="O151" s="7"/>
      <c r="P151" s="7"/>
      <c r="Q151" s="22"/>
      <c r="R151" s="173"/>
      <c r="S151" s="176">
        <f t="shared" si="74"/>
        <v>1</v>
      </c>
      <c r="T151" s="202" t="str">
        <f t="shared" si="75"/>
        <v>Southbound</v>
      </c>
      <c r="U151" s="202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03" t="str">
        <f t="shared" si="76"/>
        <v>https://d0f6bd738d7f1b3e5a7ca70fe4ff75f0.us-east-1.aws.found.io/app/kibana#/discover/Steve-Slow-Train-Analysis-(2080s-and-2083s)?_g=(refreshInterval:(display:Off,pause:!f,section:0,value:0),time:(from:'2017-06-10T21:52:16-0600',mode:absolute,to:'2017-06-11T00:37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51" s="204" t="str">
        <f t="shared" si="77"/>
        <v>N</v>
      </c>
      <c r="X151" s="204">
        <f t="shared" si="78"/>
        <v>1</v>
      </c>
      <c r="Y151" s="204">
        <f t="shared" si="79"/>
        <v>23.306799999999999</v>
      </c>
      <c r="Z151" s="204">
        <f t="shared" si="70"/>
        <v>1.54E-2</v>
      </c>
      <c r="AA151" s="204">
        <f t="shared" si="80"/>
        <v>23.291399999999999</v>
      </c>
      <c r="AB151" s="57" t="e">
        <f>VLOOKUP(A151,Enforcements!$C$7:$K$13,8,0)</f>
        <v>#N/A</v>
      </c>
      <c r="AC151" s="53" t="e">
        <f>VLOOKUP(A151,Enforcements!$C$7:$E$13,3,0)</f>
        <v>#N/A</v>
      </c>
      <c r="AD151" s="54" t="str">
        <f t="shared" si="81"/>
        <v>0234-10</v>
      </c>
      <c r="AE151" s="80" t="str">
        <f t="shared" si="82"/>
        <v>aws s3 cp s3://rtdc.mdm.uploadarchive.raw/RTDC4021/ "%USERPROFILE%\AppData\Local\Temp\OnboardLogs"\RTDC4021\2017-06-10 --exclude "*" --recursive --include "*20170610*" &amp; "%USERPROFILE%\Documents\GitHub\mrs-test-scripts\Headless Mode &amp; Sideloading\WalkAndUnGZ.bat" "%USERPROFILE%\AppData\Local\Temp\OnboardLogs"\RTDC4021\2017-06-10 &amp; aws s3 cp s3://rtdc.mdm.uploadarchive.raw/RTDC4021/ "%USERPROFILE%\AppData\Local\Temp\OnboardLogs"\RTDC4021\2017-06-11 --exclude "*" --recursive --include "*20170611*" &amp; "%USERPROFILE%\Documents\GitHub\mrs-test-scripts\Headless Mode &amp; Sideloading\WalkAndUnGZ.bat" "%USERPROFILE%\AppData\Local\Temp\OnboardLogs"\RTDC4021\2017-06-11</v>
      </c>
      <c r="AF151" s="77" t="str">
        <f t="shared" si="83"/>
        <v>"C:\Program Files (x86)\AstroGrep\AstroGrep.exe" /e /r /s /spath="%USERPROFILE%\AppData\Local\Temp\OnboardLogs" /stypes="app*4021*20170611*" /stext=" 05:.+((SYSTEM_STATE.+slice.+state.+changed )|(ment ac)|(multiple cpu faults)|(system.+state.+changed )|(\[timeout)|(PRM\|1\|D)|(kpr)|(kdp)|(train st.+moving)|(\|lc)|(penalty))"</v>
      </c>
      <c r="AG151" s="1" t="str">
        <f t="shared" si="84"/>
        <v>EC</v>
      </c>
      <c r="AH151" s="81" t="str">
        <f t="shared" si="85"/>
        <v>"%USERPROFILE%\Documents\GitHub\eaglep3\Utilities\RefineRTDCRunTimes.py" --tripid 234-10 --locoid 4021 --swversion DE.1.0.9.0 --startMP 204:233068 --initTime 2017-06-10T22:52:16 --startdatetime 2017-06-10T22:57:26 --delay 1 --endMP 204:154 --enddatetime 2017-06-10T23:37:12 --enforcementcount 0 &gt;&gt;C:\Users\stu\Documents\GitHub\eaglep3-reporting\EC\2017-06-10-refined-times.txt</v>
      </c>
      <c r="AI151" s="99" t="str">
        <f t="shared" si="86"/>
        <v>echo {"issue":{"subject":"","project_id":79,"tracker_id":40,"status_id":1,"priority_id":2,"assigned_to_id":23,"start_date":"2017-06-10","description":"","custom_fields":[{"id":1,"name":"Subdivision","value":"EC"},{"id":4,"name":"Milepost","value":"0.0154"},{"id":17,"name":"Train ID","value":"234-10"},{"id":16,"name":"Locomotive ID","value":"4021"},{"id":130,"name":"Impact","value":""},{"id":150,"name":"Time of Event (Mountain Time)","value":"23:37:12"},{"id":151,"name":"Denver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5" t="str">
        <f t="shared" si="87"/>
        <v>start /low /b %USERPROFILE%\Documents\GitHub\eaglep3\Utilities\DownloadLogsFromS3.py --loco 4021 --day 2017-06-10</v>
      </c>
      <c r="AN151" s="154" t="str">
        <f t="shared" si="88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05:37:12"},{"id":29,"name":"Sharepoint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804</v>
      </c>
      <c r="B152" s="7">
        <v>4028</v>
      </c>
      <c r="C152" s="21" t="s">
        <v>204</v>
      </c>
      <c r="D152" s="21" t="s">
        <v>479</v>
      </c>
      <c r="E152" s="13">
        <v>42896.922361111108</v>
      </c>
      <c r="F152" s="13">
        <v>42896.937638888892</v>
      </c>
      <c r="G152" s="7">
        <v>1</v>
      </c>
      <c r="H152" s="21" t="s">
        <v>951</v>
      </c>
      <c r="I152" s="13">
        <v>42896.962997685187</v>
      </c>
      <c r="J152" s="7">
        <v>0</v>
      </c>
      <c r="K152" s="92" t="str">
        <f t="shared" si="71"/>
        <v>4027/4028</v>
      </c>
      <c r="L152" s="21" t="str">
        <f>VLOOKUP(A152,'Trips&amp;Operators'!$C$1:$G$99999,5,FALSE)</f>
        <v>FORTUNATO FRANK</v>
      </c>
      <c r="M152" s="6">
        <f t="shared" si="72"/>
        <v>2.5358796294312924E-2</v>
      </c>
      <c r="N152" s="7">
        <f t="shared" si="73"/>
        <v>36.516666663810611</v>
      </c>
      <c r="O152" s="7"/>
      <c r="P152" s="7"/>
      <c r="Q152" s="22"/>
      <c r="R152" s="173"/>
      <c r="S152" s="176">
        <f t="shared" si="74"/>
        <v>1</v>
      </c>
      <c r="T152" s="202" t="str">
        <f t="shared" si="75"/>
        <v>NorthBound</v>
      </c>
      <c r="U152" s="202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03" t="str">
        <f t="shared" si="76"/>
        <v>https://d0f6bd738d7f1b3e5a7ca70fe4ff75f0.us-east-1.aws.found.io/app/kibana#/discover/Steve-Slow-Train-Analysis-(2080s-and-2083s)?_g=(refreshInterval:(display:Off,pause:!f,section:0,value:0),time:(from:'2017-06-10T21:08:12-0600',mode:absolute,to:'2017-06-11T00:06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2" s="204" t="str">
        <f t="shared" si="77"/>
        <v>N</v>
      </c>
      <c r="X152" s="204">
        <f t="shared" si="78"/>
        <v>1</v>
      </c>
      <c r="Y152" s="204">
        <f t="shared" si="79"/>
        <v>4.7699999999999999E-2</v>
      </c>
      <c r="Z152" s="204">
        <f t="shared" si="70"/>
        <v>23.337199999999999</v>
      </c>
      <c r="AA152" s="204">
        <f t="shared" si="80"/>
        <v>23.2895</v>
      </c>
      <c r="AB152" s="57" t="e">
        <f>VLOOKUP(A152,Enforcements!$C$7:$K$13,8,0)</f>
        <v>#N/A</v>
      </c>
      <c r="AC152" s="53" t="e">
        <f>VLOOKUP(A152,Enforcements!$C$7:$E$13,3,0)</f>
        <v>#N/A</v>
      </c>
      <c r="AD152" s="54" t="str">
        <f t="shared" si="81"/>
        <v>0235-10</v>
      </c>
      <c r="AE152" s="80" t="str">
        <f t="shared" si="82"/>
        <v>aws s3 cp s3://rtdc.mdm.uploadarchive.raw/RTDC4028/ "%USERPROFILE%\AppData\Local\Temp\OnboardLogs"\RTDC4028\2017-06-10 --exclude "*" --recursive --include "*20170610*" &amp; "%USERPROFILE%\Documents\GitHub\mrs-test-scripts\Headless Mode &amp; Sideloading\WalkAndUnGZ.bat" "%USERPROFILE%\AppData\Local\Temp\OnboardLogs"\RTDC4028\2017-06-10 &amp; aws s3 cp s3://rtdc.mdm.uploadarchive.raw/RTDC4028/ "%USERPROFILE%\AppData\Local\Temp\OnboardLogs"\RTDC4028\2017-06-11 --exclude "*" --recursive --include "*20170611*" &amp; "%USERPROFILE%\Documents\GitHub\mrs-test-scripts\Headless Mode &amp; Sideloading\WalkAndUnGZ.bat" "%USERPROFILE%\AppData\Local\Temp\OnboardLogs"\RTDC4028\2017-06-11</v>
      </c>
      <c r="AF152" s="77" t="str">
        <f t="shared" si="83"/>
        <v>"C:\Program Files (x86)\AstroGrep\AstroGrep.exe" /e /r /s /spath="%USERPROFILE%\AppData\Local\Temp\OnboardLogs" /stypes="app*4028*20170611*" /stext=" 05:.+((SYSTEM_STATE.+slice.+state.+changed )|(ment ac)|(multiple cpu faults)|(system.+state.+changed )|(\[timeout)|(PRM\|1\|D)|(kpr)|(kdp)|(train st.+moving)|(\|lc)|(penalty))"</v>
      </c>
      <c r="AG152" s="1" t="str">
        <f t="shared" si="84"/>
        <v>EC</v>
      </c>
      <c r="AH152" s="81" t="str">
        <f t="shared" si="85"/>
        <v>"%USERPROFILE%\Documents\GitHub\eaglep3\Utilities\RefineRTDCRunTimes.py" --tripid 235-10 --locoid 4028 --swversion DE.1.0.9.0 --startMP 204:477 --initTime 2017-06-10T22:08:12 --startdatetime 2017-06-10T22:30:12 --delay 1 --endMP 204:233372 --enddatetime 2017-06-10T23:06:43 --enforcementcount 0 &gt;&gt;C:\Users\stu\Documents\GitHub\eaglep3-reporting\EC\2017-06-10-refined-times.txt</v>
      </c>
      <c r="AI152" s="99" t="str">
        <f t="shared" si="86"/>
        <v>echo {"issue":{"subject":"","project_id":79,"tracker_id":40,"status_id":1,"priority_id":2,"assigned_to_id":23,"start_date":"2017-06-10","description":"","custom_fields":[{"id":1,"name":"Subdivision","value":"EC"},{"id":4,"name":"Milepost","value":"23.3372"},{"id":17,"name":"Train ID","value":"235-10"},{"id":16,"name":"Locomotive ID","value":"4028"},{"id":130,"name":"Impact","value":""},{"id":150,"name":"Time of Event (Mountain Time)","value":"23:06:43"},{"id":151,"name":"Denver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5" t="str">
        <f t="shared" si="87"/>
        <v>start /low /b %USERPROFILE%\Documents\GitHub\eaglep3\Utilities\DownloadLogsFromS3.py --loco 4028 --day 2017-06-10</v>
      </c>
      <c r="AN152" s="154" t="str">
        <f t="shared" si="88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05:06:43"},{"id":29,"name":"Sharepoint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809</v>
      </c>
      <c r="B153" s="7">
        <v>4027</v>
      </c>
      <c r="C153" s="21" t="s">
        <v>204</v>
      </c>
      <c r="D153" s="21" t="s">
        <v>952</v>
      </c>
      <c r="E153" s="13">
        <v>42896.964525462965</v>
      </c>
      <c r="F153" s="13">
        <v>42896.977222222224</v>
      </c>
      <c r="G153" s="7">
        <v>1</v>
      </c>
      <c r="H153" s="21" t="s">
        <v>352</v>
      </c>
      <c r="I153" s="13">
        <v>42897.003958333335</v>
      </c>
      <c r="J153" s="7">
        <v>0</v>
      </c>
      <c r="K153" s="92" t="str">
        <f t="shared" si="71"/>
        <v>4027/4028</v>
      </c>
      <c r="L153" s="21" t="str">
        <f>VLOOKUP(A153,'Trips&amp;Operators'!$C$1:$G$99999,5,FALSE)</f>
        <v>FORTUNATO FRANK</v>
      </c>
      <c r="M153" s="6">
        <f t="shared" si="72"/>
        <v>2.6736111110949423E-2</v>
      </c>
      <c r="N153" s="7">
        <f t="shared" si="73"/>
        <v>38.499999999767169</v>
      </c>
      <c r="O153" s="7"/>
      <c r="P153" s="7"/>
      <c r="Q153" s="22"/>
      <c r="R153" s="173"/>
      <c r="S153" s="176">
        <f t="shared" si="74"/>
        <v>1</v>
      </c>
      <c r="T153" s="202" t="str">
        <f t="shared" si="75"/>
        <v>Southbound</v>
      </c>
      <c r="U153" s="202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03" t="str">
        <f t="shared" si="76"/>
        <v>https://d0f6bd738d7f1b3e5a7ca70fe4ff75f0.us-east-1.aws.found.io/app/kibana#/discover/Steve-Slow-Train-Analysis-(2080s-and-2083s)?_g=(refreshInterval:(display:Off,pause:!f,section:0,value:0),time:(from:'2017-06-10T22:08:55-0600',mode:absolute,to:'2017-06-11T01:05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3" s="204" t="str">
        <f t="shared" si="77"/>
        <v>N</v>
      </c>
      <c r="X153" s="204">
        <f t="shared" si="78"/>
        <v>1</v>
      </c>
      <c r="Y153" s="204">
        <f t="shared" si="79"/>
        <v>23.305499999999999</v>
      </c>
      <c r="Z153" s="204">
        <f t="shared" si="70"/>
        <v>1.4999999999999999E-2</v>
      </c>
      <c r="AA153" s="204">
        <f t="shared" si="80"/>
        <v>23.290499999999998</v>
      </c>
      <c r="AB153" s="57" t="e">
        <f>VLOOKUP(A153,Enforcements!$C$7:$K$13,8,0)</f>
        <v>#N/A</v>
      </c>
      <c r="AC153" s="53" t="e">
        <f>VLOOKUP(A153,Enforcements!$C$7:$E$13,3,0)</f>
        <v>#N/A</v>
      </c>
      <c r="AD153" s="54" t="str">
        <f t="shared" si="81"/>
        <v>0236-10</v>
      </c>
      <c r="AE153" s="80" t="str">
        <f t="shared" si="82"/>
        <v>aws s3 cp s3://rtdc.mdm.uploadarchive.raw/RTDC4027/ "%USERPROFILE%\AppData\Local\Temp\OnboardLogs"\RTDC4027\2017-06-10 --exclude "*" --recursive --include "*20170610*" &amp; "%USERPROFILE%\Documents\GitHub\mrs-test-scripts\Headless Mode &amp; Sideloading\WalkAndUnGZ.bat" "%USERPROFILE%\AppData\Local\Temp\OnboardLogs"\RTDC4027\2017-06-10 &amp; aws s3 cp s3://rtdc.mdm.uploadarchive.raw/RTDC4027/ "%USERPROFILE%\AppData\Local\Temp\OnboardLogs"\RTDC4027\2017-06-11 --exclude "*" --recursive --include "*20170611*" &amp; "%USERPROFILE%\Documents\GitHub\mrs-test-scripts\Headless Mode &amp; Sideloading\WalkAndUnGZ.bat" "%USERPROFILE%\AppData\Local\Temp\OnboardLogs"\RTDC4027\2017-06-11</v>
      </c>
      <c r="AF153" s="77" t="str">
        <f t="shared" si="83"/>
        <v>"C:\Program Files (x86)\AstroGrep\AstroGrep.exe" /e /r /s /spath="%USERPROFILE%\AppData\Local\Temp\OnboardLogs" /stypes="app*4027*20170611*" /stext=" 06:.+((SYSTEM_STATE.+slice.+state.+changed )|(ment ac)|(multiple cpu faults)|(system.+state.+changed )|(\[timeout)|(PRM\|1\|D)|(kpr)|(kdp)|(train st.+moving)|(\|lc)|(penalty))"</v>
      </c>
      <c r="AG153" s="1" t="str">
        <f t="shared" si="84"/>
        <v>EC</v>
      </c>
      <c r="AH153" s="81" t="str">
        <f t="shared" si="85"/>
        <v>"%USERPROFILE%\Documents\GitHub\eaglep3\Utilities\RefineRTDCRunTimes.py" --tripid 236-10 --locoid 4027 --swversion DE.1.0.9.0 --startMP 204:233055 --initTime 2017-06-10T23:08:55 --startdatetime 2017-06-10T23:27:12 --delay 1 --endMP 204:150 --enddatetime 2017-06-11T00:05:42 --enforcementcount 0 &gt;&gt;C:\Users\stu\Documents\GitHub\eaglep3-reporting\EC\2017-06-10-refined-times.txt</v>
      </c>
      <c r="AI153" s="99" t="str">
        <f t="shared" si="86"/>
        <v>echo {"issue":{"subject":"","project_id":79,"tracker_id":40,"status_id":1,"priority_id":2,"assigned_to_id":23,"start_date":"2017-06-11","description":"","custom_fields":[{"id":1,"name":"Subdivision","value":"EC"},{"id":4,"name":"Milepost","value":"0.015"},{"id":17,"name":"Train ID","value":"236-10"},{"id":16,"name":"Locomotive ID","value":"4027"},{"id":130,"name":"Impact","value":""},{"id":150,"name":"Time of Event (Mountain Time)","value":"00:05:42"},{"id":151,"name":"Denver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5" t="str">
        <f t="shared" si="87"/>
        <v>start /low /b %USERPROFILE%\Documents\GitHub\eaglep3\Utilities\DownloadLogsFromS3.py --loco 4027 --day 2017-06-10</v>
      </c>
      <c r="AN153" s="154" t="str">
        <f t="shared" si="88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06:05:42"},{"id":29,"name":"Sharepoint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807</v>
      </c>
      <c r="B154" s="7">
        <v>4004</v>
      </c>
      <c r="C154" s="21" t="s">
        <v>204</v>
      </c>
      <c r="D154" s="21" t="s">
        <v>351</v>
      </c>
      <c r="E154" s="13">
        <v>42896.944351851853</v>
      </c>
      <c r="F154" s="13">
        <v>42896.958692129629</v>
      </c>
      <c r="G154" s="7">
        <v>17</v>
      </c>
      <c r="H154" s="21" t="s">
        <v>532</v>
      </c>
      <c r="I154" s="13">
        <v>42896.984178240738</v>
      </c>
      <c r="J154" s="7">
        <v>0</v>
      </c>
      <c r="K154" s="92" t="str">
        <f t="shared" si="71"/>
        <v>4003/4004</v>
      </c>
      <c r="L154" s="21" t="str">
        <f>VLOOKUP(A154,'Trips&amp;Operators'!$C$1:$G$99999,5,FALSE)</f>
        <v>LAMAR NEKESHA</v>
      </c>
      <c r="M154" s="6">
        <f t="shared" si="72"/>
        <v>2.548611110978527E-2</v>
      </c>
      <c r="N154" s="7">
        <f t="shared" si="73"/>
        <v>36.699999998090789</v>
      </c>
      <c r="O154" s="7"/>
      <c r="P154" s="7"/>
      <c r="Q154" s="22"/>
      <c r="R154" s="173"/>
      <c r="S154" s="176">
        <f t="shared" si="74"/>
        <v>1</v>
      </c>
      <c r="T154" s="202" t="str">
        <f t="shared" si="75"/>
        <v>NorthBound</v>
      </c>
      <c r="U154" s="202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03" t="str">
        <f t="shared" si="76"/>
        <v>https://d0f6bd738d7f1b3e5a7ca70fe4ff75f0.us-east-1.aws.found.io/app/kibana#/discover/Steve-Slow-Train-Analysis-(2080s-and-2083s)?_g=(refreshInterval:(display:Off,pause:!f,section:0,value:0),time:(from:'2017-06-10T21:39:52-0600',mode:absolute,to:'2017-06-11T00:37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4" s="204" t="str">
        <f t="shared" si="77"/>
        <v>N</v>
      </c>
      <c r="X154" s="204">
        <f t="shared" si="78"/>
        <v>1</v>
      </c>
      <c r="Y154" s="204">
        <f t="shared" si="79"/>
        <v>4.58E-2</v>
      </c>
      <c r="Z154" s="204">
        <f t="shared" si="70"/>
        <v>23.33</v>
      </c>
      <c r="AA154" s="204">
        <f t="shared" si="80"/>
        <v>23.284199999999998</v>
      </c>
      <c r="AB154" s="57" t="e">
        <f>VLOOKUP(A154,Enforcements!$C$7:$K$13,8,0)</f>
        <v>#N/A</v>
      </c>
      <c r="AC154" s="53" t="e">
        <f>VLOOKUP(A154,Enforcements!$C$7:$E$13,3,0)</f>
        <v>#N/A</v>
      </c>
      <c r="AD154" s="54" t="str">
        <f t="shared" si="81"/>
        <v>0237-10</v>
      </c>
      <c r="AE154" s="80" t="str">
        <f t="shared" si="82"/>
        <v>aws s3 cp s3://rtdc.mdm.uploadarchive.raw/RTDC4004/ "%USERPROFILE%\AppData\Local\Temp\OnboardLogs"\RTDC4004\2017-06-10 --exclude "*" --recursive --include "*20170610*" &amp; "%USERPROFILE%\Documents\GitHub\mrs-test-scripts\Headless Mode &amp; Sideloading\WalkAndUnGZ.bat" "%USERPROFILE%\AppData\Local\Temp\OnboardLogs"\RTDC4004\2017-06-10 &amp; aws s3 cp s3://rtdc.mdm.uploadarchive.raw/RTDC4004/ "%USERPROFILE%\AppData\Local\Temp\OnboardLogs"\RTDC4004\2017-06-11 --exclude "*" --recursive --include "*20170611*" &amp; "%USERPROFILE%\Documents\GitHub\mrs-test-scripts\Headless Mode &amp; Sideloading\WalkAndUnGZ.bat" "%USERPROFILE%\AppData\Local\Temp\OnboardLogs"\RTDC4004\2017-06-11</v>
      </c>
      <c r="AF154" s="77" t="str">
        <f t="shared" si="83"/>
        <v>"C:\Program Files (x86)\AstroGrep\AstroGrep.exe" /e /r /s /spath="%USERPROFILE%\AppData\Local\Temp\OnboardLogs" /stypes="app*4004*20170611*" /stext=" 05:.+((SYSTEM_STATE.+slice.+state.+changed )|(ment ac)|(multiple cpu faults)|(system.+state.+changed )|(\[timeout)|(PRM\|1\|D)|(kpr)|(kdp)|(train st.+moving)|(\|lc)|(penalty))"</v>
      </c>
      <c r="AG154" s="1" t="str">
        <f t="shared" si="84"/>
        <v>EC</v>
      </c>
      <c r="AH154" s="81" t="str">
        <f t="shared" si="85"/>
        <v>"%USERPROFILE%\Documents\GitHub\eaglep3\Utilities\RefineRTDCRunTimes.py" --tripid 237-10 --locoid 4004 --swversion DE.1.0.9.0 --startMP 204:458 --initTime 2017-06-10T22:39:52 --startdatetime 2017-06-10T23:00:31 --delay 17 --endMP 204:233300 --enddatetime 2017-06-10T23:37:13 --enforcementcount 0 &gt;&gt;C:\Users\stu\Documents\GitHub\eaglep3-reporting\EC\2017-06-10-refined-times.txt</v>
      </c>
      <c r="AI154" s="99" t="str">
        <f t="shared" si="86"/>
        <v>echo {"issue":{"subject":"","project_id":79,"tracker_id":40,"status_id":1,"priority_id":2,"assigned_to_id":23,"start_date":"2017-06-10","description":"","custom_fields":[{"id":1,"name":"Subdivision","value":"EC"},{"id":4,"name":"Milepost","value":"23.33"},{"id":17,"name":"Train ID","value":"237-10"},{"id":16,"name":"Locomotive ID","value":"4004"},{"id":130,"name":"Impact","value":""},{"id":150,"name":"Time of Event (Mountain Time)","value":"23:37:13"},{"id":151,"name":"Denver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5" t="str">
        <f t="shared" si="87"/>
        <v>start /low /b %USERPROFILE%\Documents\GitHub\eaglep3\Utilities\DownloadLogsFromS3.py --loco 4004 --day 2017-06-10</v>
      </c>
      <c r="AN154" s="154" t="str">
        <f t="shared" si="88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05:37:13"},{"id":29,"name":"Sharepoint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811</v>
      </c>
      <c r="B155" s="7">
        <v>4003</v>
      </c>
      <c r="C155" s="21" t="s">
        <v>204</v>
      </c>
      <c r="D155" s="21" t="s">
        <v>516</v>
      </c>
      <c r="E155" s="13">
        <v>42896.993993055556</v>
      </c>
      <c r="F155" s="13">
        <v>42896.998090277775</v>
      </c>
      <c r="G155" s="7">
        <v>1</v>
      </c>
      <c r="H155" s="21" t="s">
        <v>456</v>
      </c>
      <c r="I155" s="13">
        <v>42897.024942129632</v>
      </c>
      <c r="J155" s="7">
        <v>0</v>
      </c>
      <c r="K155" s="92" t="str">
        <f t="shared" si="71"/>
        <v>4003/4004</v>
      </c>
      <c r="L155" s="21" t="str">
        <f>VLOOKUP(A155,'Trips&amp;Operators'!$C$1:$G$99999,5,FALSE)</f>
        <v>LAMAR NEKESHA</v>
      </c>
      <c r="M155" s="6">
        <f t="shared" si="72"/>
        <v>2.6851851856918074E-2</v>
      </c>
      <c r="N155" s="7">
        <f t="shared" si="73"/>
        <v>38.666666673962027</v>
      </c>
      <c r="O155" s="7"/>
      <c r="P155" s="7"/>
      <c r="Q155" s="22"/>
      <c r="R155" s="173"/>
      <c r="S155" s="176">
        <f t="shared" si="74"/>
        <v>1</v>
      </c>
      <c r="T155" s="202" t="str">
        <f t="shared" si="75"/>
        <v>Southbound</v>
      </c>
      <c r="U155" s="202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03" t="str">
        <f t="shared" si="76"/>
        <v>https://d0f6bd738d7f1b3e5a7ca70fe4ff75f0.us-east-1.aws.found.io/app/kibana#/discover/Steve-Slow-Train-Analysis-(2080s-and-2083s)?_g=(refreshInterval:(display:Off,pause:!f,section:0,value:0),time:(from:'2017-06-10T22:51:21-0600',mode:absolute,to:'2017-06-11T01:35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5" s="204" t="str">
        <f t="shared" si="77"/>
        <v>N</v>
      </c>
      <c r="X155" s="204">
        <f t="shared" si="78"/>
        <v>1</v>
      </c>
      <c r="Y155" s="204">
        <f t="shared" si="79"/>
        <v>23.299399999999999</v>
      </c>
      <c r="Z155" s="204">
        <f t="shared" ref="Z155:Z186" si="89">RIGHT(H155,LEN(H155)-4)/10000</f>
        <v>1.5599999999999999E-2</v>
      </c>
      <c r="AA155" s="204">
        <f t="shared" si="80"/>
        <v>23.283799999999999</v>
      </c>
      <c r="AB155" s="57" t="e">
        <f>VLOOKUP(A155,Enforcements!$C$7:$K$13,8,0)</f>
        <v>#N/A</v>
      </c>
      <c r="AC155" s="53" t="e">
        <f>VLOOKUP(A155,Enforcements!$C$7:$E$13,3,0)</f>
        <v>#N/A</v>
      </c>
      <c r="AD155" s="54" t="str">
        <f t="shared" si="81"/>
        <v>0238-10</v>
      </c>
      <c r="AE155" s="80" t="str">
        <f t="shared" si="82"/>
        <v>aws s3 cp s3://rtdc.mdm.uploadarchive.raw/RTDC4003/ "%USERPROFILE%\AppData\Local\Temp\OnboardLogs"\RTDC4003\2017-06-10 --exclude "*" --recursive --include "*20170610*" &amp; "%USERPROFILE%\Documents\GitHub\mrs-test-scripts\Headless Mode &amp; Sideloading\WalkAndUnGZ.bat" "%USERPROFILE%\AppData\Local\Temp\OnboardLogs"\RTDC4003\2017-06-10 &amp; aws s3 cp s3://rtdc.mdm.uploadarchive.raw/RTDC4003/ "%USERPROFILE%\AppData\Local\Temp\OnboardLogs"\RTDC4003\2017-06-11 --exclude "*" --recursive --include "*20170611*" &amp; "%USERPROFILE%\Documents\GitHub\mrs-test-scripts\Headless Mode &amp; Sideloading\WalkAndUnGZ.bat" "%USERPROFILE%\AppData\Local\Temp\OnboardLogs"\RTDC4003\2017-06-11</v>
      </c>
      <c r="AF155" s="77" t="str">
        <f t="shared" si="83"/>
        <v>"C:\Program Files (x86)\AstroGrep\AstroGrep.exe" /e /r /s /spath="%USERPROFILE%\AppData\Local\Temp\OnboardLogs" /stypes="app*4003*20170611*" /stext=" 06:.+((SYSTEM_STATE.+slice.+state.+changed )|(ment ac)|(multiple cpu faults)|(system.+state.+changed )|(\[timeout)|(PRM\|1\|D)|(kpr)|(kdp)|(train st.+moving)|(\|lc)|(penalty))"</v>
      </c>
      <c r="AG155" s="1" t="str">
        <f t="shared" si="84"/>
        <v>EC</v>
      </c>
      <c r="AH155" s="81" t="str">
        <f t="shared" si="85"/>
        <v>"%USERPROFILE%\Documents\GitHub\eaglep3\Utilities\RefineRTDCRunTimes.py" --tripid 238-10 --locoid 4003 --swversion DE.1.0.9.0 --startMP 204:232994 --initTime 2017-06-10T23:51:21 --startdatetime 2017-06-10T23:57:15 --delay 1 --endMP 204:156 --enddatetime 2017-06-11T00:35:55 --enforcementcount 0 &gt;&gt;C:\Users\stu\Documents\GitHub\eaglep3-reporting\EC\2017-06-10-refined-times.txt</v>
      </c>
      <c r="AI155" s="99" t="str">
        <f t="shared" si="86"/>
        <v>echo {"issue":{"subject":"","project_id":79,"tracker_id":40,"status_id":1,"priority_id":2,"assigned_to_id":23,"start_date":"2017-06-11","description":"","custom_fields":[{"id":1,"name":"Subdivision","value":"EC"},{"id":4,"name":"Milepost","value":"0.0156"},{"id":17,"name":"Train ID","value":"238-10"},{"id":16,"name":"Locomotive ID","value":"4003"},{"id":130,"name":"Impact","value":""},{"id":150,"name":"Time of Event (Mountain Time)","value":"00:35:55"},{"id":151,"name":"Denver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5" t="str">
        <f t="shared" si="87"/>
        <v>start /low /b %USERPROFILE%\Documents\GitHub\eaglep3\Utilities\DownloadLogsFromS3.py --loco 4003 --day 2017-06-10</v>
      </c>
      <c r="AN155" s="154" t="str">
        <f t="shared" si="88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06:35:55"},{"id":29,"name":"Sharepoint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810</v>
      </c>
      <c r="B156" s="7">
        <v>4056</v>
      </c>
      <c r="C156" s="21" t="s">
        <v>204</v>
      </c>
      <c r="D156" s="21" t="s">
        <v>360</v>
      </c>
      <c r="E156" s="13">
        <v>42896.965138888889</v>
      </c>
      <c r="F156" s="13">
        <v>42896.979398148149</v>
      </c>
      <c r="G156" s="7">
        <v>1</v>
      </c>
      <c r="H156" s="21" t="s">
        <v>938</v>
      </c>
      <c r="I156" s="13">
        <v>42897.004293981481</v>
      </c>
      <c r="J156" s="7">
        <v>0</v>
      </c>
      <c r="K156" s="92" t="str">
        <f t="shared" si="71"/>
        <v>4055/4056</v>
      </c>
      <c r="L156" s="21" t="str">
        <f>VLOOKUP(A156,'Trips&amp;Operators'!$C$1:$G$99999,5,FALSE)</f>
        <v>SAFIEF AEIMEN</v>
      </c>
      <c r="M156" s="6">
        <f t="shared" si="72"/>
        <v>2.4895833332266193E-2</v>
      </c>
      <c r="N156" s="7">
        <f t="shared" si="73"/>
        <v>35.849999998463318</v>
      </c>
      <c r="O156" s="7"/>
      <c r="P156" s="7"/>
      <c r="Q156" s="22"/>
      <c r="R156" s="173"/>
      <c r="S156" s="176">
        <f t="shared" si="74"/>
        <v>1</v>
      </c>
      <c r="T156" s="202" t="str">
        <f t="shared" si="75"/>
        <v>NorthBound</v>
      </c>
      <c r="U156" s="202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03" t="str">
        <f t="shared" si="76"/>
        <v>https://d0f6bd738d7f1b3e5a7ca70fe4ff75f0.us-east-1.aws.found.io/app/kibana#/discover/Steve-Slow-Train-Analysis-(2080s-and-2083s)?_g=(refreshInterval:(display:Off,pause:!f,section:0,value:0),time:(from:'2017-06-10T22:09:48-0600',mode:absolute,to:'2017-06-11T01:06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56" s="204" t="str">
        <f t="shared" si="77"/>
        <v>N</v>
      </c>
      <c r="X156" s="204">
        <f t="shared" si="78"/>
        <v>1</v>
      </c>
      <c r="Y156" s="204">
        <f t="shared" si="79"/>
        <v>4.4699999999999997E-2</v>
      </c>
      <c r="Z156" s="204">
        <f t="shared" si="89"/>
        <v>23.335899999999999</v>
      </c>
      <c r="AA156" s="204">
        <f t="shared" si="80"/>
        <v>23.2912</v>
      </c>
      <c r="AB156" s="57" t="e">
        <f>VLOOKUP(A156,Enforcements!$C$7:$K$13,8,0)</f>
        <v>#N/A</v>
      </c>
      <c r="AC156" s="53" t="e">
        <f>VLOOKUP(A156,Enforcements!$C$7:$E$13,3,0)</f>
        <v>#N/A</v>
      </c>
      <c r="AD156" s="54" t="str">
        <f t="shared" si="81"/>
        <v>0239-10</v>
      </c>
      <c r="AE156" s="80" t="str">
        <f t="shared" si="82"/>
        <v>aws s3 cp s3://rtdc.mdm.uploadarchive.raw/RTDC4056/ "%USERPROFILE%\AppData\Local\Temp\OnboardLogs"\RTDC4056\2017-06-10 --exclude "*" --recursive --include "*20170610*" &amp; "%USERPROFILE%\Documents\GitHub\mrs-test-scripts\Headless Mode &amp; Sideloading\WalkAndUnGZ.bat" "%USERPROFILE%\AppData\Local\Temp\OnboardLogs"\RTDC4056\2017-06-10 &amp; aws s3 cp s3://rtdc.mdm.uploadarchive.raw/RTDC4056/ "%USERPROFILE%\AppData\Local\Temp\OnboardLogs"\RTDC4056\2017-06-11 --exclude "*" --recursive --include "*20170611*" &amp; "%USERPROFILE%\Documents\GitHub\mrs-test-scripts\Headless Mode &amp; Sideloading\WalkAndUnGZ.bat" "%USERPROFILE%\AppData\Local\Temp\OnboardLogs"\RTDC4056\2017-06-11</v>
      </c>
      <c r="AF156" s="77" t="str">
        <f t="shared" si="83"/>
        <v>"C:\Program Files (x86)\AstroGrep\AstroGrep.exe" /e /r /s /spath="%USERPROFILE%\AppData\Local\Temp\OnboardLogs" /stypes="app*4056*20170611*" /stext=" 06:.+((SYSTEM_STATE.+slice.+state.+changed )|(ment ac)|(multiple cpu faults)|(system.+state.+changed )|(\[timeout)|(PRM\|1\|D)|(kpr)|(kdp)|(train st.+moving)|(\|lc)|(penalty))"</v>
      </c>
      <c r="AG156" s="1" t="str">
        <f t="shared" si="84"/>
        <v>EC</v>
      </c>
      <c r="AH156" s="81" t="str">
        <f t="shared" si="85"/>
        <v>"%USERPROFILE%\Documents\GitHub\eaglep3\Utilities\RefineRTDCRunTimes.py" --tripid 239-10 --locoid 4056 --swversion DE.1.0.9.0 --startMP 204:447 --initTime 2017-06-10T23:09:48 --startdatetime 2017-06-10T23:30:20 --delay 1 --endMP 204:233359 --enddatetime 2017-06-11T00:06:11 --enforcementcount 0 &gt;&gt;C:\Users\stu\Documents\GitHub\eaglep3-reporting\EC\2017-06-10-refined-times.txt</v>
      </c>
      <c r="AI156" s="99" t="str">
        <f t="shared" si="86"/>
        <v>echo {"issue":{"subject":"","project_id":79,"tracker_id":40,"status_id":1,"priority_id":2,"assigned_to_id":23,"start_date":"2017-06-11","description":"","custom_fields":[{"id":1,"name":"Subdivision","value":"EC"},{"id":4,"name":"Milepost","value":"23.3359"},{"id":17,"name":"Train ID","value":"239-10"},{"id":16,"name":"Locomotive ID","value":"4056"},{"id":130,"name":"Impact","value":""},{"id":150,"name":"Time of Event (Mountain Time)","value":"00:06:11"},{"id":151,"name":"Denver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5" t="str">
        <f t="shared" si="87"/>
        <v>start /low /b %USERPROFILE%\Documents\GitHub\eaglep3\Utilities\DownloadLogsFromS3.py --loco 4056 --day 2017-06-10</v>
      </c>
      <c r="AN156" s="154" t="str">
        <f t="shared" si="88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06:06:11"},{"id":29,"name":"Sharepoint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814</v>
      </c>
      <c r="B157" s="7">
        <v>4055</v>
      </c>
      <c r="C157" s="21" t="s">
        <v>204</v>
      </c>
      <c r="D157" s="21" t="s">
        <v>953</v>
      </c>
      <c r="E157" s="13">
        <v>42897.006678240738</v>
      </c>
      <c r="F157" s="13">
        <v>42897.019016203703</v>
      </c>
      <c r="G157" s="7">
        <v>2</v>
      </c>
      <c r="H157" s="21" t="s">
        <v>456</v>
      </c>
      <c r="I157" s="13">
        <v>42897.045949074076</v>
      </c>
      <c r="J157" s="7">
        <v>0</v>
      </c>
      <c r="K157" s="92" t="str">
        <f t="shared" si="71"/>
        <v>4055/4056</v>
      </c>
      <c r="L157" s="21" t="str">
        <f>VLOOKUP(A157,'Trips&amp;Operators'!$C$1:$G$99999,5,FALSE)</f>
        <v>SAFIEF AEIMEN</v>
      </c>
      <c r="M157" s="6">
        <f t="shared" si="72"/>
        <v>2.6932870372547768E-2</v>
      </c>
      <c r="N157" s="7">
        <f t="shared" si="73"/>
        <v>38.783333336468786</v>
      </c>
      <c r="O157" s="7"/>
      <c r="P157" s="7"/>
      <c r="Q157" s="22"/>
      <c r="R157" s="173"/>
      <c r="S157" s="176">
        <f t="shared" si="74"/>
        <v>1</v>
      </c>
      <c r="T157" s="202" t="str">
        <f t="shared" si="75"/>
        <v>Southbound</v>
      </c>
      <c r="U157" s="202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03" t="str">
        <f t="shared" si="76"/>
        <v>https://d0f6bd738d7f1b3e5a7ca70fe4ff75f0.us-east-1.aws.found.io/app/kibana#/discover/Steve-Slow-Train-Analysis-(2080s-and-2083s)?_g=(refreshInterval:(display:Off,pause:!f,section:0,value:0),time:(from:'2017-06-10T23:09:37-0600',mode:absolute,to:'2017-06-11T02:06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57" s="204" t="str">
        <f t="shared" si="77"/>
        <v>N</v>
      </c>
      <c r="X157" s="204">
        <f t="shared" si="78"/>
        <v>1</v>
      </c>
      <c r="Y157" s="204">
        <f t="shared" si="79"/>
        <v>23.306899999999999</v>
      </c>
      <c r="Z157" s="204">
        <f t="shared" si="89"/>
        <v>1.5599999999999999E-2</v>
      </c>
      <c r="AA157" s="204">
        <f t="shared" si="80"/>
        <v>23.2913</v>
      </c>
      <c r="AB157" s="57" t="e">
        <f>VLOOKUP(A157,Enforcements!$C$7:$K$13,8,0)</f>
        <v>#N/A</v>
      </c>
      <c r="AC157" s="53" t="e">
        <f>VLOOKUP(A157,Enforcements!$C$7:$E$13,3,0)</f>
        <v>#N/A</v>
      </c>
      <c r="AD157" s="54" t="str">
        <f t="shared" si="81"/>
        <v>0240-10</v>
      </c>
      <c r="AE157" s="80" t="str">
        <f t="shared" si="82"/>
        <v>aws s3 cp s3://rtdc.mdm.uploadarchive.raw/RTDC4055/ "%USERPROFILE%\AppData\Local\Temp\OnboardLogs"\RTDC4055\2017-06-11 --exclude "*" --recursive --include "*20170611*" &amp; "%USERPROFILE%\Documents\GitHub\mrs-test-scripts\Headless Mode &amp; Sideloading\WalkAndUnGZ.bat" "%USERPROFILE%\AppData\Local\Temp\OnboardLogs"\RTDC4055\2017-06-11 &amp; aws s3 cp s3://rtdc.mdm.uploadarchive.raw/RTDC4055/ "%USERPROFILE%\AppData\Local\Temp\OnboardLogs"\RTDC4055\2017-06-12 --exclude "*" --recursive --include "*20170612*" &amp; "%USERPROFILE%\Documents\GitHub\mrs-test-scripts\Headless Mode &amp; Sideloading\WalkAndUnGZ.bat" "%USERPROFILE%\AppData\Local\Temp\OnboardLogs"\RTDC4055\2017-06-12</v>
      </c>
      <c r="AF157" s="77" t="str">
        <f t="shared" si="83"/>
        <v>"C:\Program Files (x86)\AstroGrep\AstroGrep.exe" /e /r /s /spath="%USERPROFILE%\AppData\Local\Temp\OnboardLogs" /stypes="app*4055*20170611*" /stext=" 07:.+((SYSTEM_STATE.+slice.+state.+changed )|(ment ac)|(multiple cpu faults)|(system.+state.+changed )|(\[timeout)|(PRM\|1\|D)|(kpr)|(kdp)|(train st.+moving)|(\|lc)|(penalty))"</v>
      </c>
      <c r="AG157" s="1" t="str">
        <f t="shared" si="84"/>
        <v>EC</v>
      </c>
      <c r="AH157" s="81" t="str">
        <f t="shared" si="85"/>
        <v>"%USERPROFILE%\Documents\GitHub\eaglep3\Utilities\RefineRTDCRunTimes.py" --tripid 240-10 --locoid 4055 --swversion DE.1.0.9.0 --startMP 204:233069 --initTime 2017-06-11T00:09:37 --startdatetime 2017-06-11T00:27:23 --delay 2 --endMP 204:156 --enddatetime 2017-06-11T01:06:10 --enforcementcount 0 &gt;&gt;C:\Users\stu\Documents\GitHub\eaglep3-reporting\EC\2017-06-10-refined-times.txt</v>
      </c>
      <c r="AI157" s="99" t="str">
        <f t="shared" si="86"/>
        <v>echo {"issue":{"subject":"","project_id":79,"tracker_id":40,"status_id":1,"priority_id":2,"assigned_to_id":23,"start_date":"2017-06-11","description":"","custom_fields":[{"id":1,"name":"Subdivision","value":"EC"},{"id":4,"name":"Milepost","value":"0.0156"},{"id":17,"name":"Train ID","value":"240-10"},{"id":16,"name":"Locomotive ID","value":"4055"},{"id":130,"name":"Impact","value":""},{"id":150,"name":"Time of Event (Mountain Time)","value":"01:06:10"},{"id":151,"name":"Denver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5" t="str">
        <f t="shared" si="87"/>
        <v>start /low /b %USERPROFILE%\Documents\GitHub\eaglep3\Utilities\DownloadLogsFromS3.py --loco 4055 --day 2017-06-11</v>
      </c>
      <c r="AN157" s="154" t="str">
        <f t="shared" si="88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07:06:10"},{"id":29,"name":"Sharepoint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x14ac:dyDescent="0.25">
      <c r="A158" s="32" t="s">
        <v>812</v>
      </c>
      <c r="B158" s="7">
        <v>4022</v>
      </c>
      <c r="C158" s="21" t="s">
        <v>204</v>
      </c>
      <c r="D158" s="21" t="s">
        <v>359</v>
      </c>
      <c r="E158" s="13">
        <v>42896.997546296298</v>
      </c>
      <c r="F158" s="13">
        <v>42897.000300925924</v>
      </c>
      <c r="G158" s="7">
        <v>1</v>
      </c>
      <c r="H158" s="21" t="s">
        <v>557</v>
      </c>
      <c r="I158" s="13">
        <v>42897.025821759256</v>
      </c>
      <c r="J158" s="7">
        <v>0</v>
      </c>
      <c r="K158" s="92" t="str">
        <f t="shared" si="71"/>
        <v>4021/4022</v>
      </c>
      <c r="L158" s="21" t="str">
        <f>VLOOKUP(A158,'Trips&amp;Operators'!$C$1:$G$99999,5,FALSE)</f>
        <v>MAGEE KENYA</v>
      </c>
      <c r="M158" s="6">
        <f t="shared" si="72"/>
        <v>2.5520833332848269E-2</v>
      </c>
      <c r="N158" s="7">
        <f t="shared" si="73"/>
        <v>36.749999999301508</v>
      </c>
      <c r="O158" s="7"/>
      <c r="P158" s="7"/>
      <c r="Q158" s="22"/>
      <c r="R158" s="173"/>
      <c r="S158" s="176">
        <f t="shared" si="74"/>
        <v>1</v>
      </c>
      <c r="T158" s="202" t="str">
        <f t="shared" si="75"/>
        <v>NorthBound</v>
      </c>
      <c r="U158" s="202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03" t="str">
        <f t="shared" si="76"/>
        <v>https://d0f6bd738d7f1b3e5a7ca70fe4ff75f0.us-east-1.aws.found.io/app/kibana#/discover/Steve-Slow-Train-Analysis-(2080s-and-2083s)?_g=(refreshInterval:(display:Off,pause:!f,section:0,value:0),time:(from:'2017-06-10T22:56:28-0600',mode:absolute,to:'2017-06-11T01:37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58" s="204" t="str">
        <f t="shared" si="77"/>
        <v>N</v>
      </c>
      <c r="X158" s="204">
        <f t="shared" si="78"/>
        <v>1</v>
      </c>
      <c r="Y158" s="204">
        <f t="shared" si="79"/>
        <v>4.53E-2</v>
      </c>
      <c r="Z158" s="204">
        <f t="shared" si="89"/>
        <v>23.336099999999998</v>
      </c>
      <c r="AA158" s="204">
        <f t="shared" si="80"/>
        <v>23.290799999999997</v>
      </c>
      <c r="AB158" s="57" t="e">
        <f>VLOOKUP(A158,Enforcements!$C$7:$K$13,8,0)</f>
        <v>#N/A</v>
      </c>
      <c r="AC158" s="53" t="e">
        <f>VLOOKUP(A158,Enforcements!$C$7:$E$13,3,0)</f>
        <v>#N/A</v>
      </c>
      <c r="AD158" s="54" t="str">
        <f t="shared" si="81"/>
        <v>0241-10</v>
      </c>
      <c r="AE158" s="80" t="str">
        <f t="shared" si="82"/>
        <v>aws s3 cp s3://rtdc.mdm.uploadarchive.raw/RTDC4022/ "%USERPROFILE%\AppData\Local\Temp\OnboardLogs"\RTDC4022\2017-06-11 --exclude "*" --recursive --include "*20170611*" &amp; "%USERPROFILE%\Documents\GitHub\mrs-test-scripts\Headless Mode &amp; Sideloading\WalkAndUnGZ.bat" "%USERPROFILE%\AppData\Local\Temp\OnboardLogs"\RTDC4022\2017-06-11 &amp; aws s3 cp s3://rtdc.mdm.uploadarchive.raw/RTDC4022/ "%USERPROFILE%\AppData\Local\Temp\OnboardLogs"\RTDC4022\2017-06-12 --exclude "*" --recursive --include "*20170612*" &amp; "%USERPROFILE%\Documents\GitHub\mrs-test-scripts\Headless Mode &amp; Sideloading\WalkAndUnGZ.bat" "%USERPROFILE%\AppData\Local\Temp\OnboardLogs"\RTDC4022\2017-06-12</v>
      </c>
      <c r="AF158" s="77" t="str">
        <f t="shared" si="83"/>
        <v>"C:\Program Files (x86)\AstroGrep\AstroGrep.exe" /e /r /s /spath="%USERPROFILE%\AppData\Local\Temp\OnboardLogs" /stypes="app*4022*20170611*" /stext=" 06:.+((SYSTEM_STATE.+slice.+state.+changed )|(ment ac)|(multiple cpu faults)|(system.+state.+changed )|(\[timeout)|(PRM\|1\|D)|(kpr)|(kdp)|(train st.+moving)|(\|lc)|(penalty))"</v>
      </c>
      <c r="AG158" s="1" t="str">
        <f t="shared" si="84"/>
        <v>EC</v>
      </c>
      <c r="AH158" s="81" t="str">
        <f t="shared" si="85"/>
        <v>"%USERPROFILE%\Documents\GitHub\eaglep3\Utilities\RefineRTDCRunTimes.py" --tripid 241-10 --locoid 4022 --swversion DE.1.0.9.0 --startMP 204:453 --initTime 2017-06-10T23:56:28 --startdatetime 2017-06-11T00:00:26 --delay 1 --endMP 204:233361 --enddatetime 2017-06-11T00:37:11 --enforcementcount 0 &gt;&gt;C:\Users\stu\Documents\GitHub\eaglep3-reporting\EC\2017-06-10-refined-times.txt</v>
      </c>
      <c r="AI158" s="99" t="str">
        <f t="shared" si="86"/>
        <v>echo {"issue":{"subject":"","project_id":79,"tracker_id":40,"status_id":1,"priority_id":2,"assigned_to_id":23,"start_date":"2017-06-11","description":"","custom_fields":[{"id":1,"name":"Subdivision","value":"EC"},{"id":4,"name":"Milepost","value":"23.3361"},{"id":17,"name":"Train ID","value":"241-10"},{"id":16,"name":"Locomotive ID","value":"4022"},{"id":130,"name":"Impact","value":""},{"id":150,"name":"Time of Event (Mountain Time)","value":"00:37:11"},{"id":151,"name":"Denver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20"/>
      <c r="AK158" s="47"/>
      <c r="AL158" s="47"/>
      <c r="AM158" s="145" t="str">
        <f t="shared" si="87"/>
        <v>start /low /b %USERPROFILE%\Documents\GitHub\eaglep3\Utilities\DownloadLogsFromS3.py --loco 4022 --day 2017-06-11</v>
      </c>
      <c r="AN158" s="154" t="str">
        <f t="shared" si="88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06:37:11"},{"id":29,"name":"Sharepoint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9" spans="1:91" s="20" customFormat="1" x14ac:dyDescent="0.25">
      <c r="A159" s="32" t="s">
        <v>815</v>
      </c>
      <c r="B159" s="7">
        <v>4021</v>
      </c>
      <c r="C159" s="21" t="s">
        <v>204</v>
      </c>
      <c r="D159" s="21" t="s">
        <v>954</v>
      </c>
      <c r="E159" s="13">
        <v>42897.035358796296</v>
      </c>
      <c r="F159" s="13">
        <v>42897.039814814816</v>
      </c>
      <c r="G159" s="7">
        <v>1</v>
      </c>
      <c r="H159" s="21" t="s">
        <v>361</v>
      </c>
      <c r="I159" s="13">
        <v>42897.066134259258</v>
      </c>
      <c r="J159" s="7">
        <v>0</v>
      </c>
      <c r="K159" s="92" t="str">
        <f t="shared" si="71"/>
        <v>4021/4022</v>
      </c>
      <c r="L159" s="21" t="str">
        <f>VLOOKUP(A159,'Trips&amp;Operators'!$C$1:$G$99999,5,FALSE)</f>
        <v>MAGEE KENYA</v>
      </c>
      <c r="M159" s="6">
        <f t="shared" si="72"/>
        <v>2.6319444441469386E-2</v>
      </c>
      <c r="N159" s="7">
        <f t="shared" si="73"/>
        <v>37.899999995715916</v>
      </c>
      <c r="O159" s="7"/>
      <c r="P159" s="7"/>
      <c r="Q159" s="22"/>
      <c r="R159" s="173"/>
      <c r="S159" s="176">
        <f t="shared" si="74"/>
        <v>1</v>
      </c>
      <c r="T159" s="202" t="str">
        <f t="shared" si="75"/>
        <v>Southbound</v>
      </c>
      <c r="U159" s="202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203" t="str">
        <f t="shared" si="76"/>
        <v>https://d0f6bd738d7f1b3e5a7ca70fe4ff75f0.us-east-1.aws.found.io/app/kibana#/discover/Steve-Slow-Train-Analysis-(2080s-and-2083s)?_g=(refreshInterval:(display:Off,pause:!f,section:0,value:0),time:(from:'2017-06-10T23:50:55-0600',mode:absolute,to:'2017-06-11T02:35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59" s="204" t="str">
        <f t="shared" si="77"/>
        <v>N</v>
      </c>
      <c r="X159" s="204">
        <f t="shared" si="78"/>
        <v>1</v>
      </c>
      <c r="Y159" s="204">
        <f t="shared" si="79"/>
        <v>23.302800000000001</v>
      </c>
      <c r="Z159" s="204">
        <f t="shared" si="89"/>
        <v>1.3899999999999999E-2</v>
      </c>
      <c r="AA159" s="204">
        <f t="shared" si="80"/>
        <v>23.288900000000002</v>
      </c>
      <c r="AB159" s="57" t="e">
        <f>VLOOKUP(A159,Enforcements!$C$7:$K$13,8,0)</f>
        <v>#N/A</v>
      </c>
      <c r="AC159" s="53" t="e">
        <f>VLOOKUP(A159,Enforcements!$C$7:$E$13,3,0)</f>
        <v>#N/A</v>
      </c>
      <c r="AD159" s="54" t="str">
        <f t="shared" si="81"/>
        <v>0242-10</v>
      </c>
      <c r="AE159" s="80" t="str">
        <f t="shared" si="82"/>
        <v>aws s3 cp s3://rtdc.mdm.uploadarchive.raw/RTDC4021/ "%USERPROFILE%\AppData\Local\Temp\OnboardLogs"\RTDC4021\2017-06-11 --exclude "*" --recursive --include "*20170611*" &amp; "%USERPROFILE%\Documents\GitHub\mrs-test-scripts\Headless Mode &amp; Sideloading\WalkAndUnGZ.bat" "%USERPROFILE%\AppData\Local\Temp\OnboardLogs"\RTDC4021\2017-06-11 &amp; aws s3 cp s3://rtdc.mdm.uploadarchive.raw/RTDC4021/ "%USERPROFILE%\AppData\Local\Temp\OnboardLogs"\RTDC4021\2017-06-12 --exclude "*" --recursive --include "*20170612*" &amp; "%USERPROFILE%\Documents\GitHub\mrs-test-scripts\Headless Mode &amp; Sideloading\WalkAndUnGZ.bat" "%USERPROFILE%\AppData\Local\Temp\OnboardLogs"\RTDC4021\2017-06-12</v>
      </c>
      <c r="AF159" s="77" t="str">
        <f t="shared" si="83"/>
        <v>"C:\Program Files (x86)\AstroGrep\AstroGrep.exe" /e /r /s /spath="%USERPROFILE%\AppData\Local\Temp\OnboardLogs" /stypes="app*4021*20170611*" /stext=" 07:.+((SYSTEM_STATE.+slice.+state.+changed )|(ment ac)|(multiple cpu faults)|(system.+state.+changed )|(\[timeout)|(PRM\|1\|D)|(kpr)|(kdp)|(train st.+moving)|(\|lc)|(penalty))"</v>
      </c>
      <c r="AG159" s="1" t="str">
        <f t="shared" si="84"/>
        <v>EC</v>
      </c>
      <c r="AH159" s="81" t="str">
        <f t="shared" si="85"/>
        <v>"%USERPROFILE%\Documents\GitHub\eaglep3\Utilities\RefineRTDCRunTimes.py" --tripid 242-10 --locoid 4021 --swversion DE.1.0.9.0 --startMP 204:233028 --initTime 2017-06-11T00:50:55 --startdatetime 2017-06-11T00:57:20 --delay 1 --endMP 204:139 --enddatetime 2017-06-11T01:35:14 --enforcementcount 0 &gt;&gt;C:\Users\stu\Documents\GitHub\eaglep3-reporting\EC\2017-06-10-refined-times.txt</v>
      </c>
      <c r="AI159" s="99" t="str">
        <f t="shared" si="86"/>
        <v>echo {"issue":{"subject":"","project_id":79,"tracker_id":40,"status_id":1,"priority_id":2,"assigned_to_id":23,"start_date":"2017-06-11","description":"","custom_fields":[{"id":1,"name":"Subdivision","value":"EC"},{"id":4,"name":"Milepost","value":"0.0139"},{"id":17,"name":"Train ID","value":"242-10"},{"id":16,"name":"Locomotive ID","value":"4021"},{"id":130,"name":"Impact","value":""},{"id":150,"name":"Time of Event (Mountain Time)","value":"01:35:14"},{"id":151,"name":"Denver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5" t="str">
        <f t="shared" si="87"/>
        <v>start /low /b %USERPROFILE%\Documents\GitHub\eaglep3\Utilities\DownloadLogsFromS3.py --loco 4021 --day 2017-06-11</v>
      </c>
      <c r="AN159" s="154" t="str">
        <f t="shared" si="88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07:35:14"},{"id":29,"name":"Sharepoint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813</v>
      </c>
      <c r="B160" s="7">
        <v>4028</v>
      </c>
      <c r="C160" s="21" t="s">
        <v>204</v>
      </c>
      <c r="D160" s="21" t="s">
        <v>471</v>
      </c>
      <c r="E160" s="13">
        <v>42897.005196759259</v>
      </c>
      <c r="F160" s="13">
        <v>42897.020983796298</v>
      </c>
      <c r="G160" s="7">
        <v>1</v>
      </c>
      <c r="H160" s="21" t="s">
        <v>945</v>
      </c>
      <c r="I160" s="13">
        <v>42897.045810185184</v>
      </c>
      <c r="J160" s="7">
        <v>0</v>
      </c>
      <c r="K160" s="92" t="str">
        <f t="shared" si="71"/>
        <v>4027/4028</v>
      </c>
      <c r="L160" s="21" t="str">
        <f>VLOOKUP(A160,'Trips&amp;Operators'!$C$1:$G$99999,5,FALSE)</f>
        <v>FORTUNATO FRANK</v>
      </c>
      <c r="M160" s="6">
        <f t="shared" si="72"/>
        <v>2.4826388886140194E-2</v>
      </c>
      <c r="N160" s="7">
        <f t="shared" si="73"/>
        <v>35.749999996041879</v>
      </c>
      <c r="O160" s="7"/>
      <c r="P160" s="7"/>
      <c r="Q160" s="22"/>
      <c r="R160" s="173"/>
      <c r="S160" s="176">
        <f t="shared" si="74"/>
        <v>1</v>
      </c>
      <c r="T160" s="202" t="str">
        <f t="shared" si="75"/>
        <v>NorthBound</v>
      </c>
      <c r="U160" s="202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203" t="str">
        <f t="shared" si="76"/>
        <v>https://d0f6bd738d7f1b3e5a7ca70fe4ff75f0.us-east-1.aws.found.io/app/kibana#/discover/Steve-Slow-Train-Analysis-(2080s-and-2083s)?_g=(refreshInterval:(display:Off,pause:!f,section:0,value:0),time:(from:'2017-06-10T23:07:29-0600',mode:absolute,to:'2017-06-11T02:05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60" s="204" t="str">
        <f t="shared" si="77"/>
        <v>N</v>
      </c>
      <c r="X160" s="204">
        <f t="shared" si="78"/>
        <v>1</v>
      </c>
      <c r="Y160" s="204">
        <f t="shared" si="79"/>
        <v>4.4400000000000002E-2</v>
      </c>
      <c r="Z160" s="204">
        <f t="shared" si="89"/>
        <v>23.337599999999998</v>
      </c>
      <c r="AA160" s="204">
        <f t="shared" si="80"/>
        <v>23.293199999999999</v>
      </c>
      <c r="AB160" s="57" t="e">
        <f>VLOOKUP(A160,Enforcements!$C$7:$K$13,8,0)</f>
        <v>#N/A</v>
      </c>
      <c r="AC160" s="53" t="e">
        <f>VLOOKUP(A160,Enforcements!$C$7:$E$13,3,0)</f>
        <v>#N/A</v>
      </c>
      <c r="AD160" s="54" t="str">
        <f t="shared" si="81"/>
        <v>0243-10</v>
      </c>
      <c r="AE160" s="80" t="str">
        <f t="shared" si="82"/>
        <v>aws s3 cp s3://rtdc.mdm.uploadarchive.raw/RTDC4028/ "%USERPROFILE%\AppData\Local\Temp\OnboardLogs"\RTDC4028\2017-06-11 --exclude "*" --recursive --include "*20170611*" &amp; "%USERPROFILE%\Documents\GitHub\mrs-test-scripts\Headless Mode &amp; Sideloading\WalkAndUnGZ.bat" "%USERPROFILE%\AppData\Local\Temp\OnboardLogs"\RTDC4028\2017-06-11 &amp; aws s3 cp s3://rtdc.mdm.uploadarchive.raw/RTDC4028/ "%USERPROFILE%\AppData\Local\Temp\OnboardLogs"\RTDC4028\2017-06-12 --exclude "*" --recursive --include "*20170612*" &amp; "%USERPROFILE%\Documents\GitHub\mrs-test-scripts\Headless Mode &amp; Sideloading\WalkAndUnGZ.bat" "%USERPROFILE%\AppData\Local\Temp\OnboardLogs"\RTDC4028\2017-06-12</v>
      </c>
      <c r="AF160" s="77" t="str">
        <f t="shared" si="83"/>
        <v>"C:\Program Files (x86)\AstroGrep\AstroGrep.exe" /e /r /s /spath="%USERPROFILE%\AppData\Local\Temp\OnboardLogs" /stypes="app*4028*20170611*" /stext=" 07:.+((SYSTEM_STATE.+slice.+state.+changed )|(ment ac)|(multiple cpu faults)|(system.+state.+changed )|(\[timeout)|(PRM\|1\|D)|(kpr)|(kdp)|(train st.+moving)|(\|lc)|(penalty))"</v>
      </c>
      <c r="AG160" s="1" t="str">
        <f t="shared" si="84"/>
        <v>EC</v>
      </c>
      <c r="AH160" s="81" t="str">
        <f t="shared" si="85"/>
        <v>"%USERPROFILE%\Documents\GitHub\eaglep3\Utilities\RefineRTDCRunTimes.py" --tripid 243-10 --locoid 4028 --swversion DE.1.0.9.0 --startMP 204:444 --initTime 2017-06-11T00:07:29 --startdatetime 2017-06-11T00:30:13 --delay 1 --endMP 204:233376 --enddatetime 2017-06-11T01:05:58 --enforcementcount 0 &gt;&gt;C:\Users\stu\Documents\GitHub\eaglep3-reporting\EC\2017-06-10-refined-times.txt</v>
      </c>
      <c r="AI160" s="99" t="str">
        <f t="shared" si="86"/>
        <v>echo {"issue":{"subject":"","project_id":79,"tracker_id":40,"status_id":1,"priority_id":2,"assigned_to_id":23,"start_date":"2017-06-11","description":"","custom_fields":[{"id":1,"name":"Subdivision","value":"EC"},{"id":4,"name":"Milepost","value":"23.3376"},{"id":17,"name":"Train ID","value":"243-10"},{"id":16,"name":"Locomotive ID","value":"4028"},{"id":130,"name":"Impact","value":""},{"id":150,"name":"Time of Event (Mountain Time)","value":"01:05:58"},{"id":151,"name":"Denver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7"/>
      <c r="AL160" s="47"/>
      <c r="AM160" s="145" t="str">
        <f t="shared" si="87"/>
        <v>start /low /b %USERPROFILE%\Documents\GitHub\eaglep3\Utilities\DownloadLogsFromS3.py --loco 4028 --day 2017-06-11</v>
      </c>
      <c r="AN160" s="154" t="str">
        <f t="shared" si="88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07:05:58"},{"id":29,"name":"Sharepoint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2" t="s">
        <v>816</v>
      </c>
      <c r="B161" s="7">
        <v>4027</v>
      </c>
      <c r="C161" s="21" t="s">
        <v>204</v>
      </c>
      <c r="D161" s="21" t="s">
        <v>955</v>
      </c>
      <c r="E161" s="13">
        <v>42897.047233796293</v>
      </c>
      <c r="F161" s="13">
        <v>42897.060590277775</v>
      </c>
      <c r="G161" s="7">
        <v>1</v>
      </c>
      <c r="H161" s="21" t="s">
        <v>364</v>
      </c>
      <c r="I161" s="13">
        <v>42897.087604166663</v>
      </c>
      <c r="J161" s="7">
        <v>0</v>
      </c>
      <c r="K161" s="92" t="str">
        <f t="shared" si="71"/>
        <v>4027/4028</v>
      </c>
      <c r="L161" s="21" t="str">
        <f>VLOOKUP(A161,'Trips&amp;Operators'!$C$1:$G$99999,5,FALSE)</f>
        <v>FORTUNATO FRANK</v>
      </c>
      <c r="M161" s="6">
        <f t="shared" si="72"/>
        <v>2.7013888888177462E-2</v>
      </c>
      <c r="N161" s="7">
        <f t="shared" si="73"/>
        <v>38.899999998975545</v>
      </c>
      <c r="O161" s="7"/>
      <c r="P161" s="7"/>
      <c r="Q161" s="22"/>
      <c r="R161" s="173"/>
      <c r="S161" s="176">
        <f t="shared" si="74"/>
        <v>1</v>
      </c>
      <c r="T161" s="202" t="str">
        <f t="shared" si="75"/>
        <v>Southbound</v>
      </c>
      <c r="U161" s="202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203" t="str">
        <f t="shared" si="76"/>
        <v>https://d0f6bd738d7f1b3e5a7ca70fe4ff75f0.us-east-1.aws.found.io/app/kibana#/discover/Steve-Slow-Train-Analysis-(2080s-and-2083s)?_g=(refreshInterval:(display:Off,pause:!f,section:0,value:0),time:(from:'2017-06-11T00:08:01-0600',mode:absolute,to:'2017-06-11T03:06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1" s="204" t="str">
        <f t="shared" si="77"/>
        <v>N</v>
      </c>
      <c r="X161" s="204">
        <f t="shared" si="78"/>
        <v>1</v>
      </c>
      <c r="Y161" s="204">
        <f t="shared" si="79"/>
        <v>23.307200000000002</v>
      </c>
      <c r="Z161" s="204">
        <f t="shared" si="89"/>
        <v>1.47E-2</v>
      </c>
      <c r="AA161" s="204">
        <f t="shared" si="80"/>
        <v>23.2925</v>
      </c>
      <c r="AB161" s="57" t="e">
        <f>VLOOKUP(A161,Enforcements!$C$7:$K$13,8,0)</f>
        <v>#N/A</v>
      </c>
      <c r="AC161" s="53" t="e">
        <f>VLOOKUP(A161,Enforcements!$C$7:$E$13,3,0)</f>
        <v>#N/A</v>
      </c>
      <c r="AD161" s="54" t="str">
        <f t="shared" si="81"/>
        <v>0244-10</v>
      </c>
      <c r="AE161" s="80" t="str">
        <f t="shared" si="82"/>
        <v>aws s3 cp s3://rtdc.mdm.uploadarchive.raw/RTDC4027/ "%USERPROFILE%\AppData\Local\Temp\OnboardLogs"\RTDC4027\2017-06-11 --exclude "*" --recursive --include "*20170611*" &amp; "%USERPROFILE%\Documents\GitHub\mrs-test-scripts\Headless Mode &amp; Sideloading\WalkAndUnGZ.bat" "%USERPROFILE%\AppData\Local\Temp\OnboardLogs"\RTDC4027\2017-06-11 &amp; aws s3 cp s3://rtdc.mdm.uploadarchive.raw/RTDC4027/ "%USERPROFILE%\AppData\Local\Temp\OnboardLogs"\RTDC4027\2017-06-12 --exclude "*" --recursive --include "*20170612*" &amp; "%USERPROFILE%\Documents\GitHub\mrs-test-scripts\Headless Mode &amp; Sideloading\WalkAndUnGZ.bat" "%USERPROFILE%\AppData\Local\Temp\OnboardLogs"\RTDC4027\2017-06-12</v>
      </c>
      <c r="AF161" s="77" t="str">
        <f t="shared" si="83"/>
        <v>"C:\Program Files (x86)\AstroGrep\AstroGrep.exe" /e /r /s /spath="%USERPROFILE%\AppData\Local\Temp\OnboardLogs" /stypes="app*4027*20170611*" /stext=" 08:.+((SYSTEM_STATE.+slice.+state.+changed )|(ment ac)|(multiple cpu faults)|(system.+state.+changed )|(\[timeout)|(PRM\|1\|D)|(kpr)|(kdp)|(train st.+moving)|(\|lc)|(penalty))"</v>
      </c>
      <c r="AG161" s="1" t="str">
        <f t="shared" si="84"/>
        <v>EC</v>
      </c>
      <c r="AH161" s="81" t="str">
        <f t="shared" si="85"/>
        <v>"%USERPROFILE%\Documents\GitHub\eaglep3\Utilities\RefineRTDCRunTimes.py" --tripid 244-10 --locoid 4027 --swversion DE.1.0.9.0 --startMP 204:233072 --initTime 2017-06-11T01:08:01 --startdatetime 2017-06-11T01:27:15 --delay 1 --endMP 204:147 --enddatetime 2017-06-11T02:06:09 --enforcementcount 0 &gt;&gt;C:\Users\stu\Documents\GitHub\eaglep3-reporting\EC\2017-06-10-refined-times.txt</v>
      </c>
      <c r="AI161" s="99" t="str">
        <f t="shared" si="86"/>
        <v>echo {"issue":{"subject":"","project_id":79,"tracker_id":40,"status_id":1,"priority_id":2,"assigned_to_id":23,"start_date":"2017-06-11","description":"","custom_fields":[{"id":1,"name":"Subdivision","value":"EC"},{"id":4,"name":"Milepost","value":"0.0147"},{"id":17,"name":"Train ID","value":"244-10"},{"id":16,"name":"Locomotive ID","value":"4027"},{"id":130,"name":"Impact","value":""},{"id":150,"name":"Time of Event (Mountain Time)","value":"02:06:09"},{"id":151,"name":"Denver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20"/>
      <c r="AK161" s="47"/>
      <c r="AL161" s="47"/>
      <c r="AM161" s="145" t="str">
        <f t="shared" si="87"/>
        <v>start /low /b %USERPROFILE%\Documents\GitHub\eaglep3\Utilities\DownloadLogsFromS3.py --loco 4027 --day 2017-06-11</v>
      </c>
      <c r="AN161" s="154" t="str">
        <f t="shared" si="88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08:06:09"},{"id":29,"name":"Sharepoint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2" spans="1:91" x14ac:dyDescent="0.25">
      <c r="A162" s="32" t="s">
        <v>611</v>
      </c>
      <c r="B162" s="7">
        <v>4004</v>
      </c>
      <c r="C162" s="21" t="s">
        <v>204</v>
      </c>
      <c r="D162" s="21" t="s">
        <v>201</v>
      </c>
      <c r="E162" s="13">
        <v>42897.035775462966</v>
      </c>
      <c r="F162" s="13">
        <v>42897.041898148149</v>
      </c>
      <c r="G162" s="7">
        <v>2</v>
      </c>
      <c r="H162" s="21" t="s">
        <v>515</v>
      </c>
      <c r="I162" s="13">
        <v>42897.067685185182</v>
      </c>
      <c r="J162" s="7">
        <v>0</v>
      </c>
      <c r="K162" s="92" t="str">
        <f t="shared" si="71"/>
        <v>4003/4004</v>
      </c>
      <c r="L162" s="21" t="str">
        <f>VLOOKUP(A162,'Trips&amp;Operators'!$C$1:$G$99999,5,FALSE)</f>
        <v>LAMAR NEKESHA</v>
      </c>
      <c r="M162" s="6">
        <f t="shared" si="72"/>
        <v>2.5787037033296656E-2</v>
      </c>
      <c r="N162" s="7">
        <f t="shared" si="73"/>
        <v>37.133333327947184</v>
      </c>
      <c r="O162" s="7"/>
      <c r="P162" s="7"/>
      <c r="Q162" s="22"/>
      <c r="R162" s="173"/>
      <c r="S162" s="176">
        <f t="shared" si="74"/>
        <v>1</v>
      </c>
      <c r="T162" s="202" t="str">
        <f t="shared" si="75"/>
        <v>NorthBound</v>
      </c>
      <c r="U162" s="202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12</v>
      </c>
      <c r="V162" s="203" t="str">
        <f t="shared" si="76"/>
        <v>https://d0f6bd738d7f1b3e5a7ca70fe4ff75f0.us-east-1.aws.found.io/app/kibana#/discover/Steve-Slow-Train-Analysis-(2080s-and-2083s)?_g=(refreshInterval:(display:Off,pause:!f,section:0,value:0),time:(from:'2017-06-10T23:51:31-0600',mode:absolute,to:'2017-06-11T02:37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62" s="204" t="str">
        <f t="shared" si="77"/>
        <v>N</v>
      </c>
      <c r="X162" s="204">
        <f t="shared" si="78"/>
        <v>1</v>
      </c>
      <c r="Y162" s="204">
        <f t="shared" si="79"/>
        <v>4.5999999999999999E-2</v>
      </c>
      <c r="Z162" s="204">
        <f t="shared" si="89"/>
        <v>23.330400000000001</v>
      </c>
      <c r="AA162" s="204">
        <f t="shared" si="80"/>
        <v>23.284400000000002</v>
      </c>
      <c r="AB162" s="57" t="e">
        <f>VLOOKUP(A162,Enforcements!$C$7:$K$13,8,0)</f>
        <v>#N/A</v>
      </c>
      <c r="AC162" s="53" t="e">
        <f>VLOOKUP(A162,Enforcements!$C$7:$E$13,3,0)</f>
        <v>#N/A</v>
      </c>
      <c r="AD162" s="54" t="str">
        <f t="shared" si="81"/>
        <v>0245-10</v>
      </c>
      <c r="AE162" s="80" t="str">
        <f t="shared" si="82"/>
        <v>aws s3 cp s3://rtdc.mdm.uploadarchive.raw/RTDC4004/ "%USERPROFILE%\AppData\Local\Temp\OnboardLogs"\RTDC4004\2017-06-11 --exclude "*" --recursive --include "*20170611*" &amp; "%USERPROFILE%\Documents\GitHub\mrs-test-scripts\Headless Mode &amp; Sideloading\WalkAndUnGZ.bat" "%USERPROFILE%\AppData\Local\Temp\OnboardLogs"\RTDC4004\2017-06-11 &amp; aws s3 cp s3://rtdc.mdm.uploadarchive.raw/RTDC4004/ "%USERPROFILE%\AppData\Local\Temp\OnboardLogs"\RTDC4004\2017-06-12 --exclude "*" --recursive --include "*20170612*" &amp; "%USERPROFILE%\Documents\GitHub\mrs-test-scripts\Headless Mode &amp; Sideloading\WalkAndUnGZ.bat" "%USERPROFILE%\AppData\Local\Temp\OnboardLogs"\RTDC4004\2017-06-12</v>
      </c>
      <c r="AF162" s="77" t="str">
        <f t="shared" si="83"/>
        <v>"C:\Program Files (x86)\AstroGrep\AstroGrep.exe" /e /r /s /spath="%USERPROFILE%\AppData\Local\Temp\OnboardLogs" /stypes="app*4004*20170611*" /stext=" 07:.+((SYSTEM_STATE.+slice.+state.+changed )|(ment ac)|(multiple cpu faults)|(system.+state.+changed )|(\[timeout)|(PRM\|1\|D)|(kpr)|(kdp)|(train st.+moving)|(\|lc)|(penalty))"</v>
      </c>
      <c r="AG162" s="1" t="str">
        <f t="shared" si="84"/>
        <v>EC</v>
      </c>
      <c r="AH162" s="81" t="str">
        <f t="shared" si="85"/>
        <v>"%USERPROFILE%\Documents\GitHub\eaglep3\Utilities\RefineRTDCRunTimes.py" --tripid 245-10 --locoid 4004 --swversion DE.1.0.9.0 --startMP 204:460 --initTime 2017-06-11T00:51:31 --startdatetime 2017-06-11T01:00:20 --delay 2 --endMP 204:233304 --enddatetime 2017-06-11T01:37:28 --enforcementcount 0 &gt;&gt;C:\Users\stu\Documents\GitHub\eaglep3-reporting\EC\2017-06-10-refined-times.txt</v>
      </c>
      <c r="AI162" s="99" t="str">
        <f t="shared" si="86"/>
        <v>echo {"issue":{"subject":"","project_id":79,"tracker_id":40,"status_id":1,"priority_id":2,"assigned_to_id":23,"start_date":"2017-06-11","description":"","custom_fields":[{"id":1,"name":"Subdivision","value":"EC"},{"id":4,"name":"Milepost","value":"23.3304"},{"id":17,"name":"Train ID","value":"245-10"},{"id":16,"name":"Locomotive ID","value":"4004"},{"id":130,"name":"Impact","value":""},{"id":150,"name":"Time of Event (Mountain Time)","value":"01:37:28"},{"id":151,"name":"Denver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7"/>
      <c r="AL162" s="47"/>
      <c r="AM162" s="145" t="str">
        <f t="shared" si="87"/>
        <v>start /low /b %USERPROFILE%\Documents\GitHub\eaglep3\Utilities\DownloadLogsFromS3.py --loco 4004 --day 2017-06-11</v>
      </c>
      <c r="AN162" s="154" t="str">
        <f t="shared" si="88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07:37:28"},{"id":29,"name":"Sharepoint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3" spans="1:91" s="20" customFormat="1" x14ac:dyDescent="0.25">
      <c r="A163" s="32" t="s">
        <v>818</v>
      </c>
      <c r="B163" s="7">
        <v>4003</v>
      </c>
      <c r="C163" s="21" t="s">
        <v>204</v>
      </c>
      <c r="D163" s="21" t="s">
        <v>552</v>
      </c>
      <c r="E163" s="13">
        <v>42897.072314814817</v>
      </c>
      <c r="F163" s="13">
        <v>42897.081423611111</v>
      </c>
      <c r="G163" s="7">
        <v>1</v>
      </c>
      <c r="H163" s="21" t="s">
        <v>456</v>
      </c>
      <c r="I163" s="13">
        <v>42897.107847222222</v>
      </c>
      <c r="J163" s="7">
        <v>0</v>
      </c>
      <c r="K163" s="92" t="str">
        <f t="shared" si="71"/>
        <v>4003/4004</v>
      </c>
      <c r="L163" s="21" t="str">
        <f>VLOOKUP(A163,'Trips&amp;Operators'!$C$1:$G$99999,5,FALSE)</f>
        <v>LAMAR NEKESHA</v>
      </c>
      <c r="M163" s="6">
        <f t="shared" si="72"/>
        <v>2.6423611110658385E-2</v>
      </c>
      <c r="N163" s="7">
        <f t="shared" si="73"/>
        <v>38.049999999348074</v>
      </c>
      <c r="O163" s="7"/>
      <c r="P163" s="7"/>
      <c r="Q163" s="22"/>
      <c r="R163" s="173"/>
      <c r="S163" s="176">
        <f t="shared" si="74"/>
        <v>1</v>
      </c>
      <c r="T163" s="202" t="str">
        <f t="shared" si="75"/>
        <v>Southbound</v>
      </c>
      <c r="U163" s="202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12</v>
      </c>
      <c r="V163" s="203" t="str">
        <f t="shared" si="76"/>
        <v>https://d0f6bd738d7f1b3e5a7ca70fe4ff75f0.us-east-1.aws.found.io/app/kibana#/discover/Steve-Slow-Train-Analysis-(2080s-and-2083s)?_g=(refreshInterval:(display:Off,pause:!f,section:0,value:0),time:(from:'2017-06-11T00:44:08-0600',mode:absolute,to:'2017-06-11T03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63" s="204" t="str">
        <f t="shared" si="77"/>
        <v>N</v>
      </c>
      <c r="X163" s="204">
        <f t="shared" si="78"/>
        <v>1</v>
      </c>
      <c r="Y163" s="204">
        <f t="shared" si="79"/>
        <v>23.297899999999998</v>
      </c>
      <c r="Z163" s="204">
        <f t="shared" si="89"/>
        <v>1.5599999999999999E-2</v>
      </c>
      <c r="AA163" s="204">
        <f t="shared" si="80"/>
        <v>23.282299999999999</v>
      </c>
      <c r="AB163" s="57" t="e">
        <f>VLOOKUP(A163,Enforcements!$C$7:$K$13,8,0)</f>
        <v>#N/A</v>
      </c>
      <c r="AC163" s="53" t="e">
        <f>VLOOKUP(A163,Enforcements!$C$7:$E$13,3,0)</f>
        <v>#N/A</v>
      </c>
      <c r="AD163" s="54" t="str">
        <f t="shared" si="81"/>
        <v>0246-10</v>
      </c>
      <c r="AE163" s="80" t="str">
        <f t="shared" si="82"/>
        <v>aws s3 cp s3://rtdc.mdm.uploadarchive.raw/RTDC4003/ "%USERPROFILE%\AppData\Local\Temp\OnboardLogs"\RTDC4003\2017-06-11 --exclude "*" --recursive --include "*20170611*" &amp; "%USERPROFILE%\Documents\GitHub\mrs-test-scripts\Headless Mode &amp; Sideloading\WalkAndUnGZ.bat" "%USERPROFILE%\AppData\Local\Temp\OnboardLogs"\RTDC4003\2017-06-11 &amp; aws s3 cp s3://rtdc.mdm.uploadarchive.raw/RTDC4003/ "%USERPROFILE%\AppData\Local\Temp\OnboardLogs"\RTDC4003\2017-06-12 --exclude "*" --recursive --include "*20170612*" &amp; "%USERPROFILE%\Documents\GitHub\mrs-test-scripts\Headless Mode &amp; Sideloading\WalkAndUnGZ.bat" "%USERPROFILE%\AppData\Local\Temp\OnboardLogs"\RTDC4003\2017-06-12</v>
      </c>
      <c r="AF163" s="77" t="str">
        <f t="shared" si="83"/>
        <v>"C:\Program Files (x86)\AstroGrep\AstroGrep.exe" /e /r /s /spath="%USERPROFILE%\AppData\Local\Temp\OnboardLogs" /stypes="app*4003*20170611*" /stext=" 08:.+((SYSTEM_STATE.+slice.+state.+changed )|(ment ac)|(multiple cpu faults)|(system.+state.+changed )|(\[timeout)|(PRM\|1\|D)|(kpr)|(kdp)|(train st.+moving)|(\|lc)|(penalty))"</v>
      </c>
      <c r="AG163" s="1" t="str">
        <f t="shared" si="84"/>
        <v>EC</v>
      </c>
      <c r="AH163" s="81" t="str">
        <f t="shared" si="85"/>
        <v>"%USERPROFILE%\Documents\GitHub\eaglep3\Utilities\RefineRTDCRunTimes.py" --tripid 246-10 --locoid 4003 --swversion DE.1.0.9.0 --startMP 204:232979 --initTime 2017-06-11T01:44:08 --startdatetime 2017-06-11T01:57:15 --delay 1 --endMP 204:156 --enddatetime 2017-06-11T02:35:18 --enforcementcount 0 &gt;&gt;C:\Users\stu\Documents\GitHub\eaglep3-reporting\EC\2017-06-10-refined-times.txt</v>
      </c>
      <c r="AI163" s="99" t="str">
        <f t="shared" si="86"/>
        <v>echo {"issue":{"subject":"","project_id":79,"tracker_id":40,"status_id":1,"priority_id":2,"assigned_to_id":23,"start_date":"2017-06-11","description":"","custom_fields":[{"id":1,"name":"Subdivision","value":"EC"},{"id":4,"name":"Milepost","value":"0.0156"},{"id":17,"name":"Train ID","value":"246-10"},{"id":16,"name":"Locomotive ID","value":"4003"},{"id":130,"name":"Impact","value":""},{"id":150,"name":"Time of Event (Mountain Time)","value":"02:35:18"},{"id":151,"name":"Denver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5" t="str">
        <f t="shared" si="87"/>
        <v>start /low /b %USERPROFILE%\Documents\GitHub\eaglep3\Utilities\DownloadLogsFromS3.py --loco 4003 --day 2017-06-11</v>
      </c>
      <c r="AN163" s="154" t="str">
        <f t="shared" si="88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08:35:18"},{"id":29,"name":"Sharepoint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2" t="s">
        <v>658</v>
      </c>
      <c r="B164" s="7">
        <v>4007</v>
      </c>
      <c r="C164" s="21" t="s">
        <v>204</v>
      </c>
      <c r="D164" s="21" t="s">
        <v>869</v>
      </c>
      <c r="E164" s="13">
        <v>42896.236192129632</v>
      </c>
      <c r="F164" s="13">
        <v>42896.237743055557</v>
      </c>
      <c r="G164" s="7">
        <v>1</v>
      </c>
      <c r="H164" s="21" t="s">
        <v>870</v>
      </c>
      <c r="I164" s="13">
        <v>42896.246620370373</v>
      </c>
      <c r="J164" s="7">
        <v>0</v>
      </c>
      <c r="K164" s="92" t="str">
        <f t="shared" si="71"/>
        <v>4007/4008</v>
      </c>
      <c r="L164" s="21" t="str">
        <f>VLOOKUP(A164,'Trips&amp;Operators'!$C$1:$G$99999,5,FALSE)</f>
        <v>MACDONALD THOMAS</v>
      </c>
      <c r="M164" s="6">
        <f t="shared" si="72"/>
        <v>8.8773148163454607E-3</v>
      </c>
      <c r="N164" s="7">
        <f t="shared" si="73"/>
        <v>12.783333335537463</v>
      </c>
      <c r="O164" s="7"/>
      <c r="P164" s="7"/>
      <c r="Q164" s="22"/>
      <c r="R164" s="173"/>
      <c r="S164" s="176">
        <f t="shared" si="74"/>
        <v>1</v>
      </c>
      <c r="T164" s="202" t="str">
        <f t="shared" si="75"/>
        <v>Southbound</v>
      </c>
      <c r="U164" s="202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03" t="str">
        <f t="shared" si="76"/>
        <v>https://d0f6bd738d7f1b3e5a7ca70fe4ff75f0.us-east-1.aws.found.io/app/kibana#/discover/Steve-Slow-Train-Analysis-(2080s-and-2083s)?_g=(refreshInterval:(display:Off,pause:!f,section:0,value:0),time:(from:'2017-06-10T04:40:07-0600',mode:absolute,to:'2017-06-10T06:55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4" s="204" t="str">
        <f t="shared" si="77"/>
        <v>N</v>
      </c>
      <c r="X164" s="204">
        <f t="shared" si="78"/>
        <v>1554</v>
      </c>
      <c r="Y164" s="204">
        <f t="shared" si="79"/>
        <v>5.8624000000000001</v>
      </c>
      <c r="Z164" s="204">
        <f t="shared" si="89"/>
        <v>7.4499999999999997E-2</v>
      </c>
      <c r="AA164" s="204">
        <f t="shared" si="80"/>
        <v>5.7879000000000005</v>
      </c>
      <c r="AB164" s="57" t="e">
        <f>VLOOKUP(A164,Enforcements!$C$7:$K$13,8,0)</f>
        <v>#N/A</v>
      </c>
      <c r="AC164" s="53" t="e">
        <f>VLOOKUP(A164,Enforcements!$C$7:$E$13,3,0)</f>
        <v>#N/A</v>
      </c>
      <c r="AD164" s="54" t="str">
        <f t="shared" si="81"/>
        <v>1800-10</v>
      </c>
      <c r="AE164" s="80" t="str">
        <f t="shared" si="82"/>
        <v>aws s3 cp s3://rtdc.mdm.uploadarchive.raw/RTDC4007/ "%USERPROFILE%\AppData\Local\Temp\OnboardLogs"\RTDC4007\2017-06-10 --exclude "*" --recursive --include "*20170610*" &amp; "%USERPROFILE%\Documents\GitHub\mrs-test-scripts\Headless Mode &amp; Sideloading\WalkAndUnGZ.bat" "%USERPROFILE%\AppData\Local\Temp\OnboardLogs"\RTDC4007\2017-06-10 &amp; aws s3 cp s3://rtdc.mdm.uploadarchive.raw/RTDC4007/ "%USERPROFILE%\AppData\Local\Temp\OnboardLogs"\RTDC4007\2017-06-11 --exclude "*" --recursive --include "*20170611*" &amp; "%USERPROFILE%\Documents\GitHub\mrs-test-scripts\Headless Mode &amp; Sideloading\WalkAndUnGZ.bat" "%USERPROFILE%\AppData\Local\Temp\OnboardLogs"\RTDC4007\2017-06-11</v>
      </c>
      <c r="AF164" s="77" t="str">
        <f t="shared" si="83"/>
        <v>"C:\Program Files (x86)\AstroGrep\AstroGrep.exe" /e /r /s /spath="%USERPROFILE%\AppData\Local\Temp\OnboardLogs" /stypes="app*4007*20170610*" /stext=" 11:.+((SYSTEM_STATE.+slice.+state.+changed )|(ment ac)|(multiple cpu faults)|(system.+state.+changed )|(\[timeout)|(PRM\|1\|D)|(kpr)|(kdp)|(train st.+moving)|(\|lc)|(penalty))"</v>
      </c>
      <c r="AG164" s="1" t="str">
        <f t="shared" si="84"/>
        <v>NW</v>
      </c>
      <c r="AH164" s="81" t="str">
        <f t="shared" si="85"/>
        <v>"%USERPROFILE%\Documents\GitHub\eaglep3\Utilities\RefineRTDCRunTimes.py" --tripid 1800-10 --locoid 4007 --swversion DE.1.0.9.0 --startMP 300:58624 --initTime 2017-06-10T05:40:07 --startdatetime 2017-06-10T05:42:21 --delay 1 --endMP 204:745 --enddatetime 2017-06-10T05:55:08 --enforcementcount 0 &gt;&gt;C:\Users\stu\Documents\GitHub\eaglep3-reporting\EC\2017-06-10-refined-times.txt</v>
      </c>
      <c r="AI164" s="99" t="str">
        <f t="shared" si="86"/>
        <v>echo {"issue":{"subject":"","project_id":79,"tracker_id":40,"status_id":1,"priority_id":2,"assigned_to_id":23,"start_date":"2017-06-10","description":"","custom_fields":[{"id":1,"name":"Subdivision","value":"NW"},{"id":4,"name":"Milepost","value":"0.0745"},{"id":17,"name":"Train ID","value":"1800-10"},{"id":16,"name":"Locomotive ID","value":"4007"},{"id":130,"name":"Impact","value":""},{"id":150,"name":"Time of Event (Mountain Time)","value":"05:55:08"},{"id":151,"name":"Denver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20"/>
      <c r="AK164" s="47"/>
      <c r="AL164" s="47"/>
      <c r="AM164" s="145" t="str">
        <f t="shared" si="87"/>
        <v>start /low /b %USERPROFILE%\Documents\GitHub\eaglep3\Utilities\DownloadLogsFromS3.py --loco 4007 --day 2017-06-10</v>
      </c>
      <c r="AN164" s="154" t="str">
        <f t="shared" si="88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11:55:08"},{"id":29,"name":"Sharepoint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5" spans="1:91" s="20" customFormat="1" x14ac:dyDescent="0.25">
      <c r="A165" s="32" t="s">
        <v>663</v>
      </c>
      <c r="B165" s="7">
        <v>4008</v>
      </c>
      <c r="C165" s="21" t="s">
        <v>204</v>
      </c>
      <c r="D165" s="21" t="s">
        <v>871</v>
      </c>
      <c r="E165" s="13">
        <v>42896.247569444444</v>
      </c>
      <c r="F165" s="13">
        <v>42896.264733796299</v>
      </c>
      <c r="G165" s="7">
        <v>0</v>
      </c>
      <c r="H165" s="21" t="s">
        <v>872</v>
      </c>
      <c r="I165" s="13">
        <v>42896.274027777778</v>
      </c>
      <c r="J165" s="7">
        <v>0</v>
      </c>
      <c r="K165" s="92" t="str">
        <f t="shared" si="71"/>
        <v>4007/4008</v>
      </c>
      <c r="L165" s="21" t="str">
        <f>VLOOKUP(A165,'Trips&amp;Operators'!$C$1:$G$99999,5,FALSE)</f>
        <v>MACDONALD THOMAS</v>
      </c>
      <c r="M165" s="6">
        <f t="shared" si="72"/>
        <v>9.29398147854954E-3</v>
      </c>
      <c r="N165" s="7">
        <f t="shared" si="73"/>
        <v>13.383333329111338</v>
      </c>
      <c r="O165" s="7"/>
      <c r="P165" s="7"/>
      <c r="Q165" s="22"/>
      <c r="R165" s="173"/>
      <c r="S165" s="176">
        <f t="shared" si="74"/>
        <v>1</v>
      </c>
      <c r="T165" s="202" t="str">
        <f t="shared" si="75"/>
        <v>NorthBound</v>
      </c>
      <c r="U165" s="202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03" t="str">
        <f t="shared" si="76"/>
        <v>https://d0f6bd738d7f1b3e5a7ca70fe4ff75f0.us-east-1.aws.found.io/app/kibana#/discover/Steve-Slow-Train-Analysis-(2080s-and-2083s)?_g=(refreshInterval:(display:Off,pause:!f,section:0,value:0),time:(from:'2017-06-10T04:56:30-0600',mode:absolute,to:'2017-06-10T07:34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5" s="204" t="str">
        <f t="shared" si="77"/>
        <v>N</v>
      </c>
      <c r="X165" s="204">
        <f t="shared" si="78"/>
        <v>1</v>
      </c>
      <c r="Y165" s="204">
        <f t="shared" si="79"/>
        <v>0.1028</v>
      </c>
      <c r="Z165" s="204">
        <f t="shared" si="89"/>
        <v>5.8936999999999999</v>
      </c>
      <c r="AA165" s="204">
        <f t="shared" si="80"/>
        <v>5.7908999999999997</v>
      </c>
      <c r="AB165" s="57" t="e">
        <f>VLOOKUP(A165,Enforcements!$C$7:$K$13,8,0)</f>
        <v>#N/A</v>
      </c>
      <c r="AC165" s="53" t="e">
        <f>VLOOKUP(A165,Enforcements!$C$7:$E$13,3,0)</f>
        <v>#N/A</v>
      </c>
      <c r="AD165" s="54" t="str">
        <f t="shared" si="81"/>
        <v>1801-10</v>
      </c>
      <c r="AE165" s="80" t="str">
        <f t="shared" si="82"/>
        <v>aws s3 cp s3://rtdc.mdm.uploadarchive.raw/RTDC4008/ "%USERPROFILE%\AppData\Local\Temp\OnboardLogs"\RTDC4008\2017-06-10 --exclude "*" --recursive --include "*20170610*" &amp; "%USERPROFILE%\Documents\GitHub\mrs-test-scripts\Headless Mode &amp; Sideloading\WalkAndUnGZ.bat" "%USERPROFILE%\AppData\Local\Temp\OnboardLogs"\RTDC4008\2017-06-10 &amp; aws s3 cp s3://rtdc.mdm.uploadarchive.raw/RTDC4008/ "%USERPROFILE%\AppData\Local\Temp\OnboardLogs"\RTDC4008\2017-06-11 --exclude "*" --recursive --include "*20170611*" &amp; "%USERPROFILE%\Documents\GitHub\mrs-test-scripts\Headless Mode &amp; Sideloading\WalkAndUnGZ.bat" "%USERPROFILE%\AppData\Local\Temp\OnboardLogs"\RTDC4008\2017-06-11</v>
      </c>
      <c r="AF165" s="77" t="str">
        <f t="shared" si="83"/>
        <v>"C:\Program Files (x86)\AstroGrep\AstroGrep.exe" /e /r /s /spath="%USERPROFILE%\AppData\Local\Temp\OnboardLogs" /stypes="app*4008*20170610*" /stext=" 12:.+((SYSTEM_STATE.+slice.+state.+changed )|(ment ac)|(multiple cpu faults)|(system.+state.+changed )|(\[timeout)|(PRM\|1\|D)|(kpr)|(kdp)|(train st.+moving)|(\|lc)|(penalty))"</v>
      </c>
      <c r="AG165" s="1" t="str">
        <f t="shared" si="84"/>
        <v>NW</v>
      </c>
      <c r="AH165" s="81" t="str">
        <f t="shared" si="85"/>
        <v>"%USERPROFILE%\Documents\GitHub\eaglep3\Utilities\RefineRTDCRunTimes.py" --tripid 1801-10 --locoid 4008 --swversion DE.1.0.9.0 --startMP 204:1028 --initTime 2017-06-10T05:56:30 --startdatetime 2017-06-10T06:21:13 --delay 0 --endMP 300:58937 --enddatetime 2017-06-10T06:34:36 --enforcementcount 0 &gt;&gt;C:\Users\stu\Documents\GitHub\eaglep3-reporting\EC\2017-06-10-refined-times.txt</v>
      </c>
      <c r="AI165" s="99" t="str">
        <f t="shared" si="86"/>
        <v>echo {"issue":{"subject":"","project_id":79,"tracker_id":40,"status_id":1,"priority_id":2,"assigned_to_id":23,"start_date":"2017-06-10","description":"","custom_fields":[{"id":1,"name":"Subdivision","value":"NW"},{"id":4,"name":"Milepost","value":"5.8937"},{"id":17,"name":"Train ID","value":"1801-10"},{"id":16,"name":"Locomotive ID","value":"4008"},{"id":130,"name":"Impact","value":""},{"id":150,"name":"Time of Event (Mountain Time)","value":"06:34:36"},{"id":151,"name":"Denver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5" t="str">
        <f t="shared" si="87"/>
        <v>start /low /b %USERPROFILE%\Documents\GitHub\eaglep3\Utilities\DownloadLogsFromS3.py --loco 4008 --day 2017-06-10</v>
      </c>
      <c r="AN165" s="154" t="str">
        <f t="shared" si="88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12:34:36"},{"id":29,"name":"Sharepoint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2" t="s">
        <v>671</v>
      </c>
      <c r="B166" s="7">
        <v>4007</v>
      </c>
      <c r="C166" s="21" t="s">
        <v>204</v>
      </c>
      <c r="D166" s="21" t="s">
        <v>488</v>
      </c>
      <c r="E166" s="13">
        <v>42896.27516203704</v>
      </c>
      <c r="F166" s="13">
        <v>42896.276458333334</v>
      </c>
      <c r="G166" s="7">
        <v>1</v>
      </c>
      <c r="H166" s="21" t="s">
        <v>873</v>
      </c>
      <c r="I166" s="13">
        <v>42896.288495370369</v>
      </c>
      <c r="J166" s="7">
        <v>0</v>
      </c>
      <c r="K166" s="92" t="str">
        <f t="shared" si="71"/>
        <v>4007/4008</v>
      </c>
      <c r="L166" s="21" t="str">
        <f>VLOOKUP(A166,'Trips&amp;Operators'!$C$1:$G$99999,5,FALSE)</f>
        <v>MACDONALD THOMAS</v>
      </c>
      <c r="M166" s="6">
        <f t="shared" si="72"/>
        <v>1.2037037035042886E-2</v>
      </c>
      <c r="N166" s="7">
        <f t="shared" si="73"/>
        <v>17.333333330461755</v>
      </c>
      <c r="O166" s="7"/>
      <c r="P166" s="7"/>
      <c r="Q166" s="22"/>
      <c r="R166" s="173"/>
      <c r="S166" s="176">
        <f t="shared" si="74"/>
        <v>1</v>
      </c>
      <c r="T166" s="202" t="str">
        <f t="shared" si="75"/>
        <v>Southbound</v>
      </c>
      <c r="U166" s="202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03" t="str">
        <f t="shared" si="76"/>
        <v>https://d0f6bd738d7f1b3e5a7ca70fe4ff75f0.us-east-1.aws.found.io/app/kibana#/discover/Steve-Slow-Train-Analysis-(2080s-and-2083s)?_g=(refreshInterval:(display:Off,pause:!f,section:0,value:0),time:(from:'2017-06-10T05:36:14-0600',mode:absolute,to:'2017-06-10T07:55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6" s="204" t="str">
        <f t="shared" si="77"/>
        <v>N</v>
      </c>
      <c r="X166" s="204">
        <f t="shared" si="78"/>
        <v>1</v>
      </c>
      <c r="Y166" s="204">
        <f t="shared" si="79"/>
        <v>5.8623000000000003</v>
      </c>
      <c r="Z166" s="204">
        <f t="shared" si="89"/>
        <v>7.0800000000000002E-2</v>
      </c>
      <c r="AA166" s="204">
        <f t="shared" si="80"/>
        <v>5.7915000000000001</v>
      </c>
      <c r="AB166" s="57" t="e">
        <f>VLOOKUP(A166,Enforcements!$C$7:$K$13,8,0)</f>
        <v>#N/A</v>
      </c>
      <c r="AC166" s="53" t="e">
        <f>VLOOKUP(A166,Enforcements!$C$7:$E$13,3,0)</f>
        <v>#N/A</v>
      </c>
      <c r="AD166" s="54" t="str">
        <f t="shared" si="81"/>
        <v>1802-10</v>
      </c>
      <c r="AE166" s="80" t="str">
        <f t="shared" si="82"/>
        <v>aws s3 cp s3://rtdc.mdm.uploadarchive.raw/RTDC4007/ "%USERPROFILE%\AppData\Local\Temp\OnboardLogs"\RTDC4007\2017-06-10 --exclude "*" --recursive --include "*20170610*" &amp; "%USERPROFILE%\Documents\GitHub\mrs-test-scripts\Headless Mode &amp; Sideloading\WalkAndUnGZ.bat" "%USERPROFILE%\AppData\Local\Temp\OnboardLogs"\RTDC4007\2017-06-10 &amp; aws s3 cp s3://rtdc.mdm.uploadarchive.raw/RTDC4007/ "%USERPROFILE%\AppData\Local\Temp\OnboardLogs"\RTDC4007\2017-06-11 --exclude "*" --recursive --include "*20170611*" &amp; "%USERPROFILE%\Documents\GitHub\mrs-test-scripts\Headless Mode &amp; Sideloading\WalkAndUnGZ.bat" "%USERPROFILE%\AppData\Local\Temp\OnboardLogs"\RTDC4007\2017-06-11</v>
      </c>
      <c r="AF166" s="77" t="str">
        <f t="shared" si="83"/>
        <v>"C:\Program Files (x86)\AstroGrep\AstroGrep.exe" /e /r /s /spath="%USERPROFILE%\AppData\Local\Temp\OnboardLogs" /stypes="app*4007*20170610*" /stext=" 12:.+((SYSTEM_STATE.+slice.+state.+changed )|(ment ac)|(multiple cpu faults)|(system.+state.+changed )|(\[timeout)|(PRM\|1\|D)|(kpr)|(kdp)|(train st.+moving)|(\|lc)|(penalty))"</v>
      </c>
      <c r="AG166" s="1" t="str">
        <f t="shared" si="84"/>
        <v>NW</v>
      </c>
      <c r="AH166" s="81" t="str">
        <f t="shared" si="85"/>
        <v>"%USERPROFILE%\Documents\GitHub\eaglep3\Utilities\RefineRTDCRunTimes.py" --tripid 1802-10 --locoid 4007 --swversion DE.1.0.9.0 --startMP 300:58623 --initTime 2017-06-10T06:36:14 --startdatetime 2017-06-10T06:38:06 --delay 1 --endMP 204:708 --enddatetime 2017-06-10T06:55:26 --enforcementcount 0 &gt;&gt;C:\Users\stu\Documents\GitHub\eaglep3-reporting\EC\2017-06-10-refined-times.txt</v>
      </c>
      <c r="AI166" s="99" t="str">
        <f t="shared" si="86"/>
        <v>echo {"issue":{"subject":"","project_id":79,"tracker_id":40,"status_id":1,"priority_id":2,"assigned_to_id":23,"start_date":"2017-06-10","description":"","custom_fields":[{"id":1,"name":"Subdivision","value":"NW"},{"id":4,"name":"Milepost","value":"0.0708"},{"id":17,"name":"Train ID","value":"1802-10"},{"id":16,"name":"Locomotive ID","value":"4007"},{"id":130,"name":"Impact","value":""},{"id":150,"name":"Time of Event (Mountain Time)","value":"06:55:26"},{"id":151,"name":"Denver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7"/>
      <c r="AL166" s="47"/>
      <c r="AM166" s="145" t="str">
        <f t="shared" si="87"/>
        <v>start /low /b %USERPROFILE%\Documents\GitHub\eaglep3\Utilities\DownloadLogsFromS3.py --loco 4007 --day 2017-06-10</v>
      </c>
      <c r="AN166" s="154" t="str">
        <f t="shared" si="88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12:55:26"},{"id":29,"name":"Sharepoint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7" spans="1:91" s="20" customFormat="1" x14ac:dyDescent="0.25">
      <c r="A167" s="32" t="s">
        <v>678</v>
      </c>
      <c r="B167" s="7">
        <v>4008</v>
      </c>
      <c r="C167" s="21" t="s">
        <v>204</v>
      </c>
      <c r="D167" s="21" t="s">
        <v>874</v>
      </c>
      <c r="E167" s="13">
        <v>42896.289594907408</v>
      </c>
      <c r="F167" s="13">
        <v>42896.306516203702</v>
      </c>
      <c r="G167" s="7">
        <v>1</v>
      </c>
      <c r="H167" s="21" t="s">
        <v>569</v>
      </c>
      <c r="I167" s="13">
        <v>42896.315879629627</v>
      </c>
      <c r="J167" s="7">
        <v>0</v>
      </c>
      <c r="K167" s="92" t="str">
        <f t="shared" si="71"/>
        <v>4007/4008</v>
      </c>
      <c r="L167" s="21" t="str">
        <f>VLOOKUP(A167,'Trips&amp;Operators'!$C$1:$G$99999,5,FALSE)</f>
        <v>MACDONALD THOMAS</v>
      </c>
      <c r="M167" s="6">
        <f t="shared" si="72"/>
        <v>9.3634259246755391E-3</v>
      </c>
      <c r="N167" s="7">
        <f t="shared" si="73"/>
        <v>13.483333331532776</v>
      </c>
      <c r="O167" s="7"/>
      <c r="P167" s="7"/>
      <c r="Q167" s="22"/>
      <c r="R167" s="173"/>
      <c r="S167" s="176">
        <f t="shared" si="74"/>
        <v>1</v>
      </c>
      <c r="T167" s="202" t="str">
        <f t="shared" si="75"/>
        <v>NorthBound</v>
      </c>
      <c r="U167" s="202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03" t="str">
        <f t="shared" si="76"/>
        <v>https://d0f6bd738d7f1b3e5a7ca70fe4ff75f0.us-east-1.aws.found.io/app/kibana#/discover/Steve-Slow-Train-Analysis-(2080s-and-2083s)?_g=(refreshInterval:(display:Off,pause:!f,section:0,value:0),time:(from:'2017-06-10T05:57:01-0600',mode:absolute,to:'2017-06-10T08:34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7" s="204" t="str">
        <f t="shared" si="77"/>
        <v>N</v>
      </c>
      <c r="X167" s="204">
        <f t="shared" si="78"/>
        <v>1</v>
      </c>
      <c r="Y167" s="204">
        <f t="shared" si="79"/>
        <v>0.1007</v>
      </c>
      <c r="Z167" s="204">
        <f t="shared" si="89"/>
        <v>5.8949999999999996</v>
      </c>
      <c r="AA167" s="204">
        <f t="shared" si="80"/>
        <v>5.7942999999999998</v>
      </c>
      <c r="AB167" s="57" t="e">
        <f>VLOOKUP(A167,Enforcements!$C$7:$K$13,8,0)</f>
        <v>#N/A</v>
      </c>
      <c r="AC167" s="53" t="e">
        <f>VLOOKUP(A167,Enforcements!$C$7:$E$13,3,0)</f>
        <v>#N/A</v>
      </c>
      <c r="AD167" s="54" t="str">
        <f t="shared" si="81"/>
        <v>1803-10</v>
      </c>
      <c r="AE167" s="80" t="str">
        <f t="shared" si="82"/>
        <v>aws s3 cp s3://rtdc.mdm.uploadarchive.raw/RTDC4008/ "%USERPROFILE%\AppData\Local\Temp\OnboardLogs"\RTDC4008\2017-06-10 --exclude "*" --recursive --include "*20170610*" &amp; "%USERPROFILE%\Documents\GitHub\mrs-test-scripts\Headless Mode &amp; Sideloading\WalkAndUnGZ.bat" "%USERPROFILE%\AppData\Local\Temp\OnboardLogs"\RTDC4008\2017-06-10 &amp; aws s3 cp s3://rtdc.mdm.uploadarchive.raw/RTDC4008/ "%USERPROFILE%\AppData\Local\Temp\OnboardLogs"\RTDC4008\2017-06-11 --exclude "*" --recursive --include "*20170611*" &amp; "%USERPROFILE%\Documents\GitHub\mrs-test-scripts\Headless Mode &amp; Sideloading\WalkAndUnGZ.bat" "%USERPROFILE%\AppData\Local\Temp\OnboardLogs"\RTDC4008\2017-06-11</v>
      </c>
      <c r="AF167" s="77" t="str">
        <f t="shared" si="83"/>
        <v>"C:\Program Files (x86)\AstroGrep\AstroGrep.exe" /e /r /s /spath="%USERPROFILE%\AppData\Local\Temp\OnboardLogs" /stypes="app*4008*20170610*" /stext=" 13:.+((SYSTEM_STATE.+slice.+state.+changed )|(ment ac)|(multiple cpu faults)|(system.+state.+changed )|(\[timeout)|(PRM\|1\|D)|(kpr)|(kdp)|(train st.+moving)|(\|lc)|(penalty))"</v>
      </c>
      <c r="AG167" s="1" t="str">
        <f t="shared" si="84"/>
        <v>NW</v>
      </c>
      <c r="AH167" s="81" t="str">
        <f t="shared" si="85"/>
        <v>"%USERPROFILE%\Documents\GitHub\eaglep3\Utilities\RefineRTDCRunTimes.py" --tripid 1803-10 --locoid 4008 --swversion DE.1.0.9.0 --startMP 204:1007 --initTime 2017-06-10T06:57:01 --startdatetime 2017-06-10T07:21:23 --delay 1 --endMP 300:58950 --enddatetime 2017-06-10T07:34:52 --enforcementcount 0 &gt;&gt;C:\Users\stu\Documents\GitHub\eaglep3-reporting\EC\2017-06-10-refined-times.txt</v>
      </c>
      <c r="AI167" s="99" t="str">
        <f t="shared" si="86"/>
        <v>echo {"issue":{"subject":"","project_id":79,"tracker_id":40,"status_id":1,"priority_id":2,"assigned_to_id":23,"start_date":"2017-06-10","description":"","custom_fields":[{"id":1,"name":"Subdivision","value":"NW"},{"id":4,"name":"Milepost","value":"5.895"},{"id":17,"name":"Train ID","value":"1803-10"},{"id":16,"name":"Locomotive ID","value":"4008"},{"id":130,"name":"Impact","value":""},{"id":150,"name":"Time of Event (Mountain Time)","value":"07:34:52"},{"id":151,"name":"Denver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5" t="str">
        <f t="shared" si="87"/>
        <v>start /low /b %USERPROFILE%\Documents\GitHub\eaglep3\Utilities\DownloadLogsFromS3.py --loco 4008 --day 2017-06-10</v>
      </c>
      <c r="AN167" s="154" t="str">
        <f t="shared" si="88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13:34:52"},{"id":29,"name":"Sharepoint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x14ac:dyDescent="0.25">
      <c r="A168" s="32" t="s">
        <v>682</v>
      </c>
      <c r="B168" s="7">
        <v>4007</v>
      </c>
      <c r="C168" s="21" t="s">
        <v>204</v>
      </c>
      <c r="D168" s="21" t="s">
        <v>875</v>
      </c>
      <c r="E168" s="13">
        <v>42896.316643518519</v>
      </c>
      <c r="F168" s="13">
        <v>42896.318113425928</v>
      </c>
      <c r="G168" s="7">
        <v>1</v>
      </c>
      <c r="H168" s="21" t="s">
        <v>876</v>
      </c>
      <c r="I168" s="13">
        <v>42896.329826388886</v>
      </c>
      <c r="J168" s="7">
        <v>0</v>
      </c>
      <c r="K168" s="92" t="str">
        <f t="shared" si="71"/>
        <v>4007/4008</v>
      </c>
      <c r="L168" s="21" t="str">
        <f>VLOOKUP(A168,'Trips&amp;Operators'!$C$1:$G$99999,5,FALSE)</f>
        <v>MACDONALD THOMAS</v>
      </c>
      <c r="M168" s="6">
        <f t="shared" si="72"/>
        <v>1.1712962957972195E-2</v>
      </c>
      <c r="N168" s="7">
        <f t="shared" si="73"/>
        <v>16.866666659479961</v>
      </c>
      <c r="O168" s="7"/>
      <c r="P168" s="7"/>
      <c r="Q168" s="22"/>
      <c r="R168" s="173"/>
      <c r="S168" s="176">
        <f t="shared" si="74"/>
        <v>1</v>
      </c>
      <c r="T168" s="202" t="str">
        <f t="shared" si="75"/>
        <v>Southbound</v>
      </c>
      <c r="U168" s="202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03" t="str">
        <f t="shared" si="76"/>
        <v>https://d0f6bd738d7f1b3e5a7ca70fe4ff75f0.us-east-1.aws.found.io/app/kibana#/discover/Steve-Slow-Train-Analysis-(2080s-and-2083s)?_g=(refreshInterval:(display:Off,pause:!f,section:0,value:0),time:(from:'2017-06-10T06:35:58-0600',mode:absolute,to:'2017-06-10T08:54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8" s="204" t="str">
        <f t="shared" si="77"/>
        <v>N</v>
      </c>
      <c r="X168" s="204">
        <f t="shared" si="78"/>
        <v>1</v>
      </c>
      <c r="Y168" s="204">
        <f t="shared" si="79"/>
        <v>5.8635999999999999</v>
      </c>
      <c r="Z168" s="204">
        <f t="shared" si="89"/>
        <v>7.8299999999999995E-2</v>
      </c>
      <c r="AA168" s="204">
        <f t="shared" si="80"/>
        <v>5.7853000000000003</v>
      </c>
      <c r="AB168" s="57" t="e">
        <f>VLOOKUP(A168,Enforcements!$C$7:$K$13,8,0)</f>
        <v>#N/A</v>
      </c>
      <c r="AC168" s="53" t="e">
        <f>VLOOKUP(A168,Enforcements!$C$7:$E$13,3,0)</f>
        <v>#N/A</v>
      </c>
      <c r="AD168" s="54" t="str">
        <f t="shared" si="81"/>
        <v>1804-10</v>
      </c>
      <c r="AE168" s="80" t="str">
        <f t="shared" si="82"/>
        <v>aws s3 cp s3://rtdc.mdm.uploadarchive.raw/RTDC4007/ "%USERPROFILE%\AppData\Local\Temp\OnboardLogs"\RTDC4007\2017-06-10 --exclude "*" --recursive --include "*20170610*" &amp; "%USERPROFILE%\Documents\GitHub\mrs-test-scripts\Headless Mode &amp; Sideloading\WalkAndUnGZ.bat" "%USERPROFILE%\AppData\Local\Temp\OnboardLogs"\RTDC4007\2017-06-10 &amp; aws s3 cp s3://rtdc.mdm.uploadarchive.raw/RTDC4007/ "%USERPROFILE%\AppData\Local\Temp\OnboardLogs"\RTDC4007\2017-06-11 --exclude "*" --recursive --include "*20170611*" &amp; "%USERPROFILE%\Documents\GitHub\mrs-test-scripts\Headless Mode &amp; Sideloading\WalkAndUnGZ.bat" "%USERPROFILE%\AppData\Local\Temp\OnboardLogs"\RTDC4007\2017-06-11</v>
      </c>
      <c r="AF168" s="77" t="str">
        <f t="shared" si="83"/>
        <v>"C:\Program Files (x86)\AstroGrep\AstroGrep.exe" /e /r /s /spath="%USERPROFILE%\AppData\Local\Temp\OnboardLogs" /stypes="app*4007*20170610*" /stext=" 13:.+((SYSTEM_STATE.+slice.+state.+changed )|(ment ac)|(multiple cpu faults)|(system.+state.+changed )|(\[timeout)|(PRM\|1\|D)|(kpr)|(kdp)|(train st.+moving)|(\|lc)|(penalty))"</v>
      </c>
      <c r="AG168" s="1" t="str">
        <f t="shared" si="84"/>
        <v>NW</v>
      </c>
      <c r="AH168" s="81" t="str">
        <f t="shared" si="85"/>
        <v>"%USERPROFILE%\Documents\GitHub\eaglep3\Utilities\RefineRTDCRunTimes.py" --tripid 1804-10 --locoid 4007 --swversion DE.1.0.9.0 --startMP 300:58636 --initTime 2017-06-10T07:35:58 --startdatetime 2017-06-10T07:38:05 --delay 1 --endMP 204:783 --enddatetime 2017-06-10T07:54:57 --enforcementcount 0 &gt;&gt;C:\Users\stu\Documents\GitHub\eaglep3-reporting\EC\2017-06-10-refined-times.txt</v>
      </c>
      <c r="AI168" s="99" t="str">
        <f t="shared" si="86"/>
        <v>echo {"issue":{"subject":"","project_id":79,"tracker_id":40,"status_id":1,"priority_id":2,"assigned_to_id":23,"start_date":"2017-06-10","description":"","custom_fields":[{"id":1,"name":"Subdivision","value":"NW"},{"id":4,"name":"Milepost","value":"0.0783"},{"id":17,"name":"Train ID","value":"1804-10"},{"id":16,"name":"Locomotive ID","value":"4007"},{"id":130,"name":"Impact","value":""},{"id":150,"name":"Time of Event (Mountain Time)","value":"07:54:57"},{"id":151,"name":"Denver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20"/>
      <c r="AK168" s="47"/>
      <c r="AL168" s="47"/>
      <c r="AM168" s="145" t="str">
        <f t="shared" si="87"/>
        <v>start /low /b %USERPROFILE%\Documents\GitHub\eaglep3\Utilities\DownloadLogsFromS3.py --loco 4007 --day 2017-06-10</v>
      </c>
      <c r="AN168" s="154" t="str">
        <f t="shared" si="88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13:54:57"},{"id":29,"name":"Sharepoint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9" spans="1:91" s="20" customFormat="1" x14ac:dyDescent="0.25">
      <c r="A169" s="32" t="s">
        <v>686</v>
      </c>
      <c r="B169" s="7">
        <v>4008</v>
      </c>
      <c r="C169" s="21" t="s">
        <v>204</v>
      </c>
      <c r="D169" s="21" t="s">
        <v>877</v>
      </c>
      <c r="E169" s="13">
        <v>42896.331736111111</v>
      </c>
      <c r="F169" s="13">
        <v>42896.348078703704</v>
      </c>
      <c r="G169" s="7">
        <v>1</v>
      </c>
      <c r="H169" s="21" t="s">
        <v>878</v>
      </c>
      <c r="I169" s="13">
        <v>42896.35728009259</v>
      </c>
      <c r="J169" s="7">
        <v>0</v>
      </c>
      <c r="K169" s="92" t="str">
        <f t="shared" si="71"/>
        <v>4007/4008</v>
      </c>
      <c r="L169" s="21" t="str">
        <f>VLOOKUP(A169,'Trips&amp;Operators'!$C$1:$G$99999,5,FALSE)</f>
        <v>MACDONALD THOMAS</v>
      </c>
      <c r="M169" s="6">
        <f t="shared" si="72"/>
        <v>9.2013888861401938E-3</v>
      </c>
      <c r="N169" s="7">
        <f t="shared" si="73"/>
        <v>13.249999996041879</v>
      </c>
      <c r="O169" s="7"/>
      <c r="P169" s="7"/>
      <c r="Q169" s="22"/>
      <c r="R169" s="173"/>
      <c r="S169" s="176">
        <f t="shared" si="74"/>
        <v>1</v>
      </c>
      <c r="T169" s="202" t="str">
        <f t="shared" si="75"/>
        <v>NorthBound</v>
      </c>
      <c r="U169" s="202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03" t="str">
        <f t="shared" si="76"/>
        <v>https://d0f6bd738d7f1b3e5a7ca70fe4ff75f0.us-east-1.aws.found.io/app/kibana#/discover/Steve-Slow-Train-Analysis-(2080s-and-2083s)?_g=(refreshInterval:(display:Off,pause:!f,section:0,value:0),time:(from:'2017-06-10T06:57:42-0600',mode:absolute,to:'2017-06-10T09:34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9" s="204" t="str">
        <f t="shared" si="77"/>
        <v>N</v>
      </c>
      <c r="X169" s="204">
        <f t="shared" si="78"/>
        <v>1</v>
      </c>
      <c r="Y169" s="204">
        <f t="shared" si="79"/>
        <v>0.1086</v>
      </c>
      <c r="Z169" s="204">
        <f t="shared" si="89"/>
        <v>5.8920000000000003</v>
      </c>
      <c r="AA169" s="204">
        <f t="shared" si="80"/>
        <v>5.7834000000000003</v>
      </c>
      <c r="AB169" s="57" t="e">
        <f>VLOOKUP(A169,Enforcements!$C$7:$K$13,8,0)</f>
        <v>#N/A</v>
      </c>
      <c r="AC169" s="53" t="e">
        <f>VLOOKUP(A169,Enforcements!$C$7:$E$13,3,0)</f>
        <v>#N/A</v>
      </c>
      <c r="AD169" s="54" t="str">
        <f t="shared" si="81"/>
        <v>1805-10</v>
      </c>
      <c r="AE169" s="80" t="str">
        <f t="shared" si="82"/>
        <v>aws s3 cp s3://rtdc.mdm.uploadarchive.raw/RTDC4008/ "%USERPROFILE%\AppData\Local\Temp\OnboardLogs"\RTDC4008\2017-06-10 --exclude "*" --recursive --include "*20170610*" &amp; "%USERPROFILE%\Documents\GitHub\mrs-test-scripts\Headless Mode &amp; Sideloading\WalkAndUnGZ.bat" "%USERPROFILE%\AppData\Local\Temp\OnboardLogs"\RTDC4008\2017-06-10 &amp; aws s3 cp s3://rtdc.mdm.uploadarchive.raw/RTDC4008/ "%USERPROFILE%\AppData\Local\Temp\OnboardLogs"\RTDC4008\2017-06-11 --exclude "*" --recursive --include "*20170611*" &amp; "%USERPROFILE%\Documents\GitHub\mrs-test-scripts\Headless Mode &amp; Sideloading\WalkAndUnGZ.bat" "%USERPROFILE%\AppData\Local\Temp\OnboardLogs"\RTDC4008\2017-06-11</v>
      </c>
      <c r="AF169" s="77" t="str">
        <f t="shared" si="83"/>
        <v>"C:\Program Files (x86)\AstroGrep\AstroGrep.exe" /e /r /s /spath="%USERPROFILE%\AppData\Local\Temp\OnboardLogs" /stypes="app*4008*20170610*" /stext=" 14:.+((SYSTEM_STATE.+slice.+state.+changed )|(ment ac)|(multiple cpu faults)|(system.+state.+changed )|(\[timeout)|(PRM\|1\|D)|(kpr)|(kdp)|(train st.+moving)|(\|lc)|(penalty))"</v>
      </c>
      <c r="AG169" s="1" t="str">
        <f t="shared" si="84"/>
        <v>NW</v>
      </c>
      <c r="AH169" s="81" t="str">
        <f t="shared" si="85"/>
        <v>"%USERPROFILE%\Documents\GitHub\eaglep3\Utilities\RefineRTDCRunTimes.py" --tripid 1805-10 --locoid 4008 --swversion DE.1.0.9.0 --startMP 204:1086 --initTime 2017-06-10T07:57:42 --startdatetime 2017-06-10T08:21:14 --delay 1 --endMP 300:58920 --enddatetime 2017-06-10T08:34:29 --enforcementcount 0 &gt;&gt;C:\Users\stu\Documents\GitHub\eaglep3-reporting\EC\2017-06-10-refined-times.txt</v>
      </c>
      <c r="AI169" s="99" t="str">
        <f t="shared" si="86"/>
        <v>echo {"issue":{"subject":"","project_id":79,"tracker_id":40,"status_id":1,"priority_id":2,"assigned_to_id":23,"start_date":"2017-06-10","description":"","custom_fields":[{"id":1,"name":"Subdivision","value":"NW"},{"id":4,"name":"Milepost","value":"5.892"},{"id":17,"name":"Train ID","value":"1805-10"},{"id":16,"name":"Locomotive ID","value":"4008"},{"id":130,"name":"Impact","value":""},{"id":150,"name":"Time of Event (Mountain Time)","value":"08:34:29"},{"id":151,"name":"Denver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5" t="str">
        <f t="shared" si="87"/>
        <v>start /low /b %USERPROFILE%\Documents\GitHub\eaglep3\Utilities\DownloadLogsFromS3.py --loco 4008 --day 2017-06-10</v>
      </c>
      <c r="AN169" s="154" t="str">
        <f t="shared" si="88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14:34:29"},{"id":29,"name":"Sharepoint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690</v>
      </c>
      <c r="B170" s="7">
        <v>4007</v>
      </c>
      <c r="C170" s="21" t="s">
        <v>204</v>
      </c>
      <c r="D170" s="21" t="s">
        <v>879</v>
      </c>
      <c r="E170" s="13">
        <v>42896.358055555553</v>
      </c>
      <c r="F170" s="13">
        <v>42896.359583333331</v>
      </c>
      <c r="G170" s="7">
        <v>1</v>
      </c>
      <c r="H170" s="21" t="s">
        <v>880</v>
      </c>
      <c r="I170" s="13">
        <v>42896.371516203704</v>
      </c>
      <c r="J170" s="7">
        <v>0</v>
      </c>
      <c r="K170" s="92" t="str">
        <f t="shared" si="71"/>
        <v>4007/4008</v>
      </c>
      <c r="L170" s="21" t="str">
        <f>VLOOKUP(A170,'Trips&amp;Operators'!$C$1:$G$99999,5,FALSE)</f>
        <v>MACDONALD THOMAS</v>
      </c>
      <c r="M170" s="6">
        <f t="shared" si="72"/>
        <v>1.1932870373129845E-2</v>
      </c>
      <c r="N170" s="7">
        <f t="shared" si="73"/>
        <v>17.183333337306976</v>
      </c>
      <c r="O170" s="7"/>
      <c r="P170" s="7"/>
      <c r="Q170" s="22"/>
      <c r="R170" s="173"/>
      <c r="S170" s="176">
        <f t="shared" si="74"/>
        <v>1</v>
      </c>
      <c r="T170" s="202" t="str">
        <f t="shared" si="75"/>
        <v>Southbound</v>
      </c>
      <c r="U170" s="202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03" t="str">
        <f t="shared" si="76"/>
        <v>https://d0f6bd738d7f1b3e5a7ca70fe4ff75f0.us-east-1.aws.found.io/app/kibana#/discover/Steve-Slow-Train-Analysis-(2080s-and-2083s)?_g=(refreshInterval:(display:Off,pause:!f,section:0,value:0),time:(from:'2017-06-10T07:35:36-0600',mode:absolute,to:'2017-06-10T09:54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0" s="204" t="str">
        <f t="shared" si="77"/>
        <v>N</v>
      </c>
      <c r="X170" s="204">
        <f t="shared" si="78"/>
        <v>1</v>
      </c>
      <c r="Y170" s="204">
        <f t="shared" si="79"/>
        <v>5.8592000000000004</v>
      </c>
      <c r="Z170" s="204">
        <f t="shared" si="89"/>
        <v>7.6200000000000004E-2</v>
      </c>
      <c r="AA170" s="204">
        <f t="shared" si="80"/>
        <v>5.7830000000000004</v>
      </c>
      <c r="AB170" s="57" t="e">
        <f>VLOOKUP(A170,Enforcements!$C$7:$K$13,8,0)</f>
        <v>#N/A</v>
      </c>
      <c r="AC170" s="53" t="e">
        <f>VLOOKUP(A170,Enforcements!$C$7:$E$13,3,0)</f>
        <v>#N/A</v>
      </c>
      <c r="AD170" s="54" t="str">
        <f t="shared" si="81"/>
        <v>1806-10</v>
      </c>
      <c r="AE170" s="80" t="str">
        <f t="shared" si="82"/>
        <v>aws s3 cp s3://rtdc.mdm.uploadarchive.raw/RTDC4007/ "%USERPROFILE%\AppData\Local\Temp\OnboardLogs"\RTDC4007\2017-06-10 --exclude "*" --recursive --include "*20170610*" &amp; "%USERPROFILE%\Documents\GitHub\mrs-test-scripts\Headless Mode &amp; Sideloading\WalkAndUnGZ.bat" "%USERPROFILE%\AppData\Local\Temp\OnboardLogs"\RTDC4007\2017-06-10 &amp; aws s3 cp s3://rtdc.mdm.uploadarchive.raw/RTDC4007/ "%USERPROFILE%\AppData\Local\Temp\OnboardLogs"\RTDC4007\2017-06-11 --exclude "*" --recursive --include "*20170611*" &amp; "%USERPROFILE%\Documents\GitHub\mrs-test-scripts\Headless Mode &amp; Sideloading\WalkAndUnGZ.bat" "%USERPROFILE%\AppData\Local\Temp\OnboardLogs"\RTDC4007\2017-06-11</v>
      </c>
      <c r="AF170" s="77" t="str">
        <f t="shared" si="83"/>
        <v>"C:\Program Files (x86)\AstroGrep\AstroGrep.exe" /e /r /s /spath="%USERPROFILE%\AppData\Local\Temp\OnboardLogs" /stypes="app*4007*20170610*" /stext=" 14:.+((SYSTEM_STATE.+slice.+state.+changed )|(ment ac)|(multiple cpu faults)|(system.+state.+changed )|(\[timeout)|(PRM\|1\|D)|(kpr)|(kdp)|(train st.+moving)|(\|lc)|(penalty))"</v>
      </c>
      <c r="AG170" s="1" t="str">
        <f t="shared" si="84"/>
        <v>NW</v>
      </c>
      <c r="AH170" s="81" t="str">
        <f t="shared" si="85"/>
        <v>"%USERPROFILE%\Documents\GitHub\eaglep3\Utilities\RefineRTDCRunTimes.py" --tripid 1806-10 --locoid 4007 --swversion DE.1.0.9.0 --startMP 300:58592 --initTime 2017-06-10T08:35:36 --startdatetime 2017-06-10T08:37:48 --delay 1 --endMP 204:762 --enddatetime 2017-06-10T08:54:59 --enforcementcount 0 &gt;&gt;C:\Users\stu\Documents\GitHub\eaglep3-reporting\EC\2017-06-10-refined-times.txt</v>
      </c>
      <c r="AI170" s="99" t="str">
        <f t="shared" si="86"/>
        <v>echo {"issue":{"subject":"","project_id":79,"tracker_id":40,"status_id":1,"priority_id":2,"assigned_to_id":23,"start_date":"2017-06-10","description":"","custom_fields":[{"id":1,"name":"Subdivision","value":"NW"},{"id":4,"name":"Milepost","value":"0.0762"},{"id":17,"name":"Train ID","value":"1806-10"},{"id":16,"name":"Locomotive ID","value":"4007"},{"id":130,"name":"Impact","value":""},{"id":150,"name":"Time of Event (Mountain Time)","value":"08:54:59"},{"id":151,"name":"Denver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7"/>
      <c r="AL170" s="47"/>
      <c r="AM170" s="145" t="str">
        <f t="shared" si="87"/>
        <v>start /low /b %USERPROFILE%\Documents\GitHub\eaglep3\Utilities\DownloadLogsFromS3.py --loco 4007 --day 2017-06-10</v>
      </c>
      <c r="AN170" s="154" t="str">
        <f t="shared" si="88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14:54:59"},{"id":29,"name":"Sharepoint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695</v>
      </c>
      <c r="B171" s="7">
        <v>4008</v>
      </c>
      <c r="C171" s="21" t="s">
        <v>204</v>
      </c>
      <c r="D171" s="21" t="s">
        <v>881</v>
      </c>
      <c r="E171" s="13">
        <v>42896.372476851851</v>
      </c>
      <c r="F171" s="13">
        <v>42896.390266203707</v>
      </c>
      <c r="G171" s="7">
        <v>1</v>
      </c>
      <c r="H171" s="21" t="s">
        <v>882</v>
      </c>
      <c r="I171" s="13">
        <v>42896.399236111109</v>
      </c>
      <c r="J171" s="7">
        <v>0</v>
      </c>
      <c r="K171" s="92" t="str">
        <f t="shared" si="71"/>
        <v>4007/4008</v>
      </c>
      <c r="L171" s="21" t="str">
        <f>VLOOKUP(A171,'Trips&amp;Operators'!$C$1:$G$99999,5,FALSE)</f>
        <v>MACDONALD THOMAS</v>
      </c>
      <c r="M171" s="6">
        <f t="shared" si="72"/>
        <v>8.9699074014788494E-3</v>
      </c>
      <c r="N171" s="7">
        <f t="shared" si="73"/>
        <v>12.916666658129543</v>
      </c>
      <c r="O171" s="7"/>
      <c r="P171" s="7"/>
      <c r="Q171" s="22"/>
      <c r="R171" s="173"/>
      <c r="S171" s="176">
        <f t="shared" si="74"/>
        <v>1</v>
      </c>
      <c r="T171" s="202" t="str">
        <f t="shared" si="75"/>
        <v>NorthBound</v>
      </c>
      <c r="U171" s="202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03" t="str">
        <f t="shared" si="76"/>
        <v>https://d0f6bd738d7f1b3e5a7ca70fe4ff75f0.us-east-1.aws.found.io/app/kibana#/discover/Steve-Slow-Train-Analysis-(2080s-and-2083s)?_g=(refreshInterval:(display:Off,pause:!f,section:0,value:0),time:(from:'2017-06-10T07:56:22-0600',mode:absolute,to:'2017-06-10T10:34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1" s="204" t="str">
        <f t="shared" si="77"/>
        <v>N</v>
      </c>
      <c r="X171" s="204">
        <f t="shared" si="78"/>
        <v>1</v>
      </c>
      <c r="Y171" s="204">
        <f t="shared" si="79"/>
        <v>0.1056</v>
      </c>
      <c r="Z171" s="204">
        <f t="shared" si="89"/>
        <v>5.8925999999999998</v>
      </c>
      <c r="AA171" s="204">
        <f t="shared" si="80"/>
        <v>5.7869999999999999</v>
      </c>
      <c r="AB171" s="57" t="e">
        <f>VLOOKUP(A171,Enforcements!$C$7:$K$13,8,0)</f>
        <v>#N/A</v>
      </c>
      <c r="AC171" s="53" t="e">
        <f>VLOOKUP(A171,Enforcements!$C$7:$E$13,3,0)</f>
        <v>#N/A</v>
      </c>
      <c r="AD171" s="54" t="str">
        <f t="shared" si="81"/>
        <v>1807-10</v>
      </c>
      <c r="AE171" s="80" t="str">
        <f t="shared" si="82"/>
        <v>aws s3 cp s3://rtdc.mdm.uploadarchive.raw/RTDC4008/ "%USERPROFILE%\AppData\Local\Temp\OnboardLogs"\RTDC4008\2017-06-10 --exclude "*" --recursive --include "*20170610*" &amp; "%USERPROFILE%\Documents\GitHub\mrs-test-scripts\Headless Mode &amp; Sideloading\WalkAndUnGZ.bat" "%USERPROFILE%\AppData\Local\Temp\OnboardLogs"\RTDC4008\2017-06-10 &amp; aws s3 cp s3://rtdc.mdm.uploadarchive.raw/RTDC4008/ "%USERPROFILE%\AppData\Local\Temp\OnboardLogs"\RTDC4008\2017-06-11 --exclude "*" --recursive --include "*20170611*" &amp; "%USERPROFILE%\Documents\GitHub\mrs-test-scripts\Headless Mode &amp; Sideloading\WalkAndUnGZ.bat" "%USERPROFILE%\AppData\Local\Temp\OnboardLogs"\RTDC4008\2017-06-11</v>
      </c>
      <c r="AF171" s="77" t="str">
        <f t="shared" si="83"/>
        <v>"C:\Program Files (x86)\AstroGrep\AstroGrep.exe" /e /r /s /spath="%USERPROFILE%\AppData\Local\Temp\OnboardLogs" /stypes="app*4008*20170610*" /stext=" 15:.+((SYSTEM_STATE.+slice.+state.+changed )|(ment ac)|(multiple cpu faults)|(system.+state.+changed )|(\[timeout)|(PRM\|1\|D)|(kpr)|(kdp)|(train st.+moving)|(\|lc)|(penalty))"</v>
      </c>
      <c r="AG171" s="1" t="str">
        <f t="shared" si="84"/>
        <v>NW</v>
      </c>
      <c r="AH171" s="81" t="str">
        <f t="shared" si="85"/>
        <v>"%USERPROFILE%\Documents\GitHub\eaglep3\Utilities\RefineRTDCRunTimes.py" --tripid 1807-10 --locoid 4008 --swversion DE.1.0.9.0 --startMP 204:1056 --initTime 2017-06-10T08:56:22 --startdatetime 2017-06-10T09:21:59 --delay 1 --endMP 300:58926 --enddatetime 2017-06-10T09:34:54 --enforcementcount 0 &gt;&gt;C:\Users\stu\Documents\GitHub\eaglep3-reporting\EC\2017-06-10-refined-times.txt</v>
      </c>
      <c r="AI171" s="99" t="str">
        <f t="shared" si="86"/>
        <v>echo {"issue":{"subject":"","project_id":79,"tracker_id":40,"status_id":1,"priority_id":2,"assigned_to_id":23,"start_date":"2017-06-10","description":"","custom_fields":[{"id":1,"name":"Subdivision","value":"NW"},{"id":4,"name":"Milepost","value":"5.8926"},{"id":17,"name":"Train ID","value":"1807-10"},{"id":16,"name":"Locomotive ID","value":"4008"},{"id":130,"name":"Impact","value":""},{"id":150,"name":"Time of Event (Mountain Time)","value":"09:34:54"},{"id":151,"name":"Denver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1" s="47"/>
      <c r="AL171" s="47"/>
      <c r="AM171" s="145" t="str">
        <f t="shared" si="87"/>
        <v>start /low /b %USERPROFILE%\Documents\GitHub\eaglep3\Utilities\DownloadLogsFromS3.py --loco 4008 --day 2017-06-10</v>
      </c>
      <c r="AN171" s="154" t="str">
        <f t="shared" si="88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15:34:54"},{"id":29,"name":"Sharepoint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700</v>
      </c>
      <c r="B172" s="7">
        <v>4007</v>
      </c>
      <c r="C172" s="21" t="s">
        <v>204</v>
      </c>
      <c r="D172" s="21" t="s">
        <v>489</v>
      </c>
      <c r="E172" s="13">
        <v>42896.400150462963</v>
      </c>
      <c r="F172" s="13">
        <v>42896.401712962965</v>
      </c>
      <c r="G172" s="7">
        <v>1</v>
      </c>
      <c r="H172" s="21" t="s">
        <v>870</v>
      </c>
      <c r="I172" s="13">
        <v>42896.413483796299</v>
      </c>
      <c r="J172" s="7">
        <v>0</v>
      </c>
      <c r="K172" s="92" t="str">
        <f t="shared" si="71"/>
        <v>4007/4008</v>
      </c>
      <c r="L172" s="21" t="str">
        <f>VLOOKUP(A172,'Trips&amp;Operators'!$C$1:$G$99999,5,FALSE)</f>
        <v>MACDONALD THOMAS</v>
      </c>
      <c r="M172" s="6">
        <f t="shared" si="72"/>
        <v>1.1770833334594499E-2</v>
      </c>
      <c r="N172" s="7">
        <f t="shared" si="73"/>
        <v>16.950000001816079</v>
      </c>
      <c r="O172" s="7"/>
      <c r="P172" s="7"/>
      <c r="Q172" s="22"/>
      <c r="R172" s="173"/>
      <c r="S172" s="176">
        <f t="shared" si="74"/>
        <v>1</v>
      </c>
      <c r="T172" s="202" t="str">
        <f t="shared" si="75"/>
        <v>Southbound</v>
      </c>
      <c r="U172" s="202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03" t="str">
        <f t="shared" si="76"/>
        <v>https://d0f6bd738d7f1b3e5a7ca70fe4ff75f0.us-east-1.aws.found.io/app/kibana#/discover/Steve-Slow-Train-Analysis-(2080s-and-2083s)?_g=(refreshInterval:(display:Off,pause:!f,section:0,value:0),time:(from:'2017-06-10T08:36:13-0600',mode:absolute,to:'2017-06-10T10:55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2" s="204" t="str">
        <f t="shared" si="77"/>
        <v>N</v>
      </c>
      <c r="X172" s="204">
        <f t="shared" si="78"/>
        <v>1</v>
      </c>
      <c r="Y172" s="204">
        <f t="shared" si="79"/>
        <v>5.8615000000000004</v>
      </c>
      <c r="Z172" s="204">
        <f t="shared" si="89"/>
        <v>7.4499999999999997E-2</v>
      </c>
      <c r="AA172" s="204">
        <f t="shared" si="80"/>
        <v>5.7870000000000008</v>
      </c>
      <c r="AB172" s="57" t="e">
        <f>VLOOKUP(A172,Enforcements!$C$7:$K$13,8,0)</f>
        <v>#N/A</v>
      </c>
      <c r="AC172" s="53" t="e">
        <f>VLOOKUP(A172,Enforcements!$C$7:$E$13,3,0)</f>
        <v>#N/A</v>
      </c>
      <c r="AD172" s="54" t="str">
        <f t="shared" si="81"/>
        <v>1808-10</v>
      </c>
      <c r="AE172" s="80" t="str">
        <f t="shared" si="82"/>
        <v>aws s3 cp s3://rtdc.mdm.uploadarchive.raw/RTDC4007/ "%USERPROFILE%\AppData\Local\Temp\OnboardLogs"\RTDC4007\2017-06-10 --exclude "*" --recursive --include "*20170610*" &amp; "%USERPROFILE%\Documents\GitHub\mrs-test-scripts\Headless Mode &amp; Sideloading\WalkAndUnGZ.bat" "%USERPROFILE%\AppData\Local\Temp\OnboardLogs"\RTDC4007\2017-06-10 &amp; aws s3 cp s3://rtdc.mdm.uploadarchive.raw/RTDC4007/ "%USERPROFILE%\AppData\Local\Temp\OnboardLogs"\RTDC4007\2017-06-11 --exclude "*" --recursive --include "*20170611*" &amp; "%USERPROFILE%\Documents\GitHub\mrs-test-scripts\Headless Mode &amp; Sideloading\WalkAndUnGZ.bat" "%USERPROFILE%\AppData\Local\Temp\OnboardLogs"\RTDC4007\2017-06-11</v>
      </c>
      <c r="AF172" s="77" t="str">
        <f t="shared" si="83"/>
        <v>"C:\Program Files (x86)\AstroGrep\AstroGrep.exe" /e /r /s /spath="%USERPROFILE%\AppData\Local\Temp\OnboardLogs" /stypes="app*4007*20170610*" /stext=" 15:.+((SYSTEM_STATE.+slice.+state.+changed )|(ment ac)|(multiple cpu faults)|(system.+state.+changed )|(\[timeout)|(PRM\|1\|D)|(kpr)|(kdp)|(train st.+moving)|(\|lc)|(penalty))"</v>
      </c>
      <c r="AG172" s="1" t="str">
        <f t="shared" si="84"/>
        <v>NW</v>
      </c>
      <c r="AH172" s="81" t="str">
        <f t="shared" si="85"/>
        <v>"%USERPROFILE%\Documents\GitHub\eaglep3\Utilities\RefineRTDCRunTimes.py" --tripid 1808-10 --locoid 4007 --swversion DE.1.0.9.0 --startMP 300:58615 --initTime 2017-06-10T09:36:13 --startdatetime 2017-06-10T09:38:28 --delay 1 --endMP 204:745 --enddatetime 2017-06-10T09:55:25 --enforcementcount 0 &gt;&gt;C:\Users\stu\Documents\GitHub\eaglep3-reporting\EC\2017-06-10-refined-times.txt</v>
      </c>
      <c r="AI172" s="99" t="str">
        <f t="shared" si="86"/>
        <v>echo {"issue":{"subject":"","project_id":79,"tracker_id":40,"status_id":1,"priority_id":2,"assigned_to_id":23,"start_date":"2017-06-10","description":"","custom_fields":[{"id":1,"name":"Subdivision","value":"NW"},{"id":4,"name":"Milepost","value":"0.0745"},{"id":17,"name":"Train ID","value":"1808-10"},{"id":16,"name":"Locomotive ID","value":"4007"},{"id":130,"name":"Impact","value":""},{"id":150,"name":"Time of Event (Mountain Time)","value":"09:55:25"},{"id":151,"name":"Denver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2" s="47"/>
      <c r="AL172" s="47"/>
      <c r="AM172" s="145" t="str">
        <f t="shared" si="87"/>
        <v>start /low /b %USERPROFILE%\Documents\GitHub\eaglep3\Utilities\DownloadLogsFromS3.py --loco 4007 --day 2017-06-10</v>
      </c>
      <c r="AN172" s="154" t="str">
        <f t="shared" si="88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15:55:25"},{"id":29,"name":"Sharepoint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705</v>
      </c>
      <c r="B173" s="7">
        <v>4008</v>
      </c>
      <c r="C173" s="21" t="s">
        <v>204</v>
      </c>
      <c r="D173" s="21" t="s">
        <v>883</v>
      </c>
      <c r="E173" s="13">
        <v>42896.414467592593</v>
      </c>
      <c r="F173" s="13">
        <v>42896.431388888886</v>
      </c>
      <c r="G173" s="7">
        <v>1</v>
      </c>
      <c r="H173" s="21" t="s">
        <v>884</v>
      </c>
      <c r="I173" s="13">
        <v>42896.440486111111</v>
      </c>
      <c r="J173" s="7">
        <v>0</v>
      </c>
      <c r="K173" s="92" t="str">
        <f t="shared" si="71"/>
        <v>4007/4008</v>
      </c>
      <c r="L173" s="21" t="str">
        <f>VLOOKUP(A173,'Trips&amp;Operators'!$C$1:$G$99999,5,FALSE)</f>
        <v>MACDONALD THOMAS</v>
      </c>
      <c r="M173" s="6">
        <f t="shared" si="72"/>
        <v>9.0972222242271528E-3</v>
      </c>
      <c r="N173" s="7">
        <f t="shared" si="73"/>
        <v>13.1000000028871</v>
      </c>
      <c r="O173" s="7"/>
      <c r="P173" s="7"/>
      <c r="Q173" s="22"/>
      <c r="R173" s="173"/>
      <c r="S173" s="176">
        <f t="shared" si="74"/>
        <v>1</v>
      </c>
      <c r="T173" s="202" t="str">
        <f t="shared" si="75"/>
        <v>NorthBound</v>
      </c>
      <c r="U173" s="202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03" t="str">
        <f t="shared" si="76"/>
        <v>https://d0f6bd738d7f1b3e5a7ca70fe4ff75f0.us-east-1.aws.found.io/app/kibana#/discover/Steve-Slow-Train-Analysis-(2080s-and-2083s)?_g=(refreshInterval:(display:Off,pause:!f,section:0,value:0),time:(from:'2017-06-10T08:56:50-0600',mode:absolute,to:'2017-06-10T11:34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3" s="204" t="str">
        <f t="shared" si="77"/>
        <v>N</v>
      </c>
      <c r="X173" s="204">
        <f t="shared" si="78"/>
        <v>1</v>
      </c>
      <c r="Y173" s="204">
        <f t="shared" si="79"/>
        <v>0.1027</v>
      </c>
      <c r="Z173" s="204">
        <f t="shared" si="89"/>
        <v>5.8945999999999996</v>
      </c>
      <c r="AA173" s="204">
        <f t="shared" si="80"/>
        <v>5.7919</v>
      </c>
      <c r="AB173" s="57" t="e">
        <f>VLOOKUP(A173,Enforcements!$C$7:$K$13,8,0)</f>
        <v>#N/A</v>
      </c>
      <c r="AC173" s="53" t="e">
        <f>VLOOKUP(A173,Enforcements!$C$7:$E$13,3,0)</f>
        <v>#N/A</v>
      </c>
      <c r="AD173" s="54" t="str">
        <f t="shared" si="81"/>
        <v>1809-10</v>
      </c>
      <c r="AE173" s="80" t="str">
        <f t="shared" si="82"/>
        <v>aws s3 cp s3://rtdc.mdm.uploadarchive.raw/RTDC4008/ "%USERPROFILE%\AppData\Local\Temp\OnboardLogs"\RTDC4008\2017-06-10 --exclude "*" --recursive --include "*20170610*" &amp; "%USERPROFILE%\Documents\GitHub\mrs-test-scripts\Headless Mode &amp; Sideloading\WalkAndUnGZ.bat" "%USERPROFILE%\AppData\Local\Temp\OnboardLogs"\RTDC4008\2017-06-10 &amp; aws s3 cp s3://rtdc.mdm.uploadarchive.raw/RTDC4008/ "%USERPROFILE%\AppData\Local\Temp\OnboardLogs"\RTDC4008\2017-06-11 --exclude "*" --recursive --include "*20170611*" &amp; "%USERPROFILE%\Documents\GitHub\mrs-test-scripts\Headless Mode &amp; Sideloading\WalkAndUnGZ.bat" "%USERPROFILE%\AppData\Local\Temp\OnboardLogs"\RTDC4008\2017-06-11</v>
      </c>
      <c r="AF173" s="77" t="str">
        <f t="shared" si="83"/>
        <v>"C:\Program Files (x86)\AstroGrep\AstroGrep.exe" /e /r /s /spath="%USERPROFILE%\AppData\Local\Temp\OnboardLogs" /stypes="app*4008*20170610*" /stext=" 16:.+((SYSTEM_STATE.+slice.+state.+changed )|(ment ac)|(multiple cpu faults)|(system.+state.+changed )|(\[timeout)|(PRM\|1\|D)|(kpr)|(kdp)|(train st.+moving)|(\|lc)|(penalty))"</v>
      </c>
      <c r="AG173" s="1" t="str">
        <f t="shared" si="84"/>
        <v>NW</v>
      </c>
      <c r="AH173" s="81" t="str">
        <f t="shared" si="85"/>
        <v>"%USERPROFILE%\Documents\GitHub\eaglep3\Utilities\RefineRTDCRunTimes.py" --tripid 1809-10 --locoid 4008 --swversion DE.1.0.9.0 --startMP 204:1027 --initTime 2017-06-10T09:56:50 --startdatetime 2017-06-10T10:21:12 --delay 1 --endMP 300:58946 --enddatetime 2017-06-10T10:34:18 --enforcementcount 0 &gt;&gt;C:\Users\stu\Documents\GitHub\eaglep3-reporting\EC\2017-06-10-refined-times.txt</v>
      </c>
      <c r="AI173" s="99" t="str">
        <f t="shared" si="86"/>
        <v>echo {"issue":{"subject":"","project_id":79,"tracker_id":40,"status_id":1,"priority_id":2,"assigned_to_id":23,"start_date":"2017-06-10","description":"","custom_fields":[{"id":1,"name":"Subdivision","value":"NW"},{"id":4,"name":"Milepost","value":"5.8946"},{"id":17,"name":"Train ID","value":"1809-10"},{"id":16,"name":"Locomotive ID","value":"4008"},{"id":130,"name":"Impact","value":""},{"id":150,"name":"Time of Event (Mountain Time)","value":"10:34:18"},{"id":151,"name":"Denver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3" s="47"/>
      <c r="AL173" s="47"/>
      <c r="AM173" s="145" t="str">
        <f t="shared" si="87"/>
        <v>start /low /b %USERPROFILE%\Documents\GitHub\eaglep3\Utilities\DownloadLogsFromS3.py --loco 4008 --day 2017-06-10</v>
      </c>
      <c r="AN173" s="154" t="str">
        <f t="shared" si="88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16:34:18"},{"id":29,"name":"Sharepoint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580</v>
      </c>
      <c r="B174" s="7">
        <v>4007</v>
      </c>
      <c r="C174" s="21" t="s">
        <v>204</v>
      </c>
      <c r="D174" s="21" t="s">
        <v>886</v>
      </c>
      <c r="E174" s="13">
        <v>42896.441296296296</v>
      </c>
      <c r="F174" s="13">
        <v>42896.442662037036</v>
      </c>
      <c r="G174" s="7">
        <v>1</v>
      </c>
      <c r="H174" s="21" t="s">
        <v>887</v>
      </c>
      <c r="I174" s="13">
        <v>42896.455277777779</v>
      </c>
      <c r="J174" s="7">
        <v>0</v>
      </c>
      <c r="K174" s="92" t="str">
        <f t="shared" si="71"/>
        <v>4007/4008</v>
      </c>
      <c r="L174" s="21" t="str">
        <f>VLOOKUP(A174,'Trips&amp;Operators'!$C$1:$G$99999,5,FALSE)</f>
        <v>MACDONALD THOMAS</v>
      </c>
      <c r="M174" s="6">
        <f t="shared" si="72"/>
        <v>1.2615740743058268E-2</v>
      </c>
      <c r="N174" s="7">
        <f t="shared" ref="N174:N205" si="90">24*60*SUM($M174:$M174)</f>
        <v>18.166666670003906</v>
      </c>
      <c r="O174" s="7"/>
      <c r="P174" s="7"/>
      <c r="Q174" s="22"/>
      <c r="R174" s="173"/>
      <c r="S174" s="176">
        <f t="shared" ref="S174:S205" si="91">SUM(U174:U174)/IF(AG174="EC",12,1)</f>
        <v>1</v>
      </c>
      <c r="T174" s="202" t="str">
        <f t="shared" si="75"/>
        <v>Southbound</v>
      </c>
      <c r="U174" s="202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03" t="str">
        <f t="shared" si="76"/>
        <v>https://d0f6bd738d7f1b3e5a7ca70fe4ff75f0.us-east-1.aws.found.io/app/kibana#/discover/Steve-Slow-Train-Analysis-(2080s-and-2083s)?_g=(refreshInterval:(display:Off,pause:!f,section:0,value:0),time:(from:'2017-06-10T09:35:28-0600',mode:absolute,to:'2017-06-10T11:55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4" s="204" t="str">
        <f t="shared" si="77"/>
        <v>N</v>
      </c>
      <c r="X174" s="204">
        <f t="shared" si="78"/>
        <v>1</v>
      </c>
      <c r="Y174" s="204">
        <f t="shared" ref="Y174:Y194" si="92">RIGHT(D174,LEN(D174)-4)/10000</f>
        <v>5.8630000000000004</v>
      </c>
      <c r="Z174" s="204">
        <f t="shared" si="89"/>
        <v>7.0999999999999994E-2</v>
      </c>
      <c r="AA174" s="204">
        <f t="shared" si="80"/>
        <v>5.7920000000000007</v>
      </c>
      <c r="AB174" s="57" t="e">
        <f>VLOOKUP(A174,Enforcements!$C$7:$K$13,8,0)</f>
        <v>#N/A</v>
      </c>
      <c r="AC174" s="53" t="e">
        <f>VLOOKUP(A174,Enforcements!$C$7:$E$13,3,0)</f>
        <v>#N/A</v>
      </c>
      <c r="AD174" s="54" t="str">
        <f t="shared" si="81"/>
        <v>1810-10</v>
      </c>
      <c r="AE174" s="80" t="str">
        <f t="shared" si="82"/>
        <v>aws s3 cp s3://rtdc.mdm.uploadarchive.raw/RTDC4007/ "%USERPROFILE%\AppData\Local\Temp\OnboardLogs"\RTDC4007\2017-06-10 --exclude "*" --recursive --include "*20170610*" &amp; "%USERPROFILE%\Documents\GitHub\mrs-test-scripts\Headless Mode &amp; Sideloading\WalkAndUnGZ.bat" "%USERPROFILE%\AppData\Local\Temp\OnboardLogs"\RTDC4007\2017-06-10 &amp; aws s3 cp s3://rtdc.mdm.uploadarchive.raw/RTDC4007/ "%USERPROFILE%\AppData\Local\Temp\OnboardLogs"\RTDC4007\2017-06-11 --exclude "*" --recursive --include "*20170611*" &amp; "%USERPROFILE%\Documents\GitHub\mrs-test-scripts\Headless Mode &amp; Sideloading\WalkAndUnGZ.bat" "%USERPROFILE%\AppData\Local\Temp\OnboardLogs"\RTDC4007\2017-06-11</v>
      </c>
      <c r="AF174" s="77" t="str">
        <f t="shared" si="83"/>
        <v>"C:\Program Files (x86)\AstroGrep\AstroGrep.exe" /e /r /s /spath="%USERPROFILE%\AppData\Local\Temp\OnboardLogs" /stypes="app*4007*20170610*" /stext=" 16:.+((SYSTEM_STATE.+slice.+state.+changed )|(ment ac)|(multiple cpu faults)|(system.+state.+changed )|(\[timeout)|(PRM\|1\|D)|(kpr)|(kdp)|(train st.+moving)|(\|lc)|(penalty))"</v>
      </c>
      <c r="AG174" s="1" t="str">
        <f t="shared" si="84"/>
        <v>NW</v>
      </c>
      <c r="AH174" s="81" t="str">
        <f t="shared" si="85"/>
        <v>"%USERPROFILE%\Documents\GitHub\eaglep3\Utilities\RefineRTDCRunTimes.py" --tripid 1810-10 --locoid 4007 --swversion DE.1.0.9.0 --startMP 300:58630 --initTime 2017-06-10T10:35:28 --startdatetime 2017-06-10T10:37:26 --delay 1 --endMP 204:710 --enddatetime 2017-06-10T10:55:36 --enforcementcount 0 &gt;&gt;C:\Users\stu\Documents\GitHub\eaglep3-reporting\EC\2017-06-10-refined-times.txt</v>
      </c>
      <c r="AI174" s="99" t="str">
        <f t="shared" si="86"/>
        <v>echo {"issue":{"subject":"","project_id":79,"tracker_id":40,"status_id":1,"priority_id":2,"assigned_to_id":23,"start_date":"2017-06-10","description":"","custom_fields":[{"id":1,"name":"Subdivision","value":"NW"},{"id":4,"name":"Milepost","value":"0.071"},{"id":17,"name":"Train ID","value":"1810-10"},{"id":16,"name":"Locomotive ID","value":"4007"},{"id":130,"name":"Impact","value":""},{"id":150,"name":"Time of Event (Mountain Time)","value":"10:55:36"},{"id":151,"name":"Denver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4" s="47"/>
      <c r="AL174" s="47"/>
      <c r="AM174" s="145" t="str">
        <f t="shared" si="87"/>
        <v>start /low /b %USERPROFILE%\Documents\GitHub\eaglep3\Utilities\DownloadLogsFromS3.py --loco 4007 --day 2017-06-10</v>
      </c>
      <c r="AN174" s="154" t="str">
        <f t="shared" si="88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16:55:36"},{"id":29,"name":"Sharepoint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581</v>
      </c>
      <c r="B175" s="7">
        <v>4008</v>
      </c>
      <c r="C175" s="21" t="s">
        <v>204</v>
      </c>
      <c r="D175" s="21" t="s">
        <v>888</v>
      </c>
      <c r="E175" s="13">
        <v>42896.456145833334</v>
      </c>
      <c r="F175" s="13">
        <v>42896.473460648151</v>
      </c>
      <c r="G175" s="7">
        <v>1</v>
      </c>
      <c r="H175" s="21" t="s">
        <v>872</v>
      </c>
      <c r="I175" s="13">
        <v>42896.483726851853</v>
      </c>
      <c r="J175" s="7">
        <v>0</v>
      </c>
      <c r="K175" s="92" t="str">
        <f t="shared" si="71"/>
        <v>4007/4008</v>
      </c>
      <c r="L175" s="21" t="str">
        <f>VLOOKUP(A175,'Trips&amp;Operators'!$C$1:$G$99999,5,FALSE)</f>
        <v>MACDONALD THOMAS</v>
      </c>
      <c r="M175" s="6">
        <f t="shared" si="72"/>
        <v>1.0266203702485655E-2</v>
      </c>
      <c r="N175" s="7">
        <f t="shared" si="90"/>
        <v>14.783333331579342</v>
      </c>
      <c r="O175" s="7"/>
      <c r="P175" s="7"/>
      <c r="Q175" s="22"/>
      <c r="R175" s="173"/>
      <c r="S175" s="176">
        <f t="shared" si="91"/>
        <v>1</v>
      </c>
      <c r="T175" s="202" t="str">
        <f t="shared" si="75"/>
        <v>NorthBound</v>
      </c>
      <c r="U175" s="202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03" t="str">
        <f t="shared" si="76"/>
        <v>https://d0f6bd738d7f1b3e5a7ca70fe4ff75f0.us-east-1.aws.found.io/app/kibana#/discover/Steve-Slow-Train-Analysis-(2080s-and-2083s)?_g=(refreshInterval:(display:Off,pause:!f,section:0,value:0),time:(from:'2017-06-10T09:56:51-0600',mode:absolute,to:'2017-06-10T12:36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5" s="204" t="str">
        <f t="shared" si="77"/>
        <v>N</v>
      </c>
      <c r="X175" s="204">
        <f t="shared" si="78"/>
        <v>1</v>
      </c>
      <c r="Y175" s="204">
        <f t="shared" si="92"/>
        <v>9.9699999999999997E-2</v>
      </c>
      <c r="Z175" s="204">
        <f t="shared" si="89"/>
        <v>5.8936999999999999</v>
      </c>
      <c r="AA175" s="204">
        <f t="shared" si="80"/>
        <v>5.7939999999999996</v>
      </c>
      <c r="AB175" s="57" t="e">
        <f>VLOOKUP(A175,Enforcements!$C$7:$K$13,8,0)</f>
        <v>#N/A</v>
      </c>
      <c r="AC175" s="53" t="e">
        <f>VLOOKUP(A175,Enforcements!$C$7:$E$13,3,0)</f>
        <v>#N/A</v>
      </c>
      <c r="AD175" s="54" t="str">
        <f t="shared" si="81"/>
        <v>1811-10</v>
      </c>
      <c r="AE175" s="80" t="str">
        <f t="shared" si="82"/>
        <v>aws s3 cp s3://rtdc.mdm.uploadarchive.raw/RTDC4008/ "%USERPROFILE%\AppData\Local\Temp\OnboardLogs"\RTDC4008\2017-06-10 --exclude "*" --recursive --include "*20170610*" &amp; "%USERPROFILE%\Documents\GitHub\mrs-test-scripts\Headless Mode &amp; Sideloading\WalkAndUnGZ.bat" "%USERPROFILE%\AppData\Local\Temp\OnboardLogs"\RTDC4008\2017-06-10 &amp; aws s3 cp s3://rtdc.mdm.uploadarchive.raw/RTDC4008/ "%USERPROFILE%\AppData\Local\Temp\OnboardLogs"\RTDC4008\2017-06-11 --exclude "*" --recursive --include "*20170611*" &amp; "%USERPROFILE%\Documents\GitHub\mrs-test-scripts\Headless Mode &amp; Sideloading\WalkAndUnGZ.bat" "%USERPROFILE%\AppData\Local\Temp\OnboardLogs"\RTDC4008\2017-06-11</v>
      </c>
      <c r="AF175" s="77" t="str">
        <f t="shared" si="83"/>
        <v>"C:\Program Files (x86)\AstroGrep\AstroGrep.exe" /e /r /s /spath="%USERPROFILE%\AppData\Local\Temp\OnboardLogs" /stypes="app*4008*20170610*" /stext=" 17:.+((SYSTEM_STATE.+slice.+state.+changed )|(ment ac)|(multiple cpu faults)|(system.+state.+changed )|(\[timeout)|(PRM\|1\|D)|(kpr)|(kdp)|(train st.+moving)|(\|lc)|(penalty))"</v>
      </c>
      <c r="AG175" s="1" t="str">
        <f t="shared" si="84"/>
        <v>NW</v>
      </c>
      <c r="AH175" s="81" t="str">
        <f t="shared" si="85"/>
        <v>"%USERPROFILE%\Documents\GitHub\eaglep3\Utilities\RefineRTDCRunTimes.py" --tripid 1811-10 --locoid 4008 --swversion DE.1.0.9.0 --startMP 204:997 --initTime 2017-06-10T10:56:51 --startdatetime 2017-06-10T11:21:47 --delay 1 --endMP 300:58937 --enddatetime 2017-06-10T11:36:34 --enforcementcount 0 &gt;&gt;C:\Users\stu\Documents\GitHub\eaglep3-reporting\EC\2017-06-10-refined-times.txt</v>
      </c>
      <c r="AI175" s="99" t="str">
        <f t="shared" si="86"/>
        <v>echo {"issue":{"subject":"","project_id":79,"tracker_id":40,"status_id":1,"priority_id":2,"assigned_to_id":23,"start_date":"2017-06-10","description":"","custom_fields":[{"id":1,"name":"Subdivision","value":"NW"},{"id":4,"name":"Milepost","value":"5.8937"},{"id":17,"name":"Train ID","value":"1811-10"},{"id":16,"name":"Locomotive ID","value":"4008"},{"id":130,"name":"Impact","value":""},{"id":150,"name":"Time of Event (Mountain Time)","value":"11:36:34"},{"id":151,"name":"Denver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5" s="47"/>
      <c r="AL175" s="47"/>
      <c r="AM175" s="145" t="str">
        <f t="shared" si="87"/>
        <v>start /low /b %USERPROFILE%\Documents\GitHub\eaglep3\Utilities\DownloadLogsFromS3.py --loco 4008 --day 2017-06-10</v>
      </c>
      <c r="AN175" s="154" t="str">
        <f t="shared" si="88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17:36:34"},{"id":29,"name":"Sharepoint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x14ac:dyDescent="0.25">
      <c r="A176" s="32" t="s">
        <v>715</v>
      </c>
      <c r="B176" s="7">
        <v>4007</v>
      </c>
      <c r="C176" s="21" t="s">
        <v>204</v>
      </c>
      <c r="D176" s="21" t="s">
        <v>536</v>
      </c>
      <c r="E176" s="13">
        <v>42896.484537037039</v>
      </c>
      <c r="F176" s="13">
        <v>42896.486018518517</v>
      </c>
      <c r="G176" s="7">
        <v>1</v>
      </c>
      <c r="H176" s="21" t="s">
        <v>889</v>
      </c>
      <c r="I176" s="13">
        <v>42896.496469907404</v>
      </c>
      <c r="J176" s="7">
        <v>0</v>
      </c>
      <c r="K176" s="92" t="str">
        <f t="shared" si="71"/>
        <v>4007/4008</v>
      </c>
      <c r="L176" s="21" t="str">
        <f>VLOOKUP(A176,'Trips&amp;Operators'!$C$1:$G$99999,5,FALSE)</f>
        <v>MACDONALD THOMAS</v>
      </c>
      <c r="M176" s="6">
        <f t="shared" si="72"/>
        <v>1.0451388887304347E-2</v>
      </c>
      <c r="N176" s="7">
        <f t="shared" si="90"/>
        <v>15.04999999771826</v>
      </c>
      <c r="O176" s="7"/>
      <c r="P176" s="7"/>
      <c r="Q176" s="22"/>
      <c r="R176" s="173"/>
      <c r="S176" s="176">
        <f t="shared" si="91"/>
        <v>1</v>
      </c>
      <c r="T176" s="202" t="str">
        <f t="shared" si="75"/>
        <v>Southbound</v>
      </c>
      <c r="U176" s="202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03" t="str">
        <f t="shared" si="76"/>
        <v>https://d0f6bd738d7f1b3e5a7ca70fe4ff75f0.us-east-1.aws.found.io/app/kibana#/discover/Steve-Slow-Train-Analysis-(2080s-and-2083s)?_g=(refreshInterval:(display:Off,pause:!f,section:0,value:0),time:(from:'2017-06-10T10:37:44-0600',mode:absolute,to:'2017-06-10T12:54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6" s="204" t="str">
        <f t="shared" si="77"/>
        <v>N</v>
      </c>
      <c r="X176" s="204">
        <f t="shared" si="78"/>
        <v>1</v>
      </c>
      <c r="Y176" s="204">
        <f t="shared" si="92"/>
        <v>5.8609</v>
      </c>
      <c r="Z176" s="204">
        <f t="shared" si="89"/>
        <v>7.3599999999999999E-2</v>
      </c>
      <c r="AA176" s="204">
        <f t="shared" si="80"/>
        <v>5.7873000000000001</v>
      </c>
      <c r="AB176" s="57" t="e">
        <f>VLOOKUP(A176,Enforcements!$C$7:$K$13,8,0)</f>
        <v>#N/A</v>
      </c>
      <c r="AC176" s="53" t="e">
        <f>VLOOKUP(A176,Enforcements!$C$7:$E$13,3,0)</f>
        <v>#N/A</v>
      </c>
      <c r="AD176" s="54" t="str">
        <f t="shared" si="81"/>
        <v>1812-10</v>
      </c>
      <c r="AE176" s="80" t="str">
        <f t="shared" si="82"/>
        <v>aws s3 cp s3://rtdc.mdm.uploadarchive.raw/RTDC4007/ "%USERPROFILE%\AppData\Local\Temp\OnboardLogs"\RTDC4007\2017-06-10 --exclude "*" --recursive --include "*20170610*" &amp; "%USERPROFILE%\Documents\GitHub\mrs-test-scripts\Headless Mode &amp; Sideloading\WalkAndUnGZ.bat" "%USERPROFILE%\AppData\Local\Temp\OnboardLogs"\RTDC4007\2017-06-10 &amp; aws s3 cp s3://rtdc.mdm.uploadarchive.raw/RTDC4007/ "%USERPROFILE%\AppData\Local\Temp\OnboardLogs"\RTDC4007\2017-06-11 --exclude "*" --recursive --include "*20170611*" &amp; "%USERPROFILE%\Documents\GitHub\mrs-test-scripts\Headless Mode &amp; Sideloading\WalkAndUnGZ.bat" "%USERPROFILE%\AppData\Local\Temp\OnboardLogs"\RTDC4007\2017-06-11</v>
      </c>
      <c r="AF176" s="77" t="str">
        <f t="shared" si="83"/>
        <v>"C:\Program Files (x86)\AstroGrep\AstroGrep.exe" /e /r /s /spath="%USERPROFILE%\AppData\Local\Temp\OnboardLogs" /stypes="app*4007*20170610*" /stext=" 17:.+((SYSTEM_STATE.+slice.+state.+changed )|(ment ac)|(multiple cpu faults)|(system.+state.+changed )|(\[timeout)|(PRM\|1\|D)|(kpr)|(kdp)|(train st.+moving)|(\|lc)|(penalty))"</v>
      </c>
      <c r="AG176" s="1" t="str">
        <f t="shared" si="84"/>
        <v>NW</v>
      </c>
      <c r="AH176" s="81" t="str">
        <f t="shared" si="85"/>
        <v>"%USERPROFILE%\Documents\GitHub\eaglep3\Utilities\RefineRTDCRunTimes.py" --tripid 1812-10 --locoid 4007 --swversion DE.1.0.9.0 --startMP 300:58609 --initTime 2017-06-10T11:37:44 --startdatetime 2017-06-10T11:39:52 --delay 1 --endMP 204:736 --enddatetime 2017-06-10T11:54:55 --enforcementcount 0 &gt;&gt;C:\Users\stu\Documents\GitHub\eaglep3-reporting\EC\2017-06-10-refined-times.txt</v>
      </c>
      <c r="AI176" s="99" t="str">
        <f t="shared" si="86"/>
        <v>echo {"issue":{"subject":"","project_id":79,"tracker_id":40,"status_id":1,"priority_id":2,"assigned_to_id":23,"start_date":"2017-06-10","description":"","custom_fields":[{"id":1,"name":"Subdivision","value":"NW"},{"id":4,"name":"Milepost","value":"0.0736"},{"id":17,"name":"Train ID","value":"1812-10"},{"id":16,"name":"Locomotive ID","value":"4007"},{"id":130,"name":"Impact","value":""},{"id":150,"name":"Time of Event (Mountain Time)","value":"11:54:55"},{"id":151,"name":"Denver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5" t="str">
        <f t="shared" si="87"/>
        <v>start /low /b %USERPROFILE%\Documents\GitHub\eaglep3\Utilities\DownloadLogsFromS3.py --loco 4007 --day 2017-06-10</v>
      </c>
      <c r="AN176" s="154" t="str">
        <f t="shared" si="88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17:54:55"},{"id":29,"name":"Sharepoint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7" spans="1:91" x14ac:dyDescent="0.25">
      <c r="A177" s="32" t="s">
        <v>585</v>
      </c>
      <c r="B177" s="7">
        <v>4008</v>
      </c>
      <c r="C177" s="21" t="s">
        <v>204</v>
      </c>
      <c r="D177" s="21" t="s">
        <v>890</v>
      </c>
      <c r="E177" s="13">
        <v>42896.497754629629</v>
      </c>
      <c r="F177" s="13">
        <v>42896.515023148146</v>
      </c>
      <c r="G177" s="7">
        <v>0</v>
      </c>
      <c r="H177" s="21" t="s">
        <v>891</v>
      </c>
      <c r="I177" s="13">
        <v>42896.524652777778</v>
      </c>
      <c r="J177" s="7">
        <v>0</v>
      </c>
      <c r="K177" s="92" t="str">
        <f t="shared" si="71"/>
        <v>4007/4008</v>
      </c>
      <c r="L177" s="21" t="str">
        <f>VLOOKUP(A177,'Trips&amp;Operators'!$C$1:$G$99999,5,FALSE)</f>
        <v>MACDONALD THOMAS</v>
      </c>
      <c r="M177" s="6">
        <f t="shared" si="72"/>
        <v>9.6296296323998831E-3</v>
      </c>
      <c r="N177" s="7">
        <f t="shared" si="90"/>
        <v>13.866666670655832</v>
      </c>
      <c r="O177" s="7"/>
      <c r="P177" s="7"/>
      <c r="Q177" s="22"/>
      <c r="R177" s="173"/>
      <c r="S177" s="176">
        <f t="shared" si="91"/>
        <v>1</v>
      </c>
      <c r="T177" s="202" t="str">
        <f t="shared" si="75"/>
        <v>NorthBound</v>
      </c>
      <c r="U177" s="202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03" t="str">
        <f t="shared" si="76"/>
        <v>https://d0f6bd738d7f1b3e5a7ca70fe4ff75f0.us-east-1.aws.found.io/app/kibana#/discover/Steve-Slow-Train-Analysis-(2080s-and-2083s)?_g=(refreshInterval:(display:Off,pause:!f,section:0,value:0),time:(from:'2017-06-10T10:56:46-0600',mode:absolute,to:'2017-06-10T13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7" s="204" t="str">
        <f t="shared" si="77"/>
        <v>N</v>
      </c>
      <c r="X177" s="204">
        <f t="shared" si="78"/>
        <v>1</v>
      </c>
      <c r="Y177" s="204">
        <f t="shared" si="92"/>
        <v>0.1032</v>
      </c>
      <c r="Z177" s="204">
        <f t="shared" si="89"/>
        <v>5.8921999999999999</v>
      </c>
      <c r="AA177" s="204">
        <f t="shared" si="80"/>
        <v>5.7889999999999997</v>
      </c>
      <c r="AB177" s="57" t="e">
        <f>VLOOKUP(A177,Enforcements!$C$7:$K$13,8,0)</f>
        <v>#N/A</v>
      </c>
      <c r="AC177" s="53" t="e">
        <f>VLOOKUP(A177,Enforcements!$C$7:$E$13,3,0)</f>
        <v>#N/A</v>
      </c>
      <c r="AD177" s="54" t="str">
        <f t="shared" si="81"/>
        <v>1813-10</v>
      </c>
      <c r="AE177" s="80" t="str">
        <f t="shared" si="82"/>
        <v>aws s3 cp s3://rtdc.mdm.uploadarchive.raw/RTDC4008/ "%USERPROFILE%\AppData\Local\Temp\OnboardLogs"\RTDC4008\2017-06-10 --exclude "*" --recursive --include "*20170610*" &amp; "%USERPROFILE%\Documents\GitHub\mrs-test-scripts\Headless Mode &amp; Sideloading\WalkAndUnGZ.bat" "%USERPROFILE%\AppData\Local\Temp\OnboardLogs"\RTDC4008\2017-06-10 &amp; aws s3 cp s3://rtdc.mdm.uploadarchive.raw/RTDC4008/ "%USERPROFILE%\AppData\Local\Temp\OnboardLogs"\RTDC4008\2017-06-11 --exclude "*" --recursive --include "*20170611*" &amp; "%USERPROFILE%\Documents\GitHub\mrs-test-scripts\Headless Mode &amp; Sideloading\WalkAndUnGZ.bat" "%USERPROFILE%\AppData\Local\Temp\OnboardLogs"\RTDC4008\2017-06-11</v>
      </c>
      <c r="AF177" s="77" t="str">
        <f t="shared" si="83"/>
        <v>"C:\Program Files (x86)\AstroGrep\AstroGrep.exe" /e /r /s /spath="%USERPROFILE%\AppData\Local\Temp\OnboardLogs" /stypes="app*4008*20170610*" /stext=" 18:.+((SYSTEM_STATE.+slice.+state.+changed )|(ment ac)|(multiple cpu faults)|(system.+state.+changed )|(\[timeout)|(PRM\|1\|D)|(kpr)|(kdp)|(train st.+moving)|(\|lc)|(penalty))"</v>
      </c>
      <c r="AG177" s="1" t="str">
        <f t="shared" si="84"/>
        <v>NW</v>
      </c>
      <c r="AH177" s="81" t="str">
        <f t="shared" si="85"/>
        <v>"%USERPROFILE%\Documents\GitHub\eaglep3\Utilities\RefineRTDCRunTimes.py" --tripid 1813-10 --locoid 4008 --swversion DE.1.0.9.0 --startMP 204:1032 --initTime 2017-06-10T11:56:46 --startdatetime 2017-06-10T12:21:38 --delay 0 --endMP 300:58922 --enddatetime 2017-06-10T12:35:30 --enforcementcount 0 &gt;&gt;C:\Users\stu\Documents\GitHub\eaglep3-reporting\EC\2017-06-10-refined-times.txt</v>
      </c>
      <c r="AI177" s="99" t="str">
        <f t="shared" si="86"/>
        <v>echo {"issue":{"subject":"","project_id":79,"tracker_id":40,"status_id":1,"priority_id":2,"assigned_to_id":23,"start_date":"2017-06-10","description":"","custom_fields":[{"id":1,"name":"Subdivision","value":"NW"},{"id":4,"name":"Milepost","value":"5.8922"},{"id":17,"name":"Train ID","value":"1813-10"},{"id":16,"name":"Locomotive ID","value":"4008"},{"id":130,"name":"Impact","value":""},{"id":150,"name":"Time of Event (Mountain Time)","value":"12:35:30"},{"id":151,"name":"Denver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5" t="str">
        <f t="shared" si="87"/>
        <v>start /low /b %USERPROFILE%\Documents\GitHub\eaglep3\Utilities\DownloadLogsFromS3.py --loco 4008 --day 2017-06-10</v>
      </c>
      <c r="AN177" s="154" t="str">
        <f t="shared" si="88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18:35:30"},{"id":29,"name":"Sharepoint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8" spans="1:91" x14ac:dyDescent="0.25">
      <c r="A178" s="32" t="s">
        <v>587</v>
      </c>
      <c r="B178" s="7">
        <v>4007</v>
      </c>
      <c r="C178" s="21" t="s">
        <v>204</v>
      </c>
      <c r="D178" s="21" t="s">
        <v>892</v>
      </c>
      <c r="E178" s="13">
        <v>42896.525671296295</v>
      </c>
      <c r="F178" s="13">
        <v>42896.527372685188</v>
      </c>
      <c r="G178" s="7">
        <v>1</v>
      </c>
      <c r="H178" s="21" t="s">
        <v>893</v>
      </c>
      <c r="I178" s="13">
        <v>42896.538483796299</v>
      </c>
      <c r="J178" s="7">
        <v>0</v>
      </c>
      <c r="K178" s="92" t="str">
        <f t="shared" si="71"/>
        <v>4007/4008</v>
      </c>
      <c r="L178" s="21" t="str">
        <f>VLOOKUP(A178,'Trips&amp;Operators'!$C$1:$G$99999,5,FALSE)</f>
        <v>MACDONALD THOMAS</v>
      </c>
      <c r="M178" s="6">
        <f t="shared" si="72"/>
        <v>1.1111111110949423E-2</v>
      </c>
      <c r="N178" s="7">
        <f t="shared" si="90"/>
        <v>15.999999999767169</v>
      </c>
      <c r="O178" s="7"/>
      <c r="P178" s="7"/>
      <c r="Q178" s="22"/>
      <c r="R178" s="173"/>
      <c r="S178" s="176">
        <f t="shared" si="91"/>
        <v>1</v>
      </c>
      <c r="T178" s="202" t="str">
        <f t="shared" si="75"/>
        <v>Southbound</v>
      </c>
      <c r="U178" s="202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03" t="str">
        <f t="shared" si="76"/>
        <v>https://d0f6bd738d7f1b3e5a7ca70fe4ff75f0.us-east-1.aws.found.io/app/kibana#/discover/Steve-Slow-Train-Analysis-(2080s-and-2083s)?_g=(refreshInterval:(display:Off,pause:!f,section:0,value:0),time:(from:'2017-06-10T11:36:58-0600',mode:absolute,to:'2017-06-10T13:55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8" s="204" t="str">
        <f t="shared" si="77"/>
        <v>N</v>
      </c>
      <c r="X178" s="204">
        <f t="shared" si="78"/>
        <v>1</v>
      </c>
      <c r="Y178" s="204">
        <f t="shared" si="92"/>
        <v>5.8604000000000003</v>
      </c>
      <c r="Z178" s="204">
        <f t="shared" si="89"/>
        <v>6.6299999999999998E-2</v>
      </c>
      <c r="AA178" s="204">
        <f t="shared" si="80"/>
        <v>5.7941000000000003</v>
      </c>
      <c r="AB178" s="57" t="e">
        <f>VLOOKUP(A178,Enforcements!$C$7:$K$13,8,0)</f>
        <v>#N/A</v>
      </c>
      <c r="AC178" s="53" t="e">
        <f>VLOOKUP(A178,Enforcements!$C$7:$E$13,3,0)</f>
        <v>#N/A</v>
      </c>
      <c r="AD178" s="54" t="str">
        <f t="shared" si="81"/>
        <v>1814-10</v>
      </c>
      <c r="AE178" s="80" t="str">
        <f t="shared" si="82"/>
        <v>aws s3 cp s3://rtdc.mdm.uploadarchive.raw/RTDC4007/ "%USERPROFILE%\AppData\Local\Temp\OnboardLogs"\RTDC4007\2017-06-10 --exclude "*" --recursive --include "*20170610*" &amp; "%USERPROFILE%\Documents\GitHub\mrs-test-scripts\Headless Mode &amp; Sideloading\WalkAndUnGZ.bat" "%USERPROFILE%\AppData\Local\Temp\OnboardLogs"\RTDC4007\2017-06-10 &amp; aws s3 cp s3://rtdc.mdm.uploadarchive.raw/RTDC4007/ "%USERPROFILE%\AppData\Local\Temp\OnboardLogs"\RTDC4007\2017-06-11 --exclude "*" --recursive --include "*20170611*" &amp; "%USERPROFILE%\Documents\GitHub\mrs-test-scripts\Headless Mode &amp; Sideloading\WalkAndUnGZ.bat" "%USERPROFILE%\AppData\Local\Temp\OnboardLogs"\RTDC4007\2017-06-11</v>
      </c>
      <c r="AF178" s="77" t="str">
        <f t="shared" si="83"/>
        <v>"C:\Program Files (x86)\AstroGrep\AstroGrep.exe" /e /r /s /spath="%USERPROFILE%\AppData\Local\Temp\OnboardLogs" /stypes="app*4007*20170610*" /stext=" 18:.+((SYSTEM_STATE.+slice.+state.+changed )|(ment ac)|(multiple cpu faults)|(system.+state.+changed )|(\[timeout)|(PRM\|1\|D)|(kpr)|(kdp)|(train st.+moving)|(\|lc)|(penalty))"</v>
      </c>
      <c r="AG178" s="1" t="str">
        <f t="shared" si="84"/>
        <v>NW</v>
      </c>
      <c r="AH178" s="81" t="str">
        <f t="shared" si="85"/>
        <v>"%USERPROFILE%\Documents\GitHub\eaglep3\Utilities\RefineRTDCRunTimes.py" --tripid 1814-10 --locoid 4007 --swversion DE.1.0.9.0 --startMP 300:58604 --initTime 2017-06-10T12:36:58 --startdatetime 2017-06-10T12:39:25 --delay 1 --endMP 204:663 --enddatetime 2017-06-10T12:55:25 --enforcementcount 0 &gt;&gt;C:\Users\stu\Documents\GitHub\eaglep3-reporting\EC\2017-06-10-refined-times.txt</v>
      </c>
      <c r="AI178" s="99" t="str">
        <f t="shared" si="86"/>
        <v>echo {"issue":{"subject":"","project_id":79,"tracker_id":40,"status_id":1,"priority_id":2,"assigned_to_id":23,"start_date":"2017-06-10","description":"","custom_fields":[{"id":1,"name":"Subdivision","value":"NW"},{"id":4,"name":"Milepost","value":"0.0663"},{"id":17,"name":"Train ID","value":"1814-10"},{"id":16,"name":"Locomotive ID","value":"4007"},{"id":130,"name":"Impact","value":""},{"id":150,"name":"Time of Event (Mountain Time)","value":"12:55:25"},{"id":151,"name":"Denver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5" t="str">
        <f t="shared" si="87"/>
        <v>start /low /b %USERPROFILE%\Documents\GitHub\eaglep3\Utilities\DownloadLogsFromS3.py --loco 4007 --day 2017-06-10</v>
      </c>
      <c r="AN178" s="154" t="str">
        <f t="shared" si="88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18:55:25"},{"id":29,"name":"Sharepoint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9" spans="1:91" x14ac:dyDescent="0.25">
      <c r="A179" s="32" t="s">
        <v>730</v>
      </c>
      <c r="B179" s="7">
        <v>4008</v>
      </c>
      <c r="C179" s="21" t="s">
        <v>204</v>
      </c>
      <c r="D179" s="21" t="s">
        <v>566</v>
      </c>
      <c r="E179" s="13">
        <v>42896.539363425924</v>
      </c>
      <c r="F179" s="13">
        <v>42896.556527777779</v>
      </c>
      <c r="G179" s="7">
        <v>1</v>
      </c>
      <c r="H179" s="21" t="s">
        <v>872</v>
      </c>
      <c r="I179" s="13">
        <v>42896.566307870373</v>
      </c>
      <c r="J179" s="7">
        <v>0</v>
      </c>
      <c r="K179" s="92" t="str">
        <f t="shared" si="71"/>
        <v>4007/4008</v>
      </c>
      <c r="L179" s="21" t="str">
        <f>VLOOKUP(A179,'Trips&amp;Operators'!$C$1:$G$99999,5,FALSE)</f>
        <v>MACDONALD THOMAS</v>
      </c>
      <c r="M179" s="6">
        <f t="shared" si="72"/>
        <v>9.7800925941555761E-3</v>
      </c>
      <c r="N179" s="7">
        <f t="shared" si="90"/>
        <v>14.08333333558403</v>
      </c>
      <c r="O179" s="7"/>
      <c r="P179" s="7"/>
      <c r="Q179" s="22"/>
      <c r="R179" s="173"/>
      <c r="S179" s="176">
        <f t="shared" si="91"/>
        <v>1</v>
      </c>
      <c r="T179" s="202" t="str">
        <f t="shared" si="75"/>
        <v>NorthBound</v>
      </c>
      <c r="U179" s="202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03" t="str">
        <f t="shared" si="76"/>
        <v>https://d0f6bd738d7f1b3e5a7ca70fe4ff75f0.us-east-1.aws.found.io/app/kibana#/discover/Steve-Slow-Train-Analysis-(2080s-and-2083s)?_g=(refreshInterval:(display:Off,pause:!f,section:0,value:0),time:(from:'2017-06-10T11:56:41-0600',mode:absolute,to:'2017-06-10T14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9" s="204" t="str">
        <f t="shared" si="77"/>
        <v>N</v>
      </c>
      <c r="X179" s="204">
        <f t="shared" si="78"/>
        <v>1</v>
      </c>
      <c r="Y179" s="204">
        <f t="shared" si="92"/>
        <v>9.5500000000000002E-2</v>
      </c>
      <c r="Z179" s="204">
        <f t="shared" si="89"/>
        <v>5.8936999999999999</v>
      </c>
      <c r="AA179" s="204">
        <f t="shared" si="80"/>
        <v>5.7981999999999996</v>
      </c>
      <c r="AB179" s="57" t="e">
        <f>VLOOKUP(A179,Enforcements!$C$7:$K$13,8,0)</f>
        <v>#N/A</v>
      </c>
      <c r="AC179" s="53" t="e">
        <f>VLOOKUP(A179,Enforcements!$C$7:$E$13,3,0)</f>
        <v>#N/A</v>
      </c>
      <c r="AD179" s="54" t="str">
        <f t="shared" si="81"/>
        <v>1815-10</v>
      </c>
      <c r="AE179" s="80" t="str">
        <f t="shared" si="82"/>
        <v>aws s3 cp s3://rtdc.mdm.uploadarchive.raw/RTDC4008/ "%USERPROFILE%\AppData\Local\Temp\OnboardLogs"\RTDC4008\2017-06-10 --exclude "*" --recursive --include "*20170610*" &amp; "%USERPROFILE%\Documents\GitHub\mrs-test-scripts\Headless Mode &amp; Sideloading\WalkAndUnGZ.bat" "%USERPROFILE%\AppData\Local\Temp\OnboardLogs"\RTDC4008\2017-06-10 &amp; aws s3 cp s3://rtdc.mdm.uploadarchive.raw/RTDC4008/ "%USERPROFILE%\AppData\Local\Temp\OnboardLogs"\RTDC4008\2017-06-11 --exclude "*" --recursive --include "*20170611*" &amp; "%USERPROFILE%\Documents\GitHub\mrs-test-scripts\Headless Mode &amp; Sideloading\WalkAndUnGZ.bat" "%USERPROFILE%\AppData\Local\Temp\OnboardLogs"\RTDC4008\2017-06-11</v>
      </c>
      <c r="AF179" s="77" t="str">
        <f t="shared" si="83"/>
        <v>"C:\Program Files (x86)\AstroGrep\AstroGrep.exe" /e /r /s /spath="%USERPROFILE%\AppData\Local\Temp\OnboardLogs" /stypes="app*4008*20170610*" /stext=" 19:.+((SYSTEM_STATE.+slice.+state.+changed )|(ment ac)|(multiple cpu faults)|(system.+state.+changed )|(\[timeout)|(PRM\|1\|D)|(kpr)|(kdp)|(train st.+moving)|(\|lc)|(penalty))"</v>
      </c>
      <c r="AG179" s="1" t="str">
        <f t="shared" si="84"/>
        <v>NW</v>
      </c>
      <c r="AH179" s="81" t="str">
        <f t="shared" si="85"/>
        <v>"%USERPROFILE%\Documents\GitHub\eaglep3\Utilities\RefineRTDCRunTimes.py" --tripid 1815-10 --locoid 4008 --swversion DE.1.0.9.0 --startMP 204:955 --initTime 2017-06-10T12:56:41 --startdatetime 2017-06-10T13:21:24 --delay 1 --endMP 300:58937 --enddatetime 2017-06-10T13:35:29 --enforcementcount 0 &gt;&gt;C:\Users\stu\Documents\GitHub\eaglep3-reporting\EC\2017-06-10-refined-times.txt</v>
      </c>
      <c r="AI179" s="99" t="str">
        <f t="shared" si="86"/>
        <v>echo {"issue":{"subject":"","project_id":79,"tracker_id":40,"status_id":1,"priority_id":2,"assigned_to_id":23,"start_date":"2017-06-10","description":"","custom_fields":[{"id":1,"name":"Subdivision","value":"NW"},{"id":4,"name":"Milepost","value":"5.8937"},{"id":17,"name":"Train ID","value":"1815-10"},{"id":16,"name":"Locomotive ID","value":"4008"},{"id":130,"name":"Impact","value":""},{"id":150,"name":"Time of Event (Mountain Time)","value":"13:35:29"},{"id":151,"name":"Denver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5" t="str">
        <f t="shared" si="87"/>
        <v>start /low /b %USERPROFILE%\Documents\GitHub\eaglep3\Utilities\DownloadLogsFromS3.py --loco 4008 --day 2017-06-10</v>
      </c>
      <c r="AN179" s="154" t="str">
        <f t="shared" si="88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19:35:29"},{"id":29,"name":"Sharepoint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0" spans="1:91" x14ac:dyDescent="0.25">
      <c r="A180" s="32" t="s">
        <v>738</v>
      </c>
      <c r="B180" s="7">
        <v>4007</v>
      </c>
      <c r="C180" s="21" t="s">
        <v>204</v>
      </c>
      <c r="D180" s="21" t="s">
        <v>869</v>
      </c>
      <c r="E180" s="13">
        <v>42896.567384259259</v>
      </c>
      <c r="F180" s="13">
        <v>42896.568368055552</v>
      </c>
      <c r="G180" s="7">
        <v>0</v>
      </c>
      <c r="H180" s="21" t="s">
        <v>894</v>
      </c>
      <c r="I180" s="13">
        <v>42896.580416666664</v>
      </c>
      <c r="J180" s="7">
        <v>0</v>
      </c>
      <c r="K180" s="92" t="str">
        <f t="shared" si="71"/>
        <v>4007/4008</v>
      </c>
      <c r="L180" s="21" t="str">
        <f>VLOOKUP(A180,'Trips&amp;Operators'!$C$1:$G$99999,5,FALSE)</f>
        <v>MACDONALD THOMAS</v>
      </c>
      <c r="M180" s="6">
        <f t="shared" si="72"/>
        <v>1.2048611111822538E-2</v>
      </c>
      <c r="N180" s="7">
        <f t="shared" si="90"/>
        <v>17.350000001024455</v>
      </c>
      <c r="O180" s="7"/>
      <c r="P180" s="7"/>
      <c r="Q180" s="22"/>
      <c r="R180" s="173"/>
      <c r="S180" s="176">
        <f t="shared" si="91"/>
        <v>1</v>
      </c>
      <c r="T180" s="202" t="str">
        <f t="shared" si="75"/>
        <v>Southbound</v>
      </c>
      <c r="U180" s="202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03" t="str">
        <f t="shared" si="76"/>
        <v>https://d0f6bd738d7f1b3e5a7ca70fe4ff75f0.us-east-1.aws.found.io/app/kibana#/discover/Steve-Slow-Train-Analysis-(2080s-and-2083s)?_g=(refreshInterval:(display:Off,pause:!f,section:0,value:0),time:(from:'2017-06-10T12:37:02-0600',mode:absolute,to:'2017-06-10T14:55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0" s="204" t="str">
        <f t="shared" si="77"/>
        <v>N</v>
      </c>
      <c r="X180" s="204">
        <f t="shared" si="78"/>
        <v>1</v>
      </c>
      <c r="Y180" s="204">
        <f t="shared" si="92"/>
        <v>5.8624000000000001</v>
      </c>
      <c r="Z180" s="204">
        <f t="shared" si="89"/>
        <v>7.2400000000000006E-2</v>
      </c>
      <c r="AA180" s="204">
        <f t="shared" si="80"/>
        <v>5.79</v>
      </c>
      <c r="AB180" s="57" t="e">
        <f>VLOOKUP(A180,Enforcements!$C$7:$K$13,8,0)</f>
        <v>#N/A</v>
      </c>
      <c r="AC180" s="53" t="e">
        <f>VLOOKUP(A180,Enforcements!$C$7:$E$13,3,0)</f>
        <v>#N/A</v>
      </c>
      <c r="AD180" s="54" t="str">
        <f t="shared" si="81"/>
        <v>1816-10</v>
      </c>
      <c r="AE180" s="80" t="str">
        <f t="shared" si="82"/>
        <v>aws s3 cp s3://rtdc.mdm.uploadarchive.raw/RTDC4007/ "%USERPROFILE%\AppData\Local\Temp\OnboardLogs"\RTDC4007\2017-06-10 --exclude "*" --recursive --include "*20170610*" &amp; "%USERPROFILE%\Documents\GitHub\mrs-test-scripts\Headless Mode &amp; Sideloading\WalkAndUnGZ.bat" "%USERPROFILE%\AppData\Local\Temp\OnboardLogs"\RTDC4007\2017-06-10 &amp; aws s3 cp s3://rtdc.mdm.uploadarchive.raw/RTDC4007/ "%USERPROFILE%\AppData\Local\Temp\OnboardLogs"\RTDC4007\2017-06-11 --exclude "*" --recursive --include "*20170611*" &amp; "%USERPROFILE%\Documents\GitHub\mrs-test-scripts\Headless Mode &amp; Sideloading\WalkAndUnGZ.bat" "%USERPROFILE%\AppData\Local\Temp\OnboardLogs"\RTDC4007\2017-06-11</v>
      </c>
      <c r="AF180" s="77" t="str">
        <f t="shared" si="83"/>
        <v>"C:\Program Files (x86)\AstroGrep\AstroGrep.exe" /e /r /s /spath="%USERPROFILE%\AppData\Local\Temp\OnboardLogs" /stypes="app*4007*20170610*" /stext=" 19:.+((SYSTEM_STATE.+slice.+state.+changed )|(ment ac)|(multiple cpu faults)|(system.+state.+changed )|(\[timeout)|(PRM\|1\|D)|(kpr)|(kdp)|(train st.+moving)|(\|lc)|(penalty))"</v>
      </c>
      <c r="AG180" s="1" t="str">
        <f t="shared" si="84"/>
        <v>NW</v>
      </c>
      <c r="AH180" s="81" t="str">
        <f t="shared" si="85"/>
        <v>"%USERPROFILE%\Documents\GitHub\eaglep3\Utilities\RefineRTDCRunTimes.py" --tripid 1816-10 --locoid 4007 --swversion DE.1.0.9.0 --startMP 300:58624 --initTime 2017-06-10T13:37:02 --startdatetime 2017-06-10T13:38:27 --delay 0 --endMP 204:724 --enddatetime 2017-06-10T13:55:48 --enforcementcount 0 &gt;&gt;C:\Users\stu\Documents\GitHub\eaglep3-reporting\EC\2017-06-10-refined-times.txt</v>
      </c>
      <c r="AI180" s="99" t="str">
        <f t="shared" si="86"/>
        <v>echo {"issue":{"subject":"","project_id":79,"tracker_id":40,"status_id":1,"priority_id":2,"assigned_to_id":23,"start_date":"2017-06-10","description":"","custom_fields":[{"id":1,"name":"Subdivision","value":"NW"},{"id":4,"name":"Milepost","value":"0.0724"},{"id":17,"name":"Train ID","value":"1816-10"},{"id":16,"name":"Locomotive ID","value":"4007"},{"id":130,"name":"Impact","value":""},{"id":150,"name":"Time of Event (Mountain Time)","value":"13:55:48"},{"id":151,"name":"Denver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5" t="str">
        <f t="shared" si="87"/>
        <v>start /low /b %USERPROFILE%\Documents\GitHub\eaglep3\Utilities\DownloadLogsFromS3.py --loco 4007 --day 2017-06-10</v>
      </c>
      <c r="AN180" s="154" t="str">
        <f t="shared" si="88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19:55:48"},{"id":29,"name":"Sharepoint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1" spans="1:91" x14ac:dyDescent="0.25">
      <c r="A181" s="32" t="s">
        <v>591</v>
      </c>
      <c r="B181" s="7">
        <v>4008</v>
      </c>
      <c r="C181" s="21" t="s">
        <v>204</v>
      </c>
      <c r="D181" s="21" t="s">
        <v>895</v>
      </c>
      <c r="E181" s="13">
        <v>42896.588518518518</v>
      </c>
      <c r="F181" s="13">
        <v>42896.598113425927</v>
      </c>
      <c r="G181" s="7">
        <v>1</v>
      </c>
      <c r="H181" s="21" t="s">
        <v>896</v>
      </c>
      <c r="I181" s="13">
        <v>42896.607719907406</v>
      </c>
      <c r="J181" s="7">
        <v>0</v>
      </c>
      <c r="K181" s="92" t="str">
        <f t="shared" si="71"/>
        <v>4007/4008</v>
      </c>
      <c r="L181" s="21" t="str">
        <f>VLOOKUP(A181,'Trips&amp;Operators'!$C$1:$G$99999,5,FALSE)</f>
        <v>ROMERO CHAD</v>
      </c>
      <c r="M181" s="6">
        <f t="shared" si="72"/>
        <v>9.6064814788405783E-3</v>
      </c>
      <c r="N181" s="7">
        <f t="shared" si="90"/>
        <v>13.833333329530433</v>
      </c>
      <c r="O181" s="7"/>
      <c r="P181" s="7"/>
      <c r="Q181" s="22"/>
      <c r="R181" s="173"/>
      <c r="S181" s="176">
        <f t="shared" si="91"/>
        <v>1</v>
      </c>
      <c r="T181" s="202" t="str">
        <f t="shared" si="75"/>
        <v>NorthBound</v>
      </c>
      <c r="U181" s="202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03" t="str">
        <f t="shared" si="76"/>
        <v>https://d0f6bd738d7f1b3e5a7ca70fe4ff75f0.us-east-1.aws.found.io/app/kibana#/discover/Steve-Slow-Train-Analysis-(2080s-and-2083s)?_g=(refreshInterval:(display:Off,pause:!f,section:0,value:0),time:(from:'2017-06-10T13:07:28-0600',mode:absolute,to:'2017-06-10T15:35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1" s="204" t="str">
        <f t="shared" si="77"/>
        <v>N</v>
      </c>
      <c r="X181" s="204">
        <f t="shared" si="78"/>
        <v>1</v>
      </c>
      <c r="Y181" s="204">
        <f t="shared" si="92"/>
        <v>0.1013</v>
      </c>
      <c r="Z181" s="204">
        <f t="shared" si="89"/>
        <v>5.8086000000000002</v>
      </c>
      <c r="AA181" s="204">
        <f t="shared" si="80"/>
        <v>5.7073</v>
      </c>
      <c r="AB181" s="57" t="e">
        <f>VLOOKUP(A181,Enforcements!$C$7:$K$13,8,0)</f>
        <v>#N/A</v>
      </c>
      <c r="AC181" s="53" t="e">
        <f>VLOOKUP(A181,Enforcements!$C$7:$E$13,3,0)</f>
        <v>#N/A</v>
      </c>
      <c r="AD181" s="54" t="str">
        <f t="shared" si="81"/>
        <v>1817-10</v>
      </c>
      <c r="AE181" s="80" t="str">
        <f t="shared" si="82"/>
        <v>aws s3 cp s3://rtdc.mdm.uploadarchive.raw/RTDC4008/ "%USERPROFILE%\AppData\Local\Temp\OnboardLogs"\RTDC4008\2017-06-10 --exclude "*" --recursive --include "*20170610*" &amp; "%USERPROFILE%\Documents\GitHub\mrs-test-scripts\Headless Mode &amp; Sideloading\WalkAndUnGZ.bat" "%USERPROFILE%\AppData\Local\Temp\OnboardLogs"\RTDC4008\2017-06-10 &amp; aws s3 cp s3://rtdc.mdm.uploadarchive.raw/RTDC4008/ "%USERPROFILE%\AppData\Local\Temp\OnboardLogs"\RTDC4008\2017-06-11 --exclude "*" --recursive --include "*20170611*" &amp; "%USERPROFILE%\Documents\GitHub\mrs-test-scripts\Headless Mode &amp; Sideloading\WalkAndUnGZ.bat" "%USERPROFILE%\AppData\Local\Temp\OnboardLogs"\RTDC4008\2017-06-11</v>
      </c>
      <c r="AF181" s="77" t="str">
        <f t="shared" si="83"/>
        <v>"C:\Program Files (x86)\AstroGrep\AstroGrep.exe" /e /r /s /spath="%USERPROFILE%\AppData\Local\Temp\OnboardLogs" /stypes="app*4008*20170610*" /stext=" 20:.+((SYSTEM_STATE.+slice.+state.+changed )|(ment ac)|(multiple cpu faults)|(system.+state.+changed )|(\[timeout)|(PRM\|1\|D)|(kpr)|(kdp)|(train st.+moving)|(\|lc)|(penalty))"</v>
      </c>
      <c r="AG181" s="1" t="str">
        <f t="shared" si="84"/>
        <v>NW</v>
      </c>
      <c r="AH181" s="81" t="str">
        <f t="shared" si="85"/>
        <v>"%USERPROFILE%\Documents\GitHub\eaglep3\Utilities\RefineRTDCRunTimes.py" --tripid 1817-10 --locoid 4008 --swversion DE.1.0.9.0 --startMP 204:1013 --initTime 2017-06-10T14:07:28 --startdatetime 2017-06-10T14:21:17 --delay 1 --endMP 300:58086 --enddatetime 2017-06-10T14:35:07 --enforcementcount 0 &gt;&gt;C:\Users\stu\Documents\GitHub\eaglep3-reporting\EC\2017-06-10-refined-times.txt</v>
      </c>
      <c r="AI181" s="99" t="str">
        <f t="shared" si="86"/>
        <v>echo {"issue":{"subject":"","project_id":79,"tracker_id":40,"status_id":1,"priority_id":2,"assigned_to_id":23,"start_date":"2017-06-10","description":"","custom_fields":[{"id":1,"name":"Subdivision","value":"NW"},{"id":4,"name":"Milepost","value":"5.8086"},{"id":17,"name":"Train ID","value":"1817-10"},{"id":16,"name":"Locomotive ID","value":"4008"},{"id":130,"name":"Impact","value":""},{"id":150,"name":"Time of Event (Mountain Time)","value":"14:35:07"},{"id":151,"name":"Denver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5" t="str">
        <f t="shared" si="87"/>
        <v>start /low /b %USERPROFILE%\Documents\GitHub\eaglep3\Utilities\DownloadLogsFromS3.py --loco 4008 --day 2017-06-10</v>
      </c>
      <c r="AN181" s="154" t="str">
        <f t="shared" si="88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20:35:07"},{"id":29,"name":"Sharepoint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2" spans="1:91" x14ac:dyDescent="0.25">
      <c r="A182" s="32" t="s">
        <v>592</v>
      </c>
      <c r="B182" s="7">
        <v>4007</v>
      </c>
      <c r="C182" s="21" t="s">
        <v>204</v>
      </c>
      <c r="D182" s="21" t="s">
        <v>897</v>
      </c>
      <c r="E182" s="13">
        <v>42896.608622685184</v>
      </c>
      <c r="F182" s="13">
        <v>42896.610347222224</v>
      </c>
      <c r="G182" s="7">
        <v>1</v>
      </c>
      <c r="H182" s="21" t="s">
        <v>898</v>
      </c>
      <c r="I182" s="13">
        <v>42896.622199074074</v>
      </c>
      <c r="J182" s="7">
        <v>0</v>
      </c>
      <c r="K182" s="92" t="str">
        <f t="shared" si="71"/>
        <v>4007/4008</v>
      </c>
      <c r="L182" s="21" t="str">
        <f>VLOOKUP(A182,'Trips&amp;Operators'!$C$1:$G$99999,5,FALSE)</f>
        <v>ROMERO CHAD</v>
      </c>
      <c r="M182" s="6">
        <f t="shared" si="72"/>
        <v>1.1851851850224193E-2</v>
      </c>
      <c r="N182" s="7">
        <f t="shared" si="90"/>
        <v>17.066666664322838</v>
      </c>
      <c r="O182" s="7"/>
      <c r="P182" s="7"/>
      <c r="Q182" s="22"/>
      <c r="R182" s="173"/>
      <c r="S182" s="176">
        <f t="shared" si="91"/>
        <v>1</v>
      </c>
      <c r="T182" s="202" t="str">
        <f t="shared" si="75"/>
        <v>Southbound</v>
      </c>
      <c r="U182" s="202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03" t="str">
        <f t="shared" si="76"/>
        <v>https://d0f6bd738d7f1b3e5a7ca70fe4ff75f0.us-east-1.aws.found.io/app/kibana#/discover/Steve-Slow-Train-Analysis-(2080s-and-2083s)?_g=(refreshInterval:(display:Off,pause:!f,section:0,value:0),time:(from:'2017-06-10T13:36:25-0600',mode:absolute,to:'2017-06-10T15:55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2" s="204" t="str">
        <f t="shared" si="77"/>
        <v>N</v>
      </c>
      <c r="X182" s="204">
        <f t="shared" si="78"/>
        <v>1</v>
      </c>
      <c r="Y182" s="204">
        <f t="shared" si="92"/>
        <v>5.8711000000000002</v>
      </c>
      <c r="Z182" s="204">
        <f t="shared" si="89"/>
        <v>6.1499999999999999E-2</v>
      </c>
      <c r="AA182" s="204">
        <f t="shared" si="80"/>
        <v>5.8096000000000005</v>
      </c>
      <c r="AB182" s="57" t="e">
        <f>VLOOKUP(A182,Enforcements!$C$7:$K$13,8,0)</f>
        <v>#N/A</v>
      </c>
      <c r="AC182" s="53" t="e">
        <f>VLOOKUP(A182,Enforcements!$C$7:$E$13,3,0)</f>
        <v>#N/A</v>
      </c>
      <c r="AD182" s="54" t="str">
        <f t="shared" si="81"/>
        <v>1818-10</v>
      </c>
      <c r="AE182" s="80" t="str">
        <f t="shared" si="82"/>
        <v>aws s3 cp s3://rtdc.mdm.uploadarchive.raw/RTDC4007/ "%USERPROFILE%\AppData\Local\Temp\OnboardLogs"\RTDC4007\2017-06-10 --exclude "*" --recursive --include "*20170610*" &amp; "%USERPROFILE%\Documents\GitHub\mrs-test-scripts\Headless Mode &amp; Sideloading\WalkAndUnGZ.bat" "%USERPROFILE%\AppData\Local\Temp\OnboardLogs"\RTDC4007\2017-06-10 &amp; aws s3 cp s3://rtdc.mdm.uploadarchive.raw/RTDC4007/ "%USERPROFILE%\AppData\Local\Temp\OnboardLogs"\RTDC4007\2017-06-11 --exclude "*" --recursive --include "*20170611*" &amp; "%USERPROFILE%\Documents\GitHub\mrs-test-scripts\Headless Mode &amp; Sideloading\WalkAndUnGZ.bat" "%USERPROFILE%\AppData\Local\Temp\OnboardLogs"\RTDC4007\2017-06-11</v>
      </c>
      <c r="AF182" s="77" t="str">
        <f t="shared" si="83"/>
        <v>"C:\Program Files (x86)\AstroGrep\AstroGrep.exe" /e /r /s /spath="%USERPROFILE%\AppData\Local\Temp\OnboardLogs" /stypes="app*4007*20170610*" /stext=" 20:.+((SYSTEM_STATE.+slice.+state.+changed )|(ment ac)|(multiple cpu faults)|(system.+state.+changed )|(\[timeout)|(PRM\|1\|D)|(kpr)|(kdp)|(train st.+moving)|(\|lc)|(penalty))"</v>
      </c>
      <c r="AG182" s="1" t="str">
        <f t="shared" si="84"/>
        <v>NW</v>
      </c>
      <c r="AH182" s="81" t="str">
        <f t="shared" si="85"/>
        <v>"%USERPROFILE%\Documents\GitHub\eaglep3\Utilities\RefineRTDCRunTimes.py" --tripid 1818-10 --locoid 4007 --swversion DE.1.0.9.0 --startMP 300:58711 --initTime 2017-06-10T14:36:25 --startdatetime 2017-06-10T14:38:54 --delay 1 --endMP 204:615 --enddatetime 2017-06-10T14:55:58 --enforcementcount 0 &gt;&gt;C:\Users\stu\Documents\GitHub\eaglep3-reporting\EC\2017-06-10-refined-times.txt</v>
      </c>
      <c r="AI182" s="99" t="str">
        <f t="shared" si="86"/>
        <v>echo {"issue":{"subject":"","project_id":79,"tracker_id":40,"status_id":1,"priority_id":2,"assigned_to_id":23,"start_date":"2017-06-10","description":"","custom_fields":[{"id":1,"name":"Subdivision","value":"NW"},{"id":4,"name":"Milepost","value":"0.0615"},{"id":17,"name":"Train ID","value":"1818-10"},{"id":16,"name":"Locomotive ID","value":"4007"},{"id":130,"name":"Impact","value":""},{"id":150,"name":"Time of Event (Mountain Time)","value":"14:55:58"},{"id":151,"name":"Denver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5" t="str">
        <f t="shared" si="87"/>
        <v>start /low /b %USERPROFILE%\Documents\GitHub\eaglep3\Utilities\DownloadLogsFromS3.py --loco 4007 --day 2017-06-10</v>
      </c>
      <c r="AN182" s="154" t="str">
        <f t="shared" si="88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20:55:58"},{"id":29,"name":"Sharepoint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x14ac:dyDescent="0.25">
      <c r="A183" s="32" t="s">
        <v>752</v>
      </c>
      <c r="B183" s="7">
        <v>4008</v>
      </c>
      <c r="C183" s="21" t="s">
        <v>204</v>
      </c>
      <c r="D183" s="21" t="s">
        <v>899</v>
      </c>
      <c r="E183" s="13">
        <v>42896.625</v>
      </c>
      <c r="F183" s="13">
        <v>42896.639756944445</v>
      </c>
      <c r="G183" s="7">
        <v>1</v>
      </c>
      <c r="H183" s="21" t="s">
        <v>900</v>
      </c>
      <c r="I183" s="13">
        <v>42896.648599537039</v>
      </c>
      <c r="J183" s="7">
        <v>0</v>
      </c>
      <c r="K183" s="92" t="str">
        <f t="shared" si="71"/>
        <v>4007/4008</v>
      </c>
      <c r="L183" s="21" t="str">
        <f>VLOOKUP(A183,'Trips&amp;Operators'!$C$1:$G$99999,5,FALSE)</f>
        <v>NEWELL JAMES</v>
      </c>
      <c r="M183" s="6">
        <f t="shared" si="72"/>
        <v>8.8425925932824612E-3</v>
      </c>
      <c r="N183" s="7">
        <f t="shared" si="90"/>
        <v>12.733333334326744</v>
      </c>
      <c r="O183" s="7"/>
      <c r="P183" s="7"/>
      <c r="Q183" s="22"/>
      <c r="R183" s="173"/>
      <c r="S183" s="176">
        <f t="shared" si="91"/>
        <v>1</v>
      </c>
      <c r="T183" s="202" t="str">
        <f t="shared" si="75"/>
        <v>NorthBound</v>
      </c>
      <c r="U183" s="202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03" t="str">
        <f t="shared" si="76"/>
        <v>https://d0f6bd738d7f1b3e5a7ca70fe4ff75f0.us-east-1.aws.found.io/app/kibana#/discover/Steve-Slow-Train-Analysis-(2080s-and-2083s)?_g=(refreshInterval:(display:Off,pause:!f,section:0,value:0),time:(from:'2017-06-10T14:00:00-0600',mode:absolute,to:'2017-06-10T16:33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3" s="204" t="str">
        <f t="shared" si="77"/>
        <v>N</v>
      </c>
      <c r="X183" s="204">
        <f t="shared" si="78"/>
        <v>1</v>
      </c>
      <c r="Y183" s="204">
        <f t="shared" si="92"/>
        <v>9.0899999999999995E-2</v>
      </c>
      <c r="Z183" s="204">
        <f t="shared" si="89"/>
        <v>5.8940999999999999</v>
      </c>
      <c r="AA183" s="204">
        <f t="shared" si="80"/>
        <v>5.8031999999999995</v>
      </c>
      <c r="AB183" s="57" t="e">
        <f>VLOOKUP(A183,Enforcements!$C$7:$K$13,8,0)</f>
        <v>#N/A</v>
      </c>
      <c r="AC183" s="53" t="e">
        <f>VLOOKUP(A183,Enforcements!$C$7:$E$13,3,0)</f>
        <v>#N/A</v>
      </c>
      <c r="AD183" s="54" t="str">
        <f t="shared" si="81"/>
        <v>1819-10</v>
      </c>
      <c r="AE183" s="80" t="str">
        <f t="shared" si="82"/>
        <v>aws s3 cp s3://rtdc.mdm.uploadarchive.raw/RTDC4008/ "%USERPROFILE%\AppData\Local\Temp\OnboardLogs"\RTDC4008\2017-06-10 --exclude "*" --recursive --include "*20170610*" &amp; "%USERPROFILE%\Documents\GitHub\mrs-test-scripts\Headless Mode &amp; Sideloading\WalkAndUnGZ.bat" "%USERPROFILE%\AppData\Local\Temp\OnboardLogs"\RTDC4008\2017-06-10 &amp; aws s3 cp s3://rtdc.mdm.uploadarchive.raw/RTDC4008/ "%USERPROFILE%\AppData\Local\Temp\OnboardLogs"\RTDC4008\2017-06-11 --exclude "*" --recursive --include "*20170611*" &amp; "%USERPROFILE%\Documents\GitHub\mrs-test-scripts\Headless Mode &amp; Sideloading\WalkAndUnGZ.bat" "%USERPROFILE%\AppData\Local\Temp\OnboardLogs"\RTDC4008\2017-06-11</v>
      </c>
      <c r="AF183" s="77" t="str">
        <f t="shared" si="83"/>
        <v>"C:\Program Files (x86)\AstroGrep\AstroGrep.exe" /e /r /s /spath="%USERPROFILE%\AppData\Local\Temp\OnboardLogs" /stypes="app*4008*20170610*" /stext=" 21:.+((SYSTEM_STATE.+slice.+state.+changed )|(ment ac)|(multiple cpu faults)|(system.+state.+changed )|(\[timeout)|(PRM\|1\|D)|(kpr)|(kdp)|(train st.+moving)|(\|lc)|(penalty))"</v>
      </c>
      <c r="AG183" s="1" t="str">
        <f t="shared" si="84"/>
        <v>NW</v>
      </c>
      <c r="AH183" s="81" t="str">
        <f t="shared" si="85"/>
        <v>"%USERPROFILE%\Documents\GitHub\eaglep3\Utilities\RefineRTDCRunTimes.py" --tripid 1819-10 --locoid 4008 --swversion DE.1.0.9.0 --startMP 204:909 --initTime 2017-06-10T15:00:00 --startdatetime 2017-06-10T15:21:15 --delay 1 --endMP 300:58941 --enddatetime 2017-06-10T15:33:59 --enforcementcount 0 &gt;&gt;C:\Users\stu\Documents\GitHub\eaglep3-reporting\EC\2017-06-10-refined-times.txt</v>
      </c>
      <c r="AI183" s="99" t="str">
        <f t="shared" si="86"/>
        <v>echo {"issue":{"subject":"","project_id":79,"tracker_id":40,"status_id":1,"priority_id":2,"assigned_to_id":23,"start_date":"2017-06-10","description":"","custom_fields":[{"id":1,"name":"Subdivision","value":"NW"},{"id":4,"name":"Milepost","value":"5.8941"},{"id":17,"name":"Train ID","value":"1819-10"},{"id":16,"name":"Locomotive ID","value":"4008"},{"id":130,"name":"Impact","value":""},{"id":150,"name":"Time of Event (Mountain Time)","value":"15:33:59"},{"id":151,"name":"Denver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5" t="str">
        <f t="shared" si="87"/>
        <v>start /low /b %USERPROFILE%\Documents\GitHub\eaglep3\Utilities\DownloadLogsFromS3.py --loco 4008 --day 2017-06-10</v>
      </c>
      <c r="AN183" s="154" t="str">
        <f t="shared" si="88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21:33:59"},{"id":29,"name":"Sharepoint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4" spans="1:91" s="20" customFormat="1" x14ac:dyDescent="0.25">
      <c r="A184" s="32" t="s">
        <v>756</v>
      </c>
      <c r="B184" s="7">
        <v>4007</v>
      </c>
      <c r="C184" s="21" t="s">
        <v>204</v>
      </c>
      <c r="D184" s="21" t="s">
        <v>901</v>
      </c>
      <c r="E184" s="13">
        <v>42896.649675925924</v>
      </c>
      <c r="F184" s="13">
        <v>42896.650960648149</v>
      </c>
      <c r="G184" s="7">
        <v>1</v>
      </c>
      <c r="H184" s="21" t="s">
        <v>902</v>
      </c>
      <c r="I184" s="13">
        <v>42896.662731481483</v>
      </c>
      <c r="J184" s="7">
        <v>0</v>
      </c>
      <c r="K184" s="92" t="str">
        <f t="shared" si="71"/>
        <v>4007/4008</v>
      </c>
      <c r="L184" s="21" t="str">
        <f>VLOOKUP(A184,'Trips&amp;Operators'!$C$1:$G$99999,5,FALSE)</f>
        <v>NEWELL JAMES</v>
      </c>
      <c r="M184" s="6">
        <f t="shared" si="72"/>
        <v>1.1770833334594499E-2</v>
      </c>
      <c r="N184" s="7">
        <f t="shared" si="90"/>
        <v>16.950000001816079</v>
      </c>
      <c r="O184" s="7"/>
      <c r="P184" s="7"/>
      <c r="Q184" s="22"/>
      <c r="R184" s="173"/>
      <c r="S184" s="176">
        <f t="shared" si="91"/>
        <v>1</v>
      </c>
      <c r="T184" s="202" t="str">
        <f t="shared" si="75"/>
        <v>Southbound</v>
      </c>
      <c r="U184" s="202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03" t="str">
        <f t="shared" si="76"/>
        <v>https://d0f6bd738d7f1b3e5a7ca70fe4ff75f0.us-east-1.aws.found.io/app/kibana#/discover/Steve-Slow-Train-Analysis-(2080s-and-2083s)?_g=(refreshInterval:(display:Off,pause:!f,section:0,value:0),time:(from:'2017-06-10T14:35:32-0600',mode:absolute,to:'2017-06-10T16:54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4" s="204" t="str">
        <f t="shared" si="77"/>
        <v>N</v>
      </c>
      <c r="X184" s="204">
        <f t="shared" si="78"/>
        <v>1</v>
      </c>
      <c r="Y184" s="204">
        <f t="shared" si="92"/>
        <v>5.8634000000000004</v>
      </c>
      <c r="Z184" s="204">
        <f t="shared" si="89"/>
        <v>6.1899999999999997E-2</v>
      </c>
      <c r="AA184" s="204">
        <f t="shared" si="80"/>
        <v>5.8015000000000008</v>
      </c>
      <c r="AB184" s="57" t="e">
        <f>VLOOKUP(A184,Enforcements!$C$7:$K$13,8,0)</f>
        <v>#N/A</v>
      </c>
      <c r="AC184" s="53" t="e">
        <f>VLOOKUP(A184,Enforcements!$C$7:$E$13,3,0)</f>
        <v>#N/A</v>
      </c>
      <c r="AD184" s="54" t="str">
        <f t="shared" si="81"/>
        <v>1820-10</v>
      </c>
      <c r="AE184" s="80" t="str">
        <f t="shared" si="82"/>
        <v>aws s3 cp s3://rtdc.mdm.uploadarchive.raw/RTDC4007/ "%USERPROFILE%\AppData\Local\Temp\OnboardLogs"\RTDC4007\2017-06-10 --exclude "*" --recursive --include "*20170610*" &amp; "%USERPROFILE%\Documents\GitHub\mrs-test-scripts\Headless Mode &amp; Sideloading\WalkAndUnGZ.bat" "%USERPROFILE%\AppData\Local\Temp\OnboardLogs"\RTDC4007\2017-06-10 &amp; aws s3 cp s3://rtdc.mdm.uploadarchive.raw/RTDC4007/ "%USERPROFILE%\AppData\Local\Temp\OnboardLogs"\RTDC4007\2017-06-11 --exclude "*" --recursive --include "*20170611*" &amp; "%USERPROFILE%\Documents\GitHub\mrs-test-scripts\Headless Mode &amp; Sideloading\WalkAndUnGZ.bat" "%USERPROFILE%\AppData\Local\Temp\OnboardLogs"\RTDC4007\2017-06-11</v>
      </c>
      <c r="AF184" s="77" t="str">
        <f t="shared" si="83"/>
        <v>"C:\Program Files (x86)\AstroGrep\AstroGrep.exe" /e /r /s /spath="%USERPROFILE%\AppData\Local\Temp\OnboardLogs" /stypes="app*4007*20170610*" /stext=" 21:.+((SYSTEM_STATE.+slice.+state.+changed )|(ment ac)|(multiple cpu faults)|(system.+state.+changed )|(\[timeout)|(PRM\|1\|D)|(kpr)|(kdp)|(train st.+moving)|(\|lc)|(penalty))"</v>
      </c>
      <c r="AG184" s="1" t="str">
        <f t="shared" si="84"/>
        <v>NW</v>
      </c>
      <c r="AH184" s="81" t="str">
        <f t="shared" si="85"/>
        <v>"%USERPROFILE%\Documents\GitHub\eaglep3\Utilities\RefineRTDCRunTimes.py" --tripid 1820-10 --locoid 4007 --swversion DE.1.0.9.0 --startMP 300:58634 --initTime 2017-06-10T15:35:32 --startdatetime 2017-06-10T15:37:23 --delay 1 --endMP 204:619 --enddatetime 2017-06-10T15:54:20 --enforcementcount 0 &gt;&gt;C:\Users\stu\Documents\GitHub\eaglep3-reporting\EC\2017-06-10-refined-times.txt</v>
      </c>
      <c r="AI184" s="99" t="str">
        <f t="shared" si="86"/>
        <v>echo {"issue":{"subject":"","project_id":79,"tracker_id":40,"status_id":1,"priority_id":2,"assigned_to_id":23,"start_date":"2017-06-10","description":"","custom_fields":[{"id":1,"name":"Subdivision","value":"NW"},{"id":4,"name":"Milepost","value":"0.0619"},{"id":17,"name":"Train ID","value":"1820-10"},{"id":16,"name":"Locomotive ID","value":"4007"},{"id":130,"name":"Impact","value":""},{"id":150,"name":"Time of Event (Mountain Time)","value":"15:54:20"},{"id":151,"name":"Denver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4" s="47"/>
      <c r="AL184" s="47"/>
      <c r="AM184" s="145" t="str">
        <f t="shared" si="87"/>
        <v>start /low /b %USERPROFILE%\Documents\GitHub\eaglep3\Utilities\DownloadLogsFromS3.py --loco 4007 --day 2017-06-10</v>
      </c>
      <c r="AN184" s="154" t="str">
        <f t="shared" si="88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21:54:20"},{"id":29,"name":"Sharepoint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32" t="s">
        <v>759</v>
      </c>
      <c r="B185" s="7">
        <v>4008</v>
      </c>
      <c r="C185" s="21" t="s">
        <v>204</v>
      </c>
      <c r="D185" s="21" t="s">
        <v>903</v>
      </c>
      <c r="E185" s="13">
        <v>42896.669027777774</v>
      </c>
      <c r="F185" s="13">
        <v>42896.681469907409</v>
      </c>
      <c r="G185" s="7">
        <v>1</v>
      </c>
      <c r="H185" s="21" t="s">
        <v>568</v>
      </c>
      <c r="I185" s="13">
        <v>42896.690370370372</v>
      </c>
      <c r="J185" s="7">
        <v>0</v>
      </c>
      <c r="K185" s="92" t="str">
        <f t="shared" si="71"/>
        <v>4007/4008</v>
      </c>
      <c r="L185" s="21" t="str">
        <f>VLOOKUP(A185,'Trips&amp;Operators'!$C$1:$G$99999,5,FALSE)</f>
        <v>ROMERO CHAD</v>
      </c>
      <c r="M185" s="6">
        <f t="shared" si="72"/>
        <v>8.9004629626288079E-3</v>
      </c>
      <c r="N185" s="7">
        <f t="shared" si="90"/>
        <v>12.816666666185483</v>
      </c>
      <c r="O185" s="7"/>
      <c r="P185" s="7"/>
      <c r="Q185" s="22"/>
      <c r="R185" s="173"/>
      <c r="S185" s="176">
        <f t="shared" si="91"/>
        <v>1</v>
      </c>
      <c r="T185" s="202" t="str">
        <f t="shared" si="75"/>
        <v>NorthBound</v>
      </c>
      <c r="U185" s="202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03" t="str">
        <f t="shared" si="76"/>
        <v>https://d0f6bd738d7f1b3e5a7ca70fe4ff75f0.us-east-1.aws.found.io/app/kibana#/discover/Steve-Slow-Train-Analysis-(2080s-and-2083s)?_g=(refreshInterval:(display:Off,pause:!f,section:0,value:0),time:(from:'2017-06-10T15:03:24-0600',mode:absolute,to:'2017-06-10T17:34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5" s="204" t="str">
        <f t="shared" si="77"/>
        <v>N</v>
      </c>
      <c r="X185" s="204">
        <f t="shared" si="78"/>
        <v>1</v>
      </c>
      <c r="Y185" s="204">
        <f t="shared" si="92"/>
        <v>9.2999999999999999E-2</v>
      </c>
      <c r="Z185" s="204">
        <f t="shared" si="89"/>
        <v>5.8973000000000004</v>
      </c>
      <c r="AA185" s="204">
        <f t="shared" si="80"/>
        <v>5.8043000000000005</v>
      </c>
      <c r="AB185" s="57" t="e">
        <f>VLOOKUP(A185,Enforcements!$C$7:$K$13,8,0)</f>
        <v>#N/A</v>
      </c>
      <c r="AC185" s="53" t="e">
        <f>VLOOKUP(A185,Enforcements!$C$7:$E$13,3,0)</f>
        <v>#N/A</v>
      </c>
      <c r="AD185" s="54" t="str">
        <f t="shared" si="81"/>
        <v>1821-10</v>
      </c>
      <c r="AE185" s="80" t="str">
        <f t="shared" si="82"/>
        <v>aws s3 cp s3://rtdc.mdm.uploadarchive.raw/RTDC4008/ "%USERPROFILE%\AppData\Local\Temp\OnboardLogs"\RTDC4008\2017-06-10 --exclude "*" --recursive --include "*20170610*" &amp; "%USERPROFILE%\Documents\GitHub\mrs-test-scripts\Headless Mode &amp; Sideloading\WalkAndUnGZ.bat" "%USERPROFILE%\AppData\Local\Temp\OnboardLogs"\RTDC4008\2017-06-10 &amp; aws s3 cp s3://rtdc.mdm.uploadarchive.raw/RTDC4008/ "%USERPROFILE%\AppData\Local\Temp\OnboardLogs"\RTDC4008\2017-06-11 --exclude "*" --recursive --include "*20170611*" &amp; "%USERPROFILE%\Documents\GitHub\mrs-test-scripts\Headless Mode &amp; Sideloading\WalkAndUnGZ.bat" "%USERPROFILE%\AppData\Local\Temp\OnboardLogs"\RTDC4008\2017-06-11</v>
      </c>
      <c r="AF185" s="77" t="str">
        <f t="shared" si="83"/>
        <v>"C:\Program Files (x86)\AstroGrep\AstroGrep.exe" /e /r /s /spath="%USERPROFILE%\AppData\Local\Temp\OnboardLogs" /stypes="app*4008*20170610*" /stext=" 22:.+((SYSTEM_STATE.+slice.+state.+changed )|(ment ac)|(multiple cpu faults)|(system.+state.+changed )|(\[timeout)|(PRM\|1\|D)|(kpr)|(kdp)|(train st.+moving)|(\|lc)|(penalty))"</v>
      </c>
      <c r="AG185" s="1" t="str">
        <f t="shared" si="84"/>
        <v>NW</v>
      </c>
      <c r="AH185" s="81" t="str">
        <f t="shared" si="85"/>
        <v>"%USERPROFILE%\Documents\GitHub\eaglep3\Utilities\RefineRTDCRunTimes.py" --tripid 1821-10 --locoid 4008 --swversion DE.1.0.9.0 --startMP 204:930 --initTime 2017-06-10T16:03:24 --startdatetime 2017-06-10T16:21:19 --delay 1 --endMP 300:58973 --enddatetime 2017-06-10T16:34:08 --enforcementcount 0 &gt;&gt;C:\Users\stu\Documents\GitHub\eaglep3-reporting\EC\2017-06-10-refined-times.txt</v>
      </c>
      <c r="AI185" s="99" t="str">
        <f t="shared" si="86"/>
        <v>echo {"issue":{"subject":"","project_id":79,"tracker_id":40,"status_id":1,"priority_id":2,"assigned_to_id":23,"start_date":"2017-06-10","description":"","custom_fields":[{"id":1,"name":"Subdivision","value":"NW"},{"id":4,"name":"Milepost","value":"5.8973"},{"id":17,"name":"Train ID","value":"1821-10"},{"id":16,"name":"Locomotive ID","value":"4008"},{"id":130,"name":"Impact","value":""},{"id":150,"name":"Time of Event (Mountain Time)","value":"16:34:08"},{"id":151,"name":"Denver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5" s="47"/>
      <c r="AL185" s="47"/>
      <c r="AM185" s="145" t="str">
        <f t="shared" si="87"/>
        <v>start /low /b %USERPROFILE%\Documents\GitHub\eaglep3\Utilities\DownloadLogsFromS3.py --loco 4008 --day 2017-06-10</v>
      </c>
      <c r="AN185" s="154" t="str">
        <f t="shared" si="88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22:34:08"},{"id":29,"name":"Sharepoint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32" t="s">
        <v>763</v>
      </c>
      <c r="B186" s="7">
        <v>4007</v>
      </c>
      <c r="C186" s="21" t="s">
        <v>204</v>
      </c>
      <c r="D186" s="21" t="s">
        <v>904</v>
      </c>
      <c r="E186" s="13">
        <v>42896.691307870373</v>
      </c>
      <c r="F186" s="13">
        <v>42896.693101851852</v>
      </c>
      <c r="G186" s="7">
        <v>1</v>
      </c>
      <c r="H186" s="21" t="s">
        <v>905</v>
      </c>
      <c r="I186" s="13">
        <v>42896.704594907409</v>
      </c>
      <c r="J186" s="7">
        <v>0</v>
      </c>
      <c r="K186" s="92" t="str">
        <f t="shared" si="71"/>
        <v>4007/4008</v>
      </c>
      <c r="L186" s="21" t="str">
        <f>VLOOKUP(A186,'Trips&amp;Operators'!$C$1:$G$99999,5,FALSE)</f>
        <v>ROMERO CHAD</v>
      </c>
      <c r="M186" s="6">
        <f t="shared" si="72"/>
        <v>1.1493055557366461E-2</v>
      </c>
      <c r="N186" s="7">
        <f t="shared" si="90"/>
        <v>16.550000002607703</v>
      </c>
      <c r="O186" s="7"/>
      <c r="P186" s="7"/>
      <c r="Q186" s="22"/>
      <c r="R186" s="173"/>
      <c r="S186" s="176">
        <f t="shared" si="91"/>
        <v>1</v>
      </c>
      <c r="T186" s="202" t="str">
        <f t="shared" si="75"/>
        <v>Southbound</v>
      </c>
      <c r="U186" s="202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03" t="str">
        <f t="shared" si="76"/>
        <v>https://d0f6bd738d7f1b3e5a7ca70fe4ff75f0.us-east-1.aws.found.io/app/kibana#/discover/Steve-Slow-Train-Analysis-(2080s-and-2083s)?_g=(refreshInterval:(display:Off,pause:!f,section:0,value:0),time:(from:'2017-06-10T15:35:29-0600',mode:absolute,to:'2017-06-10T17:54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6" s="204" t="str">
        <f t="shared" si="77"/>
        <v>N</v>
      </c>
      <c r="X186" s="204">
        <f t="shared" si="78"/>
        <v>1</v>
      </c>
      <c r="Y186" s="204">
        <f t="shared" si="92"/>
        <v>5.8655999999999997</v>
      </c>
      <c r="Z186" s="204">
        <f t="shared" si="89"/>
        <v>6.7500000000000004E-2</v>
      </c>
      <c r="AA186" s="204">
        <f t="shared" si="80"/>
        <v>5.7980999999999998</v>
      </c>
      <c r="AB186" s="57" t="e">
        <f>VLOOKUP(A186,Enforcements!$C$7:$K$13,8,0)</f>
        <v>#N/A</v>
      </c>
      <c r="AC186" s="53" t="e">
        <f>VLOOKUP(A186,Enforcements!$C$7:$E$13,3,0)</f>
        <v>#N/A</v>
      </c>
      <c r="AD186" s="54" t="str">
        <f t="shared" si="81"/>
        <v>1822-10</v>
      </c>
      <c r="AE186" s="80" t="str">
        <f t="shared" si="82"/>
        <v>aws s3 cp s3://rtdc.mdm.uploadarchive.raw/RTDC4007/ "%USERPROFILE%\AppData\Local\Temp\OnboardLogs"\RTDC4007\2017-06-10 --exclude "*" --recursive --include "*20170610*" &amp; "%USERPROFILE%\Documents\GitHub\mrs-test-scripts\Headless Mode &amp; Sideloading\WalkAndUnGZ.bat" "%USERPROFILE%\AppData\Local\Temp\OnboardLogs"\RTDC4007\2017-06-10 &amp; aws s3 cp s3://rtdc.mdm.uploadarchive.raw/RTDC4007/ "%USERPROFILE%\AppData\Local\Temp\OnboardLogs"\RTDC4007\2017-06-11 --exclude "*" --recursive --include "*20170611*" &amp; "%USERPROFILE%\Documents\GitHub\mrs-test-scripts\Headless Mode &amp; Sideloading\WalkAndUnGZ.bat" "%USERPROFILE%\AppData\Local\Temp\OnboardLogs"\RTDC4007\2017-06-11</v>
      </c>
      <c r="AF186" s="77" t="str">
        <f t="shared" si="83"/>
        <v>"C:\Program Files (x86)\AstroGrep\AstroGrep.exe" /e /r /s /spath="%USERPROFILE%\AppData\Local\Temp\OnboardLogs" /stypes="app*4007*20170610*" /stext=" 22:.+((SYSTEM_STATE.+slice.+state.+changed )|(ment ac)|(multiple cpu faults)|(system.+state.+changed )|(\[timeout)|(PRM\|1\|D)|(kpr)|(kdp)|(train st.+moving)|(\|lc)|(penalty))"</v>
      </c>
      <c r="AG186" s="1" t="str">
        <f t="shared" si="84"/>
        <v>NW</v>
      </c>
      <c r="AH186" s="81" t="str">
        <f t="shared" si="85"/>
        <v>"%USERPROFILE%\Documents\GitHub\eaglep3\Utilities\RefineRTDCRunTimes.py" --tripid 1822-10 --locoid 4007 --swversion DE.1.0.9.0 --startMP 300:58656 --initTime 2017-06-10T16:35:29 --startdatetime 2017-06-10T16:38:04 --delay 1 --endMP 204:675 --enddatetime 2017-06-10T16:54:37 --enforcementcount 0 &gt;&gt;C:\Users\stu\Documents\GitHub\eaglep3-reporting\EC\2017-06-10-refined-times.txt</v>
      </c>
      <c r="AI186" s="99" t="str">
        <f t="shared" si="86"/>
        <v>echo {"issue":{"subject":"","project_id":79,"tracker_id":40,"status_id":1,"priority_id":2,"assigned_to_id":23,"start_date":"2017-06-10","description":"","custom_fields":[{"id":1,"name":"Subdivision","value":"NW"},{"id":4,"name":"Milepost","value":"0.0675"},{"id":17,"name":"Train ID","value":"1822-10"},{"id":16,"name":"Locomotive ID","value":"4007"},{"id":130,"name":"Impact","value":""},{"id":150,"name":"Time of Event (Mountain Time)","value":"16:54:37"},{"id":151,"name":"Denver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6" s="47"/>
      <c r="AL186" s="47"/>
      <c r="AM186" s="145" t="str">
        <f t="shared" si="87"/>
        <v>start /low /b %USERPROFILE%\Documents\GitHub\eaglep3\Utilities\DownloadLogsFromS3.py --loco 4007 --day 2017-06-10</v>
      </c>
      <c r="AN186" s="154" t="str">
        <f t="shared" si="88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22:54:37"},{"id":29,"name":"Sharepoint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x14ac:dyDescent="0.25">
      <c r="A187" s="32" t="s">
        <v>765</v>
      </c>
      <c r="B187" s="7">
        <v>4008</v>
      </c>
      <c r="C187" s="21" t="s">
        <v>204</v>
      </c>
      <c r="D187" s="21" t="s">
        <v>566</v>
      </c>
      <c r="E187" s="13">
        <v>42896.705451388887</v>
      </c>
      <c r="F187" s="13">
        <v>42896.723321759258</v>
      </c>
      <c r="G187" s="7">
        <v>1</v>
      </c>
      <c r="H187" s="21" t="s">
        <v>906</v>
      </c>
      <c r="I187" s="13">
        <v>42896.732349537036</v>
      </c>
      <c r="J187" s="7">
        <v>0</v>
      </c>
      <c r="K187" s="92" t="str">
        <f t="shared" si="71"/>
        <v>4007/4008</v>
      </c>
      <c r="L187" s="21" t="str">
        <f>VLOOKUP(A187,'Trips&amp;Operators'!$C$1:$G$99999,5,FALSE)</f>
        <v>ROMERO CHAD</v>
      </c>
      <c r="M187" s="6">
        <f t="shared" si="72"/>
        <v>9.0277777781011537E-3</v>
      </c>
      <c r="N187" s="7">
        <f t="shared" si="90"/>
        <v>13.000000000465661</v>
      </c>
      <c r="O187" s="7"/>
      <c r="P187" s="7"/>
      <c r="Q187" s="22"/>
      <c r="R187" s="173"/>
      <c r="S187" s="176">
        <f t="shared" si="91"/>
        <v>1</v>
      </c>
      <c r="T187" s="202" t="str">
        <f t="shared" si="75"/>
        <v>NorthBound</v>
      </c>
      <c r="U187" s="202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03" t="str">
        <f t="shared" si="76"/>
        <v>https://d0f6bd738d7f1b3e5a7ca70fe4ff75f0.us-east-1.aws.found.io/app/kibana#/discover/Steve-Slow-Train-Analysis-(2080s-and-2083s)?_g=(refreshInterval:(display:Off,pause:!f,section:0,value:0),time:(from:'2017-06-10T15:55:51-0600',mode:absolute,to:'2017-06-10T18:34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7" s="204" t="str">
        <f t="shared" si="77"/>
        <v>N</v>
      </c>
      <c r="X187" s="204">
        <f t="shared" si="78"/>
        <v>1</v>
      </c>
      <c r="Y187" s="204">
        <f t="shared" si="92"/>
        <v>9.5500000000000002E-2</v>
      </c>
      <c r="Z187" s="204">
        <f t="shared" ref="Z187:Z194" si="93">RIGHT(H187,LEN(H187)-4)/10000</f>
        <v>5.8933</v>
      </c>
      <c r="AA187" s="204">
        <f t="shared" si="80"/>
        <v>5.7977999999999996</v>
      </c>
      <c r="AB187" s="57" t="e">
        <f>VLOOKUP(A187,Enforcements!$C$7:$K$13,8,0)</f>
        <v>#N/A</v>
      </c>
      <c r="AC187" s="53" t="e">
        <f>VLOOKUP(A187,Enforcements!$C$7:$E$13,3,0)</f>
        <v>#N/A</v>
      </c>
      <c r="AD187" s="54" t="str">
        <f t="shared" si="81"/>
        <v>1823-10</v>
      </c>
      <c r="AE187" s="80" t="str">
        <f t="shared" si="82"/>
        <v>aws s3 cp s3://rtdc.mdm.uploadarchive.raw/RTDC4008/ "%USERPROFILE%\AppData\Local\Temp\OnboardLogs"\RTDC4008\2017-06-10 --exclude "*" --recursive --include "*20170610*" &amp; "%USERPROFILE%\Documents\GitHub\mrs-test-scripts\Headless Mode &amp; Sideloading\WalkAndUnGZ.bat" "%USERPROFILE%\AppData\Local\Temp\OnboardLogs"\RTDC4008\2017-06-10 &amp; aws s3 cp s3://rtdc.mdm.uploadarchive.raw/RTDC4008/ "%USERPROFILE%\AppData\Local\Temp\OnboardLogs"\RTDC4008\2017-06-11 --exclude "*" --recursive --include "*20170611*" &amp; "%USERPROFILE%\Documents\GitHub\mrs-test-scripts\Headless Mode &amp; Sideloading\WalkAndUnGZ.bat" "%USERPROFILE%\AppData\Local\Temp\OnboardLogs"\RTDC4008\2017-06-11</v>
      </c>
      <c r="AF187" s="77" t="str">
        <f t="shared" si="83"/>
        <v>"C:\Program Files (x86)\AstroGrep\AstroGrep.exe" /e /r /s /spath="%USERPROFILE%\AppData\Local\Temp\OnboardLogs" /stypes="app*4008*20170610*" /stext=" 23:.+((SYSTEM_STATE.+slice.+state.+changed )|(ment ac)|(multiple cpu faults)|(system.+state.+changed )|(\[timeout)|(PRM\|1\|D)|(kpr)|(kdp)|(train st.+moving)|(\|lc)|(penalty))"</v>
      </c>
      <c r="AG187" s="1" t="str">
        <f t="shared" si="84"/>
        <v>NW</v>
      </c>
      <c r="AH187" s="81" t="str">
        <f t="shared" si="85"/>
        <v>"%USERPROFILE%\Documents\GitHub\eaglep3\Utilities\RefineRTDCRunTimes.py" --tripid 1823-10 --locoid 4008 --swversion DE.1.0.9.0 --startMP 204:955 --initTime 2017-06-10T16:55:51 --startdatetime 2017-06-10T17:21:35 --delay 1 --endMP 300:58933 --enddatetime 2017-06-10T17:34:35 --enforcementcount 0 &gt;&gt;C:\Users\stu\Documents\GitHub\eaglep3-reporting\EC\2017-06-10-refined-times.txt</v>
      </c>
      <c r="AI187" s="99" t="str">
        <f t="shared" si="86"/>
        <v>echo {"issue":{"subject":"","project_id":79,"tracker_id":40,"status_id":1,"priority_id":2,"assigned_to_id":23,"start_date":"2017-06-10","description":"","custom_fields":[{"id":1,"name":"Subdivision","value":"NW"},{"id":4,"name":"Milepost","value":"5.8933"},{"id":17,"name":"Train ID","value":"1823-10"},{"id":16,"name":"Locomotive ID","value":"4008"},{"id":130,"name":"Impact","value":""},{"id":150,"name":"Time of Event (Mountain Time)","value":"17:34:35"},{"id":151,"name":"Denver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5" t="str">
        <f t="shared" si="87"/>
        <v>start /low /b %USERPROFILE%\Documents\GitHub\eaglep3\Utilities\DownloadLogsFromS3.py --loco 4008 --day 2017-06-10</v>
      </c>
      <c r="AN187" s="154" t="str">
        <f t="shared" si="88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23:34:35"},{"id":29,"name":"Sharepoint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x14ac:dyDescent="0.25">
      <c r="A188" s="32" t="s">
        <v>770</v>
      </c>
      <c r="B188" s="7">
        <v>4007</v>
      </c>
      <c r="C188" s="21" t="s">
        <v>204</v>
      </c>
      <c r="D188" s="21" t="s">
        <v>907</v>
      </c>
      <c r="E188" s="13">
        <v>42896.733136574076</v>
      </c>
      <c r="F188" s="13">
        <v>42896.734490740739</v>
      </c>
      <c r="G188" s="7">
        <v>1</v>
      </c>
      <c r="H188" s="21" t="s">
        <v>908</v>
      </c>
      <c r="I188" s="13">
        <v>42896.746377314812</v>
      </c>
      <c r="J188" s="7">
        <v>0</v>
      </c>
      <c r="K188" s="92" t="str">
        <f t="shared" si="71"/>
        <v>4007/4008</v>
      </c>
      <c r="L188" s="21" t="str">
        <f>VLOOKUP(A188,'Trips&amp;Operators'!$C$1:$G$99999,5,FALSE)</f>
        <v>ROMERO CHAD</v>
      </c>
      <c r="M188" s="6">
        <f t="shared" si="72"/>
        <v>1.1886574073287193E-2</v>
      </c>
      <c r="N188" s="7">
        <f t="shared" si="90"/>
        <v>17.116666665533558</v>
      </c>
      <c r="O188" s="7"/>
      <c r="P188" s="7"/>
      <c r="Q188" s="22"/>
      <c r="R188" s="173"/>
      <c r="S188" s="176">
        <f t="shared" si="91"/>
        <v>1</v>
      </c>
      <c r="T188" s="202" t="str">
        <f t="shared" si="75"/>
        <v>Southbound</v>
      </c>
      <c r="U188" s="202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03" t="str">
        <f t="shared" si="76"/>
        <v>https://d0f6bd738d7f1b3e5a7ca70fe4ff75f0.us-east-1.aws.found.io/app/kibana#/discover/Steve-Slow-Train-Analysis-(2080s-and-2083s)?_g=(refreshInterval:(display:Off,pause:!f,section:0,value:0),time:(from:'2017-06-10T16:35:43-0600',mode:absolute,to:'2017-06-10T18:54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8" s="204" t="str">
        <f t="shared" si="77"/>
        <v>N</v>
      </c>
      <c r="X188" s="204">
        <f t="shared" si="78"/>
        <v>1</v>
      </c>
      <c r="Y188" s="204">
        <f t="shared" si="92"/>
        <v>5.8620999999999999</v>
      </c>
      <c r="Z188" s="204">
        <f t="shared" si="93"/>
        <v>6.5199999999999994E-2</v>
      </c>
      <c r="AA188" s="204">
        <f t="shared" si="80"/>
        <v>5.7968999999999999</v>
      </c>
      <c r="AB188" s="57" t="e">
        <f>VLOOKUP(A188,Enforcements!$C$7:$K$13,8,0)</f>
        <v>#N/A</v>
      </c>
      <c r="AC188" s="53" t="e">
        <f>VLOOKUP(A188,Enforcements!$C$7:$E$13,3,0)</f>
        <v>#N/A</v>
      </c>
      <c r="AD188" s="54" t="str">
        <f t="shared" si="81"/>
        <v>1824-10</v>
      </c>
      <c r="AE188" s="80" t="str">
        <f t="shared" si="82"/>
        <v>aws s3 cp s3://rtdc.mdm.uploadarchive.raw/RTDC4007/ "%USERPROFILE%\AppData\Local\Temp\OnboardLogs"\RTDC4007\2017-06-10 --exclude "*" --recursive --include "*20170610*" &amp; "%USERPROFILE%\Documents\GitHub\mrs-test-scripts\Headless Mode &amp; Sideloading\WalkAndUnGZ.bat" "%USERPROFILE%\AppData\Local\Temp\OnboardLogs"\RTDC4007\2017-06-10 &amp; aws s3 cp s3://rtdc.mdm.uploadarchive.raw/RTDC4007/ "%USERPROFILE%\AppData\Local\Temp\OnboardLogs"\RTDC4007\2017-06-11 --exclude "*" --recursive --include "*20170611*" &amp; "%USERPROFILE%\Documents\GitHub\mrs-test-scripts\Headless Mode &amp; Sideloading\WalkAndUnGZ.bat" "%USERPROFILE%\AppData\Local\Temp\OnboardLogs"\RTDC4007\2017-06-11</v>
      </c>
      <c r="AF188" s="77" t="str">
        <f t="shared" si="83"/>
        <v>"C:\Program Files (x86)\AstroGrep\AstroGrep.exe" /e /r /s /spath="%USERPROFILE%\AppData\Local\Temp\OnboardLogs" /stypes="app*4007*20170610*" /stext=" 23:.+((SYSTEM_STATE.+slice.+state.+changed )|(ment ac)|(multiple cpu faults)|(system.+state.+changed )|(\[timeout)|(PRM\|1\|D)|(kpr)|(kdp)|(train st.+moving)|(\|lc)|(penalty))"</v>
      </c>
      <c r="AG188" s="1" t="str">
        <f t="shared" si="84"/>
        <v>NW</v>
      </c>
      <c r="AH188" s="81" t="str">
        <f t="shared" si="85"/>
        <v>"%USERPROFILE%\Documents\GitHub\eaglep3\Utilities\RefineRTDCRunTimes.py" --tripid 1824-10 --locoid 4007 --swversion DE.1.0.9.0 --startMP 300:58621 --initTime 2017-06-10T17:35:43 --startdatetime 2017-06-10T17:37:40 --delay 1 --endMP 204:652 --enddatetime 2017-06-10T17:54:47 --enforcementcount 0 &gt;&gt;C:\Users\stu\Documents\GitHub\eaglep3-reporting\EC\2017-06-10-refined-times.txt</v>
      </c>
      <c r="AI188" s="99" t="str">
        <f t="shared" si="86"/>
        <v>echo {"issue":{"subject":"","project_id":79,"tracker_id":40,"status_id":1,"priority_id":2,"assigned_to_id":23,"start_date":"2017-06-10","description":"","custom_fields":[{"id":1,"name":"Subdivision","value":"NW"},{"id":4,"name":"Milepost","value":"0.0652"},{"id":17,"name":"Train ID","value":"1824-10"},{"id":16,"name":"Locomotive ID","value":"4007"},{"id":130,"name":"Impact","value":""},{"id":150,"name":"Time of Event (Mountain Time)","value":"17:54:47"},{"id":151,"name":"Denver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5" t="str">
        <f t="shared" si="87"/>
        <v>start /low /b %USERPROFILE%\Documents\GitHub\eaglep3\Utilities\DownloadLogsFromS3.py --loco 4007 --day 2017-06-10</v>
      </c>
      <c r="AN188" s="154" t="str">
        <f t="shared" si="88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23:54:47"},{"id":29,"name":"Sharepoint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x14ac:dyDescent="0.25">
      <c r="A189" s="32" t="s">
        <v>776</v>
      </c>
      <c r="B189" s="7">
        <v>4008</v>
      </c>
      <c r="C189" s="21" t="s">
        <v>204</v>
      </c>
      <c r="D189" s="21" t="s">
        <v>909</v>
      </c>
      <c r="E189" s="13">
        <v>42896.749467592592</v>
      </c>
      <c r="F189" s="13">
        <v>42896.764768518522</v>
      </c>
      <c r="G189" s="7">
        <v>1</v>
      </c>
      <c r="H189" s="21" t="s">
        <v>910</v>
      </c>
      <c r="I189" s="13">
        <v>42896.77449074074</v>
      </c>
      <c r="J189" s="7">
        <v>0</v>
      </c>
      <c r="K189" s="92" t="str">
        <f t="shared" si="71"/>
        <v>4007/4008</v>
      </c>
      <c r="L189" s="21" t="str">
        <f>VLOOKUP(A189,'Trips&amp;Operators'!$C$1:$G$99999,5,FALSE)</f>
        <v>SULLIVAN BRANDON</v>
      </c>
      <c r="M189" s="6">
        <f t="shared" si="72"/>
        <v>9.7222222175332718E-3</v>
      </c>
      <c r="N189" s="7">
        <f t="shared" si="90"/>
        <v>13.999999993247911</v>
      </c>
      <c r="O189" s="7"/>
      <c r="P189" s="7"/>
      <c r="Q189" s="22"/>
      <c r="R189" s="173"/>
      <c r="S189" s="176">
        <f t="shared" si="91"/>
        <v>1</v>
      </c>
      <c r="T189" s="202" t="str">
        <f t="shared" si="75"/>
        <v>NorthBound</v>
      </c>
      <c r="U189" s="202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03" t="str">
        <f t="shared" si="76"/>
        <v>https://d0f6bd738d7f1b3e5a7ca70fe4ff75f0.us-east-1.aws.found.io/app/kibana#/discover/Steve-Slow-Train-Analysis-(2080s-and-2083s)?_g=(refreshInterval:(display:Off,pause:!f,section:0,value:0),time:(from:'2017-06-10T16:59:14-0600',mode:absolute,to:'2017-06-10T19:35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9" s="204" t="str">
        <f t="shared" si="77"/>
        <v>N</v>
      </c>
      <c r="X189" s="204">
        <f t="shared" si="78"/>
        <v>1</v>
      </c>
      <c r="Y189" s="204">
        <f t="shared" si="92"/>
        <v>9.2700000000000005E-2</v>
      </c>
      <c r="Z189" s="204">
        <f t="shared" si="93"/>
        <v>5.8935000000000004</v>
      </c>
      <c r="AA189" s="204">
        <f t="shared" si="80"/>
        <v>5.8008000000000006</v>
      </c>
      <c r="AB189" s="57" t="e">
        <f>VLOOKUP(A189,Enforcements!$C$7:$K$13,8,0)</f>
        <v>#N/A</v>
      </c>
      <c r="AC189" s="53" t="e">
        <f>VLOOKUP(A189,Enforcements!$C$7:$E$13,3,0)</f>
        <v>#N/A</v>
      </c>
      <c r="AD189" s="54" t="str">
        <f t="shared" si="81"/>
        <v>1825-10</v>
      </c>
      <c r="AE189" s="80" t="str">
        <f t="shared" si="82"/>
        <v>aws s3 cp s3://rtdc.mdm.uploadarchive.raw/RTDC4008/ "%USERPROFILE%\AppData\Local\Temp\OnboardLogs"\RTDC4008\2017-06-10 --exclude "*" --recursive --include "*20170610*" &amp; "%USERPROFILE%\Documents\GitHub\mrs-test-scripts\Headless Mode &amp; Sideloading\WalkAndUnGZ.bat" "%USERPROFILE%\AppData\Local\Temp\OnboardLogs"\RTDC4008\2017-06-10 &amp; aws s3 cp s3://rtdc.mdm.uploadarchive.raw/RTDC4008/ "%USERPROFILE%\AppData\Local\Temp\OnboardLogs"\RTDC4008\2017-06-11 --exclude "*" --recursive --include "*20170611*" &amp; "%USERPROFILE%\Documents\GitHub\mrs-test-scripts\Headless Mode &amp; Sideloading\WalkAndUnGZ.bat" "%USERPROFILE%\AppData\Local\Temp\OnboardLogs"\RTDC4008\2017-06-11</v>
      </c>
      <c r="AF189" s="77" t="str">
        <f t="shared" si="83"/>
        <v>"C:\Program Files (x86)\AstroGrep\AstroGrep.exe" /e /r /s /spath="%USERPROFILE%\AppData\Local\Temp\OnboardLogs" /stypes="app*4008*20170611*" /stext=" 00:.+((SYSTEM_STATE.+slice.+state.+changed )|(ment ac)|(multiple cpu faults)|(system.+state.+changed )|(\[timeout)|(PRM\|1\|D)|(kpr)|(kdp)|(train st.+moving)|(\|lc)|(penalty))"</v>
      </c>
      <c r="AG189" s="1" t="str">
        <f t="shared" si="84"/>
        <v>NW</v>
      </c>
      <c r="AH189" s="81" t="str">
        <f t="shared" si="85"/>
        <v>"%USERPROFILE%\Documents\GitHub\eaglep3\Utilities\RefineRTDCRunTimes.py" --tripid 1825-10 --locoid 4008 --swversion DE.1.0.9.0 --startMP 204:927 --initTime 2017-06-10T17:59:14 --startdatetime 2017-06-10T18:21:16 --delay 1 --endMP 300:58935 --enddatetime 2017-06-10T18:35:16 --enforcementcount 0 &gt;&gt;C:\Users\stu\Documents\GitHub\eaglep3-reporting\EC\2017-06-10-refined-times.txt</v>
      </c>
      <c r="AI189" s="99" t="str">
        <f t="shared" si="86"/>
        <v>echo {"issue":{"subject":"","project_id":79,"tracker_id":40,"status_id":1,"priority_id":2,"assigned_to_id":23,"start_date":"2017-06-10","description":"","custom_fields":[{"id":1,"name":"Subdivision","value":"NW"},{"id":4,"name":"Milepost","value":"5.8935"},{"id":17,"name":"Train ID","value":"1825-10"},{"id":16,"name":"Locomotive ID","value":"4008"},{"id":130,"name":"Impact","value":""},{"id":150,"name":"Time of Event (Mountain Time)","value":"18:35:16"},{"id":151,"name":"Denver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5" t="str">
        <f t="shared" si="87"/>
        <v>start /low /b %USERPROFILE%\Documents\GitHub\eaglep3\Utilities\DownloadLogsFromS3.py --loco 4008 --day 2017-06-10</v>
      </c>
      <c r="AN189" s="154" t="str">
        <f t="shared" si="88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00:35:16"},{"id":29,"name":"Sharepoint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2" t="s">
        <v>780</v>
      </c>
      <c r="B190" s="7">
        <v>4007</v>
      </c>
      <c r="C190" s="21" t="s">
        <v>204</v>
      </c>
      <c r="D190" s="21" t="s">
        <v>911</v>
      </c>
      <c r="E190" s="13">
        <v>42896.775381944448</v>
      </c>
      <c r="F190" s="13">
        <v>42896.776770833334</v>
      </c>
      <c r="G190" s="7">
        <v>1</v>
      </c>
      <c r="H190" s="21" t="s">
        <v>912</v>
      </c>
      <c r="I190" s="13">
        <v>42896.788622685184</v>
      </c>
      <c r="J190" s="7">
        <v>0</v>
      </c>
      <c r="K190" s="92" t="str">
        <f t="shared" si="71"/>
        <v>4007/4008</v>
      </c>
      <c r="L190" s="21" t="str">
        <f>VLOOKUP(A190,'Trips&amp;Operators'!$C$1:$G$99999,5,FALSE)</f>
        <v>SULLIVAN BRANDON</v>
      </c>
      <c r="M190" s="6">
        <f t="shared" si="72"/>
        <v>1.1851851850224193E-2</v>
      </c>
      <c r="N190" s="7">
        <f t="shared" si="90"/>
        <v>17.066666664322838</v>
      </c>
      <c r="O190" s="7"/>
      <c r="P190" s="7"/>
      <c r="Q190" s="22"/>
      <c r="R190" s="173"/>
      <c r="S190" s="176">
        <f t="shared" si="91"/>
        <v>1</v>
      </c>
      <c r="T190" s="202" t="str">
        <f t="shared" si="75"/>
        <v>Southbound</v>
      </c>
      <c r="U190" s="202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03" t="str">
        <f t="shared" si="76"/>
        <v>https://d0f6bd738d7f1b3e5a7ca70fe4ff75f0.us-east-1.aws.found.io/app/kibana#/discover/Steve-Slow-Train-Analysis-(2080s-and-2083s)?_g=(refreshInterval:(display:Off,pause:!f,section:0,value:0),time:(from:'2017-06-10T17:36:33-0600',mode:absolute,to:'2017-06-10T19:55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0" s="204" t="str">
        <f t="shared" si="77"/>
        <v>N</v>
      </c>
      <c r="X190" s="204">
        <f t="shared" si="78"/>
        <v>1</v>
      </c>
      <c r="Y190" s="204">
        <f t="shared" si="92"/>
        <v>5.8625999999999996</v>
      </c>
      <c r="Z190" s="204">
        <f t="shared" si="93"/>
        <v>6.6400000000000001E-2</v>
      </c>
      <c r="AA190" s="204">
        <f t="shared" si="80"/>
        <v>5.7961999999999998</v>
      </c>
      <c r="AB190" s="57" t="e">
        <f>VLOOKUP(A190,Enforcements!$C$7:$K$13,8,0)</f>
        <v>#N/A</v>
      </c>
      <c r="AC190" s="53" t="e">
        <f>VLOOKUP(A190,Enforcements!$C$7:$E$13,3,0)</f>
        <v>#N/A</v>
      </c>
      <c r="AD190" s="54" t="str">
        <f t="shared" si="81"/>
        <v>1826-10</v>
      </c>
      <c r="AE190" s="80" t="str">
        <f t="shared" si="82"/>
        <v>aws s3 cp s3://rtdc.mdm.uploadarchive.raw/RTDC4007/ "%USERPROFILE%\AppData\Local\Temp\OnboardLogs"\RTDC4007\2017-06-10 --exclude "*" --recursive --include "*20170610*" &amp; "%USERPROFILE%\Documents\GitHub\mrs-test-scripts\Headless Mode &amp; Sideloading\WalkAndUnGZ.bat" "%USERPROFILE%\AppData\Local\Temp\OnboardLogs"\RTDC4007\2017-06-10 &amp; aws s3 cp s3://rtdc.mdm.uploadarchive.raw/RTDC4007/ "%USERPROFILE%\AppData\Local\Temp\OnboardLogs"\RTDC4007\2017-06-11 --exclude "*" --recursive --include "*20170611*" &amp; "%USERPROFILE%\Documents\GitHub\mrs-test-scripts\Headless Mode &amp; Sideloading\WalkAndUnGZ.bat" "%USERPROFILE%\AppData\Local\Temp\OnboardLogs"\RTDC4007\2017-06-11</v>
      </c>
      <c r="AF190" s="77" t="str">
        <f t="shared" si="83"/>
        <v>"C:\Program Files (x86)\AstroGrep\AstroGrep.exe" /e /r /s /spath="%USERPROFILE%\AppData\Local\Temp\OnboardLogs" /stypes="app*4007*20170611*" /stext=" 00:.+((SYSTEM_STATE.+slice.+state.+changed )|(ment ac)|(multiple cpu faults)|(system.+state.+changed )|(\[timeout)|(PRM\|1\|D)|(kpr)|(kdp)|(train st.+moving)|(\|lc)|(penalty))"</v>
      </c>
      <c r="AG190" s="1" t="str">
        <f t="shared" si="84"/>
        <v>NW</v>
      </c>
      <c r="AH190" s="81" t="str">
        <f t="shared" si="85"/>
        <v>"%USERPROFILE%\Documents\GitHub\eaglep3\Utilities\RefineRTDCRunTimes.py" --tripid 1826-10 --locoid 4007 --swversion DE.1.0.9.0 --startMP 300:58626 --initTime 2017-06-10T18:36:33 --startdatetime 2017-06-10T18:38:33 --delay 1 --endMP 204:664 --enddatetime 2017-06-10T18:55:37 --enforcementcount 0 &gt;&gt;C:\Users\stu\Documents\GitHub\eaglep3-reporting\EC\2017-06-10-refined-times.txt</v>
      </c>
      <c r="AI190" s="99" t="str">
        <f t="shared" si="86"/>
        <v>echo {"issue":{"subject":"","project_id":79,"tracker_id":40,"status_id":1,"priority_id":2,"assigned_to_id":23,"start_date":"2017-06-10","description":"","custom_fields":[{"id":1,"name":"Subdivision","value":"NW"},{"id":4,"name":"Milepost","value":"0.0664"},{"id":17,"name":"Train ID","value":"1826-10"},{"id":16,"name":"Locomotive ID","value":"4007"},{"id":130,"name":"Impact","value":""},{"id":150,"name":"Time of Event (Mountain Time)","value":"18:55:37"},{"id":151,"name":"Denver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5" t="str">
        <f t="shared" si="87"/>
        <v>start /low /b %USERPROFILE%\Documents\GitHub\eaglep3\Utilities\DownloadLogsFromS3.py --loco 4007 --day 2017-06-10</v>
      </c>
      <c r="AN190" s="154" t="str">
        <f t="shared" si="88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00:55:37"},{"id":29,"name":"Sharepoint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2" t="s">
        <v>784</v>
      </c>
      <c r="B191" s="7">
        <v>4008</v>
      </c>
      <c r="C191" s="21" t="s">
        <v>204</v>
      </c>
      <c r="D191" s="21" t="s">
        <v>567</v>
      </c>
      <c r="E191" s="13">
        <v>42896.795775462961</v>
      </c>
      <c r="F191" s="13">
        <v>42896.806458333333</v>
      </c>
      <c r="G191" s="7">
        <v>1</v>
      </c>
      <c r="H191" s="21" t="s">
        <v>884</v>
      </c>
      <c r="I191" s="13">
        <v>42896.816006944442</v>
      </c>
      <c r="J191" s="7">
        <v>0</v>
      </c>
      <c r="K191" s="92" t="str">
        <f t="shared" si="71"/>
        <v>4007/4008</v>
      </c>
      <c r="L191" s="21" t="str">
        <f>VLOOKUP(A191,'Trips&amp;Operators'!$C$1:$G$99999,5,FALSE)</f>
        <v>SULLIVAN BRANDON</v>
      </c>
      <c r="M191" s="6">
        <f t="shared" si="72"/>
        <v>9.5486111094942316E-3</v>
      </c>
      <c r="N191" s="7">
        <f t="shared" si="90"/>
        <v>13.749999997671694</v>
      </c>
      <c r="O191" s="7"/>
      <c r="P191" s="7"/>
      <c r="Q191" s="22"/>
      <c r="R191" s="173"/>
      <c r="S191" s="176">
        <f t="shared" si="91"/>
        <v>1</v>
      </c>
      <c r="T191" s="202" t="str">
        <f t="shared" si="75"/>
        <v>NorthBound</v>
      </c>
      <c r="U191" s="202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03" t="str">
        <f t="shared" si="76"/>
        <v>https://d0f6bd738d7f1b3e5a7ca70fe4ff75f0.us-east-1.aws.found.io/app/kibana#/discover/Steve-Slow-Train-Analysis-(2080s-and-2083s)?_g=(refreshInterval:(display:Off,pause:!f,section:0,value:0),time:(from:'2017-06-10T18:05:55-0600',mode:absolute,to:'2017-06-10T20:35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1" s="204" t="str">
        <f t="shared" si="77"/>
        <v>N</v>
      </c>
      <c r="X191" s="204">
        <f t="shared" si="78"/>
        <v>1</v>
      </c>
      <c r="Y191" s="204">
        <f t="shared" si="92"/>
        <v>9.6199999999999994E-2</v>
      </c>
      <c r="Z191" s="204">
        <f t="shared" si="93"/>
        <v>5.8945999999999996</v>
      </c>
      <c r="AA191" s="204">
        <f t="shared" si="80"/>
        <v>5.7984</v>
      </c>
      <c r="AB191" s="57" t="e">
        <f>VLOOKUP(A191,Enforcements!$C$7:$K$13,8,0)</f>
        <v>#N/A</v>
      </c>
      <c r="AC191" s="53" t="e">
        <f>VLOOKUP(A191,Enforcements!$C$7:$E$13,3,0)</f>
        <v>#N/A</v>
      </c>
      <c r="AD191" s="54" t="str">
        <f t="shared" si="81"/>
        <v>1827-10</v>
      </c>
      <c r="AE191" s="80" t="str">
        <f t="shared" si="82"/>
        <v>aws s3 cp s3://rtdc.mdm.uploadarchive.raw/RTDC4008/ "%USERPROFILE%\AppData\Local\Temp\OnboardLogs"\RTDC4008\2017-06-10 --exclude "*" --recursive --include "*20170610*" &amp; "%USERPROFILE%\Documents\GitHub\mrs-test-scripts\Headless Mode &amp; Sideloading\WalkAndUnGZ.bat" "%USERPROFILE%\AppData\Local\Temp\OnboardLogs"\RTDC4008\2017-06-10 &amp; aws s3 cp s3://rtdc.mdm.uploadarchive.raw/RTDC4008/ "%USERPROFILE%\AppData\Local\Temp\OnboardLogs"\RTDC4008\2017-06-11 --exclude "*" --recursive --include "*20170611*" &amp; "%USERPROFILE%\Documents\GitHub\mrs-test-scripts\Headless Mode &amp; Sideloading\WalkAndUnGZ.bat" "%USERPROFILE%\AppData\Local\Temp\OnboardLogs"\RTDC4008\2017-06-11</v>
      </c>
      <c r="AF191" s="77" t="str">
        <f t="shared" si="83"/>
        <v>"C:\Program Files (x86)\AstroGrep\AstroGrep.exe" /e /r /s /spath="%USERPROFILE%\AppData\Local\Temp\OnboardLogs" /stypes="app*4008*20170611*" /stext=" 01:.+((SYSTEM_STATE.+slice.+state.+changed )|(ment ac)|(multiple cpu faults)|(system.+state.+changed )|(\[timeout)|(PRM\|1\|D)|(kpr)|(kdp)|(train st.+moving)|(\|lc)|(penalty))"</v>
      </c>
      <c r="AG191" s="1" t="str">
        <f t="shared" si="84"/>
        <v>NW</v>
      </c>
      <c r="AH191" s="81" t="str">
        <f t="shared" si="85"/>
        <v>"%USERPROFILE%\Documents\GitHub\eaglep3\Utilities\RefineRTDCRunTimes.py" --tripid 1827-10 --locoid 4008 --swversion DE.1.0.9.0 --startMP 204:962 --initTime 2017-06-10T19:05:55 --startdatetime 2017-06-10T19:21:18 --delay 1 --endMP 300:58946 --enddatetime 2017-06-10T19:35:03 --enforcementcount 0 &gt;&gt;C:\Users\stu\Documents\GitHub\eaglep3-reporting\EC\2017-06-10-refined-times.txt</v>
      </c>
      <c r="AI191" s="99" t="str">
        <f t="shared" si="86"/>
        <v>echo {"issue":{"subject":"","project_id":79,"tracker_id":40,"status_id":1,"priority_id":2,"assigned_to_id":23,"start_date":"2017-06-10","description":"","custom_fields":[{"id":1,"name":"Subdivision","value":"NW"},{"id":4,"name":"Milepost","value":"5.8946"},{"id":17,"name":"Train ID","value":"1827-10"},{"id":16,"name":"Locomotive ID","value":"4008"},{"id":130,"name":"Impact","value":""},{"id":150,"name":"Time of Event (Mountain Time)","value":"19:35:03"},{"id":151,"name":"Denver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5" t="str">
        <f t="shared" si="87"/>
        <v>start /low /b %USERPROFILE%\Documents\GitHub\eaglep3\Utilities\DownloadLogsFromS3.py --loco 4008 --day 2017-06-10</v>
      </c>
      <c r="AN191" s="154" t="str">
        <f t="shared" si="88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01:35:03"},{"id":29,"name":"Sharepoint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x14ac:dyDescent="0.25">
      <c r="A192" s="32" t="s">
        <v>789</v>
      </c>
      <c r="B192" s="7">
        <v>4007</v>
      </c>
      <c r="C192" s="21" t="s">
        <v>204</v>
      </c>
      <c r="D192" s="21" t="s">
        <v>570</v>
      </c>
      <c r="E192" s="13">
        <v>42896.81690972222</v>
      </c>
      <c r="F192" s="13">
        <v>42896.817974537036</v>
      </c>
      <c r="G192" s="7">
        <v>1</v>
      </c>
      <c r="H192" s="21" t="s">
        <v>887</v>
      </c>
      <c r="I192" s="13">
        <v>42896.830277777779</v>
      </c>
      <c r="J192" s="7">
        <v>0</v>
      </c>
      <c r="K192" s="92" t="str">
        <f t="shared" si="71"/>
        <v>4007/4008</v>
      </c>
      <c r="L192" s="21" t="str">
        <f>VLOOKUP(A192,'Trips&amp;Operators'!$C$1:$G$99999,5,FALSE)</f>
        <v>SULLIVAN BRANDON</v>
      </c>
      <c r="M192" s="6">
        <f t="shared" si="72"/>
        <v>1.230324074276723E-2</v>
      </c>
      <c r="N192" s="7">
        <f t="shared" si="90"/>
        <v>17.716666669584811</v>
      </c>
      <c r="O192" s="7"/>
      <c r="P192" s="7"/>
      <c r="Q192" s="22"/>
      <c r="R192" s="173"/>
      <c r="S192" s="176">
        <f t="shared" si="91"/>
        <v>1</v>
      </c>
      <c r="T192" s="202" t="str">
        <f t="shared" si="75"/>
        <v>Southbound</v>
      </c>
      <c r="U192" s="202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03" t="str">
        <f t="shared" si="76"/>
        <v>https://d0f6bd738d7f1b3e5a7ca70fe4ff75f0.us-east-1.aws.found.io/app/kibana#/discover/Steve-Slow-Train-Analysis-(2080s-and-2083s)?_g=(refreshInterval:(display:Off,pause:!f,section:0,value:0),time:(from:'2017-06-10T18:36:21-0600',mode:absolute,to:'2017-06-10T20:55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2" s="204" t="str">
        <f t="shared" si="77"/>
        <v>N</v>
      </c>
      <c r="X192" s="204">
        <f t="shared" si="78"/>
        <v>1</v>
      </c>
      <c r="Y192" s="204">
        <f t="shared" si="92"/>
        <v>5.8632</v>
      </c>
      <c r="Z192" s="204">
        <f t="shared" si="93"/>
        <v>7.0999999999999994E-2</v>
      </c>
      <c r="AA192" s="204">
        <f t="shared" si="80"/>
        <v>5.7922000000000002</v>
      </c>
      <c r="AB192" s="57" t="e">
        <f>VLOOKUP(A192,Enforcements!$C$7:$K$13,8,0)</f>
        <v>#N/A</v>
      </c>
      <c r="AC192" s="53" t="e">
        <f>VLOOKUP(A192,Enforcements!$C$7:$E$13,3,0)</f>
        <v>#N/A</v>
      </c>
      <c r="AD192" s="54" t="str">
        <f t="shared" si="81"/>
        <v>1828-10</v>
      </c>
      <c r="AE192" s="80" t="str">
        <f t="shared" si="82"/>
        <v>aws s3 cp s3://rtdc.mdm.uploadarchive.raw/RTDC4007/ "%USERPROFILE%\AppData\Local\Temp\OnboardLogs"\RTDC4007\2017-06-10 --exclude "*" --recursive --include "*20170610*" &amp; "%USERPROFILE%\Documents\GitHub\mrs-test-scripts\Headless Mode &amp; Sideloading\WalkAndUnGZ.bat" "%USERPROFILE%\AppData\Local\Temp\OnboardLogs"\RTDC4007\2017-06-10 &amp; aws s3 cp s3://rtdc.mdm.uploadarchive.raw/RTDC4007/ "%USERPROFILE%\AppData\Local\Temp\OnboardLogs"\RTDC4007\2017-06-11 --exclude "*" --recursive --include "*20170611*" &amp; "%USERPROFILE%\Documents\GitHub\mrs-test-scripts\Headless Mode &amp; Sideloading\WalkAndUnGZ.bat" "%USERPROFILE%\AppData\Local\Temp\OnboardLogs"\RTDC4007\2017-06-11</v>
      </c>
      <c r="AF192" s="77" t="str">
        <f t="shared" si="83"/>
        <v>"C:\Program Files (x86)\AstroGrep\AstroGrep.exe" /e /r /s /spath="%USERPROFILE%\AppData\Local\Temp\OnboardLogs" /stypes="app*4007*20170611*" /stext=" 01:.+((SYSTEM_STATE.+slice.+state.+changed )|(ment ac)|(multiple cpu faults)|(system.+state.+changed )|(\[timeout)|(PRM\|1\|D)|(kpr)|(kdp)|(train st.+moving)|(\|lc)|(penalty))"</v>
      </c>
      <c r="AG192" s="1" t="str">
        <f t="shared" si="84"/>
        <v>NW</v>
      </c>
      <c r="AH192" s="81" t="str">
        <f t="shared" si="85"/>
        <v>"%USERPROFILE%\Documents\GitHub\eaglep3\Utilities\RefineRTDCRunTimes.py" --tripid 1828-10 --locoid 4007 --swversion DE.1.0.9.0 --startMP 300:58632 --initTime 2017-06-10T19:36:21 --startdatetime 2017-06-10T19:37:53 --delay 1 --endMP 204:710 --enddatetime 2017-06-10T19:55:36 --enforcementcount 0 &gt;&gt;C:\Users\stu\Documents\GitHub\eaglep3-reporting\EC\2017-06-10-refined-times.txt</v>
      </c>
      <c r="AI192" s="99" t="str">
        <f t="shared" si="86"/>
        <v>echo {"issue":{"subject":"","project_id":79,"tracker_id":40,"status_id":1,"priority_id":2,"assigned_to_id":23,"start_date":"2017-06-10","description":"","custom_fields":[{"id":1,"name":"Subdivision","value":"NW"},{"id":4,"name":"Milepost","value":"0.071"},{"id":17,"name":"Train ID","value":"1828-10"},{"id":16,"name":"Locomotive ID","value":"4007"},{"id":130,"name":"Impact","value":""},{"id":150,"name":"Time of Event (Mountain Time)","value":"19:55:36"},{"id":151,"name":"Denver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5" t="str">
        <f t="shared" si="87"/>
        <v>start /low /b %USERPROFILE%\Documents\GitHub\eaglep3\Utilities\DownloadLogsFromS3.py --loco 4007 --day 2017-06-10</v>
      </c>
      <c r="AN192" s="154" t="str">
        <f t="shared" si="88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01:55:36"},{"id":29,"name":"Sharepoint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3" spans="1:91" x14ac:dyDescent="0.25">
      <c r="A193" s="32" t="s">
        <v>792</v>
      </c>
      <c r="B193" s="7">
        <v>4008</v>
      </c>
      <c r="C193" s="21" t="s">
        <v>204</v>
      </c>
      <c r="D193" s="21" t="s">
        <v>487</v>
      </c>
      <c r="E193" s="13">
        <v>42896.837719907409</v>
      </c>
      <c r="F193" s="13">
        <v>42896.84820601852</v>
      </c>
      <c r="G193" s="7">
        <v>1</v>
      </c>
      <c r="H193" s="21" t="s">
        <v>537</v>
      </c>
      <c r="I193" s="13">
        <v>42896.857604166667</v>
      </c>
      <c r="J193" s="7">
        <v>0</v>
      </c>
      <c r="K193" s="92" t="str">
        <f t="shared" si="71"/>
        <v>4007/4008</v>
      </c>
      <c r="L193" s="21" t="str">
        <f>VLOOKUP(A193,'Trips&amp;Operators'!$C$1:$G$99999,5,FALSE)</f>
        <v>SULLIVAN BRANDON</v>
      </c>
      <c r="M193" s="6">
        <f t="shared" si="72"/>
        <v>9.3981481477385387E-3</v>
      </c>
      <c r="N193" s="7">
        <f t="shared" si="90"/>
        <v>13.533333332743496</v>
      </c>
      <c r="O193" s="7"/>
      <c r="P193" s="7"/>
      <c r="Q193" s="22"/>
      <c r="R193" s="173"/>
      <c r="S193" s="176">
        <f t="shared" si="91"/>
        <v>1</v>
      </c>
      <c r="T193" s="202" t="str">
        <f t="shared" si="75"/>
        <v>NorthBound</v>
      </c>
      <c r="U193" s="202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03" t="str">
        <f t="shared" si="76"/>
        <v>https://d0f6bd738d7f1b3e5a7ca70fe4ff75f0.us-east-1.aws.found.io/app/kibana#/discover/Steve-Slow-Train-Analysis-(2080s-and-2083s)?_g=(refreshInterval:(display:Off,pause:!f,section:0,value:0),time:(from:'2017-06-10T19:06:19-0600',mode:absolute,to:'2017-06-10T21:34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3" s="204" t="str">
        <f t="shared" si="77"/>
        <v>N</v>
      </c>
      <c r="X193" s="204">
        <f t="shared" si="78"/>
        <v>1</v>
      </c>
      <c r="Y193" s="204">
        <f t="shared" si="92"/>
        <v>9.8500000000000004E-2</v>
      </c>
      <c r="Z193" s="204">
        <f t="shared" si="93"/>
        <v>5.8928000000000003</v>
      </c>
      <c r="AA193" s="204">
        <f t="shared" si="80"/>
        <v>5.7943000000000007</v>
      </c>
      <c r="AB193" s="57" t="e">
        <f>VLOOKUP(A193,Enforcements!$C$7:$K$13,8,0)</f>
        <v>#N/A</v>
      </c>
      <c r="AC193" s="53" t="e">
        <f>VLOOKUP(A193,Enforcements!$C$7:$E$13,3,0)</f>
        <v>#N/A</v>
      </c>
      <c r="AD193" s="54" t="str">
        <f t="shared" si="81"/>
        <v>1829-10</v>
      </c>
      <c r="AE193" s="80" t="str">
        <f t="shared" si="82"/>
        <v>aws s3 cp s3://rtdc.mdm.uploadarchive.raw/RTDC4008/ "%USERPROFILE%\AppData\Local\Temp\OnboardLogs"\RTDC4008\2017-06-10 --exclude "*" --recursive --include "*20170610*" &amp; "%USERPROFILE%\Documents\GitHub\mrs-test-scripts\Headless Mode &amp; Sideloading\WalkAndUnGZ.bat" "%USERPROFILE%\AppData\Local\Temp\OnboardLogs"\RTDC4008\2017-06-10 &amp; aws s3 cp s3://rtdc.mdm.uploadarchive.raw/RTDC4008/ "%USERPROFILE%\AppData\Local\Temp\OnboardLogs"\RTDC4008\2017-06-11 --exclude "*" --recursive --include "*20170611*" &amp; "%USERPROFILE%\Documents\GitHub\mrs-test-scripts\Headless Mode &amp; Sideloading\WalkAndUnGZ.bat" "%USERPROFILE%\AppData\Local\Temp\OnboardLogs"\RTDC4008\2017-06-11</v>
      </c>
      <c r="AF193" s="77" t="str">
        <f t="shared" si="83"/>
        <v>"C:\Program Files (x86)\AstroGrep\AstroGrep.exe" /e /r /s /spath="%USERPROFILE%\AppData\Local\Temp\OnboardLogs" /stypes="app*4008*20170611*" /stext=" 02:.+((SYSTEM_STATE.+slice.+state.+changed )|(ment ac)|(multiple cpu faults)|(system.+state.+changed )|(\[timeout)|(PRM\|1\|D)|(kpr)|(kdp)|(train st.+moving)|(\|lc)|(penalty))"</v>
      </c>
      <c r="AG193" s="1" t="str">
        <f t="shared" si="84"/>
        <v>NW</v>
      </c>
      <c r="AH193" s="81" t="str">
        <f t="shared" si="85"/>
        <v>"%USERPROFILE%\Documents\GitHub\eaglep3\Utilities\RefineRTDCRunTimes.py" --tripid 1829-10 --locoid 4008 --swversion DE.1.0.9.0 --startMP 204:985 --initTime 2017-06-10T20:06:19 --startdatetime 2017-06-10T20:21:25 --delay 1 --endMP 300:58928 --enddatetime 2017-06-10T20:34:57 --enforcementcount 0 &gt;&gt;C:\Users\stu\Documents\GitHub\eaglep3-reporting\EC\2017-06-10-refined-times.txt</v>
      </c>
      <c r="AI193" s="99" t="str">
        <f t="shared" si="86"/>
        <v>echo {"issue":{"subject":"","project_id":79,"tracker_id":40,"status_id":1,"priority_id":2,"assigned_to_id":23,"start_date":"2017-06-10","description":"","custom_fields":[{"id":1,"name":"Subdivision","value":"NW"},{"id":4,"name":"Milepost","value":"5.8928"},{"id":17,"name":"Train ID","value":"1829-10"},{"id":16,"name":"Locomotive ID","value":"4008"},{"id":130,"name":"Impact","value":""},{"id":150,"name":"Time of Event (Mountain Time)","value":"20:34:57"},{"id":151,"name":"Denver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5" t="str">
        <f t="shared" si="87"/>
        <v>start /low /b %USERPROFILE%\Documents\GitHub\eaglep3\Utilities\DownloadLogsFromS3.py --loco 4008 --day 2017-06-10</v>
      </c>
      <c r="AN193" s="154" t="str">
        <f t="shared" si="88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02:34:57"},{"id":29,"name":"Sharepoint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91" x14ac:dyDescent="0.25">
      <c r="A194" s="32" t="s">
        <v>794</v>
      </c>
      <c r="B194" s="7">
        <v>4007</v>
      </c>
      <c r="C194" s="21" t="s">
        <v>204</v>
      </c>
      <c r="D194" s="21" t="s">
        <v>489</v>
      </c>
      <c r="E194" s="13">
        <v>42896.858564814815</v>
      </c>
      <c r="F194" s="13">
        <v>42896.859664351854</v>
      </c>
      <c r="G194" s="7">
        <v>1</v>
      </c>
      <c r="H194" s="21" t="s">
        <v>486</v>
      </c>
      <c r="I194" s="13">
        <v>42896.871562499997</v>
      </c>
      <c r="J194" s="7">
        <v>0</v>
      </c>
      <c r="K194" s="92" t="str">
        <f t="shared" si="71"/>
        <v>4007/4008</v>
      </c>
      <c r="L194" s="21" t="str">
        <f>VLOOKUP(A194,'Trips&amp;Operators'!$C$1:$G$99999,5,FALSE)</f>
        <v>SULLIVAN BRANDON</v>
      </c>
      <c r="M194" s="6">
        <f t="shared" si="72"/>
        <v>1.1898148142790888E-2</v>
      </c>
      <c r="N194" s="7">
        <f t="shared" si="90"/>
        <v>17.133333325618878</v>
      </c>
      <c r="O194" s="7"/>
      <c r="P194" s="7"/>
      <c r="Q194" s="22"/>
      <c r="R194" s="173"/>
      <c r="S194" s="176">
        <f t="shared" si="91"/>
        <v>1</v>
      </c>
      <c r="T194" s="202" t="str">
        <f t="shared" si="75"/>
        <v>Southbound</v>
      </c>
      <c r="U194" s="202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03" t="str">
        <f t="shared" si="76"/>
        <v>https://d0f6bd738d7f1b3e5a7ca70fe4ff75f0.us-east-1.aws.found.io/app/kibana#/discover/Steve-Slow-Train-Analysis-(2080s-and-2083s)?_g=(refreshInterval:(display:Off,pause:!f,section:0,value:0),time:(from:'2017-06-10T19:36:20-0600',mode:absolute,to:'2017-06-10T21:55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4" s="204" t="str">
        <f t="shared" si="77"/>
        <v>N</v>
      </c>
      <c r="X194" s="204">
        <f t="shared" si="78"/>
        <v>1</v>
      </c>
      <c r="Y194" s="204">
        <f t="shared" si="92"/>
        <v>5.8615000000000004</v>
      </c>
      <c r="Z194" s="204">
        <f t="shared" si="93"/>
        <v>6.9400000000000003E-2</v>
      </c>
      <c r="AA194" s="204">
        <f t="shared" si="80"/>
        <v>5.7921000000000005</v>
      </c>
      <c r="AB194" s="57" t="e">
        <f>VLOOKUP(A194,Enforcements!$C$7:$K$13,8,0)</f>
        <v>#N/A</v>
      </c>
      <c r="AC194" s="53" t="e">
        <f>VLOOKUP(A194,Enforcements!$C$7:$E$13,3,0)</f>
        <v>#N/A</v>
      </c>
      <c r="AD194" s="54" t="str">
        <f t="shared" si="81"/>
        <v>1830-10</v>
      </c>
      <c r="AE194" s="80" t="str">
        <f t="shared" si="82"/>
        <v>aws s3 cp s3://rtdc.mdm.uploadarchive.raw/RTDC4007/ "%USERPROFILE%\AppData\Local\Temp\OnboardLogs"\RTDC4007\2017-06-10 --exclude "*" --recursive --include "*20170610*" &amp; "%USERPROFILE%\Documents\GitHub\mrs-test-scripts\Headless Mode &amp; Sideloading\WalkAndUnGZ.bat" "%USERPROFILE%\AppData\Local\Temp\OnboardLogs"\RTDC4007\2017-06-10 &amp; aws s3 cp s3://rtdc.mdm.uploadarchive.raw/RTDC4007/ "%USERPROFILE%\AppData\Local\Temp\OnboardLogs"\RTDC4007\2017-06-11 --exclude "*" --recursive --include "*20170611*" &amp; "%USERPROFILE%\Documents\GitHub\mrs-test-scripts\Headless Mode &amp; Sideloading\WalkAndUnGZ.bat" "%USERPROFILE%\AppData\Local\Temp\OnboardLogs"\RTDC4007\2017-06-11</v>
      </c>
      <c r="AF194" s="77" t="str">
        <f t="shared" si="83"/>
        <v>"C:\Program Files (x86)\AstroGrep\AstroGrep.exe" /e /r /s /spath="%USERPROFILE%\AppData\Local\Temp\OnboardLogs" /stypes="app*4007*20170611*" /stext=" 02:.+((SYSTEM_STATE.+slice.+state.+changed )|(ment ac)|(multiple cpu faults)|(system.+state.+changed )|(\[timeout)|(PRM\|1\|D)|(kpr)|(kdp)|(train st.+moving)|(\|lc)|(penalty))"</v>
      </c>
      <c r="AG194" s="1" t="str">
        <f t="shared" si="84"/>
        <v>NW</v>
      </c>
      <c r="AH194" s="81" t="str">
        <f t="shared" si="85"/>
        <v>"%USERPROFILE%\Documents\GitHub\eaglep3\Utilities\RefineRTDCRunTimes.py" --tripid 1830-10 --locoid 4007 --swversion DE.1.0.9.0 --startMP 300:58615 --initTime 2017-06-10T20:36:20 --startdatetime 2017-06-10T20:37:55 --delay 1 --endMP 204:694 --enddatetime 2017-06-10T20:55:03 --enforcementcount 0 &gt;&gt;C:\Users\stu\Documents\GitHub\eaglep3-reporting\EC\2017-06-10-refined-times.txt</v>
      </c>
      <c r="AI194" s="99" t="str">
        <f t="shared" si="86"/>
        <v>echo {"issue":{"subject":"","project_id":79,"tracker_id":40,"status_id":1,"priority_id":2,"assigned_to_id":23,"start_date":"2017-06-10","description":"","custom_fields":[{"id":1,"name":"Subdivision","value":"NW"},{"id":4,"name":"Milepost","value":"0.0694"},{"id":17,"name":"Train ID","value":"1830-10"},{"id":16,"name":"Locomotive ID","value":"4007"},{"id":130,"name":"Impact","value":""},{"id":150,"name":"Time of Event (Mountain Time)","value":"20:55:03"},{"id":151,"name":"Denver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5" t="str">
        <f t="shared" si="87"/>
        <v>start /low /b %USERPROFILE%\Documents\GitHub\eaglep3\Utilities\DownloadLogsFromS3.py --loco 4007 --day 2017-06-10</v>
      </c>
      <c r="AN194" s="154" t="str">
        <f t="shared" si="88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02:55:03"},{"id":29,"name":"Sharepoint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5" spans="1:91" s="20" customFormat="1" x14ac:dyDescent="0.25">
      <c r="A195" s="32" t="s">
        <v>606</v>
      </c>
      <c r="B195" s="7">
        <v>4008</v>
      </c>
      <c r="C195" s="21" t="s">
        <v>204</v>
      </c>
      <c r="D195" s="21" t="s">
        <v>913</v>
      </c>
      <c r="E195" s="13">
        <v>42896.881064814814</v>
      </c>
      <c r="F195" s="13">
        <v>42896.889768518522</v>
      </c>
      <c r="G195" s="7">
        <v>1</v>
      </c>
      <c r="H195" s="21" t="s">
        <v>914</v>
      </c>
      <c r="I195" s="13">
        <v>42896.899293981478</v>
      </c>
      <c r="J195" s="7">
        <v>0</v>
      </c>
      <c r="K195" s="92" t="str">
        <f t="shared" si="71"/>
        <v>4007/4008</v>
      </c>
      <c r="L195" s="21" t="str">
        <f>VLOOKUP(A195,'Trips&amp;Operators'!$C$1:$G$99999,5,FALSE)</f>
        <v>SULLIVAN BRANDON</v>
      </c>
      <c r="M195" s="6">
        <f t="shared" si="72"/>
        <v>9.5254629559349269E-3</v>
      </c>
      <c r="N195" s="7">
        <f t="shared" si="90"/>
        <v>13.716666656546295</v>
      </c>
      <c r="O195" s="7"/>
      <c r="P195" s="7"/>
      <c r="Q195" s="22"/>
      <c r="R195" s="173"/>
      <c r="S195" s="176">
        <f t="shared" si="91"/>
        <v>1</v>
      </c>
      <c r="T195" s="202" t="str">
        <f t="shared" si="75"/>
        <v>NorthBound</v>
      </c>
      <c r="U195" s="202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03" t="str">
        <f t="shared" si="76"/>
        <v>https://d0f6bd738d7f1b3e5a7ca70fe4ff75f0.us-east-1.aws.found.io/app/kibana#/discover/Steve-Slow-Train-Analysis-(2080s-and-2083s)?_g=(refreshInterval:(display:Off,pause:!f,section:0,value:0),time:(from:'2017-06-10T20:08:44-0600',mode:absolute,to:'2017-06-10T22:34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5" s="204" t="str">
        <f t="shared" si="77"/>
        <v>N</v>
      </c>
      <c r="X195" s="204">
        <f t="shared" si="78"/>
        <v>1</v>
      </c>
      <c r="Y195" s="204">
        <v>9.8500000000000004E-2</v>
      </c>
      <c r="Z195" s="204">
        <v>5.8928000000000003</v>
      </c>
      <c r="AA195" s="204">
        <f t="shared" si="80"/>
        <v>5.7943000000000007</v>
      </c>
      <c r="AB195" s="57" t="e">
        <f>VLOOKUP(A195,Enforcements!$C$7:$K$13,8,0)</f>
        <v>#N/A</v>
      </c>
      <c r="AC195" s="53" t="e">
        <f>VLOOKUP(A195,Enforcements!$C$7:$E$13,3,0)</f>
        <v>#N/A</v>
      </c>
      <c r="AD195" s="54" t="str">
        <f t="shared" si="81"/>
        <v>1831-10</v>
      </c>
      <c r="AE195" s="80" t="str">
        <f t="shared" si="82"/>
        <v>aws s3 cp s3://rtdc.mdm.uploadarchive.raw/RTDC4008/ "%USERPROFILE%\AppData\Local\Temp\OnboardLogs"\RTDC4008\2017-06-10 --exclude "*" --recursive --include "*20170610*" &amp; "%USERPROFILE%\Documents\GitHub\mrs-test-scripts\Headless Mode &amp; Sideloading\WalkAndUnGZ.bat" "%USERPROFILE%\AppData\Local\Temp\OnboardLogs"\RTDC4008\2017-06-10 &amp; aws s3 cp s3://rtdc.mdm.uploadarchive.raw/RTDC4008/ "%USERPROFILE%\AppData\Local\Temp\OnboardLogs"\RTDC4008\2017-06-11 --exclude "*" --recursive --include "*20170611*" &amp; "%USERPROFILE%\Documents\GitHub\mrs-test-scripts\Headless Mode &amp; Sideloading\WalkAndUnGZ.bat" "%USERPROFILE%\AppData\Local\Temp\OnboardLogs"\RTDC4008\2017-06-11</v>
      </c>
      <c r="AF195" s="77" t="str">
        <f t="shared" si="83"/>
        <v>"C:\Program Files (x86)\AstroGrep\AstroGrep.exe" /e /r /s /spath="%USERPROFILE%\AppData\Local\Temp\OnboardLogs" /stypes="app*4008*20170611*" /stext=" 03:.+((SYSTEM_STATE.+slice.+state.+changed )|(ment ac)|(multiple cpu faults)|(system.+state.+changed )|(\[timeout)|(PRM\|1\|D)|(kpr)|(kdp)|(train st.+moving)|(\|lc)|(penalty))"</v>
      </c>
      <c r="AG195" s="1" t="str">
        <f t="shared" si="84"/>
        <v>NW</v>
      </c>
      <c r="AH195" s="81" t="str">
        <f t="shared" si="85"/>
        <v>"%USERPROFILE%\Documents\GitHub\eaglep3\Utilities\RefineRTDCRunTimes.py" --tripid 1831-10 --locoid 4008 --swversion DE.1.0.9.0 --startMP 204:986 --initTime 2017-06-10T21:08:44 --startdatetime 2017-06-10T21:21:16 --delay 1 --endMP 204:990 --enddatetime 2017-06-10T21:34:59 --enforcementcount 0 &gt;&gt;C:\Users\stu\Documents\GitHub\eaglep3-reporting\EC\2017-06-10-refined-times.txt</v>
      </c>
      <c r="AI195" s="99" t="str">
        <f t="shared" si="86"/>
        <v>echo {"issue":{"subject":"","project_id":79,"tracker_id":40,"status_id":1,"priority_id":2,"assigned_to_id":23,"start_date":"2017-06-10","description":"","custom_fields":[{"id":1,"name":"Subdivision","value":"NW"},{"id":4,"name":"Milepost","value":"5.8928"},{"id":17,"name":"Train ID","value":"1831-10"},{"id":16,"name":"Locomotive ID","value":"4008"},{"id":130,"name":"Impact","value":""},{"id":150,"name":"Time of Event (Mountain Time)","value":"21:34:59"},{"id":151,"name":"Denver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5" s="47"/>
      <c r="AL195" s="47"/>
      <c r="AM195" s="145" t="str">
        <f t="shared" si="87"/>
        <v>start /low /b %USERPROFILE%\Documents\GitHub\eaglep3\Utilities\DownloadLogsFromS3.py --loco 4008 --day 2017-06-10</v>
      </c>
      <c r="AN195" s="154" t="str">
        <f t="shared" si="88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03:34:59"},{"id":29,"name":"Sharepoint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x14ac:dyDescent="0.25">
      <c r="A196" s="32" t="s">
        <v>800</v>
      </c>
      <c r="B196" s="7">
        <v>4007</v>
      </c>
      <c r="C196" s="21" t="s">
        <v>204</v>
      </c>
      <c r="D196" s="21" t="s">
        <v>869</v>
      </c>
      <c r="E196" s="13">
        <v>42896.900312500002</v>
      </c>
      <c r="F196" s="13">
        <v>42896.901574074072</v>
      </c>
      <c r="G196" s="7">
        <v>1</v>
      </c>
      <c r="H196" s="21" t="s">
        <v>486</v>
      </c>
      <c r="I196" s="13">
        <v>42896.913287037038</v>
      </c>
      <c r="J196" s="7">
        <v>0</v>
      </c>
      <c r="K196" s="92" t="str">
        <f t="shared" si="71"/>
        <v>4007/4008</v>
      </c>
      <c r="L196" s="21" t="str">
        <f>VLOOKUP(A196,'Trips&amp;Operators'!$C$1:$G$99999,5,FALSE)</f>
        <v>SULLIVAN BRANDON</v>
      </c>
      <c r="M196" s="6">
        <f t="shared" si="72"/>
        <v>1.1712962965248153E-2</v>
      </c>
      <c r="N196" s="7">
        <f t="shared" si="90"/>
        <v>16.86666666995734</v>
      </c>
      <c r="O196" s="7"/>
      <c r="P196" s="7"/>
      <c r="Q196" s="22"/>
      <c r="R196" s="173"/>
      <c r="S196" s="176">
        <f t="shared" si="91"/>
        <v>1</v>
      </c>
      <c r="T196" s="202" t="str">
        <f t="shared" si="75"/>
        <v>Southbound</v>
      </c>
      <c r="U196" s="202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03" t="str">
        <f t="shared" si="76"/>
        <v>https://d0f6bd738d7f1b3e5a7ca70fe4ff75f0.us-east-1.aws.found.io/app/kibana#/discover/Steve-Slow-Train-Analysis-(2080s-and-2083s)?_g=(refreshInterval:(display:Off,pause:!f,section:0,value:0),time:(from:'2017-06-10T20:36:27-0600',mode:absolute,to:'2017-06-10T22:55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6" s="204" t="str">
        <f t="shared" si="77"/>
        <v>N</v>
      </c>
      <c r="X196" s="204">
        <f t="shared" si="78"/>
        <v>1</v>
      </c>
      <c r="Y196" s="204">
        <f t="shared" ref="Y196:Y243" si="94">RIGHT(D196,LEN(D196)-4)/10000</f>
        <v>5.8624000000000001</v>
      </c>
      <c r="Z196" s="204">
        <f t="shared" ref="Z196:Z243" si="95">RIGHT(H196,LEN(H196)-4)/10000</f>
        <v>6.9400000000000003E-2</v>
      </c>
      <c r="AA196" s="204">
        <f t="shared" si="80"/>
        <v>5.7930000000000001</v>
      </c>
      <c r="AB196" s="57" t="e">
        <f>VLOOKUP(A196,Enforcements!$C$7:$K$13,8,0)</f>
        <v>#N/A</v>
      </c>
      <c r="AC196" s="53" t="e">
        <f>VLOOKUP(A196,Enforcements!$C$7:$E$13,3,0)</f>
        <v>#N/A</v>
      </c>
      <c r="AD196" s="54" t="str">
        <f t="shared" si="81"/>
        <v>1832-10</v>
      </c>
      <c r="AE196" s="80" t="str">
        <f t="shared" si="82"/>
        <v>aws s3 cp s3://rtdc.mdm.uploadarchive.raw/RTDC4007/ "%USERPROFILE%\AppData\Local\Temp\OnboardLogs"\RTDC4007\2017-06-10 --exclude "*" --recursive --include "*20170610*" &amp; "%USERPROFILE%\Documents\GitHub\mrs-test-scripts\Headless Mode &amp; Sideloading\WalkAndUnGZ.bat" "%USERPROFILE%\AppData\Local\Temp\OnboardLogs"\RTDC4007\2017-06-10 &amp; aws s3 cp s3://rtdc.mdm.uploadarchive.raw/RTDC4007/ "%USERPROFILE%\AppData\Local\Temp\OnboardLogs"\RTDC4007\2017-06-11 --exclude "*" --recursive --include "*20170611*" &amp; "%USERPROFILE%\Documents\GitHub\mrs-test-scripts\Headless Mode &amp; Sideloading\WalkAndUnGZ.bat" "%USERPROFILE%\AppData\Local\Temp\OnboardLogs"\RTDC4007\2017-06-11</v>
      </c>
      <c r="AF196" s="77" t="str">
        <f t="shared" si="83"/>
        <v>"C:\Program Files (x86)\AstroGrep\AstroGrep.exe" /e /r /s /spath="%USERPROFILE%\AppData\Local\Temp\OnboardLogs" /stypes="app*4007*20170611*" /stext=" 03:.+((SYSTEM_STATE.+slice.+state.+changed )|(ment ac)|(multiple cpu faults)|(system.+state.+changed )|(\[timeout)|(PRM\|1\|D)|(kpr)|(kdp)|(train st.+moving)|(\|lc)|(penalty))"</v>
      </c>
      <c r="AG196" s="1" t="str">
        <f t="shared" si="84"/>
        <v>NW</v>
      </c>
      <c r="AH196" s="81" t="str">
        <f t="shared" si="85"/>
        <v>"%USERPROFILE%\Documents\GitHub\eaglep3\Utilities\RefineRTDCRunTimes.py" --tripid 1832-10 --locoid 4007 --swversion DE.1.0.9.0 --startMP 300:58624 --initTime 2017-06-10T21:36:27 --startdatetime 2017-06-10T21:38:16 --delay 1 --endMP 204:694 --enddatetime 2017-06-10T21:55:08 --enforcementcount 0 &gt;&gt;C:\Users\stu\Documents\GitHub\eaglep3-reporting\EC\2017-06-10-refined-times.txt</v>
      </c>
      <c r="AI196" s="99" t="str">
        <f t="shared" si="86"/>
        <v>echo {"issue":{"subject":"","project_id":79,"tracker_id":40,"status_id":1,"priority_id":2,"assigned_to_id":23,"start_date":"2017-06-10","description":"","custom_fields":[{"id":1,"name":"Subdivision","value":"NW"},{"id":4,"name":"Milepost","value":"0.0694"},{"id":17,"name":"Train ID","value":"1832-10"},{"id":16,"name":"Locomotive ID","value":"4007"},{"id":130,"name":"Impact","value":""},{"id":150,"name":"Time of Event (Mountain Time)","value":"21:55:08"},{"id":151,"name":"Denver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5" t="str">
        <f t="shared" si="87"/>
        <v>start /low /b %USERPROFILE%\Documents\GitHub\eaglep3\Utilities\DownloadLogsFromS3.py --loco 4007 --day 2017-06-10</v>
      </c>
      <c r="AN196" s="154" t="str">
        <f t="shared" si="88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03:55:08"},{"id":29,"name":"Sharepoint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7" spans="1:91" x14ac:dyDescent="0.25">
      <c r="A197" s="32" t="s">
        <v>803</v>
      </c>
      <c r="B197" s="7">
        <v>4008</v>
      </c>
      <c r="C197" s="21" t="s">
        <v>204</v>
      </c>
      <c r="D197" s="21" t="s">
        <v>915</v>
      </c>
      <c r="E197" s="13">
        <v>42896.921064814815</v>
      </c>
      <c r="F197" s="13">
        <v>42896.931469907409</v>
      </c>
      <c r="G197" s="7">
        <v>1</v>
      </c>
      <c r="H197" s="21" t="s">
        <v>872</v>
      </c>
      <c r="I197" s="13">
        <v>42896.94190972222</v>
      </c>
      <c r="J197" s="7">
        <v>0</v>
      </c>
      <c r="K197" s="92" t="str">
        <f t="shared" si="71"/>
        <v>4007/4008</v>
      </c>
      <c r="L197" s="21" t="str">
        <f>VLOOKUP(A197,'Trips&amp;Operators'!$C$1:$G$99999,5,FALSE)</f>
        <v>SULLIVAN BRANDON</v>
      </c>
      <c r="M197" s="6">
        <f t="shared" si="72"/>
        <v>1.0439814810524695E-2</v>
      </c>
      <c r="N197" s="7">
        <f t="shared" si="90"/>
        <v>15.03333332715556</v>
      </c>
      <c r="O197" s="7"/>
      <c r="P197" s="7"/>
      <c r="Q197" s="22"/>
      <c r="R197" s="173"/>
      <c r="S197" s="176">
        <f t="shared" si="91"/>
        <v>1</v>
      </c>
      <c r="T197" s="202" t="str">
        <f t="shared" si="75"/>
        <v>NorthBound</v>
      </c>
      <c r="U197" s="202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03" t="str">
        <f t="shared" si="76"/>
        <v>https://d0f6bd738d7f1b3e5a7ca70fe4ff75f0.us-east-1.aws.found.io/app/kibana#/discover/Steve-Slow-Train-Analysis-(2080s-and-2083s)?_g=(refreshInterval:(display:Off,pause:!f,section:0,value:0),time:(from:'2017-06-10T21:06:20-0600',mode:absolute,to:'2017-06-10T23:36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7" s="204" t="str">
        <f t="shared" si="77"/>
        <v>N</v>
      </c>
      <c r="X197" s="204">
        <f t="shared" si="78"/>
        <v>1</v>
      </c>
      <c r="Y197" s="204">
        <f t="shared" si="94"/>
        <v>9.7600000000000006E-2</v>
      </c>
      <c r="Z197" s="204">
        <f t="shared" si="95"/>
        <v>5.8936999999999999</v>
      </c>
      <c r="AA197" s="204">
        <f t="shared" si="80"/>
        <v>5.7961</v>
      </c>
      <c r="AB197" s="57" t="e">
        <f>VLOOKUP(A197,Enforcements!$C$7:$K$13,8,0)</f>
        <v>#N/A</v>
      </c>
      <c r="AC197" s="53" t="e">
        <f>VLOOKUP(A197,Enforcements!$C$7:$E$13,3,0)</f>
        <v>#N/A</v>
      </c>
      <c r="AD197" s="54" t="str">
        <f t="shared" si="81"/>
        <v>1833-10</v>
      </c>
      <c r="AE197" s="80" t="str">
        <f t="shared" si="82"/>
        <v>aws s3 cp s3://rtdc.mdm.uploadarchive.raw/RTDC4008/ "%USERPROFILE%\AppData\Local\Temp\OnboardLogs"\RTDC4008\2017-06-10 --exclude "*" --recursive --include "*20170610*" &amp; "%USERPROFILE%\Documents\GitHub\mrs-test-scripts\Headless Mode &amp; Sideloading\WalkAndUnGZ.bat" "%USERPROFILE%\AppData\Local\Temp\OnboardLogs"\RTDC4008\2017-06-10 &amp; aws s3 cp s3://rtdc.mdm.uploadarchive.raw/RTDC4008/ "%USERPROFILE%\AppData\Local\Temp\OnboardLogs"\RTDC4008\2017-06-11 --exclude "*" --recursive --include "*20170611*" &amp; "%USERPROFILE%\Documents\GitHub\mrs-test-scripts\Headless Mode &amp; Sideloading\WalkAndUnGZ.bat" "%USERPROFILE%\AppData\Local\Temp\OnboardLogs"\RTDC4008\2017-06-11</v>
      </c>
      <c r="AF197" s="77" t="str">
        <f t="shared" si="83"/>
        <v>"C:\Program Files (x86)\AstroGrep\AstroGrep.exe" /e /r /s /spath="%USERPROFILE%\AppData\Local\Temp\OnboardLogs" /stypes="app*4008*20170611*" /stext=" 04:.+((SYSTEM_STATE.+slice.+state.+changed )|(ment ac)|(multiple cpu faults)|(system.+state.+changed )|(\[timeout)|(PRM\|1\|D)|(kpr)|(kdp)|(train st.+moving)|(\|lc)|(penalty))"</v>
      </c>
      <c r="AG197" s="1" t="str">
        <f t="shared" si="84"/>
        <v>NW</v>
      </c>
      <c r="AH197" s="81" t="str">
        <f t="shared" si="85"/>
        <v>"%USERPROFILE%\Documents\GitHub\eaglep3\Utilities\RefineRTDCRunTimes.py" --tripid 1833-10 --locoid 4008 --swversion DE.1.0.9.0 --startMP 204:976 --initTime 2017-06-10T22:06:20 --startdatetime 2017-06-10T22:21:19 --delay 1 --endMP 300:58937 --enddatetime 2017-06-10T22:36:21 --enforcementcount 0 &gt;&gt;C:\Users\stu\Documents\GitHub\eaglep3-reporting\EC\2017-06-10-refined-times.txt</v>
      </c>
      <c r="AI197" s="99" t="str">
        <f t="shared" si="86"/>
        <v>echo {"issue":{"subject":"","project_id":79,"tracker_id":40,"status_id":1,"priority_id":2,"assigned_to_id":23,"start_date":"2017-06-10","description":"","custom_fields":[{"id":1,"name":"Subdivision","value":"NW"},{"id":4,"name":"Milepost","value":"5.8937"},{"id":17,"name":"Train ID","value":"1833-10"},{"id":16,"name":"Locomotive ID","value":"4008"},{"id":130,"name":"Impact","value":""},{"id":150,"name":"Time of Event (Mountain Time)","value":"22:36:21"},{"id":151,"name":"Denver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5" t="str">
        <f t="shared" si="87"/>
        <v>start /low /b %USERPROFILE%\Documents\GitHub\eaglep3\Utilities\DownloadLogsFromS3.py --loco 4008 --day 2017-06-10</v>
      </c>
      <c r="AN197" s="154" t="str">
        <f t="shared" si="88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04:36:21"},{"id":29,"name":"Sharepoint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91" x14ac:dyDescent="0.25">
      <c r="A198" s="32" t="s">
        <v>621</v>
      </c>
      <c r="B198" s="7">
        <v>4055</v>
      </c>
      <c r="C198" s="21" t="s">
        <v>204</v>
      </c>
      <c r="D198" s="21" t="s">
        <v>956</v>
      </c>
      <c r="E198" s="13">
        <v>42896.118888888886</v>
      </c>
      <c r="F198" s="13">
        <v>42896.121631944443</v>
      </c>
      <c r="G198" s="7">
        <v>3</v>
      </c>
      <c r="H198" s="21" t="s">
        <v>463</v>
      </c>
      <c r="I198" s="13">
        <v>42896.126793981479</v>
      </c>
      <c r="J198" s="7">
        <v>0</v>
      </c>
      <c r="K198" s="92" t="str">
        <f t="shared" si="71"/>
        <v>4055/4056</v>
      </c>
      <c r="L198" s="21" t="str">
        <f>VLOOKUP(A198,'Trips&amp;Operators'!$C$1:$G$99999,5,FALSE)</f>
        <v>ROCHA YAOTL</v>
      </c>
      <c r="M198" s="6">
        <f t="shared" si="72"/>
        <v>5.1620370359160006E-3</v>
      </c>
      <c r="N198" s="7">
        <f t="shared" si="90"/>
        <v>7.4333333317190409</v>
      </c>
      <c r="O198" s="7"/>
      <c r="P198" s="7"/>
      <c r="Q198" s="22"/>
      <c r="R198" s="173"/>
      <c r="S198" s="176">
        <f t="shared" si="91"/>
        <v>1</v>
      </c>
      <c r="T198" s="202" t="str">
        <f t="shared" si="75"/>
        <v>Southbound</v>
      </c>
      <c r="U198" s="202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03" t="str">
        <f t="shared" si="76"/>
        <v>https://d0f6bd738d7f1b3e5a7ca70fe4ff75f0.us-east-1.aws.found.io/app/kibana#/discover/Steve-Slow-Train-Analysis-(2080s-and-2083s)?_g=(refreshInterval:(display:Off,pause:!f,section:0,value:0),time:(from:'2017-06-10T01:51:12-0600',mode:absolute,to:'2017-06-10T04:02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98" s="204" t="str">
        <f t="shared" si="77"/>
        <v>Y</v>
      </c>
      <c r="X198" s="204">
        <f t="shared" si="78"/>
        <v>-1533</v>
      </c>
      <c r="Y198" s="204">
        <f t="shared" si="94"/>
        <v>2.3290000000000002</v>
      </c>
      <c r="Z198" s="204">
        <f t="shared" si="95"/>
        <v>1.6299999999999999E-2</v>
      </c>
      <c r="AA198" s="204">
        <f t="shared" si="80"/>
        <v>2.3127</v>
      </c>
      <c r="AB198" s="57" t="e">
        <f>VLOOKUP(A198,Enforcements!$C$7:$K$13,8,0)</f>
        <v>#N/A</v>
      </c>
      <c r="AC198" s="53" t="e">
        <f>VLOOKUP(A198,Enforcements!$C$7:$E$13,3,0)</f>
        <v>#N/A</v>
      </c>
      <c r="AD198" s="54" t="str">
        <f t="shared" si="81"/>
        <v>0300-10</v>
      </c>
      <c r="AE198" s="80" t="str">
        <f t="shared" si="82"/>
        <v>aws s3 cp s3://rtdc.mdm.uploadarchive.raw/RTDC4055/ "%USERPROFILE%\AppData\Local\Temp\OnboardLogs"\RTDC4055\2017-06-10 --exclude "*" --recursive --include "*20170610*" &amp; "%USERPROFILE%\Documents\GitHub\mrs-test-scripts\Headless Mode &amp; Sideloading\WalkAndUnGZ.bat" "%USERPROFILE%\AppData\Local\Temp\OnboardLogs"\RTDC4055\2017-06-10 &amp; aws s3 cp s3://rtdc.mdm.uploadarchive.raw/RTDC4055/ "%USERPROFILE%\AppData\Local\Temp\OnboardLogs"\RTDC4055\2017-06-11 --exclude "*" --recursive --include "*20170611*" &amp; "%USERPROFILE%\Documents\GitHub\mrs-test-scripts\Headless Mode &amp; Sideloading\WalkAndUnGZ.bat" "%USERPROFILE%\AppData\Local\Temp\OnboardLogs"\RTDC4055\2017-06-11</v>
      </c>
      <c r="AF198" s="77" t="str">
        <f t="shared" si="83"/>
        <v>"C:\Program Files (x86)\AstroGrep\AstroGrep.exe" /e /r /s /spath="%USERPROFILE%\AppData\Local\Temp\OnboardLogs" /stypes="app*4055*20170610*" /stext=" 09:.+((SYSTEM_STATE.+slice.+state.+changed )|(ment ac)|(multiple cpu faults)|(system.+state.+changed )|(\[timeout)|(PRM\|1\|D)|(kpr)|(kdp)|(train st.+moving)|(\|lc)|(penalty))"</v>
      </c>
      <c r="AG198" s="1" t="str">
        <f t="shared" si="84"/>
        <v>Other</v>
      </c>
      <c r="AH198" s="81" t="str">
        <f t="shared" si="85"/>
        <v>"%USERPROFILE%\Documents\GitHub\eaglep3\Utilities\RefineRTDCRunTimes.py" --tripid 300-10 --locoid 4055 --swversion DE.1.0.9.0 --startMP 300:23290 --initTime 2017-06-10T02:51:12 --startdatetime 2017-06-10T02:55:09 --delay 3 --endMP 204:163 --enddatetime 2017-06-10T03:02:35 --enforcementcount 0 &gt;&gt;C:\Users\stu\Documents\GitHub\eaglep3-reporting\EC\2017-06-10-refined-times.txt</v>
      </c>
      <c r="AI198" s="99" t="str">
        <f t="shared" si="86"/>
        <v>echo {"issue":{"subject":"","project_id":79,"tracker_id":40,"status_id":1,"priority_id":2,"assigned_to_id":23,"start_date":"2017-06-10","description":"","custom_fields":[{"id":1,"name":"Subdivision","value":"Other"},{"id":4,"name":"Milepost","value":"0.0163"},{"id":17,"name":"Train ID","value":"300-10"},{"id":16,"name":"Locomotive ID","value":"4055"},{"id":130,"name":"Impact","value":""},{"id":150,"name":"Time of Event (Mountain Time)","value":"03:02:35"},{"id":151,"name":"Denver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5" t="str">
        <f t="shared" si="87"/>
        <v>start /low /b %USERPROFILE%\Documents\GitHub\eaglep3\Utilities\DownloadLogsFromS3.py --loco 4055 --day 2017-06-10</v>
      </c>
      <c r="AN198" s="154" t="str">
        <f t="shared" si="88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09:02:35"},{"id":29,"name":"Sharepoint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91" s="20" customFormat="1" x14ac:dyDescent="0.25">
      <c r="A199" s="32" t="s">
        <v>781</v>
      </c>
      <c r="B199" s="7">
        <v>4032</v>
      </c>
      <c r="C199" s="21" t="s">
        <v>204</v>
      </c>
      <c r="D199" s="21" t="s">
        <v>356</v>
      </c>
      <c r="E199" s="13">
        <v>42896.77652777778</v>
      </c>
      <c r="F199" s="13">
        <v>42896.778784722221</v>
      </c>
      <c r="G199" s="7">
        <v>1</v>
      </c>
      <c r="H199" s="21" t="s">
        <v>957</v>
      </c>
      <c r="I199" s="13">
        <v>42896.786493055559</v>
      </c>
      <c r="J199" s="7">
        <v>0</v>
      </c>
      <c r="K199" s="92" t="str">
        <f t="shared" si="71"/>
        <v>4031/4032</v>
      </c>
      <c r="L199" s="21" t="str">
        <f>VLOOKUP(A199,'Trips&amp;Operators'!$C$1:$G$99999,5,FALSE)</f>
        <v>BRUDER RICHARD</v>
      </c>
      <c r="M199" s="6">
        <f t="shared" si="72"/>
        <v>7.708333338086959E-3</v>
      </c>
      <c r="N199" s="7">
        <f t="shared" si="90"/>
        <v>11.100000006845221</v>
      </c>
      <c r="O199" s="7"/>
      <c r="P199" s="7"/>
      <c r="Q199" s="22"/>
      <c r="R199" s="173"/>
      <c r="S199" s="176">
        <f t="shared" si="91"/>
        <v>1</v>
      </c>
      <c r="T199" s="202" t="str">
        <f t="shared" si="75"/>
        <v>NorthBound</v>
      </c>
      <c r="U199" s="202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03" t="str">
        <f t="shared" si="76"/>
        <v>https://d0f6bd738d7f1b3e5a7ca70fe4ff75f0.us-east-1.aws.found.io/app/kibana#/discover/Steve-Slow-Train-Analysis-(2080s-and-2083s)?_g=(refreshInterval:(display:Off,pause:!f,section:0,value:0),time:(from:'2017-06-10T17:38:12-0600',mode:absolute,to:'2017-06-10T19:52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9" s="204" t="str">
        <f t="shared" si="77"/>
        <v>Y</v>
      </c>
      <c r="X199" s="204">
        <f t="shared" si="78"/>
        <v>1</v>
      </c>
      <c r="Y199" s="204">
        <f t="shared" si="94"/>
        <v>4.5100000000000001E-2</v>
      </c>
      <c r="Z199" s="204">
        <f t="shared" si="95"/>
        <v>2.3296999999999999</v>
      </c>
      <c r="AA199" s="204">
        <f t="shared" si="80"/>
        <v>2.2845999999999997</v>
      </c>
      <c r="AB199" s="57" t="e">
        <f>VLOOKUP(A199,Enforcements!$C$7:$K$13,8,0)</f>
        <v>#N/A</v>
      </c>
      <c r="AC199" s="53" t="e">
        <f>VLOOKUP(A199,Enforcements!$C$7:$E$13,3,0)</f>
        <v>#N/A</v>
      </c>
      <c r="AD199" s="54" t="str">
        <f t="shared" si="81"/>
        <v>0301-10</v>
      </c>
      <c r="AE199" s="80" t="str">
        <f t="shared" si="82"/>
        <v>aws s3 cp s3://rtdc.mdm.uploadarchive.raw/RTDC4032/ "%USERPROFILE%\AppData\Local\Temp\OnboardLogs"\RTDC4032\2017-06-10 --exclude "*" --recursive --include "*20170610*" &amp; "%USERPROFILE%\Documents\GitHub\mrs-test-scripts\Headless Mode &amp; Sideloading\WalkAndUnGZ.bat" "%USERPROFILE%\AppData\Local\Temp\OnboardLogs"\RTDC4032\2017-06-10 &amp; aws s3 cp s3://rtdc.mdm.uploadarchive.raw/RTDC4032/ "%USERPROFILE%\AppData\Local\Temp\OnboardLogs"\RTDC4032\2017-06-11 --exclude "*" --recursive --include "*20170611*" &amp; "%USERPROFILE%\Documents\GitHub\mrs-test-scripts\Headless Mode &amp; Sideloading\WalkAndUnGZ.bat" "%USERPROFILE%\AppData\Local\Temp\OnboardLogs"\RTDC4032\2017-06-11</v>
      </c>
      <c r="AF199" s="77" t="str">
        <f t="shared" si="83"/>
        <v>"C:\Program Files (x86)\AstroGrep\AstroGrep.exe" /e /r /s /spath="%USERPROFILE%\AppData\Local\Temp\OnboardLogs" /stypes="app*4032*20170611*" /stext=" 00:.+((SYSTEM_STATE.+slice.+state.+changed )|(ment ac)|(multiple cpu faults)|(system.+state.+changed )|(\[timeout)|(PRM\|1\|D)|(kpr)|(kdp)|(train st.+moving)|(\|lc)|(penalty))"</v>
      </c>
      <c r="AG199" s="1" t="str">
        <f t="shared" si="84"/>
        <v>Other</v>
      </c>
      <c r="AH199" s="81" t="str">
        <f t="shared" si="85"/>
        <v>"%USERPROFILE%\Documents\GitHub\eaglep3\Utilities\RefineRTDCRunTimes.py" --tripid 301-10 --locoid 4032 --swversion DE.1.0.9.0 --startMP 204:451 --initTime 2017-06-10T18:38:12 --startdatetime 2017-06-10T18:41:27 --delay 1 --endMP 300:23297 --enddatetime 2017-06-10T18:52:33 --enforcementcount 0 &gt;&gt;C:\Users\stu\Documents\GitHub\eaglep3-reporting\EC\2017-06-10-refined-times.txt</v>
      </c>
      <c r="AI199" s="99" t="str">
        <f t="shared" si="86"/>
        <v>echo {"issue":{"subject":"","project_id":79,"tracker_id":40,"status_id":1,"priority_id":2,"assigned_to_id":23,"start_date":"2017-06-10","description":"","custom_fields":[{"id":1,"name":"Subdivision","value":"Other"},{"id":4,"name":"Milepost","value":"2.3297"},{"id":17,"name":"Train ID","value":"301-10"},{"id":16,"name":"Locomotive ID","value":"4032"},{"id":130,"name":"Impact","value":""},{"id":150,"name":"Time of Event (Mountain Time)","value":"18:52:33"},{"id":151,"name":"Denver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9" s="47"/>
      <c r="AL199" s="47"/>
      <c r="AM199" s="145" t="str">
        <f t="shared" si="87"/>
        <v>start /low /b %USERPROFILE%\Documents\GitHub\eaglep3\Utilities\DownloadLogsFromS3.py --loco 4032 --day 2017-06-10</v>
      </c>
      <c r="AN199" s="154" t="str">
        <f t="shared" si="88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00:52:33"},{"id":29,"name":"Sharepoint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x14ac:dyDescent="0.25">
      <c r="A200" s="32" t="s">
        <v>627</v>
      </c>
      <c r="B200" s="7">
        <v>4051</v>
      </c>
      <c r="C200" s="21" t="s">
        <v>204</v>
      </c>
      <c r="D200" s="21" t="s">
        <v>958</v>
      </c>
      <c r="E200" s="13">
        <v>42896.136597222219</v>
      </c>
      <c r="F200" s="13">
        <v>42896.149004629631</v>
      </c>
      <c r="G200" s="7">
        <v>17</v>
      </c>
      <c r="H200" s="21" t="s">
        <v>364</v>
      </c>
      <c r="I200" s="13">
        <v>42896.154363425929</v>
      </c>
      <c r="J200" s="7">
        <v>0</v>
      </c>
      <c r="K200" s="92" t="str">
        <f t="shared" si="71"/>
        <v>4051/4052</v>
      </c>
      <c r="L200" s="21" t="str">
        <f>VLOOKUP(A200,'Trips&amp;Operators'!$C$1:$G$99999,5,FALSE)</f>
        <v>WILLIAMS DONTE</v>
      </c>
      <c r="M200" s="6">
        <f t="shared" si="72"/>
        <v>5.3587962975143455E-3</v>
      </c>
      <c r="N200" s="7">
        <f t="shared" si="90"/>
        <v>7.7166666684206575</v>
      </c>
      <c r="O200" s="7"/>
      <c r="P200" s="7"/>
      <c r="Q200" s="22"/>
      <c r="R200" s="173"/>
      <c r="S200" s="176">
        <f t="shared" si="91"/>
        <v>1</v>
      </c>
      <c r="T200" s="202" t="str">
        <f t="shared" si="75"/>
        <v>Southbound</v>
      </c>
      <c r="U200" s="202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03" t="str">
        <f t="shared" si="76"/>
        <v>https://d0f6bd738d7f1b3e5a7ca70fe4ff75f0.us-east-1.aws.found.io/app/kibana#/discover/Steve-Slow-Train-Analysis-(2080s-and-2083s)?_g=(refreshInterval:(display:Off,pause:!f,section:0,value:0),time:(from:'2017-06-10T02:16:42-0600',mode:absolute,to:'2017-06-10T04:42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00" s="204" t="str">
        <f t="shared" si="77"/>
        <v>Y</v>
      </c>
      <c r="X200" s="204">
        <f t="shared" si="78"/>
        <v>1</v>
      </c>
      <c r="Y200" s="204">
        <f t="shared" si="94"/>
        <v>2.2538999999999998</v>
      </c>
      <c r="Z200" s="204">
        <f t="shared" si="95"/>
        <v>1.47E-2</v>
      </c>
      <c r="AA200" s="204">
        <f t="shared" si="80"/>
        <v>2.2391999999999999</v>
      </c>
      <c r="AB200" s="57" t="e">
        <f>VLOOKUP(A200,Enforcements!$C$7:$K$13,8,0)</f>
        <v>#N/A</v>
      </c>
      <c r="AC200" s="53" t="e">
        <f>VLOOKUP(A200,Enforcements!$C$7:$E$13,3,0)</f>
        <v>#N/A</v>
      </c>
      <c r="AD200" s="54" t="str">
        <f t="shared" si="81"/>
        <v>0302-10</v>
      </c>
      <c r="AE200" s="80" t="str">
        <f t="shared" si="82"/>
        <v>aws s3 cp s3://rtdc.mdm.uploadarchive.raw/RTDC4051/ "%USERPROFILE%\AppData\Local\Temp\OnboardLogs"\RTDC4051\2017-06-10 --exclude "*" --recursive --include "*20170610*" &amp; "%USERPROFILE%\Documents\GitHub\mrs-test-scripts\Headless Mode &amp; Sideloading\WalkAndUnGZ.bat" "%USERPROFILE%\AppData\Local\Temp\OnboardLogs"\RTDC4051\2017-06-10 &amp; aws s3 cp s3://rtdc.mdm.uploadarchive.raw/RTDC4051/ "%USERPROFILE%\AppData\Local\Temp\OnboardLogs"\RTDC4051\2017-06-11 --exclude "*" --recursive --include "*20170611*" &amp; "%USERPROFILE%\Documents\GitHub\mrs-test-scripts\Headless Mode &amp; Sideloading\WalkAndUnGZ.bat" "%USERPROFILE%\AppData\Local\Temp\OnboardLogs"\RTDC4051\2017-06-11</v>
      </c>
      <c r="AF200" s="77" t="str">
        <f t="shared" si="83"/>
        <v>"C:\Program Files (x86)\AstroGrep\AstroGrep.exe" /e /r /s /spath="%USERPROFILE%\AppData\Local\Temp\OnboardLogs" /stypes="app*4051*20170610*" /stext=" 09:.+((SYSTEM_STATE.+slice.+state.+changed )|(ment ac)|(multiple cpu faults)|(system.+state.+changed )|(\[timeout)|(PRM\|1\|D)|(kpr)|(kdp)|(train st.+moving)|(\|lc)|(penalty))"</v>
      </c>
      <c r="AG200" s="1" t="str">
        <f t="shared" si="84"/>
        <v>Other</v>
      </c>
      <c r="AH200" s="81" t="str">
        <f t="shared" si="85"/>
        <v>"%USERPROFILE%\Documents\GitHub\eaglep3\Utilities\RefineRTDCRunTimes.py" --tripid 302-10 --locoid 4051 --swversion DE.1.0.9.0 --startMP 300:22539 --initTime 2017-06-10T03:16:42 --startdatetime 2017-06-10T03:34:34 --delay 17 --endMP 204:147 --enddatetime 2017-06-10T03:42:17 --enforcementcount 0 &gt;&gt;C:\Users\stu\Documents\GitHub\eaglep3-reporting\EC\2017-06-10-refined-times.txt</v>
      </c>
      <c r="AI200" s="99" t="str">
        <f t="shared" si="86"/>
        <v>echo {"issue":{"subject":"","project_id":79,"tracker_id":40,"status_id":1,"priority_id":2,"assigned_to_id":23,"start_date":"2017-06-10","description":"","custom_fields":[{"id":1,"name":"Subdivision","value":"Other"},{"id":4,"name":"Milepost","value":"0.0147"},{"id":17,"name":"Train ID","value":"302-10"},{"id":16,"name":"Locomotive ID","value":"4051"},{"id":130,"name":"Impact","value":""},{"id":150,"name":"Time of Event (Mountain Time)","value":"03:42:17"},{"id":151,"name":"Denver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5" t="str">
        <f t="shared" si="87"/>
        <v>start /low /b %USERPROFILE%\Documents\GitHub\eaglep3\Utilities\DownloadLogsFromS3.py --loco 4051 --day 2017-06-10</v>
      </c>
      <c r="AN200" s="154" t="str">
        <f t="shared" si="88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09:42:17"},{"id":29,"name":"Sharepoint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91" x14ac:dyDescent="0.25">
      <c r="A201" s="32" t="s">
        <v>786</v>
      </c>
      <c r="B201" s="7">
        <v>4044</v>
      </c>
      <c r="C201" s="21" t="s">
        <v>204</v>
      </c>
      <c r="D201" s="21" t="s">
        <v>201</v>
      </c>
      <c r="E201" s="13">
        <v>42896.800833333335</v>
      </c>
      <c r="F201" s="13">
        <v>42896.802997685183</v>
      </c>
      <c r="G201" s="7">
        <v>1</v>
      </c>
      <c r="H201" s="21" t="s">
        <v>534</v>
      </c>
      <c r="I201" s="13">
        <v>42896.809641203705</v>
      </c>
      <c r="J201" s="7">
        <v>0</v>
      </c>
      <c r="K201" s="92" t="str">
        <f t="shared" si="71"/>
        <v>4043/4044</v>
      </c>
      <c r="L201" s="21" t="str">
        <f>VLOOKUP(A201,'Trips&amp;Operators'!$C$1:$G$99999,5,FALSE)</f>
        <v>LOPES KIMBERLY</v>
      </c>
      <c r="M201" s="6">
        <f t="shared" si="72"/>
        <v>6.6435185217414983E-3</v>
      </c>
      <c r="N201" s="7">
        <f t="shared" si="90"/>
        <v>9.5666666713077575</v>
      </c>
      <c r="O201" s="7"/>
      <c r="P201" s="7"/>
      <c r="Q201" s="22"/>
      <c r="R201" s="173"/>
      <c r="S201" s="176">
        <f t="shared" si="91"/>
        <v>1</v>
      </c>
      <c r="T201" s="202" t="str">
        <f t="shared" si="75"/>
        <v>NorthBound</v>
      </c>
      <c r="U201" s="202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03" t="str">
        <f t="shared" si="76"/>
        <v>https://d0f6bd738d7f1b3e5a7ca70fe4ff75f0.us-east-1.aws.found.io/app/kibana#/discover/Steve-Slow-Train-Analysis-(2080s-and-2083s)?_g=(refreshInterval:(display:Off,pause:!f,section:0,value:0),time:(from:'2017-06-10T18:13:12-0600',mode:absolute,to:'2017-06-10T20:25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1" s="204" t="str">
        <f t="shared" si="77"/>
        <v>Y</v>
      </c>
      <c r="X201" s="204">
        <f t="shared" si="78"/>
        <v>1</v>
      </c>
      <c r="Y201" s="204">
        <f t="shared" si="94"/>
        <v>4.5999999999999999E-2</v>
      </c>
      <c r="Z201" s="204">
        <f t="shared" si="95"/>
        <v>2.331</v>
      </c>
      <c r="AA201" s="204">
        <f t="shared" si="80"/>
        <v>2.2850000000000001</v>
      </c>
      <c r="AB201" s="57" t="e">
        <f>VLOOKUP(A201,Enforcements!$C$7:$K$13,8,0)</f>
        <v>#N/A</v>
      </c>
      <c r="AC201" s="53" t="e">
        <f>VLOOKUP(A201,Enforcements!$C$7:$E$13,3,0)</f>
        <v>#N/A</v>
      </c>
      <c r="AD201" s="54" t="str">
        <f t="shared" si="81"/>
        <v>0303-10</v>
      </c>
      <c r="AE201" s="80" t="str">
        <f t="shared" si="82"/>
        <v>aws s3 cp s3://rtdc.mdm.uploadarchive.raw/RTDC4044/ "%USERPROFILE%\AppData\Local\Temp\OnboardLogs"\RTDC4044\2017-06-10 --exclude "*" --recursive --include "*20170610*" &amp; "%USERPROFILE%\Documents\GitHub\mrs-test-scripts\Headless Mode &amp; Sideloading\WalkAndUnGZ.bat" "%USERPROFILE%\AppData\Local\Temp\OnboardLogs"\RTDC4044\2017-06-10 &amp; aws s3 cp s3://rtdc.mdm.uploadarchive.raw/RTDC4044/ "%USERPROFILE%\AppData\Local\Temp\OnboardLogs"\RTDC4044\2017-06-11 --exclude "*" --recursive --include "*20170611*" &amp; "%USERPROFILE%\Documents\GitHub\mrs-test-scripts\Headless Mode &amp; Sideloading\WalkAndUnGZ.bat" "%USERPROFILE%\AppData\Local\Temp\OnboardLogs"\RTDC4044\2017-06-11</v>
      </c>
      <c r="AF201" s="77" t="str">
        <f t="shared" si="83"/>
        <v>"C:\Program Files (x86)\AstroGrep\AstroGrep.exe" /e /r /s /spath="%USERPROFILE%\AppData\Local\Temp\OnboardLogs" /stypes="app*4044*20170611*" /stext=" 01:.+((SYSTEM_STATE.+slice.+state.+changed )|(ment ac)|(multiple cpu faults)|(system.+state.+changed )|(\[timeout)|(PRM\|1\|D)|(kpr)|(kdp)|(train st.+moving)|(\|lc)|(penalty))"</v>
      </c>
      <c r="AG201" s="1" t="str">
        <f t="shared" si="84"/>
        <v>Other</v>
      </c>
      <c r="AH201" s="81" t="str">
        <f t="shared" si="85"/>
        <v>"%USERPROFILE%\Documents\GitHub\eaglep3\Utilities\RefineRTDCRunTimes.py" --tripid 303-10 --locoid 4044 --swversion DE.1.0.9.0 --startMP 204:460 --initTime 2017-06-10T19:13:12 --startdatetime 2017-06-10T19:16:19 --delay 1 --endMP 300:23310 --enddatetime 2017-06-10T19:25:53 --enforcementcount 0 &gt;&gt;C:\Users\stu\Documents\GitHub\eaglep3-reporting\EC\2017-06-10-refined-times.txt</v>
      </c>
      <c r="AI201" s="99" t="str">
        <f t="shared" si="86"/>
        <v>echo {"issue":{"subject":"","project_id":79,"tracker_id":40,"status_id":1,"priority_id":2,"assigned_to_id":23,"start_date":"2017-06-10","description":"","custom_fields":[{"id":1,"name":"Subdivision","value":"Other"},{"id":4,"name":"Milepost","value":"2.331"},{"id":17,"name":"Train ID","value":"303-10"},{"id":16,"name":"Locomotive ID","value":"4044"},{"id":130,"name":"Impact","value":""},{"id":150,"name":"Time of Event (Mountain Time)","value":"19:25:53"},{"id":151,"name":"Denver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5" t="str">
        <f t="shared" si="87"/>
        <v>start /low /b %USERPROFILE%\Documents\GitHub\eaglep3\Utilities\DownloadLogsFromS3.py --loco 4044 --day 2017-06-10</v>
      </c>
      <c r="AN201" s="154" t="str">
        <f t="shared" si="88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01:25:53"},{"id":29,"name":"Sharepoint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91" x14ac:dyDescent="0.25">
      <c r="A202" s="32" t="s">
        <v>629</v>
      </c>
      <c r="B202" s="7">
        <v>4001</v>
      </c>
      <c r="C202" s="21" t="s">
        <v>204</v>
      </c>
      <c r="D202" s="21" t="s">
        <v>959</v>
      </c>
      <c r="E202" s="13">
        <v>42896.155925925923</v>
      </c>
      <c r="F202" s="13">
        <v>42896.160624999997</v>
      </c>
      <c r="G202" s="7">
        <v>6</v>
      </c>
      <c r="H202" s="21" t="s">
        <v>195</v>
      </c>
      <c r="I202" s="13">
        <v>42896.168449074074</v>
      </c>
      <c r="J202" s="7">
        <v>0</v>
      </c>
      <c r="K202" s="92" t="str">
        <f t="shared" si="71"/>
        <v>4001/4002</v>
      </c>
      <c r="L202" s="21" t="str">
        <f>VLOOKUP(A202,'Trips&amp;Operators'!$C$1:$G$99999,5,FALSE)</f>
        <v>DAVIS WENDY</v>
      </c>
      <c r="M202" s="6">
        <f t="shared" si="72"/>
        <v>7.8240740767796524E-3</v>
      </c>
      <c r="N202" s="7">
        <f t="shared" si="90"/>
        <v>11.266666670562699</v>
      </c>
      <c r="O202" s="7"/>
      <c r="P202" s="7"/>
      <c r="Q202" s="22"/>
      <c r="R202" s="173"/>
      <c r="S202" s="176">
        <f t="shared" si="91"/>
        <v>1</v>
      </c>
      <c r="T202" s="202" t="str">
        <f t="shared" si="75"/>
        <v>Southbound</v>
      </c>
      <c r="U202" s="202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03" t="str">
        <f t="shared" si="76"/>
        <v>https://d0f6bd738d7f1b3e5a7ca70fe4ff75f0.us-east-1.aws.found.io/app/kibana#/discover/Steve-Slow-Train-Analysis-(2080s-and-2083s)?_g=(refreshInterval:(display:Off,pause:!f,section:0,value:0),time:(from:'2017-06-10T02:44:32-0600',mode:absolute,to:'2017-06-10T05:02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02" s="204" t="str">
        <f t="shared" si="77"/>
        <v>Y</v>
      </c>
      <c r="X202" s="204">
        <f t="shared" si="78"/>
        <v>1</v>
      </c>
      <c r="Y202" s="204">
        <f t="shared" si="94"/>
        <v>2.3384999999999998</v>
      </c>
      <c r="Z202" s="204">
        <f t="shared" si="95"/>
        <v>1.52E-2</v>
      </c>
      <c r="AA202" s="204">
        <f t="shared" si="80"/>
        <v>2.3232999999999997</v>
      </c>
      <c r="AB202" s="57" t="e">
        <f>VLOOKUP(A202,Enforcements!$C$7:$K$13,8,0)</f>
        <v>#N/A</v>
      </c>
      <c r="AC202" s="53" t="e">
        <f>VLOOKUP(A202,Enforcements!$C$7:$E$13,3,0)</f>
        <v>#N/A</v>
      </c>
      <c r="AD202" s="54" t="str">
        <f t="shared" si="81"/>
        <v>0304-10</v>
      </c>
      <c r="AE202" s="80" t="str">
        <f t="shared" si="82"/>
        <v>aws s3 cp s3://rtdc.mdm.uploadarchive.raw/RTDC4001/ "%USERPROFILE%\AppData\Local\Temp\OnboardLogs"\RTDC4001\2017-06-10 --exclude "*" --recursive --include "*20170610*" &amp; "%USERPROFILE%\Documents\GitHub\mrs-test-scripts\Headless Mode &amp; Sideloading\WalkAndUnGZ.bat" "%USERPROFILE%\AppData\Local\Temp\OnboardLogs"\RTDC4001\2017-06-10 &amp; aws s3 cp s3://rtdc.mdm.uploadarchive.raw/RTDC4001/ "%USERPROFILE%\AppData\Local\Temp\OnboardLogs"\RTDC4001\2017-06-11 --exclude "*" --recursive --include "*20170611*" &amp; "%USERPROFILE%\Documents\GitHub\mrs-test-scripts\Headless Mode &amp; Sideloading\WalkAndUnGZ.bat" "%USERPROFILE%\AppData\Local\Temp\OnboardLogs"\RTDC4001\2017-06-11</v>
      </c>
      <c r="AF202" s="77" t="str">
        <f t="shared" si="83"/>
        <v>"C:\Program Files (x86)\AstroGrep\AstroGrep.exe" /e /r /s /spath="%USERPROFILE%\AppData\Local\Temp\OnboardLogs" /stypes="app*4001*20170610*" /stext=" 10:.+((SYSTEM_STATE.+slice.+state.+changed )|(ment ac)|(multiple cpu faults)|(system.+state.+changed )|(\[timeout)|(PRM\|1\|D)|(kpr)|(kdp)|(train st.+moving)|(\|lc)|(penalty))"</v>
      </c>
      <c r="AG202" s="1" t="str">
        <f t="shared" si="84"/>
        <v>Other</v>
      </c>
      <c r="AH202" s="81" t="str">
        <f t="shared" si="85"/>
        <v>"%USERPROFILE%\Documents\GitHub\eaglep3\Utilities\RefineRTDCRunTimes.py" --tripid 304-10 --locoid 4001 --swversion DE.1.0.9.0 --startMP 300:23385 --initTime 2017-06-10T03:44:32 --startdatetime 2017-06-10T03:51:18 --delay 6 --endMP 204:152 --enddatetime 2017-06-10T04:02:34 --enforcementcount 0 &gt;&gt;C:\Users\stu\Documents\GitHub\eaglep3-reporting\EC\2017-06-10-refined-times.txt</v>
      </c>
      <c r="AI202" s="99" t="str">
        <f t="shared" si="86"/>
        <v>echo {"issue":{"subject":"","project_id":79,"tracker_id":40,"status_id":1,"priority_id":2,"assigned_to_id":23,"start_date":"2017-06-10","description":"","custom_fields":[{"id":1,"name":"Subdivision","value":"Other"},{"id":4,"name":"Milepost","value":"0.0152"},{"id":17,"name":"Train ID","value":"304-10"},{"id":16,"name":"Locomotive ID","value":"4001"},{"id":130,"name":"Impact","value":""},{"id":150,"name":"Time of Event (Mountain Time)","value":"04:02:34"},{"id":151,"name":"Denver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5" t="str">
        <f t="shared" si="87"/>
        <v>start /low /b %USERPROFILE%\Documents\GitHub\eaglep3\Utilities\DownloadLogsFromS3.py --loco 4001 --day 2017-06-10</v>
      </c>
      <c r="AN202" s="154" t="str">
        <f t="shared" si="88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10:02:34"},{"id":29,"name":"Sharepoint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91" s="20" customFormat="1" x14ac:dyDescent="0.25">
      <c r="A203" s="32" t="s">
        <v>790</v>
      </c>
      <c r="B203" s="7">
        <v>4002</v>
      </c>
      <c r="C203" s="21" t="s">
        <v>204</v>
      </c>
      <c r="D203" s="21" t="s">
        <v>351</v>
      </c>
      <c r="E203" s="13">
        <v>42896.818680555552</v>
      </c>
      <c r="F203" s="13">
        <v>42896.821400462963</v>
      </c>
      <c r="G203" s="7">
        <v>1</v>
      </c>
      <c r="H203" s="21" t="s">
        <v>960</v>
      </c>
      <c r="I203" s="13">
        <v>42896.827164351853</v>
      </c>
      <c r="J203" s="7">
        <v>0</v>
      </c>
      <c r="K203" s="92" t="str">
        <f t="shared" si="71"/>
        <v>4001/4002</v>
      </c>
      <c r="L203" s="21" t="str">
        <f>VLOOKUP(A203,'Trips&amp;Operators'!$C$1:$G$99999,5,FALSE)</f>
        <v>HOLCOMB KAMDEN</v>
      </c>
      <c r="M203" s="6">
        <f t="shared" si="72"/>
        <v>5.7638888902147301E-3</v>
      </c>
      <c r="N203" s="7">
        <f t="shared" si="90"/>
        <v>8.3000000019092113</v>
      </c>
      <c r="O203" s="7"/>
      <c r="P203" s="7"/>
      <c r="Q203" s="22"/>
      <c r="R203" s="173"/>
      <c r="S203" s="176">
        <f t="shared" si="91"/>
        <v>1</v>
      </c>
      <c r="T203" s="202" t="str">
        <f t="shared" si="75"/>
        <v>NorthBound</v>
      </c>
      <c r="U203" s="202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03" t="str">
        <f t="shared" si="76"/>
        <v>https://d0f6bd738d7f1b3e5a7ca70fe4ff75f0.us-east-1.aws.found.io/app/kibana#/discover/Steve-Slow-Train-Analysis-(2080s-and-2083s)?_g=(refreshInterval:(display:Off,pause:!f,section:0,value:0),time:(from:'2017-06-10T18:38:54-0600',mode:absolute,to:'2017-06-10T20:51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3" s="204" t="str">
        <f t="shared" si="77"/>
        <v>Y</v>
      </c>
      <c r="X203" s="204">
        <f t="shared" si="78"/>
        <v>1</v>
      </c>
      <c r="Y203" s="204">
        <f t="shared" si="94"/>
        <v>4.58E-2</v>
      </c>
      <c r="Z203" s="204">
        <f t="shared" si="95"/>
        <v>2.3298999999999999</v>
      </c>
      <c r="AA203" s="204">
        <f t="shared" si="80"/>
        <v>2.2841</v>
      </c>
      <c r="AB203" s="57" t="e">
        <f>VLOOKUP(A203,Enforcements!$C$7:$K$13,8,0)</f>
        <v>#N/A</v>
      </c>
      <c r="AC203" s="53" t="e">
        <f>VLOOKUP(A203,Enforcements!$C$7:$E$13,3,0)</f>
        <v>#N/A</v>
      </c>
      <c r="AD203" s="54" t="str">
        <f t="shared" si="81"/>
        <v>0305-10</v>
      </c>
      <c r="AE203" s="80" t="str">
        <f t="shared" si="82"/>
        <v>aws s3 cp s3://rtdc.mdm.uploadarchive.raw/RTDC4002/ "%USERPROFILE%\AppData\Local\Temp\OnboardLogs"\RTDC4002\2017-06-10 --exclude "*" --recursive --include "*20170610*" &amp; "%USERPROFILE%\Documents\GitHub\mrs-test-scripts\Headless Mode &amp; Sideloading\WalkAndUnGZ.bat" "%USERPROFILE%\AppData\Local\Temp\OnboardLogs"\RTDC4002\2017-06-10 &amp; aws s3 cp s3://rtdc.mdm.uploadarchive.raw/RTDC4002/ "%USERPROFILE%\AppData\Local\Temp\OnboardLogs"\RTDC4002\2017-06-11 --exclude "*" --recursive --include "*20170611*" &amp; "%USERPROFILE%\Documents\GitHub\mrs-test-scripts\Headless Mode &amp; Sideloading\WalkAndUnGZ.bat" "%USERPROFILE%\AppData\Local\Temp\OnboardLogs"\RTDC4002\2017-06-11</v>
      </c>
      <c r="AF203" s="77" t="str">
        <f t="shared" si="83"/>
        <v>"C:\Program Files (x86)\AstroGrep\AstroGrep.exe" /e /r /s /spath="%USERPROFILE%\AppData\Local\Temp\OnboardLogs" /stypes="app*4002*20170611*" /stext=" 01:.+((SYSTEM_STATE.+slice.+state.+changed )|(ment ac)|(multiple cpu faults)|(system.+state.+changed )|(\[timeout)|(PRM\|1\|D)|(kpr)|(kdp)|(train st.+moving)|(\|lc)|(penalty))"</v>
      </c>
      <c r="AG203" s="1" t="str">
        <f t="shared" si="84"/>
        <v>Other</v>
      </c>
      <c r="AH203" s="81" t="str">
        <f t="shared" si="85"/>
        <v>"%USERPROFILE%\Documents\GitHub\eaglep3\Utilities\RefineRTDCRunTimes.py" --tripid 305-10 --locoid 4002 --swversion DE.1.0.9.0 --startMP 204:458 --initTime 2017-06-10T19:38:54 --startdatetime 2017-06-10T19:42:49 --delay 1 --endMP 300:23299 --enddatetime 2017-06-10T19:51:07 --enforcementcount 0 &gt;&gt;C:\Users\stu\Documents\GitHub\eaglep3-reporting\EC\2017-06-10-refined-times.txt</v>
      </c>
      <c r="AI203" s="99" t="str">
        <f t="shared" si="86"/>
        <v>echo {"issue":{"subject":"","project_id":79,"tracker_id":40,"status_id":1,"priority_id":2,"assigned_to_id":23,"start_date":"2017-06-10","description":"","custom_fields":[{"id":1,"name":"Subdivision","value":"Other"},{"id":4,"name":"Milepost","value":"2.3299"},{"id":17,"name":"Train ID","value":"305-10"},{"id":16,"name":"Locomotive ID","value":"4002"},{"id":130,"name":"Impact","value":""},{"id":150,"name":"Time of Event (Mountain Time)","value":"19:51:07"},{"id":151,"name":"Denver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3" s="47"/>
      <c r="AL203" s="47"/>
      <c r="AM203" s="145" t="str">
        <f t="shared" si="87"/>
        <v>start /low /b %USERPROFILE%\Documents\GitHub\eaglep3\Utilities\DownloadLogsFromS3.py --loco 4002 --day 2017-06-10</v>
      </c>
      <c r="AN203" s="154" t="str">
        <f t="shared" si="88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01:51:07"},{"id":29,"name":"Sharepoint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x14ac:dyDescent="0.25">
      <c r="A204" s="32" t="s">
        <v>632</v>
      </c>
      <c r="B204" s="7">
        <v>4027</v>
      </c>
      <c r="C204" s="21" t="s">
        <v>204</v>
      </c>
      <c r="D204" s="21" t="s">
        <v>961</v>
      </c>
      <c r="E204" s="13">
        <v>42896.168888888889</v>
      </c>
      <c r="F204" s="13">
        <v>42896.173379629632</v>
      </c>
      <c r="G204" s="7">
        <v>6</v>
      </c>
      <c r="H204" s="21" t="s">
        <v>456</v>
      </c>
      <c r="I204" s="13">
        <v>42896.181793981479</v>
      </c>
      <c r="J204" s="7">
        <v>0</v>
      </c>
      <c r="K204" s="92" t="str">
        <f t="shared" si="71"/>
        <v>4027/4028</v>
      </c>
      <c r="L204" s="21" t="str">
        <f>VLOOKUP(A204,'Trips&amp;Operators'!$C$1:$G$99999,5,FALSE)</f>
        <v>GEBRETEKLE DAGNEW</v>
      </c>
      <c r="M204" s="6">
        <f t="shared" si="72"/>
        <v>8.4143518470227718E-3</v>
      </c>
      <c r="N204" s="7">
        <f t="shared" si="90"/>
        <v>12.116666659712791</v>
      </c>
      <c r="O204" s="7"/>
      <c r="P204" s="7"/>
      <c r="Q204" s="22"/>
      <c r="R204" s="173"/>
      <c r="S204" s="176">
        <f t="shared" si="91"/>
        <v>1</v>
      </c>
      <c r="T204" s="202" t="str">
        <f t="shared" si="75"/>
        <v>Southbound</v>
      </c>
      <c r="U204" s="202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03" t="str">
        <f t="shared" si="76"/>
        <v>https://d0f6bd738d7f1b3e5a7ca70fe4ff75f0.us-east-1.aws.found.io/app/kibana#/discover/Steve-Slow-Train-Analysis-(2080s-and-2083s)?_g=(refreshInterval:(display:Off,pause:!f,section:0,value:0),time:(from:'2017-06-10T03:03:12-0600',mode:absolute,to:'2017-06-10T05:21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04" s="204" t="str">
        <f t="shared" si="77"/>
        <v>Y</v>
      </c>
      <c r="X204" s="204">
        <f t="shared" si="78"/>
        <v>1</v>
      </c>
      <c r="Y204" s="204">
        <f t="shared" si="94"/>
        <v>2.3473999999999999</v>
      </c>
      <c r="Z204" s="204">
        <f t="shared" si="95"/>
        <v>1.5599999999999999E-2</v>
      </c>
      <c r="AA204" s="204">
        <f t="shared" si="80"/>
        <v>2.3317999999999999</v>
      </c>
      <c r="AB204" s="57" t="e">
        <f>VLOOKUP(A204,Enforcements!$C$7:$K$13,8,0)</f>
        <v>#N/A</v>
      </c>
      <c r="AC204" s="53" t="e">
        <f>VLOOKUP(A204,Enforcements!$C$7:$E$13,3,0)</f>
        <v>#N/A</v>
      </c>
      <c r="AD204" s="54" t="str">
        <f t="shared" si="81"/>
        <v>0306-10</v>
      </c>
      <c r="AE204" s="80" t="str">
        <f t="shared" si="82"/>
        <v>aws s3 cp s3://rtdc.mdm.uploadarchive.raw/RTDC4027/ "%USERPROFILE%\AppData\Local\Temp\OnboardLogs"\RTDC4027\2017-06-10 --exclude "*" --recursive --include "*20170610*" &amp; "%USERPROFILE%\Documents\GitHub\mrs-test-scripts\Headless Mode &amp; Sideloading\WalkAndUnGZ.bat" "%USERPROFILE%\AppData\Local\Temp\OnboardLogs"\RTDC4027\2017-06-10 &amp; aws s3 cp s3://rtdc.mdm.uploadarchive.raw/RTDC4027/ "%USERPROFILE%\AppData\Local\Temp\OnboardLogs"\RTDC4027\2017-06-11 --exclude "*" --recursive --include "*20170611*" &amp; "%USERPROFILE%\Documents\GitHub\mrs-test-scripts\Headless Mode &amp; Sideloading\WalkAndUnGZ.bat" "%USERPROFILE%\AppData\Local\Temp\OnboardLogs"\RTDC4027\2017-06-11</v>
      </c>
      <c r="AF204" s="77" t="str">
        <f t="shared" si="83"/>
        <v>"C:\Program Files (x86)\AstroGrep\AstroGrep.exe" /e /r /s /spath="%USERPROFILE%\AppData\Local\Temp\OnboardLogs" /stypes="app*4027*20170610*" /stext=" 10:.+((SYSTEM_STATE.+slice.+state.+changed )|(ment ac)|(multiple cpu faults)|(system.+state.+changed )|(\[timeout)|(PRM\|1\|D)|(kpr)|(kdp)|(train st.+moving)|(\|lc)|(penalty))"</v>
      </c>
      <c r="AG204" s="1" t="str">
        <f t="shared" si="84"/>
        <v>Other</v>
      </c>
      <c r="AH204" s="81" t="str">
        <f t="shared" si="85"/>
        <v>"%USERPROFILE%\Documents\GitHub\eaglep3\Utilities\RefineRTDCRunTimes.py" --tripid 306-10 --locoid 4027 --swversion DE.1.0.9.0 --startMP 300:23474 --initTime 2017-06-10T04:03:12 --startdatetime 2017-06-10T04:09:40 --delay 6 --endMP 204:156 --enddatetime 2017-06-10T04:21:47 --enforcementcount 0 &gt;&gt;C:\Users\stu\Documents\GitHub\eaglep3-reporting\EC\2017-06-10-refined-times.txt</v>
      </c>
      <c r="AI204" s="99" t="str">
        <f t="shared" si="86"/>
        <v>echo {"issue":{"subject":"","project_id":79,"tracker_id":40,"status_id":1,"priority_id":2,"assigned_to_id":23,"start_date":"2017-06-10","description":"","custom_fields":[{"id":1,"name":"Subdivision","value":"Other"},{"id":4,"name":"Milepost","value":"0.0156"},{"id":17,"name":"Train ID","value":"306-10"},{"id":16,"name":"Locomotive ID","value":"4027"},{"id":130,"name":"Impact","value":""},{"id":150,"name":"Time of Event (Mountain Time)","value":"04:21:47"},{"id":151,"name":"Denver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5" t="str">
        <f t="shared" si="87"/>
        <v>start /low /b %USERPROFILE%\Documents\GitHub\eaglep3\Utilities\DownloadLogsFromS3.py --loco 4027 --day 2017-06-10</v>
      </c>
      <c r="AN204" s="154" t="str">
        <f t="shared" si="88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10:21:47"},{"id":29,"name":"Sharepoint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91" s="20" customFormat="1" x14ac:dyDescent="0.25">
      <c r="A205" s="32" t="s">
        <v>608</v>
      </c>
      <c r="B205" s="7">
        <v>4056</v>
      </c>
      <c r="C205" s="21" t="s">
        <v>204</v>
      </c>
      <c r="D205" s="21" t="s">
        <v>201</v>
      </c>
      <c r="E205" s="13">
        <v>42897.047766203701</v>
      </c>
      <c r="F205" s="13">
        <v>42897.049189814818</v>
      </c>
      <c r="G205" s="7">
        <v>1</v>
      </c>
      <c r="H205" s="21" t="s">
        <v>962</v>
      </c>
      <c r="I205" s="13">
        <v>42897.055081018516</v>
      </c>
      <c r="J205" s="7">
        <v>0</v>
      </c>
      <c r="K205" s="92" t="str">
        <f t="shared" si="71"/>
        <v>4055/4056</v>
      </c>
      <c r="L205" s="21" t="str">
        <f>VLOOKUP(A205,'Trips&amp;Operators'!$C$1:$G$99999,5,FALSE)</f>
        <v>SAFIEF AEIMEN</v>
      </c>
      <c r="M205" s="6">
        <f t="shared" si="72"/>
        <v>5.8912036984111182E-3</v>
      </c>
      <c r="N205" s="7">
        <f t="shared" si="90"/>
        <v>8.4833333257120103</v>
      </c>
      <c r="O205" s="7"/>
      <c r="P205" s="7"/>
      <c r="Q205" s="22"/>
      <c r="R205" s="173"/>
      <c r="S205" s="176">
        <f t="shared" si="91"/>
        <v>1</v>
      </c>
      <c r="T205" s="202" t="str">
        <f t="shared" si="75"/>
        <v>NorthBound</v>
      </c>
      <c r="U205" s="202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03" t="str">
        <f t="shared" si="76"/>
        <v>https://d0f6bd738d7f1b3e5a7ca70fe4ff75f0.us-east-1.aws.found.io/app/kibana#/discover/Steve-Slow-Train-Analysis-(2080s-and-2083s)?_g=(refreshInterval:(display:Off,pause:!f,section:0,value:0),time:(from:'2017-06-11T00:08:47-0600',mode:absolute,to:'2017-06-11T02:19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05" s="204" t="str">
        <f t="shared" si="77"/>
        <v>Y</v>
      </c>
      <c r="X205" s="204">
        <f t="shared" si="78"/>
        <v>1</v>
      </c>
      <c r="Y205" s="204">
        <f t="shared" si="94"/>
        <v>4.5999999999999999E-2</v>
      </c>
      <c r="Z205" s="204">
        <f t="shared" si="95"/>
        <v>1.3165</v>
      </c>
      <c r="AA205" s="204">
        <f t="shared" si="80"/>
        <v>1.2705</v>
      </c>
      <c r="AB205" s="57" t="e">
        <f>VLOOKUP(A205,Enforcements!$C$7:$K$13,8,0)</f>
        <v>#N/A</v>
      </c>
      <c r="AC205" s="53" t="e">
        <f>VLOOKUP(A205,Enforcements!$C$7:$E$13,3,0)</f>
        <v>#N/A</v>
      </c>
      <c r="AD205" s="54" t="str">
        <f t="shared" si="81"/>
        <v>0307-10</v>
      </c>
      <c r="AE205" s="80" t="str">
        <f t="shared" si="82"/>
        <v>aws s3 cp s3://rtdc.mdm.uploadarchive.raw/RTDC4056/ "%USERPROFILE%\AppData\Local\Temp\OnboardLogs"\RTDC4056\2017-06-11 --exclude "*" --recursive --include "*20170611*" &amp; "%USERPROFILE%\Documents\GitHub\mrs-test-scripts\Headless Mode &amp; Sideloading\WalkAndUnGZ.bat" "%USERPROFILE%\AppData\Local\Temp\OnboardLogs"\RTDC4056\2017-06-11 &amp; aws s3 cp s3://rtdc.mdm.uploadarchive.raw/RTDC4056/ "%USERPROFILE%\AppData\Local\Temp\OnboardLogs"\RTDC4056\2017-06-12 --exclude "*" --recursive --include "*20170612*" &amp; "%USERPROFILE%\Documents\GitHub\mrs-test-scripts\Headless Mode &amp; Sideloading\WalkAndUnGZ.bat" "%USERPROFILE%\AppData\Local\Temp\OnboardLogs"\RTDC4056\2017-06-12</v>
      </c>
      <c r="AF205" s="77" t="str">
        <f t="shared" si="83"/>
        <v>"C:\Program Files (x86)\AstroGrep\AstroGrep.exe" /e /r /s /spath="%USERPROFILE%\AppData\Local\Temp\OnboardLogs" /stypes="app*4056*20170611*" /stext=" 07:.+((SYSTEM_STATE.+slice.+state.+changed )|(ment ac)|(multiple cpu faults)|(system.+state.+changed )|(\[timeout)|(PRM\|1\|D)|(kpr)|(kdp)|(train st.+moving)|(\|lc)|(penalty))"</v>
      </c>
      <c r="AG205" s="1" t="str">
        <f t="shared" si="84"/>
        <v>Other</v>
      </c>
      <c r="AH205" s="81" t="str">
        <f t="shared" si="85"/>
        <v>"%USERPROFILE%\Documents\GitHub\eaglep3\Utilities\RefineRTDCRunTimes.py" --tripid 307-10 --locoid 4056 --swversion DE.1.0.9.0 --startMP 204:460 --initTime 2017-06-11T01:08:47 --startdatetime 2017-06-11T01:10:50 --delay 1 --endMP 300:13165 --enddatetime 2017-06-11T01:19:19 --enforcementcount 0 &gt;&gt;C:\Users\stu\Documents\GitHub\eaglep3-reporting\EC\2017-06-10-refined-times.txt</v>
      </c>
      <c r="AI205" s="99" t="str">
        <f t="shared" si="86"/>
        <v>echo {"issue":{"subject":"","project_id":79,"tracker_id":40,"status_id":1,"priority_id":2,"assigned_to_id":23,"start_date":"2017-06-11","description":"","custom_fields":[{"id":1,"name":"Subdivision","value":"Other"},{"id":4,"name":"Milepost","value":"1.3165"},{"id":17,"name":"Train ID","value":"307-10"},{"id":16,"name":"Locomotive ID","value":"4056"},{"id":130,"name":"Impact","value":""},{"id":150,"name":"Time of Event (Mountain Time)","value":"01:19:19"},{"id":151,"name":"Denver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5" s="47"/>
      <c r="AL205" s="47"/>
      <c r="AM205" s="145" t="str">
        <f t="shared" si="87"/>
        <v>start /low /b %USERPROFILE%\Documents\GitHub\eaglep3\Utilities\DownloadLogsFromS3.py --loco 4056 --day 2017-06-11</v>
      </c>
      <c r="AN205" s="154" t="str">
        <f t="shared" si="88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07:19:19"},{"id":29,"name":"Sharepoint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x14ac:dyDescent="0.25">
      <c r="A206" s="32" t="s">
        <v>638</v>
      </c>
      <c r="B206" s="7">
        <v>4031</v>
      </c>
      <c r="C206" s="21" t="s">
        <v>204</v>
      </c>
      <c r="D206" s="21" t="s">
        <v>963</v>
      </c>
      <c r="E206" s="13">
        <v>42896.178043981483</v>
      </c>
      <c r="F206" s="13">
        <v>42896.183587962965</v>
      </c>
      <c r="G206" s="7">
        <v>7</v>
      </c>
      <c r="H206" s="21" t="s">
        <v>353</v>
      </c>
      <c r="I206" s="13">
        <v>42896.190694444442</v>
      </c>
      <c r="J206" s="7">
        <v>0</v>
      </c>
      <c r="K206" s="92" t="str">
        <f t="shared" ref="K206:K243" si="96">IF(ISEVEN(B206),(B206-1)&amp;"/"&amp;B206,B206&amp;"/"&amp;(B206+1))</f>
        <v>4031/4032</v>
      </c>
      <c r="L206" s="21" t="str">
        <f>VLOOKUP(A206,'Trips&amp;Operators'!$C$1:$G$99999,5,FALSE)</f>
        <v>LALONDE GREGORY</v>
      </c>
      <c r="M206" s="6">
        <f t="shared" ref="M206:M243" si="97">I206-F206</f>
        <v>7.1064814765122719E-3</v>
      </c>
      <c r="N206" s="7">
        <f t="shared" ref="N206:N237" si="98">24*60*SUM($M206:$M206)</f>
        <v>10.233333326177672</v>
      </c>
      <c r="O206" s="7"/>
      <c r="P206" s="7"/>
      <c r="Q206" s="22"/>
      <c r="R206" s="173"/>
      <c r="S206" s="176">
        <f t="shared" ref="S206:S237" si="99">SUM(U206:U206)/IF(AG206="EC",12,1)</f>
        <v>1</v>
      </c>
      <c r="T206" s="202" t="str">
        <f t="shared" ref="T206:T243" si="100">IF(ISEVEN(LEFT(AD206,4)),"Southbound","NorthBound")</f>
        <v>Southbound</v>
      </c>
      <c r="U206" s="202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03" t="str">
        <f t="shared" ref="V206:V243" si="101"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-06-10T03:16:23-0600',mode:absolute,to:'2017-06-10T05:34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6" s="204" t="str">
        <f t="shared" ref="W206:W243" si="102">IF(AA206&lt;IF(AG206="EC",23,5.65),"Y","N")</f>
        <v>Y</v>
      </c>
      <c r="X206" s="204">
        <f t="shared" ref="X206:X243" si="103">VALUE(LEFT(AD206,4))-VALUE(LEFT(AD205,4))</f>
        <v>1</v>
      </c>
      <c r="Y206" s="204">
        <f t="shared" si="94"/>
        <v>2.3483000000000001</v>
      </c>
      <c r="Z206" s="204">
        <f t="shared" si="95"/>
        <v>1.49E-2</v>
      </c>
      <c r="AA206" s="204">
        <f t="shared" ref="AA206:AA269" si="104">ABS(Z206-Y206)</f>
        <v>2.3334000000000001</v>
      </c>
      <c r="AB206" s="57" t="e">
        <f>VLOOKUP(A206,Enforcements!$C$7:$K$13,8,0)</f>
        <v>#N/A</v>
      </c>
      <c r="AC206" s="53" t="e">
        <f>VLOOKUP(A206,Enforcements!$C$7:$E$13,3,0)</f>
        <v>#N/A</v>
      </c>
      <c r="AD206" s="54" t="str">
        <f t="shared" ref="AD206:AD243" si="105">IF(LEN(A206)=6,"0"&amp;A206,A206)</f>
        <v>0308-10</v>
      </c>
      <c r="AE206" s="80" t="str">
        <f t="shared" ref="AE206:AE243" si="106"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s3://rtdc.mdm.uploadarchive.raw/RTDC4031/ "%USERPROFILE%\AppData\Local\Temp\OnboardLogs"\RTDC4031\2017-06-10 --exclude "*" --recursive --include "*20170610*" &amp; "%USERPROFILE%\Documents\GitHub\mrs-test-scripts\Headless Mode &amp; Sideloading\WalkAndUnGZ.bat" "%USERPROFILE%\AppData\Local\Temp\OnboardLogs"\RTDC4031\2017-06-10 &amp; aws s3 cp s3://rtdc.mdm.uploadarchive.raw/RTDC4031/ "%USERPROFILE%\AppData\Local\Temp\OnboardLogs"\RTDC4031\2017-06-11 --exclude "*" --recursive --include "*20170611*" &amp; "%USERPROFILE%\Documents\GitHub\mrs-test-scripts\Headless Mode &amp; Sideloading\WalkAndUnGZ.bat" "%USERPROFILE%\AppData\Local\Temp\OnboardLogs"\RTDC4031\2017-06-11</v>
      </c>
      <c r="AF206" s="77" t="str">
        <f t="shared" ref="AF206:AF243" si="107"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/stypes="app*4031*20170610*" /stext=" 10:.+((SYSTEM_STATE.+slice.+state.+changed )|(ment ac)|(multiple cpu faults)|(system.+state.+changed )|(\[timeout)|(PRM\|1\|D)|(kpr)|(kdp)|(train st.+moving)|(\|lc)|(penalty))"</v>
      </c>
      <c r="AG206" s="1" t="str">
        <f t="shared" ref="AG206:AG243" si="108">IFERROR(IF(VALUE(LEFT(AD206,2))&lt;=2,"EC",IF(OR(VALUE(LEFT(AD206,2))=8,VALUE(LEFT(AD206,2))=18),"NW","Other")),"Other")</f>
        <v>Other</v>
      </c>
      <c r="AH206" s="81" t="str">
        <f t="shared" si="85"/>
        <v>"%USERPROFILE%\Documents\GitHub\eaglep3\Utilities\RefineRTDCRunTimes.py" --tripid 308-10 --locoid 4031 --swversion DE.1.0.9.0 --startMP 300:23483 --initTime 2017-06-10T04:16:23 --startdatetime 2017-06-10T04:24:22 --delay 7 --endMP 204:149 --enddatetime 2017-06-10T04:34:36 --enforcementcount 0 &gt;&gt;C:\Users\stu\Documents\GitHub\eaglep3-reporting\EC\2017-06-10-refined-times.txt</v>
      </c>
      <c r="AI206" s="99" t="str">
        <f t="shared" si="86"/>
        <v>echo {"issue":{"subject":"","project_id":79,"tracker_id":40,"status_id":1,"priority_id":2,"assigned_to_id":23,"start_date":"2017-06-10","description":"","custom_fields":[{"id":1,"name":"Subdivision","value":"Other"},{"id":4,"name":"Milepost","value":"0.0149"},{"id":17,"name":"Train ID","value":"308-10"},{"id":16,"name":"Locomotive ID","value":"4031"},{"id":130,"name":"Impact","value":""},{"id":150,"name":"Time of Event (Mountain Time)","value":"04:34:36"},{"id":151,"name":"Denver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5" t="str">
        <f t="shared" si="87"/>
        <v>start /low /b %USERPROFILE%\Documents\GitHub\eaglep3\Utilities\DownloadLogsFromS3.py --loco 4031 --day 2017-06-10</v>
      </c>
      <c r="AN206" s="154" t="str">
        <f t="shared" si="88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10:34:36"},{"id":29,"name":"Sharepoint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91" x14ac:dyDescent="0.25">
      <c r="A207" s="32" t="s">
        <v>817</v>
      </c>
      <c r="B207" s="7">
        <v>4022</v>
      </c>
      <c r="C207" s="21" t="s">
        <v>204</v>
      </c>
      <c r="D207" s="21" t="s">
        <v>858</v>
      </c>
      <c r="E207" s="13">
        <v>42897.067812499998</v>
      </c>
      <c r="F207" s="13">
        <v>42897.069398148145</v>
      </c>
      <c r="G207" s="7">
        <v>1</v>
      </c>
      <c r="H207" s="21" t="s">
        <v>964</v>
      </c>
      <c r="I207" s="13">
        <v>42897.07303240741</v>
      </c>
      <c r="J207" s="7">
        <v>0</v>
      </c>
      <c r="K207" s="92" t="str">
        <f t="shared" si="96"/>
        <v>4021/4022</v>
      </c>
      <c r="L207" s="21" t="str">
        <f>VLOOKUP(A207,'Trips&amp;Operators'!$C$1:$G$99999,5,FALSE)</f>
        <v>MAGEE KENYA</v>
      </c>
      <c r="M207" s="6">
        <f t="shared" si="97"/>
        <v>3.6342592647997662E-3</v>
      </c>
      <c r="N207" s="7">
        <f t="shared" si="98"/>
        <v>5.2333333413116634</v>
      </c>
      <c r="O207" s="7"/>
      <c r="P207" s="7"/>
      <c r="Q207" s="22"/>
      <c r="R207" s="173"/>
      <c r="S207" s="176">
        <f t="shared" si="99"/>
        <v>1</v>
      </c>
      <c r="T207" s="202" t="str">
        <f t="shared" si="100"/>
        <v>NorthBound</v>
      </c>
      <c r="U207" s="202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03" t="str">
        <f t="shared" si="101"/>
        <v>https://d0f6bd738d7f1b3e5a7ca70fe4ff75f0.us-east-1.aws.found.io/app/kibana#/discover/Steve-Slow-Train-Analysis-(2080s-and-2083s)?_g=(refreshInterval:(display:Off,pause:!f,section:0,value:0),time:(from:'2017-06-11T00:37:39-0600',mode:absolute,to:'2017-06-11T02:45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07" s="204" t="str">
        <f t="shared" si="102"/>
        <v>Y</v>
      </c>
      <c r="X207" s="204">
        <f t="shared" si="103"/>
        <v>1</v>
      </c>
      <c r="Y207" s="204">
        <f t="shared" si="94"/>
        <v>4.8000000000000001E-2</v>
      </c>
      <c r="Z207" s="204">
        <f t="shared" si="95"/>
        <v>1.2972999999999999</v>
      </c>
      <c r="AA207" s="204">
        <f t="shared" si="104"/>
        <v>1.2492999999999999</v>
      </c>
      <c r="AB207" s="57" t="e">
        <f>VLOOKUP(A207,Enforcements!$C$7:$K$13,8,0)</f>
        <v>#N/A</v>
      </c>
      <c r="AC207" s="53" t="e">
        <f>VLOOKUP(A207,Enforcements!$C$7:$E$13,3,0)</f>
        <v>#N/A</v>
      </c>
      <c r="AD207" s="54" t="str">
        <f t="shared" si="105"/>
        <v>0309-10</v>
      </c>
      <c r="AE207" s="80" t="str">
        <f t="shared" si="106"/>
        <v>aws s3 cp s3://rtdc.mdm.uploadarchive.raw/RTDC4022/ "%USERPROFILE%\AppData\Local\Temp\OnboardLogs"\RTDC4022\2017-06-11 --exclude "*" --recursive --include "*20170611*" &amp; "%USERPROFILE%\Documents\GitHub\mrs-test-scripts\Headless Mode &amp; Sideloading\WalkAndUnGZ.bat" "%USERPROFILE%\AppData\Local\Temp\OnboardLogs"\RTDC4022\2017-06-11 &amp; aws s3 cp s3://rtdc.mdm.uploadarchive.raw/RTDC4022/ "%USERPROFILE%\AppData\Local\Temp\OnboardLogs"\RTDC4022\2017-06-12 --exclude "*" --recursive --include "*20170612*" &amp; "%USERPROFILE%\Documents\GitHub\mrs-test-scripts\Headless Mode &amp; Sideloading\WalkAndUnGZ.bat" "%USERPROFILE%\AppData\Local\Temp\OnboardLogs"\RTDC4022\2017-06-12</v>
      </c>
      <c r="AF207" s="77" t="str">
        <f t="shared" si="107"/>
        <v>"C:\Program Files (x86)\AstroGrep\AstroGrep.exe" /e /r /s /spath="%USERPROFILE%\AppData\Local\Temp\OnboardLogs" /stypes="app*4022*20170611*" /stext=" 07:.+((SYSTEM_STATE.+slice.+state.+changed )|(ment ac)|(multiple cpu faults)|(system.+state.+changed )|(\[timeout)|(PRM\|1\|D)|(kpr)|(kdp)|(train st.+moving)|(\|lc)|(penalty))"</v>
      </c>
      <c r="AG207" s="1" t="str">
        <f t="shared" si="108"/>
        <v>Other</v>
      </c>
      <c r="AH207" s="81" t="str">
        <f t="shared" ref="AH207:AH243" si="109">refinertdcruntimes&amp;" --tripid "&amp;A207&amp;" --locoid "&amp;B207&amp;" --swversion "&amp;C207&amp;" --startMP "&amp;D207&amp;" --initTime "&amp;TEXT(E207,"yyyy-mm-ddTHH:MM:SS")&amp;" --startdatetime "&amp;TEXT(F207,"yyyy-mm-ddTHH:MM:SS")&amp;" --delay "&amp;G207&amp;" --endMP "&amp;H207&amp;" --enddatetime "&amp;TEXT(I207,"yyyy-mm-ddTHH:MM:SS")&amp;" --enforcementcount "&amp;J207&amp;IF(outputrefinedruntimes," &gt;&gt;"&amp;RefinedRTDCRunTimesOutputFile,"")</f>
        <v>"%USERPROFILE%\Documents\GitHub\eaglep3\Utilities\RefineRTDCRunTimes.py" --tripid 309-10 --locoid 4022 --swversion DE.1.0.9.0 --startMP 204:480 --initTime 2017-06-11T01:37:39 --startdatetime 2017-06-11T01:39:56 --delay 1 --endMP 300:12973 --enddatetime 2017-06-11T01:45:10 --enforcementcount 0 &gt;&gt;C:\Users\stu\Documents\GitHub\eaglep3-reporting\EC\2017-06-10-refined-times.txt</v>
      </c>
      <c r="AI207" s="99" t="str">
        <f t="shared" ref="AI207:AI243" si="110">"echo {""issue"":{""subject"":"""&amp;R207&amp;""",""project_id"":79,""tracker_id"":40,""status_id"":"&amp;redmine_status&amp;",""priority_id"":"&amp;redmine_priority&amp;",""assigned_to_id"":"&amp;redmine_assignee&amp;",""start_date"":"""&amp;TEXT(I207,"YYYY-mm-dd")&amp;""",""description"":"""&amp;AJ207&amp;""",""custom_fields"":[{""id"":1,""name"":""Subdivision"",""value"":"""&amp;AG207&amp;"""},{""id"":4,""name"":""Milepost"",""value"":"""&amp;Z207&amp;"""},{""id"":17,""name"":""Train ID"",""value"":"""&amp;A207&amp;"""},{""id"":16,""name"":""Locomotive ID"",""value"":"""&amp;B207&amp;"""},{""id"":130,""name"":""Impact"",""value"":"""&amp;AK207&amp;"""},{""id"":150,""name"":""Time of Event (Mountain Time)"",""value"":"""&amp;TEXT(I207,"hh:mm:ss")&amp;"""},{""id"":151,""name"":""Denver Issue ID"",""value"":"""&amp;"""},{""id"":178,""name"":""Operational Impact"",""value"":"""&amp;redmine_op_impact&amp;"""},{""id"":179,""name"":""Denver Segment Assigned"",""value"":"""&amp;AL207&amp;"""}]}}"&amp;"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{"issue":{"subject":"","project_id":79,"tracker_id":40,"status_id":1,"priority_id":2,"assigned_to_id":23,"start_date":"2017-06-11","description":"","custom_fields":[{"id":1,"name":"Subdivision","value":"Other"},{"id":4,"name":"Milepost","value":"1.2973"},{"id":17,"name":"Train ID","value":"309-10"},{"id":16,"name":"Locomotive ID","value":"4022"},{"id":130,"name":"Impact","value":""},{"id":150,"name":"Time of Event (Mountain Time)","value":"01:45:10"},{"id":151,"name":"Denver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5" t="str">
        <f t="shared" ref="AM207:AM243" si="111">"start /low /b "&amp;dls3logs&amp;" --loco "&amp;B207&amp;" --day "&amp;TEXT(F207,"YYYY-MM-DD")</f>
        <v>start /low /b %USERPROFILE%\Documents\GitHub\eaglep3\Utilities\DownloadLogsFromS3.py --loco 4022 --day 2017-06-11</v>
      </c>
      <c r="AN207" s="154" t="str">
        <f t="shared" ref="AN207:AN243" si="112">"echo {""issue"":{""subject"":"""&amp;R207&amp;""",""project_id"":30,""tracker_id"":4,""status_id"":"&amp;redmine_status_wcr&amp;",""priority_id"":"&amp;redmine_priority_wcr&amp;",""assigned_to_id"":"&amp;redmine_assignee_wcr&amp;",""start_date"":"""&amp;TEXT(I207-utc_offset/24,"YYYY-mm-dd")&amp;""",""description"":"""&amp;AJ207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07:45:10"},{"id":29,"name":"Sharepoint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91" x14ac:dyDescent="0.25">
      <c r="A208" s="32" t="s">
        <v>646</v>
      </c>
      <c r="B208" s="7">
        <v>4043</v>
      </c>
      <c r="C208" s="21" t="s">
        <v>204</v>
      </c>
      <c r="D208" s="21" t="s">
        <v>965</v>
      </c>
      <c r="E208" s="13">
        <v>42896.194467592592</v>
      </c>
      <c r="F208" s="13">
        <v>42896.197951388887</v>
      </c>
      <c r="G208" s="7">
        <v>4</v>
      </c>
      <c r="H208" s="21" t="s">
        <v>863</v>
      </c>
      <c r="I208" s="13">
        <v>42896.205312500002</v>
      </c>
      <c r="J208" s="7">
        <v>0</v>
      </c>
      <c r="K208" s="92" t="str">
        <f t="shared" si="96"/>
        <v>4043/4044</v>
      </c>
      <c r="L208" s="21" t="str">
        <f>VLOOKUP(A208,'Trips&amp;Operators'!$C$1:$G$99999,5,FALSE)</f>
        <v>DAVIDSON DAVID</v>
      </c>
      <c r="M208" s="6">
        <f t="shared" si="97"/>
        <v>7.3611111147329211E-3</v>
      </c>
      <c r="N208" s="7">
        <f t="shared" si="98"/>
        <v>10.600000005215406</v>
      </c>
      <c r="O208" s="7"/>
      <c r="P208" s="7"/>
      <c r="Q208" s="22"/>
      <c r="R208" s="173"/>
      <c r="S208" s="176">
        <f t="shared" si="99"/>
        <v>1</v>
      </c>
      <c r="T208" s="202" t="str">
        <f t="shared" si="100"/>
        <v>Southbound</v>
      </c>
      <c r="U208" s="202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03" t="str">
        <f t="shared" si="101"/>
        <v>https://d0f6bd738d7f1b3e5a7ca70fe4ff75f0.us-east-1.aws.found.io/app/kibana#/discover/Steve-Slow-Train-Analysis-(2080s-and-2083s)?_g=(refreshInterval:(display:Off,pause:!f,section:0,value:0),time:(from:'2017-06-10T03:40:02-0600',mode:absolute,to:'2017-06-10T05:55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8" s="204" t="str">
        <f t="shared" si="102"/>
        <v>Y</v>
      </c>
      <c r="X208" s="204">
        <f t="shared" si="103"/>
        <v>1</v>
      </c>
      <c r="Y208" s="204">
        <f t="shared" si="94"/>
        <v>2.3481000000000001</v>
      </c>
      <c r="Z208" s="204">
        <f t="shared" si="95"/>
        <v>1.7399999999999999E-2</v>
      </c>
      <c r="AA208" s="204">
        <f t="shared" si="104"/>
        <v>2.3307000000000002</v>
      </c>
      <c r="AB208" s="57" t="e">
        <f>VLOOKUP(A208,Enforcements!$C$7:$K$13,8,0)</f>
        <v>#N/A</v>
      </c>
      <c r="AC208" s="53" t="e">
        <f>VLOOKUP(A208,Enforcements!$C$7:$E$13,3,0)</f>
        <v>#N/A</v>
      </c>
      <c r="AD208" s="54" t="str">
        <f t="shared" si="105"/>
        <v>0310-10</v>
      </c>
      <c r="AE208" s="80" t="str">
        <f t="shared" si="106"/>
        <v>aws s3 cp s3://rtdc.mdm.uploadarchive.raw/RTDC4043/ "%USERPROFILE%\AppData\Local\Temp\OnboardLogs"\RTDC4043\2017-06-10 --exclude "*" --recursive --include "*20170610*" &amp; "%USERPROFILE%\Documents\GitHub\mrs-test-scripts\Headless Mode &amp; Sideloading\WalkAndUnGZ.bat" "%USERPROFILE%\AppData\Local\Temp\OnboardLogs"\RTDC4043\2017-06-10 &amp; aws s3 cp s3://rtdc.mdm.uploadarchive.raw/RTDC4043/ "%USERPROFILE%\AppData\Local\Temp\OnboardLogs"\RTDC4043\2017-06-11 --exclude "*" --recursive --include "*20170611*" &amp; "%USERPROFILE%\Documents\GitHub\mrs-test-scripts\Headless Mode &amp; Sideloading\WalkAndUnGZ.bat" "%USERPROFILE%\AppData\Local\Temp\OnboardLogs"\RTDC4043\2017-06-11</v>
      </c>
      <c r="AF208" s="77" t="str">
        <f t="shared" si="107"/>
        <v>"C:\Program Files (x86)\AstroGrep\AstroGrep.exe" /e /r /s /spath="%USERPROFILE%\AppData\Local\Temp\OnboardLogs" /stypes="app*4043*20170610*" /stext=" 10:.+((SYSTEM_STATE.+slice.+state.+changed )|(ment ac)|(multiple cpu faults)|(system.+state.+changed )|(\[timeout)|(PRM\|1\|D)|(kpr)|(kdp)|(train st.+moving)|(\|lc)|(penalty))"</v>
      </c>
      <c r="AG208" s="1" t="str">
        <f t="shared" si="108"/>
        <v>Other</v>
      </c>
      <c r="AH208" s="81" t="str">
        <f t="shared" si="109"/>
        <v>"%USERPROFILE%\Documents\GitHub\eaglep3\Utilities\RefineRTDCRunTimes.py" --tripid 310-10 --locoid 4043 --swversion DE.1.0.9.0 --startMP 300:23481 --initTime 2017-06-10T04:40:02 --startdatetime 2017-06-10T04:45:03 --delay 4 --endMP 204:174 --enddatetime 2017-06-10T04:55:39 --enforcementcount 0 &gt;&gt;C:\Users\stu\Documents\GitHub\eaglep3-reporting\EC\2017-06-10-refined-times.txt</v>
      </c>
      <c r="AI208" s="99" t="str">
        <f t="shared" si="110"/>
        <v>echo {"issue":{"subject":"","project_id":79,"tracker_id":40,"status_id":1,"priority_id":2,"assigned_to_id":23,"start_date":"2017-06-10","description":"","custom_fields":[{"id":1,"name":"Subdivision","value":"Other"},{"id":4,"name":"Milepost","value":"0.0174"},{"id":17,"name":"Train ID","value":"310-10"},{"id":16,"name":"Locomotive ID","value":"4043"},{"id":130,"name":"Impact","value":""},{"id":150,"name":"Time of Event (Mountain Time)","value":"04:55:39"},{"id":151,"name":"Denver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5" t="str">
        <f t="shared" si="111"/>
        <v>start /low /b %USERPROFILE%\Documents\GitHub\eaglep3\Utilities\DownloadLogsFromS3.py --loco 4043 --day 2017-06-10</v>
      </c>
      <c r="AN208" s="154" t="str">
        <f t="shared" si="112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10:55:39"},{"id":29,"name":"Sharepoint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0" x14ac:dyDescent="0.25">
      <c r="A209" s="32" t="s">
        <v>619</v>
      </c>
      <c r="B209" s="7">
        <v>4006</v>
      </c>
      <c r="C209" s="21" t="s">
        <v>204</v>
      </c>
      <c r="D209" s="21" t="s">
        <v>351</v>
      </c>
      <c r="E209" s="13">
        <v>42896.089166666665</v>
      </c>
      <c r="F209" s="13">
        <v>42896.091157407405</v>
      </c>
      <c r="G209" s="7">
        <v>1</v>
      </c>
      <c r="H209" s="21" t="s">
        <v>357</v>
      </c>
      <c r="I209" s="13">
        <v>42896.099560185183</v>
      </c>
      <c r="J209" s="7">
        <v>0</v>
      </c>
      <c r="K209" s="92" t="str">
        <f t="shared" si="96"/>
        <v>4005/4006</v>
      </c>
      <c r="L209" s="21" t="str">
        <f>VLOOKUP(A209,'Trips&amp;Operators'!$C$1:$G$99999,5,FALSE)</f>
        <v>FORTUNATO FRANK</v>
      </c>
      <c r="M209" s="6">
        <f t="shared" si="97"/>
        <v>8.4027777775190771E-3</v>
      </c>
      <c r="N209" s="7">
        <f t="shared" si="98"/>
        <v>12.099999999627471</v>
      </c>
      <c r="O209" s="7"/>
      <c r="P209" s="7"/>
      <c r="Q209" s="22"/>
      <c r="R209" s="173"/>
      <c r="S209" s="176">
        <f t="shared" si="99"/>
        <v>1</v>
      </c>
      <c r="T209" s="202" t="str">
        <f t="shared" si="100"/>
        <v>NorthBound</v>
      </c>
      <c r="U209" s="202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03" t="str">
        <f t="shared" si="101"/>
        <v>https://d0f6bd738d7f1b3e5a7ca70fe4ff75f0.us-east-1.aws.found.io/app/kibana#/discover/Steve-Slow-Train-Analysis-(2080s-and-2083s)?_g=(refreshInterval:(display:Off,pause:!f,section:0,value:0),time:(from:'2017-06-10T01:08:24-0600',mode:absolute,to:'2017-06-10T03:23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9" s="204" t="str">
        <f t="shared" si="102"/>
        <v>Y</v>
      </c>
      <c r="X209" s="204">
        <f t="shared" si="103"/>
        <v>1</v>
      </c>
      <c r="Y209" s="204">
        <f t="shared" si="94"/>
        <v>4.58E-2</v>
      </c>
      <c r="Z209" s="204">
        <f t="shared" si="95"/>
        <v>2.3346</v>
      </c>
      <c r="AA209" s="204">
        <f t="shared" si="104"/>
        <v>2.2888000000000002</v>
      </c>
      <c r="AB209" s="57" t="e">
        <f>VLOOKUP(A209,Enforcements!$C$7:$K$13,8,0)</f>
        <v>#N/A</v>
      </c>
      <c r="AC209" s="53" t="e">
        <f>VLOOKUP(A209,Enforcements!$C$7:$E$13,3,0)</f>
        <v>#N/A</v>
      </c>
      <c r="AD209" s="54" t="str">
        <f t="shared" si="105"/>
        <v>0311-09</v>
      </c>
      <c r="AE209" s="80" t="str">
        <f t="shared" si="106"/>
        <v>aws s3 cp s3://rtdc.mdm.uploadarchive.raw/RTDC4006/ "%USERPROFILE%\AppData\Local\Temp\OnboardLogs"\RTDC4006\2017-06-10 --exclude "*" --recursive --include "*20170610*" &amp; "%USERPROFILE%\Documents\GitHub\mrs-test-scripts\Headless Mode &amp; Sideloading\WalkAndUnGZ.bat" "%USERPROFILE%\AppData\Local\Temp\OnboardLogs"\RTDC4006\2017-06-10 &amp; aws s3 cp s3://rtdc.mdm.uploadarchive.raw/RTDC4006/ "%USERPROFILE%\AppData\Local\Temp\OnboardLogs"\RTDC4006\2017-06-11 --exclude "*" --recursive --include "*20170611*" &amp; "%USERPROFILE%\Documents\GitHub\mrs-test-scripts\Headless Mode &amp; Sideloading\WalkAndUnGZ.bat" "%USERPROFILE%\AppData\Local\Temp\OnboardLogs"\RTDC4006\2017-06-11</v>
      </c>
      <c r="AF209" s="77" t="str">
        <f t="shared" si="107"/>
        <v>"C:\Program Files (x86)\AstroGrep\AstroGrep.exe" /e /r /s /spath="%USERPROFILE%\AppData\Local\Temp\OnboardLogs" /stypes="app*4006*20170610*" /stext=" 08:.+((SYSTEM_STATE.+slice.+state.+changed )|(ment ac)|(multiple cpu faults)|(system.+state.+changed )|(\[timeout)|(PRM\|1\|D)|(kpr)|(kdp)|(train st.+moving)|(\|lc)|(penalty))"</v>
      </c>
      <c r="AG209" s="1" t="str">
        <f t="shared" si="108"/>
        <v>Other</v>
      </c>
      <c r="AH209" s="81" t="str">
        <f t="shared" si="109"/>
        <v>"%USERPROFILE%\Documents\GitHub\eaglep3\Utilities\RefineRTDCRunTimes.py" --tripid 311-09 --locoid 4006 --swversion DE.1.0.9.0 --startMP 204:458 --initTime 2017-06-10T02:08:24 --startdatetime 2017-06-10T02:11:16 --delay 1 --endMP 300:23346 --enddatetime 2017-06-10T02:23:22 --enforcementcount 0 &gt;&gt;C:\Users\stu\Documents\GitHub\eaglep3-reporting\EC\2017-06-10-refined-times.txt</v>
      </c>
      <c r="AI209" s="99" t="str">
        <f t="shared" si="110"/>
        <v>echo {"issue":{"subject":"","project_id":79,"tracker_id":40,"status_id":1,"priority_id":2,"assigned_to_id":23,"start_date":"2017-06-10","description":"","custom_fields":[{"id":1,"name":"Subdivision","value":"Other"},{"id":4,"name":"Milepost","value":"2.3346"},{"id":17,"name":"Train ID","value":"311-09"},{"id":16,"name":"Locomotive ID","value":"4006"},{"id":130,"name":"Impact","value":""},{"id":150,"name":"Time of Event (Mountain Time)","value":"02:23:22"},{"id":151,"name":"Denver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5" t="str">
        <f t="shared" si="111"/>
        <v>start /low /b %USERPROFILE%\Documents\GitHub\eaglep3\Utilities\DownloadLogsFromS3.py --loco 4006 --day 2017-06-10</v>
      </c>
      <c r="AN209" s="154" t="str">
        <f t="shared" si="112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08:23:22"},{"id":29,"name":"Sharepoint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0" x14ac:dyDescent="0.25">
      <c r="A210" s="32" t="s">
        <v>819</v>
      </c>
      <c r="B210" s="7">
        <v>4028</v>
      </c>
      <c r="C210" s="21" t="s">
        <v>204</v>
      </c>
      <c r="D210" s="21" t="s">
        <v>201</v>
      </c>
      <c r="E210" s="13">
        <v>42897.089143518519</v>
      </c>
      <c r="F210" s="13">
        <v>42897.09101851852</v>
      </c>
      <c r="G210" s="7">
        <v>1</v>
      </c>
      <c r="H210" s="21" t="s">
        <v>966</v>
      </c>
      <c r="I210" s="13">
        <v>42897.093726851854</v>
      </c>
      <c r="J210" s="7">
        <v>0</v>
      </c>
      <c r="K210" s="92" t="str">
        <f t="shared" si="96"/>
        <v>4027/4028</v>
      </c>
      <c r="L210" s="21" t="str">
        <f>VLOOKUP(A210,'Trips&amp;Operators'!$C$1:$G$99999,5,FALSE)</f>
        <v>FORTUNATO FRANK</v>
      </c>
      <c r="M210" s="6">
        <f t="shared" si="97"/>
        <v>2.7083333334303461E-3</v>
      </c>
      <c r="N210" s="7">
        <f t="shared" si="98"/>
        <v>3.9000000001396984</v>
      </c>
      <c r="O210" s="7"/>
      <c r="P210" s="7"/>
      <c r="Q210" s="22"/>
      <c r="R210" s="173"/>
      <c r="S210" s="176">
        <f t="shared" si="99"/>
        <v>1</v>
      </c>
      <c r="T210" s="202" t="str">
        <f t="shared" si="100"/>
        <v>NorthBound</v>
      </c>
      <c r="U210" s="202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03" t="str">
        <f t="shared" si="101"/>
        <v>https://d0f6bd738d7f1b3e5a7ca70fe4ff75f0.us-east-1.aws.found.io/app/kibana#/discover/Steve-Slow-Train-Analysis-(2080s-and-2083s)?_g=(refreshInterval:(display:Off,pause:!f,section:0,value:0),time:(from:'2017-06-11T01:08:22-0600',mode:absolute,to:'2017-06-11T03:14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0" s="204" t="str">
        <f t="shared" si="102"/>
        <v>Y</v>
      </c>
      <c r="X210" s="204">
        <f t="shared" si="103"/>
        <v>0</v>
      </c>
      <c r="Y210" s="204">
        <f t="shared" si="94"/>
        <v>4.5999999999999999E-2</v>
      </c>
      <c r="Z210" s="204">
        <f t="shared" si="95"/>
        <v>1.1672</v>
      </c>
      <c r="AA210" s="204">
        <f t="shared" si="104"/>
        <v>1.1212</v>
      </c>
      <c r="AB210" s="57" t="e">
        <f>VLOOKUP(A210,Enforcements!$C$7:$K$13,8,0)</f>
        <v>#N/A</v>
      </c>
      <c r="AC210" s="53" t="e">
        <f>VLOOKUP(A210,Enforcements!$C$7:$E$13,3,0)</f>
        <v>#N/A</v>
      </c>
      <c r="AD210" s="54" t="str">
        <f t="shared" si="105"/>
        <v>0311-10</v>
      </c>
      <c r="AE210" s="80" t="str">
        <f t="shared" si="106"/>
        <v>aws s3 cp s3://rtdc.mdm.uploadarchive.raw/RTDC4028/ "%USERPROFILE%\AppData\Local\Temp\OnboardLogs"\RTDC4028\2017-06-11 --exclude "*" --recursive --include "*20170611*" &amp; "%USERPROFILE%\Documents\GitHub\mrs-test-scripts\Headless Mode &amp; Sideloading\WalkAndUnGZ.bat" "%USERPROFILE%\AppData\Local\Temp\OnboardLogs"\RTDC4028\2017-06-11 &amp; aws s3 cp s3://rtdc.mdm.uploadarchive.raw/RTDC4028/ "%USERPROFILE%\AppData\Local\Temp\OnboardLogs"\RTDC4028\2017-06-12 --exclude "*" --recursive --include "*20170612*" &amp; "%USERPROFILE%\Documents\GitHub\mrs-test-scripts\Headless Mode &amp; Sideloading\WalkAndUnGZ.bat" "%USERPROFILE%\AppData\Local\Temp\OnboardLogs"\RTDC4028\2017-06-12</v>
      </c>
      <c r="AF210" s="77" t="str">
        <f t="shared" si="107"/>
        <v>"C:\Program Files (x86)\AstroGrep\AstroGrep.exe" /e /r /s /spath="%USERPROFILE%\AppData\Local\Temp\OnboardLogs" /stypes="app*4028*20170611*" /stext=" 08:.+((SYSTEM_STATE.+slice.+state.+changed )|(ment ac)|(multiple cpu faults)|(system.+state.+changed )|(\[timeout)|(PRM\|1\|D)|(kpr)|(kdp)|(train st.+moving)|(\|lc)|(penalty))"</v>
      </c>
      <c r="AG210" s="1" t="str">
        <f t="shared" si="108"/>
        <v>Other</v>
      </c>
      <c r="AH210" s="81" t="str">
        <f t="shared" si="109"/>
        <v>"%USERPROFILE%\Documents\GitHub\eaglep3\Utilities\RefineRTDCRunTimes.py" --tripid 311-10 --locoid 4028 --swversion DE.1.0.9.0 --startMP 204:460 --initTime 2017-06-11T02:08:22 --startdatetime 2017-06-11T02:11:04 --delay 1 --endMP 300:11672 --enddatetime 2017-06-11T02:14:58 --enforcementcount 0 &gt;&gt;C:\Users\stu\Documents\GitHub\eaglep3-reporting\EC\2017-06-10-refined-times.txt</v>
      </c>
      <c r="AI210" s="99" t="str">
        <f t="shared" si="110"/>
        <v>echo {"issue":{"subject":"","project_id":79,"tracker_id":40,"status_id":1,"priority_id":2,"assigned_to_id":23,"start_date":"2017-06-11","description":"","custom_fields":[{"id":1,"name":"Subdivision","value":"Other"},{"id":4,"name":"Milepost","value":"1.1672"},{"id":17,"name":"Train ID","value":"311-10"},{"id":16,"name":"Locomotive ID","value":"4028"},{"id":130,"name":"Impact","value":""},{"id":150,"name":"Time of Event (Mountain Time)","value":"02:14:58"},{"id":151,"name":"Denver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5" t="str">
        <f t="shared" si="111"/>
        <v>start /low /b %USERPROFILE%\Documents\GitHub\eaglep3\Utilities\DownloadLogsFromS3.py --loco 4028 --day 2017-06-11</v>
      </c>
      <c r="AN210" s="154" t="str">
        <f t="shared" si="112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08:14:58"},{"id":29,"name":"Sharepoint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0" x14ac:dyDescent="0.25">
      <c r="A211" s="32" t="s">
        <v>574</v>
      </c>
      <c r="B211" s="7">
        <v>4061</v>
      </c>
      <c r="C211" s="21" t="s">
        <v>204</v>
      </c>
      <c r="D211" s="21" t="s">
        <v>967</v>
      </c>
      <c r="E211" s="13">
        <v>42896.217638888891</v>
      </c>
      <c r="F211" s="13">
        <v>42896.222071759257</v>
      </c>
      <c r="G211" s="7">
        <v>6</v>
      </c>
      <c r="H211" s="21" t="s">
        <v>431</v>
      </c>
      <c r="I211" s="13">
        <v>42896.233425925922</v>
      </c>
      <c r="J211" s="7">
        <v>0</v>
      </c>
      <c r="K211" s="92" t="str">
        <f t="shared" si="96"/>
        <v>4061/4062</v>
      </c>
      <c r="L211" s="21" t="str">
        <f>VLOOKUP(A211,'Trips&amp;Operators'!$C$1:$G$99999,5,FALSE)</f>
        <v>GUZMAN DANNY</v>
      </c>
      <c r="M211" s="6">
        <f t="shared" si="97"/>
        <v>1.1354166665114462E-2</v>
      </c>
      <c r="N211" s="7">
        <f t="shared" si="98"/>
        <v>16.349999997764826</v>
      </c>
      <c r="O211" s="7"/>
      <c r="P211" s="7"/>
      <c r="Q211" s="22"/>
      <c r="R211" s="173"/>
      <c r="S211" s="176">
        <f t="shared" si="99"/>
        <v>1</v>
      </c>
      <c r="T211" s="202" t="str">
        <f t="shared" si="100"/>
        <v>Southbound</v>
      </c>
      <c r="U211" s="202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03" t="str">
        <f t="shared" si="101"/>
        <v>https://d0f6bd738d7f1b3e5a7ca70fe4ff75f0.us-east-1.aws.found.io/app/kibana#/discover/Steve-Slow-Train-Analysis-(2080s-and-2083s)?_g=(refreshInterval:(display:Off,pause:!f,section:0,value:0),time:(from:'2017-06-10T04:13:24-0600',mode:absolute,to:'2017-06-10T06:36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11" s="204" t="str">
        <f t="shared" si="102"/>
        <v>Y</v>
      </c>
      <c r="X211" s="204">
        <f t="shared" si="103"/>
        <v>1</v>
      </c>
      <c r="Y211" s="204">
        <f t="shared" si="94"/>
        <v>2.3561000000000001</v>
      </c>
      <c r="Z211" s="204">
        <f t="shared" si="95"/>
        <v>1.4500000000000001E-2</v>
      </c>
      <c r="AA211" s="204">
        <f t="shared" si="104"/>
        <v>2.3416000000000001</v>
      </c>
      <c r="AB211" s="57" t="e">
        <f>VLOOKUP(A211,Enforcements!$C$7:$K$13,8,0)</f>
        <v>#N/A</v>
      </c>
      <c r="AC211" s="53" t="e">
        <f>VLOOKUP(A211,Enforcements!$C$7:$E$13,3,0)</f>
        <v>#N/A</v>
      </c>
      <c r="AD211" s="54" t="str">
        <f t="shared" si="105"/>
        <v>0312-10</v>
      </c>
      <c r="AE211" s="80" t="str">
        <f t="shared" si="106"/>
        <v>aws s3 cp s3://rtdc.mdm.uploadarchive.raw/RTDC4061/ "%USERPROFILE%\AppData\Local\Temp\OnboardLogs"\RTDC4061\2017-06-10 --exclude "*" --recursive --include "*20170610*" &amp; "%USERPROFILE%\Documents\GitHub\mrs-test-scripts\Headless Mode &amp; Sideloading\WalkAndUnGZ.bat" "%USERPROFILE%\AppData\Local\Temp\OnboardLogs"\RTDC4061\2017-06-10 &amp; aws s3 cp s3://rtdc.mdm.uploadarchive.raw/RTDC4061/ "%USERPROFILE%\AppData\Local\Temp\OnboardLogs"\RTDC4061\2017-06-11 --exclude "*" --recursive --include "*20170611*" &amp; "%USERPROFILE%\Documents\GitHub\mrs-test-scripts\Headless Mode &amp; Sideloading\WalkAndUnGZ.bat" "%USERPROFILE%\AppData\Local\Temp\OnboardLogs"\RTDC4061\2017-06-11</v>
      </c>
      <c r="AF211" s="77" t="str">
        <f t="shared" si="107"/>
        <v>"C:\Program Files (x86)\AstroGrep\AstroGrep.exe" /e /r /s /spath="%USERPROFILE%\AppData\Local\Temp\OnboardLogs" /stypes="app*4061*20170610*" /stext=" 11:.+((SYSTEM_STATE.+slice.+state.+changed )|(ment ac)|(multiple cpu faults)|(system.+state.+changed )|(\[timeout)|(PRM\|1\|D)|(kpr)|(kdp)|(train st.+moving)|(\|lc)|(penalty))"</v>
      </c>
      <c r="AG211" s="1" t="str">
        <f t="shared" si="108"/>
        <v>Other</v>
      </c>
      <c r="AH211" s="81" t="str">
        <f t="shared" si="109"/>
        <v>"%USERPROFILE%\Documents\GitHub\eaglep3\Utilities\RefineRTDCRunTimes.py" --tripid 312-10 --locoid 4061 --swversion DE.1.0.9.0 --startMP 300:23561 --initTime 2017-06-10T05:13:24 --startdatetime 2017-06-10T05:19:47 --delay 6 --endMP 204:145 --enddatetime 2017-06-10T05:36:08 --enforcementcount 0 &gt;&gt;C:\Users\stu\Documents\GitHub\eaglep3-reporting\EC\2017-06-10-refined-times.txt</v>
      </c>
      <c r="AI211" s="99" t="str">
        <f t="shared" si="110"/>
        <v>echo {"issue":{"subject":"","project_id":79,"tracker_id":40,"status_id":1,"priority_id":2,"assigned_to_id":23,"start_date":"2017-06-10","description":"","custom_fields":[{"id":1,"name":"Subdivision","value":"Other"},{"id":4,"name":"Milepost","value":"0.0145"},{"id":17,"name":"Train ID","value":"312-10"},{"id":16,"name":"Locomotive ID","value":"4061"},{"id":130,"name":"Impact","value":""},{"id":150,"name":"Time of Event (Mountain Time)","value":"05:36:08"},{"id":151,"name":"Denver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5" t="str">
        <f t="shared" si="111"/>
        <v>start /low /b %USERPROFILE%\Documents\GitHub\eaglep3\Utilities\DownloadLogsFromS3.py --loco 4061 --day 2017-06-10</v>
      </c>
      <c r="AN211" s="154" t="str">
        <f t="shared" si="112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11:36:08"},{"id":29,"name":"Sharepoint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40" x14ac:dyDescent="0.25">
      <c r="A212" s="32" t="s">
        <v>620</v>
      </c>
      <c r="B212" s="7">
        <v>4054</v>
      </c>
      <c r="C212" s="21" t="s">
        <v>204</v>
      </c>
      <c r="D212" s="21" t="s">
        <v>479</v>
      </c>
      <c r="E212" s="13">
        <v>42896.110543981478</v>
      </c>
      <c r="F212" s="13">
        <v>42896.112719907411</v>
      </c>
      <c r="G212" s="7">
        <v>1</v>
      </c>
      <c r="H212" s="21" t="s">
        <v>565</v>
      </c>
      <c r="I212" s="13">
        <v>42896.12296296296</v>
      </c>
      <c r="J212" s="7">
        <v>0</v>
      </c>
      <c r="K212" s="92" t="str">
        <f t="shared" si="96"/>
        <v>4053/4054</v>
      </c>
      <c r="L212" s="21" t="str">
        <f>VLOOKUP(A212,'Trips&amp;Operators'!$C$1:$G$99999,5,FALSE)</f>
        <v>LAMAR NEKESHA</v>
      </c>
      <c r="M212" s="6">
        <f t="shared" si="97"/>
        <v>1.024305554892635E-2</v>
      </c>
      <c r="N212" s="7">
        <f t="shared" si="98"/>
        <v>14.749999990453944</v>
      </c>
      <c r="O212" s="7"/>
      <c r="P212" s="7"/>
      <c r="Q212" s="22"/>
      <c r="R212" s="173"/>
      <c r="S212" s="176">
        <f t="shared" si="99"/>
        <v>1</v>
      </c>
      <c r="T212" s="202" t="str">
        <f t="shared" si="100"/>
        <v>NorthBound</v>
      </c>
      <c r="U212" s="202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03" t="str">
        <f t="shared" si="101"/>
        <v>https://d0f6bd738d7f1b3e5a7ca70fe4ff75f0.us-east-1.aws.found.io/app/kibana#/discover/Steve-Slow-Train-Analysis-(2080s-and-2083s)?_g=(refreshInterval:(display:Off,pause:!f,section:0,value:0),time:(from:'2017-06-10T01:39:11-0600',mode:absolute,to:'2017-06-10T03:57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12" s="204" t="str">
        <f t="shared" si="102"/>
        <v>Y</v>
      </c>
      <c r="X212" s="204">
        <f t="shared" si="103"/>
        <v>1</v>
      </c>
      <c r="Y212" s="204">
        <f t="shared" si="94"/>
        <v>4.7699999999999999E-2</v>
      </c>
      <c r="Z212" s="204">
        <f t="shared" si="95"/>
        <v>2.3304</v>
      </c>
      <c r="AA212" s="204">
        <f t="shared" si="104"/>
        <v>2.2827000000000002</v>
      </c>
      <c r="AB212" s="57" t="e">
        <f>VLOOKUP(A212,Enforcements!$C$7:$K$13,8,0)</f>
        <v>#N/A</v>
      </c>
      <c r="AC212" s="53" t="e">
        <f>VLOOKUP(A212,Enforcements!$C$7:$E$13,3,0)</f>
        <v>#N/A</v>
      </c>
      <c r="AD212" s="54" t="str">
        <f t="shared" si="105"/>
        <v>0313-09</v>
      </c>
      <c r="AE212" s="80" t="str">
        <f t="shared" si="106"/>
        <v>aws s3 cp s3://rtdc.mdm.uploadarchive.raw/RTDC4054/ "%USERPROFILE%\AppData\Local\Temp\OnboardLogs"\RTDC4054\2017-06-10 --exclude "*" --recursive --include "*20170610*" &amp; "%USERPROFILE%\Documents\GitHub\mrs-test-scripts\Headless Mode &amp; Sideloading\WalkAndUnGZ.bat" "%USERPROFILE%\AppData\Local\Temp\OnboardLogs"\RTDC4054\2017-06-10 &amp; aws s3 cp s3://rtdc.mdm.uploadarchive.raw/RTDC4054/ "%USERPROFILE%\AppData\Local\Temp\OnboardLogs"\RTDC4054\2017-06-11 --exclude "*" --recursive --include "*20170611*" &amp; "%USERPROFILE%\Documents\GitHub\mrs-test-scripts\Headless Mode &amp; Sideloading\WalkAndUnGZ.bat" "%USERPROFILE%\AppData\Local\Temp\OnboardLogs"\RTDC4054\2017-06-11</v>
      </c>
      <c r="AF212" s="77" t="str">
        <f t="shared" si="107"/>
        <v>"C:\Program Files (x86)\AstroGrep\AstroGrep.exe" /e /r /s /spath="%USERPROFILE%\AppData\Local\Temp\OnboardLogs" /stypes="app*4054*20170610*" /stext=" 08:.+((SYSTEM_STATE.+slice.+state.+changed )|(ment ac)|(multiple cpu faults)|(system.+state.+changed )|(\[timeout)|(PRM\|1\|D)|(kpr)|(kdp)|(train st.+moving)|(\|lc)|(penalty))"</v>
      </c>
      <c r="AG212" s="1" t="str">
        <f t="shared" si="108"/>
        <v>Other</v>
      </c>
      <c r="AH212" s="81" t="str">
        <f t="shared" si="109"/>
        <v>"%USERPROFILE%\Documents\GitHub\eaglep3\Utilities\RefineRTDCRunTimes.py" --tripid 313-09 --locoid 4054 --swversion DE.1.0.9.0 --startMP 204:477 --initTime 2017-06-10T02:39:11 --startdatetime 2017-06-10T02:42:19 --delay 1 --endMP 300:23304 --enddatetime 2017-06-10T02:57:04 --enforcementcount 0 &gt;&gt;C:\Users\stu\Documents\GitHub\eaglep3-reporting\EC\2017-06-10-refined-times.txt</v>
      </c>
      <c r="AI212" s="99" t="str">
        <f t="shared" si="110"/>
        <v>echo {"issue":{"subject":"","project_id":79,"tracker_id":40,"status_id":1,"priority_id":2,"assigned_to_id":23,"start_date":"2017-06-10","description":"","custom_fields":[{"id":1,"name":"Subdivision","value":"Other"},{"id":4,"name":"Milepost","value":"2.3304"},{"id":17,"name":"Train ID","value":"313-09"},{"id":16,"name":"Locomotive ID","value":"4054"},{"id":130,"name":"Impact","value":""},{"id":150,"name":"Time of Event (Mountain Time)","value":"02:57:04"},{"id":151,"name":"Denver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5" t="str">
        <f t="shared" si="111"/>
        <v>start /low /b %USERPROFILE%\Documents\GitHub\eaglep3\Utilities\DownloadLogsFromS3.py --loco 4054 --day 2017-06-10</v>
      </c>
      <c r="AN212" s="154" t="str">
        <f t="shared" si="112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08:57:04"},{"id":29,"name":"Sharepoint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40" x14ac:dyDescent="0.25">
      <c r="A213" s="32" t="s">
        <v>820</v>
      </c>
      <c r="B213" s="7">
        <v>4004</v>
      </c>
      <c r="C213" s="21" t="s">
        <v>204</v>
      </c>
      <c r="D213" s="21" t="s">
        <v>368</v>
      </c>
      <c r="E213" s="13">
        <v>42897.110451388886</v>
      </c>
      <c r="F213" s="13">
        <v>42897.112928240742</v>
      </c>
      <c r="G213" s="7">
        <v>1</v>
      </c>
      <c r="H213" s="21" t="s">
        <v>968</v>
      </c>
      <c r="I213" s="13">
        <v>42897.116689814815</v>
      </c>
      <c r="J213" s="7">
        <v>0</v>
      </c>
      <c r="K213" s="92" t="str">
        <f t="shared" si="96"/>
        <v>4003/4004</v>
      </c>
      <c r="L213" s="21" t="str">
        <f>VLOOKUP(A213,'Trips&amp;Operators'!$C$1:$G$99999,5,FALSE)</f>
        <v>LAMAR NEKESHA</v>
      </c>
      <c r="M213" s="6">
        <f t="shared" si="97"/>
        <v>3.7615740729961544E-3</v>
      </c>
      <c r="N213" s="7">
        <f t="shared" si="98"/>
        <v>5.4166666651144624</v>
      </c>
      <c r="O213" s="7"/>
      <c r="P213" s="7"/>
      <c r="Q213" s="22"/>
      <c r="R213" s="173"/>
      <c r="S213" s="176">
        <f t="shared" si="99"/>
        <v>1</v>
      </c>
      <c r="T213" s="202" t="str">
        <f t="shared" si="100"/>
        <v>NorthBound</v>
      </c>
      <c r="U213" s="202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03" t="str">
        <f t="shared" si="101"/>
        <v>https://d0f6bd738d7f1b3e5a7ca70fe4ff75f0.us-east-1.aws.found.io/app/kibana#/discover/Steve-Slow-Train-Analysis-(2080s-and-2083s)?_g=(refreshInterval:(display:Off,pause:!f,section:0,value:0),time:(from:'2017-06-11T01:39:03-0600',mode:absolute,to:'2017-06-11T03:48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3" s="204" t="str">
        <f t="shared" si="102"/>
        <v>Y</v>
      </c>
      <c r="X213" s="204">
        <f t="shared" si="103"/>
        <v>0</v>
      </c>
      <c r="Y213" s="204">
        <f t="shared" si="94"/>
        <v>4.5499999999999999E-2</v>
      </c>
      <c r="Z213" s="204">
        <f t="shared" si="95"/>
        <v>1.2884</v>
      </c>
      <c r="AA213" s="204">
        <f t="shared" si="104"/>
        <v>1.2428999999999999</v>
      </c>
      <c r="AB213" s="57" t="e">
        <f>VLOOKUP(A213,Enforcements!$C$7:$K$13,8,0)</f>
        <v>#N/A</v>
      </c>
      <c r="AC213" s="53" t="e">
        <f>VLOOKUP(A213,Enforcements!$C$7:$E$13,3,0)</f>
        <v>#N/A</v>
      </c>
      <c r="AD213" s="54" t="str">
        <f t="shared" si="105"/>
        <v>0313-10</v>
      </c>
      <c r="AE213" s="80" t="str">
        <f t="shared" si="106"/>
        <v>aws s3 cp s3://rtdc.mdm.uploadarchive.raw/RTDC4004/ "%USERPROFILE%\AppData\Local\Temp\OnboardLogs"\RTDC4004\2017-06-11 --exclude "*" --recursive --include "*20170611*" &amp; "%USERPROFILE%\Documents\GitHub\mrs-test-scripts\Headless Mode &amp; Sideloading\WalkAndUnGZ.bat" "%USERPROFILE%\AppData\Local\Temp\OnboardLogs"\RTDC4004\2017-06-11 &amp; aws s3 cp s3://rtdc.mdm.uploadarchive.raw/RTDC4004/ "%USERPROFILE%\AppData\Local\Temp\OnboardLogs"\RTDC4004\2017-06-12 --exclude "*" --recursive --include "*20170612*" &amp; "%USERPROFILE%\Documents\GitHub\mrs-test-scripts\Headless Mode &amp; Sideloading\WalkAndUnGZ.bat" "%USERPROFILE%\AppData\Local\Temp\OnboardLogs"\RTDC4004\2017-06-12</v>
      </c>
      <c r="AF213" s="77" t="str">
        <f t="shared" si="107"/>
        <v>"C:\Program Files (x86)\AstroGrep\AstroGrep.exe" /e /r /s /spath="%USERPROFILE%\AppData\Local\Temp\OnboardLogs" /stypes="app*4004*20170611*" /stext=" 08:.+((SYSTEM_STATE.+slice.+state.+changed )|(ment ac)|(multiple cpu faults)|(system.+state.+changed )|(\[timeout)|(PRM\|1\|D)|(kpr)|(kdp)|(train st.+moving)|(\|lc)|(penalty))"</v>
      </c>
      <c r="AG213" s="1" t="str">
        <f t="shared" si="108"/>
        <v>Other</v>
      </c>
      <c r="AH213" s="81" t="str">
        <f t="shared" si="109"/>
        <v>"%USERPROFILE%\Documents\GitHub\eaglep3\Utilities\RefineRTDCRunTimes.py" --tripid 313-10 --locoid 4004 --swversion DE.1.0.9.0 --startMP 204:455 --initTime 2017-06-11T02:39:03 --startdatetime 2017-06-11T02:42:37 --delay 1 --endMP 300:12884 --enddatetime 2017-06-11T02:48:02 --enforcementcount 0 &gt;&gt;C:\Users\stu\Documents\GitHub\eaglep3-reporting\EC\2017-06-10-refined-times.txt</v>
      </c>
      <c r="AI213" s="99" t="str">
        <f t="shared" si="110"/>
        <v>echo {"issue":{"subject":"","project_id":79,"tracker_id":40,"status_id":1,"priority_id":2,"assigned_to_id":23,"start_date":"2017-06-11","description":"","custom_fields":[{"id":1,"name":"Subdivision","value":"Other"},{"id":4,"name":"Milepost","value":"1.2884"},{"id":17,"name":"Train ID","value":"313-10"},{"id":16,"name":"Locomotive ID","value":"4004"},{"id":130,"name":"Impact","value":""},{"id":150,"name":"Time of Event (Mountain Time)","value":"02:48:02"},{"id":151,"name":"Denver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5" t="str">
        <f t="shared" si="111"/>
        <v>start /low /b %USERPROFILE%\Documents\GitHub\eaglep3\Utilities\DownloadLogsFromS3.py --loco 4004 --day 2017-06-11</v>
      </c>
      <c r="AN213" s="154" t="str">
        <f t="shared" si="112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08:48:02"},{"id":29,"name":"Sharepoint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40" x14ac:dyDescent="0.25">
      <c r="A214" s="32" t="s">
        <v>654</v>
      </c>
      <c r="B214" s="7">
        <v>4008</v>
      </c>
      <c r="C214" s="21" t="s">
        <v>204</v>
      </c>
      <c r="D214" s="21" t="s">
        <v>921</v>
      </c>
      <c r="E214" s="13">
        <v>42896.22483796296</v>
      </c>
      <c r="F214" s="13">
        <v>42896.228958333333</v>
      </c>
      <c r="G214" s="7">
        <v>5</v>
      </c>
      <c r="H214" s="21" t="s">
        <v>922</v>
      </c>
      <c r="I214" s="13">
        <v>42896.234548611108</v>
      </c>
      <c r="J214" s="7">
        <v>0</v>
      </c>
      <c r="K214" s="92" t="str">
        <f t="shared" si="96"/>
        <v>4007/4008</v>
      </c>
      <c r="L214" s="21" t="str">
        <f>VLOOKUP(A214,'Trips&amp;Operators'!$C$1:$G$99999,5,FALSE)</f>
        <v>MACDONALD THOMAS</v>
      </c>
      <c r="M214" s="6">
        <f t="shared" si="97"/>
        <v>5.5902777748997323E-3</v>
      </c>
      <c r="N214" s="7">
        <f t="shared" si="98"/>
        <v>8.0499999958556145</v>
      </c>
      <c r="O214" s="7"/>
      <c r="P214" s="7"/>
      <c r="Q214" s="22"/>
      <c r="R214" s="173"/>
      <c r="S214" s="176">
        <f t="shared" si="99"/>
        <v>0</v>
      </c>
      <c r="T214" s="202" t="str">
        <f t="shared" si="100"/>
        <v>NorthBound</v>
      </c>
      <c r="U214" s="202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203" t="str">
        <f t="shared" si="101"/>
        <v>https://d0f6bd738d7f1b3e5a7ca70fe4ff75f0.us-east-1.aws.found.io/app/kibana#/discover/Steve-Slow-Train-Analysis-(2080s-and-2083s)?_g=(refreshInterval:(display:Off,pause:!f,section:0,value:0),time:(from:'2017-06-10T04:23:46-0600',mode:absolute,to:'2017-06-10T06:37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4" s="204" t="str">
        <f t="shared" si="102"/>
        <v>Y</v>
      </c>
      <c r="X214" s="204">
        <f t="shared" si="103"/>
        <v>1588</v>
      </c>
      <c r="Y214" s="204">
        <f t="shared" si="94"/>
        <v>3.0078</v>
      </c>
      <c r="Z214" s="204">
        <f t="shared" si="95"/>
        <v>5.8939000000000004</v>
      </c>
      <c r="AA214" s="204">
        <f t="shared" si="104"/>
        <v>2.8861000000000003</v>
      </c>
      <c r="AB214" s="57" t="e">
        <f>VLOOKUP(A214,Enforcements!$C$7:$K$13,8,0)</f>
        <v>#N/A</v>
      </c>
      <c r="AC214" s="53" t="e">
        <f>VLOOKUP(A214,Enforcements!$C$7:$E$13,3,0)</f>
        <v>#N/A</v>
      </c>
      <c r="AD214" s="54" t="str">
        <f t="shared" si="105"/>
        <v>1901-10</v>
      </c>
      <c r="AE214" s="80" t="str">
        <f t="shared" si="106"/>
        <v>aws s3 cp s3://rtdc.mdm.uploadarchive.raw/RTDC4008/ "%USERPROFILE%\AppData\Local\Temp\OnboardLogs"\RTDC4008\2017-06-10 --exclude "*" --recursive --include "*20170610*" &amp; "%USERPROFILE%\Documents\GitHub\mrs-test-scripts\Headless Mode &amp; Sideloading\WalkAndUnGZ.bat" "%USERPROFILE%\AppData\Local\Temp\OnboardLogs"\RTDC4008\2017-06-10 &amp; aws s3 cp s3://rtdc.mdm.uploadarchive.raw/RTDC4008/ "%USERPROFILE%\AppData\Local\Temp\OnboardLogs"\RTDC4008\2017-06-11 --exclude "*" --recursive --include "*20170611*" &amp; "%USERPROFILE%\Documents\GitHub\mrs-test-scripts\Headless Mode &amp; Sideloading\WalkAndUnGZ.bat" "%USERPROFILE%\AppData\Local\Temp\OnboardLogs"\RTDC4008\2017-06-11</v>
      </c>
      <c r="AF214" s="77" t="str">
        <f t="shared" si="107"/>
        <v>"C:\Program Files (x86)\AstroGrep\AstroGrep.exe" /e /r /s /spath="%USERPROFILE%\AppData\Local\Temp\OnboardLogs" /stypes="app*4008*20170610*" /stext=" 11:.+((SYSTEM_STATE.+slice.+state.+changed )|(ment ac)|(multiple cpu faults)|(system.+state.+changed )|(\[timeout)|(PRM\|1\|D)|(kpr)|(kdp)|(train st.+moving)|(\|lc)|(penalty))"</v>
      </c>
      <c r="AG214" s="1" t="str">
        <f t="shared" si="108"/>
        <v>Other</v>
      </c>
      <c r="AH214" s="81" t="str">
        <f t="shared" si="109"/>
        <v>"%USERPROFILE%\Documents\GitHub\eaglep3\Utilities\RefineRTDCRunTimes.py" --tripid 1901-10 --locoid 4008 --swversion DE.1.0.9.0 --startMP 300:30078 --initTime 2017-06-10T05:23:46 --startdatetime 2017-06-10T05:29:42 --delay 5 --endMP 300:58939 --enddatetime 2017-06-10T05:37:45 --enforcementcount 0 &gt;&gt;C:\Users\stu\Documents\GitHub\eaglep3-reporting\EC\2017-06-10-refined-times.txt</v>
      </c>
      <c r="AI214" s="99" t="str">
        <f t="shared" si="110"/>
        <v>echo {"issue":{"subject":"","project_id":79,"tracker_id":40,"status_id":1,"priority_id":2,"assigned_to_id":23,"start_date":"2017-06-10","description":"","custom_fields":[{"id":1,"name":"Subdivision","value":"Other"},{"id":4,"name":"Milepost","value":"5.8939"},{"id":17,"name":"Train ID","value":"1901-10"},{"id":16,"name":"Locomotive ID","value":"4008"},{"id":130,"name":"Impact","value":""},{"id":150,"name":"Time of Event (Mountain Time)","value":"05:37:45"},{"id":151,"name":"Denver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5" t="str">
        <f t="shared" si="111"/>
        <v>start /low /b %USERPROFILE%\Documents\GitHub\eaglep3\Utilities\DownloadLogsFromS3.py --loco 4008 --day 2017-06-10</v>
      </c>
      <c r="AN214" s="154" t="str">
        <f t="shared" si="112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11:37:45"},{"id":29,"name":"Sharepoint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40" x14ac:dyDescent="0.25">
      <c r="A215" s="32" t="s">
        <v>806</v>
      </c>
      <c r="B215" s="7">
        <v>4007</v>
      </c>
      <c r="C215" s="21" t="s">
        <v>204</v>
      </c>
      <c r="D215" s="21" t="s">
        <v>911</v>
      </c>
      <c r="E215" s="13">
        <v>42896.942986111113</v>
      </c>
      <c r="F215" s="13">
        <v>42896.95239583333</v>
      </c>
      <c r="G215" s="7">
        <v>1</v>
      </c>
      <c r="H215" s="21" t="s">
        <v>923</v>
      </c>
      <c r="I215" s="13">
        <v>42896.955706018518</v>
      </c>
      <c r="J215" s="7">
        <v>0</v>
      </c>
      <c r="K215" s="92" t="str">
        <f t="shared" si="96"/>
        <v>4007/4008</v>
      </c>
      <c r="L215" s="21" t="str">
        <f>VLOOKUP(A215,'Trips&amp;Operators'!$C$1:$G$99999,5,FALSE)</f>
        <v>SULLIVAN BRANDON</v>
      </c>
      <c r="M215" s="6">
        <f t="shared" si="97"/>
        <v>3.3101851877290756E-3</v>
      </c>
      <c r="N215" s="7">
        <f t="shared" si="98"/>
        <v>4.7666666703298688</v>
      </c>
      <c r="O215" s="7"/>
      <c r="P215" s="7"/>
      <c r="Q215" s="22"/>
      <c r="R215" s="173"/>
      <c r="S215" s="176">
        <f t="shared" si="99"/>
        <v>0</v>
      </c>
      <c r="T215" s="202" t="str">
        <f t="shared" si="100"/>
        <v>Southbound</v>
      </c>
      <c r="U215" s="202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203" t="str">
        <f t="shared" si="101"/>
        <v>https://d0f6bd738d7f1b3e5a7ca70fe4ff75f0.us-east-1.aws.found.io/app/kibana#/discover/Steve-Slow-Train-Analysis-(2080s-and-2083s)?_g=(refreshInterval:(display:Off,pause:!f,section:0,value:0),time:(from:'2017-06-10T21:37:54-0600',mode:absolute,to:'2017-06-10T23:56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5" s="204" t="str">
        <f t="shared" si="102"/>
        <v>Y</v>
      </c>
      <c r="X215" s="204">
        <f t="shared" si="103"/>
        <v>1</v>
      </c>
      <c r="Y215" s="204">
        <f t="shared" si="94"/>
        <v>5.8625999999999996</v>
      </c>
      <c r="Z215" s="204">
        <f t="shared" si="95"/>
        <v>1.9743999999999999</v>
      </c>
      <c r="AA215" s="204">
        <f t="shared" si="104"/>
        <v>3.8881999999999994</v>
      </c>
      <c r="AB215" s="57" t="e">
        <f>VLOOKUP(A215,Enforcements!$C$7:$K$13,8,0)</f>
        <v>#N/A</v>
      </c>
      <c r="AC215" s="53" t="e">
        <f>VLOOKUP(A215,Enforcements!$C$7:$E$13,3,0)</f>
        <v>#N/A</v>
      </c>
      <c r="AD215" s="54" t="str">
        <f t="shared" si="105"/>
        <v>1902-10</v>
      </c>
      <c r="AE215" s="80" t="str">
        <f t="shared" si="106"/>
        <v>aws s3 cp s3://rtdc.mdm.uploadarchive.raw/RTDC4007/ "%USERPROFILE%\AppData\Local\Temp\OnboardLogs"\RTDC4007\2017-06-10 --exclude "*" --recursive --include "*20170610*" &amp; "%USERPROFILE%\Documents\GitHub\mrs-test-scripts\Headless Mode &amp; Sideloading\WalkAndUnGZ.bat" "%USERPROFILE%\AppData\Local\Temp\OnboardLogs"\RTDC4007\2017-06-10 &amp; aws s3 cp s3://rtdc.mdm.uploadarchive.raw/RTDC4007/ "%USERPROFILE%\AppData\Local\Temp\OnboardLogs"\RTDC4007\2017-06-11 --exclude "*" --recursive --include "*20170611*" &amp; "%USERPROFILE%\Documents\GitHub\mrs-test-scripts\Headless Mode &amp; Sideloading\WalkAndUnGZ.bat" "%USERPROFILE%\AppData\Local\Temp\OnboardLogs"\RTDC4007\2017-06-11</v>
      </c>
      <c r="AF215" s="77" t="str">
        <f t="shared" si="107"/>
        <v>"C:\Program Files (x86)\AstroGrep\AstroGrep.exe" /e /r /s /spath="%USERPROFILE%\AppData\Local\Temp\OnboardLogs" /stypes="app*4007*20170611*" /stext=" 04:.+((SYSTEM_STATE.+slice.+state.+changed )|(ment ac)|(multiple cpu faults)|(system.+state.+changed )|(\[timeout)|(PRM\|1\|D)|(kpr)|(kdp)|(train st.+moving)|(\|lc)|(penalty))"</v>
      </c>
      <c r="AG215" s="1" t="str">
        <f t="shared" si="108"/>
        <v>Other</v>
      </c>
      <c r="AH215" s="81" t="str">
        <f t="shared" si="109"/>
        <v>"%USERPROFILE%\Documents\GitHub\eaglep3\Utilities\RefineRTDCRunTimes.py" --tripid 1902-10 --locoid 4007 --swversion DE.1.0.9.0 --startMP 300:58626 --initTime 2017-06-10T22:37:54 --startdatetime 2017-06-10T22:51:27 --delay 1 --endMP 300:19744 --enddatetime 2017-06-10T22:56:13 --enforcementcount 0 &gt;&gt;C:\Users\stu\Documents\GitHub\eaglep3-reporting\EC\2017-06-10-refined-times.txt</v>
      </c>
      <c r="AI215" s="99" t="str">
        <f t="shared" si="110"/>
        <v>echo {"issue":{"subject":"","project_id":79,"tracker_id":40,"status_id":1,"priority_id":2,"assigned_to_id":23,"start_date":"2017-06-10","description":"","custom_fields":[{"id":1,"name":"Subdivision","value":"Other"},{"id":4,"name":"Milepost","value":"1.9744"},{"id":17,"name":"Train ID","value":"1902-10"},{"id":16,"name":"Locomotive ID","value":"4007"},{"id":130,"name":"Impact","value":""},{"id":150,"name":"Time of Event (Mountain Time)","value":"22:56:13"},{"id":151,"name":"Denver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5" t="str">
        <f t="shared" si="111"/>
        <v>start /low /b %USERPROFILE%\Documents\GitHub\eaglep3\Utilities\DownloadLogsFromS3.py --loco 4007 --day 2017-06-10</v>
      </c>
      <c r="AN215" s="154" t="str">
        <f t="shared" si="112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04:56:13"},{"id":29,"name":"Sharepoint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40" x14ac:dyDescent="0.25">
      <c r="A216" s="32" t="s">
        <v>806</v>
      </c>
      <c r="B216" s="7">
        <v>4008</v>
      </c>
      <c r="C216" s="21" t="s">
        <v>204</v>
      </c>
      <c r="D216" s="21" t="s">
        <v>924</v>
      </c>
      <c r="E216" s="13">
        <v>42896.950879629629</v>
      </c>
      <c r="F216" s="13">
        <v>42896.95239583333</v>
      </c>
      <c r="G216" s="7">
        <v>1</v>
      </c>
      <c r="H216" s="21" t="s">
        <v>925</v>
      </c>
      <c r="I216" s="13">
        <v>42896.955706018518</v>
      </c>
      <c r="J216" s="7">
        <v>0</v>
      </c>
      <c r="K216" s="92" t="str">
        <f t="shared" si="96"/>
        <v>4007/4008</v>
      </c>
      <c r="L216" s="21" t="str">
        <f>VLOOKUP(A216,'Trips&amp;Operators'!$C$1:$G$99999,5,FALSE)</f>
        <v>SULLIVAN BRANDON</v>
      </c>
      <c r="M216" s="6">
        <f t="shared" si="97"/>
        <v>3.3101851877290756E-3</v>
      </c>
      <c r="N216" s="7">
        <f t="shared" si="98"/>
        <v>4.7666666703298688</v>
      </c>
      <c r="O216" s="7"/>
      <c r="P216" s="7"/>
      <c r="Q216" s="22"/>
      <c r="R216" s="173"/>
      <c r="S216" s="176">
        <f t="shared" si="99"/>
        <v>0</v>
      </c>
      <c r="T216" s="202" t="str">
        <f t="shared" si="100"/>
        <v>Southbound</v>
      </c>
      <c r="U216" s="202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203" t="str">
        <f t="shared" si="101"/>
        <v>https://d0f6bd738d7f1b3e5a7ca70fe4ff75f0.us-east-1.aws.found.io/app/kibana#/discover/Steve-Slow-Train-Analysis-(2080s-and-2083s)?_g=(refreshInterval:(display:Off,pause:!f,section:0,value:0),time:(from:'2017-06-10T21:49:16-0600',mode:absolute,to:'2017-06-10T23:56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6" s="204" t="str">
        <f t="shared" si="102"/>
        <v>Y</v>
      </c>
      <c r="X216" s="204">
        <f t="shared" si="103"/>
        <v>0</v>
      </c>
      <c r="Y216" s="204">
        <f t="shared" si="94"/>
        <v>2.0064000000000002</v>
      </c>
      <c r="Z216" s="204">
        <f t="shared" si="95"/>
        <v>2.3313999999999999</v>
      </c>
      <c r="AA216" s="204">
        <f t="shared" si="104"/>
        <v>0.32499999999999973</v>
      </c>
      <c r="AB216" s="57" t="e">
        <f>VLOOKUP(A216,Enforcements!$C$7:$K$13,8,0)</f>
        <v>#N/A</v>
      </c>
      <c r="AC216" s="53" t="e">
        <f>VLOOKUP(A216,Enforcements!$C$7:$E$13,3,0)</f>
        <v>#N/A</v>
      </c>
      <c r="AD216" s="54" t="str">
        <f t="shared" si="105"/>
        <v>1902-10</v>
      </c>
      <c r="AE216" s="80" t="str">
        <f t="shared" si="106"/>
        <v>aws s3 cp s3://rtdc.mdm.uploadarchive.raw/RTDC4008/ "%USERPROFILE%\AppData\Local\Temp\OnboardLogs"\RTDC4008\2017-06-10 --exclude "*" --recursive --include "*20170610*" &amp; "%USERPROFILE%\Documents\GitHub\mrs-test-scripts\Headless Mode &amp; Sideloading\WalkAndUnGZ.bat" "%USERPROFILE%\AppData\Local\Temp\OnboardLogs"\RTDC4008\2017-06-10 &amp; aws s3 cp s3://rtdc.mdm.uploadarchive.raw/RTDC4008/ "%USERPROFILE%\AppData\Local\Temp\OnboardLogs"\RTDC4008\2017-06-11 --exclude "*" --recursive --include "*20170611*" &amp; "%USERPROFILE%\Documents\GitHub\mrs-test-scripts\Headless Mode &amp; Sideloading\WalkAndUnGZ.bat" "%USERPROFILE%\AppData\Local\Temp\OnboardLogs"\RTDC4008\2017-06-11</v>
      </c>
      <c r="AF216" s="77" t="str">
        <f t="shared" si="107"/>
        <v>"C:\Program Files (x86)\AstroGrep\AstroGrep.exe" /e /r /s /spath="%USERPROFILE%\AppData\Local\Temp\OnboardLogs" /stypes="app*4008*20170611*" /stext=" 04:.+((SYSTEM_STATE.+slice.+state.+changed )|(ment ac)|(multiple cpu faults)|(system.+state.+changed )|(\[timeout)|(PRM\|1\|D)|(kpr)|(kdp)|(train st.+moving)|(\|lc)|(penalty))"</v>
      </c>
      <c r="AG216" s="1" t="str">
        <f t="shared" si="108"/>
        <v>Other</v>
      </c>
      <c r="AH216" s="81" t="str">
        <f t="shared" si="109"/>
        <v>"%USERPROFILE%\Documents\GitHub\eaglep3\Utilities\RefineRTDCRunTimes.py" --tripid 1902-10 --locoid 4008 --swversion DE.1.0.9.0 --startMP 300:20064 --initTime 2017-06-10T22:49:16 --startdatetime 2017-06-10T22:51:27 --delay 1 --endMP 300:23314 --enddatetime 2017-06-10T22:56:13 --enforcementcount 0 &gt;&gt;C:\Users\stu\Documents\GitHub\eaglep3-reporting\EC\2017-06-10-refined-times.txt</v>
      </c>
      <c r="AI216" s="99" t="str">
        <f t="shared" si="110"/>
        <v>echo {"issue":{"subject":"","project_id":79,"tracker_id":40,"status_id":1,"priority_id":2,"assigned_to_id":23,"start_date":"2017-06-10","description":"","custom_fields":[{"id":1,"name":"Subdivision","value":"Other"},{"id":4,"name":"Milepost","value":"2.3314"},{"id":17,"name":"Train ID","value":"1902-10"},{"id":16,"name":"Locomotive ID","value":"4008"},{"id":130,"name":"Impact","value":""},{"id":150,"name":"Time of Event (Mountain Time)","value":"22:56:13"},{"id":151,"name":"Denver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5" t="str">
        <f t="shared" si="111"/>
        <v>start /low /b %USERPROFILE%\Documents\GitHub\eaglep3\Utilities\DownloadLogsFromS3.py --loco 4008 --day 2017-06-10</v>
      </c>
      <c r="AN216" s="154" t="str">
        <f t="shared" si="112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04:56:13"},{"id":29,"name":"Sharepoint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40" x14ac:dyDescent="0.25">
      <c r="A217" s="32" t="s">
        <v>661</v>
      </c>
      <c r="B217" s="7">
        <v>4001</v>
      </c>
      <c r="C217" s="21" t="s">
        <v>204</v>
      </c>
      <c r="D217" s="21" t="s">
        <v>969</v>
      </c>
      <c r="E217" s="13">
        <v>42896.594537037039</v>
      </c>
      <c r="F217" s="13">
        <v>42896.595706018517</v>
      </c>
      <c r="G217" s="7">
        <v>1</v>
      </c>
      <c r="H217" s="21" t="s">
        <v>401</v>
      </c>
      <c r="I217" s="13">
        <v>42896.597268518519</v>
      </c>
      <c r="J217" s="7">
        <v>0</v>
      </c>
      <c r="K217" s="92" t="str">
        <f t="shared" si="96"/>
        <v>4001/4002</v>
      </c>
      <c r="L217" s="21" t="str">
        <f>VLOOKUP(A217,'Trips&amp;Operators'!$C$1:$G$99999,5,FALSE)</f>
        <v>CHANDLER KELVIN</v>
      </c>
      <c r="M217" s="6">
        <f t="shared" si="97"/>
        <v>1.5625000014551915E-3</v>
      </c>
      <c r="N217" s="7">
        <f t="shared" si="98"/>
        <v>2.2500000020954758</v>
      </c>
      <c r="O217" s="7"/>
      <c r="P217" s="7"/>
      <c r="Q217" s="22"/>
      <c r="R217" s="173"/>
      <c r="S217" s="176">
        <f t="shared" si="99"/>
        <v>0</v>
      </c>
      <c r="T217" s="202" t="e">
        <f t="shared" si="100"/>
        <v>#VALUE!</v>
      </c>
      <c r="U217" s="202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203" t="str">
        <f t="shared" si="101"/>
        <v>https://d0f6bd738d7f1b3e5a7ca70fe4ff75f0.us-east-1.aws.found.io/app/kibana#/discover/Steve-Slow-Train-Analysis-(2080s-and-2083s)?_g=(refreshInterval:(display:Off,pause:!f,section:0,value:0),time:(from:'2017-06-10T13:16:08-0600',mode:absolute,to:'2017-06-10T15:20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7" s="204" t="str">
        <f t="shared" si="102"/>
        <v>Y</v>
      </c>
      <c r="X217" s="204" t="e">
        <f t="shared" si="103"/>
        <v>#VALUE!</v>
      </c>
      <c r="Y217" s="204">
        <f t="shared" si="94"/>
        <v>0.32979999999999998</v>
      </c>
      <c r="Z217" s="204">
        <f t="shared" si="95"/>
        <v>1.54E-2</v>
      </c>
      <c r="AA217" s="204">
        <f t="shared" si="104"/>
        <v>0.31439999999999996</v>
      </c>
      <c r="AB217" s="57" t="e">
        <f>VLOOKUP(A217,Enforcements!$C$7:$K$13,8,0)</f>
        <v>#N/A</v>
      </c>
      <c r="AC217" s="53" t="e">
        <f>VLOOKUP(A217,Enforcements!$C$7:$E$13,3,0)</f>
        <v>#N/A</v>
      </c>
      <c r="AD217" s="54" t="str">
        <f t="shared" si="105"/>
        <v>50-10</v>
      </c>
      <c r="AE217" s="80" t="str">
        <f t="shared" si="106"/>
        <v>aws s3 cp s3://rtdc.mdm.uploadarchive.raw/RTDC4001/ "%USERPROFILE%\AppData\Local\Temp\OnboardLogs"\RTDC4001\2017-06-10 --exclude "*" --recursive --include "*20170610*" &amp; "%USERPROFILE%\Documents\GitHub\mrs-test-scripts\Headless Mode &amp; Sideloading\WalkAndUnGZ.bat" "%USERPROFILE%\AppData\Local\Temp\OnboardLogs"\RTDC4001\2017-06-10 &amp; aws s3 cp s3://rtdc.mdm.uploadarchive.raw/RTDC4001/ "%USERPROFILE%\AppData\Local\Temp\OnboardLogs"\RTDC4001\2017-06-11 --exclude "*" --recursive --include "*20170611*" &amp; "%USERPROFILE%\Documents\GitHub\mrs-test-scripts\Headless Mode &amp; Sideloading\WalkAndUnGZ.bat" "%USERPROFILE%\AppData\Local\Temp\OnboardLogs"\RTDC4001\2017-06-11</v>
      </c>
      <c r="AF217" s="77" t="str">
        <f t="shared" si="107"/>
        <v>"C:\Program Files (x86)\AstroGrep\AstroGrep.exe" /e /r /s /spath="%USERPROFILE%\AppData\Local\Temp\OnboardLogs" /stypes="app*4001*20170610*" /stext=" 20:.+((SYSTEM_STATE.+slice.+state.+changed )|(ment ac)|(multiple cpu faults)|(system.+state.+changed )|(\[timeout)|(PRM\|1\|D)|(kpr)|(kdp)|(train st.+moving)|(\|lc)|(penalty))"</v>
      </c>
      <c r="AG217" s="1" t="str">
        <f t="shared" si="108"/>
        <v>Other</v>
      </c>
      <c r="AH217" s="81" t="str">
        <f t="shared" si="109"/>
        <v>"%USERPROFILE%\Documents\GitHub\eaglep3\Utilities\RefineRTDCRunTimes.py" --tripid 50-10 --locoid 4001 --swversion DE.1.0.9.0 --startMP 204:3298 --initTime 2017-06-10T14:16:08 --startdatetime 2017-06-10T14:17:49 --delay 1 --endMP 204:154 --enddatetime 2017-06-10T14:20:04 --enforcementcount 0 &gt;&gt;C:\Users\stu\Documents\GitHub\eaglep3-reporting\EC\2017-06-10-refined-times.txt</v>
      </c>
      <c r="AI217" s="99" t="str">
        <f t="shared" si="110"/>
        <v>echo {"issue":{"subject":"","project_id":79,"tracker_id":40,"status_id":1,"priority_id":2,"assigned_to_id":23,"start_date":"2017-06-10","description":"","custom_fields":[{"id":1,"name":"Subdivision","value":"Other"},{"id":4,"name":"Milepost","value":"0.0154"},{"id":17,"name":"Train ID","value":"50-10"},{"id":16,"name":"Locomotive ID","value":"4001"},{"id":130,"name":"Impact","value":""},{"id":150,"name":"Time of Event (Mountain Time)","value":"14:20:04"},{"id":151,"name":"Denver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5" t="str">
        <f t="shared" si="111"/>
        <v>start /low /b %USERPROFILE%\Documents\GitHub\eaglep3\Utilities\DownloadLogsFromS3.py --loco 4001 --day 2017-06-10</v>
      </c>
      <c r="AN217" s="154" t="str">
        <f t="shared" si="112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20:20:04"},{"id":29,"name":"Sharepoint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40" x14ac:dyDescent="0.25">
      <c r="A218" s="32" t="s">
        <v>661</v>
      </c>
      <c r="B218" s="7">
        <v>4002</v>
      </c>
      <c r="C218" s="21" t="s">
        <v>204</v>
      </c>
      <c r="D218" s="21" t="s">
        <v>970</v>
      </c>
      <c r="E218" s="13">
        <v>42896.590995370374</v>
      </c>
      <c r="F218" s="13">
        <v>42896.595706018517</v>
      </c>
      <c r="G218" s="7">
        <v>1</v>
      </c>
      <c r="H218" s="21" t="s">
        <v>971</v>
      </c>
      <c r="I218" s="13">
        <v>42896.597268518519</v>
      </c>
      <c r="J218" s="7">
        <v>0</v>
      </c>
      <c r="K218" s="92" t="str">
        <f t="shared" si="96"/>
        <v>4001/4002</v>
      </c>
      <c r="L218" s="21" t="str">
        <f>VLOOKUP(A218,'Trips&amp;Operators'!$C$1:$G$99999,5,FALSE)</f>
        <v>CHANDLER KELVIN</v>
      </c>
      <c r="M218" s="6">
        <f t="shared" si="97"/>
        <v>1.5625000014551915E-3</v>
      </c>
      <c r="N218" s="7">
        <f t="shared" si="98"/>
        <v>2.2500000020954758</v>
      </c>
      <c r="O218" s="7"/>
      <c r="P218" s="7"/>
      <c r="Q218" s="22"/>
      <c r="R218" s="173"/>
      <c r="S218" s="176">
        <f t="shared" si="99"/>
        <v>0</v>
      </c>
      <c r="T218" s="202" t="e">
        <f t="shared" si="100"/>
        <v>#VALUE!</v>
      </c>
      <c r="U218" s="202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203" t="str">
        <f t="shared" si="101"/>
        <v>https://d0f6bd738d7f1b3e5a7ca70fe4ff75f0.us-east-1.aws.found.io/app/kibana#/discover/Steve-Slow-Train-Analysis-(2080s-and-2083s)?_g=(refreshInterval:(display:Off,pause:!f,section:0,value:0),time:(from:'2017-06-10T13:11:02-0600',mode:absolute,to:'2017-06-10T15:20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8" s="204" t="str">
        <f t="shared" si="102"/>
        <v>Y</v>
      </c>
      <c r="X218" s="204" t="e">
        <f t="shared" si="103"/>
        <v>#VALUE!</v>
      </c>
      <c r="Y218" s="204">
        <f t="shared" si="94"/>
        <v>0.12280000000000001</v>
      </c>
      <c r="Z218" s="204">
        <f t="shared" si="95"/>
        <v>0.36170000000000002</v>
      </c>
      <c r="AA218" s="204">
        <f t="shared" si="104"/>
        <v>0.2389</v>
      </c>
      <c r="AB218" s="57" t="e">
        <f>VLOOKUP(A218,Enforcements!$C$7:$K$13,8,0)</f>
        <v>#N/A</v>
      </c>
      <c r="AC218" s="53" t="e">
        <f>VLOOKUP(A218,Enforcements!$C$7:$E$13,3,0)</f>
        <v>#N/A</v>
      </c>
      <c r="AD218" s="54" t="str">
        <f t="shared" si="105"/>
        <v>50-10</v>
      </c>
      <c r="AE218" s="80" t="str">
        <f t="shared" si="106"/>
        <v>aws s3 cp s3://rtdc.mdm.uploadarchive.raw/RTDC4002/ "%USERPROFILE%\AppData\Local\Temp\OnboardLogs"\RTDC4002\2017-06-10 --exclude "*" --recursive --include "*20170610*" &amp; "%USERPROFILE%\Documents\GitHub\mrs-test-scripts\Headless Mode &amp; Sideloading\WalkAndUnGZ.bat" "%USERPROFILE%\AppData\Local\Temp\OnboardLogs"\RTDC4002\2017-06-10 &amp; aws s3 cp s3://rtdc.mdm.uploadarchive.raw/RTDC4002/ "%USERPROFILE%\AppData\Local\Temp\OnboardLogs"\RTDC4002\2017-06-11 --exclude "*" --recursive --include "*20170611*" &amp; "%USERPROFILE%\Documents\GitHub\mrs-test-scripts\Headless Mode &amp; Sideloading\WalkAndUnGZ.bat" "%USERPROFILE%\AppData\Local\Temp\OnboardLogs"\RTDC4002\2017-06-11</v>
      </c>
      <c r="AF218" s="77" t="str">
        <f t="shared" si="107"/>
        <v>"C:\Program Files (x86)\AstroGrep\AstroGrep.exe" /e /r /s /spath="%USERPROFILE%\AppData\Local\Temp\OnboardLogs" /stypes="app*4002*20170610*" /stext=" 20:.+((SYSTEM_STATE.+slice.+state.+changed )|(ment ac)|(multiple cpu faults)|(system.+state.+changed )|(\[timeout)|(PRM\|1\|D)|(kpr)|(kdp)|(train st.+moving)|(\|lc)|(penalty))"</v>
      </c>
      <c r="AG218" s="1" t="str">
        <f t="shared" si="108"/>
        <v>Other</v>
      </c>
      <c r="AH218" s="81" t="str">
        <f t="shared" si="109"/>
        <v>"%USERPROFILE%\Documents\GitHub\eaglep3\Utilities\RefineRTDCRunTimes.py" --tripid 50-10 --locoid 4002 --swversion DE.1.0.9.0 --startMP 204:1228 --initTime 2017-06-10T14:11:02 --startdatetime 2017-06-10T14:17:49 --delay 1 --endMP 204:3617 --enddatetime 2017-06-10T14:20:04 --enforcementcount 0 &gt;&gt;C:\Users\stu\Documents\GitHub\eaglep3-reporting\EC\2017-06-10-refined-times.txt</v>
      </c>
      <c r="AI218" s="99" t="str">
        <f t="shared" si="110"/>
        <v>echo {"issue":{"subject":"","project_id":79,"tracker_id":40,"status_id":1,"priority_id":2,"assigned_to_id":23,"start_date":"2017-06-10","description":"","custom_fields":[{"id":1,"name":"Subdivision","value":"Other"},{"id":4,"name":"Milepost","value":"0.3617"},{"id":17,"name":"Train ID","value":"50-10"},{"id":16,"name":"Locomotive ID","value":"4002"},{"id":130,"name":"Impact","value":""},{"id":150,"name":"Time of Event (Mountain Time)","value":"14:20:04"},{"id":151,"name":"Denver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5" t="str">
        <f t="shared" si="111"/>
        <v>start /low /b %USERPROFILE%\Documents\GitHub\eaglep3\Utilities\DownloadLogsFromS3.py --loco 4002 --day 2017-06-10</v>
      </c>
      <c r="AN218" s="154" t="str">
        <f t="shared" si="112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20:20:04"},{"id":29,"name":"Sharepoint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40" x14ac:dyDescent="0.25">
      <c r="A219" s="32" t="s">
        <v>661</v>
      </c>
      <c r="B219" s="7">
        <v>4052</v>
      </c>
      <c r="C219" s="21" t="s">
        <v>204</v>
      </c>
      <c r="D219" s="21" t="s">
        <v>972</v>
      </c>
      <c r="E219" s="13">
        <v>42896.685300925928</v>
      </c>
      <c r="F219" s="13">
        <v>42896.704837962963</v>
      </c>
      <c r="G219" s="7">
        <v>1</v>
      </c>
      <c r="H219" s="21" t="s">
        <v>973</v>
      </c>
      <c r="I219" s="13">
        <v>42896.717719907407</v>
      </c>
      <c r="J219" s="7">
        <v>0</v>
      </c>
      <c r="K219" s="92" t="str">
        <f t="shared" si="96"/>
        <v>4051/4052</v>
      </c>
      <c r="L219" s="21" t="str">
        <f>VLOOKUP(A219,'Trips&amp;Operators'!$C$1:$G$99999,5,FALSE)</f>
        <v>CHANDLER KELVIN</v>
      </c>
      <c r="M219" s="6">
        <f t="shared" si="97"/>
        <v>1.2881944443506654E-2</v>
      </c>
      <c r="N219" s="7">
        <f t="shared" si="98"/>
        <v>18.549999998649582</v>
      </c>
      <c r="O219" s="7"/>
      <c r="P219" s="7"/>
      <c r="Q219" s="22"/>
      <c r="R219" s="173"/>
      <c r="S219" s="176">
        <f t="shared" si="99"/>
        <v>0</v>
      </c>
      <c r="T219" s="202" t="e">
        <f t="shared" si="100"/>
        <v>#VALUE!</v>
      </c>
      <c r="U219" s="202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203" t="str">
        <f t="shared" si="101"/>
        <v>https://d0f6bd738d7f1b3e5a7ca70fe4ff75f0.us-east-1.aws.found.io/app/kibana#/discover/Steve-Slow-Train-Analysis-(2080s-and-2083s)?_g=(refreshInterval:(display:Off,pause:!f,section:0,value:0),time:(from:'2017-06-10T15:26:50-0600',mode:absolute,to:'2017-06-10T18:13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19" s="204" t="str">
        <f t="shared" si="102"/>
        <v>Y</v>
      </c>
      <c r="X219" s="204" t="e">
        <f t="shared" si="103"/>
        <v>#VALUE!</v>
      </c>
      <c r="Y219" s="204">
        <f t="shared" si="94"/>
        <v>0.11650000000000001</v>
      </c>
      <c r="Z219" s="204">
        <f t="shared" si="95"/>
        <v>2.4218000000000002</v>
      </c>
      <c r="AA219" s="204">
        <f t="shared" si="104"/>
        <v>2.3053000000000003</v>
      </c>
      <c r="AB219" s="57" t="e">
        <f>VLOOKUP(A219,Enforcements!$C$7:$K$13,8,0)</f>
        <v>#N/A</v>
      </c>
      <c r="AC219" s="53" t="e">
        <f>VLOOKUP(A219,Enforcements!$C$7:$E$13,3,0)</f>
        <v>#N/A</v>
      </c>
      <c r="AD219" s="54" t="str">
        <f t="shared" si="105"/>
        <v>50-10</v>
      </c>
      <c r="AE219" s="80" t="str">
        <f t="shared" si="106"/>
        <v>aws s3 cp s3://rtdc.mdm.uploadarchive.raw/RTDC4052/ "%USERPROFILE%\AppData\Local\Temp\OnboardLogs"\RTDC4052\2017-06-10 --exclude "*" --recursive --include "*20170610*" &amp; "%USERPROFILE%\Documents\GitHub\mrs-test-scripts\Headless Mode &amp; Sideloading\WalkAndUnGZ.bat" "%USERPROFILE%\AppData\Local\Temp\OnboardLogs"\RTDC4052\2017-06-10 &amp; aws s3 cp s3://rtdc.mdm.uploadarchive.raw/RTDC4052/ "%USERPROFILE%\AppData\Local\Temp\OnboardLogs"\RTDC4052\2017-06-11 --exclude "*" --recursive --include "*20170611*" &amp; "%USERPROFILE%\Documents\GitHub\mrs-test-scripts\Headless Mode &amp; Sideloading\WalkAndUnGZ.bat" "%USERPROFILE%\AppData\Local\Temp\OnboardLogs"\RTDC4052\2017-06-11</v>
      </c>
      <c r="AF219" s="77" t="str">
        <f t="shared" si="107"/>
        <v>"C:\Program Files (x86)\AstroGrep\AstroGrep.exe" /e /r /s /spath="%USERPROFILE%\AppData\Local\Temp\OnboardLogs" /stypes="app*4052*20170610*" /stext=" 23:.+((SYSTEM_STATE.+slice.+state.+changed )|(ment ac)|(multiple cpu faults)|(system.+state.+changed )|(\[timeout)|(PRM\|1\|D)|(kpr)|(kdp)|(train st.+moving)|(\|lc)|(penalty))"</v>
      </c>
      <c r="AG219" s="1" t="str">
        <f t="shared" si="108"/>
        <v>Other</v>
      </c>
      <c r="AH219" s="81" t="str">
        <f t="shared" si="109"/>
        <v>"%USERPROFILE%\Documents\GitHub\eaglep3\Utilities\RefineRTDCRunTimes.py" --tripid 50-10 --locoid 4052 --swversion DE.1.0.9.0 --startMP 204:1165 --initTime 2017-06-10T16:26:50 --startdatetime 2017-06-10T16:54:58 --delay 1 --endMP 300:24218 --enddatetime 2017-06-10T17:13:31 --enforcementcount 0 &gt;&gt;C:\Users\stu\Documents\GitHub\eaglep3-reporting\EC\2017-06-10-refined-times.txt</v>
      </c>
      <c r="AI219" s="99" t="str">
        <f t="shared" si="110"/>
        <v>echo {"issue":{"subject":"","project_id":79,"tracker_id":40,"status_id":1,"priority_id":2,"assigned_to_id":23,"start_date":"2017-06-10","description":"","custom_fields":[{"id":1,"name":"Subdivision","value":"Other"},{"id":4,"name":"Milepost","value":"2.4218"},{"id":17,"name":"Train ID","value":"50-10"},{"id":16,"name":"Locomotive ID","value":"4052"},{"id":130,"name":"Impact","value":""},{"id":150,"name":"Time of Event (Mountain Time)","value":"17:13:31"},{"id":151,"name":"Denver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5" t="str">
        <f t="shared" si="111"/>
        <v>start /low /b %USERPROFILE%\Documents\GitHub\eaglep3\Utilities\DownloadLogsFromS3.py --loco 4052 --day 2017-06-10</v>
      </c>
      <c r="AN219" s="154" t="str">
        <f t="shared" si="112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23:13:31"},{"id":29,"name":"Sharepoint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40" x14ac:dyDescent="0.25">
      <c r="A220" s="32" t="s">
        <v>665</v>
      </c>
      <c r="B220" s="7">
        <v>4060</v>
      </c>
      <c r="C220" s="21" t="s">
        <v>204</v>
      </c>
      <c r="D220" s="21" t="s">
        <v>974</v>
      </c>
      <c r="E220" s="13">
        <v>42896.251539351855</v>
      </c>
      <c r="F220" s="13">
        <v>42896.252662037034</v>
      </c>
      <c r="G220" s="7">
        <v>1</v>
      </c>
      <c r="H220" s="21" t="s">
        <v>535</v>
      </c>
      <c r="I220" s="13">
        <v>42896.258460648147</v>
      </c>
      <c r="J220" s="7">
        <v>0</v>
      </c>
      <c r="K220" s="92" t="str">
        <f t="shared" si="96"/>
        <v>4059/4060</v>
      </c>
      <c r="L220" s="21" t="str">
        <f>VLOOKUP(A220,'Trips&amp;Operators'!$C$1:$G$99999,5,FALSE)</f>
        <v>CHANDLER KELVIN</v>
      </c>
      <c r="M220" s="6">
        <f t="shared" si="97"/>
        <v>5.7986111132777296E-3</v>
      </c>
      <c r="N220" s="7">
        <f t="shared" si="98"/>
        <v>8.3500000031199306</v>
      </c>
      <c r="O220" s="7"/>
      <c r="P220" s="7"/>
      <c r="Q220" s="22"/>
      <c r="R220" s="173"/>
      <c r="S220" s="176">
        <f t="shared" si="99"/>
        <v>0</v>
      </c>
      <c r="T220" s="202" t="e">
        <f t="shared" si="100"/>
        <v>#VALUE!</v>
      </c>
      <c r="U220" s="202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203" t="str">
        <f t="shared" si="101"/>
        <v>https://d0f6bd738d7f1b3e5a7ca70fe4ff75f0.us-east-1.aws.found.io/app/kibana#/discover/Steve-Slow-Train-Analysis-(2080s-and-2083s)?_g=(refreshInterval:(display:Off,pause:!f,section:0,value:0),time:(from:'2017-06-10T05:02:13-0600',mode:absolute,to:'2017-06-10T07:12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20" s="204" t="str">
        <f t="shared" si="102"/>
        <v>Y</v>
      </c>
      <c r="X220" s="204" t="e">
        <f t="shared" si="103"/>
        <v>#VALUE!</v>
      </c>
      <c r="Y220" s="204">
        <f t="shared" si="94"/>
        <v>3.7499999999999999E-2</v>
      </c>
      <c r="Z220" s="204">
        <f t="shared" si="95"/>
        <v>2.3294999999999999</v>
      </c>
      <c r="AA220" s="204">
        <f t="shared" si="104"/>
        <v>2.2919999999999998</v>
      </c>
      <c r="AB220" s="57" t="e">
        <f>VLOOKUP(A220,Enforcements!$C$7:$K$13,8,0)</f>
        <v>#N/A</v>
      </c>
      <c r="AC220" s="53" t="e">
        <f>VLOOKUP(A220,Enforcements!$C$7:$E$13,3,0)</f>
        <v>#N/A</v>
      </c>
      <c r="AD220" s="54" t="str">
        <f t="shared" si="105"/>
        <v>51-10</v>
      </c>
      <c r="AE220" s="80" t="str">
        <f t="shared" si="106"/>
        <v>aws s3 cp s3://rtdc.mdm.uploadarchive.raw/RTDC4060/ "%USERPROFILE%\AppData\Local\Temp\OnboardLogs"\RTDC4060\2017-06-10 --exclude "*" --recursive --include "*20170610*" &amp; "%USERPROFILE%\Documents\GitHub\mrs-test-scripts\Headless Mode &amp; Sideloading\WalkAndUnGZ.bat" "%USERPROFILE%\AppData\Local\Temp\OnboardLogs"\RTDC4060\2017-06-10 &amp; aws s3 cp s3://rtdc.mdm.uploadarchive.raw/RTDC4060/ "%USERPROFILE%\AppData\Local\Temp\OnboardLogs"\RTDC4060\2017-06-11 --exclude "*" --recursive --include "*20170611*" &amp; "%USERPROFILE%\Documents\GitHub\mrs-test-scripts\Headless Mode &amp; Sideloading\WalkAndUnGZ.bat" "%USERPROFILE%\AppData\Local\Temp\OnboardLogs"\RTDC4060\2017-06-11</v>
      </c>
      <c r="AF220" s="77" t="str">
        <f t="shared" si="107"/>
        <v>"C:\Program Files (x86)\AstroGrep\AstroGrep.exe" /e /r /s /spath="%USERPROFILE%\AppData\Local\Temp\OnboardLogs" /stypes="app*4060*20170610*" /stext=" 12:.+((SYSTEM_STATE.+slice.+state.+changed )|(ment ac)|(multiple cpu faults)|(system.+state.+changed )|(\[timeout)|(PRM\|1\|D)|(kpr)|(kdp)|(train st.+moving)|(\|lc)|(penalty))"</v>
      </c>
      <c r="AG220" s="1" t="str">
        <f t="shared" si="108"/>
        <v>Other</v>
      </c>
      <c r="AH220" s="81" t="str">
        <f t="shared" si="109"/>
        <v>"%USERPROFILE%\Documents\GitHub\eaglep3\Utilities\RefineRTDCRunTimes.py" --tripid 51-10 --locoid 4060 --swversion DE.1.0.9.0 --startMP 204:375 --initTime 2017-06-10T06:02:13 --startdatetime 2017-06-10T06:03:50 --delay 1 --endMP 300:23295 --enddatetime 2017-06-10T06:12:11 --enforcementcount 0 &gt;&gt;C:\Users\stu\Documents\GitHub\eaglep3-reporting\EC\2017-06-10-refined-times.txt</v>
      </c>
      <c r="AI220" s="99" t="str">
        <f t="shared" si="110"/>
        <v>echo {"issue":{"subject":"","project_id":79,"tracker_id":40,"status_id":1,"priority_id":2,"assigned_to_id":23,"start_date":"2017-06-10","description":"","custom_fields":[{"id":1,"name":"Subdivision","value":"Other"},{"id":4,"name":"Milepost","value":"2.3295"},{"id":17,"name":"Train ID","value":"51-10"},{"id":16,"name":"Locomotive ID","value":"4060"},{"id":130,"name":"Impact","value":""},{"id":150,"name":"Time of Event (Mountain Time)","value":"06:12:11"},{"id":151,"name":"Denver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5" t="str">
        <f t="shared" si="111"/>
        <v>start /low /b %USERPROFILE%\Documents\GitHub\eaglep3\Utilities\DownloadLogsFromS3.py --loco 4060 --day 2017-06-10</v>
      </c>
      <c r="AN220" s="154" t="str">
        <f t="shared" si="112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12:12:11"},{"id":29,"name":"Sharepoint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40" x14ac:dyDescent="0.25">
      <c r="A221" s="32" t="s">
        <v>607</v>
      </c>
      <c r="B221" s="7">
        <v>4015</v>
      </c>
      <c r="C221" s="21" t="s">
        <v>204</v>
      </c>
      <c r="D221" s="21" t="s">
        <v>975</v>
      </c>
      <c r="E221" s="13">
        <v>42896.902858796297</v>
      </c>
      <c r="F221" s="13">
        <v>42896.904606481483</v>
      </c>
      <c r="G221" s="7">
        <v>1</v>
      </c>
      <c r="H221" s="21" t="s">
        <v>976</v>
      </c>
      <c r="I221" s="13">
        <v>42896.904745370368</v>
      </c>
      <c r="J221" s="7">
        <v>0</v>
      </c>
      <c r="K221" s="92" t="str">
        <f t="shared" si="96"/>
        <v>4015/4016</v>
      </c>
      <c r="L221" s="21" t="str">
        <f>VLOOKUP(A221,'Trips&amp;Operators'!$C$1:$G$99999,5,FALSE)</f>
        <v>ZEWDU DEREJE</v>
      </c>
      <c r="M221" s="6">
        <f t="shared" si="97"/>
        <v>1.3888888497604057E-4</v>
      </c>
      <c r="N221" s="7">
        <f t="shared" si="98"/>
        <v>0.19999999436549842</v>
      </c>
      <c r="O221" s="7"/>
      <c r="P221" s="7"/>
      <c r="Q221" s="22"/>
      <c r="R221" s="173"/>
      <c r="S221" s="176">
        <f t="shared" si="99"/>
        <v>0</v>
      </c>
      <c r="T221" s="202" t="e">
        <f t="shared" si="100"/>
        <v>#VALUE!</v>
      </c>
      <c r="U221" s="202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203" t="str">
        <f t="shared" si="101"/>
        <v>https://d0f6bd738d7f1b3e5a7ca70fe4ff75f0.us-east-1.aws.found.io/app/kibana#/discover/Steve-Slow-Train-Analysis-(2080s-and-2083s)?_g=(refreshInterval:(display:Off,pause:!f,section:0,value:0),time:(from:'2017-06-10T20:40:07-0600',mode:absolute,to:'2017-06-10T22:42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1" s="204" t="str">
        <f t="shared" si="102"/>
        <v>Y</v>
      </c>
      <c r="X221" s="204" t="e">
        <f t="shared" si="103"/>
        <v>#VALUE!</v>
      </c>
      <c r="Y221" s="204">
        <f t="shared" si="94"/>
        <v>0.50280000000000002</v>
      </c>
      <c r="Z221" s="204">
        <f t="shared" si="95"/>
        <v>0.45429999999999998</v>
      </c>
      <c r="AA221" s="204">
        <f t="shared" si="104"/>
        <v>4.8500000000000043E-2</v>
      </c>
      <c r="AB221" s="57" t="e">
        <f>VLOOKUP(A221,Enforcements!$C$7:$K$13,8,0)</f>
        <v>#N/A</v>
      </c>
      <c r="AC221" s="53" t="e">
        <f>VLOOKUP(A221,Enforcements!$C$7:$E$13,3,0)</f>
        <v>#N/A</v>
      </c>
      <c r="AD221" s="54" t="str">
        <f t="shared" si="105"/>
        <v>52-10</v>
      </c>
      <c r="AE221" s="80" t="str">
        <f t="shared" si="106"/>
        <v>aws s3 cp s3://rtdc.mdm.uploadarchive.raw/RTDC4015/ "%USERPROFILE%\AppData\Local\Temp\OnboardLogs"\RTDC4015\2017-06-10 --exclude "*" --recursive --include "*20170610*" &amp; "%USERPROFILE%\Documents\GitHub\mrs-test-scripts\Headless Mode &amp; Sideloading\WalkAndUnGZ.bat" "%USERPROFILE%\AppData\Local\Temp\OnboardLogs"\RTDC4015\2017-06-10 &amp; aws s3 cp s3://rtdc.mdm.uploadarchive.raw/RTDC4015/ "%USERPROFILE%\AppData\Local\Temp\OnboardLogs"\RTDC4015\2017-06-11 --exclude "*" --recursive --include "*20170611*" &amp; "%USERPROFILE%\Documents\GitHub\mrs-test-scripts\Headless Mode &amp; Sideloading\WalkAndUnGZ.bat" "%USERPROFILE%\AppData\Local\Temp\OnboardLogs"\RTDC4015\2017-06-11</v>
      </c>
      <c r="AF221" s="77" t="str">
        <f t="shared" si="107"/>
        <v>"C:\Program Files (x86)\AstroGrep\AstroGrep.exe" /e /r /s /spath="%USERPROFILE%\AppData\Local\Temp\OnboardLogs" /stypes="app*4015*20170611*" /stext=" 03:.+((SYSTEM_STATE.+slice.+state.+changed )|(ment ac)|(multiple cpu faults)|(system.+state.+changed )|(\[timeout)|(PRM\|1\|D)|(kpr)|(kdp)|(train st.+moving)|(\|lc)|(penalty))"</v>
      </c>
      <c r="AG221" s="1" t="str">
        <f t="shared" si="108"/>
        <v>Other</v>
      </c>
      <c r="AH221" s="81" t="str">
        <f t="shared" si="109"/>
        <v>"%USERPROFILE%\Documents\GitHub\eaglep3\Utilities\RefineRTDCRunTimes.py" --tripid 52-10 --locoid 4015 --swversion DE.1.0.9.0 --startMP 300:5028 --initTime 2017-06-10T21:40:07 --startdatetime 2017-06-10T21:42:38 --delay 1 --endMP 204:4543 --enddatetime 2017-06-10T21:42:50 --enforcementcount 0 &gt;&gt;C:\Users\stu\Documents\GitHub\eaglep3-reporting\EC\2017-06-10-refined-times.txt</v>
      </c>
      <c r="AI221" s="99" t="str">
        <f t="shared" si="110"/>
        <v>echo {"issue":{"subject":"","project_id":79,"tracker_id":40,"status_id":1,"priority_id":2,"assigned_to_id":23,"start_date":"2017-06-10","description":"","custom_fields":[{"id":1,"name":"Subdivision","value":"Other"},{"id":4,"name":"Milepost","value":"0.4543"},{"id":17,"name":"Train ID","value":"52-10"},{"id":16,"name":"Locomotive ID","value":"4015"},{"id":130,"name":"Impact","value":""},{"id":150,"name":"Time of Event (Mountain Time)","value":"21:42:50"},{"id":151,"name":"Denver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5" t="str">
        <f t="shared" si="111"/>
        <v>start /low /b %USERPROFILE%\Documents\GitHub\eaglep3\Utilities\DownloadLogsFromS3.py --loco 4015 --day 2017-06-10</v>
      </c>
      <c r="AN221" s="154" t="str">
        <f t="shared" si="112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03:42:50"},{"id":29,"name":"Sharepoint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2" spans="1:40" x14ac:dyDescent="0.25">
      <c r="A222" s="32" t="s">
        <v>607</v>
      </c>
      <c r="B222" s="7">
        <v>4016</v>
      </c>
      <c r="C222" s="21" t="s">
        <v>204</v>
      </c>
      <c r="D222" s="21" t="s">
        <v>977</v>
      </c>
      <c r="E222" s="13">
        <v>42896.896736111114</v>
      </c>
      <c r="F222" s="13">
        <v>42896.904606481483</v>
      </c>
      <c r="G222" s="7">
        <v>1</v>
      </c>
      <c r="H222" s="21" t="s">
        <v>978</v>
      </c>
      <c r="I222" s="13">
        <v>42896.904745370368</v>
      </c>
      <c r="J222" s="7">
        <v>0</v>
      </c>
      <c r="K222" s="92" t="str">
        <f t="shared" si="96"/>
        <v>4015/4016</v>
      </c>
      <c r="L222" s="21" t="str">
        <f>VLOOKUP(A222,'Trips&amp;Operators'!$C$1:$G$99999,5,FALSE)</f>
        <v>ZEWDU DEREJE</v>
      </c>
      <c r="M222" s="6">
        <f t="shared" si="97"/>
        <v>1.3888888497604057E-4</v>
      </c>
      <c r="N222" s="7">
        <f t="shared" si="98"/>
        <v>0.19999999436549842</v>
      </c>
      <c r="O222" s="7"/>
      <c r="P222" s="7"/>
      <c r="Q222" s="22"/>
      <c r="R222" s="173"/>
      <c r="S222" s="176">
        <f t="shared" si="99"/>
        <v>0</v>
      </c>
      <c r="T222" s="202" t="e">
        <f t="shared" si="100"/>
        <v>#VALUE!</v>
      </c>
      <c r="U222" s="202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203" t="str">
        <f t="shared" si="101"/>
        <v>https://d0f6bd738d7f1b3e5a7ca70fe4ff75f0.us-east-1.aws.found.io/app/kibana#/discover/Steve-Slow-Train-Analysis-(2080s-and-2083s)?_g=(refreshInterval:(display:Off,pause:!f,section:0,value:0),time:(from:'2017-06-10T20:31:18-0600',mode:absolute,to:'2017-06-10T22:42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22" s="204" t="str">
        <f t="shared" si="102"/>
        <v>Y</v>
      </c>
      <c r="X222" s="204" t="e">
        <f t="shared" si="103"/>
        <v>#VALUE!</v>
      </c>
      <c r="Y222" s="204">
        <f t="shared" si="94"/>
        <v>0.11700000000000001</v>
      </c>
      <c r="Z222" s="204">
        <f t="shared" si="95"/>
        <v>0.53659999999999997</v>
      </c>
      <c r="AA222" s="204">
        <f t="shared" si="104"/>
        <v>0.41959999999999997</v>
      </c>
      <c r="AB222" s="57" t="e">
        <f>VLOOKUP(A222,Enforcements!$C$7:$K$13,8,0)</f>
        <v>#N/A</v>
      </c>
      <c r="AC222" s="53" t="e">
        <f>VLOOKUP(A222,Enforcements!$C$7:$E$13,3,0)</f>
        <v>#N/A</v>
      </c>
      <c r="AD222" s="54" t="str">
        <f t="shared" si="105"/>
        <v>52-10</v>
      </c>
      <c r="AE222" s="80" t="str">
        <f t="shared" si="106"/>
        <v>aws s3 cp s3://rtdc.mdm.uploadarchive.raw/RTDC4016/ "%USERPROFILE%\AppData\Local\Temp\OnboardLogs"\RTDC4016\2017-06-10 --exclude "*" --recursive --include "*20170610*" &amp; "%USERPROFILE%\Documents\GitHub\mrs-test-scripts\Headless Mode &amp; Sideloading\WalkAndUnGZ.bat" "%USERPROFILE%\AppData\Local\Temp\OnboardLogs"\RTDC4016\2017-06-10 &amp; aws s3 cp s3://rtdc.mdm.uploadarchive.raw/RTDC4016/ "%USERPROFILE%\AppData\Local\Temp\OnboardLogs"\RTDC4016\2017-06-11 --exclude "*" --recursive --include "*20170611*" &amp; "%USERPROFILE%\Documents\GitHub\mrs-test-scripts\Headless Mode &amp; Sideloading\WalkAndUnGZ.bat" "%USERPROFILE%\AppData\Local\Temp\OnboardLogs"\RTDC4016\2017-06-11</v>
      </c>
      <c r="AF222" s="77" t="str">
        <f t="shared" si="107"/>
        <v>"C:\Program Files (x86)\AstroGrep\AstroGrep.exe" /e /r /s /spath="%USERPROFILE%\AppData\Local\Temp\OnboardLogs" /stypes="app*4016*20170611*" /stext=" 03:.+((SYSTEM_STATE.+slice.+state.+changed )|(ment ac)|(multiple cpu faults)|(system.+state.+changed )|(\[timeout)|(PRM\|1\|D)|(kpr)|(kdp)|(train st.+moving)|(\|lc)|(penalty))"</v>
      </c>
      <c r="AG222" s="1" t="str">
        <f t="shared" si="108"/>
        <v>Other</v>
      </c>
      <c r="AH222" s="81" t="str">
        <f t="shared" si="109"/>
        <v>"%USERPROFILE%\Documents\GitHub\eaglep3\Utilities\RefineRTDCRunTimes.py" --tripid 52-10 --locoid 4016 --swversion DE.1.0.9.0 --startMP 204:1170 --initTime 2017-06-10T21:31:18 --startdatetime 2017-06-10T21:42:38 --delay 1 --endMP 300:5366 --enddatetime 2017-06-10T21:42:50 --enforcementcount 0 &gt;&gt;C:\Users\stu\Documents\GitHub\eaglep3-reporting\EC\2017-06-10-refined-times.txt</v>
      </c>
      <c r="AI222" s="99" t="str">
        <f t="shared" si="110"/>
        <v>echo {"issue":{"subject":"","project_id":79,"tracker_id":40,"status_id":1,"priority_id":2,"assigned_to_id":23,"start_date":"2017-06-10","description":"","custom_fields":[{"id":1,"name":"Subdivision","value":"Other"},{"id":4,"name":"Milepost","value":"0.5366"},{"id":17,"name":"Train ID","value":"52-10"},{"id":16,"name":"Locomotive ID","value":"4016"},{"id":130,"name":"Impact","value":""},{"id":150,"name":"Time of Event (Mountain Time)","value":"21:42:50"},{"id":151,"name":"Denver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5" t="str">
        <f t="shared" si="111"/>
        <v>start /low /b %USERPROFILE%\Documents\GitHub\eaglep3\Utilities\DownloadLogsFromS3.py --loco 4016 --day 2017-06-10</v>
      </c>
      <c r="AN222" s="154" t="str">
        <f t="shared" si="112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03:42:50"},{"id":29,"name":"Sharepoint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40" s="20" customFormat="1" x14ac:dyDescent="0.25">
      <c r="A223" s="32" t="s">
        <v>667</v>
      </c>
      <c r="B223" s="7">
        <v>4003</v>
      </c>
      <c r="C223" s="21" t="s">
        <v>204</v>
      </c>
      <c r="D223" s="21" t="s">
        <v>979</v>
      </c>
      <c r="E223" s="13">
        <v>42896.265821759262</v>
      </c>
      <c r="F223" s="13">
        <v>42896.268171296295</v>
      </c>
      <c r="G223" s="7">
        <v>2</v>
      </c>
      <c r="H223" s="21" t="s">
        <v>431</v>
      </c>
      <c r="I223" s="13">
        <v>42896.26935185185</v>
      </c>
      <c r="J223" s="7">
        <v>0</v>
      </c>
      <c r="K223" s="92" t="str">
        <f t="shared" si="96"/>
        <v>4003/4004</v>
      </c>
      <c r="L223" s="21" t="str">
        <f>VLOOKUP(A223,'Trips&amp;Operators'!$C$1:$G$99999,5,FALSE)</f>
        <v>ROCHA YAOTL</v>
      </c>
      <c r="M223" s="6">
        <f t="shared" si="97"/>
        <v>1.1805555550381541E-3</v>
      </c>
      <c r="N223" s="7">
        <f t="shared" si="98"/>
        <v>1.6999999992549419</v>
      </c>
      <c r="O223" s="7"/>
      <c r="P223" s="7"/>
      <c r="Q223" s="22"/>
      <c r="R223" s="173"/>
      <c r="S223" s="176">
        <f t="shared" si="99"/>
        <v>0</v>
      </c>
      <c r="T223" s="202" t="e">
        <f t="shared" si="100"/>
        <v>#VALUE!</v>
      </c>
      <c r="U223" s="202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203" t="str">
        <f t="shared" si="101"/>
        <v>https://d0f6bd738d7f1b3e5a7ca70fe4ff75f0.us-east-1.aws.found.io/app/kibana#/discover/Steve-Slow-Train-Analysis-(2080s-and-2083s)?_g=(refreshInterval:(display:Off,pause:!f,section:0,value:0),time:(from:'2017-06-10T05:22:47-0600',mode:absolute,to:'2017-06-10T07:27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23" s="204" t="str">
        <f t="shared" si="102"/>
        <v>Y</v>
      </c>
      <c r="X223" s="204" t="e">
        <f t="shared" si="103"/>
        <v>#VALUE!</v>
      </c>
      <c r="Y223" s="204">
        <f t="shared" si="94"/>
        <v>0.3201</v>
      </c>
      <c r="Z223" s="204">
        <f t="shared" si="95"/>
        <v>1.4500000000000001E-2</v>
      </c>
      <c r="AA223" s="204">
        <f t="shared" si="104"/>
        <v>0.30559999999999998</v>
      </c>
      <c r="AB223" s="57" t="e">
        <f>VLOOKUP(A223,Enforcements!$C$7:$K$13,8,0)</f>
        <v>#N/A</v>
      </c>
      <c r="AC223" s="53" t="e">
        <f>VLOOKUP(A223,Enforcements!$C$7:$E$13,3,0)</f>
        <v>#N/A</v>
      </c>
      <c r="AD223" s="54" t="str">
        <f t="shared" si="105"/>
        <v>53-10</v>
      </c>
      <c r="AE223" s="80" t="str">
        <f t="shared" si="106"/>
        <v>aws s3 cp s3://rtdc.mdm.uploadarchive.raw/RTDC4003/ "%USERPROFILE%\AppData\Local\Temp\OnboardLogs"\RTDC4003\2017-06-10 --exclude "*" --recursive --include "*20170610*" &amp; "%USERPROFILE%\Documents\GitHub\mrs-test-scripts\Headless Mode &amp; Sideloading\WalkAndUnGZ.bat" "%USERPROFILE%\AppData\Local\Temp\OnboardLogs"\RTDC4003\2017-06-10 &amp; aws s3 cp s3://rtdc.mdm.uploadarchive.raw/RTDC4003/ "%USERPROFILE%\AppData\Local\Temp\OnboardLogs"\RTDC4003\2017-06-11 --exclude "*" --recursive --include "*20170611*" &amp; "%USERPROFILE%\Documents\GitHub\mrs-test-scripts\Headless Mode &amp; Sideloading\WalkAndUnGZ.bat" "%USERPROFILE%\AppData\Local\Temp\OnboardLogs"\RTDC4003\2017-06-11</v>
      </c>
      <c r="AF223" s="77" t="str">
        <f t="shared" si="107"/>
        <v>"C:\Program Files (x86)\AstroGrep\AstroGrep.exe" /e /r /s /spath="%USERPROFILE%\AppData\Local\Temp\OnboardLogs" /stypes="app*4003*20170610*" /stext=" 12:.+((SYSTEM_STATE.+slice.+state.+changed )|(ment ac)|(multiple cpu faults)|(system.+state.+changed )|(\[timeout)|(PRM\|1\|D)|(kpr)|(kdp)|(train st.+moving)|(\|lc)|(penalty))"</v>
      </c>
      <c r="AG223" s="1" t="str">
        <f t="shared" si="108"/>
        <v>Other</v>
      </c>
      <c r="AH223" s="81" t="str">
        <f t="shared" si="109"/>
        <v>"%USERPROFILE%\Documents\GitHub\eaglep3\Utilities\RefineRTDCRunTimes.py" --tripid 53-10 --locoid 4003 --swversion DE.1.0.9.0 --startMP 204:3201 --initTime 2017-06-10T06:22:47 --startdatetime 2017-06-10T06:26:10 --delay 2 --endMP 204:145 --enddatetime 2017-06-10T06:27:52 --enforcementcount 0 &gt;&gt;C:\Users\stu\Documents\GitHub\eaglep3-reporting\EC\2017-06-10-refined-times.txt</v>
      </c>
      <c r="AI223" s="99" t="str">
        <f t="shared" si="110"/>
        <v>echo {"issue":{"subject":"","project_id":79,"tracker_id":40,"status_id":1,"priority_id":2,"assigned_to_id":23,"start_date":"2017-06-10","description":"","custom_fields":[{"id":1,"name":"Subdivision","value":"Other"},{"id":4,"name":"Milepost","value":"0.0145"},{"id":17,"name":"Train ID","value":"53-10"},{"id":16,"name":"Locomotive ID","value":"4003"},{"id":130,"name":"Impact","value":""},{"id":150,"name":"Time of Event (Mountain Time)","value":"06:27:52"},{"id":151,"name":"Denver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3" s="47"/>
      <c r="AL223" s="47"/>
      <c r="AM223" s="145" t="str">
        <f t="shared" si="111"/>
        <v>start /low /b %USERPROFILE%\Documents\GitHub\eaglep3\Utilities\DownloadLogsFromS3.py --loco 4003 --day 2017-06-10</v>
      </c>
      <c r="AN223" s="154" t="str">
        <f t="shared" si="112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12:27:52"},{"id":29,"name":"Sharepoint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40" x14ac:dyDescent="0.25">
      <c r="A224" s="32" t="s">
        <v>667</v>
      </c>
      <c r="B224" s="7">
        <v>4004</v>
      </c>
      <c r="C224" s="21" t="s">
        <v>204</v>
      </c>
      <c r="D224" s="21" t="s">
        <v>980</v>
      </c>
      <c r="E224" s="13">
        <v>42896.259814814817</v>
      </c>
      <c r="F224" s="13">
        <v>42896.268171296295</v>
      </c>
      <c r="G224" s="7">
        <v>1</v>
      </c>
      <c r="H224" s="21" t="s">
        <v>981</v>
      </c>
      <c r="I224" s="13">
        <v>42896.26935185185</v>
      </c>
      <c r="J224" s="7">
        <v>0</v>
      </c>
      <c r="K224" s="92" t="str">
        <f t="shared" si="96"/>
        <v>4003/4004</v>
      </c>
      <c r="L224" s="21" t="str">
        <f>VLOOKUP(A224,'Trips&amp;Operators'!$C$1:$G$99999,5,FALSE)</f>
        <v>ROCHA YAOTL</v>
      </c>
      <c r="M224" s="6">
        <f t="shared" si="97"/>
        <v>1.1805555550381541E-3</v>
      </c>
      <c r="N224" s="7">
        <f t="shared" si="98"/>
        <v>1.6999999992549419</v>
      </c>
      <c r="O224" s="7"/>
      <c r="P224" s="7"/>
      <c r="Q224" s="22"/>
      <c r="R224" s="173"/>
      <c r="S224" s="176">
        <f t="shared" si="99"/>
        <v>0</v>
      </c>
      <c r="T224" s="202" t="e">
        <f t="shared" si="100"/>
        <v>#VALUE!</v>
      </c>
      <c r="U224" s="202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203" t="str">
        <f t="shared" si="101"/>
        <v>https://d0f6bd738d7f1b3e5a7ca70fe4ff75f0.us-east-1.aws.found.io/app/kibana#/discover/Steve-Slow-Train-Analysis-(2080s-and-2083s)?_g=(refreshInterval:(display:Off,pause:!f,section:0,value:0),time:(from:'2017-06-10T05:14:08-0600',mode:absolute,to:'2017-06-10T07:27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24" s="204" t="str">
        <f t="shared" si="102"/>
        <v>Y</v>
      </c>
      <c r="X224" s="204" t="e">
        <f t="shared" si="103"/>
        <v>#VALUE!</v>
      </c>
      <c r="Y224" s="204">
        <f t="shared" si="94"/>
        <v>0.1169</v>
      </c>
      <c r="Z224" s="204">
        <f t="shared" si="95"/>
        <v>0.34749999999999998</v>
      </c>
      <c r="AA224" s="204">
        <f t="shared" si="104"/>
        <v>0.23059999999999997</v>
      </c>
      <c r="AB224" s="57" t="e">
        <f>VLOOKUP(A224,Enforcements!$C$7:$K$13,8,0)</f>
        <v>#N/A</v>
      </c>
      <c r="AC224" s="53" t="e">
        <f>VLOOKUP(A224,Enforcements!$C$7:$E$13,3,0)</f>
        <v>#N/A</v>
      </c>
      <c r="AD224" s="54" t="str">
        <f t="shared" si="105"/>
        <v>53-10</v>
      </c>
      <c r="AE224" s="80" t="str">
        <f t="shared" si="106"/>
        <v>aws s3 cp s3://rtdc.mdm.uploadarchive.raw/RTDC4004/ "%USERPROFILE%\AppData\Local\Temp\OnboardLogs"\RTDC4004\2017-06-10 --exclude "*" --recursive --include "*20170610*" &amp; "%USERPROFILE%\Documents\GitHub\mrs-test-scripts\Headless Mode &amp; Sideloading\WalkAndUnGZ.bat" "%USERPROFILE%\AppData\Local\Temp\OnboardLogs"\RTDC4004\2017-06-10 &amp; aws s3 cp s3://rtdc.mdm.uploadarchive.raw/RTDC4004/ "%USERPROFILE%\AppData\Local\Temp\OnboardLogs"\RTDC4004\2017-06-11 --exclude "*" --recursive --include "*20170611*" &amp; "%USERPROFILE%\Documents\GitHub\mrs-test-scripts\Headless Mode &amp; Sideloading\WalkAndUnGZ.bat" "%USERPROFILE%\AppData\Local\Temp\OnboardLogs"\RTDC4004\2017-06-11</v>
      </c>
      <c r="AF224" s="77" t="str">
        <f t="shared" si="107"/>
        <v>"C:\Program Files (x86)\AstroGrep\AstroGrep.exe" /e /r /s /spath="%USERPROFILE%\AppData\Local\Temp\OnboardLogs" /stypes="app*4004*20170610*" /stext=" 12:.+((SYSTEM_STATE.+slice.+state.+changed )|(ment ac)|(multiple cpu faults)|(system.+state.+changed )|(\[timeout)|(PRM\|1\|D)|(kpr)|(kdp)|(train st.+moving)|(\|lc)|(penalty))"</v>
      </c>
      <c r="AG224" s="1" t="str">
        <f t="shared" si="108"/>
        <v>Other</v>
      </c>
      <c r="AH224" s="81" t="str">
        <f t="shared" si="109"/>
        <v>"%USERPROFILE%\Documents\GitHub\eaglep3\Utilities\RefineRTDCRunTimes.py" --tripid 53-10 --locoid 4004 --swversion DE.1.0.9.0 --startMP 204:1169 --initTime 2017-06-10T06:14:08 --startdatetime 2017-06-10T06:26:10 --delay 1 --endMP 204:3475 --enddatetime 2017-06-10T06:27:52 --enforcementcount 0 &gt;&gt;C:\Users\stu\Documents\GitHub\eaglep3-reporting\EC\2017-06-10-refined-times.txt</v>
      </c>
      <c r="AI224" s="99" t="str">
        <f t="shared" si="110"/>
        <v>echo {"issue":{"subject":"","project_id":79,"tracker_id":40,"status_id":1,"priority_id":2,"assigned_to_id":23,"start_date":"2017-06-10","description":"","custom_fields":[{"id":1,"name":"Subdivision","value":"Other"},{"id":4,"name":"Milepost","value":"0.3475"},{"id":17,"name":"Train ID","value":"53-10"},{"id":16,"name":"Locomotive ID","value":"4004"},{"id":130,"name":"Impact","value":""},{"id":150,"name":"Time of Event (Mountain Time)","value":"06:27:52"},{"id":151,"name":"Denver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5" t="str">
        <f t="shared" si="111"/>
        <v>start /low /b %USERPROFILE%\Documents\GitHub\eaglep3\Utilities\DownloadLogsFromS3.py --loco 4004 --day 2017-06-10</v>
      </c>
      <c r="AN224" s="154" t="str">
        <f t="shared" si="112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12:27:52"},{"id":29,"name":"Sharepoint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5" spans="1:40" x14ac:dyDescent="0.25">
      <c r="A225" s="32" t="s">
        <v>674</v>
      </c>
      <c r="B225" s="7">
        <v>4051</v>
      </c>
      <c r="C225" s="21" t="s">
        <v>204</v>
      </c>
      <c r="D225" s="21" t="s">
        <v>982</v>
      </c>
      <c r="E225" s="13">
        <v>42896.29241898148</v>
      </c>
      <c r="F225" s="13">
        <v>42896.294016203705</v>
      </c>
      <c r="G225" s="7">
        <v>1</v>
      </c>
      <c r="H225" s="21" t="s">
        <v>972</v>
      </c>
      <c r="I225" s="13">
        <v>42896.29582175926</v>
      </c>
      <c r="J225" s="7">
        <v>0</v>
      </c>
      <c r="K225" s="92" t="str">
        <f t="shared" si="96"/>
        <v>4051/4052</v>
      </c>
      <c r="L225" s="21" t="str">
        <f>VLOOKUP(A225,'Trips&amp;Operators'!$C$1:$G$99999,5,FALSE)</f>
        <v>MAYBERRY BILL</v>
      </c>
      <c r="M225" s="6">
        <f t="shared" si="97"/>
        <v>1.8055555556202307E-3</v>
      </c>
      <c r="N225" s="7">
        <f t="shared" si="98"/>
        <v>2.6000000000931323</v>
      </c>
      <c r="O225" s="7"/>
      <c r="P225" s="7"/>
      <c r="Q225" s="22"/>
      <c r="R225" s="173"/>
      <c r="S225" s="176">
        <f t="shared" si="99"/>
        <v>0</v>
      </c>
      <c r="T225" s="202" t="e">
        <f t="shared" si="100"/>
        <v>#VALUE!</v>
      </c>
      <c r="U225" s="202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203" t="str">
        <f t="shared" si="101"/>
        <v>https://d0f6bd738d7f1b3e5a7ca70fe4ff75f0.us-east-1.aws.found.io/app/kibana#/discover/Steve-Slow-Train-Analysis-(2080s-and-2083s)?_g=(refreshInterval:(display:Off,pause:!f,section:0,value:0),time:(from:'2017-06-10T06:01:05-0600',mode:absolute,to:'2017-06-10T08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25" s="204" t="str">
        <f t="shared" si="102"/>
        <v>Y</v>
      </c>
      <c r="X225" s="204" t="e">
        <f t="shared" si="103"/>
        <v>#VALUE!</v>
      </c>
      <c r="Y225" s="204">
        <f t="shared" si="94"/>
        <v>0.50609999999999999</v>
      </c>
      <c r="Z225" s="204">
        <f t="shared" si="95"/>
        <v>0.11650000000000001</v>
      </c>
      <c r="AA225" s="204">
        <f t="shared" si="104"/>
        <v>0.3896</v>
      </c>
      <c r="AB225" s="57" t="e">
        <f>VLOOKUP(A225,Enforcements!$C$7:$K$13,8,0)</f>
        <v>#N/A</v>
      </c>
      <c r="AC225" s="53" t="e">
        <f>VLOOKUP(A225,Enforcements!$C$7:$E$13,3,0)</f>
        <v>#N/A</v>
      </c>
      <c r="AD225" s="54" t="str">
        <f t="shared" si="105"/>
        <v>54-10</v>
      </c>
      <c r="AE225" s="80" t="str">
        <f t="shared" si="106"/>
        <v>aws s3 cp s3://rtdc.mdm.uploadarchive.raw/RTDC4051/ "%USERPROFILE%\AppData\Local\Temp\OnboardLogs"\RTDC4051\2017-06-10 --exclude "*" --recursive --include "*20170610*" &amp; "%USERPROFILE%\Documents\GitHub\mrs-test-scripts\Headless Mode &amp; Sideloading\WalkAndUnGZ.bat" "%USERPROFILE%\AppData\Local\Temp\OnboardLogs"\RTDC4051\2017-06-10 &amp; aws s3 cp s3://rtdc.mdm.uploadarchive.raw/RTDC4051/ "%USERPROFILE%\AppData\Local\Temp\OnboardLogs"\RTDC4051\2017-06-11 --exclude "*" --recursive --include "*20170611*" &amp; "%USERPROFILE%\Documents\GitHub\mrs-test-scripts\Headless Mode &amp; Sideloading\WalkAndUnGZ.bat" "%USERPROFILE%\AppData\Local\Temp\OnboardLogs"\RTDC4051\2017-06-11</v>
      </c>
      <c r="AF225" s="77" t="str">
        <f t="shared" si="107"/>
        <v>"C:\Program Files (x86)\AstroGrep\AstroGrep.exe" /e /r /s /spath="%USERPROFILE%\AppData\Local\Temp\OnboardLogs" /stypes="app*4051*20170610*" /stext=" 13:.+((SYSTEM_STATE.+slice.+state.+changed )|(ment ac)|(multiple cpu faults)|(system.+state.+changed )|(\[timeout)|(PRM\|1\|D)|(kpr)|(kdp)|(train st.+moving)|(\|lc)|(penalty))"</v>
      </c>
      <c r="AG225" s="1" t="str">
        <f t="shared" si="108"/>
        <v>Other</v>
      </c>
      <c r="AH225" s="81" t="str">
        <f t="shared" si="109"/>
        <v>"%USERPROFILE%\Documents\GitHub\eaglep3\Utilities\RefineRTDCRunTimes.py" --tripid 54-10 --locoid 4051 --swversion DE.1.0.9.0 --startMP 300:5061 --initTime 2017-06-10T07:01:05 --startdatetime 2017-06-10T07:03:23 --delay 1 --endMP 204:1165 --enddatetime 2017-06-10T07:05:59 --enforcementcount 0 &gt;&gt;C:\Users\stu\Documents\GitHub\eaglep3-reporting\EC\2017-06-10-refined-times.txt</v>
      </c>
      <c r="AI225" s="99" t="str">
        <f t="shared" si="110"/>
        <v>echo {"issue":{"subject":"","project_id":79,"tracker_id":40,"status_id":1,"priority_id":2,"assigned_to_id":23,"start_date":"2017-06-10","description":"","custom_fields":[{"id":1,"name":"Subdivision","value":"Other"},{"id":4,"name":"Milepost","value":"0.1165"},{"id":17,"name":"Train ID","value":"54-10"},{"id":16,"name":"Locomotive ID","value":"4051"},{"id":130,"name":"Impact","value":""},{"id":150,"name":"Time of Event (Mountain Time)","value":"07:05:59"},{"id":151,"name":"Denver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5" t="str">
        <f t="shared" si="111"/>
        <v>start /low /b %USERPROFILE%\Documents\GitHub\eaglep3\Utilities\DownloadLogsFromS3.py --loco 4051 --day 2017-06-10</v>
      </c>
      <c r="AN225" s="154" t="str">
        <f t="shared" si="112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13:05:59"},{"id":29,"name":"Sharepoint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6" spans="1:40" x14ac:dyDescent="0.25">
      <c r="A226" s="32" t="s">
        <v>674</v>
      </c>
      <c r="B226" s="7">
        <v>4052</v>
      </c>
      <c r="C226" s="21" t="s">
        <v>204</v>
      </c>
      <c r="D226" s="21" t="s">
        <v>983</v>
      </c>
      <c r="E226" s="13">
        <v>42896.280555555553</v>
      </c>
      <c r="F226" s="13">
        <v>42896.294016203705</v>
      </c>
      <c r="G226" s="7">
        <v>1</v>
      </c>
      <c r="H226" s="21" t="s">
        <v>984</v>
      </c>
      <c r="I226" s="13">
        <v>42896.29582175926</v>
      </c>
      <c r="J226" s="7">
        <v>0</v>
      </c>
      <c r="K226" s="92" t="str">
        <f t="shared" si="96"/>
        <v>4051/4052</v>
      </c>
      <c r="L226" s="21" t="str">
        <f>VLOOKUP(A226,'Trips&amp;Operators'!$C$1:$G$99999,5,FALSE)</f>
        <v>MAYBERRY BILL</v>
      </c>
      <c r="M226" s="6">
        <f t="shared" si="97"/>
        <v>1.8055555556202307E-3</v>
      </c>
      <c r="N226" s="7">
        <f t="shared" si="98"/>
        <v>2.6000000000931323</v>
      </c>
      <c r="O226" s="7"/>
      <c r="P226" s="7"/>
      <c r="Q226" s="22"/>
      <c r="R226" s="173"/>
      <c r="S226" s="176">
        <f t="shared" si="99"/>
        <v>0</v>
      </c>
      <c r="T226" s="202" t="e">
        <f t="shared" si="100"/>
        <v>#VALUE!</v>
      </c>
      <c r="U226" s="202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03" t="str">
        <f t="shared" si="101"/>
        <v>https://d0f6bd738d7f1b3e5a7ca70fe4ff75f0.us-east-1.aws.found.io/app/kibana#/discover/Steve-Slow-Train-Analysis-(2080s-and-2083s)?_g=(refreshInterval:(display:Off,pause:!f,section:0,value:0),time:(from:'2017-06-10T05:44:00-0600',mode:absolute,to:'2017-06-10T08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26" s="204" t="str">
        <f t="shared" si="102"/>
        <v>Y</v>
      </c>
      <c r="X226" s="204" t="e">
        <f t="shared" si="103"/>
        <v>#VALUE!</v>
      </c>
      <c r="Y226" s="204">
        <f t="shared" si="94"/>
        <v>0.1346</v>
      </c>
      <c r="Z226" s="204">
        <f t="shared" si="95"/>
        <v>0.54359999999999997</v>
      </c>
      <c r="AA226" s="204">
        <f t="shared" si="104"/>
        <v>0.40899999999999997</v>
      </c>
      <c r="AB226" s="57" t="e">
        <f>VLOOKUP(A226,Enforcements!$C$7:$K$13,8,0)</f>
        <v>#N/A</v>
      </c>
      <c r="AC226" s="53" t="e">
        <f>VLOOKUP(A226,Enforcements!$C$7:$E$13,3,0)</f>
        <v>#N/A</v>
      </c>
      <c r="AD226" s="54" t="str">
        <f t="shared" si="105"/>
        <v>54-10</v>
      </c>
      <c r="AE226" s="80" t="str">
        <f t="shared" si="106"/>
        <v>aws s3 cp s3://rtdc.mdm.uploadarchive.raw/RTDC4052/ "%USERPROFILE%\AppData\Local\Temp\OnboardLogs"\RTDC4052\2017-06-10 --exclude "*" --recursive --include "*20170610*" &amp; "%USERPROFILE%\Documents\GitHub\mrs-test-scripts\Headless Mode &amp; Sideloading\WalkAndUnGZ.bat" "%USERPROFILE%\AppData\Local\Temp\OnboardLogs"\RTDC4052\2017-06-10 &amp; aws s3 cp s3://rtdc.mdm.uploadarchive.raw/RTDC4052/ "%USERPROFILE%\AppData\Local\Temp\OnboardLogs"\RTDC4052\2017-06-11 --exclude "*" --recursive --include "*20170611*" &amp; "%USERPROFILE%\Documents\GitHub\mrs-test-scripts\Headless Mode &amp; Sideloading\WalkAndUnGZ.bat" "%USERPROFILE%\AppData\Local\Temp\OnboardLogs"\RTDC4052\2017-06-11</v>
      </c>
      <c r="AF226" s="77" t="str">
        <f t="shared" si="107"/>
        <v>"C:\Program Files (x86)\AstroGrep\AstroGrep.exe" /e /r /s /spath="%USERPROFILE%\AppData\Local\Temp\OnboardLogs" /stypes="app*4052*20170610*" /stext=" 13:.+((SYSTEM_STATE.+slice.+state.+changed )|(ment ac)|(multiple cpu faults)|(system.+state.+changed )|(\[timeout)|(PRM\|1\|D)|(kpr)|(kdp)|(train st.+moving)|(\|lc)|(penalty))"</v>
      </c>
      <c r="AG226" s="1" t="str">
        <f t="shared" si="108"/>
        <v>Other</v>
      </c>
      <c r="AH226" s="81" t="str">
        <f t="shared" si="109"/>
        <v>"%USERPROFILE%\Documents\GitHub\eaglep3\Utilities\RefineRTDCRunTimes.py" --tripid 54-10 --locoid 4052 --swversion DE.1.0.9.0 --startMP 204:1346 --initTime 2017-06-10T06:44:00 --startdatetime 2017-06-10T07:03:23 --delay 1 --endMP 300:5436 --enddatetime 2017-06-10T07:05:59 --enforcementcount 0 &gt;&gt;C:\Users\stu\Documents\GitHub\eaglep3-reporting\EC\2017-06-10-refined-times.txt</v>
      </c>
      <c r="AI226" s="99" t="str">
        <f t="shared" si="110"/>
        <v>echo {"issue":{"subject":"","project_id":79,"tracker_id":40,"status_id":1,"priority_id":2,"assigned_to_id":23,"start_date":"2017-06-10","description":"","custom_fields":[{"id":1,"name":"Subdivision","value":"Other"},{"id":4,"name":"Milepost","value":"0.5436"},{"id":17,"name":"Train ID","value":"54-10"},{"id":16,"name":"Locomotive ID","value":"4052"},{"id":130,"name":"Impact","value":""},{"id":150,"name":"Time of Event (Mountain Time)","value":"07:05:59"},{"id":151,"name":"Denver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5" t="str">
        <f t="shared" si="111"/>
        <v>start /low /b %USERPROFILE%\Documents\GitHub\eaglep3\Utilities\DownloadLogsFromS3.py --loco 4052 --day 2017-06-10</v>
      </c>
      <c r="AN226" s="154" t="str">
        <f t="shared" si="112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13:05:59"},{"id":29,"name":"Sharepoint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7" spans="1:40" x14ac:dyDescent="0.25">
      <c r="A227" s="32" t="s">
        <v>673</v>
      </c>
      <c r="B227" s="7">
        <v>4041</v>
      </c>
      <c r="C227" s="21" t="s">
        <v>204</v>
      </c>
      <c r="D227" s="21" t="s">
        <v>985</v>
      </c>
      <c r="E227" s="13">
        <v>42896.288402777776</v>
      </c>
      <c r="F227" s="13">
        <v>42896.294421296298</v>
      </c>
      <c r="G227" s="7">
        <v>3</v>
      </c>
      <c r="H227" s="21" t="s">
        <v>986</v>
      </c>
      <c r="I227" s="13">
        <v>42896.296134259261</v>
      </c>
      <c r="J227" s="7">
        <v>0</v>
      </c>
      <c r="K227" s="92" t="str">
        <f t="shared" si="96"/>
        <v>4041/4042</v>
      </c>
      <c r="L227" s="21" t="str">
        <f>VLOOKUP(A227,'Trips&amp;Operators'!$C$1:$G$99999,5,FALSE)</f>
        <v>CHANDLER KELVIN</v>
      </c>
      <c r="M227" s="6">
        <f t="shared" si="97"/>
        <v>1.7129629632108845E-3</v>
      </c>
      <c r="N227" s="7">
        <f t="shared" si="98"/>
        <v>2.4666666670236737</v>
      </c>
      <c r="O227" s="7"/>
      <c r="P227" s="7"/>
      <c r="Q227" s="22"/>
      <c r="R227" s="173"/>
      <c r="S227" s="176">
        <f t="shared" si="99"/>
        <v>0</v>
      </c>
      <c r="T227" s="202" t="e">
        <f t="shared" si="100"/>
        <v>#VALUE!</v>
      </c>
      <c r="U227" s="202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203" t="str">
        <f t="shared" si="101"/>
        <v>https://d0f6bd738d7f1b3e5a7ca70fe4ff75f0.us-east-1.aws.found.io/app/kibana#/discover/Steve-Slow-Train-Analysis-(2080s-and-2083s)?_g=(refreshInterval:(display:Off,pause:!f,section:0,value:0),time:(from:'2017-06-10T05:55:18-0600',mode:absolute,to:'2017-06-10T08:06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7" s="204" t="str">
        <f t="shared" si="102"/>
        <v>Y</v>
      </c>
      <c r="X227" s="204" t="e">
        <f t="shared" si="103"/>
        <v>#VALUE!</v>
      </c>
      <c r="Y227" s="204">
        <f t="shared" si="94"/>
        <v>2.2023999999999999</v>
      </c>
      <c r="Z227" s="204">
        <f t="shared" si="95"/>
        <v>2.1345999999999998</v>
      </c>
      <c r="AA227" s="204">
        <f t="shared" si="104"/>
        <v>6.7800000000000082E-2</v>
      </c>
      <c r="AB227" s="57" t="e">
        <f>VLOOKUP(A227,Enforcements!$C$7:$K$13,8,0)</f>
        <v>#N/A</v>
      </c>
      <c r="AC227" s="53" t="e">
        <f>VLOOKUP(A227,Enforcements!$C$7:$E$13,3,0)</f>
        <v>#N/A</v>
      </c>
      <c r="AD227" s="54" t="str">
        <f t="shared" si="105"/>
        <v>55-10</v>
      </c>
      <c r="AE227" s="80" t="str">
        <f t="shared" si="106"/>
        <v>aws s3 cp s3://rtdc.mdm.uploadarchive.raw/RTDC4041/ "%USERPROFILE%\AppData\Local\Temp\OnboardLogs"\RTDC4041\2017-06-10 --exclude "*" --recursive --include "*20170610*" &amp; "%USERPROFILE%\Documents\GitHub\mrs-test-scripts\Headless Mode &amp; Sideloading\WalkAndUnGZ.bat" "%USERPROFILE%\AppData\Local\Temp\OnboardLogs"\RTDC4041\2017-06-10 &amp; aws s3 cp s3://rtdc.mdm.uploadarchive.raw/RTDC4041/ "%USERPROFILE%\AppData\Local\Temp\OnboardLogs"\RTDC4041\2017-06-11 --exclude "*" --recursive --include "*20170611*" &amp; "%USERPROFILE%\Documents\GitHub\mrs-test-scripts\Headless Mode &amp; Sideloading\WalkAndUnGZ.bat" "%USERPROFILE%\AppData\Local\Temp\OnboardLogs"\RTDC4041\2017-06-11</v>
      </c>
      <c r="AF227" s="77" t="str">
        <f t="shared" si="107"/>
        <v>"C:\Program Files (x86)\AstroGrep\AstroGrep.exe" /e /r /s /spath="%USERPROFILE%\AppData\Local\Temp\OnboardLogs" /stypes="app*4041*20170610*" /stext=" 13:.+((SYSTEM_STATE.+slice.+state.+changed )|(ment ac)|(multiple cpu faults)|(system.+state.+changed )|(\[timeout)|(PRM\|1\|D)|(kpr)|(kdp)|(train st.+moving)|(\|lc)|(penalty))"</v>
      </c>
      <c r="AG227" s="1" t="str">
        <f t="shared" si="108"/>
        <v>Other</v>
      </c>
      <c r="AH227" s="81" t="str">
        <f t="shared" si="109"/>
        <v>"%USERPROFILE%\Documents\GitHub\eaglep3\Utilities\RefineRTDCRunTimes.py" --tripid 55-10 --locoid 4041 --swversion DE.1.0.9.0 --startMP 300:22024 --initTime 2017-06-10T06:55:18 --startdatetime 2017-06-10T07:03:58 --delay 3 --endMP 300:21346 --enddatetime 2017-06-10T07:06:26 --enforcementcount 0 &gt;&gt;C:\Users\stu\Documents\GitHub\eaglep3-reporting\EC\2017-06-10-refined-times.txt</v>
      </c>
      <c r="AI227" s="99" t="str">
        <f t="shared" si="110"/>
        <v>echo {"issue":{"subject":"","project_id":79,"tracker_id":40,"status_id":1,"priority_id":2,"assigned_to_id":23,"start_date":"2017-06-10","description":"","custom_fields":[{"id":1,"name":"Subdivision","value":"Other"},{"id":4,"name":"Milepost","value":"2.1346"},{"id":17,"name":"Train ID","value":"55-10"},{"id":16,"name":"Locomotive ID","value":"4041"},{"id":130,"name":"Impact","value":""},{"id":150,"name":"Time of Event (Mountain Time)","value":"07:06:26"},{"id":151,"name":"Denver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5" t="str">
        <f t="shared" si="111"/>
        <v>start /low /b %USERPROFILE%\Documents\GitHub\eaglep3\Utilities\DownloadLogsFromS3.py --loco 4041 --day 2017-06-10</v>
      </c>
      <c r="AN227" s="154" t="str">
        <f t="shared" si="112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13:06:26"},{"id":29,"name":"Sharepoint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8" spans="1:40" x14ac:dyDescent="0.25">
      <c r="A228" s="32" t="s">
        <v>673</v>
      </c>
      <c r="B228" s="7">
        <v>4042</v>
      </c>
      <c r="C228" s="21" t="s">
        <v>204</v>
      </c>
      <c r="D228" s="21" t="s">
        <v>987</v>
      </c>
      <c r="E228" s="13">
        <v>42896.292743055557</v>
      </c>
      <c r="F228" s="13">
        <v>42896.294421296298</v>
      </c>
      <c r="G228" s="7">
        <v>1</v>
      </c>
      <c r="H228" s="21" t="s">
        <v>988</v>
      </c>
      <c r="I228" s="13">
        <v>42896.296134259261</v>
      </c>
      <c r="J228" s="7">
        <v>0</v>
      </c>
      <c r="K228" s="92" t="str">
        <f t="shared" si="96"/>
        <v>4041/4042</v>
      </c>
      <c r="L228" s="21" t="str">
        <f>VLOOKUP(A228,'Trips&amp;Operators'!$C$1:$G$99999,5,FALSE)</f>
        <v>CHANDLER KELVIN</v>
      </c>
      <c r="M228" s="6">
        <f t="shared" si="97"/>
        <v>1.7129629632108845E-3</v>
      </c>
      <c r="N228" s="7">
        <f t="shared" si="98"/>
        <v>2.4666666670236737</v>
      </c>
      <c r="O228" s="7"/>
      <c r="P228" s="7"/>
      <c r="Q228" s="22"/>
      <c r="R228" s="173"/>
      <c r="S228" s="176">
        <f t="shared" si="99"/>
        <v>0</v>
      </c>
      <c r="T228" s="202" t="e">
        <f t="shared" si="100"/>
        <v>#VALUE!</v>
      </c>
      <c r="U228" s="202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203" t="str">
        <f t="shared" si="101"/>
        <v>https://d0f6bd738d7f1b3e5a7ca70fe4ff75f0.us-east-1.aws.found.io/app/kibana#/discover/Steve-Slow-Train-Analysis-(2080s-and-2083s)?_g=(refreshInterval:(display:Off,pause:!f,section:0,value:0),time:(from:'2017-06-10T06:01:33-0600',mode:absolute,to:'2017-06-10T08:06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28" s="204" t="str">
        <f t="shared" si="102"/>
        <v>Y</v>
      </c>
      <c r="X228" s="204" t="e">
        <f t="shared" si="103"/>
        <v>#VALUE!</v>
      </c>
      <c r="Y228" s="204">
        <f t="shared" si="94"/>
        <v>2.1564000000000001</v>
      </c>
      <c r="Z228" s="204">
        <f t="shared" si="95"/>
        <v>2.3725999999999998</v>
      </c>
      <c r="AA228" s="204">
        <f t="shared" si="104"/>
        <v>0.21619999999999973</v>
      </c>
      <c r="AB228" s="57" t="e">
        <f>VLOOKUP(A228,Enforcements!$C$7:$K$13,8,0)</f>
        <v>#N/A</v>
      </c>
      <c r="AC228" s="53" t="e">
        <f>VLOOKUP(A228,Enforcements!$C$7:$E$13,3,0)</f>
        <v>#N/A</v>
      </c>
      <c r="AD228" s="54" t="str">
        <f t="shared" si="105"/>
        <v>55-10</v>
      </c>
      <c r="AE228" s="80" t="str">
        <f t="shared" si="106"/>
        <v>aws s3 cp s3://rtdc.mdm.uploadarchive.raw/RTDC4042/ "%USERPROFILE%\AppData\Local\Temp\OnboardLogs"\RTDC4042\2017-06-10 --exclude "*" --recursive --include "*20170610*" &amp; "%USERPROFILE%\Documents\GitHub\mrs-test-scripts\Headless Mode &amp; Sideloading\WalkAndUnGZ.bat" "%USERPROFILE%\AppData\Local\Temp\OnboardLogs"\RTDC4042\2017-06-10 &amp; aws s3 cp s3://rtdc.mdm.uploadarchive.raw/RTDC4042/ "%USERPROFILE%\AppData\Local\Temp\OnboardLogs"\RTDC4042\2017-06-11 --exclude "*" --recursive --include "*20170611*" &amp; "%USERPROFILE%\Documents\GitHub\mrs-test-scripts\Headless Mode &amp; Sideloading\WalkAndUnGZ.bat" "%USERPROFILE%\AppData\Local\Temp\OnboardLogs"\RTDC4042\2017-06-11</v>
      </c>
      <c r="AF228" s="77" t="str">
        <f t="shared" si="107"/>
        <v>"C:\Program Files (x86)\AstroGrep\AstroGrep.exe" /e /r /s /spath="%USERPROFILE%\AppData\Local\Temp\OnboardLogs" /stypes="app*4042*20170610*" /stext=" 13:.+((SYSTEM_STATE.+slice.+state.+changed )|(ment ac)|(multiple cpu faults)|(system.+state.+changed )|(\[timeout)|(PRM\|1\|D)|(kpr)|(kdp)|(train st.+moving)|(\|lc)|(penalty))"</v>
      </c>
      <c r="AG228" s="1" t="str">
        <f t="shared" si="108"/>
        <v>Other</v>
      </c>
      <c r="AH228" s="81" t="str">
        <f t="shared" si="109"/>
        <v>"%USERPROFILE%\Documents\GitHub\eaglep3\Utilities\RefineRTDCRunTimes.py" --tripid 55-10 --locoid 4042 --swversion DE.1.0.9.0 --startMP 300:21564 --initTime 2017-06-10T07:01:33 --startdatetime 2017-06-10T07:03:58 --delay 1 --endMP 300:23726 --enddatetime 2017-06-10T07:06:26 --enforcementcount 0 &gt;&gt;C:\Users\stu\Documents\GitHub\eaglep3-reporting\EC\2017-06-10-refined-times.txt</v>
      </c>
      <c r="AI228" s="99" t="str">
        <f t="shared" si="110"/>
        <v>echo {"issue":{"subject":"","project_id":79,"tracker_id":40,"status_id":1,"priority_id":2,"assigned_to_id":23,"start_date":"2017-06-10","description":"","custom_fields":[{"id":1,"name":"Subdivision","value":"Other"},{"id":4,"name":"Milepost","value":"2.3726"},{"id":17,"name":"Train ID","value":"55-10"},{"id":16,"name":"Locomotive ID","value":"4042"},{"id":130,"name":"Impact","value":""},{"id":150,"name":"Time of Event (Mountain Time)","value":"07:06:26"},{"id":151,"name":"Denver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5" t="str">
        <f t="shared" si="111"/>
        <v>start /low /b %USERPROFILE%\Documents\GitHub\eaglep3\Utilities\DownloadLogsFromS3.py --loco 4042 --day 2017-06-10</v>
      </c>
      <c r="AN228" s="154" t="str">
        <f t="shared" si="112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13:06:26"},{"id":29,"name":"Sharepoint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9" spans="1:40" x14ac:dyDescent="0.25">
      <c r="A229" s="32" t="s">
        <v>590</v>
      </c>
      <c r="B229" s="7">
        <v>4015</v>
      </c>
      <c r="C229" s="21" t="s">
        <v>204</v>
      </c>
      <c r="D229" s="21" t="s">
        <v>989</v>
      </c>
      <c r="E229" s="13">
        <v>42896.582835648151</v>
      </c>
      <c r="F229" s="13">
        <v>42896.585474537038</v>
      </c>
      <c r="G229" s="7">
        <v>3</v>
      </c>
      <c r="H229" s="21" t="s">
        <v>990</v>
      </c>
      <c r="I229" s="13">
        <v>42896.591909722221</v>
      </c>
      <c r="J229" s="7">
        <v>0</v>
      </c>
      <c r="K229" s="92" t="str">
        <f t="shared" si="96"/>
        <v>4015/4016</v>
      </c>
      <c r="L229" s="21" t="str">
        <f>VLOOKUP(A229,'Trips&amp;Operators'!$C$1:$G$99999,5,FALSE)</f>
        <v>BROWN JACOB</v>
      </c>
      <c r="M229" s="6">
        <f t="shared" si="97"/>
        <v>6.435185183363501E-3</v>
      </c>
      <c r="N229" s="7">
        <f t="shared" si="98"/>
        <v>9.2666666640434414</v>
      </c>
      <c r="O229" s="7"/>
      <c r="P229" s="7"/>
      <c r="Q229" s="22"/>
      <c r="R229" s="173"/>
      <c r="S229" s="176">
        <f t="shared" si="99"/>
        <v>0</v>
      </c>
      <c r="T229" s="202" t="e">
        <f t="shared" si="100"/>
        <v>#VALUE!</v>
      </c>
      <c r="U229" s="202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03" t="str">
        <f t="shared" si="101"/>
        <v>https://d0f6bd738d7f1b3e5a7ca70fe4ff75f0.us-east-1.aws.found.io/app/kibana#/discover/Steve-Slow-Train-Analysis-(2080s-and-2083s)?_g=(refreshInterval:(display:Off,pause:!f,section:0,value:0),time:(from:'2017-06-10T12:59:17-0600',mode:absolute,to:'2017-06-10T15:12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9" s="204" t="str">
        <f t="shared" si="102"/>
        <v>Y</v>
      </c>
      <c r="X229" s="204" t="e">
        <f t="shared" si="103"/>
        <v>#VALUE!</v>
      </c>
      <c r="Y229" s="204">
        <f t="shared" si="94"/>
        <v>2.3502000000000001</v>
      </c>
      <c r="Z229" s="204">
        <f t="shared" si="95"/>
        <v>9.06E-2</v>
      </c>
      <c r="AA229" s="204">
        <f t="shared" si="104"/>
        <v>2.2596000000000003</v>
      </c>
      <c r="AB229" s="57" t="e">
        <f>VLOOKUP(A229,Enforcements!$C$7:$K$13,8,0)</f>
        <v>#N/A</v>
      </c>
      <c r="AC229" s="53" t="e">
        <f>VLOOKUP(A229,Enforcements!$C$7:$E$13,3,0)</f>
        <v>#N/A</v>
      </c>
      <c r="AD229" s="54" t="str">
        <f t="shared" si="105"/>
        <v>56-10</v>
      </c>
      <c r="AE229" s="80" t="str">
        <f t="shared" si="106"/>
        <v>aws s3 cp s3://rtdc.mdm.uploadarchive.raw/RTDC4015/ "%USERPROFILE%\AppData\Local\Temp\OnboardLogs"\RTDC4015\2017-06-10 --exclude "*" --recursive --include "*20170610*" &amp; "%USERPROFILE%\Documents\GitHub\mrs-test-scripts\Headless Mode &amp; Sideloading\WalkAndUnGZ.bat" "%USERPROFILE%\AppData\Local\Temp\OnboardLogs"\RTDC4015\2017-06-10 &amp; aws s3 cp s3://rtdc.mdm.uploadarchive.raw/RTDC4015/ "%USERPROFILE%\AppData\Local\Temp\OnboardLogs"\RTDC4015\2017-06-11 --exclude "*" --recursive --include "*20170611*" &amp; "%USERPROFILE%\Documents\GitHub\mrs-test-scripts\Headless Mode &amp; Sideloading\WalkAndUnGZ.bat" "%USERPROFILE%\AppData\Local\Temp\OnboardLogs"\RTDC4015\2017-06-11</v>
      </c>
      <c r="AF229" s="77" t="str">
        <f t="shared" si="107"/>
        <v>"C:\Program Files (x86)\AstroGrep\AstroGrep.exe" /e /r /s /spath="%USERPROFILE%\AppData\Local\Temp\OnboardLogs" /stypes="app*4015*20170610*" /stext=" 20:.+((SYSTEM_STATE.+slice.+state.+changed )|(ment ac)|(multiple cpu faults)|(system.+state.+changed )|(\[timeout)|(PRM\|1\|D)|(kpr)|(kdp)|(train st.+moving)|(\|lc)|(penalty))"</v>
      </c>
      <c r="AG229" s="1" t="str">
        <f t="shared" si="108"/>
        <v>Other</v>
      </c>
      <c r="AH229" s="81" t="str">
        <f t="shared" si="109"/>
        <v>"%USERPROFILE%\Documents\GitHub\eaglep3\Utilities\RefineRTDCRunTimes.py" --tripid 56-10 --locoid 4015 --swversion DE.1.0.9.0 --startMP 300:23502 --initTime 2017-06-10T13:59:17 --startdatetime 2017-06-10T14:03:05 --delay 3 --endMP 204:906 --enddatetime 2017-06-10T14:12:21 --enforcementcount 0 &gt;&gt;C:\Users\stu\Documents\GitHub\eaglep3-reporting\EC\2017-06-10-refined-times.txt</v>
      </c>
      <c r="AI229" s="99" t="str">
        <f t="shared" si="110"/>
        <v>echo {"issue":{"subject":"","project_id":79,"tracker_id":40,"status_id":1,"priority_id":2,"assigned_to_id":23,"start_date":"2017-06-10","description":"","custom_fields":[{"id":1,"name":"Subdivision","value":"Other"},{"id":4,"name":"Milepost","value":"0.0906"},{"id":17,"name":"Train ID","value":"56-10"},{"id":16,"name":"Locomotive ID","value":"4015"},{"id":130,"name":"Impact","value":""},{"id":150,"name":"Time of Event (Mountain Time)","value":"14:12:21"},{"id":151,"name":"Denver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5" t="str">
        <f t="shared" si="111"/>
        <v>start /low /b %USERPROFILE%\Documents\GitHub\eaglep3\Utilities\DownloadLogsFromS3.py --loco 4015 --day 2017-06-10</v>
      </c>
      <c r="AN229" s="154" t="str">
        <f t="shared" si="112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20:12:21"},{"id":29,"name":"Sharepoint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0" spans="1:40" x14ac:dyDescent="0.25">
      <c r="A230" s="32" t="s">
        <v>590</v>
      </c>
      <c r="B230" s="7">
        <v>4062</v>
      </c>
      <c r="C230" s="21" t="s">
        <v>204</v>
      </c>
      <c r="D230" s="21" t="s">
        <v>991</v>
      </c>
      <c r="E230" s="13">
        <v>42896.557824074072</v>
      </c>
      <c r="F230" s="13">
        <v>42896.585474537038</v>
      </c>
      <c r="G230" s="7">
        <v>2</v>
      </c>
      <c r="H230" s="21" t="s">
        <v>992</v>
      </c>
      <c r="I230" s="13">
        <v>42896.591909722221</v>
      </c>
      <c r="J230" s="7">
        <v>0</v>
      </c>
      <c r="K230" s="92" t="str">
        <f t="shared" si="96"/>
        <v>4061/4062</v>
      </c>
      <c r="L230" s="21" t="str">
        <f>VLOOKUP(A230,'Trips&amp;Operators'!$C$1:$G$99999,5,FALSE)</f>
        <v>BROWN JACOB</v>
      </c>
      <c r="M230" s="6">
        <f t="shared" si="97"/>
        <v>6.435185183363501E-3</v>
      </c>
      <c r="N230" s="7">
        <f t="shared" si="98"/>
        <v>9.2666666640434414</v>
      </c>
      <c r="O230" s="7"/>
      <c r="P230" s="7"/>
      <c r="Q230" s="22"/>
      <c r="R230" s="173"/>
      <c r="S230" s="176">
        <f t="shared" si="99"/>
        <v>0</v>
      </c>
      <c r="T230" s="202" t="e">
        <f t="shared" si="100"/>
        <v>#VALUE!</v>
      </c>
      <c r="U230" s="202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03" t="str">
        <f t="shared" si="101"/>
        <v>https://d0f6bd738d7f1b3e5a7ca70fe4ff75f0.us-east-1.aws.found.io/app/kibana#/discover/Steve-Slow-Train-Analysis-(2080s-and-2083s)?_g=(refreshInterval:(display:Off,pause:!f,section:0,value:0),time:(from:'2017-06-10T12:23:16-0600',mode:absolute,to:'2017-06-10T15:12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30" s="204" t="str">
        <f t="shared" si="102"/>
        <v>Y</v>
      </c>
      <c r="X230" s="204" t="e">
        <f t="shared" si="103"/>
        <v>#VALUE!</v>
      </c>
      <c r="Y230" s="204">
        <f t="shared" si="94"/>
        <v>0.1183</v>
      </c>
      <c r="Z230" s="204">
        <f t="shared" si="95"/>
        <v>2.4207999999999998</v>
      </c>
      <c r="AA230" s="204">
        <f t="shared" si="104"/>
        <v>2.3024999999999998</v>
      </c>
      <c r="AB230" s="57" t="e">
        <f>VLOOKUP(A230,Enforcements!$C$7:$K$13,8,0)</f>
        <v>#N/A</v>
      </c>
      <c r="AC230" s="53" t="e">
        <f>VLOOKUP(A230,Enforcements!$C$7:$E$13,3,0)</f>
        <v>#N/A</v>
      </c>
      <c r="AD230" s="54" t="str">
        <f t="shared" si="105"/>
        <v>56-10</v>
      </c>
      <c r="AE230" s="80" t="str">
        <f t="shared" si="106"/>
        <v>aws s3 cp s3://rtdc.mdm.uploadarchive.raw/RTDC4062/ "%USERPROFILE%\AppData\Local\Temp\OnboardLogs"\RTDC4062\2017-06-10 --exclude "*" --recursive --include "*20170610*" &amp; "%USERPROFILE%\Documents\GitHub\mrs-test-scripts\Headless Mode &amp; Sideloading\WalkAndUnGZ.bat" "%USERPROFILE%\AppData\Local\Temp\OnboardLogs"\RTDC4062\2017-06-10 &amp; aws s3 cp s3://rtdc.mdm.uploadarchive.raw/RTDC4062/ "%USERPROFILE%\AppData\Local\Temp\OnboardLogs"\RTDC4062\2017-06-11 --exclude "*" --recursive --include "*20170611*" &amp; "%USERPROFILE%\Documents\GitHub\mrs-test-scripts\Headless Mode &amp; Sideloading\WalkAndUnGZ.bat" "%USERPROFILE%\AppData\Local\Temp\OnboardLogs"\RTDC4062\2017-06-11</v>
      </c>
      <c r="AF230" s="77" t="str">
        <f t="shared" si="107"/>
        <v>"C:\Program Files (x86)\AstroGrep\AstroGrep.exe" /e /r /s /spath="%USERPROFILE%\AppData\Local\Temp\OnboardLogs" /stypes="app*4062*20170610*" /stext=" 20:.+((SYSTEM_STATE.+slice.+state.+changed )|(ment ac)|(multiple cpu faults)|(system.+state.+changed )|(\[timeout)|(PRM\|1\|D)|(kpr)|(kdp)|(train st.+moving)|(\|lc)|(penalty))"</v>
      </c>
      <c r="AG230" s="1" t="str">
        <f t="shared" si="108"/>
        <v>Other</v>
      </c>
      <c r="AH230" s="81" t="str">
        <f t="shared" si="109"/>
        <v>"%USERPROFILE%\Documents\GitHub\eaglep3\Utilities\RefineRTDCRunTimes.py" --tripid 56-10 --locoid 4062 --swversion DE.1.0.9.0 --startMP 204:1183 --initTime 2017-06-10T13:23:16 --startdatetime 2017-06-10T14:03:05 --delay 2 --endMP 300:24208 --enddatetime 2017-06-10T14:12:21 --enforcementcount 0 &gt;&gt;C:\Users\stu\Documents\GitHub\eaglep3-reporting\EC\2017-06-10-refined-times.txt</v>
      </c>
      <c r="AI230" s="99" t="str">
        <f t="shared" si="110"/>
        <v>echo {"issue":{"subject":"","project_id":79,"tracker_id":40,"status_id":1,"priority_id":2,"assigned_to_id":23,"start_date":"2017-06-10","description":"","custom_fields":[{"id":1,"name":"Subdivision","value":"Other"},{"id":4,"name":"Milepost","value":"2.4208"},{"id":17,"name":"Train ID","value":"56-10"},{"id":16,"name":"Locomotive ID","value":"4062"},{"id":130,"name":"Impact","value":""},{"id":150,"name":"Time of Event (Mountain Time)","value":"14:12:21"},{"id":151,"name":"Denver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5" t="str">
        <f t="shared" si="111"/>
        <v>start /low /b %USERPROFILE%\Documents\GitHub\eaglep3\Utilities\DownloadLogsFromS3.py --loco 4062 --day 2017-06-10</v>
      </c>
      <c r="AN230" s="154" t="str">
        <f t="shared" si="112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20:12:21"},{"id":29,"name":"Sharepoint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1" spans="1:40" x14ac:dyDescent="0.25">
      <c r="A231" s="32" t="s">
        <v>722</v>
      </c>
      <c r="B231" s="7">
        <v>4051</v>
      </c>
      <c r="C231" s="21" t="s">
        <v>204</v>
      </c>
      <c r="D231" s="21" t="s">
        <v>993</v>
      </c>
      <c r="E231" s="13">
        <v>42896.518263888887</v>
      </c>
      <c r="F231" s="13">
        <v>42896.519317129627</v>
      </c>
      <c r="G231" s="7">
        <v>1</v>
      </c>
      <c r="H231" s="21" t="s">
        <v>354</v>
      </c>
      <c r="I231" s="13">
        <v>42896.521111111113</v>
      </c>
      <c r="J231" s="7">
        <v>0</v>
      </c>
      <c r="K231" s="92" t="str">
        <f t="shared" si="96"/>
        <v>4051/4052</v>
      </c>
      <c r="L231" s="21" t="str">
        <f>VLOOKUP(A231,'Trips&amp;Operators'!$C$1:$G$99999,5,FALSE)</f>
        <v>MAYBERRY BILL</v>
      </c>
      <c r="M231" s="6">
        <f t="shared" si="97"/>
        <v>1.793981486116536E-3</v>
      </c>
      <c r="N231" s="7">
        <f t="shared" si="98"/>
        <v>2.5833333400078118</v>
      </c>
      <c r="O231" s="7"/>
      <c r="P231" s="7"/>
      <c r="Q231" s="22"/>
      <c r="R231" s="173"/>
      <c r="S231" s="176">
        <f t="shared" si="99"/>
        <v>0</v>
      </c>
      <c r="T231" s="202" t="e">
        <f t="shared" si="100"/>
        <v>#VALUE!</v>
      </c>
      <c r="U231" s="202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03" t="str">
        <f t="shared" si="101"/>
        <v>https://d0f6bd738d7f1b3e5a7ca70fe4ff75f0.us-east-1.aws.found.io/app/kibana#/discover/Steve-Slow-Train-Analysis-(2080s-and-2083s)?_g=(refreshInterval:(display:Off,pause:!f,section:0,value:0),time:(from:'2017-06-10T11:26:18-0600',mode:absolute,to:'2017-06-10T13:30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31" s="204" t="str">
        <f t="shared" si="102"/>
        <v>Y</v>
      </c>
      <c r="X231" s="204" t="e">
        <f t="shared" si="103"/>
        <v>#VALUE!</v>
      </c>
      <c r="Y231" s="204">
        <f t="shared" si="94"/>
        <v>0.4819</v>
      </c>
      <c r="Z231" s="204">
        <f t="shared" si="95"/>
        <v>1.43E-2</v>
      </c>
      <c r="AA231" s="204">
        <f t="shared" si="104"/>
        <v>0.46760000000000002</v>
      </c>
      <c r="AB231" s="57" t="e">
        <f>VLOOKUP(A231,Enforcements!$C$7:$K$13,8,0)</f>
        <v>#N/A</v>
      </c>
      <c r="AC231" s="53" t="e">
        <f>VLOOKUP(A231,Enforcements!$C$7:$E$13,3,0)</f>
        <v>#N/A</v>
      </c>
      <c r="AD231" s="54" t="str">
        <f t="shared" si="105"/>
        <v>57-10</v>
      </c>
      <c r="AE231" s="80" t="str">
        <f t="shared" si="106"/>
        <v>aws s3 cp s3://rtdc.mdm.uploadarchive.raw/RTDC4051/ "%USERPROFILE%\AppData\Local\Temp\OnboardLogs"\RTDC4051\2017-06-10 --exclude "*" --recursive --include "*20170610*" &amp; "%USERPROFILE%\Documents\GitHub\mrs-test-scripts\Headless Mode &amp; Sideloading\WalkAndUnGZ.bat" "%USERPROFILE%\AppData\Local\Temp\OnboardLogs"\RTDC4051\2017-06-10 &amp; aws s3 cp s3://rtdc.mdm.uploadarchive.raw/RTDC4051/ "%USERPROFILE%\AppData\Local\Temp\OnboardLogs"\RTDC4051\2017-06-11 --exclude "*" --recursive --include "*20170611*" &amp; "%USERPROFILE%\Documents\GitHub\mrs-test-scripts\Headless Mode &amp; Sideloading\WalkAndUnGZ.bat" "%USERPROFILE%\AppData\Local\Temp\OnboardLogs"\RTDC4051\2017-06-11</v>
      </c>
      <c r="AF231" s="77" t="str">
        <f t="shared" si="107"/>
        <v>"C:\Program Files (x86)\AstroGrep\AstroGrep.exe" /e /r /s /spath="%USERPROFILE%\AppData\Local\Temp\OnboardLogs" /stypes="app*4051*20170610*" /stext=" 18:.+((SYSTEM_STATE.+slice.+state.+changed )|(ment ac)|(multiple cpu faults)|(system.+state.+changed )|(\[timeout)|(PRM\|1\|D)|(kpr)|(kdp)|(train st.+moving)|(\|lc)|(penalty))"</v>
      </c>
      <c r="AG231" s="1" t="str">
        <f t="shared" si="108"/>
        <v>Other</v>
      </c>
      <c r="AH231" s="81" t="str">
        <f t="shared" si="109"/>
        <v>"%USERPROFILE%\Documents\GitHub\eaglep3\Utilities\RefineRTDCRunTimes.py" --tripid 57-10 --locoid 4051 --swversion DE.1.0.9.0 --startMP 204:4819 --initTime 2017-06-10T12:26:18 --startdatetime 2017-06-10T12:27:49 --delay 1 --endMP 204:143 --enddatetime 2017-06-10T12:30:24 --enforcementcount 0 &gt;&gt;C:\Users\stu\Documents\GitHub\eaglep3-reporting\EC\2017-06-10-refined-times.txt</v>
      </c>
      <c r="AI231" s="99" t="str">
        <f t="shared" si="110"/>
        <v>echo {"issue":{"subject":"","project_id":79,"tracker_id":40,"status_id":1,"priority_id":2,"assigned_to_id":23,"start_date":"2017-06-10","description":"","custom_fields":[{"id":1,"name":"Subdivision","value":"Other"},{"id":4,"name":"Milepost","value":"0.0143"},{"id":17,"name":"Train ID","value":"57-10"},{"id":16,"name":"Locomotive ID","value":"4051"},{"id":130,"name":"Impact","value":""},{"id":150,"name":"Time of Event (Mountain Time)","value":"12:30:24"},{"id":151,"name":"Denver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5" t="str">
        <f t="shared" si="111"/>
        <v>start /low /b %USERPROFILE%\Documents\GitHub\eaglep3\Utilities\DownloadLogsFromS3.py --loco 4051 --day 2017-06-10</v>
      </c>
      <c r="AN231" s="154" t="str">
        <f t="shared" si="112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18:30:24"},{"id":29,"name":"Sharepoint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2" spans="1:40" x14ac:dyDescent="0.25">
      <c r="A232" s="32" t="s">
        <v>722</v>
      </c>
      <c r="B232" s="7">
        <v>4052</v>
      </c>
      <c r="C232" s="21" t="s">
        <v>204</v>
      </c>
      <c r="D232" s="21" t="s">
        <v>994</v>
      </c>
      <c r="E232" s="13">
        <v>42896.504942129628</v>
      </c>
      <c r="F232" s="13">
        <v>42896.519317129627</v>
      </c>
      <c r="G232" s="7">
        <v>1</v>
      </c>
      <c r="H232" s="21" t="s">
        <v>995</v>
      </c>
      <c r="I232" s="13">
        <v>42896.521111111113</v>
      </c>
      <c r="J232" s="7">
        <v>0</v>
      </c>
      <c r="K232" s="92" t="str">
        <f t="shared" si="96"/>
        <v>4051/4052</v>
      </c>
      <c r="L232" s="21" t="str">
        <f>VLOOKUP(A232,'Trips&amp;Operators'!$C$1:$G$99999,5,FALSE)</f>
        <v>MAYBERRY BILL</v>
      </c>
      <c r="M232" s="6">
        <f t="shared" si="97"/>
        <v>1.793981486116536E-3</v>
      </c>
      <c r="N232" s="7">
        <f t="shared" si="98"/>
        <v>2.5833333400078118</v>
      </c>
      <c r="O232" s="7"/>
      <c r="P232" s="7"/>
      <c r="Q232" s="22"/>
      <c r="R232" s="173"/>
      <c r="S232" s="176">
        <f t="shared" si="99"/>
        <v>0</v>
      </c>
      <c r="T232" s="202" t="e">
        <f t="shared" si="100"/>
        <v>#VALUE!</v>
      </c>
      <c r="U232" s="202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203" t="str">
        <f t="shared" si="101"/>
        <v>https://d0f6bd738d7f1b3e5a7ca70fe4ff75f0.us-east-1.aws.found.io/app/kibana#/discover/Steve-Slow-Train-Analysis-(2080s-and-2083s)?_g=(refreshInterval:(display:Off,pause:!f,section:0,value:0),time:(from:'2017-06-10T11:07:07-0600',mode:absolute,to:'2017-06-10T13:30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32" s="204" t="str">
        <f t="shared" si="102"/>
        <v>Y</v>
      </c>
      <c r="X232" s="204" t="e">
        <f t="shared" si="103"/>
        <v>#VALUE!</v>
      </c>
      <c r="Y232" s="204">
        <f t="shared" si="94"/>
        <v>0.14960000000000001</v>
      </c>
      <c r="Z232" s="204">
        <f t="shared" si="95"/>
        <v>0.51559999999999995</v>
      </c>
      <c r="AA232" s="204">
        <f t="shared" si="104"/>
        <v>0.36599999999999994</v>
      </c>
      <c r="AB232" s="57" t="e">
        <f>VLOOKUP(A232,Enforcements!$C$7:$K$13,8,0)</f>
        <v>#N/A</v>
      </c>
      <c r="AC232" s="53" t="e">
        <f>VLOOKUP(A232,Enforcements!$C$7:$E$13,3,0)</f>
        <v>#N/A</v>
      </c>
      <c r="AD232" s="54" t="str">
        <f t="shared" si="105"/>
        <v>57-10</v>
      </c>
      <c r="AE232" s="80" t="str">
        <f t="shared" si="106"/>
        <v>aws s3 cp s3://rtdc.mdm.uploadarchive.raw/RTDC4052/ "%USERPROFILE%\AppData\Local\Temp\OnboardLogs"\RTDC4052\2017-06-10 --exclude "*" --recursive --include "*20170610*" &amp; "%USERPROFILE%\Documents\GitHub\mrs-test-scripts\Headless Mode &amp; Sideloading\WalkAndUnGZ.bat" "%USERPROFILE%\AppData\Local\Temp\OnboardLogs"\RTDC4052\2017-06-10 &amp; aws s3 cp s3://rtdc.mdm.uploadarchive.raw/RTDC4052/ "%USERPROFILE%\AppData\Local\Temp\OnboardLogs"\RTDC4052\2017-06-11 --exclude "*" --recursive --include "*20170611*" &amp; "%USERPROFILE%\Documents\GitHub\mrs-test-scripts\Headless Mode &amp; Sideloading\WalkAndUnGZ.bat" "%USERPROFILE%\AppData\Local\Temp\OnboardLogs"\RTDC4052\2017-06-11</v>
      </c>
      <c r="AF232" s="77" t="str">
        <f t="shared" si="107"/>
        <v>"C:\Program Files (x86)\AstroGrep\AstroGrep.exe" /e /r /s /spath="%USERPROFILE%\AppData\Local\Temp\OnboardLogs" /stypes="app*4052*20170610*" /stext=" 18:.+((SYSTEM_STATE.+slice.+state.+changed )|(ment ac)|(multiple cpu faults)|(system.+state.+changed )|(\[timeout)|(PRM\|1\|D)|(kpr)|(kdp)|(train st.+moving)|(\|lc)|(penalty))"</v>
      </c>
      <c r="AG232" s="1" t="str">
        <f t="shared" si="108"/>
        <v>Other</v>
      </c>
      <c r="AH232" s="81" t="str">
        <f t="shared" si="109"/>
        <v>"%USERPROFILE%\Documents\GitHub\eaglep3\Utilities\RefineRTDCRunTimes.py" --tripid 57-10 --locoid 4052 --swversion DE.1.0.9.0 --startMP 204:1496 --initTime 2017-06-10T12:07:07 --startdatetime 2017-06-10T12:27:49 --delay 1 --endMP 204:5156 --enddatetime 2017-06-10T12:30:24 --enforcementcount 0 &gt;&gt;C:\Users\stu\Documents\GitHub\eaglep3-reporting\EC\2017-06-10-refined-times.txt</v>
      </c>
      <c r="AI232" s="99" t="str">
        <f t="shared" si="110"/>
        <v>echo {"issue":{"subject":"","project_id":79,"tracker_id":40,"status_id":1,"priority_id":2,"assigned_to_id":23,"start_date":"2017-06-10","description":"","custom_fields":[{"id":1,"name":"Subdivision","value":"Other"},{"id":4,"name":"Milepost","value":"0.5156"},{"id":17,"name":"Train ID","value":"57-10"},{"id":16,"name":"Locomotive ID","value":"4052"},{"id":130,"name":"Impact","value":""},{"id":150,"name":"Time of Event (Mountain Time)","value":"12:30:24"},{"id":151,"name":"Denver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5" t="str">
        <f t="shared" si="111"/>
        <v>start /low /b %USERPROFILE%\Documents\GitHub\eaglep3\Utilities\DownloadLogsFromS3.py --loco 4052 --day 2017-06-10</v>
      </c>
      <c r="AN232" s="154" t="str">
        <f t="shared" si="112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18:30:24"},{"id":29,"name":"Sharepoint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3" spans="1:40" x14ac:dyDescent="0.25">
      <c r="A233" s="32" t="s">
        <v>729</v>
      </c>
      <c r="B233" s="7">
        <v>4021</v>
      </c>
      <c r="C233" s="21" t="s">
        <v>204</v>
      </c>
      <c r="D233" s="21" t="s">
        <v>996</v>
      </c>
      <c r="E233" s="13">
        <v>42896.528692129628</v>
      </c>
      <c r="F233" s="13">
        <v>42896.529814814814</v>
      </c>
      <c r="G233" s="7">
        <v>1</v>
      </c>
      <c r="H233" s="21" t="s">
        <v>361</v>
      </c>
      <c r="I233" s="13">
        <v>42896.531006944446</v>
      </c>
      <c r="J233" s="7">
        <v>0</v>
      </c>
      <c r="K233" s="92" t="str">
        <f t="shared" si="96"/>
        <v>4021/4022</v>
      </c>
      <c r="L233" s="21" t="str">
        <f>VLOOKUP(A233,'Trips&amp;Operators'!$C$1:$G$99999,5,FALSE)</f>
        <v>MAYBERRY BILL</v>
      </c>
      <c r="M233" s="6">
        <f t="shared" si="97"/>
        <v>1.1921296318178065E-3</v>
      </c>
      <c r="N233" s="7">
        <f t="shared" si="98"/>
        <v>1.7166666698176414</v>
      </c>
      <c r="O233" s="7"/>
      <c r="P233" s="7"/>
      <c r="Q233" s="22"/>
      <c r="R233" s="173"/>
      <c r="S233" s="176">
        <f t="shared" si="99"/>
        <v>0</v>
      </c>
      <c r="T233" s="202" t="e">
        <f t="shared" si="100"/>
        <v>#VALUE!</v>
      </c>
      <c r="U233" s="202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203" t="str">
        <f t="shared" si="101"/>
        <v>https://d0f6bd738d7f1b3e5a7ca70fe4ff75f0.us-east-1.aws.found.io/app/kibana#/discover/Steve-Slow-Train-Analysis-(2080s-and-2083s)?_g=(refreshInterval:(display:Off,pause:!f,section:0,value:0),time:(from:'2017-06-10T11:41:19-0600',mode:absolute,to:'2017-06-10T13:44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33" s="204" t="str">
        <f t="shared" si="102"/>
        <v>Y</v>
      </c>
      <c r="X233" s="204" t="e">
        <f t="shared" si="103"/>
        <v>#VALUE!</v>
      </c>
      <c r="Y233" s="204">
        <f t="shared" si="94"/>
        <v>0.29680000000000001</v>
      </c>
      <c r="Z233" s="204">
        <f t="shared" si="95"/>
        <v>1.3899999999999999E-2</v>
      </c>
      <c r="AA233" s="204">
        <f t="shared" si="104"/>
        <v>0.28289999999999998</v>
      </c>
      <c r="AB233" s="57" t="e">
        <f>VLOOKUP(A233,Enforcements!$C$7:$K$13,8,0)</f>
        <v>#N/A</v>
      </c>
      <c r="AC233" s="53" t="e">
        <f>VLOOKUP(A233,Enforcements!$C$7:$E$13,3,0)</f>
        <v>#N/A</v>
      </c>
      <c r="AD233" s="54" t="str">
        <f t="shared" si="105"/>
        <v>59-10</v>
      </c>
      <c r="AE233" s="80" t="str">
        <f t="shared" si="106"/>
        <v>aws s3 cp s3://rtdc.mdm.uploadarchive.raw/RTDC4021/ "%USERPROFILE%\AppData\Local\Temp\OnboardLogs"\RTDC4021\2017-06-10 --exclude "*" --recursive --include "*20170610*" &amp; "%USERPROFILE%\Documents\GitHub\mrs-test-scripts\Headless Mode &amp; Sideloading\WalkAndUnGZ.bat" "%USERPROFILE%\AppData\Local\Temp\OnboardLogs"\RTDC4021\2017-06-10 &amp; aws s3 cp s3://rtdc.mdm.uploadarchive.raw/RTDC4021/ "%USERPROFILE%\AppData\Local\Temp\OnboardLogs"\RTDC4021\2017-06-11 --exclude "*" --recursive --include "*20170611*" &amp; "%USERPROFILE%\Documents\GitHub\mrs-test-scripts\Headless Mode &amp; Sideloading\WalkAndUnGZ.bat" "%USERPROFILE%\AppData\Local\Temp\OnboardLogs"\RTDC4021\2017-06-11</v>
      </c>
      <c r="AF233" s="77" t="str">
        <f t="shared" si="107"/>
        <v>"C:\Program Files (x86)\AstroGrep\AstroGrep.exe" /e /r /s /spath="%USERPROFILE%\AppData\Local\Temp\OnboardLogs" /stypes="app*4021*20170610*" /stext=" 18:.+((SYSTEM_STATE.+slice.+state.+changed )|(ment ac)|(multiple cpu faults)|(system.+state.+changed )|(\[timeout)|(PRM\|1\|D)|(kpr)|(kdp)|(train st.+moving)|(\|lc)|(penalty))"</v>
      </c>
      <c r="AG233" s="1" t="str">
        <f t="shared" si="108"/>
        <v>Other</v>
      </c>
      <c r="AH233" s="81" t="str">
        <f t="shared" si="109"/>
        <v>"%USERPROFILE%\Documents\GitHub\eaglep3\Utilities\RefineRTDCRunTimes.py" --tripid 59-10 --locoid 4021 --swversion DE.1.0.9.0 --startMP 204:2968 --initTime 2017-06-10T12:41:19 --startdatetime 2017-06-10T12:42:56 --delay 1 --endMP 204:139 --enddatetime 2017-06-10T12:44:39 --enforcementcount 0 &gt;&gt;C:\Users\stu\Documents\GitHub\eaglep3-reporting\EC\2017-06-10-refined-times.txt</v>
      </c>
      <c r="AI233" s="99" t="str">
        <f t="shared" si="110"/>
        <v>echo {"issue":{"subject":"","project_id":79,"tracker_id":40,"status_id":1,"priority_id":2,"assigned_to_id":23,"start_date":"2017-06-10","description":"","custom_fields":[{"id":1,"name":"Subdivision","value":"Other"},{"id":4,"name":"Milepost","value":"0.0139"},{"id":17,"name":"Train ID","value":"59-10"},{"id":16,"name":"Locomotive ID","value":"4021"},{"id":130,"name":"Impact","value":""},{"id":150,"name":"Time of Event (Mountain Time)","value":"12:44:39"},{"id":151,"name":"Denver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5" t="str">
        <f t="shared" si="111"/>
        <v>start /low /b %USERPROFILE%\Documents\GitHub\eaglep3\Utilities\DownloadLogsFromS3.py --loco 4021 --day 2017-06-10</v>
      </c>
      <c r="AN233" s="154" t="str">
        <f t="shared" si="112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18:44:39"},{"id":29,"name":"Sharepoint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4" spans="1:40" x14ac:dyDescent="0.25">
      <c r="A234" s="32" t="s">
        <v>729</v>
      </c>
      <c r="B234" s="7">
        <v>4022</v>
      </c>
      <c r="C234" s="21" t="s">
        <v>204</v>
      </c>
      <c r="D234" s="21" t="s">
        <v>997</v>
      </c>
      <c r="E234" s="13">
        <v>42896.525243055556</v>
      </c>
      <c r="F234" s="13">
        <v>42896.529814814814</v>
      </c>
      <c r="G234" s="7">
        <v>1</v>
      </c>
      <c r="H234" s="21" t="s">
        <v>998</v>
      </c>
      <c r="I234" s="13">
        <v>42896.531006944446</v>
      </c>
      <c r="J234" s="7">
        <v>0</v>
      </c>
      <c r="K234" s="92" t="str">
        <f t="shared" si="96"/>
        <v>4021/4022</v>
      </c>
      <c r="L234" s="21" t="str">
        <f>VLOOKUP(A234,'Trips&amp;Operators'!$C$1:$G$99999,5,FALSE)</f>
        <v>MAYBERRY BILL</v>
      </c>
      <c r="M234" s="6">
        <f t="shared" si="97"/>
        <v>1.1921296318178065E-3</v>
      </c>
      <c r="N234" s="7">
        <f t="shared" si="98"/>
        <v>1.7166666698176414</v>
      </c>
      <c r="O234" s="7"/>
      <c r="P234" s="7"/>
      <c r="Q234" s="22"/>
      <c r="R234" s="173"/>
      <c r="S234" s="176">
        <f t="shared" si="99"/>
        <v>0</v>
      </c>
      <c r="T234" s="202" t="e">
        <f t="shared" si="100"/>
        <v>#VALUE!</v>
      </c>
      <c r="U234" s="202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203" t="str">
        <f t="shared" si="101"/>
        <v>https://d0f6bd738d7f1b3e5a7ca70fe4ff75f0.us-east-1.aws.found.io/app/kibana#/discover/Steve-Slow-Train-Analysis-(2080s-and-2083s)?_g=(refreshInterval:(display:Off,pause:!f,section:0,value:0),time:(from:'2017-06-10T11:36:21-0600',mode:absolute,to:'2017-06-10T13:44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34" s="204" t="str">
        <f t="shared" si="102"/>
        <v>Y</v>
      </c>
      <c r="X234" s="204" t="e">
        <f t="shared" si="103"/>
        <v>#VALUE!</v>
      </c>
      <c r="Y234" s="204">
        <f t="shared" si="94"/>
        <v>0.1148</v>
      </c>
      <c r="Z234" s="204">
        <f t="shared" si="95"/>
        <v>0.32900000000000001</v>
      </c>
      <c r="AA234" s="204">
        <f t="shared" si="104"/>
        <v>0.2142</v>
      </c>
      <c r="AB234" s="57" t="e">
        <f>VLOOKUP(A234,Enforcements!$C$7:$K$13,8,0)</f>
        <v>#N/A</v>
      </c>
      <c r="AC234" s="53" t="e">
        <f>VLOOKUP(A234,Enforcements!$C$7:$E$13,3,0)</f>
        <v>#N/A</v>
      </c>
      <c r="AD234" s="54" t="str">
        <f t="shared" si="105"/>
        <v>59-10</v>
      </c>
      <c r="AE234" s="80" t="str">
        <f t="shared" si="106"/>
        <v>aws s3 cp s3://rtdc.mdm.uploadarchive.raw/RTDC4022/ "%USERPROFILE%\AppData\Local\Temp\OnboardLogs"\RTDC4022\2017-06-10 --exclude "*" --recursive --include "*20170610*" &amp; "%USERPROFILE%\Documents\GitHub\mrs-test-scripts\Headless Mode &amp; Sideloading\WalkAndUnGZ.bat" "%USERPROFILE%\AppData\Local\Temp\OnboardLogs"\RTDC4022\2017-06-10 &amp; aws s3 cp s3://rtdc.mdm.uploadarchive.raw/RTDC4022/ "%USERPROFILE%\AppData\Local\Temp\OnboardLogs"\RTDC4022\2017-06-11 --exclude "*" --recursive --include "*20170611*" &amp; "%USERPROFILE%\Documents\GitHub\mrs-test-scripts\Headless Mode &amp; Sideloading\WalkAndUnGZ.bat" "%USERPROFILE%\AppData\Local\Temp\OnboardLogs"\RTDC4022\2017-06-11</v>
      </c>
      <c r="AF234" s="77" t="str">
        <f t="shared" si="107"/>
        <v>"C:\Program Files (x86)\AstroGrep\AstroGrep.exe" /e /r /s /spath="%USERPROFILE%\AppData\Local\Temp\OnboardLogs" /stypes="app*4022*20170610*" /stext=" 18:.+((SYSTEM_STATE.+slice.+state.+changed )|(ment ac)|(multiple cpu faults)|(system.+state.+changed )|(\[timeout)|(PRM\|1\|D)|(kpr)|(kdp)|(train st.+moving)|(\|lc)|(penalty))"</v>
      </c>
      <c r="AG234" s="1" t="str">
        <f t="shared" si="108"/>
        <v>Other</v>
      </c>
      <c r="AH234" s="81" t="str">
        <f t="shared" si="109"/>
        <v>"%USERPROFILE%\Documents\GitHub\eaglep3\Utilities\RefineRTDCRunTimes.py" --tripid 59-10 --locoid 4022 --swversion DE.1.0.9.0 --startMP 204:1148 --initTime 2017-06-10T12:36:21 --startdatetime 2017-06-10T12:42:56 --delay 1 --endMP 204:3290 --enddatetime 2017-06-10T12:44:39 --enforcementcount 0 &gt;&gt;C:\Users\stu\Documents\GitHub\eaglep3-reporting\EC\2017-06-10-refined-times.txt</v>
      </c>
      <c r="AI234" s="99" t="str">
        <f t="shared" si="110"/>
        <v>echo {"issue":{"subject":"","project_id":79,"tracker_id":40,"status_id":1,"priority_id":2,"assigned_to_id":23,"start_date":"2017-06-10","description":"","custom_fields":[{"id":1,"name":"Subdivision","value":"Other"},{"id":4,"name":"Milepost","value":"0.329"},{"id":17,"name":"Train ID","value":"59-10"},{"id":16,"name":"Locomotive ID","value":"4022"},{"id":130,"name":"Impact","value":""},{"id":150,"name":"Time of Event (Mountain Time)","value":"12:44:39"},{"id":151,"name":"Denver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5" t="str">
        <f t="shared" si="111"/>
        <v>start /low /b %USERPROFILE%\Documents\GitHub\eaglep3\Utilities\DownloadLogsFromS3.py --loco 4022 --day 2017-06-10</v>
      </c>
      <c r="AN234" s="154" t="str">
        <f t="shared" si="112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18:44:39"},{"id":29,"name":"Sharepoint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5" spans="1:40" x14ac:dyDescent="0.25">
      <c r="A235" s="32" t="s">
        <v>651</v>
      </c>
      <c r="B235" s="7">
        <v>4059</v>
      </c>
      <c r="C235" s="21" t="s">
        <v>204</v>
      </c>
      <c r="D235" s="21" t="s">
        <v>999</v>
      </c>
      <c r="E235" s="13">
        <v>42896.209062499998</v>
      </c>
      <c r="F235" s="13">
        <v>42896.216111111113</v>
      </c>
      <c r="G235" s="7">
        <v>1</v>
      </c>
      <c r="H235" s="21" t="s">
        <v>1000</v>
      </c>
      <c r="I235" s="13">
        <v>42896.238055555557</v>
      </c>
      <c r="J235" s="7">
        <v>0</v>
      </c>
      <c r="K235" s="92" t="str">
        <f t="shared" si="96"/>
        <v>4059/4060</v>
      </c>
      <c r="L235" s="21" t="str">
        <f>VLOOKUP(A235,'Trips&amp;Operators'!$C$1:$G$99999,5,FALSE)</f>
        <v>ROCHA YAOTL</v>
      </c>
      <c r="M235" s="6">
        <f t="shared" si="97"/>
        <v>2.1944444444670808E-2</v>
      </c>
      <c r="N235" s="7">
        <f t="shared" si="98"/>
        <v>31.600000000325963</v>
      </c>
      <c r="O235" s="7"/>
      <c r="P235" s="7"/>
      <c r="Q235" s="22"/>
      <c r="R235" s="173"/>
      <c r="S235" s="176">
        <f t="shared" si="99"/>
        <v>0</v>
      </c>
      <c r="T235" s="202" t="e">
        <f t="shared" si="100"/>
        <v>#VALUE!</v>
      </c>
      <c r="U235" s="202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203" t="str">
        <f t="shared" si="101"/>
        <v>https://d0f6bd738d7f1b3e5a7ca70fe4ff75f0.us-east-1.aws.found.io/app/kibana#/discover/Steve-Slow-Train-Analysis-(2080s-and-2083s)?_g=(refreshInterval:(display:Off,pause:!f,section:0,value:0),time:(from:'2017-06-10T04:01:03-0600',mode:absolute,to:'2017-06-10T06:42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35" s="204" t="str">
        <f t="shared" si="102"/>
        <v>N</v>
      </c>
      <c r="X235" s="204" t="e">
        <f t="shared" si="103"/>
        <v>#VALUE!</v>
      </c>
      <c r="Y235" s="204">
        <f t="shared" si="94"/>
        <v>10.7293</v>
      </c>
      <c r="Z235" s="204">
        <f t="shared" si="95"/>
        <v>6.6E-3</v>
      </c>
      <c r="AA235" s="204">
        <f t="shared" si="104"/>
        <v>10.7227</v>
      </c>
      <c r="AB235" s="57" t="e">
        <f>VLOOKUP(A235,Enforcements!$C$7:$K$13,8,0)</f>
        <v>#N/A</v>
      </c>
      <c r="AC235" s="53" t="e">
        <f>VLOOKUP(A235,Enforcements!$C$7:$E$13,3,0)</f>
        <v>#N/A</v>
      </c>
      <c r="AD235" s="54" t="str">
        <f t="shared" si="105"/>
        <v>60-10</v>
      </c>
      <c r="AE235" s="80" t="str">
        <f t="shared" si="106"/>
        <v>aws s3 cp s3://rtdc.mdm.uploadarchive.raw/RTDC4059/ "%USERPROFILE%\AppData\Local\Temp\OnboardLogs"\RTDC4059\2017-06-10 --exclude "*" --recursive --include "*20170610*" &amp; "%USERPROFILE%\Documents\GitHub\mrs-test-scripts\Headless Mode &amp; Sideloading\WalkAndUnGZ.bat" "%USERPROFILE%\AppData\Local\Temp\OnboardLogs"\RTDC4059\2017-06-10 &amp; aws s3 cp s3://rtdc.mdm.uploadarchive.raw/RTDC4059/ "%USERPROFILE%\AppData\Local\Temp\OnboardLogs"\RTDC4059\2017-06-11 --exclude "*" --recursive --include "*20170611*" &amp; "%USERPROFILE%\Documents\GitHub\mrs-test-scripts\Headless Mode &amp; Sideloading\WalkAndUnGZ.bat" "%USERPROFILE%\AppData\Local\Temp\OnboardLogs"\RTDC4059\2017-06-11</v>
      </c>
      <c r="AF235" s="77" t="str">
        <f t="shared" si="107"/>
        <v>"C:\Program Files (x86)\AstroGrep\AstroGrep.exe" /e /r /s /spath="%USERPROFILE%\AppData\Local\Temp\OnboardLogs" /stypes="app*4059*20170610*" /stext=" 11:.+((SYSTEM_STATE.+slice.+state.+changed )|(ment ac)|(multiple cpu faults)|(system.+state.+changed )|(\[timeout)|(PRM\|1\|D)|(kpr)|(kdp)|(train st.+moving)|(\|lc)|(penalty))"</v>
      </c>
      <c r="AG235" s="1" t="str">
        <f t="shared" si="108"/>
        <v>Other</v>
      </c>
      <c r="AH235" s="81" t="str">
        <f t="shared" si="109"/>
        <v>"%USERPROFILE%\Documents\GitHub\eaglep3\Utilities\RefineRTDCRunTimes.py" --tripid 60-10 --locoid 4059 --swversion DE.1.0.9.0 --startMP 204:107293 --initTime 2017-06-10T05:01:03 --startdatetime 2017-06-10T05:11:12 --delay 1 --endMP 204:66 --enddatetime 2017-06-10T05:42:48 --enforcementcount 0 &gt;&gt;C:\Users\stu\Documents\GitHub\eaglep3-reporting\EC\2017-06-10-refined-times.txt</v>
      </c>
      <c r="AI235" s="99" t="str">
        <f t="shared" si="110"/>
        <v>echo {"issue":{"subject":"","project_id":79,"tracker_id":40,"status_id":1,"priority_id":2,"assigned_to_id":23,"start_date":"2017-06-10","description":"","custom_fields":[{"id":1,"name":"Subdivision","value":"Other"},{"id":4,"name":"Milepost","value":"0.0066"},{"id":17,"name":"Train ID","value":"60-10"},{"id":16,"name":"Locomotive ID","value":"4059"},{"id":130,"name":"Impact","value":""},{"id":150,"name":"Time of Event (Mountain Time)","value":"05:42:48"},{"id":151,"name":"Denver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5" t="str">
        <f t="shared" si="111"/>
        <v>start /low /b %USERPROFILE%\Documents\GitHub\eaglep3\Utilities\DownloadLogsFromS3.py --loco 4059 --day 2017-06-10</v>
      </c>
      <c r="AN235" s="154" t="str">
        <f t="shared" si="112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11:42:48"},{"id":29,"name":"Sharepoint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6" spans="1:40" s="20" customFormat="1" x14ac:dyDescent="0.25">
      <c r="A236" s="32" t="s">
        <v>624</v>
      </c>
      <c r="B236" s="7">
        <v>4056</v>
      </c>
      <c r="C236" s="21" t="s">
        <v>204</v>
      </c>
      <c r="D236" s="21" t="s">
        <v>1001</v>
      </c>
      <c r="E236" s="13">
        <v>42896.154236111113</v>
      </c>
      <c r="F236" s="13">
        <v>42896.156018518515</v>
      </c>
      <c r="G236" s="7">
        <v>1</v>
      </c>
      <c r="H236" s="21" t="s">
        <v>1002</v>
      </c>
      <c r="I236" s="13">
        <v>42896.156053240738</v>
      </c>
      <c r="J236" s="7">
        <v>0</v>
      </c>
      <c r="K236" s="92" t="str">
        <f t="shared" si="96"/>
        <v>4055/4056</v>
      </c>
      <c r="L236" s="21" t="str">
        <f>VLOOKUP(A236,'Trips&amp;Operators'!$C$1:$G$99999,5,FALSE)</f>
        <v>BEAM ROSS</v>
      </c>
      <c r="M236" s="6">
        <f t="shared" si="97"/>
        <v>3.4722223062999547E-5</v>
      </c>
      <c r="N236" s="7">
        <f t="shared" si="98"/>
        <v>5.0000001210719347E-2</v>
      </c>
      <c r="O236" s="7"/>
      <c r="P236" s="7"/>
      <c r="Q236" s="22"/>
      <c r="R236" s="173"/>
      <c r="S236" s="176">
        <f t="shared" si="99"/>
        <v>0</v>
      </c>
      <c r="T236" s="202" t="e">
        <f t="shared" si="100"/>
        <v>#VALUE!</v>
      </c>
      <c r="U236" s="202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203" t="str">
        <f t="shared" si="101"/>
        <v>https://d0f6bd738d7f1b3e5a7ca70fe4ff75f0.us-east-1.aws.found.io/app/kibana#/discover/Steve-Slow-Train-Analysis-(2080s-and-2083s)?_g=(refreshInterval:(display:Off,pause:!f,section:0,value:0),time:(from:'2017-06-10T02:42:06-0600',mode:absolute,to:'2017-06-10T04:44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36" s="204" t="str">
        <f t="shared" si="102"/>
        <v>Y</v>
      </c>
      <c r="X236" s="204" t="e">
        <f t="shared" si="103"/>
        <v>#VALUE!</v>
      </c>
      <c r="Y236" s="204">
        <f t="shared" si="94"/>
        <v>0.1484</v>
      </c>
      <c r="Z236" s="204">
        <f t="shared" si="95"/>
        <v>0.1681</v>
      </c>
      <c r="AA236" s="204">
        <f t="shared" si="104"/>
        <v>1.9699999999999995E-2</v>
      </c>
      <c r="AB236" s="57" t="e">
        <f>VLOOKUP(A236,Enforcements!$C$7:$K$13,8,0)</f>
        <v>#N/A</v>
      </c>
      <c r="AC236" s="53" t="e">
        <f>VLOOKUP(A236,Enforcements!$C$7:$E$13,3,0)</f>
        <v>#N/A</v>
      </c>
      <c r="AD236" s="54" t="str">
        <f t="shared" si="105"/>
        <v>67-10</v>
      </c>
      <c r="AE236" s="80" t="str">
        <f t="shared" si="106"/>
        <v>aws s3 cp s3://rtdc.mdm.uploadarchive.raw/RTDC4056/ "%USERPROFILE%\AppData\Local\Temp\OnboardLogs"\RTDC4056\2017-06-10 --exclude "*" --recursive --include "*20170610*" &amp; "%USERPROFILE%\Documents\GitHub\mrs-test-scripts\Headless Mode &amp; Sideloading\WalkAndUnGZ.bat" "%USERPROFILE%\AppData\Local\Temp\OnboardLogs"\RTDC4056\2017-06-10 &amp; aws s3 cp s3://rtdc.mdm.uploadarchive.raw/RTDC4056/ "%USERPROFILE%\AppData\Local\Temp\OnboardLogs"\RTDC4056\2017-06-11 --exclude "*" --recursive --include "*20170611*" &amp; "%USERPROFILE%\Documents\GitHub\mrs-test-scripts\Headless Mode &amp; Sideloading\WalkAndUnGZ.bat" "%USERPROFILE%\AppData\Local\Temp\OnboardLogs"\RTDC4056\2017-06-11</v>
      </c>
      <c r="AF236" s="77" t="str">
        <f t="shared" si="107"/>
        <v>"C:\Program Files (x86)\AstroGrep\AstroGrep.exe" /e /r /s /spath="%USERPROFILE%\AppData\Local\Temp\OnboardLogs" /stypes="app*4056*20170610*" /stext=" 09:.+((SYSTEM_STATE.+slice.+state.+changed )|(ment ac)|(multiple cpu faults)|(system.+state.+changed )|(\[timeout)|(PRM\|1\|D)|(kpr)|(kdp)|(train st.+moving)|(\|lc)|(penalty))"</v>
      </c>
      <c r="AG236" s="1" t="str">
        <f t="shared" si="108"/>
        <v>Other</v>
      </c>
      <c r="AH236" s="81" t="str">
        <f t="shared" si="109"/>
        <v>"%USERPROFILE%\Documents\GitHub\eaglep3\Utilities\RefineRTDCRunTimes.py" --tripid 67-10 --locoid 4056 --swversion DE.1.0.9.0 --startMP 204:1484 --initTime 2017-06-10T03:42:06 --startdatetime 2017-06-10T03:44:40 --delay 1 --endMP 204:1681 --enddatetime 2017-06-10T03:44:43 --enforcementcount 0 &gt;&gt;C:\Users\stu\Documents\GitHub\eaglep3-reporting\EC\2017-06-10-refined-times.txt</v>
      </c>
      <c r="AI236" s="99" t="str">
        <f t="shared" si="110"/>
        <v>echo {"issue":{"subject":"","project_id":79,"tracker_id":40,"status_id":1,"priority_id":2,"assigned_to_id":23,"start_date":"2017-06-10","description":"","custom_fields":[{"id":1,"name":"Subdivision","value":"Other"},{"id":4,"name":"Milepost","value":"0.1681"},{"id":17,"name":"Train ID","value":"67-10"},{"id":16,"name":"Locomotive ID","value":"4056"},{"id":130,"name":"Impact","value":""},{"id":150,"name":"Time of Event (Mountain Time)","value":"03:44:43"},{"id":151,"name":"Denver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36" s="47"/>
      <c r="AL236" s="47"/>
      <c r="AM236" s="145" t="str">
        <f t="shared" si="111"/>
        <v>start /low /b %USERPROFILE%\Documents\GitHub\eaglep3\Utilities\DownloadLogsFromS3.py --loco 4056 --day 2017-06-10</v>
      </c>
      <c r="AN236" s="154" t="str">
        <f t="shared" si="112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09:44:43"},{"id":29,"name":"Sharepoint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7" spans="1:40" x14ac:dyDescent="0.25">
      <c r="A237" s="32" t="s">
        <v>624</v>
      </c>
      <c r="B237" s="7">
        <v>4056</v>
      </c>
      <c r="C237" s="21" t="s">
        <v>204</v>
      </c>
      <c r="D237" s="21" t="s">
        <v>351</v>
      </c>
      <c r="E237" s="13">
        <v>42896.12940972222</v>
      </c>
      <c r="F237" s="13">
        <v>42896.156018518515</v>
      </c>
      <c r="G237" s="7">
        <v>1</v>
      </c>
      <c r="H237" s="21" t="s">
        <v>1003</v>
      </c>
      <c r="I237" s="13">
        <v>42896.156053240738</v>
      </c>
      <c r="J237" s="7">
        <v>0</v>
      </c>
      <c r="K237" s="92" t="str">
        <f t="shared" si="96"/>
        <v>4055/4056</v>
      </c>
      <c r="L237" s="21" t="str">
        <f>VLOOKUP(A237,'Trips&amp;Operators'!$C$1:$G$99999,5,FALSE)</f>
        <v>BEAM ROSS</v>
      </c>
      <c r="M237" s="6">
        <f t="shared" si="97"/>
        <v>3.4722223062999547E-5</v>
      </c>
      <c r="N237" s="7">
        <f t="shared" si="98"/>
        <v>5.0000001210719347E-2</v>
      </c>
      <c r="O237" s="7"/>
      <c r="P237" s="7"/>
      <c r="Q237" s="22"/>
      <c r="R237" s="173"/>
      <c r="S237" s="176">
        <f t="shared" si="99"/>
        <v>0</v>
      </c>
      <c r="T237" s="202" t="e">
        <f t="shared" si="100"/>
        <v>#VALUE!</v>
      </c>
      <c r="U237" s="202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203" t="str">
        <f t="shared" si="101"/>
        <v>https://d0f6bd738d7f1b3e5a7ca70fe4ff75f0.us-east-1.aws.found.io/app/kibana#/discover/Steve-Slow-Train-Analysis-(2080s-and-2083s)?_g=(refreshInterval:(display:Off,pause:!f,section:0,value:0),time:(from:'2017-06-10T02:06:21-0600',mode:absolute,to:'2017-06-10T04:44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37" s="204" t="str">
        <f t="shared" si="102"/>
        <v>Y</v>
      </c>
      <c r="X237" s="204" t="e">
        <f t="shared" si="103"/>
        <v>#VALUE!</v>
      </c>
      <c r="Y237" s="204">
        <f t="shared" si="94"/>
        <v>4.58E-2</v>
      </c>
      <c r="Z237" s="204">
        <f t="shared" si="95"/>
        <v>0.33600000000000002</v>
      </c>
      <c r="AA237" s="204">
        <f t="shared" si="104"/>
        <v>0.29020000000000001</v>
      </c>
      <c r="AB237" s="57" t="e">
        <f>VLOOKUP(A237,Enforcements!$C$7:$K$13,8,0)</f>
        <v>#N/A</v>
      </c>
      <c r="AC237" s="53" t="e">
        <f>VLOOKUP(A237,Enforcements!$C$7:$E$13,3,0)</f>
        <v>#N/A</v>
      </c>
      <c r="AD237" s="54" t="str">
        <f t="shared" si="105"/>
        <v>67-10</v>
      </c>
      <c r="AE237" s="80" t="str">
        <f t="shared" si="106"/>
        <v>aws s3 cp s3://rtdc.mdm.uploadarchive.raw/RTDC4056/ "%USERPROFILE%\AppData\Local\Temp\OnboardLogs"\RTDC4056\2017-06-10 --exclude "*" --recursive --include "*20170610*" &amp; "%USERPROFILE%\Documents\GitHub\mrs-test-scripts\Headless Mode &amp; Sideloading\WalkAndUnGZ.bat" "%USERPROFILE%\AppData\Local\Temp\OnboardLogs"\RTDC4056\2017-06-10 &amp; aws s3 cp s3://rtdc.mdm.uploadarchive.raw/RTDC4056/ "%USERPROFILE%\AppData\Local\Temp\OnboardLogs"\RTDC4056\2017-06-11 --exclude "*" --recursive --include "*20170611*" &amp; "%USERPROFILE%\Documents\GitHub\mrs-test-scripts\Headless Mode &amp; Sideloading\WalkAndUnGZ.bat" "%USERPROFILE%\AppData\Local\Temp\OnboardLogs"\RTDC4056\2017-06-11</v>
      </c>
      <c r="AF237" s="77" t="str">
        <f t="shared" si="107"/>
        <v>"C:\Program Files (x86)\AstroGrep\AstroGrep.exe" /e /r /s /spath="%USERPROFILE%\AppData\Local\Temp\OnboardLogs" /stypes="app*4056*20170610*" /stext=" 09:.+((SYSTEM_STATE.+slice.+state.+changed )|(ment ac)|(multiple cpu faults)|(system.+state.+changed )|(\[timeout)|(PRM\|1\|D)|(kpr)|(kdp)|(train st.+moving)|(\|lc)|(penalty))"</v>
      </c>
      <c r="AG237" s="1" t="str">
        <f t="shared" si="108"/>
        <v>Other</v>
      </c>
      <c r="AH237" s="81" t="str">
        <f t="shared" si="109"/>
        <v>"%USERPROFILE%\Documents\GitHub\eaglep3\Utilities\RefineRTDCRunTimes.py" --tripid 67-10 --locoid 4056 --swversion DE.1.0.9.0 --startMP 204:458 --initTime 2017-06-10T03:06:21 --startdatetime 2017-06-10T03:44:40 --delay 1 --endMP 204:3360 --enddatetime 2017-06-10T03:44:43 --enforcementcount 0 &gt;&gt;C:\Users\stu\Documents\GitHub\eaglep3-reporting\EC\2017-06-10-refined-times.txt</v>
      </c>
      <c r="AI237" s="99" t="str">
        <f t="shared" si="110"/>
        <v>echo {"issue":{"subject":"","project_id":79,"tracker_id":40,"status_id":1,"priority_id":2,"assigned_to_id":23,"start_date":"2017-06-10","description":"","custom_fields":[{"id":1,"name":"Subdivision","value":"Other"},{"id":4,"name":"Milepost","value":"0.336"},{"id":17,"name":"Train ID","value":"67-10"},{"id":16,"name":"Locomotive ID","value":"4056"},{"id":130,"name":"Impact","value":""},{"id":150,"name":"Time of Event (Mountain Time)","value":"03:44:43"},{"id":151,"name":"Denver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5" t="str">
        <f t="shared" si="111"/>
        <v>start /low /b %USERPROFILE%\Documents\GitHub\eaglep3\Utilities\DownloadLogsFromS3.py --loco 4056 --day 2017-06-10</v>
      </c>
      <c r="AN237" s="154" t="str">
        <f t="shared" si="112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09:44:43"},{"id":29,"name":"Sharepoint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8" spans="1:40" x14ac:dyDescent="0.25">
      <c r="A238" s="32" t="s">
        <v>628</v>
      </c>
      <c r="B238" s="7">
        <v>4055</v>
      </c>
      <c r="C238" s="21" t="s">
        <v>204</v>
      </c>
      <c r="D238" s="21" t="s">
        <v>1004</v>
      </c>
      <c r="E238" s="13">
        <v>42896.139432870368</v>
      </c>
      <c r="F238" s="13">
        <v>42896.140601851854</v>
      </c>
      <c r="G238" s="7">
        <v>1</v>
      </c>
      <c r="H238" s="21" t="s">
        <v>1005</v>
      </c>
      <c r="I238" s="13">
        <v>42896.141608796293</v>
      </c>
      <c r="J238" s="7">
        <v>0</v>
      </c>
      <c r="K238" s="92" t="str">
        <f t="shared" si="96"/>
        <v>4055/4056</v>
      </c>
      <c r="L238" s="21" t="str">
        <f>VLOOKUP(A238,'Trips&amp;Operators'!$C$1:$G$99999,5,FALSE)</f>
        <v>BEAM ROSS</v>
      </c>
      <c r="M238" s="6">
        <f t="shared" si="97"/>
        <v>1.0069444397231564E-3</v>
      </c>
      <c r="N238" s="7">
        <f t="shared" ref="N238:N243" si="113">24*60*SUM($M238:$M238)</f>
        <v>1.4499999932013452</v>
      </c>
      <c r="O238" s="7"/>
      <c r="P238" s="7"/>
      <c r="Q238" s="22"/>
      <c r="R238" s="173"/>
      <c r="S238" s="176">
        <f t="shared" ref="S238:S243" si="114">SUM(U238:U238)/IF(AG238="EC",12,1)</f>
        <v>0</v>
      </c>
      <c r="T238" s="202" t="e">
        <f t="shared" si="100"/>
        <v>#VALUE!</v>
      </c>
      <c r="U238" s="202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203" t="str">
        <f t="shared" si="101"/>
        <v>https://d0f6bd738d7f1b3e5a7ca70fe4ff75f0.us-east-1.aws.found.io/app/kibana#/discover/Steve-Slow-Train-Analysis-(2080s-and-2083s)?_g=(refreshInterval:(display:Off,pause:!f,section:0,value:0),time:(from:'2017-06-10T02:20:47-0600',mode:absolute,to:'2017-06-10T04:23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38" s="204" t="str">
        <f t="shared" si="102"/>
        <v>Y</v>
      </c>
      <c r="X238" s="204" t="e">
        <f t="shared" si="103"/>
        <v>#VALUE!</v>
      </c>
      <c r="Y238" s="204">
        <f t="shared" si="94"/>
        <v>0.30399999999999999</v>
      </c>
      <c r="Z238" s="204">
        <f t="shared" si="95"/>
        <v>0.1171</v>
      </c>
      <c r="AA238" s="204">
        <f t="shared" si="104"/>
        <v>0.18690000000000001</v>
      </c>
      <c r="AB238" s="57" t="e">
        <f>VLOOKUP(A238,Enforcements!$C$7:$K$13,8,0)</f>
        <v>#N/A</v>
      </c>
      <c r="AC238" s="53" t="e">
        <f>VLOOKUP(A238,Enforcements!$C$7:$E$13,3,0)</f>
        <v>#N/A</v>
      </c>
      <c r="AD238" s="54" t="str">
        <f t="shared" si="105"/>
        <v>68-10</v>
      </c>
      <c r="AE238" s="80" t="str">
        <f t="shared" si="106"/>
        <v>aws s3 cp s3://rtdc.mdm.uploadarchive.raw/RTDC4055/ "%USERPROFILE%\AppData\Local\Temp\OnboardLogs"\RTDC4055\2017-06-10 --exclude "*" --recursive --include "*20170610*" &amp; "%USERPROFILE%\Documents\GitHub\mrs-test-scripts\Headless Mode &amp; Sideloading\WalkAndUnGZ.bat" "%USERPROFILE%\AppData\Local\Temp\OnboardLogs"\RTDC4055\2017-06-10 &amp; aws s3 cp s3://rtdc.mdm.uploadarchive.raw/RTDC4055/ "%USERPROFILE%\AppData\Local\Temp\OnboardLogs"\RTDC4055\2017-06-11 --exclude "*" --recursive --include "*20170611*" &amp; "%USERPROFILE%\Documents\GitHub\mrs-test-scripts\Headless Mode &amp; Sideloading\WalkAndUnGZ.bat" "%USERPROFILE%\AppData\Local\Temp\OnboardLogs"\RTDC4055\2017-06-11</v>
      </c>
      <c r="AF238" s="77" t="str">
        <f t="shared" si="107"/>
        <v>"C:\Program Files (x86)\AstroGrep\AstroGrep.exe" /e /r /s /spath="%USERPROFILE%\AppData\Local\Temp\OnboardLogs" /stypes="app*4055*20170610*" /stext=" 09:.+((SYSTEM_STATE.+slice.+state.+changed )|(ment ac)|(multiple cpu faults)|(system.+state.+changed )|(\[timeout)|(PRM\|1\|D)|(kpr)|(kdp)|(train st.+moving)|(\|lc)|(penalty))"</v>
      </c>
      <c r="AG238" s="1" t="str">
        <f t="shared" si="108"/>
        <v>Other</v>
      </c>
      <c r="AH238" s="81" t="str">
        <f t="shared" si="109"/>
        <v>"%USERPROFILE%\Documents\GitHub\eaglep3\Utilities\RefineRTDCRunTimes.py" --tripid 68-10 --locoid 4055 --swversion DE.1.0.9.0 --startMP 204:3040 --initTime 2017-06-10T03:20:47 --startdatetime 2017-06-10T03:22:28 --delay 1 --endMP 204:1171 --enddatetime 2017-06-10T03:23:55 --enforcementcount 0 &gt;&gt;C:\Users\stu\Documents\GitHub\eaglep3-reporting\EC\2017-06-10-refined-times.txt</v>
      </c>
      <c r="AI238" s="99" t="str">
        <f t="shared" si="110"/>
        <v>echo {"issue":{"subject":"","project_id":79,"tracker_id":40,"status_id":1,"priority_id":2,"assigned_to_id":23,"start_date":"2017-06-10","description":"","custom_fields":[{"id":1,"name":"Subdivision","value":"Other"},{"id":4,"name":"Milepost","value":"0.1171"},{"id":17,"name":"Train ID","value":"68-10"},{"id":16,"name":"Locomotive ID","value":"4055"},{"id":130,"name":"Impact","value":""},{"id":150,"name":"Time of Event (Mountain Time)","value":"03:23:55"},{"id":151,"name":"Denver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5" t="str">
        <f t="shared" si="111"/>
        <v>start /low /b %USERPROFILE%\Documents\GitHub\eaglep3\Utilities\DownloadLogsFromS3.py --loco 4055 --day 2017-06-10</v>
      </c>
      <c r="AN238" s="154" t="str">
        <f t="shared" si="112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09:23:55"},{"id":29,"name":"Sharepoint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9" spans="1:40" x14ac:dyDescent="0.25">
      <c r="A239" s="32" t="s">
        <v>634</v>
      </c>
      <c r="B239" s="7">
        <v>4022</v>
      </c>
      <c r="C239" s="21" t="s">
        <v>204</v>
      </c>
      <c r="D239" s="21" t="s">
        <v>1006</v>
      </c>
      <c r="E239" s="13">
        <v>42896.172696759262</v>
      </c>
      <c r="F239" s="13">
        <v>42896.175324074073</v>
      </c>
      <c r="G239" s="7">
        <v>2</v>
      </c>
      <c r="H239" s="21" t="s">
        <v>1007</v>
      </c>
      <c r="I239" s="13">
        <v>42896.17628472222</v>
      </c>
      <c r="J239" s="7">
        <v>0</v>
      </c>
      <c r="K239" s="92" t="str">
        <f t="shared" si="96"/>
        <v>4021/4022</v>
      </c>
      <c r="L239" s="21" t="str">
        <f>VLOOKUP(A239,'Trips&amp;Operators'!$C$1:$G$99999,5,FALSE)</f>
        <v>MAYBERRY BILL</v>
      </c>
      <c r="M239" s="6">
        <f t="shared" si="97"/>
        <v>9.6064814715646207E-4</v>
      </c>
      <c r="N239" s="7">
        <f t="shared" si="113"/>
        <v>1.3833333319053054</v>
      </c>
      <c r="O239" s="7"/>
      <c r="P239" s="7"/>
      <c r="Q239" s="22"/>
      <c r="R239" s="173"/>
      <c r="S239" s="176">
        <f t="shared" si="114"/>
        <v>0</v>
      </c>
      <c r="T239" s="202" t="e">
        <f t="shared" si="100"/>
        <v>#VALUE!</v>
      </c>
      <c r="U239" s="202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203" t="str">
        <f t="shared" si="101"/>
        <v>https://d0f6bd738d7f1b3e5a7ca70fe4ff75f0.us-east-1.aws.found.io/app/kibana#/discover/Steve-Slow-Train-Analysis-(2080s-and-2083s)?_g=(refreshInterval:(display:Off,pause:!f,section:0,value:0),time:(from:'2017-06-10T03:08:41-0600',mode:absolute,to:'2017-06-10T05:13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39" s="204" t="str">
        <f t="shared" si="102"/>
        <v>Y</v>
      </c>
      <c r="X239" s="204" t="e">
        <f t="shared" si="103"/>
        <v>#VALUE!</v>
      </c>
      <c r="Y239" s="204">
        <f t="shared" si="94"/>
        <v>0.1158</v>
      </c>
      <c r="Z239" s="204">
        <f t="shared" si="95"/>
        <v>0.32790000000000002</v>
      </c>
      <c r="AA239" s="204">
        <f t="shared" si="104"/>
        <v>0.21210000000000001</v>
      </c>
      <c r="AB239" s="57" t="e">
        <f>VLOOKUP(A239,Enforcements!$C$7:$K$13,8,0)</f>
        <v>#N/A</v>
      </c>
      <c r="AC239" s="53" t="e">
        <f>VLOOKUP(A239,Enforcements!$C$7:$E$13,3,0)</f>
        <v>#N/A</v>
      </c>
      <c r="AD239" s="54" t="str">
        <f t="shared" si="105"/>
        <v>71-10</v>
      </c>
      <c r="AE239" s="80" t="str">
        <f t="shared" si="106"/>
        <v>aws s3 cp s3://rtdc.mdm.uploadarchive.raw/RTDC4022/ "%USERPROFILE%\AppData\Local\Temp\OnboardLogs"\RTDC4022\2017-06-10 --exclude "*" --recursive --include "*20170610*" &amp; "%USERPROFILE%\Documents\GitHub\mrs-test-scripts\Headless Mode &amp; Sideloading\WalkAndUnGZ.bat" "%USERPROFILE%\AppData\Local\Temp\OnboardLogs"\RTDC4022\2017-06-10 &amp; aws s3 cp s3://rtdc.mdm.uploadarchive.raw/RTDC4022/ "%USERPROFILE%\AppData\Local\Temp\OnboardLogs"\RTDC4022\2017-06-11 --exclude "*" --recursive --include "*20170611*" &amp; "%USERPROFILE%\Documents\GitHub\mrs-test-scripts\Headless Mode &amp; Sideloading\WalkAndUnGZ.bat" "%USERPROFILE%\AppData\Local\Temp\OnboardLogs"\RTDC4022\2017-06-11</v>
      </c>
      <c r="AF239" s="77" t="str">
        <f t="shared" si="107"/>
        <v>"C:\Program Files (x86)\AstroGrep\AstroGrep.exe" /e /r /s /spath="%USERPROFILE%\AppData\Local\Temp\OnboardLogs" /stypes="app*4022*20170610*" /stext=" 10:.+((SYSTEM_STATE.+slice.+state.+changed )|(ment ac)|(multiple cpu faults)|(system.+state.+changed )|(\[timeout)|(PRM\|1\|D)|(kpr)|(kdp)|(train st.+moving)|(\|lc)|(penalty))"</v>
      </c>
      <c r="AG239" s="1" t="str">
        <f t="shared" si="108"/>
        <v>Other</v>
      </c>
      <c r="AH239" s="81" t="str">
        <f t="shared" si="109"/>
        <v>"%USERPROFILE%\Documents\GitHub\eaglep3\Utilities\RefineRTDCRunTimes.py" --tripid 71-10 --locoid 4022 --swversion DE.1.0.9.0 --startMP 204:1158 --initTime 2017-06-10T04:08:41 --startdatetime 2017-06-10T04:12:28 --delay 2 --endMP 204:3279 --enddatetime 2017-06-10T04:13:51 --enforcementcount 0 &gt;&gt;C:\Users\stu\Documents\GitHub\eaglep3-reporting\EC\2017-06-10-refined-times.txt</v>
      </c>
      <c r="AI239" s="99" t="str">
        <f t="shared" si="110"/>
        <v>echo {"issue":{"subject":"","project_id":79,"tracker_id":40,"status_id":1,"priority_id":2,"assigned_to_id":23,"start_date":"2017-06-10","description":"","custom_fields":[{"id":1,"name":"Subdivision","value":"Other"},{"id":4,"name":"Milepost","value":"0.3279"},{"id":17,"name":"Train ID","value":"71-10"},{"id":16,"name":"Locomotive ID","value":"4022"},{"id":130,"name":"Impact","value":""},{"id":150,"name":"Time of Event (Mountain Time)","value":"04:13:51"},{"id":151,"name":"Denver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20"/>
      <c r="AK239" s="47"/>
      <c r="AL239" s="47"/>
      <c r="AM239" s="145" t="str">
        <f t="shared" si="111"/>
        <v>start /low /b %USERPROFILE%\Documents\GitHub\eaglep3\Utilities\DownloadLogsFromS3.py --loco 4022 --day 2017-06-10</v>
      </c>
      <c r="AN239" s="154" t="str">
        <f t="shared" si="112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10:13:51"},{"id":29,"name":"Sharepoint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0" spans="1:40" x14ac:dyDescent="0.25">
      <c r="A240" s="32" t="s">
        <v>637</v>
      </c>
      <c r="B240" s="7">
        <v>4021</v>
      </c>
      <c r="C240" s="21" t="s">
        <v>204</v>
      </c>
      <c r="D240" s="21" t="s">
        <v>1008</v>
      </c>
      <c r="E240" s="13">
        <v>42896.177384259259</v>
      </c>
      <c r="F240" s="13">
        <v>42896.178726851853</v>
      </c>
      <c r="G240" s="7">
        <v>1</v>
      </c>
      <c r="H240" s="21" t="s">
        <v>361</v>
      </c>
      <c r="I240" s="13">
        <v>42896.179872685185</v>
      </c>
      <c r="J240" s="7">
        <v>0</v>
      </c>
      <c r="K240" s="92" t="str">
        <f t="shared" si="96"/>
        <v>4021/4022</v>
      </c>
      <c r="L240" s="21" t="str">
        <f>VLOOKUP(A240,'Trips&amp;Operators'!$C$1:$G$99999,5,FALSE)</f>
        <v>MAYBERRY BILL</v>
      </c>
      <c r="M240" s="6">
        <f t="shared" si="97"/>
        <v>1.1458333319751546E-3</v>
      </c>
      <c r="N240" s="7">
        <f t="shared" si="113"/>
        <v>1.6499999980442226</v>
      </c>
      <c r="O240" s="7"/>
      <c r="P240" s="7"/>
      <c r="Q240" s="22"/>
      <c r="R240" s="173"/>
      <c r="S240" s="176">
        <f t="shared" si="114"/>
        <v>0</v>
      </c>
      <c r="T240" s="202" t="e">
        <f t="shared" si="100"/>
        <v>#VALUE!</v>
      </c>
      <c r="U240" s="202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203" t="str">
        <f t="shared" si="101"/>
        <v>https://d0f6bd738d7f1b3e5a7ca70fe4ff75f0.us-east-1.aws.found.io/app/kibana#/discover/Steve-Slow-Train-Analysis-(2080s-and-2083s)?_g=(refreshInterval:(display:Off,pause:!f,section:0,value:0),time:(from:'2017-06-10T03:15:26-0600',mode:absolute,to:'2017-06-10T05:19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40" s="204" t="str">
        <f t="shared" si="102"/>
        <v>Y</v>
      </c>
      <c r="X240" s="204" t="e">
        <f t="shared" si="103"/>
        <v>#VALUE!</v>
      </c>
      <c r="Y240" s="204">
        <f t="shared" si="94"/>
        <v>0.29649999999999999</v>
      </c>
      <c r="Z240" s="204">
        <f t="shared" si="95"/>
        <v>1.3899999999999999E-2</v>
      </c>
      <c r="AA240" s="204">
        <f t="shared" si="104"/>
        <v>0.28259999999999996</v>
      </c>
      <c r="AB240" s="57" t="e">
        <f>VLOOKUP(A240,Enforcements!$C$7:$K$13,8,0)</f>
        <v>#N/A</v>
      </c>
      <c r="AC240" s="53" t="e">
        <f>VLOOKUP(A240,Enforcements!$C$7:$E$13,3,0)</f>
        <v>#N/A</v>
      </c>
      <c r="AD240" s="54" t="str">
        <f t="shared" si="105"/>
        <v>72-10</v>
      </c>
      <c r="AE240" s="80" t="str">
        <f t="shared" si="106"/>
        <v>aws s3 cp s3://rtdc.mdm.uploadarchive.raw/RTDC4021/ "%USERPROFILE%\AppData\Local\Temp\OnboardLogs"\RTDC4021\2017-06-10 --exclude "*" --recursive --include "*20170610*" &amp; "%USERPROFILE%\Documents\GitHub\mrs-test-scripts\Headless Mode &amp; Sideloading\WalkAndUnGZ.bat" "%USERPROFILE%\AppData\Local\Temp\OnboardLogs"\RTDC4021\2017-06-10 &amp; aws s3 cp s3://rtdc.mdm.uploadarchive.raw/RTDC4021/ "%USERPROFILE%\AppData\Local\Temp\OnboardLogs"\RTDC4021\2017-06-11 --exclude "*" --recursive --include "*20170611*" &amp; "%USERPROFILE%\Documents\GitHub\mrs-test-scripts\Headless Mode &amp; Sideloading\WalkAndUnGZ.bat" "%USERPROFILE%\AppData\Local\Temp\OnboardLogs"\RTDC4021\2017-06-11</v>
      </c>
      <c r="AF240" s="77" t="str">
        <f t="shared" si="107"/>
        <v>"C:\Program Files (x86)\AstroGrep\AstroGrep.exe" /e /r /s /spath="%USERPROFILE%\AppData\Local\Temp\OnboardLogs" /stypes="app*4021*20170610*" /stext=" 10:.+((SYSTEM_STATE.+slice.+state.+changed )|(ment ac)|(multiple cpu faults)|(system.+state.+changed )|(\[timeout)|(PRM\|1\|D)|(kpr)|(kdp)|(train st.+moving)|(\|lc)|(penalty))"</v>
      </c>
      <c r="AG240" s="1" t="str">
        <f t="shared" si="108"/>
        <v>Other</v>
      </c>
      <c r="AH240" s="81" t="str">
        <f t="shared" si="109"/>
        <v>"%USERPROFILE%\Documents\GitHub\eaglep3\Utilities\RefineRTDCRunTimes.py" --tripid 72-10 --locoid 4021 --swversion DE.1.0.9.0 --startMP 204:2965 --initTime 2017-06-10T04:15:26 --startdatetime 2017-06-10T04:17:22 --delay 1 --endMP 204:139 --enddatetime 2017-06-10T04:19:01 --enforcementcount 0 &gt;&gt;C:\Users\stu\Documents\GitHub\eaglep3-reporting\EC\2017-06-10-refined-times.txt</v>
      </c>
      <c r="AI240" s="99" t="str">
        <f t="shared" si="110"/>
        <v>echo {"issue":{"subject":"","project_id":79,"tracker_id":40,"status_id":1,"priority_id":2,"assigned_to_id":23,"start_date":"2017-06-10","description":"","custom_fields":[{"id":1,"name":"Subdivision","value":"Other"},{"id":4,"name":"Milepost","value":"0.0139"},{"id":17,"name":"Train ID","value":"72-10"},{"id":16,"name":"Locomotive ID","value":"4021"},{"id":130,"name":"Impact","value":""},{"id":150,"name":"Time of Event (Mountain Time)","value":"04:19:01"},{"id":151,"name":"Denver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7"/>
      <c r="AL240" s="47"/>
      <c r="AM240" s="145" t="str">
        <f t="shared" si="111"/>
        <v>start /low /b %USERPROFILE%\Documents\GitHub\eaglep3\Utilities\DownloadLogsFromS3.py --loco 4021 --day 2017-06-10</v>
      </c>
      <c r="AN240" s="154" t="str">
        <f t="shared" si="112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10:19:01"},{"id":29,"name":"Sharepoint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1" spans="1:40" x14ac:dyDescent="0.25">
      <c r="A241" s="32" t="s">
        <v>795</v>
      </c>
      <c r="B241" s="7">
        <v>4057</v>
      </c>
      <c r="C241" s="21" t="s">
        <v>204</v>
      </c>
      <c r="D241" s="21" t="s">
        <v>1009</v>
      </c>
      <c r="E241" s="13">
        <v>42896.858472222222</v>
      </c>
      <c r="F241" s="13">
        <v>42896.863715277781</v>
      </c>
      <c r="G241" s="7">
        <v>3</v>
      </c>
      <c r="H241" s="21" t="s">
        <v>1010</v>
      </c>
      <c r="I241" s="13">
        <v>42896.866122685184</v>
      </c>
      <c r="J241" s="7">
        <v>0</v>
      </c>
      <c r="K241" s="92" t="str">
        <f t="shared" si="96"/>
        <v>4057/4058</v>
      </c>
      <c r="L241" s="21" t="str">
        <f>VLOOKUP(A241,'Trips&amp;Operators'!$C$1:$G$99999,5,FALSE)</f>
        <v>BIRENBAUM THOMAS</v>
      </c>
      <c r="M241" s="6">
        <f t="shared" si="97"/>
        <v>2.4074074026430026E-3</v>
      </c>
      <c r="N241" s="7">
        <f t="shared" si="113"/>
        <v>3.4666666598059237</v>
      </c>
      <c r="O241" s="7"/>
      <c r="P241" s="7"/>
      <c r="Q241" s="22"/>
      <c r="R241" s="173"/>
      <c r="S241" s="176">
        <f t="shared" si="114"/>
        <v>0</v>
      </c>
      <c r="T241" s="202" t="e">
        <f t="shared" si="100"/>
        <v>#VALUE!</v>
      </c>
      <c r="U241" s="202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203" t="str">
        <f t="shared" si="101"/>
        <v>https://d0f6bd738d7f1b3e5a7ca70fe4ff75f0.us-east-1.aws.found.io/app/kibana#/discover/Steve-Slow-Train-Analysis-(2080s-and-2083s)?_g=(refreshInterval:(display:Off,pause:!f,section:0,value:0),time:(from:'2017-06-10T19:36:12-0600',mode:absolute,to:'2017-06-10T21:47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41" s="204" t="str">
        <f t="shared" si="102"/>
        <v>Y</v>
      </c>
      <c r="X241" s="204" t="e">
        <f t="shared" si="103"/>
        <v>#VALUE!</v>
      </c>
      <c r="Y241" s="204">
        <f t="shared" si="94"/>
        <v>2.3515999999999999</v>
      </c>
      <c r="Z241" s="204">
        <f t="shared" si="95"/>
        <v>2.1541000000000001</v>
      </c>
      <c r="AA241" s="204">
        <f t="shared" si="104"/>
        <v>0.19749999999999979</v>
      </c>
      <c r="AB241" s="57" t="e">
        <f>VLOOKUP(A241,Enforcements!$C$7:$K$13,8,0)</f>
        <v>#N/A</v>
      </c>
      <c r="AC241" s="53" t="e">
        <f>VLOOKUP(A241,Enforcements!$C$7:$E$13,3,0)</f>
        <v>#N/A</v>
      </c>
      <c r="AD241" s="54" t="str">
        <f t="shared" si="105"/>
        <v>84-10</v>
      </c>
      <c r="AE241" s="80" t="str">
        <f t="shared" si="106"/>
        <v>aws s3 cp s3://rtdc.mdm.uploadarchive.raw/RTDC4057/ "%USERPROFILE%\AppData\Local\Temp\OnboardLogs"\RTDC4057\2017-06-10 --exclude "*" --recursive --include "*20170610*" &amp; "%USERPROFILE%\Documents\GitHub\mrs-test-scripts\Headless Mode &amp; Sideloading\WalkAndUnGZ.bat" "%USERPROFILE%\AppData\Local\Temp\OnboardLogs"\RTDC4057\2017-06-10 &amp; aws s3 cp s3://rtdc.mdm.uploadarchive.raw/RTDC4057/ "%USERPROFILE%\AppData\Local\Temp\OnboardLogs"\RTDC4057\2017-06-11 --exclude "*" --recursive --include "*20170611*" &amp; "%USERPROFILE%\Documents\GitHub\mrs-test-scripts\Headless Mode &amp; Sideloading\WalkAndUnGZ.bat" "%USERPROFILE%\AppData\Local\Temp\OnboardLogs"\RTDC4057\2017-06-11</v>
      </c>
      <c r="AF241" s="77" t="str">
        <f t="shared" si="107"/>
        <v>"C:\Program Files (x86)\AstroGrep\AstroGrep.exe" /e /r /s /spath="%USERPROFILE%\AppData\Local\Temp\OnboardLogs" /stypes="app*4057*20170611*" /stext=" 02:.+((SYSTEM_STATE.+slice.+state.+changed )|(ment ac)|(multiple cpu faults)|(system.+state.+changed )|(\[timeout)|(PRM\|1\|D)|(kpr)|(kdp)|(train st.+moving)|(\|lc)|(penalty))"</v>
      </c>
      <c r="AG241" s="1" t="str">
        <f t="shared" si="108"/>
        <v>Other</v>
      </c>
      <c r="AH241" s="81" t="str">
        <f t="shared" si="109"/>
        <v>"%USERPROFILE%\Documents\GitHub\eaglep3\Utilities\RefineRTDCRunTimes.py" --tripid 84-10 --locoid 4057 --swversion DE.1.0.9.0 --startMP 300:23516 --initTime 2017-06-10T20:36:12 --startdatetime 2017-06-10T20:43:45 --delay 3 --endMP 300:21541 --enddatetime 2017-06-10T20:47:13 --enforcementcount 0 &gt;&gt;C:\Users\stu\Documents\GitHub\eaglep3-reporting\EC\2017-06-10-refined-times.txt</v>
      </c>
      <c r="AI241" s="99" t="str">
        <f t="shared" si="110"/>
        <v>echo {"issue":{"subject":"","project_id":79,"tracker_id":40,"status_id":1,"priority_id":2,"assigned_to_id":23,"start_date":"2017-06-10","description":"","custom_fields":[{"id":1,"name":"Subdivision","value":"Other"},{"id":4,"name":"Milepost","value":"2.1541"},{"id":17,"name":"Train ID","value":"84-10"},{"id":16,"name":"Locomotive ID","value":"4057"},{"id":130,"name":"Impact","value":""},{"id":150,"name":"Time of Event (Mountain Time)","value":"20:47:13"},{"id":151,"name":"Denver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7"/>
      <c r="AL241" s="47"/>
      <c r="AM241" s="145" t="str">
        <f t="shared" si="111"/>
        <v>start /low /b %USERPROFILE%\Documents\GitHub\eaglep3\Utilities\DownloadLogsFromS3.py --loco 4057 --day 2017-06-10</v>
      </c>
      <c r="AN241" s="154" t="str">
        <f t="shared" si="112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02:47:13"},{"id":29,"name":"Sharepoint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2" spans="1:40" x14ac:dyDescent="0.25">
      <c r="A242" s="32" t="s">
        <v>795</v>
      </c>
      <c r="B242" s="7">
        <v>4058</v>
      </c>
      <c r="C242" s="21" t="s">
        <v>204</v>
      </c>
      <c r="D242" s="21" t="s">
        <v>1011</v>
      </c>
      <c r="E242" s="13">
        <v>42896.862210648149</v>
      </c>
      <c r="F242" s="13">
        <v>42896.863715277781</v>
      </c>
      <c r="G242" s="7">
        <v>1</v>
      </c>
      <c r="H242" s="21" t="s">
        <v>357</v>
      </c>
      <c r="I242" s="13">
        <v>42896.866122685184</v>
      </c>
      <c r="J242" s="7">
        <v>0</v>
      </c>
      <c r="K242" s="92" t="str">
        <f t="shared" si="96"/>
        <v>4057/4058</v>
      </c>
      <c r="L242" s="21" t="str">
        <f>VLOOKUP(A242,'Trips&amp;Operators'!$C$1:$G$99999,5,FALSE)</f>
        <v>BIRENBAUM THOMAS</v>
      </c>
      <c r="M242" s="6">
        <f t="shared" si="97"/>
        <v>2.4074074026430026E-3</v>
      </c>
      <c r="N242" s="7">
        <f t="shared" si="113"/>
        <v>3.4666666598059237</v>
      </c>
      <c r="O242" s="7"/>
      <c r="P242" s="7"/>
      <c r="Q242" s="22"/>
      <c r="R242" s="173"/>
      <c r="S242" s="176">
        <f t="shared" si="114"/>
        <v>0</v>
      </c>
      <c r="T242" s="202" t="e">
        <f t="shared" si="100"/>
        <v>#VALUE!</v>
      </c>
      <c r="U242" s="202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203" t="str">
        <f t="shared" si="101"/>
        <v>https://d0f6bd738d7f1b3e5a7ca70fe4ff75f0.us-east-1.aws.found.io/app/kibana#/discover/Steve-Slow-Train-Analysis-(2080s-and-2083s)?_g=(refreshInterval:(display:Off,pause:!f,section:0,value:0),time:(from:'2017-06-10T19:41:35-0600',mode:absolute,to:'2017-06-10T21:47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42" s="204" t="str">
        <f t="shared" si="102"/>
        <v>Y</v>
      </c>
      <c r="X242" s="204" t="e">
        <f t="shared" si="103"/>
        <v>#VALUE!</v>
      </c>
      <c r="Y242" s="204">
        <f t="shared" si="94"/>
        <v>2.1783999999999999</v>
      </c>
      <c r="Z242" s="204">
        <f t="shared" si="95"/>
        <v>2.3346</v>
      </c>
      <c r="AA242" s="204">
        <f t="shared" si="104"/>
        <v>0.15620000000000012</v>
      </c>
      <c r="AB242" s="57" t="e">
        <f>VLOOKUP(A242,Enforcements!$C$7:$K$13,8,0)</f>
        <v>#N/A</v>
      </c>
      <c r="AC242" s="53" t="e">
        <f>VLOOKUP(A242,Enforcements!$C$7:$E$13,3,0)</f>
        <v>#N/A</v>
      </c>
      <c r="AD242" s="54" t="str">
        <f t="shared" si="105"/>
        <v>84-10</v>
      </c>
      <c r="AE242" s="80" t="str">
        <f t="shared" si="106"/>
        <v>aws s3 cp s3://rtdc.mdm.uploadarchive.raw/RTDC4058/ "%USERPROFILE%\AppData\Local\Temp\OnboardLogs"\RTDC4058\2017-06-10 --exclude "*" --recursive --include "*20170610*" &amp; "%USERPROFILE%\Documents\GitHub\mrs-test-scripts\Headless Mode &amp; Sideloading\WalkAndUnGZ.bat" "%USERPROFILE%\AppData\Local\Temp\OnboardLogs"\RTDC4058\2017-06-10 &amp; aws s3 cp s3://rtdc.mdm.uploadarchive.raw/RTDC4058/ "%USERPROFILE%\AppData\Local\Temp\OnboardLogs"\RTDC4058\2017-06-11 --exclude "*" --recursive --include "*20170611*" &amp; "%USERPROFILE%\Documents\GitHub\mrs-test-scripts\Headless Mode &amp; Sideloading\WalkAndUnGZ.bat" "%USERPROFILE%\AppData\Local\Temp\OnboardLogs"\RTDC4058\2017-06-11</v>
      </c>
      <c r="AF242" s="77" t="str">
        <f t="shared" si="107"/>
        <v>"C:\Program Files (x86)\AstroGrep\AstroGrep.exe" /e /r /s /spath="%USERPROFILE%\AppData\Local\Temp\OnboardLogs" /stypes="app*4058*20170611*" /stext=" 02:.+((SYSTEM_STATE.+slice.+state.+changed )|(ment ac)|(multiple cpu faults)|(system.+state.+changed )|(\[timeout)|(PRM\|1\|D)|(kpr)|(kdp)|(train st.+moving)|(\|lc)|(penalty))"</v>
      </c>
      <c r="AG242" s="1" t="str">
        <f t="shared" si="108"/>
        <v>Other</v>
      </c>
      <c r="AH242" s="81" t="str">
        <f t="shared" si="109"/>
        <v>"%USERPROFILE%\Documents\GitHub\eaglep3\Utilities\RefineRTDCRunTimes.py" --tripid 84-10 --locoid 4058 --swversion DE.1.0.9.0 --startMP 300:21784 --initTime 2017-06-10T20:41:35 --startdatetime 2017-06-10T20:43:45 --delay 1 --endMP 300:23346 --enddatetime 2017-06-10T20:47:13 --enforcementcount 0 &gt;&gt;C:\Users\stu\Documents\GitHub\eaglep3-reporting\EC\2017-06-10-refined-times.txt</v>
      </c>
      <c r="AI242" s="99" t="str">
        <f t="shared" si="110"/>
        <v>echo {"issue":{"subject":"","project_id":79,"tracker_id":40,"status_id":1,"priority_id":2,"assigned_to_id":23,"start_date":"2017-06-10","description":"","custom_fields":[{"id":1,"name":"Subdivision","value":"Other"},{"id":4,"name":"Milepost","value":"2.3346"},{"id":17,"name":"Train ID","value":"84-10"},{"id":16,"name":"Locomotive ID","value":"4058"},{"id":130,"name":"Impact","value":""},{"id":150,"name":"Time of Event (Mountain Time)","value":"20:47:13"},{"id":151,"name":"Denver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20"/>
      <c r="AK242" s="47"/>
      <c r="AL242" s="47"/>
      <c r="AM242" s="145" t="str">
        <f t="shared" si="111"/>
        <v>start /low /b %USERPROFILE%\Documents\GitHub\eaglep3\Utilities\DownloadLogsFromS3.py --loco 4058 --day 2017-06-10</v>
      </c>
      <c r="AN242" s="154" t="str">
        <f t="shared" si="112"/>
        <v>echo {"issue":{"subject":"","project_id":30,"tracker_id":4,"status_id":1,"priority_id":1,"assigned_to_id":10,"start_date":"2017-06-11","description":"","custom_fields":[{"id":30,"name":"Category","value":"Issue"},{"id":3,"name":"Functional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UTC","value":"2017-06-11 02:47:13"},{"id":29,"name":"Sharepoint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3" spans="1:40" x14ac:dyDescent="0.25">
      <c r="A243" s="32" t="s">
        <v>572</v>
      </c>
      <c r="B243" s="7">
        <v>4003</v>
      </c>
      <c r="C243" s="21" t="s">
        <v>204</v>
      </c>
      <c r="D243" s="21" t="s">
        <v>1012</v>
      </c>
      <c r="E243" s="13">
        <v>42896.18953703704</v>
      </c>
      <c r="F243" s="13">
        <v>42896.192314814813</v>
      </c>
      <c r="G243" s="7">
        <v>3</v>
      </c>
      <c r="H243" s="21" t="s">
        <v>853</v>
      </c>
      <c r="I243" s="13">
        <v>42896.197962962964</v>
      </c>
      <c r="J243" s="7">
        <v>0</v>
      </c>
      <c r="K243" s="92" t="str">
        <f t="shared" si="96"/>
        <v>4003/4004</v>
      </c>
      <c r="L243" s="21" t="str">
        <f>VLOOKUP(A243,'Trips&amp;Operators'!$C$1:$G$99999,5,FALSE)</f>
        <v>DE LA ROSA ALEX</v>
      </c>
      <c r="M243" s="6">
        <f t="shared" si="97"/>
        <v>5.6481481515220366E-3</v>
      </c>
      <c r="N243" s="7">
        <f t="shared" si="113"/>
        <v>8.1333333381917328</v>
      </c>
      <c r="O243" s="7"/>
      <c r="P243" s="7"/>
      <c r="Q243" s="22"/>
      <c r="R243" s="173"/>
      <c r="S243" s="176">
        <f t="shared" si="114"/>
        <v>0</v>
      </c>
      <c r="T243" s="202" t="e">
        <f t="shared" si="100"/>
        <v>#VALUE!</v>
      </c>
      <c r="U243" s="202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203" t="str">
        <f t="shared" si="101"/>
        <v>https://d0f6bd738d7f1b3e5a7ca70fe4ff75f0.us-east-1.aws.found.io/app/kibana#/discover/Steve-Slow-Train-Analysis-(2080s-and-2083s)?_g=(refreshInterval:(display:Off,pause:!f,section:0,value:0),time:(from:'2017-06-10T03:32:56-0600',mode:absolute,to:'2017-06-10T05:45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43" s="204" t="str">
        <f t="shared" si="102"/>
        <v>Y</v>
      </c>
      <c r="X243" s="204" t="e">
        <f t="shared" si="103"/>
        <v>#VALUE!</v>
      </c>
      <c r="Y243" s="204">
        <f t="shared" si="94"/>
        <v>2.3157999999999999</v>
      </c>
      <c r="Z243" s="204">
        <f t="shared" si="95"/>
        <v>9.0499999999999997E-2</v>
      </c>
      <c r="AA243" s="204">
        <f t="shared" si="104"/>
        <v>2.2252999999999998</v>
      </c>
      <c r="AB243" s="57" t="e">
        <f>VLOOKUP(A243,Enforcements!$C$7:$K$13,8,0)</f>
        <v>#N/A</v>
      </c>
      <c r="AC243" s="53" t="e">
        <f>VLOOKUP(A243,Enforcements!$C$7:$E$13,3,0)</f>
        <v>#N/A</v>
      </c>
      <c r="AD243" s="54" t="str">
        <f t="shared" si="105"/>
        <v>86-10</v>
      </c>
      <c r="AE243" s="80" t="str">
        <f t="shared" si="106"/>
        <v>aws s3 cp s3://rtdc.mdm.uploadarchive.raw/RTDC4003/ "%USERPROFILE%\AppData\Local\Temp\OnboardLogs"\RTDC4003\2017-06-10 --exclude "*" --recursive --include "*20170610*" &amp; "%USERPROFILE%\Documents\GitHub\mrs-test-scripts\Headless Mode &amp; Sideloading\WalkAndUnGZ.bat" "%USERPROFILE%\AppData\Local\Temp\OnboardLogs"\RTDC4003\2017-06-10 &amp; aws s3 cp s3://rtdc.mdm.uploadarchive.raw/RTDC4003/ "%USERPROFILE%\AppData\Local\Temp\OnboardLogs"\RTDC4003\2017-06-11 --exclude "*" --recursive --include "*20170611*" &amp; "%USERPROFILE%\Documents\GitHub\mrs-test-scripts\Headless Mode &amp; Sideloading\WalkAndUnGZ.bat" "%USERPROFILE%\AppData\Local\Temp\OnboardLogs"\RTDC4003\2017-06-11</v>
      </c>
      <c r="AF243" s="77" t="str">
        <f t="shared" si="107"/>
        <v>"C:\Program Files (x86)\AstroGrep\AstroGrep.exe" /e /r /s /spath="%USERPROFILE%\AppData\Local\Temp\OnboardLogs" /stypes="app*4003*20170610*" /stext=" 10:.+((SYSTEM_STATE.+slice.+state.+changed )|(ment ac)|(multiple cpu faults)|(system.+state.+changed )|(\[timeout)|(PRM\|1\|D)|(kpr)|(kdp)|(train st.+moving)|(\|lc)|(penalty))"</v>
      </c>
      <c r="AG243" s="1" t="str">
        <f t="shared" si="108"/>
        <v>Other</v>
      </c>
      <c r="AH243" s="81" t="str">
        <f t="shared" si="109"/>
        <v>"%USERPROFILE%\Documents\GitHub\eaglep3\Utilities\RefineRTDCRunTimes.py" --tripid 86-10 --locoid 4003 --swversion DE.1.0.9.0 --startMP 300:23158 --initTime 2017-06-10T04:32:56 --startdatetime 2017-06-10T04:36:56 --delay 3 --endMP 204:905 --enddatetime 2017-06-10T04:45:04 --enforcementcount 0 &gt;&gt;C:\Users\stu\Documents\GitHub\eaglep3-reporting\EC\2017-06-10-refined-times.txt</v>
      </c>
      <c r="AI243" s="99" t="str">
        <f t="shared" si="110"/>
        <v>echo {"issue":{"subject":"","project_id":79,"tracker_id":40,"status_id":1,"priority_id":2,"assigned_to_id":23,"start_date":"2017-06-10","description":"","custom_fields":[{"id":1,"name":"Subdivision","value":"Other"},{"id":4,"name":"Milepost","value":"0.0905"},{"id":17,"name":"Train ID","value":"86-10"},{"id":16,"name":"Locomotive ID","value":"4003"},{"id":130,"name":"Impact","value":""},{"id":150,"name":"Time of Event (Mountain Time)","value":"04:45:04"},{"id":151,"name":"Denver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20"/>
      <c r="AK243" s="47"/>
      <c r="AL243" s="47"/>
      <c r="AM243" s="145" t="str">
        <f t="shared" si="111"/>
        <v>start /low /b %USERPROFILE%\Documents\GitHub\eaglep3\Utilities\DownloadLogsFromS3.py --loco 4003 --day 2017-06-10</v>
      </c>
      <c r="AN243" s="154" t="str">
        <f t="shared" si="112"/>
        <v>echo {"issue":{"subject":"","project_id":30,"tracker_id":4,"status_id":1,"priority_id":1,"assigned_to_id":10,"start_date":"2017-06-10","description":"","custom_fields":[{"id":30,"name":"Category","value":"Issue"},{"id":3,"name":"Functional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UTC","value":"2017-06-10 10:45:04"},{"id":29,"name":"Sharepoint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4" spans="1:40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40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40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40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40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40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40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40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40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40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40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40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40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  <row r="271" spans="1:3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  <c r="AM271"/>
    </row>
    <row r="272" spans="1:39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  <c r="AM272"/>
    </row>
    <row r="273" spans="1:39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H273"/>
      <c r="AI273"/>
      <c r="AM273"/>
    </row>
    <row r="274" spans="1:39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H274"/>
      <c r="AI274"/>
      <c r="AM274"/>
    </row>
    <row r="275" spans="1:39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H275"/>
      <c r="AI275"/>
      <c r="AM275"/>
    </row>
    <row r="276" spans="1:39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H276"/>
      <c r="AI276"/>
      <c r="AM276"/>
    </row>
    <row r="277" spans="1:39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H277"/>
      <c r="AI277"/>
      <c r="AM277"/>
    </row>
    <row r="278" spans="1:39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H278"/>
      <c r="AI278"/>
      <c r="AM278"/>
    </row>
    <row r="279" spans="1:39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H279"/>
      <c r="AI279"/>
      <c r="AM279"/>
    </row>
  </sheetData>
  <autoFilter ref="A12:AG276">
    <sortState ref="A13:AG275">
      <sortCondition ref="AG13:AG242"/>
      <sortCondition ref="AD13:AD242"/>
    </sortState>
  </autoFilter>
  <sortState ref="A13:AH200">
    <sortCondition ref="AG13:AG200"/>
    <sortCondition ref="AD13:AD200"/>
  </sortState>
  <mergeCells count="1">
    <mergeCell ref="A11:P11"/>
  </mergeCells>
  <conditionalFormatting sqref="W11:W12 W280:X1048576 W13:X243">
    <cfRule type="cellIs" dxfId="10" priority="415" operator="equal">
      <formula>"Y"</formula>
    </cfRule>
  </conditionalFormatting>
  <conditionalFormatting sqref="X280:X1048576 X13:X243">
    <cfRule type="cellIs" dxfId="9" priority="398" operator="greaterThan">
      <formula>1</formula>
    </cfRule>
  </conditionalFormatting>
  <conditionalFormatting sqref="X280:X1048576 X12:X243">
    <cfRule type="cellIs" dxfId="8" priority="395" operator="equal">
      <formula>0</formula>
    </cfRule>
  </conditionalFormatting>
  <conditionalFormatting sqref="A13:S243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A13:S243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AK13:AK243</xm:sqref>
        </x14:dataValidation>
        <x14:dataValidation type="list" allowBlank="1" showInputMessage="1" showErrorMessage="1">
          <x14:formula1>
            <xm:f>'Redmine List Values'!$C$2:$C$15</xm:f>
          </x14:formula1>
          <xm:sqref>AL13:AL243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76"/>
  <sheetViews>
    <sheetView tabSelected="1" topLeftCell="A11" zoomScaleNormal="100" workbookViewId="0">
      <selection activeCell="P22" sqref="P2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6" customWidth="1"/>
    <col min="5" max="5" width="13.140625" style="116" customWidth="1"/>
    <col min="6" max="6" width="5.7109375" style="116" customWidth="1"/>
    <col min="7" max="7" width="5.85546875" style="116" customWidth="1"/>
    <col min="8" max="8" width="7.85546875" style="116" customWidth="1"/>
    <col min="9" max="9" width="9" style="116" customWidth="1"/>
    <col min="10" max="10" width="11.5703125" style="116" hidden="1" customWidth="1"/>
    <col min="11" max="11" width="9.140625" style="116" customWidth="1"/>
    <col min="12" max="12" width="4.85546875" style="116" customWidth="1"/>
    <col min="13" max="13" width="7.85546875" style="2" customWidth="1"/>
    <col min="14" max="14" width="14.28515625" style="115" customWidth="1"/>
    <col min="15" max="15" width="4.42578125" style="179" customWidth="1"/>
    <col min="16" max="16" width="30.42578125" style="116" customWidth="1"/>
    <col min="17" max="17" width="5" hidden="1" customWidth="1"/>
    <col min="18" max="18" width="5.5703125" style="78" customWidth="1"/>
    <col min="19" max="19" width="5.5703125" style="85" customWidth="1"/>
    <col min="20" max="20" width="6" style="75" customWidth="1"/>
    <col min="21" max="21" width="5.140625" customWidth="1"/>
    <col min="22" max="22" width="18.5703125" style="43" customWidth="1"/>
    <col min="23" max="23" width="5.28515625" customWidth="1"/>
    <col min="24" max="24" width="6.7109375" hidden="1" customWidth="1"/>
    <col min="25" max="25" width="5" customWidth="1"/>
    <col min="26" max="26" width="5" style="160" customWidth="1"/>
    <col min="27" max="27" width="5.28515625" customWidth="1"/>
    <col min="28" max="28" width="5.5703125" customWidth="1"/>
    <col min="29" max="29" width="5.28515625" style="118" customWidth="1"/>
    <col min="30" max="30" width="6.7109375" customWidth="1"/>
    <col min="31" max="31" width="9.140625" style="145"/>
  </cols>
  <sheetData>
    <row r="1" spans="1:32" s="20" customFormat="1" ht="15.75" hidden="1" thickBot="1" x14ac:dyDescent="0.3">
      <c r="A1" s="8"/>
      <c r="D1" s="116"/>
      <c r="E1" s="116"/>
      <c r="F1" s="116"/>
      <c r="G1" s="116"/>
      <c r="H1" s="116"/>
      <c r="I1" s="116"/>
      <c r="J1" s="116"/>
      <c r="K1" s="116"/>
      <c r="L1" s="116"/>
      <c r="M1" s="2"/>
      <c r="N1" s="115"/>
      <c r="O1" s="179"/>
      <c r="P1" s="116"/>
      <c r="R1" s="78"/>
      <c r="S1" s="85"/>
      <c r="T1" s="75"/>
      <c r="V1" s="43"/>
      <c r="Z1" s="160"/>
      <c r="AC1" s="118"/>
      <c r="AE1" s="145"/>
    </row>
    <row r="2" spans="1:32" s="20" customFormat="1" x14ac:dyDescent="0.25">
      <c r="A2" s="8"/>
      <c r="D2" s="116"/>
      <c r="E2" s="116"/>
      <c r="F2" s="116"/>
      <c r="G2" s="116"/>
      <c r="H2" s="116"/>
      <c r="I2" s="116"/>
      <c r="J2" s="116"/>
      <c r="K2" s="116"/>
      <c r="L2" s="127" t="s">
        <v>80</v>
      </c>
      <c r="M2" s="111"/>
      <c r="N2" s="128"/>
      <c r="O2" s="207">
        <f>COUNTIF($O$7:$O$278,"=Y")</f>
        <v>9</v>
      </c>
      <c r="P2" s="113"/>
      <c r="R2" s="78"/>
      <c r="S2" s="85"/>
      <c r="T2" s="75"/>
      <c r="V2" s="43"/>
      <c r="Z2" s="160"/>
      <c r="AC2" s="119"/>
      <c r="AE2" s="145"/>
    </row>
    <row r="3" spans="1:32" s="20" customFormat="1" ht="15.75" thickBot="1" x14ac:dyDescent="0.3">
      <c r="A3" s="8"/>
      <c r="D3" s="116"/>
      <c r="E3" s="116"/>
      <c r="F3" s="116"/>
      <c r="G3" s="116"/>
      <c r="H3" s="116"/>
      <c r="I3" s="116"/>
      <c r="J3" s="116"/>
      <c r="K3" s="116"/>
      <c r="L3" s="129" t="s">
        <v>81</v>
      </c>
      <c r="M3" s="112"/>
      <c r="N3" s="130"/>
      <c r="O3" s="208">
        <f>COUNTA($O$7:$O$278)-O2</f>
        <v>34</v>
      </c>
      <c r="P3" s="113"/>
      <c r="R3" s="78"/>
      <c r="S3" s="85"/>
      <c r="T3" s="75"/>
      <c r="V3" s="43"/>
      <c r="Z3" s="160"/>
      <c r="AC3" s="119"/>
      <c r="AE3" s="145"/>
    </row>
    <row r="4" spans="1:32" s="20" customFormat="1" x14ac:dyDescent="0.25">
      <c r="A4" s="8"/>
      <c r="D4" s="116"/>
      <c r="E4" s="116"/>
      <c r="F4" s="116"/>
      <c r="G4" s="116"/>
      <c r="H4" s="116"/>
      <c r="I4" s="116"/>
      <c r="J4" s="116"/>
      <c r="K4" s="116"/>
      <c r="L4" s="116"/>
      <c r="M4" s="2"/>
      <c r="N4" s="115"/>
      <c r="O4" s="179"/>
      <c r="P4" s="116"/>
      <c r="R4" s="78"/>
      <c r="S4" s="85"/>
      <c r="T4" s="75"/>
      <c r="V4" s="43"/>
      <c r="Z4" s="160"/>
      <c r="AC4" s="119"/>
      <c r="AE4" s="145"/>
    </row>
    <row r="5" spans="1:32" s="10" customFormat="1" ht="15" customHeight="1" x14ac:dyDescent="0.25">
      <c r="A5" s="211" t="str">
        <f>"Eagle P3 Braking Events - "&amp;TEXT(Variables!$A$2,"YYYY-mm-dd")</f>
        <v>Eagle P3 Braking Events - 2017-06-10</v>
      </c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  <c r="O5" s="211"/>
      <c r="P5" s="131"/>
      <c r="R5" s="83"/>
      <c r="S5" s="86"/>
      <c r="T5" s="88"/>
      <c r="V5" s="44"/>
      <c r="AC5" s="120"/>
      <c r="AE5" s="147"/>
    </row>
    <row r="6" spans="1:32" s="110" customFormat="1" ht="69.75" customHeight="1" x14ac:dyDescent="0.2">
      <c r="A6" s="100" t="s">
        <v>38</v>
      </c>
      <c r="B6" s="101" t="s">
        <v>37</v>
      </c>
      <c r="C6" s="101" t="s">
        <v>36</v>
      </c>
      <c r="D6" s="117" t="s">
        <v>35</v>
      </c>
      <c r="E6" s="117" t="s">
        <v>34</v>
      </c>
      <c r="F6" s="117" t="s">
        <v>33</v>
      </c>
      <c r="G6" s="117" t="s">
        <v>32</v>
      </c>
      <c r="H6" s="117" t="s">
        <v>31</v>
      </c>
      <c r="I6" s="117" t="s">
        <v>151</v>
      </c>
      <c r="J6" s="117" t="s">
        <v>30</v>
      </c>
      <c r="K6" s="117" t="s">
        <v>29</v>
      </c>
      <c r="L6" s="117" t="s">
        <v>28</v>
      </c>
      <c r="M6" s="102" t="s">
        <v>152</v>
      </c>
      <c r="N6" s="132" t="s">
        <v>47</v>
      </c>
      <c r="O6" s="209" t="s">
        <v>27</v>
      </c>
      <c r="P6" s="117" t="s">
        <v>24</v>
      </c>
      <c r="Q6" s="103"/>
      <c r="R6" s="104" t="s">
        <v>89</v>
      </c>
      <c r="S6" s="105" t="s">
        <v>55</v>
      </c>
      <c r="T6" s="106" t="s">
        <v>88</v>
      </c>
      <c r="U6" s="101" t="s">
        <v>83</v>
      </c>
      <c r="V6" s="107" t="s">
        <v>84</v>
      </c>
      <c r="W6" s="103" t="s">
        <v>96</v>
      </c>
      <c r="X6" s="103" t="s">
        <v>97</v>
      </c>
      <c r="Y6" s="108" t="s">
        <v>145</v>
      </c>
      <c r="Z6" s="161" t="s">
        <v>146</v>
      </c>
      <c r="AA6" s="109" t="s">
        <v>119</v>
      </c>
      <c r="AB6" s="109" t="s">
        <v>147</v>
      </c>
      <c r="AC6" s="121" t="s">
        <v>171</v>
      </c>
      <c r="AD6" s="110" t="s">
        <v>188</v>
      </c>
      <c r="AE6" s="146" t="s">
        <v>197</v>
      </c>
    </row>
    <row r="7" spans="1:32" s="1" customFormat="1" x14ac:dyDescent="0.25">
      <c r="A7" s="31">
        <v>42896.723483796297</v>
      </c>
      <c r="B7" s="30" t="s">
        <v>493</v>
      </c>
      <c r="C7" s="30" t="s">
        <v>602</v>
      </c>
      <c r="D7" s="30" t="s">
        <v>49</v>
      </c>
      <c r="E7" s="30" t="s">
        <v>189</v>
      </c>
      <c r="F7" s="42">
        <v>0</v>
      </c>
      <c r="G7" s="42">
        <v>210</v>
      </c>
      <c r="H7" s="42">
        <v>26811</v>
      </c>
      <c r="I7" s="42">
        <v>27069</v>
      </c>
      <c r="J7" s="30" t="s">
        <v>190</v>
      </c>
      <c r="K7" s="42">
        <v>27053</v>
      </c>
      <c r="L7" s="134" t="s">
        <v>50</v>
      </c>
      <c r="M7" s="135">
        <f t="shared" ref="M7:M49" si="0">CONVERT((I7-K7)/10000,"mi","ft")*IF(L7="Increasing Mileposts (1)",-1,1)</f>
        <v>-8.4480000000000004</v>
      </c>
      <c r="N7" s="136" t="str">
        <f>VLOOKUP(C7,'Trips&amp;Operators'!$C$1:$G$99999,5,FALSE)</f>
        <v>YORK EDGAR</v>
      </c>
      <c r="O7" s="210" t="s">
        <v>182</v>
      </c>
      <c r="P7" s="137" t="s">
        <v>402</v>
      </c>
      <c r="Q7" s="30"/>
      <c r="R7" s="84" t="str">
        <f>VLOOKUP(C7,'Train Runs'!$A$13:$AE$9935,31,0)</f>
        <v>aws s3 cp s3://rtdc.mdm.uploadarchive.raw/RTDC4004/ "%USERPROFILE%\AppData\Local\Temp\OnboardLogs"\RTDC4004\2017-06-10 --exclude "*" --recursive --include "*20170610*" &amp; "%USERPROFILE%\Documents\GitHub\mrs-test-scripts\Headless Mode &amp; Sideloading\WalkAndUnGZ.bat" "%USERPROFILE%\AppData\Local\Temp\OnboardLogs"\RTDC4004\2017-06-10 &amp; aws s3 cp s3://rtdc.mdm.uploadarchive.raw/RTDC4004/ "%USERPROFILE%\AppData\Local\Temp\OnboardLogs"\RTDC4004\2017-06-11 --exclude "*" --recursive --include "*20170611*" &amp; "%USERPROFILE%\Documents\GitHub\mrs-test-scripts\Headless Mode &amp; Sideloading\WalkAndUnGZ.bat" "%USERPROFILE%\AppData\Local\Temp\OnboardLogs"\RTDC4004\2017-06-11</v>
      </c>
      <c r="S7" s="87" t="str">
        <f>VLOOKUP(C7,'Train Runs'!$A$13:$AE$9935,22,0)</f>
        <v>https://d0f6bd738d7f1b3e5a7ca70fe4ff75f0.us-east-1.aws.found.io/app/kibana#/discover/Steve-Slow-Train-Analysis-(2080s-and-2083s)?_g=(refreshInterval:(display:Off,pause:!f,section:0,value:0),time:(from:'2017-06-10T16:08:44-0600',mode:absolute,to:'2017-06-10T18:50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7" s="89" t="str">
        <f t="shared" ref="T7:T49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/stypes="*4004*201706102*" /stext=" 23:.+((SYSTEM_STATE.+slice.+state.+changed )|(ment ac)|(multiple cpu faults)|(system.+state.+changed )|(\[timeout)|(PRM\|1\|D)|(kpr)|(kdp)|(train st.+moving)|(\|lc)|(penalty))"</v>
      </c>
      <c r="U7" s="9" t="str">
        <f t="shared" ref="U7:U49" si="2">MID(B7,13,4)</f>
        <v>4004</v>
      </c>
      <c r="V7" s="31">
        <f t="shared" ref="V7:V49" si="3">A7-utc_offset/24</f>
        <v>42896.973483796297</v>
      </c>
      <c r="W7" s="45" t="str">
        <f t="shared" ref="W7:W49" si="4">IFERROR(IF(VALUE(LEFT(IF(LEN(C7)=6,"0"&amp;C7,C7),2))&lt;=2,"EC",IF(OR(VALUE(LEFT(IF(LEN(C7)=6,"0"&amp;C7,C7),2))=8,VALUE(LEFT(IF(LEN(C7)=6,"0"&amp;C7,C7),2))=18),"NW","Other")),"Other")</f>
        <v>EC</v>
      </c>
      <c r="X7" s="45" t="str">
        <f t="shared" ref="X7:X49" si="5">IF(AND(E7="TRACK WARRANT AUTHORITY",G7&lt;10),"OMIT","KEEP")</f>
        <v>KEEP</v>
      </c>
      <c r="Y7" s="99" t="str">
        <f t="shared" ref="Y7:Y49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arrival","project_id":79,"tracker_id":40,"status_id":1,"priority_id":2,"assigned_to_id":23,"start_date":"2017-06-10","description":"","custom_fields":[{"id":1,"name":"Subdivision","value":"EC"},{"id":4,"name":"Milepost","value":"2.7053"},{"id":17,"name":"Train ID","value":"209-10"},{"id":16,"name":"Locomotive ID","value":"4004"},{"id":130,"name":"Impact","value":""},{"id":150,"name":"Time of Event (Mountain Time)","value":"17:21:49"},{"id":151,"name":"Denver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62"/>
      <c r="AA7" s="47"/>
      <c r="AB7" s="47"/>
      <c r="AC7" s="118" t="str">
        <f t="shared" ref="AC7:AC49" si="7">"grep -hrE -A400 ""Enforcement Action"" "&amp;"/cygdrive/c/Users/stu/AppData/Local/Temp/OnboardLogs"&amp;"/RTDC"&amp;U7&amp;"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/cygdrive/c/Users/stu/AppData/Local/Temp/OnboardLogs/RTDC4004 --include="*4004*201706102*"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"%USERPROFILE%\AppData\Local\Temp\OnboardLogs"\RTDC4004\*4004*201706102* &gt;&gt; 2017-06-10-SliceDisagreementCheck.txt</v>
      </c>
      <c r="AE7" s="148" t="str">
        <f t="shared" ref="AE7" si="8">"start /low /b "&amp;dls3logs&amp;" --loco "&amp;U7&amp;" --day "&amp;TEXT(V7,"YYYY-MM-DD")</f>
        <v>start /low /b %USERPROFILE%\Documents\GitHub\eaglep3\Utilities\DownloadLogsFromS3.py --loco 4004 --day 2017-06-10</v>
      </c>
    </row>
    <row r="8" spans="1:32" s="1" customFormat="1" x14ac:dyDescent="0.25">
      <c r="A8" s="31">
        <v>42896.838993055557</v>
      </c>
      <c r="B8" s="30" t="s">
        <v>343</v>
      </c>
      <c r="C8" s="30" t="s">
        <v>604</v>
      </c>
      <c r="D8" s="30" t="s">
        <v>98</v>
      </c>
      <c r="E8" s="30" t="s">
        <v>189</v>
      </c>
      <c r="F8" s="42">
        <v>190</v>
      </c>
      <c r="G8" s="42">
        <v>249</v>
      </c>
      <c r="H8" s="42">
        <v>30976</v>
      </c>
      <c r="I8" s="42">
        <v>31543</v>
      </c>
      <c r="J8" s="30" t="s">
        <v>190</v>
      </c>
      <c r="K8" s="42">
        <v>30830</v>
      </c>
      <c r="L8" s="134" t="s">
        <v>50</v>
      </c>
      <c r="M8" s="135">
        <f t="shared" si="0"/>
        <v>-376.464</v>
      </c>
      <c r="N8" s="136" t="str">
        <f>VLOOKUP(C8,'Trips&amp;Operators'!$C$1:$G$99999,5,FALSE)</f>
        <v>MAGEE KENYA</v>
      </c>
      <c r="O8" s="210" t="s">
        <v>182</v>
      </c>
      <c r="P8" s="137" t="s">
        <v>402</v>
      </c>
      <c r="Q8" s="30"/>
      <c r="R8" s="84" t="str">
        <f>VLOOKUP(C8,'Train Runs'!$A$13:$AE$9935,31,0)</f>
        <v>aws s3 cp s3://rtdc.mdm.uploadarchive.raw/RTDC4022/ "%USERPROFILE%\AppData\Local\Temp\OnboardLogs"\RTDC4022\2017-06-10 --exclude "*" --recursive --include "*20170610*" &amp; "%USERPROFILE%\Documents\GitHub\mrs-test-scripts\Headless Mode &amp; Sideloading\WalkAndUnGZ.bat" "%USERPROFILE%\AppData\Local\Temp\OnboardLogs"\RTDC4022\2017-06-10 &amp; aws s3 cp s3://rtdc.mdm.uploadarchive.raw/RTDC4022/ "%USERPROFILE%\AppData\Local\Temp\OnboardLogs"\RTDC4022\2017-06-11 --exclude "*" --recursive --include "*20170611*" &amp; "%USERPROFILE%\Documents\GitHub\mrs-test-scripts\Headless Mode &amp; Sideloading\WalkAndUnGZ.bat" "%USERPROFILE%\AppData\Local\Temp\OnboardLogs"\RTDC4022\2017-06-11</v>
      </c>
      <c r="S8" s="87" t="str">
        <f>VLOOKUP(C8,'Train Runs'!$A$13:$AE$9935,22,0)</f>
        <v>https://d0f6bd738d7f1b3e5a7ca70fe4ff75f0.us-east-1.aws.found.io/app/kibana#/discover/Steve-Slow-Train-Analysis-(2080s-and-2083s)?_g=(refreshInterval:(display:Off,pause:!f,section:0,value:0),time:(from:'2017-06-10T18:55:35-0600',mode:absolute,to:'2017-06-10T21:36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8" s="89" t="str">
        <f t="shared" si="1"/>
        <v>"C:\Program Files (x86)\AstroGrep\AstroGrep.exe" /e /r /s /spath="%USERPROFILE%\AppData\Local\Temp\OnboardLogs" /stypes="*4022*201706110*" /stext=" 02:.+((SYSTEM_STATE.+slice.+state.+changed )|(ment ac)|(multiple cpu faults)|(system.+state.+changed )|(\[timeout)|(PRM\|1\|D)|(kpr)|(kdp)|(train st.+moving)|(\|lc)|(penalty))"</v>
      </c>
      <c r="U8" s="9" t="str">
        <f t="shared" si="2"/>
        <v>4022</v>
      </c>
      <c r="V8" s="31">
        <f t="shared" si="3"/>
        <v>42897.088993055557</v>
      </c>
      <c r="W8" s="45" t="str">
        <f t="shared" si="4"/>
        <v>EC</v>
      </c>
      <c r="X8" s="45" t="str">
        <f t="shared" si="5"/>
        <v>KEEP</v>
      </c>
      <c r="Y8" s="99" t="str">
        <f t="shared" si="6"/>
        <v>echo {"issue":{"subject":"Early arrival","project_id":79,"tracker_id":40,"status_id":1,"priority_id":2,"assigned_to_id":23,"start_date":"2017-06-10","description":"","custom_fields":[{"id":1,"name":"Subdivision","value":"EC"},{"id":4,"name":"Milepost","value":"3.083"},{"id":17,"name":"Train ID","value":"225-10"},{"id":16,"name":"Locomotive ID","value":"4022"},{"id":130,"name":"Impact","value":""},{"id":150,"name":"Time of Event (Mountain Time)","value":"20:08:09"},{"id":151,"name":"Denver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62"/>
      <c r="AA8" s="47"/>
      <c r="AB8" s="47"/>
      <c r="AC8" s="118" t="str">
        <f t="shared" si="7"/>
        <v>grep -hrE -A400 "Enforcement Action" /cygdrive/c/Users/stu/AppData/Local/Temp/OnboardLogs/RTDC4022 --include="*4022*201706110*"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"%USERPROFILE%\AppData\Local\Temp\OnboardLogs"\RTDC4022\*4022*201706110* &gt;&gt; 2017-06-10-SliceDisagreementCheck.txt</v>
      </c>
      <c r="AE8" s="148" t="str">
        <f t="shared" ref="AE8:AE49" si="9">"start /low /b "&amp;dls3logs&amp;" --loco "&amp;U8&amp;" --day "&amp;TEXT(V8,"YYYY-MM-DD")</f>
        <v>start /low /b %USERPROFILE%\Documents\GitHub\eaglep3\Utilities\DownloadLogsFromS3.py --loco 4022 --day 2017-06-11</v>
      </c>
    </row>
    <row r="9" spans="1:32" s="1" customFormat="1" x14ac:dyDescent="0.25">
      <c r="A9" s="31">
        <v>42896.549675925926</v>
      </c>
      <c r="B9" s="30" t="s">
        <v>503</v>
      </c>
      <c r="C9" s="30" t="s">
        <v>588</v>
      </c>
      <c r="D9" s="30" t="s">
        <v>49</v>
      </c>
      <c r="E9" s="30" t="s">
        <v>189</v>
      </c>
      <c r="F9" s="42">
        <v>160</v>
      </c>
      <c r="G9" s="42">
        <v>234</v>
      </c>
      <c r="H9" s="42">
        <v>31353</v>
      </c>
      <c r="I9" s="42">
        <v>30967</v>
      </c>
      <c r="J9" s="30" t="s">
        <v>190</v>
      </c>
      <c r="K9" s="42">
        <v>30970</v>
      </c>
      <c r="L9" s="134" t="s">
        <v>51</v>
      </c>
      <c r="M9" s="135">
        <f t="shared" si="0"/>
        <v>-1.5840000000000001</v>
      </c>
      <c r="N9" s="136" t="str">
        <f>VLOOKUP(C9,'Trips&amp;Operators'!$C$1:$G$99999,5,FALSE)</f>
        <v>BRUDER RICHARD</v>
      </c>
      <c r="O9" s="210" t="s">
        <v>182</v>
      </c>
      <c r="P9" s="137" t="s">
        <v>402</v>
      </c>
      <c r="Q9" s="30"/>
      <c r="R9" s="84" t="str">
        <f>VLOOKUP(C9,'Train Runs'!$A$13:$AE$9935,31,0)</f>
        <v>aws s3 cp s3://rtdc.mdm.uploadarchive.raw/RTDC4031/ "%USERPROFILE%\AppData\Local\Temp\OnboardLogs"\RTDC4031\2017-06-10 --exclude "*" --recursive --include "*20170610*" &amp; "%USERPROFILE%\Documents\GitHub\mrs-test-scripts\Headless Mode &amp; Sideloading\WalkAndUnGZ.bat" "%USERPROFILE%\AppData\Local\Temp\OnboardLogs"\RTDC4031\2017-06-10 &amp; aws s3 cp s3://rtdc.mdm.uploadarchive.raw/RTDC4031/ "%USERPROFILE%\AppData\Local\Temp\OnboardLogs"\RTDC4031\2017-06-11 --exclude "*" --recursive --include "*20170611*" &amp; "%USERPROFILE%\Documents\GitHub\mrs-test-scripts\Headless Mode &amp; Sideloading\WalkAndUnGZ.bat" "%USERPROFILE%\AppData\Local\Temp\OnboardLogs"\RTDC4031\2017-06-11</v>
      </c>
      <c r="S9" s="87" t="str">
        <f>VLOOKUP(C9,'Train Runs'!$A$13:$AE$9935,22,0)</f>
        <v>https://d0f6bd738d7f1b3e5a7ca70fe4ff75f0.us-east-1.aws.found.io/app/kibana#/discover/Steve-Slow-Train-Analysis-(2080s-and-2083s)?_g=(refreshInterval:(display:Off,pause:!f,section:0,value:0),time:(from:'2017-06-10T11:37:49-0600',mode:absolute,to:'2017-06-10T14:20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9" s="89" t="str">
        <f t="shared" si="1"/>
        <v>"C:\Program Files (x86)\AstroGrep\AstroGrep.exe" /e /r /s /spath="%USERPROFILE%\AppData\Local\Temp\OnboardLogs" /stypes="*4031*201706101*" /stext=" 19:.+((SYSTEM_STATE.+slice.+state.+changed )|(ment ac)|(multiple cpu faults)|(system.+state.+changed )|(\[timeout)|(PRM\|1\|D)|(kpr)|(kdp)|(train st.+moving)|(\|lc)|(penalty))"</v>
      </c>
      <c r="U9" s="9" t="str">
        <f t="shared" si="2"/>
        <v>4031</v>
      </c>
      <c r="V9" s="31">
        <f t="shared" si="3"/>
        <v>42896.799675925926</v>
      </c>
      <c r="W9" s="45" t="str">
        <f t="shared" si="4"/>
        <v>EC</v>
      </c>
      <c r="X9" s="45" t="str">
        <f t="shared" si="5"/>
        <v>KEEP</v>
      </c>
      <c r="Y9" s="99" t="str">
        <f t="shared" si="6"/>
        <v>echo {"issue":{"subject":"Early arrival","project_id":79,"tracker_id":40,"status_id":1,"priority_id":2,"assigned_to_id":23,"start_date":"2017-06-10","description":"","custom_fields":[{"id":1,"name":"Subdivision","value":"EC"},{"id":4,"name":"Milepost","value":"3.097"},{"id":17,"name":"Train ID","value":"166-10"},{"id":16,"name":"Locomotive ID","value":"4031"},{"id":130,"name":"Impact","value":""},{"id":150,"name":"Time of Event (Mountain Time)","value":"13:11:32"},{"id":151,"name":"Denver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62"/>
      <c r="AA9" s="47"/>
      <c r="AB9" s="47"/>
      <c r="AC9" s="118" t="str">
        <f t="shared" si="7"/>
        <v>grep -hrE -A400 "Enforcement Action" /cygdrive/c/Users/stu/AppData/Local/Temp/OnboardLogs/RTDC4031 --include="*4031*201706101*"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"%USERPROFILE%\AppData\Local\Temp\OnboardLogs"\RTDC4031\*4031*201706101* &gt;&gt; 2017-06-10-SliceDisagreementCheck.txt</v>
      </c>
      <c r="AE9" s="148" t="str">
        <f t="shared" si="9"/>
        <v>start /low /b %USERPROFILE%\Documents\GitHub\eaglep3\Utilities\DownloadLogsFromS3.py --loco 4031 --day 2017-06-10</v>
      </c>
    </row>
    <row r="10" spans="1:32" s="1" customFormat="1" x14ac:dyDescent="0.25">
      <c r="A10" s="31">
        <v>42896.725081018521</v>
      </c>
      <c r="B10" s="30" t="s">
        <v>493</v>
      </c>
      <c r="C10" s="30" t="s">
        <v>602</v>
      </c>
      <c r="D10" s="30" t="s">
        <v>49</v>
      </c>
      <c r="E10" s="30" t="s">
        <v>189</v>
      </c>
      <c r="F10" s="42">
        <v>350</v>
      </c>
      <c r="G10" s="42">
        <v>400</v>
      </c>
      <c r="H10" s="42">
        <v>32801</v>
      </c>
      <c r="I10" s="42">
        <v>33755</v>
      </c>
      <c r="J10" s="30" t="s">
        <v>190</v>
      </c>
      <c r="K10" s="42">
        <v>33137</v>
      </c>
      <c r="L10" s="134" t="s">
        <v>50</v>
      </c>
      <c r="M10" s="135">
        <f t="shared" si="0"/>
        <v>-326.30399999999997</v>
      </c>
      <c r="N10" s="136" t="str">
        <f>VLOOKUP(C10,'Trips&amp;Operators'!$C$1:$G$99999,5,FALSE)</f>
        <v>YORK EDGAR</v>
      </c>
      <c r="O10" s="210" t="s">
        <v>182</v>
      </c>
      <c r="P10" s="137" t="s">
        <v>402</v>
      </c>
      <c r="Q10" s="30"/>
      <c r="R10" s="84" t="str">
        <f>VLOOKUP(C10,'Train Runs'!$A$13:$AE$9935,31,0)</f>
        <v>aws s3 cp s3://rtdc.mdm.uploadarchive.raw/RTDC4004/ "%USERPROFILE%\AppData\Local\Temp\OnboardLogs"\RTDC4004\2017-06-10 --exclude "*" --recursive --include "*20170610*" &amp; "%USERPROFILE%\Documents\GitHub\mrs-test-scripts\Headless Mode &amp; Sideloading\WalkAndUnGZ.bat" "%USERPROFILE%\AppData\Local\Temp\OnboardLogs"\RTDC4004\2017-06-10 &amp; aws s3 cp s3://rtdc.mdm.uploadarchive.raw/RTDC4004/ "%USERPROFILE%\AppData\Local\Temp\OnboardLogs"\RTDC4004\2017-06-11 --exclude "*" --recursive --include "*20170611*" &amp; "%USERPROFILE%\Documents\GitHub\mrs-test-scripts\Headless Mode &amp; Sideloading\WalkAndUnGZ.bat" "%USERPROFILE%\AppData\Local\Temp\OnboardLogs"\RTDC4004\2017-06-11</v>
      </c>
      <c r="S10" s="87" t="str">
        <f>VLOOKUP(C10,'Train Runs'!$A$13:$AE$9935,22,0)</f>
        <v>https://d0f6bd738d7f1b3e5a7ca70fe4ff75f0.us-east-1.aws.found.io/app/kibana#/discover/Steve-Slow-Train-Analysis-(2080s-and-2083s)?_g=(refreshInterval:(display:Off,pause:!f,section:0,value:0),time:(from:'2017-06-10T16:08:44-0600',mode:absolute,to:'2017-06-10T18:50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10" s="89" t="str">
        <f t="shared" si="1"/>
        <v>"C:\Program Files (x86)\AstroGrep\AstroGrep.exe" /e /r /s /spath="%USERPROFILE%\AppData\Local\Temp\OnboardLogs" /stypes="*4004*201706102*" /stext=" 23:.+((SYSTEM_STATE.+slice.+state.+changed )|(ment ac)|(multiple cpu faults)|(system.+state.+changed )|(\[timeout)|(PRM\|1\|D)|(kpr)|(kdp)|(train st.+moving)|(\|lc)|(penalty))"</v>
      </c>
      <c r="U10" s="9" t="str">
        <f t="shared" si="2"/>
        <v>4004</v>
      </c>
      <c r="V10" s="31">
        <f t="shared" si="3"/>
        <v>42896.975081018521</v>
      </c>
      <c r="W10" s="45" t="str">
        <f t="shared" si="4"/>
        <v>EC</v>
      </c>
      <c r="X10" s="45" t="str">
        <f t="shared" si="5"/>
        <v>KEEP</v>
      </c>
      <c r="Y10" s="99" t="str">
        <f t="shared" si="6"/>
        <v>echo {"issue":{"subject":"Early arrival","project_id":79,"tracker_id":40,"status_id":1,"priority_id":2,"assigned_to_id":23,"start_date":"2017-06-10","description":"","custom_fields":[{"id":1,"name":"Subdivision","value":"EC"},{"id":4,"name":"Milepost","value":"3.3137"},{"id":17,"name":"Train ID","value":"209-10"},{"id":16,"name":"Locomotive ID","value":"4004"},{"id":130,"name":"Impact","value":""},{"id":150,"name":"Time of Event (Mountain Time)","value":"17:24:07"},{"id":151,"name":"Denver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62"/>
      <c r="AA10" s="47"/>
      <c r="AB10" s="47"/>
      <c r="AC10" s="118" t="str">
        <f t="shared" si="7"/>
        <v>grep -hrE -A400 "Enforcement Action" /cygdrive/c/Users/stu/AppData/Local/Temp/OnboardLogs/RTDC4004 --include="*4004*201706102*"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"%USERPROFILE%\AppData\Local\Temp\OnboardLogs"\RTDC4004\*4004*201706102* &gt;&gt; 2017-06-10-SliceDisagreementCheck.txt</v>
      </c>
      <c r="AE10" s="148" t="str">
        <f t="shared" si="9"/>
        <v>start /low /b %USERPROFILE%\Documents\GitHub\eaglep3\Utilities\DownloadLogsFromS3.py --loco 4004 --day 2017-06-10</v>
      </c>
    </row>
    <row r="11" spans="1:32" s="1" customFormat="1" x14ac:dyDescent="0.25">
      <c r="A11" s="31">
        <v>42896.86278935185</v>
      </c>
      <c r="B11" s="30" t="s">
        <v>341</v>
      </c>
      <c r="C11" s="30" t="s">
        <v>605</v>
      </c>
      <c r="D11" s="30" t="s">
        <v>49</v>
      </c>
      <c r="E11" s="30" t="s">
        <v>189</v>
      </c>
      <c r="F11" s="42">
        <v>0</v>
      </c>
      <c r="G11" s="42">
        <v>429</v>
      </c>
      <c r="H11" s="42">
        <v>47591</v>
      </c>
      <c r="I11" s="42">
        <v>48448</v>
      </c>
      <c r="J11" s="30" t="s">
        <v>190</v>
      </c>
      <c r="K11" s="42">
        <v>47866</v>
      </c>
      <c r="L11" s="134" t="s">
        <v>50</v>
      </c>
      <c r="M11" s="135">
        <f t="shared" si="0"/>
        <v>-307.29599999999999</v>
      </c>
      <c r="N11" s="136" t="str">
        <f>VLOOKUP(C11,'Trips&amp;Operators'!$C$1:$G$99999,5,FALSE)</f>
        <v>FORTUNATO FRANK</v>
      </c>
      <c r="O11" s="210" t="s">
        <v>182</v>
      </c>
      <c r="P11" s="137" t="s">
        <v>402</v>
      </c>
      <c r="Q11" s="30"/>
      <c r="R11" s="84" t="str">
        <f>VLOOKUP(C11,'Train Runs'!$A$13:$AE$9935,31,0)</f>
        <v>aws s3 cp s3://rtdc.mdm.uploadarchive.raw/RTDC4028/ "%USERPROFILE%\AppData\Local\Temp\OnboardLogs"\RTDC4028\2017-06-10 --exclude "*" --recursive --include "*20170610*" &amp; "%USERPROFILE%\Documents\GitHub\mrs-test-scripts\Headless Mode &amp; Sideloading\WalkAndUnGZ.bat" "%USERPROFILE%\AppData\Local\Temp\OnboardLogs"\RTDC4028\2017-06-10 &amp; aws s3 cp s3://rtdc.mdm.uploadarchive.raw/RTDC4028/ "%USERPROFILE%\AppData\Local\Temp\OnboardLogs"\RTDC4028\2017-06-11 --exclude "*" --recursive --include "*20170611*" &amp; "%USERPROFILE%\Documents\GitHub\mrs-test-scripts\Headless Mode &amp; Sideloading\WalkAndUnGZ.bat" "%USERPROFILE%\AppData\Local\Temp\OnboardLogs"\RTDC4028\2017-06-11</v>
      </c>
      <c r="S11" s="87" t="str">
        <f>VLOOKUP(C11,'Train Runs'!$A$13:$AE$9935,22,0)</f>
        <v>https://d0f6bd738d7f1b3e5a7ca70fe4ff75f0.us-east-1.aws.found.io/app/kibana#/discover/Steve-Slow-Train-Analysis-(2080s-and-2083s)?_g=(refreshInterval:(display:Off,pause:!f,section:0,value:0),time:(from:'2017-06-10T19:12:09-0600',mode:absolute,to:'2017-06-10T22:07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1" s="89" t="str">
        <f t="shared" si="1"/>
        <v>"C:\Program Files (x86)\AstroGrep\AstroGrep.exe" /e /r /s /spath="%USERPROFILE%\AppData\Local\Temp\OnboardLogs" /stypes="*4028*201706110*" /stext=" 02:.+((SYSTEM_STATE.+slice.+state.+changed )|(ment ac)|(multiple cpu faults)|(system.+state.+changed )|(\[timeout)|(PRM\|1\|D)|(kpr)|(kdp)|(train st.+moving)|(\|lc)|(penalty))"</v>
      </c>
      <c r="U11" s="9" t="str">
        <f t="shared" si="2"/>
        <v>4028</v>
      </c>
      <c r="V11" s="31">
        <f t="shared" si="3"/>
        <v>42897.11278935185</v>
      </c>
      <c r="W11" s="45" t="str">
        <f t="shared" si="4"/>
        <v>EC</v>
      </c>
      <c r="X11" s="45" t="str">
        <f t="shared" si="5"/>
        <v>KEEP</v>
      </c>
      <c r="Y11" s="99" t="str">
        <f t="shared" si="6"/>
        <v>echo {"issue":{"subject":"Early arrival","project_id":79,"tracker_id":40,"status_id":1,"priority_id":2,"assigned_to_id":23,"start_date":"2017-06-10","description":"","custom_fields":[{"id":1,"name":"Subdivision","value":"EC"},{"id":4,"name":"Milepost","value":"4.7866"},{"id":17,"name":"Train ID","value":"227-10"},{"id":16,"name":"Locomotive ID","value":"4028"},{"id":130,"name":"Impact","value":""},{"id":150,"name":"Time of Event (Mountain Time)","value":"20:42:25"},{"id":151,"name":"Denver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62"/>
      <c r="AA11" s="47"/>
      <c r="AB11" s="47"/>
      <c r="AC11" s="118" t="str">
        <f t="shared" si="7"/>
        <v>grep -hrE -A400 "Enforcement Action" /cygdrive/c/Users/stu/AppData/Local/Temp/OnboardLogs/RTDC4028 --include="*4028*201706110*"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"%USERPROFILE%\AppData\Local\Temp\OnboardLogs"\RTDC4028\*4028*201706110* &gt;&gt; 2017-06-10-SliceDisagreementCheck.txt</v>
      </c>
      <c r="AE11" s="148" t="str">
        <f t="shared" si="9"/>
        <v>start /low /b %USERPROFILE%\Documents\GitHub\eaglep3\Utilities\DownloadLogsFromS3.py --loco 4028 --day 2017-06-11</v>
      </c>
    </row>
    <row r="12" spans="1:32" s="1" customFormat="1" x14ac:dyDescent="0.25">
      <c r="A12" s="31">
        <v>42896.707928240743</v>
      </c>
      <c r="B12" s="30" t="s">
        <v>341</v>
      </c>
      <c r="C12" s="30" t="s">
        <v>601</v>
      </c>
      <c r="D12" s="30" t="s">
        <v>49</v>
      </c>
      <c r="E12" s="30" t="s">
        <v>189</v>
      </c>
      <c r="F12" s="42">
        <v>470</v>
      </c>
      <c r="G12" s="42">
        <v>592</v>
      </c>
      <c r="H12" s="42">
        <v>52215</v>
      </c>
      <c r="I12" s="42">
        <v>53923</v>
      </c>
      <c r="J12" s="30" t="s">
        <v>190</v>
      </c>
      <c r="K12" s="42">
        <v>53156</v>
      </c>
      <c r="L12" s="134" t="s">
        <v>50</v>
      </c>
      <c r="M12" s="135">
        <f t="shared" si="0"/>
        <v>-404.976</v>
      </c>
      <c r="N12" s="136" t="str">
        <f>VLOOKUP(C12,'Trips&amp;Operators'!$C$1:$G$99999,5,FALSE)</f>
        <v>BRANDNER MELINDA</v>
      </c>
      <c r="O12" s="210" t="s">
        <v>182</v>
      </c>
      <c r="P12" s="137" t="s">
        <v>402</v>
      </c>
      <c r="Q12" s="30"/>
      <c r="R12" s="84" t="str">
        <f>VLOOKUP(C12,'Train Runs'!$A$13:$AE$9935,31,0)</f>
        <v>aws s3 cp s3://rtdc.mdm.uploadarchive.raw/RTDC4028/ "%USERPROFILE%\AppData\Local\Temp\OnboardLogs"\RTDC4028\2017-06-10 --exclude "*" --recursive --include "*20170610*" &amp; "%USERPROFILE%\Documents\GitHub\mrs-test-scripts\Headless Mode &amp; Sideloading\WalkAndUnGZ.bat" "%USERPROFILE%\AppData\Local\Temp\OnboardLogs"\RTDC4028\2017-06-10 &amp; aws s3 cp s3://rtdc.mdm.uploadarchive.raw/RTDC4028/ "%USERPROFILE%\AppData\Local\Temp\OnboardLogs"\RTDC4028\2017-06-11 --exclude "*" --recursive --include "*20170611*" &amp; "%USERPROFILE%\Documents\GitHub\mrs-test-scripts\Headless Mode &amp; Sideloading\WalkAndUnGZ.bat" "%USERPROFILE%\AppData\Local\Temp\OnboardLogs"\RTDC4028\2017-06-11</v>
      </c>
      <c r="S12" s="87" t="str">
        <f>VLOOKUP(C12,'Train Runs'!$A$13:$AE$9935,22,0)</f>
        <v>https://d0f6bd738d7f1b3e5a7ca70fe4ff75f0.us-east-1.aws.found.io/app/kibana#/discover/Steve-Slow-Train-Analysis-(2080s-and-2083s)?_g=(refreshInterval:(display:Off,pause:!f,section:0,value:0),time:(from:'2017-06-10T15:45:49-0600',mode:absolute,to:'2017-06-10T18:25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2" s="89" t="str">
        <f t="shared" si="1"/>
        <v>"C:\Program Files (x86)\AstroGrep\AstroGrep.exe" /e /r /s /spath="%USERPROFILE%\AppData\Local\Temp\OnboardLogs" /stypes="*4028*201706102*" /stext=" 22:.+((SYSTEM_STATE.+slice.+state.+changed )|(ment ac)|(multiple cpu faults)|(system.+state.+changed )|(\[timeout)|(PRM\|1\|D)|(kpr)|(kdp)|(train st.+moving)|(\|lc)|(penalty))"</v>
      </c>
      <c r="U12" s="9" t="str">
        <f t="shared" si="2"/>
        <v>4028</v>
      </c>
      <c r="V12" s="31">
        <f t="shared" si="3"/>
        <v>42896.957928240743</v>
      </c>
      <c r="W12" s="45" t="str">
        <f t="shared" si="4"/>
        <v>EC</v>
      </c>
      <c r="X12" s="45" t="str">
        <f t="shared" si="5"/>
        <v>KEEP</v>
      </c>
      <c r="Y12" s="99" t="str">
        <f t="shared" si="6"/>
        <v>echo {"issue":{"subject":"Early arrival","project_id":79,"tracker_id":40,"status_id":1,"priority_id":2,"assigned_to_id":23,"start_date":"2017-06-10","description":"","custom_fields":[{"id":1,"name":"Subdivision","value":"EC"},{"id":4,"name":"Milepost","value":"5.3156"},{"id":17,"name":"Train ID","value":"205-10"},{"id":16,"name":"Locomotive ID","value":"4028"},{"id":130,"name":"Impact","value":""},{"id":150,"name":"Time of Event (Mountain Time)","value":"16:59:25"},{"id":151,"name":"Denver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62"/>
      <c r="AA12" s="47"/>
      <c r="AB12" s="47"/>
      <c r="AC12" s="118" t="str">
        <f t="shared" si="7"/>
        <v>grep -hrE -A400 "Enforcement Action" /cygdrive/c/Users/stu/AppData/Local/Temp/OnboardLogs/RTDC4028 --include="*4028*201706102*"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"%USERPROFILE%\AppData\Local\Temp\OnboardLogs"\RTDC4028\*4028*201706102* &gt;&gt; 2017-06-10-SliceDisagreementCheck.txt</v>
      </c>
      <c r="AE12" s="148" t="str">
        <f t="shared" si="9"/>
        <v>start /low /b %USERPROFILE%\Documents\GitHub\eaglep3\Utilities\DownloadLogsFromS3.py --loco 4028 --day 2017-06-10</v>
      </c>
    </row>
    <row r="13" spans="1:32" s="1" customFormat="1" x14ac:dyDescent="0.25">
      <c r="A13" s="31">
        <v>42896.661666666667</v>
      </c>
      <c r="B13" s="30" t="s">
        <v>459</v>
      </c>
      <c r="C13" s="30" t="s">
        <v>596</v>
      </c>
      <c r="D13" s="30" t="s">
        <v>98</v>
      </c>
      <c r="E13" s="30" t="s">
        <v>189</v>
      </c>
      <c r="F13" s="42">
        <v>310</v>
      </c>
      <c r="G13" s="42">
        <v>365</v>
      </c>
      <c r="H13" s="42">
        <v>58161</v>
      </c>
      <c r="I13" s="42">
        <v>57220</v>
      </c>
      <c r="J13" s="30" t="s">
        <v>190</v>
      </c>
      <c r="K13" s="42">
        <v>58301</v>
      </c>
      <c r="L13" s="134" t="s">
        <v>51</v>
      </c>
      <c r="M13" s="135">
        <f t="shared" si="0"/>
        <v>-570.76800000000003</v>
      </c>
      <c r="N13" s="136" t="str">
        <f>VLOOKUP(C13,'Trips&amp;Operators'!$C$1:$G$99999,5,FALSE)</f>
        <v>HOLCOMB KAMDEN</v>
      </c>
      <c r="O13" s="210" t="s">
        <v>182</v>
      </c>
      <c r="P13" s="137" t="s">
        <v>402</v>
      </c>
      <c r="Q13" s="30"/>
      <c r="R13" s="84" t="str">
        <f>VLOOKUP(C13,'Train Runs'!$A$13:$AE$9935,31,0)</f>
        <v>aws s3 cp s3://rtdc.mdm.uploadarchive.raw/RTDC4001/ "%USERPROFILE%\AppData\Local\Temp\OnboardLogs"\RTDC4001\2017-06-10 --exclude "*" --recursive --include "*20170610*" &amp; "%USERPROFILE%\Documents\GitHub\mrs-test-scripts\Headless Mode &amp; Sideloading\WalkAndUnGZ.bat" "%USERPROFILE%\AppData\Local\Temp\OnboardLogs"\RTDC4001\2017-06-10 &amp; aws s3 cp s3://rtdc.mdm.uploadarchive.raw/RTDC4001/ "%USERPROFILE%\AppData\Local\Temp\OnboardLogs"\RTDC4001\2017-06-11 --exclude "*" --recursive --include "*20170611*" &amp; "%USERPROFILE%\Documents\GitHub\mrs-test-scripts\Headless Mode &amp; Sideloading\WalkAndUnGZ.bat" "%USERPROFILE%\AppData\Local\Temp\OnboardLogs"\RTDC4001\2017-06-11</v>
      </c>
      <c r="S13" s="87" t="str">
        <f>VLOOKUP(C13,'Train Runs'!$A$13:$AE$9935,22,0)</f>
        <v>https://d0f6bd738d7f1b3e5a7ca70fe4ff75f0.us-east-1.aws.found.io/app/kibana#/discover/Steve-Slow-Train-Analysis-(2080s-and-2083s)?_g=(refreshInterval:(display:Off,pause:!f,section:0,value:0),time:(from:'2017-06-10T14:21:30-0600',mode:absolute,to:'2017-06-10T17:06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3" s="89" t="str">
        <f t="shared" si="1"/>
        <v>"C:\Program Files (x86)\AstroGrep\AstroGrep.exe" /e /r /s /spath="%USERPROFILE%\AppData\Local\Temp\OnboardLogs" /stypes="*4001*201706102*" /stext=" 21:.+((SYSTEM_STATE.+slice.+state.+changed )|(ment ac)|(multiple cpu faults)|(system.+state.+changed )|(\[timeout)|(PRM\|1\|D)|(kpr)|(kdp)|(train st.+moving)|(\|lc)|(penalty))"</v>
      </c>
      <c r="U13" s="9" t="str">
        <f t="shared" si="2"/>
        <v>4001</v>
      </c>
      <c r="V13" s="31">
        <f t="shared" si="3"/>
        <v>42896.911666666667</v>
      </c>
      <c r="W13" s="45" t="str">
        <f t="shared" si="4"/>
        <v>EC</v>
      </c>
      <c r="X13" s="45" t="str">
        <f t="shared" si="5"/>
        <v>KEEP</v>
      </c>
      <c r="Y13" s="99" t="str">
        <f t="shared" si="6"/>
        <v>echo {"issue":{"subject":"Early arrival","project_id":79,"tracker_id":40,"status_id":1,"priority_id":2,"assigned_to_id":23,"start_date":"2017-06-10","description":"","custom_fields":[{"id":1,"name":"Subdivision","value":"EC"},{"id":4,"name":"Milepost","value":"5.8301"},{"id":17,"name":"Train ID","value":"188-10"},{"id":16,"name":"Locomotive ID","value":"4001"},{"id":130,"name":"Impact","value":""},{"id":150,"name":"Time of Event (Mountain Time)","value":"15:52:48"},{"id":151,"name":"Denver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62"/>
      <c r="AA13" s="47"/>
      <c r="AB13" s="47"/>
      <c r="AC13" s="118" t="str">
        <f t="shared" si="7"/>
        <v>grep -hrE -A400 "Enforcement Action" /cygdrive/c/Users/stu/AppData/Local/Temp/OnboardLogs/RTDC4001 --include="*4001*201706102*"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"%USERPROFILE%\AppData\Local\Temp\OnboardLogs"\RTDC4001\*4001*201706102* &gt;&gt; 2017-06-10-SliceDisagreementCheck.txt</v>
      </c>
      <c r="AE13" s="148" t="str">
        <f t="shared" si="9"/>
        <v>start /low /b %USERPROFILE%\Documents\GitHub\eaglep3\Utilities\DownloadLogsFromS3.py --loco 4001 --day 2017-06-10</v>
      </c>
    </row>
    <row r="14" spans="1:32" x14ac:dyDescent="0.25">
      <c r="A14" s="31">
        <v>42896.34275462963</v>
      </c>
      <c r="B14" s="30" t="s">
        <v>341</v>
      </c>
      <c r="C14" s="30" t="s">
        <v>576</v>
      </c>
      <c r="D14" s="30" t="s">
        <v>98</v>
      </c>
      <c r="E14" s="30" t="s">
        <v>189</v>
      </c>
      <c r="F14" s="42">
        <v>0</v>
      </c>
      <c r="G14" s="42">
        <v>356</v>
      </c>
      <c r="H14" s="42">
        <v>63075</v>
      </c>
      <c r="I14" s="42">
        <v>63656</v>
      </c>
      <c r="J14" s="30" t="s">
        <v>190</v>
      </c>
      <c r="K14" s="42">
        <v>63069</v>
      </c>
      <c r="L14" s="134" t="s">
        <v>50</v>
      </c>
      <c r="M14" s="135">
        <f t="shared" si="0"/>
        <v>-309.93599999999998</v>
      </c>
      <c r="N14" s="136" t="str">
        <f>VLOOKUP(C14,'Trips&amp;Operators'!$C$1:$G$99999,5,FALSE)</f>
        <v>GEBRETEKLE DAGNEW</v>
      </c>
      <c r="O14" s="210" t="s">
        <v>182</v>
      </c>
      <c r="P14" s="137" t="s">
        <v>402</v>
      </c>
      <c r="Q14" s="30"/>
      <c r="R14" s="84" t="str">
        <f>VLOOKUP(C14,'Train Runs'!$A$13:$AE$9935,31,0)</f>
        <v>aws s3 cp s3://rtdc.mdm.uploadarchive.raw/RTDC4028/ "%USERPROFILE%\AppData\Local\Temp\OnboardLogs"\RTDC4028\2017-06-10 --exclude "*" --recursive --include "*20170610*" &amp; "%USERPROFILE%\Documents\GitHub\mrs-test-scripts\Headless Mode &amp; Sideloading\WalkAndUnGZ.bat" "%USERPROFILE%\AppData\Local\Temp\OnboardLogs"\RTDC4028\2017-06-10 &amp; aws s3 cp s3://rtdc.mdm.uploadarchive.raw/RTDC4028/ "%USERPROFILE%\AppData\Local\Temp\OnboardLogs"\RTDC4028\2017-06-11 --exclude "*" --recursive --include "*20170611*" &amp; "%USERPROFILE%\Documents\GitHub\mrs-test-scripts\Headless Mode &amp; Sideloading\WalkAndUnGZ.bat" "%USERPROFILE%\AppData\Local\Temp\OnboardLogs"\RTDC4028\2017-06-11</v>
      </c>
      <c r="S14" s="87" t="str">
        <f>VLOOKUP(C14,'Train Runs'!$A$13:$AE$9935,22,0)</f>
        <v>https://d0f6bd738d7f1b3e5a7ca70fe4ff75f0.us-east-1.aws.found.io/app/kibana#/discover/Steve-Slow-Train-Analysis-(2080s-and-2083s)?_g=(refreshInterval:(display:Off,pause:!f,section:0,value:0),time:(from:'2017-06-10T06:52:42-0600',mode:absolute,to:'2017-06-10T09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4" s="89" t="str">
        <f t="shared" si="1"/>
        <v>"C:\Program Files (x86)\AstroGrep\AstroGrep.exe" /e /r /s /spath="%USERPROFILE%\AppData\Local\Temp\OnboardLogs" /stypes="*4028*201706101*" /stext=" 14:.+((SYSTEM_STATE.+slice.+state.+changed )|(ment ac)|(multiple cpu faults)|(system.+state.+changed )|(\[timeout)|(PRM\|1\|D)|(kpr)|(kdp)|(train st.+moving)|(\|lc)|(penalty))"</v>
      </c>
      <c r="U14" s="9" t="str">
        <f t="shared" si="2"/>
        <v>4028</v>
      </c>
      <c r="V14" s="31">
        <f t="shared" si="3"/>
        <v>42896.59275462963</v>
      </c>
      <c r="W14" s="45" t="str">
        <f t="shared" si="4"/>
        <v>EC</v>
      </c>
      <c r="X14" s="45" t="str">
        <f t="shared" si="5"/>
        <v>KEEP</v>
      </c>
      <c r="Y14" s="99" t="str">
        <f t="shared" si="6"/>
        <v>echo {"issue":{"subject":"Early arrival","project_id":79,"tracker_id":40,"status_id":1,"priority_id":2,"assigned_to_id":23,"start_date":"2017-06-10","description":"","custom_fields":[{"id":1,"name":"Subdivision","value":"EC"},{"id":4,"name":"Milepost","value":"6.3069"},{"id":17,"name":"Train ID","value":"135-10"},{"id":16,"name":"Locomotive ID","value":"4028"},{"id":130,"name":"Impact","value":""},{"id":150,"name":"Time of Event (Mountain Time)","value":"08:13:34"},{"id":151,"name":"Denver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62"/>
      <c r="AA14" s="47"/>
      <c r="AB14" s="47"/>
      <c r="AC14" s="118" t="str">
        <f t="shared" si="7"/>
        <v>grep -hrE -A400 "Enforcement Action" /cygdrive/c/Users/stu/AppData/Local/Temp/OnboardLogs/RTDC4028 --include="*4028*201706101*"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"%USERPROFILE%\AppData\Local\Temp\OnboardLogs"\RTDC4028\*4028*201706101* &gt;&gt; 2017-06-10-SliceDisagreementCheck.txt</v>
      </c>
      <c r="AE14" s="148" t="str">
        <f t="shared" si="9"/>
        <v>start /low /b %USERPROFILE%\Documents\GitHub\eaglep3\Utilities\DownloadLogsFromS3.py --loco 4028 --day 2017-06-10</v>
      </c>
      <c r="AF14" s="1"/>
    </row>
    <row r="15" spans="1:32" x14ac:dyDescent="0.25">
      <c r="A15" s="31">
        <v>42896.478530092594</v>
      </c>
      <c r="B15" s="30" t="s">
        <v>460</v>
      </c>
      <c r="C15" s="30" t="s">
        <v>582</v>
      </c>
      <c r="D15" s="30" t="s">
        <v>49</v>
      </c>
      <c r="E15" s="30" t="s">
        <v>189</v>
      </c>
      <c r="F15" s="42">
        <v>390</v>
      </c>
      <c r="G15" s="42">
        <v>441</v>
      </c>
      <c r="H15" s="42">
        <v>62204</v>
      </c>
      <c r="I15" s="42">
        <v>63278</v>
      </c>
      <c r="J15" s="30" t="s">
        <v>190</v>
      </c>
      <c r="K15" s="42">
        <v>63069</v>
      </c>
      <c r="L15" s="134" t="s">
        <v>50</v>
      </c>
      <c r="M15" s="135">
        <f t="shared" si="0"/>
        <v>-110.352</v>
      </c>
      <c r="N15" s="136" t="str">
        <f>VLOOKUP(C15,'Trips&amp;Operators'!$C$1:$G$99999,5,FALSE)</f>
        <v>DAVIS MICHAEL</v>
      </c>
      <c r="O15" s="210" t="s">
        <v>182</v>
      </c>
      <c r="P15" s="137" t="s">
        <v>402</v>
      </c>
      <c r="Q15" s="30"/>
      <c r="R15" s="84" t="str">
        <f>VLOOKUP(C15,'Train Runs'!$A$13:$AE$9935,31,0)</f>
        <v>aws s3 cp s3://rtdc.mdm.uploadarchive.raw/RTDC4002/ "%USERPROFILE%\AppData\Local\Temp\OnboardLogs"\RTDC4002\2017-06-10 --exclude "*" --recursive --include "*20170610*" &amp; "%USERPROFILE%\Documents\GitHub\mrs-test-scripts\Headless Mode &amp; Sideloading\WalkAndUnGZ.bat" "%USERPROFILE%\AppData\Local\Temp\OnboardLogs"\RTDC4002\2017-06-10 &amp; aws s3 cp s3://rtdc.mdm.uploadarchive.raw/RTDC4002/ "%USERPROFILE%\AppData\Local\Temp\OnboardLogs"\RTDC4002\2017-06-11 --exclude "*" --recursive --include "*20170611*" &amp; "%USERPROFILE%\Documents\GitHub\mrs-test-scripts\Headless Mode &amp; Sideloading\WalkAndUnGZ.bat" "%USERPROFILE%\AppData\Local\Temp\OnboardLogs"\RTDC4002\2017-06-11</v>
      </c>
      <c r="S15" s="87" t="str">
        <f>VLOOKUP(C15,'Train Runs'!$A$13:$AE$9935,22,0)</f>
        <v>https://d0f6bd738d7f1b3e5a7ca70fe4ff75f0.us-east-1.aws.found.io/app/kibana#/discover/Steve-Slow-Train-Analysis-(2080s-and-2083s)?_g=(refreshInterval:(display:Off,pause:!f,section:0,value:0),time:(from:'2017-06-10T10:11:18-0600',mode:absolute,to:'2017-06-10T12:54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15" s="89" t="str">
        <f t="shared" si="1"/>
        <v>"C:\Program Files (x86)\AstroGrep\AstroGrep.exe" /e /r /s /spath="%USERPROFILE%\AppData\Local\Temp\OnboardLogs" /stypes="*4002*201706101*" /stext=" 17:.+((SYSTEM_STATE.+slice.+state.+changed )|(ment ac)|(multiple cpu faults)|(system.+state.+changed )|(\[timeout)|(PRM\|1\|D)|(kpr)|(kdp)|(train st.+moving)|(\|lc)|(penalty))"</v>
      </c>
      <c r="U15" s="9" t="str">
        <f t="shared" si="2"/>
        <v>4002</v>
      </c>
      <c r="V15" s="31">
        <f t="shared" si="3"/>
        <v>42896.728530092594</v>
      </c>
      <c r="W15" s="45" t="str">
        <f t="shared" si="4"/>
        <v>EC</v>
      </c>
      <c r="X15" s="45" t="str">
        <f t="shared" si="5"/>
        <v>KEEP</v>
      </c>
      <c r="Y15" s="99" t="str">
        <f t="shared" si="6"/>
        <v>echo {"issue":{"subject":"Early arrival","project_id":79,"tracker_id":40,"status_id":1,"priority_id":2,"assigned_to_id":23,"start_date":"2017-06-10","description":"","custom_fields":[{"id":1,"name":"Subdivision","value":"EC"},{"id":4,"name":"Milepost","value":"6.3069"},{"id":17,"name":"Train ID","value":"161-10"},{"id":16,"name":"Locomotive ID","value":"4002"},{"id":130,"name":"Impact","value":""},{"id":150,"name":"Time of Event (Mountain Time)","value":"11:29:05"},{"id":151,"name":"Denver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62"/>
      <c r="AA15" s="47"/>
      <c r="AB15" s="47"/>
      <c r="AC15" s="118" t="str">
        <f t="shared" si="7"/>
        <v>grep -hrE -A400 "Enforcement Action" /cygdrive/c/Users/stu/AppData/Local/Temp/OnboardLogs/RTDC4002 --include="*4002*201706101*"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"%USERPROFILE%\AppData\Local\Temp\OnboardLogs"\RTDC4002\*4002*201706101* &gt;&gt; 2017-06-10-SliceDisagreementCheck.txt</v>
      </c>
      <c r="AE15" s="148" t="str">
        <f t="shared" si="9"/>
        <v>start /low /b %USERPROFILE%\Documents\GitHub\eaglep3\Utilities\DownloadLogsFromS3.py --loco 4002 --day 2017-06-10</v>
      </c>
      <c r="AF15" s="1"/>
    </row>
    <row r="16" spans="1:32" x14ac:dyDescent="0.25">
      <c r="A16" s="31">
        <v>42897.05572916667</v>
      </c>
      <c r="B16" s="30" t="s">
        <v>493</v>
      </c>
      <c r="C16" s="30" t="s">
        <v>611</v>
      </c>
      <c r="D16" s="30" t="s">
        <v>49</v>
      </c>
      <c r="E16" s="30" t="s">
        <v>189</v>
      </c>
      <c r="F16" s="42">
        <v>0</v>
      </c>
      <c r="G16" s="42">
        <v>776</v>
      </c>
      <c r="H16" s="42">
        <v>108328</v>
      </c>
      <c r="I16" s="42">
        <v>112017</v>
      </c>
      <c r="J16" s="30" t="s">
        <v>190</v>
      </c>
      <c r="K16" s="42">
        <v>108954</v>
      </c>
      <c r="L16" s="134" t="s">
        <v>50</v>
      </c>
      <c r="M16" s="135">
        <f t="shared" si="0"/>
        <v>-1617.2639999999999</v>
      </c>
      <c r="N16" s="136" t="str">
        <f>VLOOKUP(C16,'Trips&amp;Operators'!$C$1:$G$99999,5,FALSE)</f>
        <v>LAMAR NEKESHA</v>
      </c>
      <c r="O16" s="210" t="s">
        <v>182</v>
      </c>
      <c r="P16" s="137" t="s">
        <v>402</v>
      </c>
      <c r="Q16" s="30"/>
      <c r="R16" s="84" t="str">
        <f>VLOOKUP(C16,'Train Runs'!$A$13:$AE$9935,31,0)</f>
        <v>aws s3 cp s3://rtdc.mdm.uploadarchive.raw/RTDC4004/ "%USERPROFILE%\AppData\Local\Temp\OnboardLogs"\RTDC4004\2017-06-11 --exclude "*" --recursive --include "*20170611*" &amp; "%USERPROFILE%\Documents\GitHub\mrs-test-scripts\Headless Mode &amp; Sideloading\WalkAndUnGZ.bat" "%USERPROFILE%\AppData\Local\Temp\OnboardLogs"\RTDC4004\2017-06-11 &amp; aws s3 cp s3://rtdc.mdm.uploadarchive.raw/RTDC4004/ "%USERPROFILE%\AppData\Local\Temp\OnboardLogs"\RTDC4004\2017-06-12 --exclude "*" --recursive --include "*20170612*" &amp; "%USERPROFILE%\Documents\GitHub\mrs-test-scripts\Headless Mode &amp; Sideloading\WalkAndUnGZ.bat" "%USERPROFILE%\AppData\Local\Temp\OnboardLogs"\RTDC4004\2017-06-12</v>
      </c>
      <c r="S16" s="87" t="str">
        <f>VLOOKUP(C16,'Train Runs'!$A$13:$AE$9935,22,0)</f>
        <v>https://d0f6bd738d7f1b3e5a7ca70fe4ff75f0.us-east-1.aws.found.io/app/kibana#/discover/Steve-Slow-Train-Analysis-(2080s-and-2083s)?_g=(refreshInterval:(display:Off,pause:!f,section:0,value:0),time:(from:'2017-06-10T23:51:31-0600',mode:absolute,to:'2017-06-11T02:37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16" s="89" t="str">
        <f t="shared" si="1"/>
        <v>"C:\Program Files (x86)\AstroGrep\AstroGrep.exe" /e /r /s /spath="%USERPROFILE%\AppData\Local\Temp\OnboardLogs" /stypes="*4004*201706110*" /stext=" 07:.+((SYSTEM_STATE.+slice.+state.+changed )|(ment ac)|(multiple cpu faults)|(system.+state.+changed )|(\[timeout)|(PRM\|1\|D)|(kpr)|(kdp)|(train st.+moving)|(\|lc)|(penalty))"</v>
      </c>
      <c r="U16" s="9" t="str">
        <f t="shared" si="2"/>
        <v>4004</v>
      </c>
      <c r="V16" s="31">
        <f t="shared" si="3"/>
        <v>42897.30572916667</v>
      </c>
      <c r="W16" s="45" t="str">
        <f t="shared" si="4"/>
        <v>EC</v>
      </c>
      <c r="X16" s="45" t="str">
        <f t="shared" si="5"/>
        <v>KEEP</v>
      </c>
      <c r="Y16" s="99" t="str">
        <f t="shared" si="6"/>
        <v>echo {"issue":{"subject":"Early arrival","project_id":79,"tracker_id":40,"status_id":1,"priority_id":2,"assigned_to_id":23,"start_date":"2017-06-11","description":"","custom_fields":[{"id":1,"name":"Subdivision","value":"EC"},{"id":4,"name":"Milepost","value":"10.8954"},{"id":17,"name":"Train ID","value":"245-10"},{"id":16,"name":"Locomotive ID","value":"4004"},{"id":130,"name":"Impact","value":""},{"id":150,"name":"Time of Event (Mountain Time)","value":"01:20:15"},{"id":151,"name":"Denver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62"/>
      <c r="AA16" s="47"/>
      <c r="AB16" s="47"/>
      <c r="AC16" s="118" t="str">
        <f t="shared" si="7"/>
        <v>grep -hrE -A400 "Enforcement Action" /cygdrive/c/Users/stu/AppData/Local/Temp/OnboardLogs/RTDC4004 --include="*4004*201706110*"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"%USERPROFILE%\AppData\Local\Temp\OnboardLogs"\RTDC4004\*4004*201706110* &gt;&gt; 2017-06-10-SliceDisagreementCheck.txt</v>
      </c>
      <c r="AE16" s="148" t="str">
        <f t="shared" si="9"/>
        <v>start /low /b %USERPROFILE%\Documents\GitHub\eaglep3\Utilities\DownloadLogsFromS3.py --loco 4004 --day 2017-06-11</v>
      </c>
      <c r="AF16" s="1"/>
    </row>
    <row r="17" spans="1:32" x14ac:dyDescent="0.25">
      <c r="A17" s="31">
        <v>42896.780694444446</v>
      </c>
      <c r="B17" s="30" t="s">
        <v>433</v>
      </c>
      <c r="C17" s="30" t="s">
        <v>603</v>
      </c>
      <c r="D17" s="30" t="s">
        <v>49</v>
      </c>
      <c r="E17" s="30" t="s">
        <v>189</v>
      </c>
      <c r="F17" s="42">
        <v>0</v>
      </c>
      <c r="G17" s="42">
        <v>386</v>
      </c>
      <c r="H17" s="42">
        <v>109413</v>
      </c>
      <c r="I17" s="42">
        <v>108819</v>
      </c>
      <c r="J17" s="30" t="s">
        <v>190</v>
      </c>
      <c r="K17" s="42">
        <v>109135</v>
      </c>
      <c r="L17" s="134" t="s">
        <v>51</v>
      </c>
      <c r="M17" s="135">
        <f t="shared" si="0"/>
        <v>-166.84800000000001</v>
      </c>
      <c r="N17" s="136" t="str">
        <f>VLOOKUP(C17,'Trips&amp;Operators'!$C$1:$G$99999,5,FALSE)</f>
        <v>LOPES KIMBERLY</v>
      </c>
      <c r="O17" s="210" t="s">
        <v>182</v>
      </c>
      <c r="P17" s="137" t="s">
        <v>402</v>
      </c>
      <c r="Q17" s="30"/>
      <c r="R17" s="84" t="str">
        <f>VLOOKUP(C17,'Train Runs'!$A$13:$AE$9935,31,0)</f>
        <v>aws s3 cp s3://rtdc.mdm.uploadarchive.raw/RTDC4043/ "%USERPROFILE%\AppData\Local\Temp\OnboardLogs"\RTDC4043\2017-06-10 --exclude "*" --recursive --include "*20170610*" &amp; "%USERPROFILE%\Documents\GitHub\mrs-test-scripts\Headless Mode &amp; Sideloading\WalkAndUnGZ.bat" "%USERPROFILE%\AppData\Local\Temp\OnboardLogs"\RTDC4043\2017-06-10 &amp; aws s3 cp s3://rtdc.mdm.uploadarchive.raw/RTDC4043/ "%USERPROFILE%\AppData\Local\Temp\OnboardLogs"\RTDC4043\2017-06-11 --exclude "*" --recursive --include "*20170611*" &amp; "%USERPROFILE%\Documents\GitHub\mrs-test-scripts\Headless Mode &amp; Sideloading\WalkAndUnGZ.bat" "%USERPROFILE%\AppData\Local\Temp\OnboardLogs"\RTDC4043\2017-06-11</v>
      </c>
      <c r="S17" s="87" t="str">
        <f>VLOOKUP(C17,'Train Runs'!$A$13:$AE$9935,22,0)</f>
        <v>https://d0f6bd738d7f1b3e5a7ca70fe4ff75f0.us-east-1.aws.found.io/app/kibana#/discover/Steve-Slow-Train-Analysis-(2080s-and-2083s)?_g=(refreshInterval:(display:Off,pause:!f,section:0,value:0),time:(from:'2017-06-10T17:23:55-0600',mode:absolute,to:'2017-06-10T20:05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7" s="89" t="str">
        <f t="shared" si="1"/>
        <v>"C:\Program Files (x86)\AstroGrep\AstroGrep.exe" /e /r /s /spath="%USERPROFILE%\AppData\Local\Temp\OnboardLogs" /stypes="*4043*201706110*" /stext=" 00:.+((SYSTEM_STATE.+slice.+state.+changed )|(ment ac)|(multiple cpu faults)|(system.+state.+changed )|(\[timeout)|(PRM\|1\|D)|(kpr)|(kdp)|(train st.+moving)|(\|lc)|(penalty))"</v>
      </c>
      <c r="U17" s="9" t="str">
        <f t="shared" si="2"/>
        <v>4043</v>
      </c>
      <c r="V17" s="31">
        <f t="shared" si="3"/>
        <v>42897.030694444446</v>
      </c>
      <c r="W17" s="45" t="str">
        <f t="shared" si="4"/>
        <v>EC</v>
      </c>
      <c r="X17" s="45" t="str">
        <f t="shared" si="5"/>
        <v>KEEP</v>
      </c>
      <c r="Y17" s="99" t="str">
        <f t="shared" si="6"/>
        <v>echo {"issue":{"subject":"Early arrival","project_id":79,"tracker_id":40,"status_id":1,"priority_id":2,"assigned_to_id":23,"start_date":"2017-06-10","description":"","custom_fields":[{"id":1,"name":"Subdivision","value":"EC"},{"id":4,"name":"Milepost","value":"10.9135"},{"id":17,"name":"Train ID","value":"212-10"},{"id":16,"name":"Locomotive ID","value":"4043"},{"id":130,"name":"Impact","value":""},{"id":150,"name":"Time of Event (Mountain Time)","value":"18:44:12"},{"id":151,"name":"Denver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62"/>
      <c r="AA17" s="47"/>
      <c r="AB17" s="47"/>
      <c r="AC17" s="118" t="str">
        <f t="shared" si="7"/>
        <v>grep -hrE -A400 "Enforcement Action" /cygdrive/c/Users/stu/AppData/Local/Temp/OnboardLogs/RTDC4043 --include="*4043*201706110*"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"%USERPROFILE%\AppData\Local\Temp\OnboardLogs"\RTDC4043\*4043*201706110* &gt;&gt; 2017-06-10-SliceDisagreementCheck.txt</v>
      </c>
      <c r="AE17" s="148" t="str">
        <f t="shared" si="9"/>
        <v>start /low /b %USERPROFILE%\Documents\GitHub\eaglep3\Utilities\DownloadLogsFromS3.py --loco 4043 --day 2017-06-11</v>
      </c>
      <c r="AF17" s="1"/>
    </row>
    <row r="18" spans="1:32" x14ac:dyDescent="0.25">
      <c r="A18" s="31">
        <v>42896.344212962962</v>
      </c>
      <c r="B18" s="30" t="s">
        <v>460</v>
      </c>
      <c r="C18" s="30" t="s">
        <v>577</v>
      </c>
      <c r="D18" s="30" t="s">
        <v>98</v>
      </c>
      <c r="E18" s="30" t="s">
        <v>202</v>
      </c>
      <c r="F18" s="42">
        <v>600</v>
      </c>
      <c r="G18" s="42">
        <v>650</v>
      </c>
      <c r="H18" s="42">
        <v>187318</v>
      </c>
      <c r="I18" s="42">
        <v>189944</v>
      </c>
      <c r="J18" s="30" t="s">
        <v>203</v>
      </c>
      <c r="K18" s="42">
        <v>183829</v>
      </c>
      <c r="L18" s="134" t="s">
        <v>50</v>
      </c>
      <c r="M18" s="135">
        <f t="shared" si="0"/>
        <v>-3228.72</v>
      </c>
      <c r="N18" s="136" t="str">
        <f>VLOOKUP(C18,'Trips&amp;Operators'!$C$1:$G$99999,5,FALSE)</f>
        <v>DAVIS WENDY</v>
      </c>
      <c r="O18" s="210" t="s">
        <v>182</v>
      </c>
      <c r="P18" s="137"/>
      <c r="Q18" s="30"/>
      <c r="R18" s="84" t="str">
        <f>VLOOKUP(C18,'Train Runs'!$A$13:$AE$9935,31,0)</f>
        <v>aws s3 cp s3://rtdc.mdm.uploadarchive.raw/RTDC4002/ "%USERPROFILE%\AppData\Local\Temp\OnboardLogs"\RTDC4002\2017-06-10 --exclude "*" --recursive --include "*20170610*" &amp; "%USERPROFILE%\Documents\GitHub\mrs-test-scripts\Headless Mode &amp; Sideloading\WalkAndUnGZ.bat" "%USERPROFILE%\AppData\Local\Temp\OnboardLogs"\RTDC4002\2017-06-10 &amp; aws s3 cp s3://rtdc.mdm.uploadarchive.raw/RTDC4002/ "%USERPROFILE%\AppData\Local\Temp\OnboardLogs"\RTDC4002\2017-06-11 --exclude "*" --recursive --include "*20170611*" &amp; "%USERPROFILE%\Documents\GitHub\mrs-test-scripts\Headless Mode &amp; Sideloading\WalkAndUnGZ.bat" "%USERPROFILE%\AppData\Local\Temp\OnboardLogs"\RTDC4002\2017-06-11</v>
      </c>
      <c r="S18" s="87" t="str">
        <f>VLOOKUP(C18,'Train Runs'!$A$13:$AE$9935,22,0)</f>
        <v>https://d0f6bd738d7f1b3e5a7ca70fe4ff75f0.us-east-1.aws.found.io/app/kibana#/discover/Steve-Slow-Train-Analysis-(2080s-and-2083s)?_g=(refreshInterval:(display:Off,pause:!f,section:0,value:0),time:(from:'2017-06-10T06:40:02-0600',mode:absolute,to:'2017-06-10T09:23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18" s="89" t="str">
        <f t="shared" si="1"/>
        <v>"C:\Program Files (x86)\AstroGrep\AstroGrep.exe" /e /r /s /spath="%USERPROFILE%\AppData\Local\Temp\OnboardLogs" /stypes="*4002*201706101*" /stext=" 14:.+((SYSTEM_STATE.+slice.+state.+changed )|(ment ac)|(multiple cpu faults)|(system.+state.+changed )|(\[timeout)|(PRM\|1\|D)|(kpr)|(kdp)|(train st.+moving)|(\|lc)|(penalty))"</v>
      </c>
      <c r="U18" s="9" t="str">
        <f t="shared" si="2"/>
        <v>4002</v>
      </c>
      <c r="V18" s="31">
        <f t="shared" si="3"/>
        <v>42896.594212962962</v>
      </c>
      <c r="W18" s="45" t="str">
        <f t="shared" si="4"/>
        <v>EC</v>
      </c>
      <c r="X18" s="45" t="str">
        <f t="shared" si="5"/>
        <v>KEEP</v>
      </c>
      <c r="Y18" s="99" t="str">
        <f t="shared" si="6"/>
        <v>echo {"issue":{"subject":"","project_id":79,"tracker_id":40,"status_id":1,"priority_id":2,"assigned_to_id":23,"start_date":"2017-06-10","description":"","custom_fields":[{"id":1,"name":"Subdivision","value":"EC"},{"id":4,"name":"Milepost","value":"18.3829"},{"id":17,"name":"Train ID","value":"133-10"},{"id":16,"name":"Locomotive ID","value":"4002"},{"id":130,"name":"Impact","value":""},{"id":150,"name":"Time of Event (Mountain Time)","value":"08:15:40"},{"id":151,"name":"Denver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62"/>
      <c r="AA18" s="47"/>
      <c r="AB18" s="47"/>
      <c r="AC18" s="118" t="str">
        <f t="shared" si="7"/>
        <v>grep -hrE -A400 "Enforcement Action" /cygdrive/c/Users/stu/AppData/Local/Temp/OnboardLogs/RTDC4002 --include="*4002*201706101*"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"%USERPROFILE%\AppData\Local\Temp\OnboardLogs"\RTDC4002\*4002*201706101* &gt;&gt; 2017-06-10-SliceDisagreementCheck.txt</v>
      </c>
      <c r="AE18" s="148" t="str">
        <f t="shared" si="9"/>
        <v>start /low /b %USERPROFILE%\Documents\GitHub\eaglep3\Utilities\DownloadLogsFromS3.py --loco 4002 --day 2017-06-10</v>
      </c>
      <c r="AF18" s="1"/>
    </row>
    <row r="19" spans="1:32" x14ac:dyDescent="0.25">
      <c r="A19" s="31">
        <v>42896.700729166667</v>
      </c>
      <c r="B19" s="30" t="s">
        <v>433</v>
      </c>
      <c r="C19" s="30" t="s">
        <v>600</v>
      </c>
      <c r="D19" s="30" t="s">
        <v>98</v>
      </c>
      <c r="E19" s="30" t="s">
        <v>202</v>
      </c>
      <c r="F19" s="42">
        <v>600</v>
      </c>
      <c r="G19" s="42">
        <v>650</v>
      </c>
      <c r="H19" s="42">
        <v>184257</v>
      </c>
      <c r="I19" s="42">
        <v>181357</v>
      </c>
      <c r="J19" s="30" t="s">
        <v>203</v>
      </c>
      <c r="K19" s="42">
        <v>190834</v>
      </c>
      <c r="L19" s="134" t="s">
        <v>51</v>
      </c>
      <c r="M19" s="135">
        <f t="shared" si="0"/>
        <v>-5003.8559999999998</v>
      </c>
      <c r="N19" s="136" t="str">
        <f>VLOOKUP(C19,'Trips&amp;Operators'!$C$1:$G$99999,5,FALSE)</f>
        <v>LOPES KIMBERLY</v>
      </c>
      <c r="O19" s="210" t="s">
        <v>182</v>
      </c>
      <c r="P19" s="137"/>
      <c r="Q19" s="30"/>
      <c r="R19" s="84" t="str">
        <f>VLOOKUP(C19,'Train Runs'!$A$13:$AE$9935,31,0)</f>
        <v>aws s3 cp s3://rtdc.mdm.uploadarchive.raw/RTDC4043/ "%USERPROFILE%\AppData\Local\Temp\OnboardLogs"\RTDC4043\2017-06-10 --exclude "*" --recursive --include "*20170610*" &amp; "%USERPROFILE%\Documents\GitHub\mrs-test-scripts\Headless Mode &amp; Sideloading\WalkAndUnGZ.bat" "%USERPROFILE%\AppData\Local\Temp\OnboardLogs"\RTDC4043\2017-06-10 &amp; aws s3 cp s3://rtdc.mdm.uploadarchive.raw/RTDC4043/ "%USERPROFILE%\AppData\Local\Temp\OnboardLogs"\RTDC4043\2017-06-11 --exclude "*" --recursive --include "*20170611*" &amp; "%USERPROFILE%\Documents\GitHub\mrs-test-scripts\Headless Mode &amp; Sideloading\WalkAndUnGZ.bat" "%USERPROFILE%\AppData\Local\Temp\OnboardLogs"\RTDC4043\2017-06-11</v>
      </c>
      <c r="S19" s="87" t="str">
        <f>VLOOKUP(C19,'Train Runs'!$A$13:$AE$9935,22,0)</f>
        <v>https://d0f6bd738d7f1b3e5a7ca70fe4ff75f0.us-east-1.aws.found.io/app/kibana#/discover/Steve-Slow-Train-Analysis-(2080s-and-2083s)?_g=(refreshInterval:(display:Off,pause:!f,section:0,value:0),time:(from:'2017-06-10T15:36:19-0600',mode:absolute,to:'2017-06-10T18:21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9" s="89" t="str">
        <f t="shared" si="1"/>
        <v>"C:\Program Files (x86)\AstroGrep\AstroGrep.exe" /e /r /s /spath="%USERPROFILE%\AppData\Local\Temp\OnboardLogs" /stypes="*4043*201706102*" /stext=" 22:.+((SYSTEM_STATE.+slice.+state.+changed )|(ment ac)|(multiple cpu faults)|(system.+state.+changed )|(\[timeout)|(PRM\|1\|D)|(kpr)|(kdp)|(train st.+moving)|(\|lc)|(penalty))"</v>
      </c>
      <c r="U19" s="9" t="str">
        <f t="shared" si="2"/>
        <v>4043</v>
      </c>
      <c r="V19" s="31">
        <f t="shared" si="3"/>
        <v>42896.950729166667</v>
      </c>
      <c r="W19" s="45" t="str">
        <f t="shared" si="4"/>
        <v>EC</v>
      </c>
      <c r="X19" s="45" t="str">
        <f t="shared" si="5"/>
        <v>KEEP</v>
      </c>
      <c r="Y19" s="99" t="str">
        <f t="shared" si="6"/>
        <v>echo {"issue":{"subject":"","project_id":79,"tracker_id":40,"status_id":1,"priority_id":2,"assigned_to_id":23,"start_date":"2017-06-10","description":"","custom_fields":[{"id":1,"name":"Subdivision","value":"EC"},{"id":4,"name":"Milepost","value":"19.0834"},{"id":17,"name":"Train ID","value":"198-10"},{"id":16,"name":"Locomotive ID","value":"4043"},{"id":130,"name":"Impact","value":""},{"id":150,"name":"Time of Event (Mountain Time)","value":"16:49:03"},{"id":151,"name":"Denver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62"/>
      <c r="AA19" s="47"/>
      <c r="AB19" s="47"/>
      <c r="AC19" s="118" t="str">
        <f t="shared" si="7"/>
        <v>grep -hrE -A400 "Enforcement Action" /cygdrive/c/Users/stu/AppData/Local/Temp/OnboardLogs/RTDC4043 --include="*4043*201706102*"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"%USERPROFILE%\AppData\Local\Temp\OnboardLogs"\RTDC4043\*4043*201706102* &gt;&gt; 2017-06-10-SliceDisagreementCheck.txt</v>
      </c>
      <c r="AE19" s="148" t="str">
        <f t="shared" si="9"/>
        <v>start /low /b %USERPROFILE%\Documents\GitHub\eaglep3\Utilities\DownloadLogsFromS3.py --loco 4043 --day 2017-06-10</v>
      </c>
      <c r="AF19" s="1"/>
    </row>
    <row r="20" spans="1:32" x14ac:dyDescent="0.25">
      <c r="A20" s="31">
        <v>42896.447754629633</v>
      </c>
      <c r="B20" s="30" t="s">
        <v>342</v>
      </c>
      <c r="C20" s="30" t="s">
        <v>579</v>
      </c>
      <c r="D20" s="30" t="s">
        <v>98</v>
      </c>
      <c r="E20" s="30" t="s">
        <v>202</v>
      </c>
      <c r="F20" s="42">
        <v>550</v>
      </c>
      <c r="G20" s="42">
        <v>602</v>
      </c>
      <c r="H20" s="42">
        <v>222355</v>
      </c>
      <c r="I20" s="42">
        <v>219892</v>
      </c>
      <c r="J20" s="30" t="s">
        <v>203</v>
      </c>
      <c r="K20" s="42">
        <v>224581</v>
      </c>
      <c r="L20" s="134" t="s">
        <v>51</v>
      </c>
      <c r="M20" s="135">
        <f t="shared" si="0"/>
        <v>-2475.7919999999999</v>
      </c>
      <c r="N20" s="136" t="str">
        <f>VLOOKUP(C20,'Trips&amp;Operators'!$C$1:$G$99999,5,FALSE)</f>
        <v>GEBRETEKLE DAGNEW</v>
      </c>
      <c r="O20" s="210" t="s">
        <v>182</v>
      </c>
      <c r="P20" s="137"/>
      <c r="Q20" s="30"/>
      <c r="R20" s="84" t="str">
        <f>VLOOKUP(C20,'Train Runs'!$A$13:$AE$9935,31,0)</f>
        <v>aws s3 cp s3://rtdc.mdm.uploadarchive.raw/RTDC4027/ "%USERPROFILE%\AppData\Local\Temp\OnboardLogs"\RTDC4027\2017-06-10 --exclude "*" --recursive --include "*20170610*" &amp; "%USERPROFILE%\Documents\GitHub\mrs-test-scripts\Headless Mode &amp; Sideloading\WalkAndUnGZ.bat" "%USERPROFILE%\AppData\Local\Temp\OnboardLogs"\RTDC4027\2017-06-10 &amp; aws s3 cp s3://rtdc.mdm.uploadarchive.raw/RTDC4027/ "%USERPROFILE%\AppData\Local\Temp\OnboardLogs"\RTDC4027\2017-06-11 --exclude "*" --recursive --include "*20170611*" &amp; "%USERPROFILE%\Documents\GitHub\mrs-test-scripts\Headless Mode &amp; Sideloading\WalkAndUnGZ.bat" "%USERPROFILE%\AppData\Local\Temp\OnboardLogs"\RTDC4027\2017-06-11</v>
      </c>
      <c r="S20" s="87" t="str">
        <f>VLOOKUP(C20,'Train Runs'!$A$13:$AE$9935,22,0)</f>
        <v>https://d0f6bd738d7f1b3e5a7ca70fe4ff75f0.us-east-1.aws.found.io/app/kibana#/discover/Steve-Slow-Train-Analysis-(2080s-and-2083s)?_g=(refreshInterval:(display:Off,pause:!f,section:0,value:0),time:(from:'2017-06-10T09:22:51-0600',mode:absolute,to:'2017-06-10T12:20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0" s="89" t="str">
        <f t="shared" si="1"/>
        <v>"C:\Program Files (x86)\AstroGrep\AstroGrep.exe" /e /r /s /spath="%USERPROFILE%\AppData\Local\Temp\OnboardLogs" /stypes="*4027*201706101*" /stext=" 16:.+((SYSTEM_STATE.+slice.+state.+changed )|(ment ac)|(multiple cpu faults)|(system.+state.+changed )|(\[timeout)|(PRM\|1\|D)|(kpr)|(kdp)|(train st.+moving)|(\|lc)|(penalty))"</v>
      </c>
      <c r="U20" s="9" t="str">
        <f t="shared" si="2"/>
        <v>4027</v>
      </c>
      <c r="V20" s="31">
        <f t="shared" si="3"/>
        <v>42896.697754629633</v>
      </c>
      <c r="W20" s="45" t="str">
        <f t="shared" si="4"/>
        <v>EC</v>
      </c>
      <c r="X20" s="45" t="str">
        <f t="shared" si="5"/>
        <v>KEEP</v>
      </c>
      <c r="Y20" s="99" t="str">
        <f t="shared" si="6"/>
        <v>echo {"issue":{"subject":"","project_id":79,"tracker_id":40,"status_id":1,"priority_id":2,"assigned_to_id":23,"start_date":"2017-06-10","description":"","custom_fields":[{"id":1,"name":"Subdivision","value":"EC"},{"id":4,"name":"Milepost","value":"22.4581"},{"id":17,"name":"Train ID","value":"150-10"},{"id":16,"name":"Locomotive ID","value":"4027"},{"id":130,"name":"Impact","value":""},{"id":150,"name":"Time of Event (Mountain Time)","value":"10:44:46"},{"id":151,"name":"Denver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62"/>
      <c r="AA20" s="47"/>
      <c r="AB20" s="47"/>
      <c r="AC20" s="118" t="str">
        <f t="shared" si="7"/>
        <v>grep -hrE -A400 "Enforcement Action" /cygdrive/c/Users/stu/AppData/Local/Temp/OnboardLogs/RTDC4027 --include="*4027*201706101*"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"%USERPROFILE%\AppData\Local\Temp\OnboardLogs"\RTDC4027\*4027*201706101* &gt;&gt; 2017-06-10-SliceDisagreementCheck.txt</v>
      </c>
      <c r="AE20" s="148" t="str">
        <f t="shared" si="9"/>
        <v>start /low /b %USERPROFILE%\Documents\GitHub\eaglep3\Utilities\DownloadLogsFromS3.py --loco 4027 --day 2017-06-10</v>
      </c>
      <c r="AF20" s="1"/>
    </row>
    <row r="21" spans="1:32" x14ac:dyDescent="0.25">
      <c r="A21" s="31">
        <v>42896.623043981483</v>
      </c>
      <c r="B21" s="30" t="s">
        <v>343</v>
      </c>
      <c r="C21" s="30" t="s">
        <v>593</v>
      </c>
      <c r="D21" s="30" t="s">
        <v>49</v>
      </c>
      <c r="E21" s="30" t="s">
        <v>366</v>
      </c>
      <c r="F21" s="42">
        <v>0</v>
      </c>
      <c r="G21" s="42">
        <v>431</v>
      </c>
      <c r="H21" s="42">
        <v>43052</v>
      </c>
      <c r="I21" s="42">
        <v>44450</v>
      </c>
      <c r="J21" s="30" t="s">
        <v>367</v>
      </c>
      <c r="K21" s="42">
        <v>43651</v>
      </c>
      <c r="L21" s="134" t="s">
        <v>50</v>
      </c>
      <c r="M21" s="135">
        <f t="shared" si="0"/>
        <v>-421.87200000000001</v>
      </c>
      <c r="N21" s="136" t="str">
        <f>VLOOKUP(C21,'Trips&amp;Operators'!$C$1:$G$99999,5,FALSE)</f>
        <v>DAVIS MICHAEL</v>
      </c>
      <c r="O21" s="210" t="s">
        <v>417</v>
      </c>
      <c r="P21" s="137" t="s">
        <v>1033</v>
      </c>
      <c r="Q21" s="30"/>
      <c r="R21" s="84" t="str">
        <f>VLOOKUP(C21,'Train Runs'!$A$13:$AE$9935,31,0)</f>
        <v>aws s3 cp s3://rtdc.mdm.uploadarchive.raw/RTDC4022/ "%USERPROFILE%\AppData\Local\Temp\OnboardLogs"\RTDC4022\2017-06-10 --exclude "*" --recursive --include "*20170610*" &amp; "%USERPROFILE%\Documents\GitHub\mrs-test-scripts\Headless Mode &amp; Sideloading\WalkAndUnGZ.bat" "%USERPROFILE%\AppData\Local\Temp\OnboardLogs"\RTDC4022\2017-06-10 &amp; aws s3 cp s3://rtdc.mdm.uploadarchive.raw/RTDC4022/ "%USERPROFILE%\AppData\Local\Temp\OnboardLogs"\RTDC4022\2017-06-11 --exclude "*" --recursive --include "*20170611*" &amp; "%USERPROFILE%\Documents\GitHub\mrs-test-scripts\Headless Mode &amp; Sideloading\WalkAndUnGZ.bat" "%USERPROFILE%\AppData\Local\Temp\OnboardLogs"\RTDC4022\2017-06-11</v>
      </c>
      <c r="S21" s="87" t="str">
        <f>VLOOKUP(C21,'Train Runs'!$A$13:$AE$9935,22,0)</f>
        <v>https://d0f6bd738d7f1b3e5a7ca70fe4ff75f0.us-east-1.aws.found.io/app/kibana#/discover/Steve-Slow-Train-Analysis-(2080s-and-2083s)?_g=(refreshInterval:(display:Off,pause:!f,section:0,value:0),time:(from:'2017-06-10T13:43:56-0600',mode:absolute,to:'2017-06-10T15:59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21" s="89" t="str">
        <f t="shared" si="1"/>
        <v>"C:\Program Files (x86)\AstroGrep\AstroGrep.exe" /e /r /s /spath="%USERPROFILE%\AppData\Local\Temp\OnboardLogs" /stypes="*4022*201706102*" /stext=" 20:.+((SYSTEM_STATE.+slice.+state.+changed )|(ment ac)|(multiple cpu faults)|(system.+state.+changed )|(\[timeout)|(PRM\|1\|D)|(kpr)|(kdp)|(train st.+moving)|(\|lc)|(penalty))"</v>
      </c>
      <c r="U21" s="9" t="str">
        <f t="shared" si="2"/>
        <v>4022</v>
      </c>
      <c r="V21" s="31">
        <f t="shared" si="3"/>
        <v>42896.873043981483</v>
      </c>
      <c r="W21" s="45" t="str">
        <f t="shared" si="4"/>
        <v>EC</v>
      </c>
      <c r="X21" s="45" t="str">
        <f t="shared" si="5"/>
        <v>KEEP</v>
      </c>
      <c r="Y21" s="99" t="str">
        <f t="shared" si="6"/>
        <v>echo {"issue":{"subject":"EC0508 ELXS failure","project_id":79,"tracker_id":40,"status_id":1,"priority_id":2,"assigned_to_id":23,"start_date":"2017-06-10","description":"","custom_fields":[{"id":1,"name":"Subdivision","value":"EC"},{"id":4,"name":"Milepost","value":"4.3651"},{"id":17,"name":"Train ID","value":"189-10"},{"id":16,"name":"Locomotive ID","value":"4022"},{"id":130,"name":"Impact","value":""},{"id":150,"name":"Time of Event (Mountain Time)","value":"14:57:11"},{"id":151,"name":"Denver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62"/>
      <c r="AA21" s="47"/>
      <c r="AB21" s="47"/>
      <c r="AC21" s="118" t="str">
        <f t="shared" si="7"/>
        <v>grep -hrE -A400 "Enforcement Action" /cygdrive/c/Users/stu/AppData/Local/Temp/OnboardLogs/RTDC4022 --include="*4022*201706102*"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"%USERPROFILE%\AppData\Local\Temp\OnboardLogs"\RTDC4022\*4022*201706102* &gt;&gt; 2017-06-10-SliceDisagreementCheck.txt</v>
      </c>
      <c r="AE21" s="148" t="str">
        <f t="shared" si="9"/>
        <v>start /low /b %USERPROFILE%\Documents\GitHub\eaglep3\Utilities\DownloadLogsFromS3.py --loco 4022 --day 2017-06-10</v>
      </c>
      <c r="AF21" s="1"/>
    </row>
    <row r="22" spans="1:32" x14ac:dyDescent="0.25">
      <c r="A22" s="31">
        <v>42896.712337962963</v>
      </c>
      <c r="B22" s="30" t="s">
        <v>433</v>
      </c>
      <c r="C22" s="30" t="s">
        <v>600</v>
      </c>
      <c r="D22" s="30" t="s">
        <v>49</v>
      </c>
      <c r="E22" s="30" t="s">
        <v>366</v>
      </c>
      <c r="F22" s="42">
        <v>0</v>
      </c>
      <c r="G22" s="42">
        <v>582</v>
      </c>
      <c r="H22" s="42">
        <v>67114</v>
      </c>
      <c r="I22" s="42">
        <v>65297</v>
      </c>
      <c r="J22" s="30" t="s">
        <v>367</v>
      </c>
      <c r="K22" s="42">
        <v>64008</v>
      </c>
      <c r="L22" s="134" t="s">
        <v>51</v>
      </c>
      <c r="M22" s="135">
        <f t="shared" si="0"/>
        <v>680.59199999999987</v>
      </c>
      <c r="N22" s="136" t="str">
        <f>VLOOKUP(C22,'Trips&amp;Operators'!$C$1:$G$99999,5,FALSE)</f>
        <v>LOPES KIMBERLY</v>
      </c>
      <c r="O22" s="210" t="s">
        <v>417</v>
      </c>
      <c r="P22" s="137" t="s">
        <v>1035</v>
      </c>
      <c r="Q22" s="30"/>
      <c r="R22" s="84" t="str">
        <f>VLOOKUP(C22,'Train Runs'!$A$13:$AE$9935,31,0)</f>
        <v>aws s3 cp s3://rtdc.mdm.uploadarchive.raw/RTDC4043/ "%USERPROFILE%\AppData\Local\Temp\OnboardLogs"\RTDC4043\2017-06-10 --exclude "*" --recursive --include "*20170610*" &amp; "%USERPROFILE%\Documents\GitHub\mrs-test-scripts\Headless Mode &amp; Sideloading\WalkAndUnGZ.bat" "%USERPROFILE%\AppData\Local\Temp\OnboardLogs"\RTDC4043\2017-06-10 &amp; aws s3 cp s3://rtdc.mdm.uploadarchive.raw/RTDC4043/ "%USERPROFILE%\AppData\Local\Temp\OnboardLogs"\RTDC4043\2017-06-11 --exclude "*" --recursive --include "*20170611*" &amp; "%USERPROFILE%\Documents\GitHub\mrs-test-scripts\Headless Mode &amp; Sideloading\WalkAndUnGZ.bat" "%USERPROFILE%\AppData\Local\Temp\OnboardLogs"\RTDC4043\2017-06-11</v>
      </c>
      <c r="S22" s="87" t="str">
        <f>VLOOKUP(C22,'Train Runs'!$A$13:$AE$9935,22,0)</f>
        <v>https://d0f6bd738d7f1b3e5a7ca70fe4ff75f0.us-east-1.aws.found.io/app/kibana#/discover/Steve-Slow-Train-Analysis-(2080s-and-2083s)?_g=(refreshInterval:(display:Off,pause:!f,section:0,value:0),time:(from:'2017-06-10T15:36:19-0600',mode:absolute,to:'2017-06-10T18:21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2" s="89" t="str">
        <f t="shared" si="1"/>
        <v>"C:\Program Files (x86)\AstroGrep\AstroGrep.exe" /e /r /s /spath="%USERPROFILE%\AppData\Local\Temp\OnboardLogs" /stypes="*4043*201706102*" /stext=" 23:.+((SYSTEM_STATE.+slice.+state.+changed )|(ment ac)|(multiple cpu faults)|(system.+state.+changed )|(\[timeout)|(PRM\|1\|D)|(kpr)|(kdp)|(train st.+moving)|(\|lc)|(penalty))"</v>
      </c>
      <c r="U22" s="9" t="str">
        <f t="shared" si="2"/>
        <v>4043</v>
      </c>
      <c r="V22" s="31">
        <f t="shared" si="3"/>
        <v>42896.962337962963</v>
      </c>
      <c r="W22" s="45" t="str">
        <f t="shared" si="4"/>
        <v>EC</v>
      </c>
      <c r="X22" s="45" t="str">
        <f t="shared" si="5"/>
        <v>KEEP</v>
      </c>
      <c r="Y22" s="99" t="str">
        <f t="shared" si="6"/>
        <v>echo {"issue":{"subject":"Havana Wi-MAX base radio outage","project_id":79,"tracker_id":40,"status_id":1,"priority_id":2,"assigned_to_id":23,"start_date":"2017-06-10","description":"","custom_fields":[{"id":1,"name":"Subdivision","value":"EC"},{"id":4,"name":"Milepost","value":"6.4008"},{"id":17,"name":"Train ID","value":"198-10"},{"id":16,"name":"Locomotive ID","value":"4043"},{"id":130,"name":"Impact","value":""},{"id":150,"name":"Time of Event (Mountain Time)","value":"17:05:46"},{"id":151,"name":"Denver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62"/>
      <c r="AA22" s="47"/>
      <c r="AB22" s="47"/>
      <c r="AC22" s="118" t="str">
        <f t="shared" si="7"/>
        <v>grep -hrE -A400 "Enforcement Action" /cygdrive/c/Users/stu/AppData/Local/Temp/OnboardLogs/RTDC4043 --include="*4043*201706102*"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"%USERPROFILE%\AppData\Local\Temp\OnboardLogs"\RTDC4043\*4043*201706102* &gt;&gt; 2017-06-10-SliceDisagreementCheck.txt</v>
      </c>
      <c r="AE22" s="148" t="str">
        <f t="shared" si="9"/>
        <v>start /low /b %USERPROFILE%\Documents\GitHub\eaglep3\Utilities\DownloadLogsFromS3.py --loco 4043 --day 2017-06-10</v>
      </c>
      <c r="AF22" s="1"/>
    </row>
    <row r="23" spans="1:32" x14ac:dyDescent="0.25">
      <c r="A23" s="31">
        <v>42896.482152777775</v>
      </c>
      <c r="B23" s="30" t="s">
        <v>540</v>
      </c>
      <c r="C23" s="30" t="s">
        <v>583</v>
      </c>
      <c r="D23" s="30" t="s">
        <v>98</v>
      </c>
      <c r="E23" s="30" t="s">
        <v>366</v>
      </c>
      <c r="F23" s="42">
        <v>0</v>
      </c>
      <c r="G23" s="42">
        <v>755</v>
      </c>
      <c r="H23" s="42">
        <v>69243</v>
      </c>
      <c r="I23" s="42">
        <v>65766</v>
      </c>
      <c r="J23" s="30" t="s">
        <v>367</v>
      </c>
      <c r="K23" s="42">
        <v>69363</v>
      </c>
      <c r="L23" s="134" t="s">
        <v>51</v>
      </c>
      <c r="M23" s="135">
        <f t="shared" si="0"/>
        <v>-1899.2159999999999</v>
      </c>
      <c r="N23" s="136" t="str">
        <f>VLOOKUP(C23,'Trips&amp;Operators'!$C$1:$G$99999,5,FALSE)</f>
        <v>YORK EDGAR</v>
      </c>
      <c r="O23" s="210" t="s">
        <v>417</v>
      </c>
      <c r="P23" s="137" t="s">
        <v>1035</v>
      </c>
      <c r="Q23" s="30"/>
      <c r="R23" s="84" t="str">
        <f>VLOOKUP(C23,'Train Runs'!$A$13:$AE$9935,31,0)</f>
        <v>aws s3 cp s3://rtdc.mdm.uploadarchive.raw/RTDC4003/ "%USERPROFILE%\AppData\Local\Temp\OnboardLogs"\RTDC4003\2017-06-10 --exclude "*" --recursive --include "*20170610*" &amp; "%USERPROFILE%\Documents\GitHub\mrs-test-scripts\Headless Mode &amp; Sideloading\WalkAndUnGZ.bat" "%USERPROFILE%\AppData\Local\Temp\OnboardLogs"\RTDC4003\2017-06-10 &amp; aws s3 cp s3://rtdc.mdm.uploadarchive.raw/RTDC4003/ "%USERPROFILE%\AppData\Local\Temp\OnboardLogs"\RTDC4003\2017-06-11 --exclude "*" --recursive --include "*20170611*" &amp; "%USERPROFILE%\Documents\GitHub\mrs-test-scripts\Headless Mode &amp; Sideloading\WalkAndUnGZ.bat" "%USERPROFILE%\AppData\Local\Temp\OnboardLogs"\RTDC4003\2017-06-11</v>
      </c>
      <c r="S23" s="87" t="str">
        <f>VLOOKUP(C23,'Train Runs'!$A$13:$AE$9935,22,0)</f>
        <v>https://d0f6bd738d7f1b3e5a7ca70fe4ff75f0.us-east-1.aws.found.io/app/kibana#/discover/Steve-Slow-Train-Analysis-(2080s-and-2083s)?_g=(refreshInterval:(display:Off,pause:!f,section:0,value:0),time:(from:'2017-06-10T09:52:44-0600',mode:absolute,to:'2017-06-10T12:34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3" s="89" t="str">
        <f t="shared" si="1"/>
        <v>"C:\Program Files (x86)\AstroGrep\AstroGrep.exe" /e /r /s /spath="%USERPROFILE%\AppData\Local\Temp\OnboardLogs" /stypes="*4003*201706101*" /stext=" 17:.+((SYSTEM_STATE.+slice.+state.+changed )|(ment ac)|(multiple cpu faults)|(system.+state.+changed )|(\[timeout)|(PRM\|1\|D)|(kpr)|(kdp)|(train st.+moving)|(\|lc)|(penalty))"</v>
      </c>
      <c r="U23" s="9" t="str">
        <f t="shared" si="2"/>
        <v>4003</v>
      </c>
      <c r="V23" s="31">
        <f t="shared" si="3"/>
        <v>42896.732152777775</v>
      </c>
      <c r="W23" s="45" t="str">
        <f t="shared" si="4"/>
        <v>EC</v>
      </c>
      <c r="X23" s="45" t="str">
        <f t="shared" si="5"/>
        <v>KEEP</v>
      </c>
      <c r="Y23" s="99" t="str">
        <f t="shared" si="6"/>
        <v>echo {"issue":{"subject":"Havana Wi-MAX base radio outage","project_id":79,"tracker_id":40,"status_id":1,"priority_id":2,"assigned_to_id":23,"start_date":"2017-06-10","description":"","custom_fields":[{"id":1,"name":"Subdivision","value":"EC"},{"id":4,"name":"Milepost","value":"6.9363"},{"id":17,"name":"Train ID","value":"154-10"},{"id":16,"name":"Locomotive ID","value":"4003"},{"id":130,"name":"Impact","value":""},{"id":150,"name":"Time of Event (Mountain Time)","value":"11:34:18"},{"id":151,"name":"Denver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62"/>
      <c r="AA23" s="47"/>
      <c r="AB23" s="47"/>
      <c r="AC23" s="118" t="str">
        <f t="shared" si="7"/>
        <v>grep -hrE -A400 "Enforcement Action" /cygdrive/c/Users/stu/AppData/Local/Temp/OnboardLogs/RTDC4003 --include="*4003*201706101*"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"%USERPROFILE%\AppData\Local\Temp\OnboardLogs"\RTDC4003\*4003*201706101* &gt;&gt; 2017-06-10-SliceDisagreementCheck.txt</v>
      </c>
      <c r="AE23" s="148" t="str">
        <f t="shared" si="9"/>
        <v>start /low /b %USERPROFILE%\Documents\GitHub\eaglep3\Utilities\DownloadLogsFromS3.py --loco 4003 --day 2017-06-10</v>
      </c>
      <c r="AF23" s="1"/>
    </row>
    <row r="24" spans="1:32" x14ac:dyDescent="0.25">
      <c r="A24" s="31">
        <v>42896.678287037037</v>
      </c>
      <c r="B24" s="30" t="s">
        <v>491</v>
      </c>
      <c r="C24" s="30" t="s">
        <v>597</v>
      </c>
      <c r="D24" s="30" t="s">
        <v>49</v>
      </c>
      <c r="E24" s="30" t="s">
        <v>366</v>
      </c>
      <c r="F24" s="42">
        <v>0</v>
      </c>
      <c r="G24" s="42">
        <v>780</v>
      </c>
      <c r="H24" s="42">
        <v>80892</v>
      </c>
      <c r="I24" s="42">
        <v>84420</v>
      </c>
      <c r="J24" s="30" t="s">
        <v>367</v>
      </c>
      <c r="K24" s="42">
        <v>81738</v>
      </c>
      <c r="L24" s="134" t="s">
        <v>50</v>
      </c>
      <c r="M24" s="135">
        <f t="shared" si="0"/>
        <v>-1416.096</v>
      </c>
      <c r="N24" s="136" t="str">
        <f>VLOOKUP(C24,'Trips&amp;Operators'!$C$1:$G$99999,5,FALSE)</f>
        <v>STEWART MICHAEL</v>
      </c>
      <c r="O24" s="210" t="s">
        <v>417</v>
      </c>
      <c r="P24" s="137" t="s">
        <v>1035</v>
      </c>
      <c r="Q24" s="30"/>
      <c r="R24" s="84" t="str">
        <f>VLOOKUP(C24,'Train Runs'!$A$13:$AE$9935,31,0)</f>
        <v>aws s3 cp s3://rtdc.mdm.uploadarchive.raw/RTDC4056/ "%USERPROFILE%\AppData\Local\Temp\OnboardLogs"\RTDC4056\2017-06-10 --exclude "*" --recursive --include "*20170610*" &amp; "%USERPROFILE%\Documents\GitHub\mrs-test-scripts\Headless Mode &amp; Sideloading\WalkAndUnGZ.bat" "%USERPROFILE%\AppData\Local\Temp\OnboardLogs"\RTDC4056\2017-06-10 &amp; aws s3 cp s3://rtdc.mdm.uploadarchive.raw/RTDC4056/ "%USERPROFILE%\AppData\Local\Temp\OnboardLogs"\RTDC4056\2017-06-11 --exclude "*" --recursive --include "*20170611*" &amp; "%USERPROFILE%\Documents\GitHub\mrs-test-scripts\Headless Mode &amp; Sideloading\WalkAndUnGZ.bat" "%USERPROFILE%\AppData\Local\Temp\OnboardLogs"\RTDC4056\2017-06-11</v>
      </c>
      <c r="S24" s="87" t="str">
        <f>VLOOKUP(C24,'Train Runs'!$A$13:$AE$9935,22,0)</f>
        <v>https://d0f6bd738d7f1b3e5a7ca70fe4ff75f0.us-east-1.aws.found.io/app/kibana#/discover/Steve-Slow-Train-Analysis-(2080s-and-2083s)?_g=(refreshInterval:(display:Off,pause:!f,section:0,value:0),time:(from:'2017-06-10T14:55:26-0600',mode:absolute,to:'2017-06-10T17:38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24" s="89" t="str">
        <f t="shared" si="1"/>
        <v>"C:\Program Files (x86)\AstroGrep\AstroGrep.exe" /e /r /s /spath="%USERPROFILE%\AppData\Local\Temp\OnboardLogs" /stypes="*4056*201706102*" /stext=" 22:.+((SYSTEM_STATE.+slice.+state.+changed )|(ment ac)|(multiple cpu faults)|(system.+state.+changed )|(\[timeout)|(PRM\|1\|D)|(kpr)|(kdp)|(train st.+moving)|(\|lc)|(penalty))"</v>
      </c>
      <c r="U24" s="9" t="str">
        <f t="shared" si="2"/>
        <v>4056</v>
      </c>
      <c r="V24" s="31">
        <f t="shared" si="3"/>
        <v>42896.928287037037</v>
      </c>
      <c r="W24" s="45" t="str">
        <f t="shared" si="4"/>
        <v>EC</v>
      </c>
      <c r="X24" s="45" t="str">
        <f t="shared" si="5"/>
        <v>KEEP</v>
      </c>
      <c r="Y24" s="99" t="str">
        <f t="shared" si="6"/>
        <v>echo {"issue":{"subject":"Havana Wi-MAX base radio outage","project_id":79,"tracker_id":40,"status_id":1,"priority_id":2,"assigned_to_id":23,"start_date":"2017-06-10","description":"","custom_fields":[{"id":1,"name":"Subdivision","value":"EC"},{"id":4,"name":"Milepost","value":"8.1738"},{"id":17,"name":"Train ID","value":"199-10"},{"id":16,"name":"Locomotive ID","value":"4056"},{"id":130,"name":"Impact","value":""},{"id":150,"name":"Time of Event (Mountain Time)","value":"16:16:44"},{"id":151,"name":"Denver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62"/>
      <c r="AA24" s="47"/>
      <c r="AB24" s="47"/>
      <c r="AC24" s="118" t="str">
        <f t="shared" si="7"/>
        <v>grep -hrE -A400 "Enforcement Action" /cygdrive/c/Users/stu/AppData/Local/Temp/OnboardLogs/RTDC4056 --include="*4056*201706102*"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"%USERPROFILE%\AppData\Local\Temp\OnboardLogs"\RTDC4056\*4056*201706102* &gt;&gt; 2017-06-10-SliceDisagreementCheck.txt</v>
      </c>
      <c r="AE24" s="148" t="str">
        <f t="shared" si="9"/>
        <v>start /low /b %USERPROFILE%\Documents\GitHub\eaglep3\Utilities\DownloadLogsFromS3.py --loco 4056 --day 2017-06-10</v>
      </c>
      <c r="AF24" s="1"/>
    </row>
    <row r="25" spans="1:32" x14ac:dyDescent="0.25">
      <c r="A25" s="31">
        <v>42896.711851851855</v>
      </c>
      <c r="B25" s="30" t="s">
        <v>341</v>
      </c>
      <c r="C25" s="30" t="s">
        <v>601</v>
      </c>
      <c r="D25" s="30" t="s">
        <v>49</v>
      </c>
      <c r="E25" s="30" t="s">
        <v>366</v>
      </c>
      <c r="F25" s="42">
        <v>0</v>
      </c>
      <c r="G25" s="42">
        <v>644</v>
      </c>
      <c r="H25" s="42">
        <v>77156</v>
      </c>
      <c r="I25" s="42">
        <v>80707</v>
      </c>
      <c r="J25" s="30" t="s">
        <v>367</v>
      </c>
      <c r="K25" s="42">
        <v>81738</v>
      </c>
      <c r="L25" s="134" t="s">
        <v>50</v>
      </c>
      <c r="M25" s="135">
        <f t="shared" si="0"/>
        <v>544.36800000000005</v>
      </c>
      <c r="N25" s="136" t="str">
        <f>VLOOKUP(C25,'Trips&amp;Operators'!$C$1:$G$99999,5,FALSE)</f>
        <v>BRANDNER MELINDA</v>
      </c>
      <c r="O25" s="210" t="s">
        <v>417</v>
      </c>
      <c r="P25" s="137" t="s">
        <v>1035</v>
      </c>
      <c r="Q25" s="30"/>
      <c r="R25" s="84" t="str">
        <f>VLOOKUP(C25,'Train Runs'!$A$13:$AE$9935,31,0)</f>
        <v>aws s3 cp s3://rtdc.mdm.uploadarchive.raw/RTDC4028/ "%USERPROFILE%\AppData\Local\Temp\OnboardLogs"\RTDC4028\2017-06-10 --exclude "*" --recursive --include "*20170610*" &amp; "%USERPROFILE%\Documents\GitHub\mrs-test-scripts\Headless Mode &amp; Sideloading\WalkAndUnGZ.bat" "%USERPROFILE%\AppData\Local\Temp\OnboardLogs"\RTDC4028\2017-06-10 &amp; aws s3 cp s3://rtdc.mdm.uploadarchive.raw/RTDC4028/ "%USERPROFILE%\AppData\Local\Temp\OnboardLogs"\RTDC4028\2017-06-11 --exclude "*" --recursive --include "*20170611*" &amp; "%USERPROFILE%\Documents\GitHub\mrs-test-scripts\Headless Mode &amp; Sideloading\WalkAndUnGZ.bat" "%USERPROFILE%\AppData\Local\Temp\OnboardLogs"\RTDC4028\2017-06-11</v>
      </c>
      <c r="S25" s="87" t="str">
        <f>VLOOKUP(C25,'Train Runs'!$A$13:$AE$9935,22,0)</f>
        <v>https://d0f6bd738d7f1b3e5a7ca70fe4ff75f0.us-east-1.aws.found.io/app/kibana#/discover/Steve-Slow-Train-Analysis-(2080s-and-2083s)?_g=(refreshInterval:(display:Off,pause:!f,section:0,value:0),time:(from:'2017-06-10T15:45:49-0600',mode:absolute,to:'2017-06-10T18:25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5" s="89" t="str">
        <f t="shared" si="1"/>
        <v>"C:\Program Files (x86)\AstroGrep\AstroGrep.exe" /e /r /s /spath="%USERPROFILE%\AppData\Local\Temp\OnboardLogs" /stypes="*4028*201706102*" /stext=" 23:.+((SYSTEM_STATE.+slice.+state.+changed )|(ment ac)|(multiple cpu faults)|(system.+state.+changed )|(\[timeout)|(PRM\|1\|D)|(kpr)|(kdp)|(train st.+moving)|(\|lc)|(penalty))"</v>
      </c>
      <c r="U25" s="9" t="str">
        <f t="shared" si="2"/>
        <v>4028</v>
      </c>
      <c r="V25" s="31">
        <f t="shared" si="3"/>
        <v>42896.961851851855</v>
      </c>
      <c r="W25" s="45" t="str">
        <f t="shared" si="4"/>
        <v>EC</v>
      </c>
      <c r="X25" s="45" t="str">
        <f t="shared" si="5"/>
        <v>KEEP</v>
      </c>
      <c r="Y25" s="99" t="str">
        <f t="shared" si="6"/>
        <v>echo {"issue":{"subject":"Havana Wi-MAX base radio outage","project_id":79,"tracker_id":40,"status_id":1,"priority_id":2,"assigned_to_id":23,"start_date":"2017-06-10","description":"","custom_fields":[{"id":1,"name":"Subdivision","value":"EC"},{"id":4,"name":"Milepost","value":"8.1738"},{"id":17,"name":"Train ID","value":"205-10"},{"id":16,"name":"Locomotive ID","value":"4028"},{"id":130,"name":"Impact","value":""},{"id":150,"name":"Time of Event (Mountain Time)","value":"17:05:04"},{"id":151,"name":"Denver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62"/>
      <c r="AA25" s="47"/>
      <c r="AB25" s="47"/>
      <c r="AC25" s="118" t="str">
        <f t="shared" si="7"/>
        <v>grep -hrE -A400 "Enforcement Action" /cygdrive/c/Users/stu/AppData/Local/Temp/OnboardLogs/RTDC4028 --include="*4028*201706102*"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"%USERPROFILE%\AppData\Local\Temp\OnboardLogs"\RTDC4028\*4028*201706102* &gt;&gt; 2017-06-10-SliceDisagreementCheck.txt</v>
      </c>
      <c r="AE25" s="148" t="str">
        <f t="shared" si="9"/>
        <v>start /low /b %USERPROFILE%\Documents\GitHub\eaglep3\Utilities\DownloadLogsFromS3.py --loco 4028 --day 2017-06-10</v>
      </c>
      <c r="AF25" s="1"/>
    </row>
    <row r="26" spans="1:32" x14ac:dyDescent="0.25">
      <c r="A26" s="31">
        <v>42896.376539351855</v>
      </c>
      <c r="B26" s="30" t="s">
        <v>342</v>
      </c>
      <c r="C26" s="30" t="s">
        <v>578</v>
      </c>
      <c r="D26" s="30" t="s">
        <v>49</v>
      </c>
      <c r="E26" s="30" t="s">
        <v>366</v>
      </c>
      <c r="F26" s="42">
        <v>0</v>
      </c>
      <c r="G26" s="42">
        <v>704</v>
      </c>
      <c r="H26" s="42">
        <v>202009</v>
      </c>
      <c r="I26" s="42">
        <v>199112</v>
      </c>
      <c r="J26" s="30" t="s">
        <v>367</v>
      </c>
      <c r="K26" s="42">
        <v>198256</v>
      </c>
      <c r="L26" s="134" t="s">
        <v>51</v>
      </c>
      <c r="M26" s="135">
        <f t="shared" si="0"/>
        <v>451.96800000000002</v>
      </c>
      <c r="N26" s="136" t="str">
        <f>VLOOKUP(C26,'Trips&amp;Operators'!$C$1:$G$99999,5,FALSE)</f>
        <v>GEBRETEKLE DAGNEW</v>
      </c>
      <c r="O26" s="210" t="s">
        <v>417</v>
      </c>
      <c r="P26" s="137" t="s">
        <v>418</v>
      </c>
      <c r="Q26" s="30"/>
      <c r="R26" s="84" t="str">
        <f>VLOOKUP(C26,'Train Runs'!$A$13:$AE$9935,31,0)</f>
        <v>aws s3 cp s3://rtdc.mdm.uploadarchive.raw/RTDC4027/ "%USERPROFILE%\AppData\Local\Temp\OnboardLogs"\RTDC4027\2017-06-10 --exclude "*" --recursive --include "*20170610*" &amp; "%USERPROFILE%\Documents\GitHub\mrs-test-scripts\Headless Mode &amp; Sideloading\WalkAndUnGZ.bat" "%USERPROFILE%\AppData\Local\Temp\OnboardLogs"\RTDC4027\2017-06-10 &amp; aws s3 cp s3://rtdc.mdm.uploadarchive.raw/RTDC4027/ "%USERPROFILE%\AppData\Local\Temp\OnboardLogs"\RTDC4027\2017-06-11 --exclude "*" --recursive --include "*20170611*" &amp; "%USERPROFILE%\Documents\GitHub\mrs-test-scripts\Headless Mode &amp; Sideloading\WalkAndUnGZ.bat" "%USERPROFILE%\AppData\Local\Temp\OnboardLogs"\RTDC4027\2017-06-11</v>
      </c>
      <c r="S26" s="87" t="str">
        <f>VLOOKUP(C26,'Train Runs'!$A$13:$AE$9935,22,0)</f>
        <v>https://d0f6bd738d7f1b3e5a7ca70fe4ff75f0.us-east-1.aws.found.io/app/kibana#/discover/Steve-Slow-Train-Analysis-(2080s-and-2083s)?_g=(refreshInterval:(display:Off,pause:!f,section:0,value:0),time:(from:'2017-06-10T07:37:53-0600',mode:absolute,to:'2017-06-10T10:35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6" s="89" t="str">
        <f t="shared" si="1"/>
        <v>"C:\Program Files (x86)\AstroGrep\AstroGrep.exe" /e /r /s /spath="%USERPROFILE%\AppData\Local\Temp\OnboardLogs" /stypes="*4027*201706101*" /stext=" 15:.+((SYSTEM_STATE.+slice.+state.+changed )|(ment ac)|(multiple cpu faults)|(system.+state.+changed )|(\[timeout)|(PRM\|1\|D)|(kpr)|(kdp)|(train st.+moving)|(\|lc)|(penalty))"</v>
      </c>
      <c r="U26" s="9" t="str">
        <f t="shared" si="2"/>
        <v>4027</v>
      </c>
      <c r="V26" s="31">
        <f t="shared" si="3"/>
        <v>42896.626539351855</v>
      </c>
      <c r="W26" s="45" t="str">
        <f t="shared" si="4"/>
        <v>EC</v>
      </c>
      <c r="X26" s="45" t="str">
        <f t="shared" si="5"/>
        <v>KEEP</v>
      </c>
      <c r="Y26" s="99" t="str">
        <f t="shared" si="6"/>
        <v>echo {"issue":{"subject":"Wi-MAX data drop","project_id":79,"tracker_id":40,"status_id":1,"priority_id":2,"assigned_to_id":23,"start_date":"2017-06-10","description":"","custom_fields":[{"id":1,"name":"Subdivision","value":"EC"},{"id":4,"name":"Milepost","value":"19.8256"},{"id":17,"name":"Train ID","value":"136-10"},{"id":16,"name":"Locomotive ID","value":"4027"},{"id":130,"name":"Impact","value":""},{"id":150,"name":"Time of Event (Mountain Time)","value":"09:02:13"},{"id":151,"name":"Denver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62"/>
      <c r="AA26" s="47"/>
      <c r="AB26" s="47"/>
      <c r="AC26" s="118" t="str">
        <f t="shared" si="7"/>
        <v>grep -hrE -A400 "Enforcement Action" /cygdrive/c/Users/stu/AppData/Local/Temp/OnboardLogs/RTDC4027 --include="*4027*201706101*"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"%USERPROFILE%\AppData\Local\Temp\OnboardLogs"\RTDC4027\*4027*201706101* &gt;&gt; 2017-06-10-SliceDisagreementCheck.txt</v>
      </c>
      <c r="AE26" s="148" t="str">
        <f t="shared" si="9"/>
        <v>start /low /b %USERPROFILE%\Documents\GitHub\eaglep3\Utilities\DownloadLogsFromS3.py --loco 4027 --day 2017-06-10</v>
      </c>
      <c r="AF26" s="1"/>
    </row>
    <row r="27" spans="1:32" x14ac:dyDescent="0.25">
      <c r="A27" s="31">
        <v>42896.55740740741</v>
      </c>
      <c r="B27" s="30" t="s">
        <v>540</v>
      </c>
      <c r="C27" s="30" t="s">
        <v>589</v>
      </c>
      <c r="D27" s="30" t="s">
        <v>49</v>
      </c>
      <c r="E27" s="30" t="s">
        <v>422</v>
      </c>
      <c r="F27" s="42">
        <v>0</v>
      </c>
      <c r="G27" s="42">
        <v>741</v>
      </c>
      <c r="H27" s="42">
        <v>70736</v>
      </c>
      <c r="I27" s="42">
        <v>67186</v>
      </c>
      <c r="J27" s="30" t="s">
        <v>419</v>
      </c>
      <c r="K27" s="42">
        <v>69363</v>
      </c>
      <c r="L27" s="134" t="s">
        <v>51</v>
      </c>
      <c r="M27" s="135">
        <f t="shared" si="0"/>
        <v>-1149.4559999999999</v>
      </c>
      <c r="N27" s="136" t="str">
        <f>VLOOKUP(C27,'Trips&amp;Operators'!$C$1:$G$99999,5,FALSE)</f>
        <v>YORK EDGAR</v>
      </c>
      <c r="O27" s="210" t="s">
        <v>417</v>
      </c>
      <c r="P27" s="137" t="s">
        <v>1035</v>
      </c>
      <c r="Q27" s="30"/>
      <c r="R27" s="84" t="str">
        <f>VLOOKUP(C27,'Train Runs'!$A$13:$AE$9935,31,0)</f>
        <v>aws s3 cp s3://rtdc.mdm.uploadarchive.raw/RTDC4003/ "%USERPROFILE%\AppData\Local\Temp\OnboardLogs"\RTDC4003\2017-06-10 --exclude "*" --recursive --include "*20170610*" &amp; "%USERPROFILE%\Documents\GitHub\mrs-test-scripts\Headless Mode &amp; Sideloading\WalkAndUnGZ.bat" "%USERPROFILE%\AppData\Local\Temp\OnboardLogs"\RTDC4003\2017-06-10 &amp; aws s3 cp s3://rtdc.mdm.uploadarchive.raw/RTDC4003/ "%USERPROFILE%\AppData\Local\Temp\OnboardLogs"\RTDC4003\2017-06-11 --exclude "*" --recursive --include "*20170611*" &amp; "%USERPROFILE%\Documents\GitHub\mrs-test-scripts\Headless Mode &amp; Sideloading\WalkAndUnGZ.bat" "%USERPROFILE%\AppData\Local\Temp\OnboardLogs"\RTDC4003\2017-06-11</v>
      </c>
      <c r="S27" s="87" t="str">
        <f>VLOOKUP(C27,'Train Runs'!$A$13:$AE$9935,22,0)</f>
        <v>https://d0f6bd738d7f1b3e5a7ca70fe4ff75f0.us-east-1.aws.found.io/app/kibana#/discover/Steve-Slow-Train-Analysis-(2080s-and-2083s)?_g=(refreshInterval:(display:Off,pause:!f,section:0,value:0),time:(from:'2017-06-10T11:36:45-0600',mode:absolute,to:'2017-06-10T14:40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7" s="89" t="str">
        <f t="shared" si="1"/>
        <v>"C:\Program Files (x86)\AstroGrep\AstroGrep.exe" /e /r /s /spath="%USERPROFILE%\AppData\Local\Temp\OnboardLogs" /stypes="*4003*201706101*" /stext=" 19:.+((SYSTEM_STATE.+slice.+state.+changed )|(ment ac)|(multiple cpu faults)|(system.+state.+changed )|(\[timeout)|(PRM\|1\|D)|(kpr)|(kdp)|(train st.+moving)|(\|lc)|(penalty))"</v>
      </c>
      <c r="U27" s="9" t="str">
        <f t="shared" si="2"/>
        <v>4003</v>
      </c>
      <c r="V27" s="31">
        <f t="shared" si="3"/>
        <v>42896.80740740741</v>
      </c>
      <c r="W27" s="45" t="str">
        <f t="shared" si="4"/>
        <v>EC</v>
      </c>
      <c r="X27" s="45" t="str">
        <f t="shared" si="5"/>
        <v>KEEP</v>
      </c>
      <c r="Y27" s="99" t="str">
        <f t="shared" si="6"/>
        <v>echo {"issue":{"subject":"Havana Wi-MAX base radio outage","project_id":79,"tracker_id":40,"status_id":1,"priority_id":2,"assigned_to_id":23,"start_date":"2017-06-10","description":"","custom_fields":[{"id":1,"name":"Subdivision","value":"EC"},{"id":4,"name":"Milepost","value":"6.9363"},{"id":17,"name":"Train ID","value":"168-10"},{"id":16,"name":"Locomotive ID","value":"4003"},{"id":130,"name":"Impact","value":""},{"id":150,"name":"Time of Event (Mountain Time)","value":"13:22:40"},{"id":151,"name":"Denver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62"/>
      <c r="AA27" s="47"/>
      <c r="AB27" s="47"/>
      <c r="AC27" s="118" t="str">
        <f t="shared" si="7"/>
        <v>grep -hrE -A400 "Enforcement Action" /cygdrive/c/Users/stu/AppData/Local/Temp/OnboardLogs/RTDC4003 --include="*4003*201706101*"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"%USERPROFILE%\AppData\Local\Temp\OnboardLogs"\RTDC4003\*4003*201706101* &gt;&gt; 2017-06-10-SliceDisagreementCheck.txt</v>
      </c>
      <c r="AE27" s="148" t="str">
        <f t="shared" si="9"/>
        <v>start /low /b %USERPROFILE%\Documents\GitHub\eaglep3\Utilities\DownloadLogsFromS3.py --loco 4003 --day 2017-06-10</v>
      </c>
      <c r="AF27" s="1"/>
    </row>
    <row r="28" spans="1:32" x14ac:dyDescent="0.25">
      <c r="A28" s="31">
        <v>42896.680555555555</v>
      </c>
      <c r="B28" s="30" t="s">
        <v>342</v>
      </c>
      <c r="C28" s="30" t="s">
        <v>598</v>
      </c>
      <c r="D28" s="30" t="s">
        <v>49</v>
      </c>
      <c r="E28" s="30" t="s">
        <v>422</v>
      </c>
      <c r="F28" s="42">
        <v>0</v>
      </c>
      <c r="G28" s="42">
        <v>704</v>
      </c>
      <c r="H28" s="42">
        <v>69834</v>
      </c>
      <c r="I28" s="42">
        <v>67001</v>
      </c>
      <c r="J28" s="30" t="s">
        <v>419</v>
      </c>
      <c r="K28" s="42">
        <v>69363</v>
      </c>
      <c r="L28" s="134" t="s">
        <v>51</v>
      </c>
      <c r="M28" s="135">
        <f t="shared" si="0"/>
        <v>-1247.136</v>
      </c>
      <c r="N28" s="136" t="str">
        <f>VLOOKUP(C28,'Trips&amp;Operators'!$C$1:$G$99999,5,FALSE)</f>
        <v>BRANDNER MELINDA</v>
      </c>
      <c r="O28" s="210" t="s">
        <v>417</v>
      </c>
      <c r="P28" s="137" t="s">
        <v>1035</v>
      </c>
      <c r="Q28" s="30"/>
      <c r="R28" s="84" t="str">
        <f>VLOOKUP(C28,'Train Runs'!$A$13:$AE$9935,31,0)</f>
        <v>aws s3 cp s3://rtdc.mdm.uploadarchive.raw/RTDC4027/ "%USERPROFILE%\AppData\Local\Temp\OnboardLogs"\RTDC4027\2017-06-10 --exclude "*" --recursive --include "*20170610*" &amp; "%USERPROFILE%\Documents\GitHub\mrs-test-scripts\Headless Mode &amp; Sideloading\WalkAndUnGZ.bat" "%USERPROFILE%\AppData\Local\Temp\OnboardLogs"\RTDC4027\2017-06-10 &amp; aws s3 cp s3://rtdc.mdm.uploadarchive.raw/RTDC4027/ "%USERPROFILE%\AppData\Local\Temp\OnboardLogs"\RTDC4027\2017-06-11 --exclude "*" --recursive --include "*20170611*" &amp; "%USERPROFILE%\Documents\GitHub\mrs-test-scripts\Headless Mode &amp; Sideloading\WalkAndUnGZ.bat" "%USERPROFILE%\AppData\Local\Temp\OnboardLogs"\RTDC4027\2017-06-11</v>
      </c>
      <c r="S28" s="87" t="str">
        <f>VLOOKUP(C28,'Train Runs'!$A$13:$AE$9935,22,0)</f>
        <v>https://d0f6bd738d7f1b3e5a7ca70fe4ff75f0.us-east-1.aws.found.io/app/kibana#/discover/Steve-Slow-Train-Analysis-(2080s-and-2083s)?_g=(refreshInterval:(display:Off,pause:!f,section:0,value:0),time:(from:'2017-06-10T14:56:28-0600',mode:absolute,to:'2017-06-10T17:21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8" s="89" t="str">
        <f t="shared" si="1"/>
        <v>"C:\Program Files (x86)\AstroGrep\AstroGrep.exe" /e /r /s /spath="%USERPROFILE%\AppData\Local\Temp\OnboardLogs" /stypes="*4027*201706102*" /stext=" 22:.+((SYSTEM_STATE.+slice.+state.+changed )|(ment ac)|(multiple cpu faults)|(system.+state.+changed )|(\[timeout)|(PRM\|1\|D)|(kpr)|(kdp)|(train st.+moving)|(\|lc)|(penalty))"</v>
      </c>
      <c r="U28" s="9" t="str">
        <f t="shared" si="2"/>
        <v>4027</v>
      </c>
      <c r="V28" s="31">
        <f t="shared" si="3"/>
        <v>42896.930555555555</v>
      </c>
      <c r="W28" s="45" t="str">
        <f t="shared" si="4"/>
        <v>EC</v>
      </c>
      <c r="X28" s="45" t="str">
        <f t="shared" si="5"/>
        <v>KEEP</v>
      </c>
      <c r="Y28" s="99" t="str">
        <f t="shared" si="6"/>
        <v>echo {"issue":{"subject":"Havana Wi-MAX base radio outage","project_id":79,"tracker_id":40,"status_id":1,"priority_id":2,"assigned_to_id":23,"start_date":"2017-06-10","description":"","custom_fields":[{"id":1,"name":"Subdivision","value":"EC"},{"id":4,"name":"Milepost","value":"6.9363"},{"id":17,"name":"Train ID","value":"192-10"},{"id":16,"name":"Locomotive ID","value":"4027"},{"id":130,"name":"Impact","value":""},{"id":150,"name":"Time of Event (Mountain Time)","value":"16:20:00"},{"id":151,"name":"Denver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62"/>
      <c r="AA28" s="47"/>
      <c r="AB28" s="47"/>
      <c r="AC28" s="118" t="str">
        <f t="shared" si="7"/>
        <v>grep -hrE -A400 "Enforcement Action" /cygdrive/c/Users/stu/AppData/Local/Temp/OnboardLogs/RTDC4027 --include="*4027*201706102*"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"%USERPROFILE%\AppData\Local\Temp\OnboardLogs"\RTDC4027\*4027*201706102* &gt;&gt; 2017-06-10-SliceDisagreementCheck.txt</v>
      </c>
      <c r="AE28" s="148" t="str">
        <f t="shared" si="9"/>
        <v>start /low /b %USERPROFILE%\Documents\GitHub\eaglep3\Utilities\DownloadLogsFromS3.py --loco 4027 --day 2017-06-10</v>
      </c>
      <c r="AF28" s="1"/>
    </row>
    <row r="29" spans="1:32" x14ac:dyDescent="0.25">
      <c r="A29" s="31">
        <v>42896.690879629627</v>
      </c>
      <c r="B29" s="30" t="s">
        <v>503</v>
      </c>
      <c r="C29" s="30" t="s">
        <v>599</v>
      </c>
      <c r="D29" s="30" t="s">
        <v>98</v>
      </c>
      <c r="E29" s="30" t="s">
        <v>422</v>
      </c>
      <c r="F29" s="42">
        <v>0</v>
      </c>
      <c r="G29" s="42">
        <v>623</v>
      </c>
      <c r="H29" s="42">
        <v>69249</v>
      </c>
      <c r="I29" s="42">
        <v>67018</v>
      </c>
      <c r="J29" s="30" t="s">
        <v>419</v>
      </c>
      <c r="K29" s="42">
        <v>69363</v>
      </c>
      <c r="L29" s="134" t="s">
        <v>51</v>
      </c>
      <c r="M29" s="135">
        <f t="shared" si="0"/>
        <v>-1238.1600000000001</v>
      </c>
      <c r="N29" s="136" t="str">
        <f>VLOOKUP(C29,'Trips&amp;Operators'!$C$1:$G$99999,5,FALSE)</f>
        <v>BROWN JACOB</v>
      </c>
      <c r="O29" s="210" t="s">
        <v>417</v>
      </c>
      <c r="P29" s="137" t="s">
        <v>1035</v>
      </c>
      <c r="Q29" s="30"/>
      <c r="R29" s="84" t="str">
        <f>VLOOKUP(C29,'Train Runs'!$A$13:$AE$9935,31,0)</f>
        <v>aws s3 cp s3://rtdc.mdm.uploadarchive.raw/RTDC4031/ "%USERPROFILE%\AppData\Local\Temp\OnboardLogs"\RTDC4031\2017-06-10 --exclude "*" --recursive --include "*20170610*" &amp; "%USERPROFILE%\Documents\GitHub\mrs-test-scripts\Headless Mode &amp; Sideloading\WalkAndUnGZ.bat" "%USERPROFILE%\AppData\Local\Temp\OnboardLogs"\RTDC4031\2017-06-10 &amp; aws s3 cp s3://rtdc.mdm.uploadarchive.raw/RTDC4031/ "%USERPROFILE%\AppData\Local\Temp\OnboardLogs"\RTDC4031\2017-06-11 --exclude "*" --recursive --include "*20170611*" &amp; "%USERPROFILE%\Documents\GitHub\mrs-test-scripts\Headless Mode &amp; Sideloading\WalkAndUnGZ.bat" "%USERPROFILE%\AppData\Local\Temp\OnboardLogs"\RTDC4031\2017-06-11</v>
      </c>
      <c r="S29" s="87" t="str">
        <f>VLOOKUP(C29,'Train Runs'!$A$13:$AE$9935,22,0)</f>
        <v>https://d0f6bd738d7f1b3e5a7ca70fe4ff75f0.us-east-1.aws.found.io/app/kibana#/discover/Steve-Slow-Train-Analysis-(2080s-and-2083s)?_g=(refreshInterval:(display:Off,pause:!f,section:0,value:0),time:(from:'2017-06-10T14:56:56-0600',mode:absolute,to:'2017-06-10T17:53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9" s="89" t="str">
        <f t="shared" si="1"/>
        <v>"C:\Program Files (x86)\AstroGrep\AstroGrep.exe" /e /r /s /spath="%USERPROFILE%\AppData\Local\Temp\OnboardLogs" /stypes="*4031*201706102*" /stext=" 22:.+((SYSTEM_STATE.+slice.+state.+changed )|(ment ac)|(multiple cpu faults)|(system.+state.+changed )|(\[timeout)|(PRM\|1\|D)|(kpr)|(kdp)|(train st.+moving)|(\|lc)|(penalty))"</v>
      </c>
      <c r="U29" s="9" t="str">
        <f t="shared" si="2"/>
        <v>4031</v>
      </c>
      <c r="V29" s="31">
        <f t="shared" si="3"/>
        <v>42896.940879629627</v>
      </c>
      <c r="W29" s="45" t="str">
        <f t="shared" si="4"/>
        <v>EC</v>
      </c>
      <c r="X29" s="45" t="str">
        <f t="shared" si="5"/>
        <v>KEEP</v>
      </c>
      <c r="Y29" s="99" t="str">
        <f t="shared" si="6"/>
        <v>echo {"issue":{"subject":"Havana Wi-MAX base radio outage","project_id":79,"tracker_id":40,"status_id":1,"priority_id":2,"assigned_to_id":23,"start_date":"2017-06-10","description":"","custom_fields":[{"id":1,"name":"Subdivision","value":"EC"},{"id":4,"name":"Milepost","value":"6.9363"},{"id":17,"name":"Train ID","value":"194-10"},{"id":16,"name":"Locomotive ID","value":"4031"},{"id":130,"name":"Impact","value":""},{"id":150,"name":"Time of Event (Mountain Time)","value":"16:34:52"},{"id":151,"name":"Denver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62"/>
      <c r="AA29" s="47"/>
      <c r="AB29" s="47"/>
      <c r="AC29" s="118" t="str">
        <f t="shared" si="7"/>
        <v>grep -hrE -A400 "Enforcement Action" /cygdrive/c/Users/stu/AppData/Local/Temp/OnboardLogs/RTDC4031 --include="*4031*201706102*"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"%USERPROFILE%\AppData\Local\Temp\OnboardLogs"\RTDC4031\*4031*201706102* &gt;&gt; 2017-06-10-SliceDisagreementCheck.txt</v>
      </c>
      <c r="AE29" s="148" t="str">
        <f t="shared" si="9"/>
        <v>start /low /b %USERPROFILE%\Documents\GitHub\eaglep3\Utilities\DownloadLogsFromS3.py --loco 4031 --day 2017-06-10</v>
      </c>
      <c r="AF29" s="1"/>
    </row>
    <row r="30" spans="1:32" x14ac:dyDescent="0.25">
      <c r="A30" s="31">
        <v>42896.504699074074</v>
      </c>
      <c r="B30" s="30" t="s">
        <v>433</v>
      </c>
      <c r="C30" s="30" t="s">
        <v>584</v>
      </c>
      <c r="D30" s="30" t="s">
        <v>49</v>
      </c>
      <c r="E30" s="30" t="s">
        <v>183</v>
      </c>
      <c r="F30" s="42">
        <v>0</v>
      </c>
      <c r="G30" s="42">
        <v>58</v>
      </c>
      <c r="H30" s="42">
        <v>209</v>
      </c>
      <c r="I30" s="42">
        <v>160</v>
      </c>
      <c r="J30" s="30" t="s">
        <v>184</v>
      </c>
      <c r="K30" s="42">
        <v>1</v>
      </c>
      <c r="L30" s="134" t="s">
        <v>51</v>
      </c>
      <c r="M30" s="135">
        <f t="shared" si="0"/>
        <v>83.951999999999998</v>
      </c>
      <c r="N30" s="136" t="str">
        <f>VLOOKUP(C30,'Trips&amp;Operators'!$C$1:$G$99999,5,FALSE)</f>
        <v>DAVIDSON DAVID</v>
      </c>
      <c r="O30" s="210" t="s">
        <v>182</v>
      </c>
      <c r="P30" s="137"/>
      <c r="Q30" s="30"/>
      <c r="R30" s="84" t="str">
        <f>VLOOKUP(C30,'Train Runs'!$A$13:$AE$9935,31,0)</f>
        <v>aws s3 cp s3://rtdc.mdm.uploadarchive.raw/RTDC4043/ "%USERPROFILE%\AppData\Local\Temp\OnboardLogs"\RTDC4043\2017-06-10 --exclude "*" --recursive --include "*20170610*" &amp; "%USERPROFILE%\Documents\GitHub\mrs-test-scripts\Headless Mode &amp; Sideloading\WalkAndUnGZ.bat" "%USERPROFILE%\AppData\Local\Temp\OnboardLogs"\RTDC4043\2017-06-10 &amp; aws s3 cp s3://rtdc.mdm.uploadarchive.raw/RTDC4043/ "%USERPROFILE%\AppData\Local\Temp\OnboardLogs"\RTDC4043\2017-06-11 --exclude "*" --recursive --include "*20170611*" &amp; "%USERPROFILE%\Documents\GitHub\mrs-test-scripts\Headless Mode &amp; Sideloading\WalkAndUnGZ.bat" "%USERPROFILE%\AppData\Local\Temp\OnboardLogs"\RTDC4043\2017-06-11</v>
      </c>
      <c r="S30" s="87" t="str">
        <f>VLOOKUP(C30,'Train Runs'!$A$13:$AE$9935,22,0)</f>
        <v>https://d0f6bd738d7f1b3e5a7ca70fe4ff75f0.us-east-1.aws.found.io/app/kibana#/discover/Steve-Slow-Train-Analysis-(2080s-and-2083s)?_g=(refreshInterval:(display:Off,pause:!f,section:0,value:0),time:(from:'2017-06-10T10:11:33-0600',mode:absolute,to:'2017-06-10T13:06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30" s="89" t="str">
        <f t="shared" si="1"/>
        <v>"C:\Program Files (x86)\AstroGrep\AstroGrep.exe" /e /r /s /spath="%USERPROFILE%\AppData\Local\Temp\OnboardLogs" /stypes="*4043*201706101*" /stext=" 18:.+((SYSTEM_STATE.+slice.+state.+changed )|(ment ac)|(multiple cpu faults)|(system.+state.+changed )|(\[timeout)|(PRM\|1\|D)|(kpr)|(kdp)|(train st.+moving)|(\|lc)|(penalty))"</v>
      </c>
      <c r="U30" s="9" t="str">
        <f t="shared" si="2"/>
        <v>4043</v>
      </c>
      <c r="V30" s="31">
        <f t="shared" si="3"/>
        <v>42896.754699074074</v>
      </c>
      <c r="W30" s="45" t="str">
        <f t="shared" si="4"/>
        <v>EC</v>
      </c>
      <c r="X30" s="45" t="str">
        <f t="shared" si="5"/>
        <v>KEEP</v>
      </c>
      <c r="Y30" s="99" t="str">
        <f t="shared" si="6"/>
        <v>echo {"issue":{"subject":"","project_id":79,"tracker_id":40,"status_id":1,"priority_id":2,"assigned_to_id":23,"start_date":"2017-06-10","description":"","custom_fields":[{"id":1,"name":"Subdivision","value":"EC"},{"id":4,"name":"Milepost","value":"0.0001"},{"id":17,"name":"Train ID","value":"156-10"},{"id":16,"name":"Locomotive ID","value":"4043"},{"id":130,"name":"Impact","value":""},{"id":150,"name":"Time of Event (Mountain Time)","value":"12:06:46"},{"id":151,"name":"Denver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62"/>
      <c r="AA30" s="47"/>
      <c r="AB30" s="47"/>
      <c r="AC30" s="118" t="str">
        <f t="shared" si="7"/>
        <v>grep -hrE -A400 "Enforcement Action" /cygdrive/c/Users/stu/AppData/Local/Temp/OnboardLogs/RTDC4043 --include="*4043*201706101*"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"%USERPROFILE%\AppData\Local\Temp\OnboardLogs"\RTDC4043\*4043*201706101* &gt;&gt; 2017-06-10-SliceDisagreementCheck.txt</v>
      </c>
      <c r="AE30" s="148" t="str">
        <f t="shared" si="9"/>
        <v>start /low /b %USERPROFILE%\Documents\GitHub\eaglep3\Utilities\DownloadLogsFromS3.py --loco 4043 --day 2017-06-10</v>
      </c>
      <c r="AF30" s="1"/>
    </row>
    <row r="31" spans="1:32" x14ac:dyDescent="0.25">
      <c r="A31" s="31">
        <v>42896.649201388886</v>
      </c>
      <c r="B31" s="30" t="s">
        <v>433</v>
      </c>
      <c r="C31" s="30" t="s">
        <v>594</v>
      </c>
      <c r="D31" s="30" t="s">
        <v>49</v>
      </c>
      <c r="E31" s="30" t="s">
        <v>183</v>
      </c>
      <c r="F31" s="42">
        <v>0</v>
      </c>
      <c r="G31" s="42">
        <v>79</v>
      </c>
      <c r="H31" s="42">
        <v>291</v>
      </c>
      <c r="I31" s="42">
        <v>207</v>
      </c>
      <c r="J31" s="30" t="s">
        <v>184</v>
      </c>
      <c r="K31" s="42">
        <v>1</v>
      </c>
      <c r="L31" s="134" t="s">
        <v>51</v>
      </c>
      <c r="M31" s="135">
        <f t="shared" si="0"/>
        <v>108.768</v>
      </c>
      <c r="N31" s="136" t="str">
        <f>VLOOKUP(C31,'Trips&amp;Operators'!$C$1:$G$99999,5,FALSE)</f>
        <v>LOPES KIMBERLY</v>
      </c>
      <c r="O31" s="210" t="s">
        <v>182</v>
      </c>
      <c r="P31" s="137"/>
      <c r="Q31" s="30"/>
      <c r="R31" s="84" t="str">
        <f>VLOOKUP(C31,'Train Runs'!$A$13:$AE$9935,31,0)</f>
        <v>aws s3 cp s3://rtdc.mdm.uploadarchive.raw/RTDC4043/ "%USERPROFILE%\AppData\Local\Temp\OnboardLogs"\RTDC4043\2017-06-10 --exclude "*" --recursive --include "*20170610*" &amp; "%USERPROFILE%\Documents\GitHub\mrs-test-scripts\Headless Mode &amp; Sideloading\WalkAndUnGZ.bat" "%USERPROFILE%\AppData\Local\Temp\OnboardLogs"\RTDC4043\2017-06-10 &amp; aws s3 cp s3://rtdc.mdm.uploadarchive.raw/RTDC4043/ "%USERPROFILE%\AppData\Local\Temp\OnboardLogs"\RTDC4043\2017-06-11 --exclude "*" --recursive --include "*20170611*" &amp; "%USERPROFILE%\Documents\GitHub\mrs-test-scripts\Headless Mode &amp; Sideloading\WalkAndUnGZ.bat" "%USERPROFILE%\AppData\Local\Temp\OnboardLogs"\RTDC4043\2017-06-11</v>
      </c>
      <c r="S31" s="87" t="str">
        <f>VLOOKUP(C31,'Train Runs'!$A$13:$AE$9935,22,0)</f>
        <v>https://d0f6bd738d7f1b3e5a7ca70fe4ff75f0.us-east-1.aws.found.io/app/kibana#/discover/Steve-Slow-Train-Analysis-(2080s-and-2083s)?_g=(refreshInterval:(display:Off,pause:!f,section:0,value:0),time:(from:'2017-06-10T13:52:31-0600',mode:absolute,to:'2017-06-10T16:34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31" s="89" t="str">
        <f t="shared" si="1"/>
        <v>"C:\Program Files (x86)\AstroGrep\AstroGrep.exe" /e /r /s /spath="%USERPROFILE%\AppData\Local\Temp\OnboardLogs" /stypes="*4043*201706102*" /stext=" 21:.+((SYSTEM_STATE.+slice.+state.+changed )|(ment ac)|(multiple cpu faults)|(system.+state.+changed )|(\[timeout)|(PRM\|1\|D)|(kpr)|(kdp)|(train st.+moving)|(\|lc)|(penalty))"</v>
      </c>
      <c r="U31" s="9" t="str">
        <f t="shared" si="2"/>
        <v>4043</v>
      </c>
      <c r="V31" s="31">
        <f t="shared" si="3"/>
        <v>42896.899201388886</v>
      </c>
      <c r="W31" s="45" t="str">
        <f t="shared" si="4"/>
        <v>EC</v>
      </c>
      <c r="X31" s="45" t="str">
        <f t="shared" si="5"/>
        <v>KEEP</v>
      </c>
      <c r="Y31" s="99" t="str">
        <f t="shared" si="6"/>
        <v>echo {"issue":{"subject":"","project_id":79,"tracker_id":40,"status_id":1,"priority_id":2,"assigned_to_id":23,"start_date":"2017-06-10","description":"","custom_fields":[{"id":1,"name":"Subdivision","value":"EC"},{"id":4,"name":"Milepost","value":"0.0001"},{"id":17,"name":"Train ID","value":"184-10"},{"id":16,"name":"Locomotive ID","value":"4043"},{"id":130,"name":"Impact","value":""},{"id":150,"name":"Time of Event (Mountain Time)","value":"15:34:51"},{"id":151,"name":"Denver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62"/>
      <c r="AA31" s="47"/>
      <c r="AB31" s="47"/>
      <c r="AC31" s="118" t="str">
        <f t="shared" si="7"/>
        <v>grep -hrE -A400 "Enforcement Action" /cygdrive/c/Users/stu/AppData/Local/Temp/OnboardLogs/RTDC4043 --include="*4043*201706102*"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"%USERPROFILE%\AppData\Local\Temp\OnboardLogs"\RTDC4043\*4043*201706102* &gt;&gt; 2017-06-10-SliceDisagreementCheck.txt</v>
      </c>
      <c r="AE31" s="148" t="str">
        <f t="shared" si="9"/>
        <v>start /low /b %USERPROFILE%\Documents\GitHub\eaglep3\Utilities\DownloadLogsFromS3.py --loco 4043 --day 2017-06-10</v>
      </c>
      <c r="AF31" s="1"/>
    </row>
    <row r="32" spans="1:32" x14ac:dyDescent="0.25">
      <c r="A32" s="31">
        <v>42896.275219907409</v>
      </c>
      <c r="B32" s="30" t="s">
        <v>371</v>
      </c>
      <c r="C32" s="30" t="s">
        <v>575</v>
      </c>
      <c r="D32" s="30" t="s">
        <v>49</v>
      </c>
      <c r="E32" s="30" t="s">
        <v>183</v>
      </c>
      <c r="F32" s="42">
        <v>0</v>
      </c>
      <c r="G32" s="42">
        <v>89</v>
      </c>
      <c r="H32" s="42">
        <v>1218</v>
      </c>
      <c r="I32" s="42">
        <v>1115</v>
      </c>
      <c r="J32" s="30" t="s">
        <v>184</v>
      </c>
      <c r="K32" s="42">
        <v>839</v>
      </c>
      <c r="L32" s="134" t="s">
        <v>51</v>
      </c>
      <c r="M32" s="135">
        <f t="shared" si="0"/>
        <v>145.72800000000001</v>
      </c>
      <c r="N32" s="136" t="str">
        <f>VLOOKUP(C32,'Trips&amp;Operators'!$C$1:$G$99999,5,FALSE)</f>
        <v>MAYBERRY BILL</v>
      </c>
      <c r="O32" s="210" t="s">
        <v>182</v>
      </c>
      <c r="P32" s="137"/>
      <c r="Q32" s="30"/>
      <c r="R32" s="84" t="str">
        <f>VLOOKUP(C32,'Train Runs'!$A$13:$AE$9935,31,0)</f>
        <v>aws s3 cp s3://rtdc.mdm.uploadarchive.raw/RTDC4021/ "%USERPROFILE%\AppData\Local\Temp\OnboardLogs"\RTDC4021\2017-06-10 --exclude "*" --recursive --include "*20170610*" &amp; "%USERPROFILE%\Documents\GitHub\mrs-test-scripts\Headless Mode &amp; Sideloading\WalkAndUnGZ.bat" "%USERPROFILE%\AppData\Local\Temp\OnboardLogs"\RTDC4021\2017-06-10 &amp; aws s3 cp s3://rtdc.mdm.uploadarchive.raw/RTDC4021/ "%USERPROFILE%\AppData\Local\Temp\OnboardLogs"\RTDC4021\2017-06-11 --exclude "*" --recursive --include "*20170611*" &amp; "%USERPROFILE%\Documents\GitHub\mrs-test-scripts\Headless Mode &amp; Sideloading\WalkAndUnGZ.bat" "%USERPROFILE%\AppData\Local\Temp\OnboardLogs"\RTDC4021\2017-06-11</v>
      </c>
      <c r="S32" s="87" t="str">
        <f>VLOOKUP(C32,'Train Runs'!$A$13:$AE$9935,22,0)</f>
        <v>https://d0f6bd738d7f1b3e5a7ca70fe4ff75f0.us-east-1.aws.found.io/app/kibana#/discover/Steve-Slow-Train-Analysis-(2080s-and-2083s)?_g=(refreshInterval:(display:Off,pause:!f,section:0,value:0),time:(from:'2017-06-10T04:50:36-0600',mode:absolute,to:'2017-06-10T07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32" s="89" t="str">
        <f t="shared" si="1"/>
        <v>"C:\Program Files (x86)\AstroGrep\AstroGrep.exe" /e /r /s /spath="%USERPROFILE%\AppData\Local\Temp\OnboardLogs" /stypes="*4021*201706101*" /stext=" 12:.+((SYSTEM_STATE.+slice.+state.+changed )|(ment ac)|(multiple cpu faults)|(system.+state.+changed )|(\[timeout)|(PRM\|1\|D)|(kpr)|(kdp)|(train st.+moving)|(\|lc)|(penalty))"</v>
      </c>
      <c r="U32" s="9" t="str">
        <f t="shared" si="2"/>
        <v>4021</v>
      </c>
      <c r="V32" s="31">
        <f t="shared" si="3"/>
        <v>42896.525219907409</v>
      </c>
      <c r="W32" s="45" t="str">
        <f t="shared" si="4"/>
        <v>EC</v>
      </c>
      <c r="X32" s="45" t="str">
        <f t="shared" si="5"/>
        <v>KEEP</v>
      </c>
      <c r="Y32" s="99" t="str">
        <f t="shared" si="6"/>
        <v>echo {"issue":{"subject":"","project_id":79,"tracker_id":40,"status_id":1,"priority_id":2,"assigned_to_id":23,"start_date":"2017-06-10","description":"","custom_fields":[{"id":1,"name":"Subdivision","value":"EC"},{"id":4,"name":"Milepost","value":"0.0839"},{"id":17,"name":"Train ID","value":"112-10"},{"id":16,"name":"Locomotive ID","value":"4021"},{"id":130,"name":"Impact","value":""},{"id":150,"name":"Time of Event (Mountain Time)","value":"06:36:19"},{"id":151,"name":"Denver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62"/>
      <c r="AA32" s="47"/>
      <c r="AB32" s="47"/>
      <c r="AC32" s="118" t="str">
        <f t="shared" si="7"/>
        <v>grep -hrE -A400 "Enforcement Action" /cygdrive/c/Users/stu/AppData/Local/Temp/OnboardLogs/RTDC4021 --include="*4021*201706101*"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"%USERPROFILE%\AppData\Local\Temp\OnboardLogs"\RTDC4021\*4021*201706101* &gt;&gt; 2017-06-10-SliceDisagreementCheck.txt</v>
      </c>
      <c r="AE32" s="148" t="str">
        <f t="shared" si="9"/>
        <v>start /low /b %USERPROFILE%\Documents\GitHub\eaglep3\Utilities\DownloadLogsFromS3.py --loco 4021 --day 2017-06-10</v>
      </c>
      <c r="AF32" s="1"/>
    </row>
    <row r="33" spans="1:32" x14ac:dyDescent="0.25">
      <c r="A33" s="31">
        <v>42896.536423611113</v>
      </c>
      <c r="B33" s="30" t="s">
        <v>459</v>
      </c>
      <c r="C33" s="30" t="s">
        <v>586</v>
      </c>
      <c r="D33" s="30" t="s">
        <v>49</v>
      </c>
      <c r="E33" s="30" t="s">
        <v>183</v>
      </c>
      <c r="F33" s="42">
        <v>0</v>
      </c>
      <c r="G33" s="42">
        <v>32</v>
      </c>
      <c r="H33" s="42">
        <v>911</v>
      </c>
      <c r="I33" s="42">
        <v>873</v>
      </c>
      <c r="J33" s="30" t="s">
        <v>184</v>
      </c>
      <c r="K33" s="42">
        <v>839</v>
      </c>
      <c r="L33" s="134" t="s">
        <v>51</v>
      </c>
      <c r="M33" s="135">
        <f t="shared" si="0"/>
        <v>17.952000000000002</v>
      </c>
      <c r="N33" s="136" t="str">
        <f>VLOOKUP(C33,'Trips&amp;Operators'!$C$1:$G$99999,5,FALSE)</f>
        <v>DAVIS MICHAEL</v>
      </c>
      <c r="O33" s="210" t="s">
        <v>182</v>
      </c>
      <c r="P33" s="137"/>
      <c r="Q33" s="30"/>
      <c r="R33" s="84" t="str">
        <f>VLOOKUP(C33,'Train Runs'!$A$13:$AE$9935,31,0)</f>
        <v>aws s3 cp s3://rtdc.mdm.uploadarchive.raw/RTDC4001/ "%USERPROFILE%\AppData\Local\Temp\OnboardLogs"\RTDC4001\2017-06-10 --exclude "*" --recursive --include "*20170610*" &amp; "%USERPROFILE%\Documents\GitHub\mrs-test-scripts\Headless Mode &amp; Sideloading\WalkAndUnGZ.bat" "%USERPROFILE%\AppData\Local\Temp\OnboardLogs"\RTDC4001\2017-06-10 &amp; aws s3 cp s3://rtdc.mdm.uploadarchive.raw/RTDC4001/ "%USERPROFILE%\AppData\Local\Temp\OnboardLogs"\RTDC4001\2017-06-11 --exclude "*" --recursive --include "*20170611*" &amp; "%USERPROFILE%\Documents\GitHub\mrs-test-scripts\Headless Mode &amp; Sideloading\WalkAndUnGZ.bat" "%USERPROFILE%\AppData\Local\Temp\OnboardLogs"\RTDC4001\2017-06-11</v>
      </c>
      <c r="S33" s="87" t="str">
        <f>VLOOKUP(C33,'Train Runs'!$A$13:$AE$9935,22,0)</f>
        <v>https://d0f6bd738d7f1b3e5a7ca70fe4ff75f0.us-east-1.aws.found.io/app/kibana#/discover/Steve-Slow-Train-Analysis-(2080s-and-2083s)?_g=(refreshInterval:(display:Off,pause:!f,section:0,value:0),time:(from:'2017-06-10T11:09:14-0600',mode:absolute,to:'2017-06-10T13:52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33" s="89" t="str">
        <f t="shared" si="1"/>
        <v>"C:\Program Files (x86)\AstroGrep\AstroGrep.exe" /e /r /s /spath="%USERPROFILE%\AppData\Local\Temp\OnboardLogs" /stypes="*4001*201706101*" /stext=" 18:.+((SYSTEM_STATE.+slice.+state.+changed )|(ment ac)|(multiple cpu faults)|(system.+state.+changed )|(\[timeout)|(PRM\|1\|D)|(kpr)|(kdp)|(train st.+moving)|(\|lc)|(penalty))"</v>
      </c>
      <c r="U33" s="9" t="str">
        <f t="shared" si="2"/>
        <v>4001</v>
      </c>
      <c r="V33" s="31">
        <f t="shared" si="3"/>
        <v>42896.786423611113</v>
      </c>
      <c r="W33" s="45" t="str">
        <f t="shared" si="4"/>
        <v>EC</v>
      </c>
      <c r="X33" s="45" t="str">
        <f t="shared" si="5"/>
        <v>KEEP</v>
      </c>
      <c r="Y33" s="99" t="str">
        <f t="shared" si="6"/>
        <v>echo {"issue":{"subject":"","project_id":79,"tracker_id":40,"status_id":1,"priority_id":2,"assigned_to_id":23,"start_date":"2017-06-10","description":"","custom_fields":[{"id":1,"name":"Subdivision","value":"EC"},{"id":4,"name":"Milepost","value":"0.0839"},{"id":17,"name":"Train ID","value":"162-10"},{"id":16,"name":"Locomotive ID","value":"4001"},{"id":130,"name":"Impact","value":""},{"id":150,"name":"Time of Event (Mountain Time)","value":"12:52:27"},{"id":151,"name":"Denver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62"/>
      <c r="AA33" s="47"/>
      <c r="AB33" s="47"/>
      <c r="AC33" s="118" t="str">
        <f t="shared" si="7"/>
        <v>grep -hrE -A400 "Enforcement Action" /cygdrive/c/Users/stu/AppData/Local/Temp/OnboardLogs/RTDC4001 --include="*4001*201706101*"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"%USERPROFILE%\AppData\Local\Temp\OnboardLogs"\RTDC4001\*4001*201706101* &gt;&gt; 2017-06-10-SliceDisagreementCheck.txt</v>
      </c>
      <c r="AE33" s="148" t="str">
        <f t="shared" si="9"/>
        <v>start /low /b %USERPROFILE%\Documents\GitHub\eaglep3\Utilities\DownloadLogsFromS3.py --loco 4001 --day 2017-06-10</v>
      </c>
      <c r="AF33" s="1"/>
    </row>
    <row r="34" spans="1:32" x14ac:dyDescent="0.25">
      <c r="A34" s="31">
        <v>42896.653043981481</v>
      </c>
      <c r="B34" s="30" t="s">
        <v>341</v>
      </c>
      <c r="C34" s="30" t="s">
        <v>595</v>
      </c>
      <c r="D34" s="30" t="s">
        <v>49</v>
      </c>
      <c r="E34" s="30" t="s">
        <v>183</v>
      </c>
      <c r="F34" s="42">
        <v>0</v>
      </c>
      <c r="G34" s="42">
        <v>20</v>
      </c>
      <c r="H34" s="42">
        <v>233435</v>
      </c>
      <c r="I34" s="42">
        <v>233445</v>
      </c>
      <c r="J34" s="30" t="s">
        <v>184</v>
      </c>
      <c r="K34" s="42">
        <v>233491</v>
      </c>
      <c r="L34" s="134" t="s">
        <v>50</v>
      </c>
      <c r="M34" s="135">
        <f t="shared" si="0"/>
        <v>24.288</v>
      </c>
      <c r="N34" s="136" t="str">
        <f>VLOOKUP(C34,'Trips&amp;Operators'!$C$1:$G$99999,5,FALSE)</f>
        <v>BRANDNER MELINDA</v>
      </c>
      <c r="O34" s="210" t="s">
        <v>182</v>
      </c>
      <c r="P34" s="137"/>
      <c r="Q34" s="30"/>
      <c r="R34" s="84" t="str">
        <f>VLOOKUP(C34,'Train Runs'!$A$13:$AE$9935,31,0)</f>
        <v>aws s3 cp s3://rtdc.mdm.uploadarchive.raw/RTDC4028/ "%USERPROFILE%\AppData\Local\Temp\OnboardLogs"\RTDC4028\2017-06-10 --exclude "*" --recursive --include "*20170610*" &amp; "%USERPROFILE%\Documents\GitHub\mrs-test-scripts\Headless Mode &amp; Sideloading\WalkAndUnGZ.bat" "%USERPROFILE%\AppData\Local\Temp\OnboardLogs"\RTDC4028\2017-06-10 &amp; aws s3 cp s3://rtdc.mdm.uploadarchive.raw/RTDC4028/ "%USERPROFILE%\AppData\Local\Temp\OnboardLogs"\RTDC4028\2017-06-11 --exclude "*" --recursive --include "*20170611*" &amp; "%USERPROFILE%\Documents\GitHub\mrs-test-scripts\Headless Mode &amp; Sideloading\WalkAndUnGZ.bat" "%USERPROFILE%\AppData\Local\Temp\OnboardLogs"\RTDC4028\2017-06-11</v>
      </c>
      <c r="S34" s="87" t="str">
        <f>VLOOKUP(C34,'Train Runs'!$A$13:$AE$9935,22,0)</f>
        <v>https://d0f6bd738d7f1b3e5a7ca70fe4ff75f0.us-east-1.aws.found.io/app/kibana#/discover/Steve-Slow-Train-Analysis-(2080s-and-2083s)?_g=(refreshInterval:(display:Off,pause:!f,section:0,value:0),time:(from:'2017-06-10T13:57:42-0600',mode:absolute,to:'2017-06-10T16:40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34" s="89" t="str">
        <f t="shared" si="1"/>
        <v>"C:\Program Files (x86)\AstroGrep\AstroGrep.exe" /e /r /s /spath="%USERPROFILE%\AppData\Local\Temp\OnboardLogs" /stypes="*4028*201706102*" /stext=" 21:.+((SYSTEM_STATE.+slice.+state.+changed )|(ment ac)|(multiple cpu faults)|(system.+state.+changed )|(\[timeout)|(PRM\|1\|D)|(kpr)|(kdp)|(train st.+moving)|(\|lc)|(penalty))"</v>
      </c>
      <c r="U34" s="9" t="str">
        <f t="shared" si="2"/>
        <v>4028</v>
      </c>
      <c r="V34" s="31">
        <f t="shared" si="3"/>
        <v>42896.903043981481</v>
      </c>
      <c r="W34" s="45" t="str">
        <f t="shared" si="4"/>
        <v>EC</v>
      </c>
      <c r="X34" s="45" t="str">
        <f t="shared" si="5"/>
        <v>KEEP</v>
      </c>
      <c r="Y34" s="99" t="str">
        <f t="shared" si="6"/>
        <v>echo {"issue":{"subject":"","project_id":79,"tracker_id":40,"status_id":1,"priority_id":2,"assigned_to_id":23,"start_date":"2017-06-10","description":"","custom_fields":[{"id":1,"name":"Subdivision","value":"EC"},{"id":4,"name":"Milepost","value":"23.3491"},{"id":17,"name":"Train ID","value":"191-10"},{"id":16,"name":"Locomotive ID","value":"4028"},{"id":130,"name":"Impact","value":""},{"id":150,"name":"Time of Event (Mountain Time)","value":"15:40:23"},{"id":151,"name":"Denver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62"/>
      <c r="AA34" s="47"/>
      <c r="AB34" s="47"/>
      <c r="AC34" s="118" t="str">
        <f t="shared" si="7"/>
        <v>grep -hrE -A400 "Enforcement Action" /cygdrive/c/Users/stu/AppData/Local/Temp/OnboardLogs/RTDC4028 --include="*4028*201706102*"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"%USERPROFILE%\AppData\Local\Temp\OnboardLogs"\RTDC4028\*4028*201706102* &gt;&gt; 2017-06-10-SliceDisagreementCheck.txt</v>
      </c>
      <c r="AE34" s="148" t="str">
        <f t="shared" si="9"/>
        <v>start /low /b %USERPROFILE%\Documents\GitHub\eaglep3\Utilities\DownloadLogsFromS3.py --loco 4028 --day 2017-06-10</v>
      </c>
      <c r="AF34" s="1"/>
    </row>
    <row r="35" spans="1:32" x14ac:dyDescent="0.25">
      <c r="A35" s="31">
        <v>42896.475775462961</v>
      </c>
      <c r="B35" s="30" t="s">
        <v>406</v>
      </c>
      <c r="C35" s="30" t="s">
        <v>581</v>
      </c>
      <c r="D35" s="30" t="s">
        <v>49</v>
      </c>
      <c r="E35" s="30" t="s">
        <v>189</v>
      </c>
      <c r="F35" s="42">
        <v>240</v>
      </c>
      <c r="G35" s="42">
        <v>292</v>
      </c>
      <c r="H35" s="42">
        <v>10259</v>
      </c>
      <c r="I35" s="42">
        <v>10843</v>
      </c>
      <c r="J35" s="30" t="s">
        <v>190</v>
      </c>
      <c r="K35" s="42">
        <v>10714</v>
      </c>
      <c r="L35" s="134" t="s">
        <v>50</v>
      </c>
      <c r="M35" s="135">
        <f t="shared" si="0"/>
        <v>-68.111999999999995</v>
      </c>
      <c r="N35" s="136" t="str">
        <f>VLOOKUP(C35,'Trips&amp;Operators'!$C$1:$G$99999,5,FALSE)</f>
        <v>MACDONALD THOMAS</v>
      </c>
      <c r="O35" s="210" t="s">
        <v>182</v>
      </c>
      <c r="P35" s="137" t="s">
        <v>402</v>
      </c>
      <c r="Q35" s="30"/>
      <c r="R35" s="84" t="str">
        <f>VLOOKUP(C35,'Train Runs'!$A$13:$AE$9935,31,0)</f>
        <v>aws s3 cp s3://rtdc.mdm.uploadarchive.raw/RTDC4008/ "%USERPROFILE%\AppData\Local\Temp\OnboardLogs"\RTDC4008\2017-06-10 --exclude "*" --recursive --include "*20170610*" &amp; "%USERPROFILE%\Documents\GitHub\mrs-test-scripts\Headless Mode &amp; Sideloading\WalkAndUnGZ.bat" "%USERPROFILE%\AppData\Local\Temp\OnboardLogs"\RTDC4008\2017-06-10 &amp; aws s3 cp s3://rtdc.mdm.uploadarchive.raw/RTDC4008/ "%USERPROFILE%\AppData\Local\Temp\OnboardLogs"\RTDC4008\2017-06-11 --exclude "*" --recursive --include "*20170611*" &amp; "%USERPROFILE%\Documents\GitHub\mrs-test-scripts\Headless Mode &amp; Sideloading\WalkAndUnGZ.bat" "%USERPROFILE%\AppData\Local\Temp\OnboardLogs"\RTDC4008\2017-06-11</v>
      </c>
      <c r="S35" s="87" t="str">
        <f>VLOOKUP(C35,'Train Runs'!$A$13:$AE$9935,22,0)</f>
        <v>https://d0f6bd738d7f1b3e5a7ca70fe4ff75f0.us-east-1.aws.found.io/app/kibana#/discover/Steve-Slow-Train-Analysis-(2080s-and-2083s)?_g=(refreshInterval:(display:Off,pause:!f,section:0,value:0),time:(from:'2017-06-10T09:56:51-0600',mode:absolute,to:'2017-06-10T12:36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35" s="89" t="str">
        <f t="shared" si="1"/>
        <v>"C:\Program Files (x86)\AstroGrep\AstroGrep.exe" /e /r /s /spath="%USERPROFILE%\AppData\Local\Temp\OnboardLogs" /stypes="*4008*201706101*" /stext=" 17:.+((SYSTEM_STATE.+slice.+state.+changed )|(ment ac)|(multiple cpu faults)|(system.+state.+changed )|(\[timeout)|(PRM\|1\|D)|(kpr)|(kdp)|(train st.+moving)|(\|lc)|(penalty))"</v>
      </c>
      <c r="U35" s="9" t="str">
        <f t="shared" si="2"/>
        <v>4008</v>
      </c>
      <c r="V35" s="31">
        <f t="shared" si="3"/>
        <v>42896.725775462961</v>
      </c>
      <c r="W35" s="45" t="str">
        <f t="shared" si="4"/>
        <v>NW</v>
      </c>
      <c r="X35" s="45" t="str">
        <f t="shared" si="5"/>
        <v>KEEP</v>
      </c>
      <c r="Y35" s="99" t="str">
        <f t="shared" si="6"/>
        <v>echo {"issue":{"subject":"Early arrival","project_id":79,"tracker_id":40,"status_id":1,"priority_id":2,"assigned_to_id":23,"start_date":"2017-06-10","description":"","custom_fields":[{"id":1,"name":"Subdivision","value":"NW"},{"id":4,"name":"Milepost","value":"1.0714"},{"id":17,"name":"Train ID","value":"1811-10"},{"id":16,"name":"Locomotive ID","value":"4008"},{"id":130,"name":"Impact","value":""},{"id":150,"name":"Time of Event (Mountain Time)","value":"11:25:07"},{"id":151,"name":"Denver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62"/>
      <c r="AA35" s="47"/>
      <c r="AB35" s="47"/>
      <c r="AC35" s="118" t="str">
        <f t="shared" si="7"/>
        <v>grep -hrE -A400 "Enforcement Action" /cygdrive/c/Users/stu/AppData/Local/Temp/OnboardLogs/RTDC4008 --include="*4008*201706101*"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"%USERPROFILE%\AppData\Local\Temp\OnboardLogs"\RTDC4008\*4008*201706101* &gt;&gt; 2017-06-10-SliceDisagreementCheck.txt</v>
      </c>
      <c r="AE35" s="148" t="str">
        <f t="shared" si="9"/>
        <v>start /low /b %USERPROFILE%\Documents\GitHub\eaglep3\Utilities\DownloadLogsFromS3.py --loco 4008 --day 2017-06-10</v>
      </c>
      <c r="AF35" s="1"/>
    </row>
    <row r="36" spans="1:32" x14ac:dyDescent="0.25">
      <c r="A36" s="31">
        <v>42896.518055555556</v>
      </c>
      <c r="B36" s="30" t="s">
        <v>406</v>
      </c>
      <c r="C36" s="30" t="s">
        <v>585</v>
      </c>
      <c r="D36" s="30" t="s">
        <v>49</v>
      </c>
      <c r="E36" s="30" t="s">
        <v>202</v>
      </c>
      <c r="F36" s="42">
        <v>300</v>
      </c>
      <c r="G36" s="42">
        <v>552</v>
      </c>
      <c r="H36" s="42">
        <v>18281</v>
      </c>
      <c r="I36" s="42">
        <v>20131</v>
      </c>
      <c r="J36" s="30" t="s">
        <v>203</v>
      </c>
      <c r="K36" s="42">
        <v>21299</v>
      </c>
      <c r="L36" s="134" t="s">
        <v>50</v>
      </c>
      <c r="M36" s="135">
        <f t="shared" si="0"/>
        <v>616.70399999999995</v>
      </c>
      <c r="N36" s="136" t="str">
        <f>VLOOKUP(C36,'Trips&amp;Operators'!$C$1:$G$99999,5,FALSE)</f>
        <v>MACDONALD THOMAS</v>
      </c>
      <c r="O36" s="210" t="s">
        <v>182</v>
      </c>
      <c r="P36" s="137"/>
      <c r="Q36" s="30"/>
      <c r="R36" s="84" t="str">
        <f>VLOOKUP(C36,'Train Runs'!$A$13:$AE$9935,31,0)</f>
        <v>aws s3 cp s3://rtdc.mdm.uploadarchive.raw/RTDC4008/ "%USERPROFILE%\AppData\Local\Temp\OnboardLogs"\RTDC4008\2017-06-10 --exclude "*" --recursive --include "*20170610*" &amp; "%USERPROFILE%\Documents\GitHub\mrs-test-scripts\Headless Mode &amp; Sideloading\WalkAndUnGZ.bat" "%USERPROFILE%\AppData\Local\Temp\OnboardLogs"\RTDC4008\2017-06-10 &amp; aws s3 cp s3://rtdc.mdm.uploadarchive.raw/RTDC4008/ "%USERPROFILE%\AppData\Local\Temp\OnboardLogs"\RTDC4008\2017-06-11 --exclude "*" --recursive --include "*20170611*" &amp; "%USERPROFILE%\Documents\GitHub\mrs-test-scripts\Headless Mode &amp; Sideloading\WalkAndUnGZ.bat" "%USERPROFILE%\AppData\Local\Temp\OnboardLogs"\RTDC4008\2017-06-11</v>
      </c>
      <c r="S36" s="87" t="str">
        <f>VLOOKUP(C36,'Train Runs'!$A$13:$AE$9935,22,0)</f>
        <v>https://d0f6bd738d7f1b3e5a7ca70fe4ff75f0.us-east-1.aws.found.io/app/kibana#/discover/Steve-Slow-Train-Analysis-(2080s-and-2083s)?_g=(refreshInterval:(display:Off,pause:!f,section:0,value:0),time:(from:'2017-06-10T10:56:46-0600',mode:absolute,to:'2017-06-10T13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36" s="89" t="str">
        <f t="shared" si="1"/>
        <v>"C:\Program Files (x86)\AstroGrep\AstroGrep.exe" /e /r /s /spath="%USERPROFILE%\AppData\Local\Temp\OnboardLogs" /stypes="*4008*201706101*" /stext=" 18:.+((SYSTEM_STATE.+slice.+state.+changed )|(ment ac)|(multiple cpu faults)|(system.+state.+changed )|(\[timeout)|(PRM\|1\|D)|(kpr)|(kdp)|(train st.+moving)|(\|lc)|(penalty))"</v>
      </c>
      <c r="U36" s="9" t="str">
        <f t="shared" si="2"/>
        <v>4008</v>
      </c>
      <c r="V36" s="31">
        <f t="shared" si="3"/>
        <v>42896.768055555556</v>
      </c>
      <c r="W36" s="45" t="str">
        <f t="shared" si="4"/>
        <v>NW</v>
      </c>
      <c r="X36" s="45" t="str">
        <f t="shared" si="5"/>
        <v>KEEP</v>
      </c>
      <c r="Y36" s="99" t="str">
        <f t="shared" si="6"/>
        <v>echo {"issue":{"subject":"","project_id":79,"tracker_id":40,"status_id":1,"priority_id":2,"assigned_to_id":23,"start_date":"2017-06-10","description":"","custom_fields":[{"id":1,"name":"Subdivision","value":"NW"},{"id":4,"name":"Milepost","value":"2.1299"},{"id":17,"name":"Train ID","value":"1813-10"},{"id":16,"name":"Locomotive ID","value":"4008"},{"id":130,"name":"Impact","value":""},{"id":150,"name":"Time of Event (Mountain Time)","value":"12:26:00"},{"id":151,"name":"Denver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62"/>
      <c r="AA36" s="47"/>
      <c r="AB36" s="47"/>
      <c r="AC36" s="118" t="str">
        <f t="shared" si="7"/>
        <v>grep -hrE -A400 "Enforcement Action" /cygdrive/c/Users/stu/AppData/Local/Temp/OnboardLogs/RTDC4008 --include="*4008*201706101*"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"%USERPROFILE%\AppData\Local\Temp\OnboardLogs"\RTDC4008\*4008*201706101* &gt;&gt; 2017-06-10-SliceDisagreementCheck.txt</v>
      </c>
      <c r="AE36" s="148" t="str">
        <f t="shared" si="9"/>
        <v>start /low /b %USERPROFILE%\Documents\GitHub\eaglep3\Utilities\DownloadLogsFromS3.py --loco 4008 --day 2017-06-10</v>
      </c>
      <c r="AF36" s="1"/>
    </row>
    <row r="37" spans="1:32" x14ac:dyDescent="0.25">
      <c r="A37" s="31">
        <v>42896.450208333335</v>
      </c>
      <c r="B37" s="30" t="s">
        <v>539</v>
      </c>
      <c r="C37" s="30" t="s">
        <v>580</v>
      </c>
      <c r="D37" s="30" t="s">
        <v>49</v>
      </c>
      <c r="E37" s="30" t="s">
        <v>202</v>
      </c>
      <c r="F37" s="42">
        <v>300</v>
      </c>
      <c r="G37" s="42">
        <v>613</v>
      </c>
      <c r="H37" s="42">
        <v>27072</v>
      </c>
      <c r="I37" s="42">
        <v>24576</v>
      </c>
      <c r="J37" s="30" t="s">
        <v>203</v>
      </c>
      <c r="K37" s="42">
        <v>23561</v>
      </c>
      <c r="L37" s="134" t="s">
        <v>51</v>
      </c>
      <c r="M37" s="135">
        <f t="shared" si="0"/>
        <v>535.91999999999996</v>
      </c>
      <c r="N37" s="136" t="str">
        <f>VLOOKUP(C37,'Trips&amp;Operators'!$C$1:$G$99999,5,FALSE)</f>
        <v>MACDONALD THOMAS</v>
      </c>
      <c r="O37" s="210" t="s">
        <v>182</v>
      </c>
      <c r="P37" s="137"/>
      <c r="Q37" s="30"/>
      <c r="R37" s="84" t="str">
        <f>VLOOKUP(C37,'Train Runs'!$A$13:$AE$9935,31,0)</f>
        <v>aws s3 cp s3://rtdc.mdm.uploadarchive.raw/RTDC4007/ "%USERPROFILE%\AppData\Local\Temp\OnboardLogs"\RTDC4007\2017-06-10 --exclude "*" --recursive --include "*20170610*" &amp; "%USERPROFILE%\Documents\GitHub\mrs-test-scripts\Headless Mode &amp; Sideloading\WalkAndUnGZ.bat" "%USERPROFILE%\AppData\Local\Temp\OnboardLogs"\RTDC4007\2017-06-10 &amp; aws s3 cp s3://rtdc.mdm.uploadarchive.raw/RTDC4007/ "%USERPROFILE%\AppData\Local\Temp\OnboardLogs"\RTDC4007\2017-06-11 --exclude "*" --recursive --include "*20170611*" &amp; "%USERPROFILE%\Documents\GitHub\mrs-test-scripts\Headless Mode &amp; Sideloading\WalkAndUnGZ.bat" "%USERPROFILE%\AppData\Local\Temp\OnboardLogs"\RTDC4007\2017-06-11</v>
      </c>
      <c r="S37" s="87" t="str">
        <f>VLOOKUP(C37,'Train Runs'!$A$13:$AE$9935,22,0)</f>
        <v>https://d0f6bd738d7f1b3e5a7ca70fe4ff75f0.us-east-1.aws.found.io/app/kibana#/discover/Steve-Slow-Train-Analysis-(2080s-and-2083s)?_g=(refreshInterval:(display:Off,pause:!f,section:0,value:0),time:(from:'2017-06-10T09:35:28-0600',mode:absolute,to:'2017-06-10T11:55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37" s="89" t="str">
        <f t="shared" si="1"/>
        <v>"C:\Program Files (x86)\AstroGrep\AstroGrep.exe" /e /r /s /spath="%USERPROFILE%\AppData\Local\Temp\OnboardLogs" /stypes="*4007*201706101*" /stext=" 16:.+((SYSTEM_STATE.+slice.+state.+changed )|(ment ac)|(multiple cpu faults)|(system.+state.+changed )|(\[timeout)|(PRM\|1\|D)|(kpr)|(kdp)|(train st.+moving)|(\|lc)|(penalty))"</v>
      </c>
      <c r="U37" s="9" t="str">
        <f t="shared" si="2"/>
        <v>4007</v>
      </c>
      <c r="V37" s="31">
        <f t="shared" si="3"/>
        <v>42896.700208333335</v>
      </c>
      <c r="W37" s="45" t="str">
        <f t="shared" si="4"/>
        <v>NW</v>
      </c>
      <c r="X37" s="45" t="str">
        <f t="shared" si="5"/>
        <v>KEEP</v>
      </c>
      <c r="Y37" s="99" t="str">
        <f t="shared" si="6"/>
        <v>echo {"issue":{"subject":"","project_id":79,"tracker_id":40,"status_id":1,"priority_id":2,"assigned_to_id":23,"start_date":"2017-06-10","description":"","custom_fields":[{"id":1,"name":"Subdivision","value":"NW"},{"id":4,"name":"Milepost","value":"2.3561"},{"id":17,"name":"Train ID","value":"1810-10"},{"id":16,"name":"Locomotive ID","value":"4007"},{"id":130,"name":"Impact","value":""},{"id":150,"name":"Time of Event (Mountain Time)","value":"10:48:18"},{"id":151,"name":"Denver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62"/>
      <c r="AA37" s="47"/>
      <c r="AB37" s="47"/>
      <c r="AC37" s="118" t="str">
        <f t="shared" si="7"/>
        <v>grep -hrE -A400 "Enforcement Action" /cygdrive/c/Users/stu/AppData/Local/Temp/OnboardLogs/RTDC4007 --include="*4007*201706101*"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"%USERPROFILE%\AppData\Local\Temp\OnboardLogs"\RTDC4007\*4007*201706101* &gt;&gt; 2017-06-10-SliceDisagreementCheck.txt</v>
      </c>
      <c r="AE37" s="148" t="str">
        <f t="shared" si="9"/>
        <v>start /low /b %USERPROFILE%\Documents\GitHub\eaglep3\Utilities\DownloadLogsFromS3.py --loco 4007 --day 2017-06-10</v>
      </c>
      <c r="AF37" s="1"/>
    </row>
    <row r="38" spans="1:32" x14ac:dyDescent="0.25">
      <c r="A38" s="31">
        <v>42896.613553240742</v>
      </c>
      <c r="B38" s="30" t="s">
        <v>539</v>
      </c>
      <c r="C38" s="30" t="s">
        <v>592</v>
      </c>
      <c r="D38" s="30" t="s">
        <v>98</v>
      </c>
      <c r="E38" s="30" t="s">
        <v>202</v>
      </c>
      <c r="F38" s="42">
        <v>150</v>
      </c>
      <c r="G38" s="42">
        <v>207</v>
      </c>
      <c r="H38" s="42">
        <v>56993</v>
      </c>
      <c r="I38" s="42">
        <v>56536</v>
      </c>
      <c r="J38" s="30" t="s">
        <v>203</v>
      </c>
      <c r="K38" s="42">
        <v>59050</v>
      </c>
      <c r="L38" s="134" t="s">
        <v>51</v>
      </c>
      <c r="M38" s="135">
        <f t="shared" si="0"/>
        <v>-1327.3920000000001</v>
      </c>
      <c r="N38" s="136" t="str">
        <f>VLOOKUP(C38,'Trips&amp;Operators'!$C$1:$G$99999,5,FALSE)</f>
        <v>ROMERO CHAD</v>
      </c>
      <c r="O38" s="210" t="s">
        <v>182</v>
      </c>
      <c r="P38" s="137"/>
      <c r="Q38" s="30"/>
      <c r="R38" s="84" t="str">
        <f>VLOOKUP(C38,'Train Runs'!$A$13:$AE$9935,31,0)</f>
        <v>aws s3 cp s3://rtdc.mdm.uploadarchive.raw/RTDC4007/ "%USERPROFILE%\AppData\Local\Temp\OnboardLogs"\RTDC4007\2017-06-10 --exclude "*" --recursive --include "*20170610*" &amp; "%USERPROFILE%\Documents\GitHub\mrs-test-scripts\Headless Mode &amp; Sideloading\WalkAndUnGZ.bat" "%USERPROFILE%\AppData\Local\Temp\OnboardLogs"\RTDC4007\2017-06-10 &amp; aws s3 cp s3://rtdc.mdm.uploadarchive.raw/RTDC4007/ "%USERPROFILE%\AppData\Local\Temp\OnboardLogs"\RTDC4007\2017-06-11 --exclude "*" --recursive --include "*20170611*" &amp; "%USERPROFILE%\Documents\GitHub\mrs-test-scripts\Headless Mode &amp; Sideloading\WalkAndUnGZ.bat" "%USERPROFILE%\AppData\Local\Temp\OnboardLogs"\RTDC4007\2017-06-11</v>
      </c>
      <c r="S38" s="87" t="str">
        <f>VLOOKUP(C38,'Train Runs'!$A$13:$AE$9935,22,0)</f>
        <v>https://d0f6bd738d7f1b3e5a7ca70fe4ff75f0.us-east-1.aws.found.io/app/kibana#/discover/Steve-Slow-Train-Analysis-(2080s-and-2083s)?_g=(refreshInterval:(display:Off,pause:!f,section:0,value:0),time:(from:'2017-06-10T13:36:25-0600',mode:absolute,to:'2017-06-10T15:55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38" s="89" t="str">
        <f t="shared" si="1"/>
        <v>"C:\Program Files (x86)\AstroGrep\AstroGrep.exe" /e /r /s /spath="%USERPROFILE%\AppData\Local\Temp\OnboardLogs" /stypes="*4007*201706102*" /stext=" 20:.+((SYSTEM_STATE.+slice.+state.+changed )|(ment ac)|(multiple cpu faults)|(system.+state.+changed )|(\[timeout)|(PRM\|1\|D)|(kpr)|(kdp)|(train st.+moving)|(\|lc)|(penalty))"</v>
      </c>
      <c r="U38" s="9" t="str">
        <f t="shared" si="2"/>
        <v>4007</v>
      </c>
      <c r="V38" s="31">
        <f t="shared" si="3"/>
        <v>42896.863553240742</v>
      </c>
      <c r="W38" s="45" t="str">
        <f t="shared" si="4"/>
        <v>NW</v>
      </c>
      <c r="X38" s="45" t="str">
        <f t="shared" si="5"/>
        <v>KEEP</v>
      </c>
      <c r="Y38" s="99" t="str">
        <f t="shared" si="6"/>
        <v>echo {"issue":{"subject":"","project_id":79,"tracker_id":40,"status_id":1,"priority_id":2,"assigned_to_id":23,"start_date":"2017-06-10","description":"","custom_fields":[{"id":1,"name":"Subdivision","value":"NW"},{"id":4,"name":"Milepost","value":"5.905"},{"id":17,"name":"Train ID","value":"1818-10"},{"id":16,"name":"Locomotive ID","value":"4007"},{"id":130,"name":"Impact","value":""},{"id":150,"name":"Time of Event (Mountain Time)","value":"14:43:31"},{"id":151,"name":"Denver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62"/>
      <c r="AA38" s="47"/>
      <c r="AB38" s="47"/>
      <c r="AC38" s="118" t="str">
        <f t="shared" si="7"/>
        <v>grep -hrE -A400 "Enforcement Action" /cygdrive/c/Users/stu/AppData/Local/Temp/OnboardLogs/RTDC4007 --include="*4007*201706102*"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"%USERPROFILE%\AppData\Local\Temp\OnboardLogs"\RTDC4007\*4007*201706102* &gt;&gt; 2017-06-10-SliceDisagreementCheck.txt</v>
      </c>
      <c r="AE38" s="148" t="str">
        <f t="shared" si="9"/>
        <v>start /low /b %USERPROFILE%\Documents\GitHub\eaglep3\Utilities\DownloadLogsFromS3.py --loco 4007 --day 2017-06-10</v>
      </c>
      <c r="AF38" s="1"/>
    </row>
    <row r="39" spans="1:32" x14ac:dyDescent="0.25">
      <c r="A39" s="31">
        <v>42896.538483796299</v>
      </c>
      <c r="B39" s="30" t="s">
        <v>539</v>
      </c>
      <c r="C39" s="30" t="s">
        <v>587</v>
      </c>
      <c r="D39" s="30" t="s">
        <v>49</v>
      </c>
      <c r="E39" s="30" t="s">
        <v>183</v>
      </c>
      <c r="F39" s="42">
        <v>0</v>
      </c>
      <c r="G39" s="42">
        <v>26</v>
      </c>
      <c r="H39" s="42">
        <v>649</v>
      </c>
      <c r="I39" s="42">
        <v>633</v>
      </c>
      <c r="J39" s="30" t="s">
        <v>184</v>
      </c>
      <c r="K39" s="42">
        <v>575</v>
      </c>
      <c r="L39" s="134" t="s">
        <v>51</v>
      </c>
      <c r="M39" s="135">
        <f t="shared" si="0"/>
        <v>30.623999999999999</v>
      </c>
      <c r="N39" s="136" t="str">
        <f>VLOOKUP(C39,'Trips&amp;Operators'!$C$1:$G$99999,5,FALSE)</f>
        <v>MACDONALD THOMAS</v>
      </c>
      <c r="O39" s="210" t="s">
        <v>182</v>
      </c>
      <c r="P39" s="137"/>
      <c r="Q39" s="30"/>
      <c r="R39" s="84" t="str">
        <f>VLOOKUP(C39,'Train Runs'!$A$13:$AE$9935,31,0)</f>
        <v>aws s3 cp s3://rtdc.mdm.uploadarchive.raw/RTDC4007/ "%USERPROFILE%\AppData\Local\Temp\OnboardLogs"\RTDC4007\2017-06-10 --exclude "*" --recursive --include "*20170610*" &amp; "%USERPROFILE%\Documents\GitHub\mrs-test-scripts\Headless Mode &amp; Sideloading\WalkAndUnGZ.bat" "%USERPROFILE%\AppData\Local\Temp\OnboardLogs"\RTDC4007\2017-06-10 &amp; aws s3 cp s3://rtdc.mdm.uploadarchive.raw/RTDC4007/ "%USERPROFILE%\AppData\Local\Temp\OnboardLogs"\RTDC4007\2017-06-11 --exclude "*" --recursive --include "*20170611*" &amp; "%USERPROFILE%\Documents\GitHub\mrs-test-scripts\Headless Mode &amp; Sideloading\WalkAndUnGZ.bat" "%USERPROFILE%\AppData\Local\Temp\OnboardLogs"\RTDC4007\2017-06-11</v>
      </c>
      <c r="S39" s="87" t="str">
        <f>VLOOKUP(C39,'Train Runs'!$A$13:$AE$9935,22,0)</f>
        <v>https://d0f6bd738d7f1b3e5a7ca70fe4ff75f0.us-east-1.aws.found.io/app/kibana#/discover/Steve-Slow-Train-Analysis-(2080s-and-2083s)?_g=(refreshInterval:(display:Off,pause:!f,section:0,value:0),time:(from:'2017-06-10T11:36:58-0600',mode:absolute,to:'2017-06-10T13:55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39" s="89" t="str">
        <f t="shared" si="1"/>
        <v>"C:\Program Files (x86)\AstroGrep\AstroGrep.exe" /e /r /s /spath="%USERPROFILE%\AppData\Local\Temp\OnboardLogs" /stypes="*4007*201706101*" /stext=" 18:.+((SYSTEM_STATE.+slice.+state.+changed )|(ment ac)|(multiple cpu faults)|(system.+state.+changed )|(\[timeout)|(PRM\|1\|D)|(kpr)|(kdp)|(train st.+moving)|(\|lc)|(penalty))"</v>
      </c>
      <c r="U39" s="9" t="str">
        <f t="shared" si="2"/>
        <v>4007</v>
      </c>
      <c r="V39" s="31">
        <f t="shared" si="3"/>
        <v>42896.788483796299</v>
      </c>
      <c r="W39" s="45" t="str">
        <f t="shared" si="4"/>
        <v>NW</v>
      </c>
      <c r="X39" s="45" t="str">
        <f t="shared" si="5"/>
        <v>KEEP</v>
      </c>
      <c r="Y39" s="99" t="str">
        <f t="shared" si="6"/>
        <v>echo {"issue":{"subject":"","project_id":79,"tracker_id":40,"status_id":1,"priority_id":2,"assigned_to_id":23,"start_date":"2017-06-10","description":"","custom_fields":[{"id":1,"name":"Subdivision","value":"NW"},{"id":4,"name":"Milepost","value":"0.0575"},{"id":17,"name":"Train ID","value":"1814-10"},{"id":16,"name":"Locomotive ID","value":"4007"},{"id":130,"name":"Impact","value":""},{"id":150,"name":"Time of Event (Mountain Time)","value":"12:55:25"},{"id":151,"name":"Denver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62"/>
      <c r="AA39" s="47"/>
      <c r="AB39" s="47"/>
      <c r="AC39" s="118" t="str">
        <f t="shared" si="7"/>
        <v>grep -hrE -A400 "Enforcement Action" /cygdrive/c/Users/stu/AppData/Local/Temp/OnboardLogs/RTDC4007 --include="*4007*201706101*"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"%USERPROFILE%\AppData\Local\Temp\OnboardLogs"\RTDC4007\*4007*201706101* &gt;&gt; 2017-06-10-SliceDisagreementCheck.txt</v>
      </c>
      <c r="AE39" s="148" t="str">
        <f t="shared" si="9"/>
        <v>start /low /b %USERPROFILE%\Documents\GitHub\eaglep3\Utilities\DownloadLogsFromS3.py --loco 4007 --day 2017-06-10</v>
      </c>
      <c r="AF39" s="1"/>
    </row>
    <row r="40" spans="1:32" x14ac:dyDescent="0.25">
      <c r="A40" s="31">
        <v>42896.607719907406</v>
      </c>
      <c r="B40" s="30" t="s">
        <v>406</v>
      </c>
      <c r="C40" s="30" t="s">
        <v>591</v>
      </c>
      <c r="D40" s="30" t="s">
        <v>98</v>
      </c>
      <c r="E40" s="30" t="s">
        <v>183</v>
      </c>
      <c r="F40" s="42">
        <v>0</v>
      </c>
      <c r="G40" s="42">
        <v>25</v>
      </c>
      <c r="H40" s="42">
        <v>59049</v>
      </c>
      <c r="I40" s="42">
        <v>0</v>
      </c>
      <c r="J40" s="30" t="s">
        <v>184</v>
      </c>
      <c r="K40" s="42">
        <v>59048</v>
      </c>
      <c r="L40" s="134" t="s">
        <v>50</v>
      </c>
      <c r="M40" s="135">
        <f t="shared" si="0"/>
        <v>31177.344000000001</v>
      </c>
      <c r="N40" s="136" t="str">
        <f>VLOOKUP(C40,'Trips&amp;Operators'!$C$1:$G$99999,5,FALSE)</f>
        <v>ROMERO CHAD</v>
      </c>
      <c r="O40" s="210" t="s">
        <v>182</v>
      </c>
      <c r="P40" s="137"/>
      <c r="Q40" s="30"/>
      <c r="R40" s="84" t="str">
        <f>VLOOKUP(C40,'Train Runs'!$A$13:$AE$9935,31,0)</f>
        <v>aws s3 cp s3://rtdc.mdm.uploadarchive.raw/RTDC4008/ "%USERPROFILE%\AppData\Local\Temp\OnboardLogs"\RTDC4008\2017-06-10 --exclude "*" --recursive --include "*20170610*" &amp; "%USERPROFILE%\Documents\GitHub\mrs-test-scripts\Headless Mode &amp; Sideloading\WalkAndUnGZ.bat" "%USERPROFILE%\AppData\Local\Temp\OnboardLogs"\RTDC4008\2017-06-10 &amp; aws s3 cp s3://rtdc.mdm.uploadarchive.raw/RTDC4008/ "%USERPROFILE%\AppData\Local\Temp\OnboardLogs"\RTDC4008\2017-06-11 --exclude "*" --recursive --include "*20170611*" &amp; "%USERPROFILE%\Documents\GitHub\mrs-test-scripts\Headless Mode &amp; Sideloading\WalkAndUnGZ.bat" "%USERPROFILE%\AppData\Local\Temp\OnboardLogs"\RTDC4008\2017-06-11</v>
      </c>
      <c r="S40" s="87" t="str">
        <f>VLOOKUP(C40,'Train Runs'!$A$13:$AE$9935,22,0)</f>
        <v>https://d0f6bd738d7f1b3e5a7ca70fe4ff75f0.us-east-1.aws.found.io/app/kibana#/discover/Steve-Slow-Train-Analysis-(2080s-and-2083s)?_g=(refreshInterval:(display:Off,pause:!f,section:0,value:0),time:(from:'2017-06-10T13:07:28-0600',mode:absolute,to:'2017-06-10T15:35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40" s="89" t="str">
        <f t="shared" si="1"/>
        <v>"C:\Program Files (x86)\AstroGrep\AstroGrep.exe" /e /r /s /spath="%USERPROFILE%\AppData\Local\Temp\OnboardLogs" /stypes="*4008*201706102*" /stext=" 20:.+((SYSTEM_STATE.+slice.+state.+changed )|(ment ac)|(multiple cpu faults)|(system.+state.+changed )|(\[timeout)|(PRM\|1\|D)|(kpr)|(kdp)|(train st.+moving)|(\|lc)|(penalty))"</v>
      </c>
      <c r="U40" s="9" t="str">
        <f t="shared" si="2"/>
        <v>4008</v>
      </c>
      <c r="V40" s="31">
        <f t="shared" si="3"/>
        <v>42896.857719907406</v>
      </c>
      <c r="W40" s="45" t="str">
        <f t="shared" si="4"/>
        <v>NW</v>
      </c>
      <c r="X40" s="45" t="str">
        <f t="shared" si="5"/>
        <v>KEEP</v>
      </c>
      <c r="Y40" s="99" t="str">
        <f t="shared" si="6"/>
        <v>echo {"issue":{"subject":"","project_id":79,"tracker_id":40,"status_id":1,"priority_id":2,"assigned_to_id":23,"start_date":"2017-06-10","description":"","custom_fields":[{"id":1,"name":"Subdivision","value":"NW"},{"id":4,"name":"Milepost","value":"5.9048"},{"id":17,"name":"Train ID","value":"1817-10"},{"id":16,"name":"Locomotive ID","value":"4008"},{"id":130,"name":"Impact","value":""},{"id":150,"name":"Time of Event (Mountain Time)","value":"14:35:07"},{"id":151,"name":"Denver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62"/>
      <c r="AA40" s="47"/>
      <c r="AB40" s="47"/>
      <c r="AC40" s="118" t="str">
        <f t="shared" si="7"/>
        <v>grep -hrE -A400 "Enforcement Action" /cygdrive/c/Users/stu/AppData/Local/Temp/OnboardLogs/RTDC4008 --include="*4008*201706102*"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"%USERPROFILE%\AppData\Local\Temp\OnboardLogs"\RTDC4008\*4008*201706102* &gt;&gt; 2017-06-10-SliceDisagreementCheck.txt</v>
      </c>
      <c r="AE40" s="148" t="str">
        <f t="shared" si="9"/>
        <v>start /low /b %USERPROFILE%\Documents\GitHub\eaglep3\Utilities\DownloadLogsFromS3.py --loco 4008 --day 2017-06-10</v>
      </c>
      <c r="AF40" s="1"/>
    </row>
    <row r="41" spans="1:32" x14ac:dyDescent="0.25">
      <c r="A41" s="31">
        <v>42896.899293981478</v>
      </c>
      <c r="B41" s="30" t="s">
        <v>406</v>
      </c>
      <c r="C41" s="30" t="s">
        <v>606</v>
      </c>
      <c r="D41" s="30" t="s">
        <v>49</v>
      </c>
      <c r="E41" s="30" t="s">
        <v>183</v>
      </c>
      <c r="F41" s="42">
        <v>0</v>
      </c>
      <c r="G41" s="42">
        <v>51</v>
      </c>
      <c r="H41" s="42">
        <v>58920</v>
      </c>
      <c r="I41" s="42">
        <v>58971</v>
      </c>
      <c r="J41" s="30" t="s">
        <v>184</v>
      </c>
      <c r="K41" s="42">
        <v>59048</v>
      </c>
      <c r="L41" s="134" t="s">
        <v>50</v>
      </c>
      <c r="M41" s="135">
        <f t="shared" si="0"/>
        <v>40.655999999999999</v>
      </c>
      <c r="N41" s="136" t="str">
        <f>VLOOKUP(C41,'Trips&amp;Operators'!$C$1:$G$99999,5,FALSE)</f>
        <v>SULLIVAN BRANDON</v>
      </c>
      <c r="O41" s="210" t="s">
        <v>182</v>
      </c>
      <c r="P41" s="137"/>
      <c r="Q41" s="30"/>
      <c r="R41" s="84" t="str">
        <f>VLOOKUP(C41,'Train Runs'!$A$13:$AE$9935,31,0)</f>
        <v>aws s3 cp s3://rtdc.mdm.uploadarchive.raw/RTDC4008/ "%USERPROFILE%\AppData\Local\Temp\OnboardLogs"\RTDC4008\2017-06-10 --exclude "*" --recursive --include "*20170610*" &amp; "%USERPROFILE%\Documents\GitHub\mrs-test-scripts\Headless Mode &amp; Sideloading\WalkAndUnGZ.bat" "%USERPROFILE%\AppData\Local\Temp\OnboardLogs"\RTDC4008\2017-06-10 &amp; aws s3 cp s3://rtdc.mdm.uploadarchive.raw/RTDC4008/ "%USERPROFILE%\AppData\Local\Temp\OnboardLogs"\RTDC4008\2017-06-11 --exclude "*" --recursive --include "*20170611*" &amp; "%USERPROFILE%\Documents\GitHub\mrs-test-scripts\Headless Mode &amp; Sideloading\WalkAndUnGZ.bat" "%USERPROFILE%\AppData\Local\Temp\OnboardLogs"\RTDC4008\2017-06-11</v>
      </c>
      <c r="S41" s="87" t="str">
        <f>VLOOKUP(C41,'Train Runs'!$A$13:$AE$9935,22,0)</f>
        <v>https://d0f6bd738d7f1b3e5a7ca70fe4ff75f0.us-east-1.aws.found.io/app/kibana#/discover/Steve-Slow-Train-Analysis-(2080s-and-2083s)?_g=(refreshInterval:(display:Off,pause:!f,section:0,value:0),time:(from:'2017-06-10T20:08:44-0600',mode:absolute,to:'2017-06-10T22:34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41" s="89" t="str">
        <f t="shared" si="1"/>
        <v>"C:\Program Files (x86)\AstroGrep\AstroGrep.exe" /e /r /s /spath="%USERPROFILE%\AppData\Local\Temp\OnboardLogs" /stypes="*4008*201706110*" /stext=" 03:.+((SYSTEM_STATE.+slice.+state.+changed )|(ment ac)|(multiple cpu faults)|(system.+state.+changed )|(\[timeout)|(PRM\|1\|D)|(kpr)|(kdp)|(train st.+moving)|(\|lc)|(penalty))"</v>
      </c>
      <c r="U41" s="9" t="str">
        <f t="shared" si="2"/>
        <v>4008</v>
      </c>
      <c r="V41" s="31">
        <f t="shared" si="3"/>
        <v>42897.149293981478</v>
      </c>
      <c r="W41" s="45" t="str">
        <f t="shared" si="4"/>
        <v>NW</v>
      </c>
      <c r="X41" s="45" t="str">
        <f t="shared" si="5"/>
        <v>KEEP</v>
      </c>
      <c r="Y41" s="99" t="str">
        <f t="shared" si="6"/>
        <v>echo {"issue":{"subject":"","project_id":79,"tracker_id":40,"status_id":1,"priority_id":2,"assigned_to_id":23,"start_date":"2017-06-10","description":"","custom_fields":[{"id":1,"name":"Subdivision","value":"NW"},{"id":4,"name":"Milepost","value":"5.9048"},{"id":17,"name":"Train ID","value":"1831-10"},{"id":16,"name":"Locomotive ID","value":"4008"},{"id":130,"name":"Impact","value":""},{"id":150,"name":"Time of Event (Mountain Time)","value":"21:34:59"},{"id":151,"name":"Denver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62"/>
      <c r="AA41" s="47"/>
      <c r="AB41" s="47"/>
      <c r="AC41" s="118" t="str">
        <f t="shared" si="7"/>
        <v>grep -hrE -A400 "Enforcement Action" /cygdrive/c/Users/stu/AppData/Local/Temp/OnboardLogs/RTDC4008 --include="*4008*201706110*"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"%USERPROFILE%\AppData\Local\Temp\OnboardLogs"\RTDC4008\*4008*201706110* &gt;&gt; 2017-06-10-SliceDisagreementCheck.txt</v>
      </c>
      <c r="AE41" s="148" t="str">
        <f t="shared" si="9"/>
        <v>start /low /b %USERPROFILE%\Documents\GitHub\eaglep3\Utilities\DownloadLogsFromS3.py --loco 4008 --day 2017-06-11</v>
      </c>
      <c r="AF41" s="1"/>
    </row>
    <row r="42" spans="1:32" x14ac:dyDescent="0.25">
      <c r="A42" s="31">
        <v>42897.055081018516</v>
      </c>
      <c r="B42" s="30" t="s">
        <v>491</v>
      </c>
      <c r="C42" s="30" t="s">
        <v>608</v>
      </c>
      <c r="D42" s="30" t="s">
        <v>98</v>
      </c>
      <c r="E42" s="30" t="s">
        <v>609</v>
      </c>
      <c r="F42" s="42">
        <v>0</v>
      </c>
      <c r="G42" s="42">
        <v>22</v>
      </c>
      <c r="H42" s="42">
        <v>13201</v>
      </c>
      <c r="I42" s="42">
        <v>13197</v>
      </c>
      <c r="J42" s="30" t="s">
        <v>610</v>
      </c>
      <c r="K42" s="42">
        <v>4790</v>
      </c>
      <c r="L42" s="134" t="s">
        <v>50</v>
      </c>
      <c r="M42" s="135">
        <f t="shared" si="0"/>
        <v>-4438.8959999999997</v>
      </c>
      <c r="N42" s="136" t="str">
        <f>VLOOKUP(C42,'Trips&amp;Operators'!$C$1:$G$99999,5,FALSE)</f>
        <v>SAFIEF AEIMEN</v>
      </c>
      <c r="O42" s="210" t="s">
        <v>182</v>
      </c>
      <c r="P42" s="137"/>
      <c r="Q42" s="30"/>
      <c r="R42" s="84" t="str">
        <f>VLOOKUP(C42,'Train Runs'!$A$13:$AE$9935,31,0)</f>
        <v>aws s3 cp s3://rtdc.mdm.uploadarchive.raw/RTDC4056/ "%USERPROFILE%\AppData\Local\Temp\OnboardLogs"\RTDC4056\2017-06-11 --exclude "*" --recursive --include "*20170611*" &amp; "%USERPROFILE%\Documents\GitHub\mrs-test-scripts\Headless Mode &amp; Sideloading\WalkAndUnGZ.bat" "%USERPROFILE%\AppData\Local\Temp\OnboardLogs"\RTDC4056\2017-06-11 &amp; aws s3 cp s3://rtdc.mdm.uploadarchive.raw/RTDC4056/ "%USERPROFILE%\AppData\Local\Temp\OnboardLogs"\RTDC4056\2017-06-12 --exclude "*" --recursive --include "*20170612*" &amp; "%USERPROFILE%\Documents\GitHub\mrs-test-scripts\Headless Mode &amp; Sideloading\WalkAndUnGZ.bat" "%USERPROFILE%\AppData\Local\Temp\OnboardLogs"\RTDC4056\2017-06-12</v>
      </c>
      <c r="S42" s="87" t="str">
        <f>VLOOKUP(C42,'Train Runs'!$A$13:$AE$9935,22,0)</f>
        <v>https://d0f6bd738d7f1b3e5a7ca70fe4ff75f0.us-east-1.aws.found.io/app/kibana#/discover/Steve-Slow-Train-Analysis-(2080s-and-2083s)?_g=(refreshInterval:(display:Off,pause:!f,section:0,value:0),time:(from:'2017-06-11T00:08:47-0600',mode:absolute,to:'2017-06-11T02:19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42" s="89" t="str">
        <f t="shared" si="1"/>
        <v>"C:\Program Files (x86)\AstroGrep\AstroGrep.exe" /e /r /s /spath="%USERPROFILE%\AppData\Local\Temp\OnboardLogs" /stypes="*4056*201706110*" /stext=" 07:.+((SYSTEM_STATE.+slice.+state.+changed )|(ment ac)|(multiple cpu faults)|(system.+state.+changed )|(\[timeout)|(PRM\|1\|D)|(kpr)|(kdp)|(train st.+moving)|(\|lc)|(penalty))"</v>
      </c>
      <c r="U42" s="9" t="str">
        <f t="shared" si="2"/>
        <v>4056</v>
      </c>
      <c r="V42" s="31">
        <f t="shared" si="3"/>
        <v>42897.305081018516</v>
      </c>
      <c r="W42" s="45" t="str">
        <f t="shared" si="4"/>
        <v>Other</v>
      </c>
      <c r="X42" s="45" t="str">
        <f t="shared" si="5"/>
        <v>KEEP</v>
      </c>
      <c r="Y42" s="99" t="str">
        <f t="shared" si="6"/>
        <v>echo {"issue":{"subject":"","project_id":79,"tracker_id":40,"status_id":1,"priority_id":2,"assigned_to_id":23,"start_date":"2017-06-11","description":"","custom_fields":[{"id":1,"name":"Subdivision","value":"Other"},{"id":4,"name":"Milepost","value":"0.479"},{"id":17,"name":"Train ID","value":"307-10"},{"id":16,"name":"Locomotive ID","value":"4056"},{"id":130,"name":"Impact","value":""},{"id":150,"name":"Time of Event (Mountain Time)","value":"01:19:19"},{"id":151,"name":"Denver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62"/>
      <c r="AA42" s="47"/>
      <c r="AB42" s="47"/>
      <c r="AC42" s="118" t="str">
        <f t="shared" si="7"/>
        <v>grep -hrE -A400 "Enforcement Action" /cygdrive/c/Users/stu/AppData/Local/Temp/OnboardLogs/RTDC4056 --include="*4056*201706110*"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"%USERPROFILE%\AppData\Local\Temp\OnboardLogs"\RTDC4056\*4056*201706110* &gt;&gt; 2017-06-10-SliceDisagreementCheck.txt</v>
      </c>
      <c r="AE42" s="148" t="str">
        <f t="shared" si="9"/>
        <v>start /low /b %USERPROFILE%\Documents\GitHub\eaglep3\Utilities\DownloadLogsFromS3.py --loco 4056 --day 2017-06-11</v>
      </c>
      <c r="AF42" s="1"/>
    </row>
    <row r="43" spans="1:32" x14ac:dyDescent="0.25">
      <c r="A43" s="31">
        <v>42897.055196759262</v>
      </c>
      <c r="B43" s="30" t="s">
        <v>491</v>
      </c>
      <c r="C43" s="30" t="s">
        <v>608</v>
      </c>
      <c r="D43" s="30" t="s">
        <v>98</v>
      </c>
      <c r="E43" s="30" t="s">
        <v>609</v>
      </c>
      <c r="F43" s="42">
        <v>0</v>
      </c>
      <c r="G43" s="42">
        <v>3</v>
      </c>
      <c r="H43" s="42">
        <v>13191</v>
      </c>
      <c r="I43" s="42">
        <v>13189</v>
      </c>
      <c r="J43" s="30" t="s">
        <v>610</v>
      </c>
      <c r="K43" s="42">
        <v>4790</v>
      </c>
      <c r="L43" s="134" t="s">
        <v>50</v>
      </c>
      <c r="M43" s="135">
        <f t="shared" si="0"/>
        <v>-4434.6719999999996</v>
      </c>
      <c r="N43" s="136" t="str">
        <f>VLOOKUP(C43,'Trips&amp;Operators'!$C$1:$G$99999,5,FALSE)</f>
        <v>SAFIEF AEIMEN</v>
      </c>
      <c r="O43" s="210" t="s">
        <v>182</v>
      </c>
      <c r="P43" s="137"/>
      <c r="Q43" s="30"/>
      <c r="R43" s="84" t="str">
        <f>VLOOKUP(C43,'Train Runs'!$A$13:$AE$9935,31,0)</f>
        <v>aws s3 cp s3://rtdc.mdm.uploadarchive.raw/RTDC4056/ "%USERPROFILE%\AppData\Local\Temp\OnboardLogs"\RTDC4056\2017-06-11 --exclude "*" --recursive --include "*20170611*" &amp; "%USERPROFILE%\Documents\GitHub\mrs-test-scripts\Headless Mode &amp; Sideloading\WalkAndUnGZ.bat" "%USERPROFILE%\AppData\Local\Temp\OnboardLogs"\RTDC4056\2017-06-11 &amp; aws s3 cp s3://rtdc.mdm.uploadarchive.raw/RTDC4056/ "%USERPROFILE%\AppData\Local\Temp\OnboardLogs"\RTDC4056\2017-06-12 --exclude "*" --recursive --include "*20170612*" &amp; "%USERPROFILE%\Documents\GitHub\mrs-test-scripts\Headless Mode &amp; Sideloading\WalkAndUnGZ.bat" "%USERPROFILE%\AppData\Local\Temp\OnboardLogs"\RTDC4056\2017-06-12</v>
      </c>
      <c r="S43" s="87" t="str">
        <f>VLOOKUP(C43,'Train Runs'!$A$13:$AE$9935,22,0)</f>
        <v>https://d0f6bd738d7f1b3e5a7ca70fe4ff75f0.us-east-1.aws.found.io/app/kibana#/discover/Steve-Slow-Train-Analysis-(2080s-and-2083s)?_g=(refreshInterval:(display:Off,pause:!f,section:0,value:0),time:(from:'2017-06-11T00:08:47-0600',mode:absolute,to:'2017-06-11T02:19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43" s="89" t="str">
        <f t="shared" si="1"/>
        <v>"C:\Program Files (x86)\AstroGrep\AstroGrep.exe" /e /r /s /spath="%USERPROFILE%\AppData\Local\Temp\OnboardLogs" /stypes="*4056*201706110*" /stext=" 07:.+((SYSTEM_STATE.+slice.+state.+changed )|(ment ac)|(multiple cpu faults)|(system.+state.+changed )|(\[timeout)|(PRM\|1\|D)|(kpr)|(kdp)|(train st.+moving)|(\|lc)|(penalty))"</v>
      </c>
      <c r="U43" s="9" t="str">
        <f t="shared" si="2"/>
        <v>4056</v>
      </c>
      <c r="V43" s="31">
        <f t="shared" si="3"/>
        <v>42897.305196759262</v>
      </c>
      <c r="W43" s="45" t="str">
        <f t="shared" si="4"/>
        <v>Other</v>
      </c>
      <c r="X43" s="45" t="str">
        <f t="shared" si="5"/>
        <v>KEEP</v>
      </c>
      <c r="Y43" s="99" t="str">
        <f t="shared" si="6"/>
        <v>echo {"issue":{"subject":"","project_id":79,"tracker_id":40,"status_id":1,"priority_id":2,"assigned_to_id":23,"start_date":"2017-06-11","description":"","custom_fields":[{"id":1,"name":"Subdivision","value":"Other"},{"id":4,"name":"Milepost","value":"0.479"},{"id":17,"name":"Train ID","value":"307-10"},{"id":16,"name":"Locomotive ID","value":"4056"},{"id":130,"name":"Impact","value":""},{"id":150,"name":"Time of Event (Mountain Time)","value":"01:19:29"},{"id":151,"name":"Denver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62"/>
      <c r="AA43" s="47"/>
      <c r="AB43" s="47"/>
      <c r="AC43" s="118" t="str">
        <f t="shared" si="7"/>
        <v>grep -hrE -A400 "Enforcement Action" /cygdrive/c/Users/stu/AppData/Local/Temp/OnboardLogs/RTDC4056 --include="*4056*201706110*"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"%USERPROFILE%\AppData\Local\Temp\OnboardLogs"\RTDC4056\*4056*201706110* &gt;&gt; 2017-06-10-SliceDisagreementCheck.txt</v>
      </c>
      <c r="AE43" s="148" t="str">
        <f t="shared" si="9"/>
        <v>start /low /b %USERPROFILE%\Documents\GitHub\eaglep3\Utilities\DownloadLogsFromS3.py --loco 4056 --day 2017-06-11</v>
      </c>
      <c r="AF43" s="1"/>
    </row>
    <row r="44" spans="1:32" x14ac:dyDescent="0.25">
      <c r="A44" s="31">
        <v>42896.904745370368</v>
      </c>
      <c r="B44" s="30" t="s">
        <v>502</v>
      </c>
      <c r="C44" s="30" t="s">
        <v>607</v>
      </c>
      <c r="D44" s="30" t="s">
        <v>98</v>
      </c>
      <c r="E44" s="30" t="s">
        <v>366</v>
      </c>
      <c r="F44" s="42">
        <v>0</v>
      </c>
      <c r="G44" s="42">
        <v>51</v>
      </c>
      <c r="H44" s="42">
        <v>4647</v>
      </c>
      <c r="I44" s="42">
        <v>4582</v>
      </c>
      <c r="J44" s="30" t="s">
        <v>367</v>
      </c>
      <c r="K44" s="42">
        <v>4798</v>
      </c>
      <c r="L44" s="134" t="s">
        <v>51</v>
      </c>
      <c r="M44" s="135">
        <f t="shared" si="0"/>
        <v>-114.048</v>
      </c>
      <c r="N44" s="136" t="str">
        <f>VLOOKUP(C44,'Trips&amp;Operators'!$C$1:$G$99999,5,FALSE)</f>
        <v>ZEWDU DEREJE</v>
      </c>
      <c r="O44" s="210" t="s">
        <v>182</v>
      </c>
      <c r="P44" s="137"/>
      <c r="Q44" s="30"/>
      <c r="R44" s="84" t="str">
        <f>VLOOKUP(C44,'Train Runs'!$A$13:$AE$9935,31,0)</f>
        <v>aws s3 cp s3://rtdc.mdm.uploadarchive.raw/RTDC4015/ "%USERPROFILE%\AppData\Local\Temp\OnboardLogs"\RTDC4015\2017-06-10 --exclude "*" --recursive --include "*20170610*" &amp; "%USERPROFILE%\Documents\GitHub\mrs-test-scripts\Headless Mode &amp; Sideloading\WalkAndUnGZ.bat" "%USERPROFILE%\AppData\Local\Temp\OnboardLogs"\RTDC4015\2017-06-10 &amp; aws s3 cp s3://rtdc.mdm.uploadarchive.raw/RTDC4015/ "%USERPROFILE%\AppData\Local\Temp\OnboardLogs"\RTDC4015\2017-06-11 --exclude "*" --recursive --include "*20170611*" &amp; "%USERPROFILE%\Documents\GitHub\mrs-test-scripts\Headless Mode &amp; Sideloading\WalkAndUnGZ.bat" "%USERPROFILE%\AppData\Local\Temp\OnboardLogs"\RTDC4015\2017-06-11</v>
      </c>
      <c r="S44" s="87" t="str">
        <f>VLOOKUP(C44,'Train Runs'!$A$13:$AE$9935,22,0)</f>
        <v>https://d0f6bd738d7f1b3e5a7ca70fe4ff75f0.us-east-1.aws.found.io/app/kibana#/discover/Steve-Slow-Train-Analysis-(2080s-and-2083s)?_g=(refreshInterval:(display:Off,pause:!f,section:0,value:0),time:(from:'2017-06-10T20:40:07-0600',mode:absolute,to:'2017-06-10T22:42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44" s="89" t="str">
        <f t="shared" si="1"/>
        <v>"C:\Program Files (x86)\AstroGrep\AstroGrep.exe" /e /r /s /spath="%USERPROFILE%\AppData\Local\Temp\OnboardLogs" /stypes="*4015*201706110*" /stext=" 03:.+((SYSTEM_STATE.+slice.+state.+changed )|(ment ac)|(multiple cpu faults)|(system.+state.+changed )|(\[timeout)|(PRM\|1\|D)|(kpr)|(kdp)|(train st.+moving)|(\|lc)|(penalty))"</v>
      </c>
      <c r="U44" s="9" t="str">
        <f t="shared" si="2"/>
        <v>4015</v>
      </c>
      <c r="V44" s="31">
        <f t="shared" si="3"/>
        <v>42897.154745370368</v>
      </c>
      <c r="W44" s="45" t="str">
        <f t="shared" si="4"/>
        <v>Other</v>
      </c>
      <c r="X44" s="45" t="str">
        <f t="shared" si="5"/>
        <v>KEEP</v>
      </c>
      <c r="Y44" s="99" t="str">
        <f t="shared" si="6"/>
        <v>echo {"issue":{"subject":"","project_id":79,"tracker_id":40,"status_id":1,"priority_id":2,"assigned_to_id":23,"start_date":"2017-06-10","description":"","custom_fields":[{"id":1,"name":"Subdivision","value":"Other"},{"id":4,"name":"Milepost","value":"0.4798"},{"id":17,"name":"Train ID","value":"52-10"},{"id":16,"name":"Locomotive ID","value":"4015"},{"id":130,"name":"Impact","value":""},{"id":150,"name":"Time of Event (Mountain Time)","value":"21:42:50"},{"id":151,"name":"Denver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62"/>
      <c r="AA44" s="47"/>
      <c r="AB44" s="47"/>
      <c r="AC44" s="118" t="str">
        <f t="shared" si="7"/>
        <v>grep -hrE -A400 "Enforcement Action" /cygdrive/c/Users/stu/AppData/Local/Temp/OnboardLogs/RTDC4015 --include="*4015*201706110*"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"%USERPROFILE%\AppData\Local\Temp\OnboardLogs"\RTDC4015\*4015*201706110* &gt;&gt; 2017-06-10-SliceDisagreementCheck.txt</v>
      </c>
      <c r="AE44" s="148" t="str">
        <f t="shared" si="9"/>
        <v>start /low /b %USERPROFILE%\Documents\GitHub\eaglep3\Utilities\DownloadLogsFromS3.py --loco 4015 --day 2017-06-11</v>
      </c>
      <c r="AF44" s="1"/>
    </row>
    <row r="45" spans="1:32" x14ac:dyDescent="0.25">
      <c r="A45" s="31">
        <v>42896.905150462961</v>
      </c>
      <c r="B45" s="30" t="s">
        <v>502</v>
      </c>
      <c r="C45" s="30" t="s">
        <v>607</v>
      </c>
      <c r="D45" s="30" t="s">
        <v>98</v>
      </c>
      <c r="E45" s="30" t="s">
        <v>366</v>
      </c>
      <c r="F45" s="42">
        <v>0</v>
      </c>
      <c r="G45" s="42">
        <v>9</v>
      </c>
      <c r="H45" s="42">
        <v>4580</v>
      </c>
      <c r="I45" s="42">
        <v>4520</v>
      </c>
      <c r="J45" s="30" t="s">
        <v>367</v>
      </c>
      <c r="K45" s="42">
        <v>4798</v>
      </c>
      <c r="L45" s="134" t="s">
        <v>51</v>
      </c>
      <c r="M45" s="135">
        <f t="shared" si="0"/>
        <v>-146.78399999999999</v>
      </c>
      <c r="N45" s="136" t="str">
        <f>VLOOKUP(C45,'Trips&amp;Operators'!$C$1:$G$99999,5,FALSE)</f>
        <v>ZEWDU DEREJE</v>
      </c>
      <c r="O45" s="210" t="s">
        <v>182</v>
      </c>
      <c r="P45" s="137"/>
      <c r="Q45" s="30"/>
      <c r="R45" s="84" t="str">
        <f>VLOOKUP(C45,'Train Runs'!$A$13:$AE$9935,31,0)</f>
        <v>aws s3 cp s3://rtdc.mdm.uploadarchive.raw/RTDC4015/ "%USERPROFILE%\AppData\Local\Temp\OnboardLogs"\RTDC4015\2017-06-10 --exclude "*" --recursive --include "*20170610*" &amp; "%USERPROFILE%\Documents\GitHub\mrs-test-scripts\Headless Mode &amp; Sideloading\WalkAndUnGZ.bat" "%USERPROFILE%\AppData\Local\Temp\OnboardLogs"\RTDC4015\2017-06-10 &amp; aws s3 cp s3://rtdc.mdm.uploadarchive.raw/RTDC4015/ "%USERPROFILE%\AppData\Local\Temp\OnboardLogs"\RTDC4015\2017-06-11 --exclude "*" --recursive --include "*20170611*" &amp; "%USERPROFILE%\Documents\GitHub\mrs-test-scripts\Headless Mode &amp; Sideloading\WalkAndUnGZ.bat" "%USERPROFILE%\AppData\Local\Temp\OnboardLogs"\RTDC4015\2017-06-11</v>
      </c>
      <c r="S45" s="87" t="str">
        <f>VLOOKUP(C45,'Train Runs'!$A$13:$AE$9935,22,0)</f>
        <v>https://d0f6bd738d7f1b3e5a7ca70fe4ff75f0.us-east-1.aws.found.io/app/kibana#/discover/Steve-Slow-Train-Analysis-(2080s-and-2083s)?_g=(refreshInterval:(display:Off,pause:!f,section:0,value:0),time:(from:'2017-06-10T20:40:07-0600',mode:absolute,to:'2017-06-10T22:42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45" s="89" t="str">
        <f t="shared" si="1"/>
        <v>"C:\Program Files (x86)\AstroGrep\AstroGrep.exe" /e /r /s /spath="%USERPROFILE%\AppData\Local\Temp\OnboardLogs" /stypes="*4015*201706110*" /stext=" 03:.+((SYSTEM_STATE.+slice.+state.+changed )|(ment ac)|(multiple cpu faults)|(system.+state.+changed )|(\[timeout)|(PRM\|1\|D)|(kpr)|(kdp)|(train st.+moving)|(\|lc)|(penalty))"</v>
      </c>
      <c r="U45" s="9" t="str">
        <f t="shared" si="2"/>
        <v>4015</v>
      </c>
      <c r="V45" s="31">
        <f t="shared" si="3"/>
        <v>42897.155150462961</v>
      </c>
      <c r="W45" s="45" t="str">
        <f t="shared" si="4"/>
        <v>Other</v>
      </c>
      <c r="X45" s="45" t="str">
        <f t="shared" si="5"/>
        <v>KEEP</v>
      </c>
      <c r="Y45" s="99" t="str">
        <f t="shared" si="6"/>
        <v>echo {"issue":{"subject":"","project_id":79,"tracker_id":40,"status_id":1,"priority_id":2,"assigned_to_id":23,"start_date":"2017-06-10","description":"","custom_fields":[{"id":1,"name":"Subdivision","value":"Other"},{"id":4,"name":"Milepost","value":"0.4798"},{"id":17,"name":"Train ID","value":"52-10"},{"id":16,"name":"Locomotive ID","value":"4015"},{"id":130,"name":"Impact","value":""},{"id":150,"name":"Time of Event (Mountain Time)","value":"21:43:25"},{"id":151,"name":"Denver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62"/>
      <c r="AA45" s="47"/>
      <c r="AB45" s="47"/>
      <c r="AC45" s="118" t="str">
        <f t="shared" si="7"/>
        <v>grep -hrE -A400 "Enforcement Action" /cygdrive/c/Users/stu/AppData/Local/Temp/OnboardLogs/RTDC4015 --include="*4015*201706110*"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"%USERPROFILE%\AppData\Local\Temp\OnboardLogs"\RTDC4015\*4015*201706110* &gt;&gt; 2017-06-10-SliceDisagreementCheck.txt</v>
      </c>
      <c r="AE45" s="148" t="str">
        <f t="shared" si="9"/>
        <v>start /low /b %USERPROFILE%\Documents\GitHub\eaglep3\Utilities\DownloadLogsFromS3.py --loco 4015 --day 2017-06-11</v>
      </c>
      <c r="AF45" s="1"/>
    </row>
    <row r="46" spans="1:32" x14ac:dyDescent="0.25">
      <c r="A46" s="31">
        <v>42896.906018518515</v>
      </c>
      <c r="B46" s="30" t="s">
        <v>502</v>
      </c>
      <c r="C46" s="30" t="s">
        <v>607</v>
      </c>
      <c r="D46" s="30" t="s">
        <v>98</v>
      </c>
      <c r="E46" s="30" t="s">
        <v>366</v>
      </c>
      <c r="F46" s="42">
        <v>0</v>
      </c>
      <c r="G46" s="42">
        <v>3</v>
      </c>
      <c r="H46" s="42">
        <v>4496</v>
      </c>
      <c r="I46" s="42">
        <v>4496</v>
      </c>
      <c r="J46" s="30" t="s">
        <v>367</v>
      </c>
      <c r="K46" s="42">
        <v>4798</v>
      </c>
      <c r="L46" s="134" t="s">
        <v>51</v>
      </c>
      <c r="M46" s="135">
        <f t="shared" si="0"/>
        <v>-159.45599999999999</v>
      </c>
      <c r="N46" s="136" t="str">
        <f>VLOOKUP(C46,'Trips&amp;Operators'!$C$1:$G$99999,5,FALSE)</f>
        <v>ZEWDU DEREJE</v>
      </c>
      <c r="O46" s="210" t="s">
        <v>182</v>
      </c>
      <c r="P46" s="137"/>
      <c r="Q46" s="30"/>
      <c r="R46" s="84" t="str">
        <f>VLOOKUP(C46,'Train Runs'!$A$13:$AE$9935,31,0)</f>
        <v>aws s3 cp s3://rtdc.mdm.uploadarchive.raw/RTDC4015/ "%USERPROFILE%\AppData\Local\Temp\OnboardLogs"\RTDC4015\2017-06-10 --exclude "*" --recursive --include "*20170610*" &amp; "%USERPROFILE%\Documents\GitHub\mrs-test-scripts\Headless Mode &amp; Sideloading\WalkAndUnGZ.bat" "%USERPROFILE%\AppData\Local\Temp\OnboardLogs"\RTDC4015\2017-06-10 &amp; aws s3 cp s3://rtdc.mdm.uploadarchive.raw/RTDC4015/ "%USERPROFILE%\AppData\Local\Temp\OnboardLogs"\RTDC4015\2017-06-11 --exclude "*" --recursive --include "*20170611*" &amp; "%USERPROFILE%\Documents\GitHub\mrs-test-scripts\Headless Mode &amp; Sideloading\WalkAndUnGZ.bat" "%USERPROFILE%\AppData\Local\Temp\OnboardLogs"\RTDC4015\2017-06-11</v>
      </c>
      <c r="S46" s="87" t="str">
        <f>VLOOKUP(C46,'Train Runs'!$A$13:$AE$9935,22,0)</f>
        <v>https://d0f6bd738d7f1b3e5a7ca70fe4ff75f0.us-east-1.aws.found.io/app/kibana#/discover/Steve-Slow-Train-Analysis-(2080s-and-2083s)?_g=(refreshInterval:(display:Off,pause:!f,section:0,value:0),time:(from:'2017-06-10T20:40:07-0600',mode:absolute,to:'2017-06-10T22:42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46" s="89" t="str">
        <f t="shared" si="1"/>
        <v>"C:\Program Files (x86)\AstroGrep\AstroGrep.exe" /e /r /s /spath="%USERPROFILE%\AppData\Local\Temp\OnboardLogs" /stypes="*4015*201706110*" /stext=" 03:.+((SYSTEM_STATE.+slice.+state.+changed )|(ment ac)|(multiple cpu faults)|(system.+state.+changed )|(\[timeout)|(PRM\|1\|D)|(kpr)|(kdp)|(train st.+moving)|(\|lc)|(penalty))"</v>
      </c>
      <c r="U46" s="9" t="str">
        <f t="shared" si="2"/>
        <v>4015</v>
      </c>
      <c r="V46" s="31">
        <f t="shared" si="3"/>
        <v>42897.156018518515</v>
      </c>
      <c r="W46" s="45" t="str">
        <f t="shared" si="4"/>
        <v>Other</v>
      </c>
      <c r="X46" s="45" t="str">
        <f t="shared" si="5"/>
        <v>KEEP</v>
      </c>
      <c r="Y46" s="99" t="str">
        <f t="shared" si="6"/>
        <v>echo {"issue":{"subject":"","project_id":79,"tracker_id":40,"status_id":1,"priority_id":2,"assigned_to_id":23,"start_date":"2017-06-10","description":"","custom_fields":[{"id":1,"name":"Subdivision","value":"Other"},{"id":4,"name":"Milepost","value":"0.4798"},{"id":17,"name":"Train ID","value":"52-10"},{"id":16,"name":"Locomotive ID","value":"4015"},{"id":130,"name":"Impact","value":""},{"id":150,"name":"Time of Event (Mountain Time)","value":"21:44:40"},{"id":151,"name":"Denver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162"/>
      <c r="AA46" s="47"/>
      <c r="AB46" s="47"/>
      <c r="AC46" s="118" t="str">
        <f t="shared" si="7"/>
        <v>grep -hrE -A400 "Enforcement Action" /cygdrive/c/Users/stu/AppData/Local/Temp/OnboardLogs/RTDC4015 --include="*4015*201706110*"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"%USERPROFILE%\AppData\Local\Temp\OnboardLogs"\RTDC4015\*4015*201706110* &gt;&gt; 2017-06-10-SliceDisagreementCheck.txt</v>
      </c>
      <c r="AE46" s="148" t="str">
        <f t="shared" si="9"/>
        <v>start /low /b %USERPROFILE%\Documents\GitHub\eaglep3\Utilities\DownloadLogsFromS3.py --loco 4015 --day 2017-06-11</v>
      </c>
      <c r="AF46" s="1"/>
    </row>
    <row r="47" spans="1:32" x14ac:dyDescent="0.25">
      <c r="A47" s="31">
        <v>42896.222210648149</v>
      </c>
      <c r="B47" s="30" t="s">
        <v>573</v>
      </c>
      <c r="C47" s="30" t="s">
        <v>574</v>
      </c>
      <c r="D47" s="30" t="s">
        <v>98</v>
      </c>
      <c r="E47" s="30" t="s">
        <v>422</v>
      </c>
      <c r="F47" s="42">
        <v>0</v>
      </c>
      <c r="G47" s="42">
        <v>111</v>
      </c>
      <c r="H47" s="42">
        <v>23110</v>
      </c>
      <c r="I47" s="42">
        <v>23006</v>
      </c>
      <c r="J47" s="30" t="s">
        <v>419</v>
      </c>
      <c r="K47" s="42">
        <v>24235</v>
      </c>
      <c r="L47" s="134" t="s">
        <v>51</v>
      </c>
      <c r="M47" s="135">
        <f t="shared" si="0"/>
        <v>-648.91200000000003</v>
      </c>
      <c r="N47" s="136" t="str">
        <f>VLOOKUP(C47,'Trips&amp;Operators'!$C$1:$G$99999,5,FALSE)</f>
        <v>GUZMAN DANNY</v>
      </c>
      <c r="O47" s="210" t="s">
        <v>182</v>
      </c>
      <c r="P47" s="137"/>
      <c r="Q47" s="30"/>
      <c r="R47" s="84" t="str">
        <f>VLOOKUP(C47,'Train Runs'!$A$13:$AE$9935,31,0)</f>
        <v>aws s3 cp s3://rtdc.mdm.uploadarchive.raw/RTDC4061/ "%USERPROFILE%\AppData\Local\Temp\OnboardLogs"\RTDC4061\2017-06-10 --exclude "*" --recursive --include "*20170610*" &amp; "%USERPROFILE%\Documents\GitHub\mrs-test-scripts\Headless Mode &amp; Sideloading\WalkAndUnGZ.bat" "%USERPROFILE%\AppData\Local\Temp\OnboardLogs"\RTDC4061\2017-06-10 &amp; aws s3 cp s3://rtdc.mdm.uploadarchive.raw/RTDC4061/ "%USERPROFILE%\AppData\Local\Temp\OnboardLogs"\RTDC4061\2017-06-11 --exclude "*" --recursive --include "*20170611*" &amp; "%USERPROFILE%\Documents\GitHub\mrs-test-scripts\Headless Mode &amp; Sideloading\WalkAndUnGZ.bat" "%USERPROFILE%\AppData\Local\Temp\OnboardLogs"\RTDC4061\2017-06-11</v>
      </c>
      <c r="S47" s="87" t="str">
        <f>VLOOKUP(C47,'Train Runs'!$A$13:$AE$9935,22,0)</f>
        <v>https://d0f6bd738d7f1b3e5a7ca70fe4ff75f0.us-east-1.aws.found.io/app/kibana#/discover/Steve-Slow-Train-Analysis-(2080s-and-2083s)?_g=(refreshInterval:(display:Off,pause:!f,section:0,value:0),time:(from:'2017-06-10T04:13:24-0600',mode:absolute,to:'2017-06-10T06:36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47" s="89" t="str">
        <f t="shared" si="1"/>
        <v>"C:\Program Files (x86)\AstroGrep\AstroGrep.exe" /e /r /s /spath="%USERPROFILE%\AppData\Local\Temp\OnboardLogs" /stypes="*4061*201706101*" /stext=" 11:.+((SYSTEM_STATE.+slice.+state.+changed )|(ment ac)|(multiple cpu faults)|(system.+state.+changed )|(\[timeout)|(PRM\|1\|D)|(kpr)|(kdp)|(train st.+moving)|(\|lc)|(penalty))"</v>
      </c>
      <c r="U47" s="9" t="str">
        <f t="shared" si="2"/>
        <v>4061</v>
      </c>
      <c r="V47" s="31">
        <f t="shared" si="3"/>
        <v>42896.472210648149</v>
      </c>
      <c r="W47" s="45" t="str">
        <f t="shared" si="4"/>
        <v>Other</v>
      </c>
      <c r="X47" s="45" t="str">
        <f t="shared" si="5"/>
        <v>KEEP</v>
      </c>
      <c r="Y47" s="99" t="str">
        <f t="shared" si="6"/>
        <v>echo {"issue":{"subject":"","project_id":79,"tracker_id":40,"status_id":1,"priority_id":2,"assigned_to_id":23,"start_date":"2017-06-10","description":"","custom_fields":[{"id":1,"name":"Subdivision","value":"Other"},{"id":4,"name":"Milepost","value":"2.4235"},{"id":17,"name":"Train ID","value":"312-10"},{"id":16,"name":"Locomotive ID","value":"4061"},{"id":130,"name":"Impact","value":""},{"id":150,"name":"Time of Event (Mountain Time)","value":"05:19:59"},{"id":151,"name":"Denver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162"/>
      <c r="AA47" s="47"/>
      <c r="AB47" s="47"/>
      <c r="AC47" s="118" t="str">
        <f t="shared" si="7"/>
        <v>grep -hrE -A400 "Enforcement Action" /cygdrive/c/Users/stu/AppData/Local/Temp/OnboardLogs/RTDC4061 --include="*4061*201706101*"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"%USERPROFILE%\AppData\Local\Temp\OnboardLogs"\RTDC4061\*4061*201706101* &gt;&gt; 2017-06-10-SliceDisagreementCheck.txt</v>
      </c>
      <c r="AE47" s="148" t="str">
        <f t="shared" si="9"/>
        <v>start /low /b %USERPROFILE%\Documents\GitHub\eaglep3\Utilities\DownloadLogsFromS3.py --loco 4061 --day 2017-06-10</v>
      </c>
      <c r="AF47" s="1"/>
    </row>
    <row r="48" spans="1:32" x14ac:dyDescent="0.25">
      <c r="A48" s="31">
        <v>42896.591909722221</v>
      </c>
      <c r="B48" s="30" t="s">
        <v>502</v>
      </c>
      <c r="C48" s="30" t="s">
        <v>590</v>
      </c>
      <c r="D48" s="30" t="s">
        <v>98</v>
      </c>
      <c r="E48" s="30" t="s">
        <v>183</v>
      </c>
      <c r="F48" s="42">
        <v>0</v>
      </c>
      <c r="G48" s="42">
        <v>6</v>
      </c>
      <c r="H48" s="42">
        <v>826</v>
      </c>
      <c r="I48" s="42">
        <v>0</v>
      </c>
      <c r="J48" s="30" t="s">
        <v>184</v>
      </c>
      <c r="K48" s="42">
        <v>826</v>
      </c>
      <c r="L48" s="134" t="s">
        <v>51</v>
      </c>
      <c r="M48" s="135">
        <f t="shared" si="0"/>
        <v>-436.12799999999999</v>
      </c>
      <c r="N48" s="136" t="str">
        <f>VLOOKUP(C48,'Trips&amp;Operators'!$C$1:$G$99999,5,FALSE)</f>
        <v>BROWN JACOB</v>
      </c>
      <c r="O48" s="210" t="s">
        <v>182</v>
      </c>
      <c r="P48" s="137"/>
      <c r="Q48" s="30"/>
      <c r="R48" s="84" t="str">
        <f>VLOOKUP(C48,'Train Runs'!$A$13:$AE$9935,31,0)</f>
        <v>aws s3 cp s3://rtdc.mdm.uploadarchive.raw/RTDC4015/ "%USERPROFILE%\AppData\Local\Temp\OnboardLogs"\RTDC4015\2017-06-10 --exclude "*" --recursive --include "*20170610*" &amp; "%USERPROFILE%\Documents\GitHub\mrs-test-scripts\Headless Mode &amp; Sideloading\WalkAndUnGZ.bat" "%USERPROFILE%\AppData\Local\Temp\OnboardLogs"\RTDC4015\2017-06-10 &amp; aws s3 cp s3://rtdc.mdm.uploadarchive.raw/RTDC4015/ "%USERPROFILE%\AppData\Local\Temp\OnboardLogs"\RTDC4015\2017-06-11 --exclude "*" --recursive --include "*20170611*" &amp; "%USERPROFILE%\Documents\GitHub\mrs-test-scripts\Headless Mode &amp; Sideloading\WalkAndUnGZ.bat" "%USERPROFILE%\AppData\Local\Temp\OnboardLogs"\RTDC4015\2017-06-11</v>
      </c>
      <c r="S48" s="87" t="str">
        <f>VLOOKUP(C48,'Train Runs'!$A$13:$AE$9935,22,0)</f>
        <v>https://d0f6bd738d7f1b3e5a7ca70fe4ff75f0.us-east-1.aws.found.io/app/kibana#/discover/Steve-Slow-Train-Analysis-(2080s-and-2083s)?_g=(refreshInterval:(display:Off,pause:!f,section:0,value:0),time:(from:'2017-06-10T12:59:17-0600',mode:absolute,to:'2017-06-10T15:12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48" s="89" t="str">
        <f t="shared" si="1"/>
        <v>"C:\Program Files (x86)\AstroGrep\AstroGrep.exe" /e /r /s /spath="%USERPROFILE%\AppData\Local\Temp\OnboardLogs" /stypes="*4015*201706102*" /stext=" 20:.+((SYSTEM_STATE.+slice.+state.+changed )|(ment ac)|(multiple cpu faults)|(system.+state.+changed )|(\[timeout)|(PRM\|1\|D)|(kpr)|(kdp)|(train st.+moving)|(\|lc)|(penalty))"</v>
      </c>
      <c r="U48" s="9" t="str">
        <f t="shared" si="2"/>
        <v>4015</v>
      </c>
      <c r="V48" s="31">
        <f t="shared" si="3"/>
        <v>42896.841909722221</v>
      </c>
      <c r="W48" s="45" t="str">
        <f t="shared" si="4"/>
        <v>Other</v>
      </c>
      <c r="X48" s="45" t="str">
        <f t="shared" si="5"/>
        <v>OMIT</v>
      </c>
      <c r="Y48" s="99" t="str">
        <f t="shared" si="6"/>
        <v>echo {"issue":{"subject":"","project_id":79,"tracker_id":40,"status_id":1,"priority_id":2,"assigned_to_id":23,"start_date":"2017-06-10","description":"","custom_fields":[{"id":1,"name":"Subdivision","value":"Other"},{"id":4,"name":"Milepost","value":"0.0826"},{"id":17,"name":"Train ID","value":"56-10"},{"id":16,"name":"Locomotive ID","value":"4015"},{"id":130,"name":"Impact","value":""},{"id":150,"name":"Time of Event (Mountain Time)","value":"14:12:21"},{"id":151,"name":"Denver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162"/>
      <c r="AA48" s="47"/>
      <c r="AB48" s="47"/>
      <c r="AC48" s="118" t="str">
        <f t="shared" si="7"/>
        <v>grep -hrE -A400 "Enforcement Action" /cygdrive/c/Users/stu/AppData/Local/Temp/OnboardLogs/RTDC4015 --include="*4015*201706102*" | grep -E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"%USERPROFILE%\AppData\Local\Temp\OnboardLogs"\RTDC4015\*4015*201706102* &gt;&gt; 2017-06-10-SliceDisagreementCheck.txt</v>
      </c>
      <c r="AE48" s="148" t="str">
        <f t="shared" si="9"/>
        <v>start /low /b %USERPROFILE%\Documents\GitHub\eaglep3\Utilities\DownloadLogsFromS3.py --loco 4015 --day 2017-06-10</v>
      </c>
      <c r="AF48" s="1"/>
    </row>
    <row r="49" spans="1:32" x14ac:dyDescent="0.25">
      <c r="A49" s="31">
        <v>42896.197974537034</v>
      </c>
      <c r="B49" s="30" t="s">
        <v>540</v>
      </c>
      <c r="C49" s="30" t="s">
        <v>572</v>
      </c>
      <c r="D49" s="30" t="s">
        <v>98</v>
      </c>
      <c r="E49" s="30" t="s">
        <v>183</v>
      </c>
      <c r="F49" s="42">
        <v>0</v>
      </c>
      <c r="G49" s="42">
        <v>9</v>
      </c>
      <c r="H49" s="42">
        <v>839</v>
      </c>
      <c r="I49" s="42">
        <v>0</v>
      </c>
      <c r="J49" s="30" t="s">
        <v>184</v>
      </c>
      <c r="K49" s="42">
        <v>839</v>
      </c>
      <c r="L49" s="134" t="s">
        <v>51</v>
      </c>
      <c r="M49" s="135">
        <f t="shared" si="0"/>
        <v>-442.99200000000002</v>
      </c>
      <c r="N49" s="136" t="str">
        <f>VLOOKUP(C49,'Trips&amp;Operators'!$C$1:$G$99999,5,FALSE)</f>
        <v>DE LA ROSA ALEX</v>
      </c>
      <c r="O49" s="210" t="s">
        <v>182</v>
      </c>
      <c r="P49" s="137"/>
      <c r="Q49" s="30"/>
      <c r="R49" s="84" t="str">
        <f>VLOOKUP(C49,'Train Runs'!$A$13:$AE$9935,31,0)</f>
        <v>aws s3 cp s3://rtdc.mdm.uploadarchive.raw/RTDC4003/ "%USERPROFILE%\AppData\Local\Temp\OnboardLogs"\RTDC4003\2017-06-10 --exclude "*" --recursive --include "*20170610*" &amp; "%USERPROFILE%\Documents\GitHub\mrs-test-scripts\Headless Mode &amp; Sideloading\WalkAndUnGZ.bat" "%USERPROFILE%\AppData\Local\Temp\OnboardLogs"\RTDC4003\2017-06-10 &amp; aws s3 cp s3://rtdc.mdm.uploadarchive.raw/RTDC4003/ "%USERPROFILE%\AppData\Local\Temp\OnboardLogs"\RTDC4003\2017-06-11 --exclude "*" --recursive --include "*20170611*" &amp; "%USERPROFILE%\Documents\GitHub\mrs-test-scripts\Headless Mode &amp; Sideloading\WalkAndUnGZ.bat" "%USERPROFILE%\AppData\Local\Temp\OnboardLogs"\RTDC4003\2017-06-11</v>
      </c>
      <c r="S49" s="87" t="str">
        <f>VLOOKUP(C49,'Train Runs'!$A$13:$AE$9935,22,0)</f>
        <v>https://d0f6bd738d7f1b3e5a7ca70fe4ff75f0.us-east-1.aws.found.io/app/kibana#/discover/Steve-Slow-Train-Analysis-(2080s-and-2083s)?_g=(refreshInterval:(display:Off,pause:!f,section:0,value:0),time:(from:'2017-06-10T03:32:56-0600',mode:absolute,to:'2017-06-10T05:45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49" s="89" t="str">
        <f t="shared" si="1"/>
        <v>"C:\Program Files (x86)\AstroGrep\AstroGrep.exe" /e /r /s /spath="%USERPROFILE%\AppData\Local\Temp\OnboardLogs" /stypes="*4003*201706101*" /stext=" 10:.+((SYSTEM_STATE.+slice.+state.+changed )|(ment ac)|(multiple cpu faults)|(system.+state.+changed )|(\[timeout)|(PRM\|1\|D)|(kpr)|(kdp)|(train st.+moving)|(\|lc)|(penalty))"</v>
      </c>
      <c r="U49" s="9" t="str">
        <f t="shared" si="2"/>
        <v>4003</v>
      </c>
      <c r="V49" s="31">
        <f t="shared" si="3"/>
        <v>42896.447974537034</v>
      </c>
      <c r="W49" s="45" t="str">
        <f t="shared" si="4"/>
        <v>Other</v>
      </c>
      <c r="X49" s="45" t="str">
        <f t="shared" si="5"/>
        <v>OMIT</v>
      </c>
      <c r="Y49" s="99" t="str">
        <f t="shared" si="6"/>
        <v>echo {"issue":{"subject":"","project_id":79,"tracker_id":40,"status_id":1,"priority_id":2,"assigned_to_id":23,"start_date":"2017-06-10","description":"","custom_fields":[{"id":1,"name":"Subdivision","value":"Other"},{"id":4,"name":"Milepost","value":"0.0839"},{"id":17,"name":"Train ID","value":"86-10"},{"id":16,"name":"Locomotive ID","value":"4003"},{"id":130,"name":"Impact","value":""},{"id":150,"name":"Time of Event (Mountain Time)","value":"04:45:05"},{"id":151,"name":"Denver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162"/>
      <c r="AA49" s="47"/>
      <c r="AB49" s="47"/>
      <c r="AC49" s="118" t="str">
        <f t="shared" si="7"/>
        <v>grep -hrE -A400 "Enforcement Action" /cygdrive/c/Users/stu/AppData/Local/Temp/OnboardLogs/RTDC4003 --include="*4003*201706101*" | grep -E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"%USERPROFILE%\AppData\Local\Temp\OnboardLogs"\RTDC4003\*4003*201706101* &gt;&gt; 2017-06-10-SliceDisagreementCheck.txt</v>
      </c>
      <c r="AE49" s="148" t="str">
        <f t="shared" si="9"/>
        <v>start /low /b %USERPROFILE%\Documents\GitHub\eaglep3\Utilities\DownloadLogsFromS3.py --loco 4003 --day 2017-06-10</v>
      </c>
      <c r="AF49" s="1"/>
    </row>
    <row r="50" spans="1:32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Z50"/>
      <c r="AC50"/>
      <c r="AE50"/>
    </row>
    <row r="51" spans="1:32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Z51"/>
      <c r="AC51"/>
      <c r="AE51"/>
    </row>
    <row r="52" spans="1:32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Z52"/>
      <c r="AC52"/>
      <c r="AE52"/>
    </row>
    <row r="53" spans="1:32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Z53"/>
      <c r="AC53"/>
      <c r="AE53"/>
    </row>
    <row r="54" spans="1:32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Z54"/>
      <c r="AC54"/>
      <c r="AE54"/>
    </row>
    <row r="55" spans="1:32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Z55"/>
      <c r="AC55"/>
      <c r="AE55"/>
    </row>
    <row r="56" spans="1:32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Z56"/>
      <c r="AC56"/>
      <c r="AE56"/>
    </row>
    <row r="57" spans="1:32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2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2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  <row r="60" spans="1:32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  <row r="61" spans="1:32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Z61"/>
      <c r="AC61"/>
      <c r="AE61"/>
    </row>
    <row r="62" spans="1:32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Z62"/>
      <c r="AC62"/>
      <c r="AE62"/>
    </row>
    <row r="63" spans="1:32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Z63"/>
      <c r="AC63"/>
      <c r="AE63"/>
    </row>
    <row r="64" spans="1:32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Z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Z68"/>
      <c r="AC68"/>
      <c r="AE68"/>
    </row>
    <row r="69" spans="1:31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Z69"/>
      <c r="AC69"/>
      <c r="AE69"/>
    </row>
    <row r="70" spans="1:31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Z70"/>
      <c r="AC70"/>
      <c r="AE70"/>
    </row>
    <row r="71" spans="1:31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Z71"/>
      <c r="AC71"/>
      <c r="AE71"/>
    </row>
    <row r="72" spans="1:31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Z72"/>
      <c r="AC72"/>
      <c r="AE72"/>
    </row>
    <row r="73" spans="1:31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Z73"/>
      <c r="AC73"/>
      <c r="AE73"/>
    </row>
    <row r="74" spans="1:31" x14ac:dyDescent="0.25">
      <c r="A74"/>
      <c r="D74"/>
      <c r="E74"/>
      <c r="F74"/>
      <c r="G74"/>
      <c r="H74"/>
      <c r="I74"/>
      <c r="J74"/>
      <c r="K74"/>
      <c r="L74"/>
      <c r="M74"/>
      <c r="N74"/>
      <c r="O74"/>
      <c r="P74"/>
      <c r="R74"/>
      <c r="S74"/>
      <c r="T74"/>
      <c r="V74"/>
      <c r="Z74"/>
      <c r="AC74"/>
      <c r="AE74"/>
    </row>
    <row r="75" spans="1:31" x14ac:dyDescent="0.25">
      <c r="A75"/>
      <c r="D75"/>
      <c r="E75"/>
      <c r="F75"/>
      <c r="G75"/>
      <c r="H75"/>
      <c r="I75"/>
      <c r="J75"/>
      <c r="K75"/>
      <c r="L75"/>
      <c r="M75"/>
      <c r="N75"/>
      <c r="O75"/>
      <c r="P75"/>
      <c r="R75"/>
      <c r="S75"/>
      <c r="T75"/>
      <c r="V75"/>
      <c r="Z75"/>
      <c r="AC75"/>
      <c r="AE75"/>
    </row>
    <row r="76" spans="1:31" x14ac:dyDescent="0.25">
      <c r="A76"/>
      <c r="D76"/>
      <c r="E76"/>
      <c r="F76"/>
      <c r="G76"/>
      <c r="H76"/>
      <c r="I76"/>
      <c r="J76"/>
      <c r="K76"/>
      <c r="L76"/>
      <c r="M76"/>
      <c r="N76"/>
      <c r="O76"/>
      <c r="P76"/>
      <c r="R76"/>
      <c r="S76"/>
      <c r="T76"/>
      <c r="V76"/>
      <c r="Z76"/>
      <c r="AC76"/>
      <c r="AE76"/>
    </row>
  </sheetData>
  <autoFilter ref="A6:AC76">
    <sortState ref="A7:AC77">
      <sortCondition ref="W7:W50"/>
      <sortCondition ref="E7:E50"/>
      <sortCondition ref="K7:K50"/>
      <sortCondition ref="F7:F50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77:O1048576 O7:O49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9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AA7:AA49</xm:sqref>
        </x14:dataValidation>
        <x14:dataValidation type="list" allowBlank="1" showInputMessage="1" showErrorMessage="1">
          <x14:formula1>
            <xm:f>'Redmine List Values'!$C$2:$C$15</xm:f>
          </x14:formula1>
          <xm:sqref>AB7:AB49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11"/>
  <sheetViews>
    <sheetView workbookViewId="0">
      <selection activeCell="E3" sqref="E3"/>
    </sheetView>
  </sheetViews>
  <sheetFormatPr defaultRowHeight="15" x14ac:dyDescent="0.25"/>
  <cols>
    <col min="1" max="1" width="9.140625" style="179"/>
    <col min="2" max="2" width="9.140625" style="2" customWidth="1"/>
    <col min="3" max="3" width="8" style="91" bestFit="1" customWidth="1"/>
    <col min="4" max="4" width="9.85546875" style="142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9"/>
      <c r="B1" s="212" t="str">
        <f>"Trips that did not appear in PTC Data "&amp;TEXT(Variables!$A$2,"YYYY-mm-dd")</f>
        <v>Trips that did not appear in PTC Data 2017-06-10</v>
      </c>
      <c r="C1" s="212"/>
      <c r="D1" s="212"/>
      <c r="E1" s="212"/>
      <c r="F1" s="212"/>
    </row>
    <row r="2" spans="1:10" s="23" customFormat="1" ht="45" x14ac:dyDescent="0.25">
      <c r="A2" s="206" t="s">
        <v>150</v>
      </c>
      <c r="B2" s="93" t="s">
        <v>58</v>
      </c>
      <c r="C2" s="90" t="s">
        <v>59</v>
      </c>
      <c r="D2" s="155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202">
        <v>102</v>
      </c>
      <c r="B3" s="42" t="str">
        <f>A3&amp;"-"&amp;IF(DAY(Variables!$A$2)&lt;10,0,"")&amp;DAY(Variables!$A$2)</f>
        <v>102-10</v>
      </c>
      <c r="C3" s="138"/>
      <c r="D3" s="156"/>
      <c r="E3" s="30" t="s">
        <v>1032</v>
      </c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34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22102-10%22)),sort:!(Time.ISO8601,asc))</v>
      </c>
      <c r="J3" s="30" t="str">
        <f>VLOOKUP(B3,'Train Runs'!$A$13:$A$99932,1,FALSE)</f>
        <v>102-10</v>
      </c>
    </row>
    <row r="4" spans="1:10" x14ac:dyDescent="0.25">
      <c r="A4" s="202"/>
      <c r="B4" s="42" t="str">
        <f>A4&amp;"-"&amp;IF(DAY(Variables!$A$2)&lt;10,0,"")&amp;DAY(Variables!$A$2)</f>
        <v>-10</v>
      </c>
      <c r="C4" s="138"/>
      <c r="D4" s="156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4" s="30" t="e">
        <f>VLOOKUP(B4,'Train Runs'!$A$13:$A$99932,1,FALSE)</f>
        <v>#N/A</v>
      </c>
    </row>
    <row r="5" spans="1:10" x14ac:dyDescent="0.25">
      <c r="A5" s="202"/>
      <c r="B5" s="42" t="str">
        <f>A5&amp;"-"&amp;IF(DAY(Variables!$A$2)&lt;10,0,"")&amp;DAY(Variables!$A$2)</f>
        <v>-10</v>
      </c>
      <c r="C5" s="138"/>
      <c r="D5" s="156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5" s="30" t="e">
        <f>VLOOKUP(B5,'Train Runs'!$A$13:$A$99932,1,FALSE)</f>
        <v>#N/A</v>
      </c>
    </row>
    <row r="6" spans="1:10" x14ac:dyDescent="0.25">
      <c r="A6" s="202"/>
      <c r="B6" s="42" t="str">
        <f>A6&amp;"-"&amp;IF(DAY(Variables!$A$2)&lt;10,0,"")&amp;DAY(Variables!$A$2)</f>
        <v>-10</v>
      </c>
      <c r="C6" s="138"/>
      <c r="D6" s="156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6" s="30" t="e">
        <f>VLOOKUP(B6,'Train Runs'!$A$13:$A$99932,1,FALSE)</f>
        <v>#N/A</v>
      </c>
    </row>
    <row r="7" spans="1:10" x14ac:dyDescent="0.25">
      <c r="A7" s="202"/>
      <c r="B7" s="42" t="str">
        <f>A7&amp;"-"&amp;IF(DAY(Variables!$A$2)&lt;10,0,"")&amp;DAY(Variables!$A$2)</f>
        <v>-10</v>
      </c>
      <c r="C7" s="138"/>
      <c r="D7" s="156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7" s="30" t="e">
        <f>VLOOKUP(B7,'Train Runs'!$A$13:$A$99932,1,FALSE)</f>
        <v>#N/A</v>
      </c>
    </row>
    <row r="8" spans="1:10" x14ac:dyDescent="0.25">
      <c r="A8" s="202"/>
      <c r="B8" s="42" t="str">
        <f>A8&amp;"-"&amp;IF(DAY(Variables!$A$2)&lt;10,0,"")&amp;DAY(Variables!$A$2)</f>
        <v>-10</v>
      </c>
      <c r="C8" s="138"/>
      <c r="D8" s="156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8" s="30" t="e">
        <f>VLOOKUP(B8,'Train Runs'!$A$13:$A$99932,1,FALSE)</f>
        <v>#N/A</v>
      </c>
    </row>
    <row r="9" spans="1:10" x14ac:dyDescent="0.25">
      <c r="A9" s="202"/>
      <c r="B9" s="42" t="str">
        <f>A9&amp;"-"&amp;IF(DAY(Variables!$A$2)&lt;10,0,"")&amp;DAY(Variables!$A$2)</f>
        <v>-10</v>
      </c>
      <c r="C9" s="138"/>
      <c r="D9" s="156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9" s="30" t="e">
        <f>VLOOKUP(B9,'Train Runs'!$A$13:$A$99932,1,FALSE)</f>
        <v>#N/A</v>
      </c>
    </row>
    <row r="10" spans="1:10" x14ac:dyDescent="0.25">
      <c r="A10" s="202"/>
      <c r="B10" s="42" t="str">
        <f>A10&amp;"-"&amp;IF(DAY(Variables!$A$2)&lt;10,0,"")&amp;DAY(Variables!$A$2)</f>
        <v>-10</v>
      </c>
      <c r="C10" s="138"/>
      <c r="D10" s="156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0" s="30" t="e">
        <f>VLOOKUP(B10,'Train Runs'!$A$13:$A$99932,1,FALSE)</f>
        <v>#N/A</v>
      </c>
    </row>
    <row r="11" spans="1:10" x14ac:dyDescent="0.25">
      <c r="A11" s="202"/>
      <c r="B11" s="42" t="str">
        <f>A11&amp;"-"&amp;IF(DAY(Variables!$A$2)&lt;10,0,"")&amp;DAY(Variables!$A$2)</f>
        <v>-10</v>
      </c>
      <c r="C11" s="138"/>
      <c r="D11" s="156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1" s="30" t="e">
        <f>VLOOKUP(B11,'Train Runs'!$A$13:$A$99932,1,FALSE)</f>
        <v>#N/A</v>
      </c>
    </row>
    <row r="12" spans="1:10" x14ac:dyDescent="0.25">
      <c r="A12" s="202"/>
      <c r="B12" s="42" t="str">
        <f>A12&amp;"-"&amp;IF(DAY(Variables!$A$2)&lt;10,0,"")&amp;DAY(Variables!$A$2)</f>
        <v>-10</v>
      </c>
      <c r="C12" s="138"/>
      <c r="D12" s="156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2" s="30" t="e">
        <f>VLOOKUP(B12,'Train Runs'!$A$13:$A$99932,1,FALSE)</f>
        <v>#N/A</v>
      </c>
    </row>
    <row r="13" spans="1:10" x14ac:dyDescent="0.25">
      <c r="A13" s="202"/>
      <c r="B13" s="42" t="str">
        <f>A13&amp;"-"&amp;IF(DAY(Variables!$A$2)&lt;10,0,"")&amp;DAY(Variables!$A$2)</f>
        <v>-10</v>
      </c>
      <c r="C13" s="138"/>
      <c r="D13" s="156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3" s="30" t="e">
        <f>VLOOKUP(B13,'Train Runs'!$A$13:$A$99932,1,FALSE)</f>
        <v>#N/A</v>
      </c>
    </row>
    <row r="14" spans="1:10" x14ac:dyDescent="0.25">
      <c r="A14" s="202"/>
      <c r="B14" s="42" t="str">
        <f>A14&amp;"-"&amp;IF(DAY(Variables!$A$2)&lt;10,0,"")&amp;DAY(Variables!$A$2)</f>
        <v>-10</v>
      </c>
      <c r="C14" s="138"/>
      <c r="D14" s="156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4" s="30" t="e">
        <f>VLOOKUP(B14,'Train Runs'!$A$13:$A$99932,1,FALSE)</f>
        <v>#N/A</v>
      </c>
    </row>
    <row r="15" spans="1:10" x14ac:dyDescent="0.25">
      <c r="A15" s="202"/>
      <c r="B15" s="42" t="str">
        <f>A15&amp;"-"&amp;IF(DAY(Variables!$A$2)&lt;10,0,"")&amp;DAY(Variables!$A$2)</f>
        <v>-10</v>
      </c>
      <c r="C15" s="138"/>
      <c r="D15" s="156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5" s="30" t="e">
        <f>VLOOKUP(B15,'Train Runs'!$A$13:$A$99932,1,FALSE)</f>
        <v>#N/A</v>
      </c>
    </row>
    <row r="16" spans="1:10" x14ac:dyDescent="0.25">
      <c r="A16" s="202"/>
      <c r="B16" s="42" t="str">
        <f>A16&amp;"-"&amp;IF(DAY(Variables!$A$2)&lt;10,0,"")&amp;DAY(Variables!$A$2)</f>
        <v>-10</v>
      </c>
      <c r="C16" s="138"/>
      <c r="D16" s="156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6" s="30" t="e">
        <f>VLOOKUP(B16,'Train Runs'!$A$13:$A$99932,1,FALSE)</f>
        <v>#N/A</v>
      </c>
    </row>
    <row r="17" spans="1:10" x14ac:dyDescent="0.25">
      <c r="A17" s="202"/>
      <c r="B17" s="42" t="str">
        <f>A17&amp;"-"&amp;IF(DAY(Variables!$A$2)&lt;10,0,"")&amp;DAY(Variables!$A$2)</f>
        <v>-10</v>
      </c>
      <c r="C17" s="138"/>
      <c r="D17" s="156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7" s="30" t="e">
        <f>VLOOKUP(B17,'Train Runs'!$A$13:$A$99932,1,FALSE)</f>
        <v>#N/A</v>
      </c>
    </row>
    <row r="18" spans="1:10" x14ac:dyDescent="0.25">
      <c r="A18" s="202"/>
      <c r="B18" s="42" t="str">
        <f>A18&amp;"-"&amp;IF(DAY(Variables!$A$2)&lt;10,0,"")&amp;DAY(Variables!$A$2)</f>
        <v>-10</v>
      </c>
      <c r="C18" s="138"/>
      <c r="D18" s="156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8" s="30" t="e">
        <f>VLOOKUP(B18,'Train Runs'!$A$13:$A$99932,1,FALSE)</f>
        <v>#N/A</v>
      </c>
    </row>
    <row r="19" spans="1:10" x14ac:dyDescent="0.25">
      <c r="A19" s="202"/>
      <c r="B19" s="42" t="str">
        <f>A19&amp;"-"&amp;IF(DAY(Variables!$A$2)&lt;10,0,"")&amp;DAY(Variables!$A$2)</f>
        <v>-10</v>
      </c>
      <c r="C19" s="138"/>
      <c r="D19" s="156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19" s="30" t="e">
        <f>VLOOKUP(B19,'Train Runs'!$A$13:$A$99932,1,FALSE)</f>
        <v>#N/A</v>
      </c>
    </row>
    <row r="20" spans="1:10" x14ac:dyDescent="0.25">
      <c r="A20" s="202"/>
      <c r="B20" s="42" t="str">
        <f>A20&amp;"-"&amp;IF(DAY(Variables!$A$2)&lt;10,0,"")&amp;DAY(Variables!$A$2)</f>
        <v>-10</v>
      </c>
      <c r="C20" s="138"/>
      <c r="D20" s="156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0" s="30" t="e">
        <f>VLOOKUP(B20,'Train Runs'!$A$13:$A$99932,1,FALSE)</f>
        <v>#N/A</v>
      </c>
    </row>
    <row r="21" spans="1:10" x14ac:dyDescent="0.25">
      <c r="A21" s="202"/>
      <c r="B21" s="42" t="str">
        <f>A21&amp;"-"&amp;IF(DAY(Variables!$A$2)&lt;10,0,"")&amp;DAY(Variables!$A$2)</f>
        <v>-10</v>
      </c>
      <c r="C21" s="138"/>
      <c r="D21" s="156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1" s="30" t="e">
        <f>VLOOKUP(B21,'Train Runs'!$A$13:$A$99932,1,FALSE)</f>
        <v>#N/A</v>
      </c>
    </row>
    <row r="22" spans="1:10" x14ac:dyDescent="0.25">
      <c r="A22" s="202"/>
      <c r="B22" s="42" t="str">
        <f>A22&amp;"-"&amp;IF(DAY(Variables!$A$2)&lt;10,0,"")&amp;DAY(Variables!$A$2)</f>
        <v>-10</v>
      </c>
      <c r="C22" s="138"/>
      <c r="D22" s="156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2" s="30" t="e">
        <f>VLOOKUP(B22,'Train Runs'!$A$13:$A$99932,1,FALSE)</f>
        <v>#N/A</v>
      </c>
    </row>
    <row r="23" spans="1:10" x14ac:dyDescent="0.25">
      <c r="A23" s="202"/>
      <c r="B23" s="42" t="str">
        <f>A23&amp;"-"&amp;IF(DAY(Variables!$A$2)&lt;10,0,"")&amp;DAY(Variables!$A$2)</f>
        <v>-10</v>
      </c>
      <c r="C23" s="138"/>
      <c r="D23" s="156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3" s="30" t="e">
        <f>VLOOKUP(B23,'Train Runs'!$A$13:$A$99932,1,FALSE)</f>
        <v>#N/A</v>
      </c>
    </row>
    <row r="24" spans="1:10" x14ac:dyDescent="0.25">
      <c r="A24" s="202"/>
      <c r="B24" s="42" t="str">
        <f>A24&amp;"-"&amp;IF(DAY(Variables!$A$2)&lt;10,0,"")&amp;DAY(Variables!$A$2)</f>
        <v>-10</v>
      </c>
      <c r="C24" s="138"/>
      <c r="D24" s="156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4" s="30" t="e">
        <f>VLOOKUP(B24,'Train Runs'!$A$13:$A$99932,1,FALSE)</f>
        <v>#N/A</v>
      </c>
    </row>
    <row r="25" spans="1:10" x14ac:dyDescent="0.25">
      <c r="A25" s="202"/>
      <c r="B25" s="42" t="str">
        <f>A25&amp;"-"&amp;IF(DAY(Variables!$A$2)&lt;10,0,"")&amp;DAY(Variables!$A$2)</f>
        <v>-10</v>
      </c>
      <c r="C25" s="138"/>
      <c r="D25" s="156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5" s="30" t="e">
        <f>VLOOKUP(B25,'Train Runs'!$A$13:$A$99932,1,FALSE)</f>
        <v>#N/A</v>
      </c>
    </row>
    <row r="26" spans="1:10" x14ac:dyDescent="0.25">
      <c r="A26" s="202"/>
      <c r="B26" s="42" t="str">
        <f>A26&amp;"-"&amp;IF(DAY(Variables!$A$2)&lt;10,0,"")&amp;DAY(Variables!$A$2)</f>
        <v>-10</v>
      </c>
      <c r="C26" s="138"/>
      <c r="D26" s="156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6" s="30" t="e">
        <f>VLOOKUP(B26,'Train Runs'!$A$13:$A$99932,1,FALSE)</f>
        <v>#N/A</v>
      </c>
    </row>
    <row r="27" spans="1:10" x14ac:dyDescent="0.25">
      <c r="A27" s="202"/>
      <c r="B27" s="42" t="str">
        <f>A27&amp;"-"&amp;IF(DAY(Variables!$A$2)&lt;10,0,"")&amp;DAY(Variables!$A$2)</f>
        <v>-10</v>
      </c>
      <c r="C27" s="138"/>
      <c r="D27" s="156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7" s="30" t="e">
        <f>VLOOKUP(B27,'Train Runs'!$A$13:$A$99932,1,FALSE)</f>
        <v>#N/A</v>
      </c>
    </row>
    <row r="28" spans="1:10" x14ac:dyDescent="0.25">
      <c r="A28" s="202"/>
      <c r="B28" s="42" t="str">
        <f>A28&amp;"-"&amp;IF(DAY(Variables!$A$2)&lt;10,0,"")&amp;DAY(Variables!$A$2)</f>
        <v>-10</v>
      </c>
      <c r="C28" s="138"/>
      <c r="D28" s="156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8" s="30" t="e">
        <f>VLOOKUP(B28,'Train Runs'!$A$13:$A$99932,1,FALSE)</f>
        <v>#N/A</v>
      </c>
    </row>
    <row r="29" spans="1:10" x14ac:dyDescent="0.25">
      <c r="A29" s="202"/>
      <c r="B29" s="42" t="str">
        <f>A29&amp;"-"&amp;IF(DAY(Variables!$A$2)&lt;10,0,"")&amp;DAY(Variables!$A$2)</f>
        <v>-10</v>
      </c>
      <c r="C29" s="138"/>
      <c r="D29" s="156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29" s="30" t="e">
        <f>VLOOKUP(B29,'Train Runs'!$A$13:$A$99932,1,FALSE)</f>
        <v>#N/A</v>
      </c>
    </row>
    <row r="30" spans="1:10" x14ac:dyDescent="0.25">
      <c r="A30" s="202"/>
      <c r="B30" s="42" t="str">
        <f>A30&amp;"-"&amp;IF(DAY(Variables!$A$2)&lt;10,0,"")&amp;DAY(Variables!$A$2)</f>
        <v>-10</v>
      </c>
      <c r="C30" s="138"/>
      <c r="D30" s="156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30" s="30" t="e">
        <f>VLOOKUP(B30,'Train Runs'!$A$13:$A$99932,1,FALSE)</f>
        <v>#N/A</v>
      </c>
    </row>
    <row r="31" spans="1:10" x14ac:dyDescent="0.25">
      <c r="A31" s="202"/>
      <c r="B31" s="42" t="str">
        <f>A31&amp;"-"&amp;IF(DAY(Variables!$A$2)&lt;10,0,"")&amp;DAY(Variables!$A$2)</f>
        <v>-10</v>
      </c>
      <c r="C31" s="138"/>
      <c r="D31" s="156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31" s="30" t="e">
        <f>VLOOKUP(B31,'Train Runs'!$A$13:$A$99932,1,FALSE)</f>
        <v>#N/A</v>
      </c>
    </row>
    <row r="32" spans="1:10" x14ac:dyDescent="0.25">
      <c r="A32" s="202"/>
      <c r="B32" s="42" t="str">
        <f>A32&amp;"-"&amp;IF(DAY(Variables!$A$2)&lt;10,0,"")&amp;DAY(Variables!$A$2)</f>
        <v>-10</v>
      </c>
      <c r="C32" s="138"/>
      <c r="D32" s="156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32" s="30" t="e">
        <f>VLOOKUP(B32,'Train Runs'!$A$13:$A$99932,1,FALSE)</f>
        <v>#N/A</v>
      </c>
    </row>
    <row r="33" spans="1:10" x14ac:dyDescent="0.25">
      <c r="A33" s="202"/>
      <c r="B33" s="42" t="str">
        <f>A33&amp;"-"&amp;IF(DAY(Variables!$A$2)&lt;10,0,"")&amp;DAY(Variables!$A$2)</f>
        <v>-10</v>
      </c>
      <c r="C33" s="138"/>
      <c r="D33" s="156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33" s="30" t="e">
        <f>VLOOKUP(B33,'Train Runs'!$A$13:$A$99932,1,FALSE)</f>
        <v>#N/A</v>
      </c>
    </row>
    <row r="34" spans="1:10" x14ac:dyDescent="0.25">
      <c r="A34" s="202"/>
      <c r="B34" s="42" t="str">
        <f>A34&amp;"-"&amp;IF(DAY(Variables!$A$2)&lt;10,0,"")&amp;DAY(Variables!$A$2)</f>
        <v>-10</v>
      </c>
      <c r="C34" s="138"/>
      <c r="D34" s="156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34" s="30" t="e">
        <f>VLOOKUP(B34,'Train Runs'!$A$13:$A$99932,1,FALSE)</f>
        <v>#N/A</v>
      </c>
    </row>
    <row r="35" spans="1:10" x14ac:dyDescent="0.25">
      <c r="A35" s="202"/>
      <c r="B35" s="42" t="str">
        <f>A35&amp;"-"&amp;IF(DAY(Variables!$A$2)&lt;10,0,"")&amp;DAY(Variables!$A$2)</f>
        <v>-10</v>
      </c>
      <c r="C35" s="138"/>
      <c r="D35" s="156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5" t="str">
        <f t="shared" ref="I35:I55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35" s="30" t="e">
        <f>VLOOKUP(B35,'Train Runs'!$A$13:$A$99932,1,FALSE)</f>
        <v>#N/A</v>
      </c>
    </row>
    <row r="36" spans="1:10" x14ac:dyDescent="0.25">
      <c r="A36" s="202"/>
      <c r="B36" s="42" t="str">
        <f>A36&amp;"-"&amp;IF(DAY(Variables!$A$2)&lt;10,0,"")&amp;DAY(Variables!$A$2)</f>
        <v>-10</v>
      </c>
      <c r="C36" s="138"/>
      <c r="D36" s="156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36" s="30" t="e">
        <f>VLOOKUP(B36,'Train Runs'!$A$13:$A$99932,1,FALSE)</f>
        <v>#N/A</v>
      </c>
    </row>
    <row r="37" spans="1:10" x14ac:dyDescent="0.25">
      <c r="A37" s="202"/>
      <c r="B37" s="42" t="str">
        <f>A37&amp;"-"&amp;IF(DAY(Variables!$A$2)&lt;10,0,"")&amp;DAY(Variables!$A$2)</f>
        <v>-10</v>
      </c>
      <c r="C37" s="138"/>
      <c r="D37" s="156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37" s="30" t="e">
        <f>VLOOKUP(B37,'Train Runs'!$A$13:$A$99932,1,FALSE)</f>
        <v>#N/A</v>
      </c>
    </row>
    <row r="38" spans="1:10" x14ac:dyDescent="0.25">
      <c r="A38" s="202"/>
      <c r="B38" s="42" t="str">
        <f>A38&amp;"-"&amp;IF(DAY(Variables!$A$2)&lt;10,0,"")&amp;DAY(Variables!$A$2)</f>
        <v>-10</v>
      </c>
      <c r="C38" s="138"/>
      <c r="D38" s="156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38" s="30" t="e">
        <f>VLOOKUP(B38,'Train Runs'!$A$13:$A$99932,1,FALSE)</f>
        <v>#N/A</v>
      </c>
    </row>
    <row r="39" spans="1:10" x14ac:dyDescent="0.25">
      <c r="A39" s="202"/>
      <c r="B39" s="42" t="str">
        <f>A39&amp;"-"&amp;IF(DAY(Variables!$A$2)&lt;10,0,"")&amp;DAY(Variables!$A$2)</f>
        <v>-10</v>
      </c>
      <c r="C39" s="138"/>
      <c r="D39" s="156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39" s="30" t="e">
        <f>VLOOKUP(B39,'Train Runs'!$A$13:$A$99932,1,FALSE)</f>
        <v>#N/A</v>
      </c>
    </row>
    <row r="40" spans="1:10" x14ac:dyDescent="0.25">
      <c r="A40" s="202"/>
      <c r="B40" s="42" t="str">
        <f>A40&amp;"-"&amp;IF(DAY(Variables!$A$2)&lt;10,0,"")&amp;DAY(Variables!$A$2)</f>
        <v>-10</v>
      </c>
      <c r="C40" s="138"/>
      <c r="D40" s="156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40" s="30" t="e">
        <f>VLOOKUP(B40,'Train Runs'!$A$13:$A$99932,1,FALSE)</f>
        <v>#N/A</v>
      </c>
    </row>
    <row r="41" spans="1:10" x14ac:dyDescent="0.25">
      <c r="A41" s="202"/>
      <c r="B41" s="42" t="str">
        <f>A41&amp;"-"&amp;IF(DAY(Variables!$A$2)&lt;10,0,"")&amp;DAY(Variables!$A$2)</f>
        <v>-10</v>
      </c>
      <c r="C41" s="138"/>
      <c r="D41" s="156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41" s="30" t="e">
        <f>VLOOKUP(B41,'Train Runs'!$A$13:$A$99932,1,FALSE)</f>
        <v>#N/A</v>
      </c>
    </row>
    <row r="42" spans="1:10" x14ac:dyDescent="0.25">
      <c r="A42" s="202"/>
      <c r="B42" s="42" t="str">
        <f>A42&amp;"-"&amp;IF(DAY(Variables!$A$2)&lt;10,0,"")&amp;DAY(Variables!$A$2)</f>
        <v>-10</v>
      </c>
      <c r="C42" s="138"/>
      <c r="D42" s="156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42" s="30" t="e">
        <f>VLOOKUP(B42,'Train Runs'!$A$13:$A$99932,1,FALSE)</f>
        <v>#N/A</v>
      </c>
    </row>
    <row r="43" spans="1:10" x14ac:dyDescent="0.25">
      <c r="A43" s="202"/>
      <c r="B43" s="42" t="str">
        <f>A43&amp;"-"&amp;IF(DAY(Variables!$A$2)&lt;10,0,"")&amp;DAY(Variables!$A$2)</f>
        <v>-10</v>
      </c>
      <c r="C43" s="138"/>
      <c r="D43" s="156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43" s="30" t="e">
        <f>VLOOKUP(B43,'Train Runs'!$A$13:$A$99932,1,FALSE)</f>
        <v>#N/A</v>
      </c>
    </row>
    <row r="44" spans="1:10" x14ac:dyDescent="0.25">
      <c r="A44" s="202"/>
      <c r="B44" s="42" t="str">
        <f>A44&amp;"-"&amp;IF(DAY(Variables!$A$2)&lt;10,0,"")&amp;DAY(Variables!$A$2)</f>
        <v>-10</v>
      </c>
      <c r="C44" s="138"/>
      <c r="D44" s="156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44" s="30" t="e">
        <f>VLOOKUP(B44,'Train Runs'!$A$13:$A$99932,1,FALSE)</f>
        <v>#N/A</v>
      </c>
    </row>
    <row r="45" spans="1:10" x14ac:dyDescent="0.25">
      <c r="A45" s="202"/>
      <c r="B45" s="42" t="str">
        <f>A45&amp;"-"&amp;IF(DAY(Variables!$A$2)&lt;10,0,"")&amp;DAY(Variables!$A$2)</f>
        <v>-10</v>
      </c>
      <c r="C45" s="138"/>
      <c r="D45" s="156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45" s="30" t="e">
        <f>VLOOKUP(B45,'Train Runs'!$A$13:$A$99932,1,FALSE)</f>
        <v>#N/A</v>
      </c>
    </row>
    <row r="46" spans="1:10" x14ac:dyDescent="0.25">
      <c r="A46" s="202"/>
      <c r="B46" s="42" t="str">
        <f>A46&amp;"-"&amp;IF(DAY(Variables!$A$2)&lt;10,0,"")&amp;DAY(Variables!$A$2)</f>
        <v>-10</v>
      </c>
      <c r="C46" s="138"/>
      <c r="D46" s="156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46" s="30" t="e">
        <f>VLOOKUP(B46,'Train Runs'!$A$13:$A$99932,1,FALSE)</f>
        <v>#N/A</v>
      </c>
    </row>
    <row r="47" spans="1:10" x14ac:dyDescent="0.25">
      <c r="A47" s="202"/>
      <c r="B47" s="42" t="str">
        <f>A47&amp;"-"&amp;IF(DAY(Variables!$A$2)&lt;10,0,"")&amp;DAY(Variables!$A$2)</f>
        <v>-10</v>
      </c>
      <c r="C47" s="138"/>
      <c r="D47" s="156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47" s="30" t="e">
        <f>VLOOKUP(B47,'Train Runs'!$A$13:$A$99932,1,FALSE)</f>
        <v>#N/A</v>
      </c>
    </row>
    <row r="48" spans="1:10" x14ac:dyDescent="0.25">
      <c r="A48" s="202"/>
      <c r="B48" s="42" t="str">
        <f>A48&amp;"-"&amp;IF(DAY(Variables!$A$2)&lt;10,0,"")&amp;DAY(Variables!$A$2)</f>
        <v>-10</v>
      </c>
      <c r="C48" s="138"/>
      <c r="D48" s="156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48" s="30" t="e">
        <f>VLOOKUP(B48,'Train Runs'!$A$13:$A$99932,1,FALSE)</f>
        <v>#N/A</v>
      </c>
    </row>
    <row r="49" spans="1:10" x14ac:dyDescent="0.25">
      <c r="A49" s="202"/>
      <c r="B49" s="42" t="str">
        <f>A49&amp;"-"&amp;IF(DAY(Variables!$A$2)&lt;10,0,"")&amp;DAY(Variables!$A$2)</f>
        <v>-10</v>
      </c>
      <c r="C49" s="138"/>
      <c r="D49" s="156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49" s="30" t="e">
        <f>VLOOKUP(B49,'Train Runs'!$A$13:$A$99932,1,FALSE)</f>
        <v>#N/A</v>
      </c>
    </row>
    <row r="50" spans="1:10" x14ac:dyDescent="0.25">
      <c r="A50" s="202"/>
      <c r="B50" s="42" t="str">
        <f>A50&amp;"-"&amp;IF(DAY(Variables!$A$2)&lt;10,0,"")&amp;DAY(Variables!$A$2)</f>
        <v>-10</v>
      </c>
      <c r="C50" s="138"/>
      <c r="D50" s="156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50" s="30" t="e">
        <f>VLOOKUP(B50,'Train Runs'!$A$13:$A$99932,1,FALSE)</f>
        <v>#N/A</v>
      </c>
    </row>
    <row r="51" spans="1:10" x14ac:dyDescent="0.25">
      <c r="A51" s="202"/>
      <c r="B51" s="42" t="str">
        <f>A51&amp;"-"&amp;IF(DAY(Variables!$A$2)&lt;10,0,"")&amp;DAY(Variables!$A$2)</f>
        <v>-10</v>
      </c>
      <c r="C51" s="138"/>
      <c r="D51" s="156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51" s="30" t="e">
        <f>VLOOKUP(B51,'Train Runs'!$A$13:$A$99932,1,FALSE)</f>
        <v>#N/A</v>
      </c>
    </row>
    <row r="52" spans="1:10" x14ac:dyDescent="0.25">
      <c r="A52" s="202"/>
      <c r="B52" s="42" t="str">
        <f>A52&amp;"-"&amp;IF(DAY(Variables!$A$2)&lt;10,0,"")&amp;DAY(Variables!$A$2)</f>
        <v>-10</v>
      </c>
      <c r="C52" s="138"/>
      <c r="D52" s="156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52" s="30" t="e">
        <f>VLOOKUP(B52,'Train Runs'!$A$13:$A$99932,1,FALSE)</f>
        <v>#N/A</v>
      </c>
    </row>
    <row r="53" spans="1:10" x14ac:dyDescent="0.25">
      <c r="A53" s="202"/>
      <c r="B53" s="42" t="str">
        <f>A53&amp;"-"&amp;IF(DAY(Variables!$A$2)&lt;10,0,"")&amp;DAY(Variables!$A$2)</f>
        <v>-10</v>
      </c>
      <c r="C53" s="138"/>
      <c r="D53" s="156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53" s="30" t="e">
        <f>VLOOKUP(B53,'Train Runs'!$A$13:$A$99932,1,FALSE)</f>
        <v>#N/A</v>
      </c>
    </row>
    <row r="54" spans="1:10" x14ac:dyDescent="0.25">
      <c r="A54" s="202"/>
      <c r="B54" s="42" t="str">
        <f>A54&amp;"-"&amp;IF(DAY(Variables!$A$2)&lt;10,0,"")&amp;DAY(Variables!$A$2)</f>
        <v>-10</v>
      </c>
      <c r="C54" s="138"/>
      <c r="D54" s="156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54" s="30" t="e">
        <f>VLOOKUP(B54,'Train Runs'!$A$13:$A$99932,1,FALSE)</f>
        <v>#N/A</v>
      </c>
    </row>
    <row r="55" spans="1:10" x14ac:dyDescent="0.25">
      <c r="A55" s="202"/>
      <c r="B55" s="42" t="str">
        <f>A55&amp;"-"&amp;IF(DAY(Variables!$A$2)&lt;10,0,"")&amp;DAY(Variables!$A$2)</f>
        <v>-10</v>
      </c>
      <c r="C55" s="138"/>
      <c r="D55" s="156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-10%22)),sort:!(Time.ISO8601,asc))</v>
      </c>
      <c r="J55" s="30" t="e">
        <f>VLOOKUP(B55,'Train Runs'!$A$13:$A$99932,1,FALSE)</f>
        <v>#N/A</v>
      </c>
    </row>
    <row r="56" spans="1:10" x14ac:dyDescent="0.25">
      <c r="A56" s="202"/>
      <c r="B56" s="42"/>
      <c r="C56" s="138"/>
      <c r="D56" s="156"/>
      <c r="E56" s="30"/>
      <c r="F56" s="21"/>
      <c r="G56" s="21"/>
      <c r="H56" s="29"/>
      <c r="I56" s="45"/>
      <c r="J56" s="30"/>
    </row>
    <row r="57" spans="1:10" x14ac:dyDescent="0.25">
      <c r="A57" s="202"/>
      <c r="B57" s="42"/>
      <c r="C57" s="138"/>
      <c r="D57" s="156"/>
      <c r="E57" s="30"/>
      <c r="F57" s="21"/>
      <c r="G57" s="21"/>
      <c r="H57" s="29"/>
      <c r="I57" s="45"/>
      <c r="J57" s="30"/>
    </row>
    <row r="58" spans="1:10" x14ac:dyDescent="0.25">
      <c r="A58" s="202"/>
      <c r="B58" s="42"/>
      <c r="C58" s="138"/>
      <c r="D58" s="156"/>
      <c r="E58" s="30"/>
      <c r="F58" s="21"/>
      <c r="G58" s="21"/>
      <c r="H58" s="29"/>
      <c r="I58" s="45"/>
      <c r="J58" s="30"/>
    </row>
    <row r="59" spans="1:10" x14ac:dyDescent="0.25">
      <c r="A59" s="202"/>
      <c r="B59" s="42"/>
      <c r="C59" s="138"/>
      <c r="D59" s="156"/>
      <c r="E59" s="30"/>
      <c r="F59" s="21"/>
      <c r="G59" s="21"/>
      <c r="H59" s="29"/>
      <c r="I59" s="45"/>
      <c r="J59" s="30"/>
    </row>
    <row r="60" spans="1:10" x14ac:dyDescent="0.25">
      <c r="A60" s="202"/>
      <c r="B60" s="42"/>
      <c r="C60" s="138"/>
      <c r="D60" s="156"/>
      <c r="E60" s="30"/>
      <c r="F60" s="21"/>
      <c r="G60" s="21"/>
      <c r="H60" s="29"/>
      <c r="I60" s="45"/>
      <c r="J60" s="30"/>
    </row>
    <row r="61" spans="1:10" x14ac:dyDescent="0.25">
      <c r="A61" s="202"/>
      <c r="B61" s="42"/>
      <c r="C61" s="138"/>
      <c r="D61" s="156"/>
      <c r="E61" s="30"/>
      <c r="F61" s="21"/>
      <c r="G61" s="21"/>
      <c r="H61" s="29"/>
      <c r="I61" s="45"/>
      <c r="J61" s="30"/>
    </row>
    <row r="62" spans="1:10" x14ac:dyDescent="0.25">
      <c r="A62" s="202"/>
      <c r="B62" s="42"/>
      <c r="C62" s="138"/>
      <c r="D62" s="156"/>
      <c r="E62" s="30"/>
      <c r="F62" s="21"/>
      <c r="G62" s="21"/>
      <c r="H62" s="29"/>
      <c r="I62" s="45"/>
      <c r="J62" s="30"/>
    </row>
    <row r="63" spans="1:10" x14ac:dyDescent="0.25">
      <c r="A63" s="202"/>
      <c r="B63" s="42"/>
      <c r="C63" s="138"/>
      <c r="D63" s="156"/>
      <c r="E63" s="30"/>
      <c r="F63" s="21"/>
      <c r="G63" s="21"/>
      <c r="H63" s="29"/>
      <c r="I63" s="45"/>
      <c r="J63" s="30"/>
    </row>
    <row r="64" spans="1:10" x14ac:dyDescent="0.25">
      <c r="A64" s="202"/>
      <c r="B64" s="42"/>
      <c r="C64" s="138"/>
      <c r="D64" s="156"/>
      <c r="E64" s="30"/>
      <c r="F64" s="21"/>
      <c r="G64" s="21"/>
      <c r="H64" s="29"/>
      <c r="I64" s="45"/>
      <c r="J64" s="30"/>
    </row>
    <row r="65" spans="1:10" x14ac:dyDescent="0.25">
      <c r="A65" s="202"/>
      <c r="B65" s="42"/>
      <c r="C65" s="138"/>
      <c r="D65" s="156"/>
      <c r="E65" s="30"/>
      <c r="F65" s="21"/>
      <c r="G65" s="21"/>
      <c r="H65" s="29"/>
      <c r="I65" s="45"/>
      <c r="J65" s="30"/>
    </row>
    <row r="66" spans="1:10" x14ac:dyDescent="0.25">
      <c r="A66" s="202"/>
      <c r="B66" s="42"/>
      <c r="C66" s="138"/>
      <c r="D66" s="156"/>
      <c r="E66" s="30"/>
      <c r="F66" s="21"/>
      <c r="G66" s="21"/>
      <c r="H66" s="29"/>
      <c r="I66" s="45"/>
      <c r="J66" s="30"/>
    </row>
    <row r="67" spans="1:10" x14ac:dyDescent="0.25">
      <c r="A67" s="202"/>
      <c r="B67" s="42"/>
      <c r="C67" s="138"/>
      <c r="D67" s="156"/>
      <c r="E67" s="30"/>
      <c r="F67" s="21"/>
      <c r="G67" s="21"/>
      <c r="H67" s="29"/>
      <c r="I67" s="45"/>
      <c r="J67" s="30"/>
    </row>
    <row r="68" spans="1:10" x14ac:dyDescent="0.25">
      <c r="A68" s="202"/>
      <c r="B68" s="42"/>
      <c r="C68" s="138"/>
      <c r="D68" s="156"/>
      <c r="E68" s="30"/>
      <c r="F68" s="21"/>
      <c r="G68" s="21"/>
      <c r="H68" s="29"/>
      <c r="I68" s="45"/>
      <c r="J68" s="30"/>
    </row>
    <row r="69" spans="1:10" x14ac:dyDescent="0.25">
      <c r="A69" s="202"/>
      <c r="B69" s="42"/>
      <c r="C69" s="138"/>
      <c r="D69" s="156"/>
      <c r="E69" s="30"/>
      <c r="F69" s="21"/>
      <c r="G69" s="21"/>
      <c r="H69" s="29"/>
      <c r="I69" s="45"/>
      <c r="J69" s="30"/>
    </row>
    <row r="70" spans="1:10" x14ac:dyDescent="0.25">
      <c r="A70" s="202"/>
      <c r="B70" s="42"/>
      <c r="C70" s="138"/>
      <c r="D70" s="156"/>
      <c r="E70" s="30"/>
      <c r="F70" s="21"/>
      <c r="G70" s="21"/>
      <c r="H70" s="29"/>
      <c r="I70" s="45"/>
      <c r="J70" s="30"/>
    </row>
    <row r="71" spans="1:10" x14ac:dyDescent="0.25">
      <c r="A71" s="202"/>
      <c r="B71" s="42"/>
      <c r="C71" s="138"/>
      <c r="D71" s="156"/>
      <c r="E71" s="30"/>
      <c r="F71" s="21"/>
      <c r="G71" s="21"/>
      <c r="H71" s="29"/>
      <c r="I71" s="45"/>
      <c r="J71" s="30"/>
    </row>
    <row r="72" spans="1:10" x14ac:dyDescent="0.25">
      <c r="A72" s="202"/>
      <c r="B72" s="42"/>
      <c r="C72" s="138"/>
      <c r="D72" s="156"/>
      <c r="E72" s="30"/>
      <c r="F72" s="21"/>
      <c r="G72" s="21"/>
      <c r="H72" s="29"/>
      <c r="I72" s="45"/>
      <c r="J72" s="30"/>
    </row>
    <row r="73" spans="1:10" x14ac:dyDescent="0.25">
      <c r="A73" s="202"/>
      <c r="B73" s="42"/>
      <c r="C73" s="138"/>
      <c r="D73" s="156"/>
      <c r="E73" s="30"/>
      <c r="F73" s="21"/>
      <c r="G73" s="21"/>
      <c r="H73" s="29"/>
      <c r="I73" s="45"/>
      <c r="J73" s="30"/>
    </row>
    <row r="74" spans="1:10" x14ac:dyDescent="0.25">
      <c r="A74" s="202"/>
      <c r="B74" s="42"/>
      <c r="C74" s="138"/>
      <c r="D74" s="156"/>
      <c r="E74" s="30"/>
      <c r="F74" s="21"/>
      <c r="G74" s="21"/>
      <c r="H74" s="29"/>
      <c r="I74" s="45"/>
      <c r="J74" s="30"/>
    </row>
    <row r="75" spans="1:10" x14ac:dyDescent="0.25">
      <c r="A75" s="202"/>
      <c r="B75" s="42"/>
      <c r="C75" s="138"/>
      <c r="D75" s="156"/>
      <c r="E75" s="30"/>
      <c r="F75" s="21"/>
      <c r="G75" s="21"/>
      <c r="H75" s="29"/>
      <c r="I75" s="45"/>
      <c r="J75" s="30"/>
    </row>
    <row r="76" spans="1:10" x14ac:dyDescent="0.25">
      <c r="A76" s="202"/>
      <c r="B76" s="42"/>
      <c r="C76" s="138"/>
      <c r="D76" s="156"/>
      <c r="E76" s="30"/>
      <c r="F76" s="21"/>
      <c r="G76" s="21"/>
      <c r="H76" s="29"/>
      <c r="I76" s="45"/>
      <c r="J76" s="30"/>
    </row>
    <row r="77" spans="1:10" x14ac:dyDescent="0.25">
      <c r="A77" s="202"/>
      <c r="B77" s="42"/>
      <c r="C77" s="138"/>
      <c r="D77" s="156"/>
      <c r="E77" s="30"/>
      <c r="F77" s="21"/>
      <c r="G77" s="21"/>
      <c r="H77" s="29"/>
      <c r="I77" s="45"/>
      <c r="J77" s="30"/>
    </row>
    <row r="78" spans="1:10" x14ac:dyDescent="0.25">
      <c r="A78" s="202"/>
      <c r="B78" s="42"/>
      <c r="C78" s="138"/>
      <c r="D78" s="156"/>
      <c r="E78" s="30"/>
      <c r="F78" s="21"/>
      <c r="G78" s="21"/>
      <c r="H78" s="29"/>
      <c r="I78" s="45"/>
      <c r="J78" s="30"/>
    </row>
    <row r="79" spans="1:10" x14ac:dyDescent="0.25">
      <c r="A79" s="202"/>
      <c r="B79" s="42"/>
      <c r="C79" s="138"/>
      <c r="D79" s="156"/>
      <c r="E79" s="30"/>
      <c r="F79" s="21"/>
      <c r="G79" s="21"/>
      <c r="H79" s="29"/>
      <c r="I79" s="45"/>
      <c r="J79" s="30"/>
    </row>
    <row r="80" spans="1:10" x14ac:dyDescent="0.25">
      <c r="A80" s="202"/>
      <c r="B80" s="42"/>
      <c r="C80" s="138"/>
      <c r="D80" s="156"/>
      <c r="E80" s="30"/>
      <c r="F80" s="21"/>
      <c r="G80" s="21"/>
      <c r="H80" s="29"/>
      <c r="I80" s="45"/>
      <c r="J80" s="30"/>
    </row>
    <row r="81" spans="1:10" x14ac:dyDescent="0.25">
      <c r="A81" s="202"/>
      <c r="B81" s="42"/>
      <c r="C81" s="138"/>
      <c r="D81" s="156"/>
      <c r="E81" s="30"/>
      <c r="F81" s="21"/>
      <c r="G81" s="21"/>
      <c r="H81" s="29"/>
      <c r="I81" s="45"/>
      <c r="J81" s="30"/>
    </row>
    <row r="82" spans="1:10" x14ac:dyDescent="0.25">
      <c r="A82" s="202"/>
      <c r="B82" s="42"/>
      <c r="C82" s="138"/>
      <c r="D82" s="156"/>
      <c r="E82" s="30"/>
      <c r="F82" s="21"/>
      <c r="G82" s="21"/>
      <c r="H82" s="29"/>
      <c r="I82" s="45"/>
      <c r="J82" s="30"/>
    </row>
    <row r="83" spans="1:10" x14ac:dyDescent="0.25">
      <c r="A83" s="202"/>
      <c r="B83" s="42"/>
      <c r="C83" s="138"/>
      <c r="D83" s="156"/>
      <c r="E83" s="30"/>
      <c r="F83" s="21"/>
      <c r="G83" s="21"/>
      <c r="H83" s="29"/>
      <c r="I83" s="45"/>
      <c r="J83" s="30"/>
    </row>
    <row r="84" spans="1:10" x14ac:dyDescent="0.25">
      <c r="A84" s="202"/>
      <c r="B84" s="42"/>
      <c r="C84" s="138"/>
      <c r="D84" s="156"/>
      <c r="E84" s="30"/>
      <c r="F84" s="21"/>
      <c r="G84" s="21"/>
      <c r="H84" s="29"/>
      <c r="I84" s="45"/>
      <c r="J84" s="30"/>
    </row>
    <row r="85" spans="1:10" x14ac:dyDescent="0.25">
      <c r="A85" s="202"/>
      <c r="B85" s="42"/>
      <c r="C85" s="138"/>
      <c r="D85" s="156"/>
      <c r="E85" s="30"/>
      <c r="F85" s="21"/>
      <c r="G85" s="21"/>
      <c r="H85" s="29"/>
      <c r="I85" s="45"/>
      <c r="J85" s="30"/>
    </row>
    <row r="86" spans="1:10" x14ac:dyDescent="0.25">
      <c r="A86" s="202"/>
      <c r="B86" s="42"/>
      <c r="C86" s="138"/>
      <c r="D86" s="156"/>
      <c r="E86" s="30"/>
      <c r="F86" s="21"/>
      <c r="G86" s="21"/>
      <c r="H86" s="29"/>
      <c r="I86" s="45"/>
      <c r="J86" s="30"/>
    </row>
    <row r="87" spans="1:10" x14ac:dyDescent="0.25">
      <c r="A87" s="202"/>
      <c r="B87" s="42"/>
      <c r="C87" s="138"/>
      <c r="D87" s="156"/>
      <c r="E87" s="30"/>
      <c r="F87" s="21"/>
      <c r="G87" s="21"/>
      <c r="H87" s="29"/>
      <c r="I87" s="45"/>
      <c r="J87" s="30"/>
    </row>
    <row r="88" spans="1:10" x14ac:dyDescent="0.25">
      <c r="A88" s="202"/>
      <c r="B88" s="42"/>
      <c r="C88" s="138"/>
      <c r="D88" s="156"/>
      <c r="E88" s="30"/>
      <c r="F88" s="21"/>
      <c r="G88" s="21"/>
      <c r="H88" s="29"/>
      <c r="I88" s="45"/>
      <c r="J88" s="30"/>
    </row>
    <row r="89" spans="1:10" x14ac:dyDescent="0.25">
      <c r="A89" s="202"/>
      <c r="B89" s="42"/>
      <c r="C89" s="138"/>
      <c r="D89" s="156"/>
      <c r="E89" s="30"/>
      <c r="F89" s="21"/>
      <c r="G89" s="21"/>
      <c r="H89" s="29"/>
      <c r="I89" s="45"/>
      <c r="J89" s="30"/>
    </row>
    <row r="90" spans="1:10" x14ac:dyDescent="0.25">
      <c r="A90" s="202"/>
      <c r="B90" s="42"/>
      <c r="C90" s="138"/>
      <c r="D90" s="156"/>
      <c r="E90" s="30"/>
      <c r="F90" s="21"/>
      <c r="G90" s="21"/>
      <c r="H90" s="29"/>
      <c r="I90" s="45"/>
      <c r="J90" s="30"/>
    </row>
    <row r="91" spans="1:10" x14ac:dyDescent="0.25">
      <c r="A91" s="202"/>
      <c r="B91" s="42"/>
      <c r="C91" s="138"/>
      <c r="D91" s="156"/>
      <c r="E91" s="30"/>
      <c r="F91" s="21"/>
      <c r="G91" s="21"/>
      <c r="H91" s="29"/>
      <c r="I91" s="45"/>
      <c r="J91" s="30"/>
    </row>
    <row r="92" spans="1:10" x14ac:dyDescent="0.25">
      <c r="A92" s="202"/>
      <c r="B92" s="42"/>
      <c r="C92" s="138"/>
      <c r="D92" s="156"/>
      <c r="E92" s="30"/>
      <c r="F92" s="21"/>
      <c r="G92" s="21"/>
      <c r="H92" s="29"/>
      <c r="I92" s="45"/>
      <c r="J92" s="30"/>
    </row>
    <row r="93" spans="1:10" x14ac:dyDescent="0.25">
      <c r="A93" s="202"/>
      <c r="B93" s="42"/>
      <c r="C93" s="138"/>
      <c r="D93" s="156"/>
      <c r="E93" s="30"/>
      <c r="F93" s="21"/>
      <c r="G93" s="21"/>
      <c r="H93" s="29"/>
      <c r="I93" s="45"/>
      <c r="J93" s="30"/>
    </row>
    <row r="94" spans="1:10" x14ac:dyDescent="0.25">
      <c r="A94" s="202"/>
      <c r="B94" s="42"/>
      <c r="C94" s="138"/>
      <c r="D94" s="156"/>
      <c r="E94" s="30"/>
      <c r="F94" s="21"/>
      <c r="G94" s="21"/>
      <c r="H94" s="29"/>
      <c r="I94" s="45"/>
      <c r="J94" s="30"/>
    </row>
    <row r="95" spans="1:10" x14ac:dyDescent="0.25">
      <c r="A95" s="202"/>
      <c r="B95" s="42"/>
      <c r="C95" s="138"/>
      <c r="D95" s="156"/>
      <c r="E95" s="30"/>
      <c r="F95" s="21"/>
      <c r="G95" s="21"/>
      <c r="H95" s="29"/>
      <c r="I95" s="45"/>
      <c r="J95" s="30"/>
    </row>
    <row r="96" spans="1:10" x14ac:dyDescent="0.25">
      <c r="A96" s="202"/>
      <c r="B96" s="42"/>
      <c r="C96" s="138"/>
      <c r="D96" s="156"/>
      <c r="E96" s="30"/>
      <c r="F96" s="21"/>
      <c r="G96" s="21"/>
      <c r="H96" s="29"/>
      <c r="I96" s="45"/>
      <c r="J96" s="30"/>
    </row>
    <row r="97" spans="1:10" x14ac:dyDescent="0.25">
      <c r="A97" s="202"/>
      <c r="B97" s="42"/>
      <c r="C97" s="138"/>
      <c r="D97" s="156"/>
      <c r="E97" s="30"/>
      <c r="F97" s="21"/>
      <c r="G97" s="21"/>
      <c r="H97" s="29"/>
      <c r="I97" s="45"/>
      <c r="J97" s="30"/>
    </row>
    <row r="98" spans="1:10" x14ac:dyDescent="0.25">
      <c r="A98" s="202"/>
      <c r="B98" s="42"/>
      <c r="C98" s="138"/>
      <c r="D98" s="156"/>
      <c r="E98" s="30"/>
      <c r="F98" s="21"/>
      <c r="G98" s="21"/>
      <c r="H98" s="29"/>
      <c r="I98" s="45"/>
      <c r="J98" s="30"/>
    </row>
    <row r="99" spans="1:10" x14ac:dyDescent="0.25">
      <c r="A99" s="202"/>
      <c r="B99" s="42"/>
      <c r="C99" s="138"/>
      <c r="D99" s="156"/>
      <c r="E99" s="30"/>
      <c r="F99" s="21"/>
      <c r="G99" s="21"/>
      <c r="H99" s="29"/>
      <c r="I99" s="45"/>
      <c r="J99" s="30"/>
    </row>
    <row r="100" spans="1:10" x14ac:dyDescent="0.25">
      <c r="A100" s="202"/>
      <c r="B100" s="42"/>
      <c r="C100" s="138"/>
      <c r="D100" s="156"/>
      <c r="E100" s="30"/>
      <c r="F100" s="21"/>
      <c r="G100" s="21"/>
      <c r="H100" s="29"/>
      <c r="I100" s="45"/>
      <c r="J100" s="30"/>
    </row>
    <row r="101" spans="1:10" x14ac:dyDescent="0.25">
      <c r="A101" s="202"/>
      <c r="B101" s="42"/>
      <c r="C101" s="138"/>
      <c r="D101" s="156"/>
      <c r="E101" s="30"/>
      <c r="F101" s="21"/>
      <c r="G101" s="21"/>
      <c r="H101" s="29"/>
      <c r="I101" s="45"/>
      <c r="J101" s="30"/>
    </row>
    <row r="102" spans="1:10" x14ac:dyDescent="0.25">
      <c r="A102" s="202"/>
      <c r="B102" s="42"/>
      <c r="C102" s="138"/>
      <c r="D102" s="156"/>
      <c r="E102" s="30"/>
      <c r="F102" s="21"/>
      <c r="G102" s="21"/>
      <c r="H102" s="29"/>
      <c r="I102" s="45"/>
      <c r="J102" s="30"/>
    </row>
    <row r="103" spans="1:10" x14ac:dyDescent="0.25">
      <c r="A103" s="202"/>
      <c r="B103" s="42"/>
      <c r="C103" s="138"/>
      <c r="D103" s="156"/>
      <c r="E103" s="30"/>
      <c r="F103" s="21"/>
      <c r="G103" s="21"/>
      <c r="H103" s="29"/>
      <c r="I103" s="45"/>
      <c r="J103" s="30"/>
    </row>
    <row r="104" spans="1:10" x14ac:dyDescent="0.25">
      <c r="A104" s="202"/>
      <c r="B104" s="42"/>
      <c r="C104" s="138"/>
      <c r="D104" s="156"/>
      <c r="E104" s="30"/>
      <c r="F104" s="21"/>
      <c r="G104" s="21"/>
      <c r="H104" s="29"/>
      <c r="I104" s="45"/>
      <c r="J104" s="30"/>
    </row>
    <row r="105" spans="1:10" x14ac:dyDescent="0.25">
      <c r="A105" s="202"/>
      <c r="B105" s="42"/>
      <c r="C105" s="138"/>
      <c r="D105" s="156"/>
      <c r="E105" s="30"/>
      <c r="F105" s="21"/>
      <c r="G105" s="21"/>
      <c r="H105" s="29"/>
      <c r="I105" s="45"/>
      <c r="J105" s="30"/>
    </row>
    <row r="106" spans="1:10" x14ac:dyDescent="0.25">
      <c r="A106" s="202"/>
      <c r="B106" s="42"/>
      <c r="C106" s="138"/>
      <c r="D106" s="156"/>
      <c r="E106" s="30"/>
      <c r="F106" s="21"/>
      <c r="G106" s="21"/>
      <c r="H106" s="29"/>
      <c r="I106" s="45"/>
      <c r="J106" s="30"/>
    </row>
    <row r="107" spans="1:10" x14ac:dyDescent="0.25">
      <c r="A107" s="202"/>
      <c r="B107" s="42"/>
      <c r="C107" s="138"/>
      <c r="D107" s="156"/>
      <c r="E107" s="30"/>
      <c r="F107" s="21"/>
      <c r="G107" s="21"/>
      <c r="H107" s="29"/>
      <c r="I107" s="45"/>
      <c r="J107" s="30"/>
    </row>
    <row r="108" spans="1:10" x14ac:dyDescent="0.25">
      <c r="A108" s="202"/>
      <c r="B108" s="42"/>
      <c r="C108" s="138"/>
      <c r="D108" s="156"/>
      <c r="E108" s="30"/>
      <c r="F108" s="21"/>
      <c r="G108" s="21"/>
      <c r="H108" s="29"/>
      <c r="I108" s="45"/>
      <c r="J108" s="30"/>
    </row>
    <row r="109" spans="1:10" x14ac:dyDescent="0.25">
      <c r="A109" s="202"/>
      <c r="B109" s="42"/>
      <c r="C109" s="138"/>
      <c r="D109" s="156"/>
      <c r="E109" s="30"/>
      <c r="F109" s="21"/>
      <c r="G109" s="21"/>
      <c r="H109" s="29"/>
      <c r="I109" s="45"/>
      <c r="J109" s="30"/>
    </row>
    <row r="110" spans="1:10" x14ac:dyDescent="0.25">
      <c r="A110" s="202"/>
      <c r="B110" s="42"/>
      <c r="C110" s="138"/>
      <c r="D110" s="156"/>
      <c r="E110" s="30"/>
      <c r="F110" s="21"/>
      <c r="G110" s="21"/>
      <c r="H110" s="29"/>
      <c r="I110" s="45"/>
      <c r="J110" s="30"/>
    </row>
    <row r="111" spans="1:10" x14ac:dyDescent="0.25">
      <c r="A111" s="202"/>
      <c r="B111" s="42"/>
      <c r="C111" s="138"/>
      <c r="D111" s="156"/>
      <c r="E111" s="30"/>
      <c r="F111" s="21"/>
      <c r="G111" s="21"/>
      <c r="H111" s="29"/>
      <c r="I111" s="45"/>
      <c r="J111" s="30"/>
    </row>
  </sheetData>
  <autoFilter ref="A2:J63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59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1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172</v>
      </c>
      <c r="B1" s="20" t="s">
        <v>173</v>
      </c>
      <c r="C1" s="20" t="s">
        <v>0</v>
      </c>
      <c r="D1" s="141" t="s">
        <v>174</v>
      </c>
      <c r="E1" s="20" t="s">
        <v>175</v>
      </c>
      <c r="F1" s="20" t="s">
        <v>193</v>
      </c>
      <c r="G1" s="8" t="s">
        <v>192</v>
      </c>
    </row>
    <row r="2" spans="1:7" x14ac:dyDescent="0.25">
      <c r="A2" s="8">
        <v>42896.035694444443</v>
      </c>
      <c r="B2" s="20" t="s">
        <v>538</v>
      </c>
      <c r="C2" s="20" t="s">
        <v>612</v>
      </c>
      <c r="D2" s="141">
        <v>3030000</v>
      </c>
      <c r="E2" s="20" t="s">
        <v>387</v>
      </c>
      <c r="F2" s="20" t="s">
        <v>372</v>
      </c>
      <c r="G2" s="8" t="str">
        <f>E2&amp;" "&amp;F2</f>
        <v>BIRENBAUM THOMAS</v>
      </c>
    </row>
    <row r="3" spans="1:7" x14ac:dyDescent="0.25">
      <c r="A3" s="8">
        <v>42896.036608796298</v>
      </c>
      <c r="B3" s="20" t="s">
        <v>407</v>
      </c>
      <c r="C3" s="20" t="s">
        <v>613</v>
      </c>
      <c r="D3" s="141">
        <v>3090000</v>
      </c>
      <c r="E3" s="20" t="s">
        <v>381</v>
      </c>
      <c r="F3" s="20" t="s">
        <v>382</v>
      </c>
      <c r="G3" s="8" t="str">
        <f t="shared" ref="G3:G66" si="0">E3&amp;" "&amp;F3</f>
        <v>LAMAR NEKESHA</v>
      </c>
    </row>
    <row r="4" spans="1:7" x14ac:dyDescent="0.25">
      <c r="A4" s="8">
        <v>42896.04928240741</v>
      </c>
      <c r="B4" s="20" t="s">
        <v>614</v>
      </c>
      <c r="C4" s="20" t="s">
        <v>615</v>
      </c>
      <c r="D4" s="141">
        <v>3000000</v>
      </c>
      <c r="E4" s="20" t="s">
        <v>438</v>
      </c>
      <c r="F4" s="20" t="s">
        <v>439</v>
      </c>
      <c r="G4" s="8" t="str">
        <f t="shared" si="0"/>
        <v>FORTUNATO FRANK</v>
      </c>
    </row>
    <row r="5" spans="1:7" x14ac:dyDescent="0.25">
      <c r="A5" s="8">
        <v>42896.050185185188</v>
      </c>
      <c r="B5" s="20" t="s">
        <v>480</v>
      </c>
      <c r="C5" s="20" t="s">
        <v>616</v>
      </c>
      <c r="D5" s="141">
        <v>1540000</v>
      </c>
      <c r="E5" s="20" t="s">
        <v>482</v>
      </c>
      <c r="F5" s="20" t="s">
        <v>483</v>
      </c>
      <c r="G5" s="8" t="str">
        <f t="shared" si="0"/>
        <v>HELVIE ADAM</v>
      </c>
    </row>
    <row r="6" spans="1:7" x14ac:dyDescent="0.25">
      <c r="A6" s="8">
        <v>42896.068599537037</v>
      </c>
      <c r="B6" s="20" t="s">
        <v>541</v>
      </c>
      <c r="C6" s="20" t="s">
        <v>617</v>
      </c>
      <c r="D6" s="141">
        <v>3030000</v>
      </c>
      <c r="E6" s="20" t="s">
        <v>387</v>
      </c>
      <c r="F6" s="20" t="s">
        <v>372</v>
      </c>
      <c r="G6" s="8" t="str">
        <f t="shared" si="0"/>
        <v>BIRENBAUM THOMAS</v>
      </c>
    </row>
    <row r="7" spans="1:7" x14ac:dyDescent="0.25">
      <c r="A7" s="8">
        <v>42896.071620370371</v>
      </c>
      <c r="B7" s="20" t="s">
        <v>542</v>
      </c>
      <c r="C7" s="20" t="s">
        <v>618</v>
      </c>
      <c r="D7" s="141">
        <v>3090000</v>
      </c>
      <c r="E7" s="20" t="s">
        <v>381</v>
      </c>
      <c r="F7" s="20" t="s">
        <v>382</v>
      </c>
      <c r="G7" s="8" t="str">
        <f t="shared" si="0"/>
        <v>LAMAR NEKESHA</v>
      </c>
    </row>
    <row r="8" spans="1:7" x14ac:dyDescent="0.25">
      <c r="A8" s="8">
        <v>42896.089583333334</v>
      </c>
      <c r="B8" s="20" t="s">
        <v>492</v>
      </c>
      <c r="C8" s="20" t="s">
        <v>619</v>
      </c>
      <c r="D8" s="141">
        <v>3000000</v>
      </c>
      <c r="E8" s="20" t="s">
        <v>438</v>
      </c>
      <c r="F8" s="20" t="s">
        <v>439</v>
      </c>
      <c r="G8" s="8" t="str">
        <f t="shared" si="0"/>
        <v>FORTUNATO FRANK</v>
      </c>
    </row>
    <row r="9" spans="1:7" ht="15.75" thickBot="1" x14ac:dyDescent="0.3">
      <c r="A9" s="24">
        <v>42896.110879629632</v>
      </c>
      <c r="B9" s="20" t="s">
        <v>407</v>
      </c>
      <c r="C9" s="20" t="s">
        <v>620</v>
      </c>
      <c r="D9" s="141">
        <v>3090000</v>
      </c>
      <c r="E9" s="20" t="s">
        <v>381</v>
      </c>
      <c r="F9" s="20" t="s">
        <v>382</v>
      </c>
      <c r="G9" s="8" t="str">
        <f t="shared" si="0"/>
        <v>LAMAR NEKESHA</v>
      </c>
    </row>
    <row r="10" spans="1:7" x14ac:dyDescent="0.25">
      <c r="A10" s="8">
        <v>42896.115960648145</v>
      </c>
      <c r="B10" s="20" t="s">
        <v>490</v>
      </c>
      <c r="C10" s="20" t="s">
        <v>621</v>
      </c>
      <c r="D10" s="141">
        <v>900000</v>
      </c>
      <c r="E10" s="20" t="s">
        <v>622</v>
      </c>
      <c r="F10" s="20" t="s">
        <v>623</v>
      </c>
      <c r="G10" s="8" t="str">
        <f t="shared" si="0"/>
        <v>ROCHA YAOTL</v>
      </c>
    </row>
    <row r="11" spans="1:7" x14ac:dyDescent="0.25">
      <c r="A11" s="8">
        <v>42896.117835648147</v>
      </c>
      <c r="B11" s="20" t="s">
        <v>490</v>
      </c>
      <c r="C11" s="20" t="s">
        <v>621</v>
      </c>
      <c r="D11" s="141">
        <v>900000</v>
      </c>
      <c r="E11" s="20" t="s">
        <v>622</v>
      </c>
      <c r="F11" s="20" t="s">
        <v>623</v>
      </c>
      <c r="G11" s="8" t="str">
        <f t="shared" si="0"/>
        <v>ROCHA YAOTL</v>
      </c>
    </row>
    <row r="12" spans="1:7" x14ac:dyDescent="0.25">
      <c r="A12" s="8">
        <v>42896.119143518517</v>
      </c>
      <c r="B12" s="20" t="s">
        <v>490</v>
      </c>
      <c r="C12" s="20" t="s">
        <v>621</v>
      </c>
      <c r="D12" s="141">
        <v>900000</v>
      </c>
      <c r="E12" s="20" t="s">
        <v>622</v>
      </c>
      <c r="F12" s="20" t="s">
        <v>623</v>
      </c>
      <c r="G12" s="8" t="str">
        <f t="shared" si="0"/>
        <v>ROCHA YAOTL</v>
      </c>
    </row>
    <row r="13" spans="1:7" x14ac:dyDescent="0.25">
      <c r="A13" s="8">
        <v>42896.129814814813</v>
      </c>
      <c r="B13" s="20" t="s">
        <v>491</v>
      </c>
      <c r="C13" s="20" t="s">
        <v>624</v>
      </c>
      <c r="D13" s="141">
        <v>1340000</v>
      </c>
      <c r="E13" s="20" t="s">
        <v>545</v>
      </c>
      <c r="F13" s="20" t="s">
        <v>546</v>
      </c>
      <c r="G13" s="8" t="str">
        <f t="shared" si="0"/>
        <v>BEAM ROSS</v>
      </c>
    </row>
    <row r="14" spans="1:7" x14ac:dyDescent="0.25">
      <c r="A14" s="8">
        <v>42896.130347222221</v>
      </c>
      <c r="B14" s="20" t="s">
        <v>411</v>
      </c>
      <c r="C14" s="20" t="s">
        <v>625</v>
      </c>
      <c r="D14" s="141">
        <v>900000</v>
      </c>
      <c r="E14" s="20" t="s">
        <v>622</v>
      </c>
      <c r="F14" s="20" t="s">
        <v>623</v>
      </c>
      <c r="G14" s="8" t="str">
        <f t="shared" si="0"/>
        <v>ROCHA YAOTL</v>
      </c>
    </row>
    <row r="15" spans="1:7" x14ac:dyDescent="0.25">
      <c r="A15" s="8">
        <v>42896.137418981481</v>
      </c>
      <c r="B15" s="20" t="s">
        <v>626</v>
      </c>
      <c r="C15" s="20" t="s">
        <v>627</v>
      </c>
      <c r="D15" s="141">
        <v>3040000</v>
      </c>
      <c r="E15" s="20" t="s">
        <v>388</v>
      </c>
      <c r="F15" s="20" t="s">
        <v>389</v>
      </c>
      <c r="G15" s="8" t="str">
        <f t="shared" si="0"/>
        <v>WILLIAMS DONTE</v>
      </c>
    </row>
    <row r="16" spans="1:7" x14ac:dyDescent="0.25">
      <c r="A16" s="8">
        <v>42896.139780092592</v>
      </c>
      <c r="B16" s="20" t="s">
        <v>490</v>
      </c>
      <c r="C16" s="20" t="s">
        <v>628</v>
      </c>
      <c r="D16" s="141">
        <v>1340000</v>
      </c>
      <c r="E16" s="20" t="s">
        <v>545</v>
      </c>
      <c r="F16" s="20" t="s">
        <v>546</v>
      </c>
      <c r="G16" s="8" t="str">
        <f t="shared" si="0"/>
        <v>BEAM ROSS</v>
      </c>
    </row>
    <row r="17" spans="1:7" x14ac:dyDescent="0.25">
      <c r="A17" s="8">
        <v>42896.154745370368</v>
      </c>
      <c r="B17" s="20" t="s">
        <v>491</v>
      </c>
      <c r="C17" s="20" t="s">
        <v>624</v>
      </c>
      <c r="D17" s="141">
        <v>1340000</v>
      </c>
      <c r="E17" s="20" t="s">
        <v>545</v>
      </c>
      <c r="F17" s="20" t="s">
        <v>546</v>
      </c>
      <c r="G17" s="8" t="str">
        <f t="shared" si="0"/>
        <v>BEAM ROSS</v>
      </c>
    </row>
    <row r="18" spans="1:7" x14ac:dyDescent="0.25">
      <c r="A18" s="8">
        <v>42896.156585648147</v>
      </c>
      <c r="B18" s="20" t="s">
        <v>459</v>
      </c>
      <c r="C18" s="20" t="s">
        <v>629</v>
      </c>
      <c r="D18" s="141">
        <v>1990000</v>
      </c>
      <c r="E18" s="20" t="s">
        <v>425</v>
      </c>
      <c r="F18" s="20" t="s">
        <v>506</v>
      </c>
      <c r="G18" s="8" t="str">
        <f t="shared" si="0"/>
        <v>DAVIS WENDY</v>
      </c>
    </row>
    <row r="19" spans="1:7" x14ac:dyDescent="0.25">
      <c r="A19" s="8">
        <v>42896.15662037037</v>
      </c>
      <c r="B19" s="20" t="s">
        <v>630</v>
      </c>
      <c r="C19" s="20" t="s">
        <v>631</v>
      </c>
      <c r="D19" s="141">
        <v>3040000</v>
      </c>
      <c r="E19" s="20" t="s">
        <v>388</v>
      </c>
      <c r="F19" s="20" t="s">
        <v>389</v>
      </c>
      <c r="G19" s="8" t="str">
        <f t="shared" si="0"/>
        <v>WILLIAMS DONTE</v>
      </c>
    </row>
    <row r="20" spans="1:7" x14ac:dyDescent="0.25">
      <c r="A20" s="8">
        <v>42896.169606481482</v>
      </c>
      <c r="B20" s="20" t="s">
        <v>342</v>
      </c>
      <c r="C20" s="20" t="s">
        <v>632</v>
      </c>
      <c r="D20" s="141">
        <v>1100000</v>
      </c>
      <c r="E20" s="20" t="s">
        <v>508</v>
      </c>
      <c r="F20" s="20" t="s">
        <v>509</v>
      </c>
      <c r="G20" s="8" t="str">
        <f t="shared" si="0"/>
        <v>GEBRETEKLE DAGNEW</v>
      </c>
    </row>
    <row r="21" spans="1:7" x14ac:dyDescent="0.25">
      <c r="A21" s="8">
        <v>42896.171782407408</v>
      </c>
      <c r="B21" s="20" t="s">
        <v>460</v>
      </c>
      <c r="C21" s="20" t="s">
        <v>633</v>
      </c>
      <c r="D21" s="141">
        <v>1990000</v>
      </c>
      <c r="E21" s="20" t="s">
        <v>425</v>
      </c>
      <c r="F21" s="20" t="s">
        <v>506</v>
      </c>
      <c r="G21" s="8" t="str">
        <f t="shared" si="0"/>
        <v>DAVIS WENDY</v>
      </c>
    </row>
    <row r="22" spans="1:7" x14ac:dyDescent="0.25">
      <c r="A22" s="26">
        <v>42896.173703703702</v>
      </c>
      <c r="B22" s="20" t="s">
        <v>343</v>
      </c>
      <c r="C22" s="20" t="s">
        <v>634</v>
      </c>
      <c r="D22" s="141">
        <v>1520000</v>
      </c>
      <c r="E22" s="20" t="s">
        <v>635</v>
      </c>
      <c r="F22" s="20" t="s">
        <v>636</v>
      </c>
      <c r="G22" s="8" t="str">
        <f t="shared" si="0"/>
        <v>MAYBERRY BILL</v>
      </c>
    </row>
    <row r="23" spans="1:7" x14ac:dyDescent="0.25">
      <c r="A23" s="8">
        <v>42896.177835648145</v>
      </c>
      <c r="B23" s="20" t="s">
        <v>371</v>
      </c>
      <c r="C23" s="20" t="s">
        <v>637</v>
      </c>
      <c r="D23" s="141">
        <v>1520000</v>
      </c>
      <c r="E23" s="20" t="s">
        <v>635</v>
      </c>
      <c r="F23" s="20" t="s">
        <v>636</v>
      </c>
      <c r="G23" s="8" t="str">
        <f t="shared" si="0"/>
        <v>MAYBERRY BILL</v>
      </c>
    </row>
    <row r="24" spans="1:7" x14ac:dyDescent="0.25">
      <c r="A24" s="8">
        <v>42896.178472222222</v>
      </c>
      <c r="B24" s="20" t="s">
        <v>503</v>
      </c>
      <c r="C24" s="20" t="s">
        <v>638</v>
      </c>
      <c r="D24" s="141">
        <v>2530000</v>
      </c>
      <c r="E24" s="20" t="s">
        <v>639</v>
      </c>
      <c r="F24" s="20" t="s">
        <v>640</v>
      </c>
      <c r="G24" s="8" t="str">
        <f t="shared" si="0"/>
        <v>LALONDE GREGORY</v>
      </c>
    </row>
    <row r="25" spans="1:7" x14ac:dyDescent="0.25">
      <c r="A25" s="8">
        <v>42896.184884259259</v>
      </c>
      <c r="B25" s="20" t="s">
        <v>341</v>
      </c>
      <c r="C25" s="20" t="s">
        <v>641</v>
      </c>
      <c r="D25" s="141">
        <v>1100000</v>
      </c>
      <c r="E25" s="20" t="s">
        <v>508</v>
      </c>
      <c r="F25" s="20" t="s">
        <v>509</v>
      </c>
      <c r="G25" s="8" t="str">
        <f t="shared" si="0"/>
        <v>GEBRETEKLE DAGNEW</v>
      </c>
    </row>
    <row r="26" spans="1:7" x14ac:dyDescent="0.25">
      <c r="A26" s="8">
        <v>42896.186261574076</v>
      </c>
      <c r="B26" s="20" t="s">
        <v>341</v>
      </c>
      <c r="C26" s="20" t="s">
        <v>641</v>
      </c>
      <c r="D26" s="141">
        <v>1100000</v>
      </c>
      <c r="E26" s="20" t="s">
        <v>508</v>
      </c>
      <c r="F26" s="20" t="s">
        <v>509</v>
      </c>
      <c r="G26" s="8" t="str">
        <f t="shared" si="0"/>
        <v>GEBRETEKLE DAGNEW</v>
      </c>
    </row>
    <row r="27" spans="1:7" x14ac:dyDescent="0.25">
      <c r="A27" s="8">
        <v>42896.188171296293</v>
      </c>
      <c r="B27" s="20" t="s">
        <v>626</v>
      </c>
      <c r="C27" s="20" t="s">
        <v>642</v>
      </c>
      <c r="D27" s="141">
        <v>3040000</v>
      </c>
      <c r="E27" s="20" t="s">
        <v>388</v>
      </c>
      <c r="F27" s="20" t="s">
        <v>389</v>
      </c>
      <c r="G27" s="8" t="str">
        <f t="shared" si="0"/>
        <v>WILLIAMS DONTE</v>
      </c>
    </row>
    <row r="28" spans="1:7" x14ac:dyDescent="0.25">
      <c r="A28" s="8">
        <v>42896.190266203703</v>
      </c>
      <c r="B28" s="20" t="s">
        <v>540</v>
      </c>
      <c r="C28" s="20" t="s">
        <v>572</v>
      </c>
      <c r="D28" s="141">
        <v>1780000</v>
      </c>
      <c r="E28" s="20" t="s">
        <v>643</v>
      </c>
      <c r="F28" s="20" t="s">
        <v>644</v>
      </c>
      <c r="G28" s="8" t="str">
        <f t="shared" si="0"/>
        <v>DE LA ROSA ALEX</v>
      </c>
    </row>
    <row r="29" spans="1:7" x14ac:dyDescent="0.25">
      <c r="A29" s="8">
        <v>42896.193194444444</v>
      </c>
      <c r="B29" s="20" t="s">
        <v>343</v>
      </c>
      <c r="C29" s="20" t="s">
        <v>645</v>
      </c>
      <c r="D29" s="141">
        <v>1520000</v>
      </c>
      <c r="E29" s="20" t="s">
        <v>635</v>
      </c>
      <c r="F29" s="20" t="s">
        <v>636</v>
      </c>
      <c r="G29" s="8" t="str">
        <f t="shared" si="0"/>
        <v>MAYBERRY BILL</v>
      </c>
    </row>
    <row r="30" spans="1:7" x14ac:dyDescent="0.25">
      <c r="A30" s="8">
        <v>42896.195219907408</v>
      </c>
      <c r="B30" s="20" t="s">
        <v>433</v>
      </c>
      <c r="C30" s="20" t="s">
        <v>646</v>
      </c>
      <c r="D30" s="141">
        <v>2600000</v>
      </c>
      <c r="E30" s="20" t="s">
        <v>647</v>
      </c>
      <c r="F30" s="20" t="s">
        <v>648</v>
      </c>
      <c r="G30" s="8" t="str">
        <f t="shared" si="0"/>
        <v>DAVIDSON DAVID</v>
      </c>
    </row>
    <row r="31" spans="1:7" x14ac:dyDescent="0.25">
      <c r="A31" s="8">
        <v>42896.196157407408</v>
      </c>
      <c r="B31" s="20" t="s">
        <v>507</v>
      </c>
      <c r="C31" s="20" t="s">
        <v>649</v>
      </c>
      <c r="D31" s="141">
        <v>2530000</v>
      </c>
      <c r="E31" s="20" t="s">
        <v>639</v>
      </c>
      <c r="F31" s="20" t="s">
        <v>640</v>
      </c>
      <c r="G31" s="8" t="str">
        <f t="shared" si="0"/>
        <v>LALONDE GREGORY</v>
      </c>
    </row>
    <row r="32" spans="1:7" x14ac:dyDescent="0.25">
      <c r="A32" s="8">
        <v>42896.208692129629</v>
      </c>
      <c r="B32" s="20" t="s">
        <v>437</v>
      </c>
      <c r="C32" s="20" t="s">
        <v>650</v>
      </c>
      <c r="D32" s="141">
        <v>2600000</v>
      </c>
      <c r="E32" s="20" t="s">
        <v>647</v>
      </c>
      <c r="F32" s="20" t="s">
        <v>648</v>
      </c>
      <c r="G32" s="8" t="str">
        <f t="shared" si="0"/>
        <v>DAVIDSON DAVID</v>
      </c>
    </row>
    <row r="33" spans="1:7" x14ac:dyDescent="0.25">
      <c r="A33" s="8">
        <v>42896.209629629629</v>
      </c>
      <c r="B33" s="20" t="s">
        <v>408</v>
      </c>
      <c r="C33" s="20" t="s">
        <v>651</v>
      </c>
      <c r="D33" s="141">
        <v>900000</v>
      </c>
      <c r="E33" s="20" t="s">
        <v>622</v>
      </c>
      <c r="F33" s="20" t="s">
        <v>623</v>
      </c>
      <c r="G33" s="8" t="str">
        <f t="shared" si="0"/>
        <v>ROCHA YAOTL</v>
      </c>
    </row>
    <row r="34" spans="1:7" x14ac:dyDescent="0.25">
      <c r="A34" s="8">
        <v>42896.21434027778</v>
      </c>
      <c r="B34" s="20" t="s">
        <v>342</v>
      </c>
      <c r="C34" s="20" t="s">
        <v>652</v>
      </c>
      <c r="D34" s="141">
        <v>1100000</v>
      </c>
      <c r="E34" s="20" t="s">
        <v>508</v>
      </c>
      <c r="F34" s="20" t="s">
        <v>509</v>
      </c>
      <c r="G34" s="8" t="str">
        <f t="shared" si="0"/>
        <v>GEBRETEKLE DAGNEW</v>
      </c>
    </row>
    <row r="35" spans="1:7" x14ac:dyDescent="0.25">
      <c r="A35" s="8">
        <v>42896.215138888889</v>
      </c>
      <c r="B35" s="20" t="s">
        <v>459</v>
      </c>
      <c r="C35" s="20" t="s">
        <v>653</v>
      </c>
      <c r="D35" s="141">
        <v>1990000</v>
      </c>
      <c r="E35" s="20" t="s">
        <v>425</v>
      </c>
      <c r="F35" s="20" t="s">
        <v>506</v>
      </c>
      <c r="G35" s="8" t="str">
        <f t="shared" si="0"/>
        <v>DAVIS WENDY</v>
      </c>
    </row>
    <row r="36" spans="1:7" x14ac:dyDescent="0.25">
      <c r="A36" s="8">
        <v>42896.218726851854</v>
      </c>
      <c r="B36" s="20" t="s">
        <v>573</v>
      </c>
      <c r="C36" s="20" t="s">
        <v>574</v>
      </c>
      <c r="D36" s="141">
        <v>2970000</v>
      </c>
      <c r="E36" s="20" t="s">
        <v>385</v>
      </c>
      <c r="F36" s="20" t="s">
        <v>386</v>
      </c>
      <c r="G36" s="8" t="str">
        <f t="shared" si="0"/>
        <v>GUZMAN DANNY</v>
      </c>
    </row>
    <row r="37" spans="1:7" x14ac:dyDescent="0.25">
      <c r="A37" s="8">
        <v>42896.225416666668</v>
      </c>
      <c r="B37" s="20" t="s">
        <v>406</v>
      </c>
      <c r="C37" s="20" t="s">
        <v>654</v>
      </c>
      <c r="D37" s="141">
        <v>2560000</v>
      </c>
      <c r="E37" s="20" t="s">
        <v>655</v>
      </c>
      <c r="F37" s="20" t="s">
        <v>372</v>
      </c>
      <c r="G37" s="8" t="str">
        <f t="shared" si="0"/>
        <v>MACDONALD THOMAS</v>
      </c>
    </row>
    <row r="38" spans="1:7" x14ac:dyDescent="0.25">
      <c r="A38" s="8">
        <v>42896.225706018522</v>
      </c>
      <c r="B38" s="20" t="s">
        <v>491</v>
      </c>
      <c r="C38" s="20" t="s">
        <v>656</v>
      </c>
      <c r="D38" s="141">
        <v>1340000</v>
      </c>
      <c r="E38" s="20" t="s">
        <v>545</v>
      </c>
      <c r="F38" s="20" t="s">
        <v>546</v>
      </c>
      <c r="G38" s="8" t="str">
        <f t="shared" si="0"/>
        <v>BEAM ROSS</v>
      </c>
    </row>
    <row r="39" spans="1:7" x14ac:dyDescent="0.25">
      <c r="A39" s="8">
        <v>42896.227083333331</v>
      </c>
      <c r="B39" s="20" t="s">
        <v>503</v>
      </c>
      <c r="C39" s="20" t="s">
        <v>657</v>
      </c>
      <c r="D39" s="141">
        <v>2530000</v>
      </c>
      <c r="E39" s="20" t="s">
        <v>639</v>
      </c>
      <c r="F39" s="20" t="s">
        <v>640</v>
      </c>
      <c r="G39" s="8" t="str">
        <f t="shared" si="0"/>
        <v>LALONDE GREGORY</v>
      </c>
    </row>
    <row r="40" spans="1:7" x14ac:dyDescent="0.25">
      <c r="A40" s="8">
        <v>42896.236678240741</v>
      </c>
      <c r="B40" s="25" t="s">
        <v>539</v>
      </c>
      <c r="C40" s="20" t="s">
        <v>658</v>
      </c>
      <c r="D40" s="141">
        <v>2560000</v>
      </c>
      <c r="E40" s="20" t="s">
        <v>655</v>
      </c>
      <c r="F40" s="20" t="s">
        <v>372</v>
      </c>
      <c r="G40" s="8" t="str">
        <f t="shared" si="0"/>
        <v>MACDONALD THOMAS</v>
      </c>
    </row>
    <row r="41" spans="1:7" x14ac:dyDescent="0.25">
      <c r="A41" s="8">
        <v>42896.236909722225</v>
      </c>
      <c r="B41" s="20" t="s">
        <v>659</v>
      </c>
      <c r="C41" s="20" t="s">
        <v>660</v>
      </c>
      <c r="D41" s="141">
        <v>2970000</v>
      </c>
      <c r="E41" s="20" t="s">
        <v>385</v>
      </c>
      <c r="F41" s="20" t="s">
        <v>386</v>
      </c>
      <c r="G41" s="8" t="str">
        <f t="shared" si="0"/>
        <v>GUZMAN DANNY</v>
      </c>
    </row>
    <row r="42" spans="1:7" x14ac:dyDescent="0.25">
      <c r="A42" s="8">
        <v>42896.24423611111</v>
      </c>
      <c r="B42" s="20" t="s">
        <v>371</v>
      </c>
      <c r="C42" s="20" t="s">
        <v>575</v>
      </c>
      <c r="D42" s="141">
        <v>1520000</v>
      </c>
      <c r="E42" s="20" t="s">
        <v>635</v>
      </c>
      <c r="F42" s="20" t="s">
        <v>636</v>
      </c>
      <c r="G42" s="8" t="str">
        <f t="shared" si="0"/>
        <v>MAYBERRY BILL</v>
      </c>
    </row>
    <row r="43" spans="1:7" x14ac:dyDescent="0.25">
      <c r="A43" s="8">
        <v>42896.24496527778</v>
      </c>
      <c r="B43" s="20" t="s">
        <v>411</v>
      </c>
      <c r="C43" s="20" t="s">
        <v>661</v>
      </c>
      <c r="D43" s="141">
        <v>1800000</v>
      </c>
      <c r="E43" s="20" t="s">
        <v>383</v>
      </c>
      <c r="F43" s="20" t="s">
        <v>384</v>
      </c>
      <c r="G43" s="8" t="str">
        <f t="shared" si="0"/>
        <v>CHANDLER KELVIN</v>
      </c>
    </row>
    <row r="44" spans="1:7" x14ac:dyDescent="0.25">
      <c r="A44" s="8">
        <v>42896.245636574073</v>
      </c>
      <c r="B44" s="20" t="s">
        <v>411</v>
      </c>
      <c r="C44" s="20" t="s">
        <v>661</v>
      </c>
      <c r="D44" s="141">
        <v>1800000</v>
      </c>
      <c r="E44" s="20" t="s">
        <v>383</v>
      </c>
      <c r="F44" s="20" t="s">
        <v>384</v>
      </c>
      <c r="G44" s="8" t="str">
        <f t="shared" si="0"/>
        <v>CHANDLER KELVIN</v>
      </c>
    </row>
    <row r="45" spans="1:7" x14ac:dyDescent="0.25">
      <c r="A45" s="8">
        <v>42896.247037037036</v>
      </c>
      <c r="B45" s="20" t="s">
        <v>411</v>
      </c>
      <c r="C45" s="20" t="s">
        <v>661</v>
      </c>
      <c r="D45" s="141">
        <v>1800000</v>
      </c>
      <c r="E45" s="20" t="s">
        <v>383</v>
      </c>
      <c r="F45" s="20" t="s">
        <v>384</v>
      </c>
      <c r="G45" s="8" t="str">
        <f t="shared" si="0"/>
        <v>CHANDLER KELVIN</v>
      </c>
    </row>
    <row r="46" spans="1:7" x14ac:dyDescent="0.25">
      <c r="A46" s="8">
        <v>42896.247407407405</v>
      </c>
      <c r="B46" s="20" t="s">
        <v>460</v>
      </c>
      <c r="C46" s="20" t="s">
        <v>662</v>
      </c>
      <c r="D46" s="141">
        <v>1990000</v>
      </c>
      <c r="E46" s="20" t="s">
        <v>425</v>
      </c>
      <c r="F46" s="20" t="s">
        <v>506</v>
      </c>
      <c r="G46" s="8" t="str">
        <f t="shared" si="0"/>
        <v>DAVIS WENDY</v>
      </c>
    </row>
    <row r="47" spans="1:7" x14ac:dyDescent="0.25">
      <c r="A47" s="8">
        <v>42896.247569444444</v>
      </c>
      <c r="B47" s="20" t="s">
        <v>411</v>
      </c>
      <c r="C47" s="20" t="s">
        <v>661</v>
      </c>
      <c r="D47" s="141">
        <v>1800000</v>
      </c>
      <c r="E47" s="20" t="s">
        <v>383</v>
      </c>
      <c r="F47" s="20" t="s">
        <v>384</v>
      </c>
      <c r="G47" s="8" t="str">
        <f t="shared" si="0"/>
        <v>CHANDLER KELVIN</v>
      </c>
    </row>
    <row r="48" spans="1:7" x14ac:dyDescent="0.25">
      <c r="A48" s="8">
        <v>42896.24790509259</v>
      </c>
      <c r="B48" s="20" t="s">
        <v>406</v>
      </c>
      <c r="C48" s="20" t="s">
        <v>663</v>
      </c>
      <c r="D48" s="141">
        <v>2560000</v>
      </c>
      <c r="E48" s="20" t="s">
        <v>655</v>
      </c>
      <c r="F48" s="20" t="s">
        <v>372</v>
      </c>
      <c r="G48" s="8" t="str">
        <f t="shared" si="0"/>
        <v>MACDONALD THOMAS</v>
      </c>
    </row>
    <row r="49" spans="1:7" x14ac:dyDescent="0.25">
      <c r="A49" s="8">
        <v>42896.248020833336</v>
      </c>
      <c r="B49" s="20" t="s">
        <v>433</v>
      </c>
      <c r="C49" s="20" t="s">
        <v>664</v>
      </c>
      <c r="D49" s="141">
        <v>2600000</v>
      </c>
      <c r="E49" s="20" t="s">
        <v>647</v>
      </c>
      <c r="F49" s="20" t="s">
        <v>648</v>
      </c>
      <c r="G49" s="8" t="str">
        <f t="shared" si="0"/>
        <v>DAVIDSON DAVID</v>
      </c>
    </row>
    <row r="50" spans="1:7" x14ac:dyDescent="0.25">
      <c r="A50" s="8">
        <v>42896.248136574075</v>
      </c>
      <c r="B50" s="20" t="s">
        <v>411</v>
      </c>
      <c r="C50" s="20" t="s">
        <v>661</v>
      </c>
      <c r="D50" s="141">
        <v>1800000</v>
      </c>
      <c r="E50" s="20" t="s">
        <v>383</v>
      </c>
      <c r="F50" s="20" t="s">
        <v>384</v>
      </c>
      <c r="G50" s="8" t="str">
        <f t="shared" si="0"/>
        <v>CHANDLER KELVIN</v>
      </c>
    </row>
    <row r="51" spans="1:7" x14ac:dyDescent="0.25">
      <c r="A51" s="8">
        <v>42896.249282407407</v>
      </c>
      <c r="B51" s="20" t="s">
        <v>411</v>
      </c>
      <c r="C51" s="20" t="s">
        <v>665</v>
      </c>
      <c r="D51" s="141">
        <v>1800000</v>
      </c>
      <c r="E51" s="20" t="s">
        <v>383</v>
      </c>
      <c r="F51" s="20" t="s">
        <v>384</v>
      </c>
      <c r="G51" s="8" t="str">
        <f t="shared" si="0"/>
        <v>CHANDLER KELVIN</v>
      </c>
    </row>
    <row r="52" spans="1:7" x14ac:dyDescent="0.25">
      <c r="A52" s="8">
        <v>42896.249895833331</v>
      </c>
      <c r="B52" s="20" t="s">
        <v>411</v>
      </c>
      <c r="C52" s="20" t="s">
        <v>665</v>
      </c>
      <c r="D52" s="141">
        <v>1800000</v>
      </c>
      <c r="E52" s="20" t="s">
        <v>383</v>
      </c>
      <c r="F52" s="20" t="s">
        <v>384</v>
      </c>
      <c r="G52" s="8" t="str">
        <f t="shared" si="0"/>
        <v>CHANDLER KELVIN</v>
      </c>
    </row>
    <row r="53" spans="1:7" x14ac:dyDescent="0.25">
      <c r="A53" s="8">
        <v>42896.250451388885</v>
      </c>
      <c r="B53" s="20" t="s">
        <v>411</v>
      </c>
      <c r="C53" s="20" t="s">
        <v>665</v>
      </c>
      <c r="D53" s="141">
        <v>1800000</v>
      </c>
      <c r="E53" s="20" t="s">
        <v>383</v>
      </c>
      <c r="F53" s="20" t="s">
        <v>384</v>
      </c>
      <c r="G53" s="8" t="str">
        <f t="shared" si="0"/>
        <v>CHANDLER KELVIN</v>
      </c>
    </row>
    <row r="54" spans="1:7" x14ac:dyDescent="0.25">
      <c r="A54" s="8">
        <v>42896.251967592594</v>
      </c>
      <c r="B54" s="20" t="s">
        <v>411</v>
      </c>
      <c r="C54" s="20" t="s">
        <v>665</v>
      </c>
      <c r="D54" s="141">
        <v>1800000</v>
      </c>
      <c r="E54" s="20" t="s">
        <v>383</v>
      </c>
      <c r="F54" s="20" t="s">
        <v>384</v>
      </c>
      <c r="G54" s="8" t="str">
        <f t="shared" si="0"/>
        <v>CHANDLER KELVIN</v>
      </c>
    </row>
    <row r="55" spans="1:7" x14ac:dyDescent="0.25">
      <c r="A55" s="8">
        <v>42896.257303240738</v>
      </c>
      <c r="B55" s="20" t="s">
        <v>341</v>
      </c>
      <c r="C55" s="20" t="s">
        <v>666</v>
      </c>
      <c r="D55" s="141">
        <v>1100000</v>
      </c>
      <c r="E55" s="20" t="s">
        <v>508</v>
      </c>
      <c r="F55" s="20" t="s">
        <v>509</v>
      </c>
      <c r="G55" s="8" t="str">
        <f t="shared" si="0"/>
        <v>GEBRETEKLE DAGNEW</v>
      </c>
    </row>
    <row r="56" spans="1:7" x14ac:dyDescent="0.25">
      <c r="A56" s="8">
        <v>42896.260231481479</v>
      </c>
      <c r="B56" s="20" t="s">
        <v>493</v>
      </c>
      <c r="C56" s="20" t="s">
        <v>667</v>
      </c>
      <c r="D56" s="141">
        <v>900000</v>
      </c>
      <c r="E56" s="20" t="s">
        <v>622</v>
      </c>
      <c r="F56" s="20" t="s">
        <v>623</v>
      </c>
      <c r="G56" s="8" t="str">
        <f t="shared" si="0"/>
        <v>ROCHA YAOTL</v>
      </c>
    </row>
    <row r="57" spans="1:7" x14ac:dyDescent="0.25">
      <c r="A57" s="8">
        <v>42896.265208333331</v>
      </c>
      <c r="B57" s="20" t="s">
        <v>507</v>
      </c>
      <c r="C57" s="20" t="s">
        <v>668</v>
      </c>
      <c r="D57" s="141">
        <v>2530000</v>
      </c>
      <c r="E57" s="20" t="s">
        <v>639</v>
      </c>
      <c r="F57" s="20" t="s">
        <v>640</v>
      </c>
      <c r="G57" s="8" t="str">
        <f t="shared" si="0"/>
        <v>LALONDE GREGORY</v>
      </c>
    </row>
    <row r="58" spans="1:7" x14ac:dyDescent="0.25">
      <c r="A58" s="8">
        <v>42896.265659722223</v>
      </c>
      <c r="B58" s="20" t="s">
        <v>490</v>
      </c>
      <c r="C58" s="20" t="s">
        <v>669</v>
      </c>
      <c r="D58" s="141">
        <v>1340000</v>
      </c>
      <c r="E58" s="20" t="s">
        <v>545</v>
      </c>
      <c r="F58" s="20" t="s">
        <v>546</v>
      </c>
      <c r="G58" s="8" t="str">
        <f t="shared" si="0"/>
        <v>BEAM ROSS</v>
      </c>
    </row>
    <row r="59" spans="1:7" x14ac:dyDescent="0.25">
      <c r="A59" s="8">
        <v>42896.266203703701</v>
      </c>
      <c r="B59" s="20" t="s">
        <v>540</v>
      </c>
      <c r="C59" s="20" t="s">
        <v>667</v>
      </c>
      <c r="D59" s="141">
        <v>900000</v>
      </c>
      <c r="E59" s="20" t="s">
        <v>622</v>
      </c>
      <c r="F59" s="20" t="s">
        <v>623</v>
      </c>
      <c r="G59" s="8" t="str">
        <f t="shared" si="0"/>
        <v>ROCHA YAOTL</v>
      </c>
    </row>
    <row r="60" spans="1:7" x14ac:dyDescent="0.25">
      <c r="A60" s="8">
        <v>42896.267685185187</v>
      </c>
      <c r="B60" s="20" t="s">
        <v>573</v>
      </c>
      <c r="C60" s="20" t="s">
        <v>670</v>
      </c>
      <c r="D60" s="141">
        <v>2970000</v>
      </c>
      <c r="E60" s="20" t="s">
        <v>385</v>
      </c>
      <c r="F60" s="20" t="s">
        <v>386</v>
      </c>
      <c r="G60" s="8" t="str">
        <f t="shared" si="0"/>
        <v>GUZMAN DANNY</v>
      </c>
    </row>
    <row r="61" spans="1:7" x14ac:dyDescent="0.25">
      <c r="A61" s="8">
        <v>42896.275497685187</v>
      </c>
      <c r="B61" s="20" t="s">
        <v>539</v>
      </c>
      <c r="C61" s="20" t="s">
        <v>671</v>
      </c>
      <c r="D61" s="141">
        <v>2560000</v>
      </c>
      <c r="E61" s="20" t="s">
        <v>655</v>
      </c>
      <c r="F61" s="20" t="s">
        <v>372</v>
      </c>
      <c r="G61" s="8" t="str">
        <f t="shared" si="0"/>
        <v>MACDONALD THOMAS</v>
      </c>
    </row>
    <row r="62" spans="1:7" x14ac:dyDescent="0.25">
      <c r="A62" s="8">
        <v>42896.278865740744</v>
      </c>
      <c r="B62" s="20" t="s">
        <v>493</v>
      </c>
      <c r="C62" s="20" t="s">
        <v>672</v>
      </c>
      <c r="D62" s="141">
        <v>900000</v>
      </c>
      <c r="E62" s="20" t="s">
        <v>622</v>
      </c>
      <c r="F62" s="20" t="s">
        <v>623</v>
      </c>
      <c r="G62" s="8" t="str">
        <f t="shared" si="0"/>
        <v>ROCHA YAOTL</v>
      </c>
    </row>
    <row r="63" spans="1:7" x14ac:dyDescent="0.25">
      <c r="A63" s="8">
        <v>42896.279942129629</v>
      </c>
      <c r="B63" s="20" t="s">
        <v>423</v>
      </c>
      <c r="C63" s="20" t="s">
        <v>673</v>
      </c>
      <c r="D63" s="141">
        <v>1800000</v>
      </c>
      <c r="E63" s="20" t="s">
        <v>383</v>
      </c>
      <c r="F63" s="20" t="s">
        <v>384</v>
      </c>
      <c r="G63" s="8" t="str">
        <f t="shared" si="0"/>
        <v>CHANDLER KELVIN</v>
      </c>
    </row>
    <row r="64" spans="1:7" x14ac:dyDescent="0.25">
      <c r="A64" s="26">
        <v>42896.281064814815</v>
      </c>
      <c r="B64" s="20" t="s">
        <v>630</v>
      </c>
      <c r="C64" s="20" t="s">
        <v>674</v>
      </c>
      <c r="D64" s="141">
        <v>1520000</v>
      </c>
      <c r="E64" s="20" t="s">
        <v>635</v>
      </c>
      <c r="F64" s="20" t="s">
        <v>636</v>
      </c>
      <c r="G64" s="8" t="str">
        <f t="shared" si="0"/>
        <v>MAYBERRY BILL</v>
      </c>
    </row>
    <row r="65" spans="1:7" x14ac:dyDescent="0.25">
      <c r="A65" s="8">
        <v>42896.287164351852</v>
      </c>
      <c r="B65" s="20" t="s">
        <v>342</v>
      </c>
      <c r="C65" s="20" t="s">
        <v>675</v>
      </c>
      <c r="D65" s="141">
        <v>1100000</v>
      </c>
      <c r="E65" s="20" t="s">
        <v>508</v>
      </c>
      <c r="F65" s="20" t="s">
        <v>509</v>
      </c>
      <c r="G65" s="8" t="str">
        <f t="shared" si="0"/>
        <v>GEBRETEKLE DAGNEW</v>
      </c>
    </row>
    <row r="66" spans="1:7" x14ac:dyDescent="0.25">
      <c r="A66" s="8">
        <v>42896.287430555552</v>
      </c>
      <c r="B66" s="20" t="s">
        <v>437</v>
      </c>
      <c r="C66" s="20" t="s">
        <v>676</v>
      </c>
      <c r="D66" s="141">
        <v>2600000</v>
      </c>
      <c r="E66" s="20" t="s">
        <v>647</v>
      </c>
      <c r="F66" s="20" t="s">
        <v>648</v>
      </c>
      <c r="G66" s="8" t="str">
        <f t="shared" si="0"/>
        <v>DAVIDSON DAVID</v>
      </c>
    </row>
    <row r="67" spans="1:7" x14ac:dyDescent="0.25">
      <c r="A67" s="8">
        <v>42896.287893518522</v>
      </c>
      <c r="B67" s="20" t="s">
        <v>459</v>
      </c>
      <c r="C67" s="20" t="s">
        <v>677</v>
      </c>
      <c r="D67" s="141">
        <v>1990000</v>
      </c>
      <c r="E67" s="20" t="s">
        <v>425</v>
      </c>
      <c r="F67" s="20" t="s">
        <v>506</v>
      </c>
      <c r="G67" s="8" t="str">
        <f t="shared" ref="G67:G130" si="1">E67&amp;" "&amp;F67</f>
        <v>DAVIS WENDY</v>
      </c>
    </row>
    <row r="68" spans="1:7" x14ac:dyDescent="0.25">
      <c r="A68" s="8">
        <v>42896.288761574076</v>
      </c>
      <c r="B68" s="20" t="s">
        <v>423</v>
      </c>
      <c r="C68" s="20" t="s">
        <v>673</v>
      </c>
      <c r="D68" s="141">
        <v>1800000</v>
      </c>
      <c r="E68" s="20" t="s">
        <v>383</v>
      </c>
      <c r="F68" s="20" t="s">
        <v>384</v>
      </c>
      <c r="G68" s="8" t="str">
        <f t="shared" si="1"/>
        <v>CHANDLER KELVIN</v>
      </c>
    </row>
    <row r="69" spans="1:7" x14ac:dyDescent="0.25">
      <c r="A69" s="8">
        <v>42896.289942129632</v>
      </c>
      <c r="B69" s="20" t="s">
        <v>406</v>
      </c>
      <c r="C69" s="20" t="s">
        <v>678</v>
      </c>
      <c r="D69" s="141">
        <v>2560000</v>
      </c>
      <c r="E69" s="20" t="s">
        <v>655</v>
      </c>
      <c r="F69" s="20" t="s">
        <v>372</v>
      </c>
      <c r="G69" s="8" t="str">
        <f t="shared" si="1"/>
        <v>MACDONALD THOMAS</v>
      </c>
    </row>
    <row r="70" spans="1:7" x14ac:dyDescent="0.25">
      <c r="A70" s="8">
        <v>42896.292083333334</v>
      </c>
      <c r="B70" s="20" t="s">
        <v>626</v>
      </c>
      <c r="C70" s="20" t="s">
        <v>674</v>
      </c>
      <c r="D70" s="141">
        <v>1520000</v>
      </c>
      <c r="E70" s="20" t="s">
        <v>635</v>
      </c>
      <c r="F70" s="20" t="s">
        <v>636</v>
      </c>
      <c r="G70" s="8" t="str">
        <f t="shared" si="1"/>
        <v>MAYBERRY BILL</v>
      </c>
    </row>
    <row r="71" spans="1:7" x14ac:dyDescent="0.25">
      <c r="A71" s="8">
        <v>42896.292673611111</v>
      </c>
      <c r="B71" s="20" t="s">
        <v>626</v>
      </c>
      <c r="C71" s="20" t="s">
        <v>674</v>
      </c>
      <c r="D71" s="141">
        <v>1520000</v>
      </c>
      <c r="E71" s="20" t="s">
        <v>635</v>
      </c>
      <c r="F71" s="20" t="s">
        <v>636</v>
      </c>
      <c r="G71" s="8" t="str">
        <f t="shared" si="1"/>
        <v>MAYBERRY BILL</v>
      </c>
    </row>
    <row r="72" spans="1:7" x14ac:dyDescent="0.25">
      <c r="A72" s="8">
        <v>42896.293171296296</v>
      </c>
      <c r="B72" s="20" t="s">
        <v>362</v>
      </c>
      <c r="C72" s="20" t="s">
        <v>673</v>
      </c>
      <c r="D72" s="141">
        <v>1800000</v>
      </c>
      <c r="E72" s="20" t="s">
        <v>383</v>
      </c>
      <c r="F72" s="20" t="s">
        <v>384</v>
      </c>
      <c r="G72" s="8" t="str">
        <f t="shared" si="1"/>
        <v>CHANDLER KELVIN</v>
      </c>
    </row>
    <row r="73" spans="1:7" x14ac:dyDescent="0.25">
      <c r="A73" s="8">
        <v>42896.297106481485</v>
      </c>
      <c r="B73" s="20" t="s">
        <v>503</v>
      </c>
      <c r="C73" s="20" t="s">
        <v>679</v>
      </c>
      <c r="D73" s="141">
        <v>2530000</v>
      </c>
      <c r="E73" s="20" t="s">
        <v>639</v>
      </c>
      <c r="F73" s="20" t="s">
        <v>640</v>
      </c>
      <c r="G73" s="8" t="str">
        <f t="shared" si="1"/>
        <v>LALONDE GREGORY</v>
      </c>
    </row>
    <row r="74" spans="1:7" x14ac:dyDescent="0.25">
      <c r="A74" s="8">
        <v>42896.300011574072</v>
      </c>
      <c r="B74" s="20" t="s">
        <v>491</v>
      </c>
      <c r="C74" s="20" t="s">
        <v>680</v>
      </c>
      <c r="D74" s="141">
        <v>3040000</v>
      </c>
      <c r="E74" s="20" t="s">
        <v>388</v>
      </c>
      <c r="F74" s="20" t="s">
        <v>389</v>
      </c>
      <c r="G74" s="8" t="str">
        <f t="shared" si="1"/>
        <v>WILLIAMS DONTE</v>
      </c>
    </row>
    <row r="75" spans="1:7" x14ac:dyDescent="0.25">
      <c r="A75" s="8">
        <v>42896.308854166666</v>
      </c>
      <c r="B75" s="20" t="s">
        <v>659</v>
      </c>
      <c r="C75" s="20" t="s">
        <v>681</v>
      </c>
      <c r="D75" s="141">
        <v>2970000</v>
      </c>
      <c r="E75" s="20" t="s">
        <v>385</v>
      </c>
      <c r="F75" s="20" t="s">
        <v>386</v>
      </c>
      <c r="G75" s="8" t="str">
        <f t="shared" si="1"/>
        <v>GUZMAN DANNY</v>
      </c>
    </row>
    <row r="76" spans="1:7" x14ac:dyDescent="0.25">
      <c r="A76" s="8">
        <v>42896.317071759258</v>
      </c>
      <c r="B76" s="20" t="s">
        <v>539</v>
      </c>
      <c r="C76" s="20" t="s">
        <v>682</v>
      </c>
      <c r="D76" s="141">
        <v>2560000</v>
      </c>
      <c r="E76" s="20" t="s">
        <v>655</v>
      </c>
      <c r="F76" s="20" t="s">
        <v>372</v>
      </c>
      <c r="G76" s="8" t="str">
        <f t="shared" si="1"/>
        <v>MACDONALD THOMAS</v>
      </c>
    </row>
    <row r="77" spans="1:7" x14ac:dyDescent="0.25">
      <c r="A77" s="8">
        <v>42896.319016203706</v>
      </c>
      <c r="B77" s="20" t="s">
        <v>433</v>
      </c>
      <c r="C77" s="20" t="s">
        <v>683</v>
      </c>
      <c r="D77" s="141">
        <v>2600000</v>
      </c>
      <c r="E77" s="20" t="s">
        <v>647</v>
      </c>
      <c r="F77" s="20" t="s">
        <v>648</v>
      </c>
      <c r="G77" s="8" t="str">
        <f t="shared" si="1"/>
        <v>DAVIDSON DAVID</v>
      </c>
    </row>
    <row r="78" spans="1:7" x14ac:dyDescent="0.25">
      <c r="A78" s="8">
        <v>42896.31927083333</v>
      </c>
      <c r="B78" s="20" t="s">
        <v>540</v>
      </c>
      <c r="C78" s="20" t="s">
        <v>684</v>
      </c>
      <c r="D78" s="141">
        <v>900000</v>
      </c>
      <c r="E78" s="20" t="s">
        <v>622</v>
      </c>
      <c r="F78" s="20" t="s">
        <v>623</v>
      </c>
      <c r="G78" s="8" t="str">
        <f t="shared" si="1"/>
        <v>ROCHA YAOTL</v>
      </c>
    </row>
    <row r="79" spans="1:7" x14ac:dyDescent="0.25">
      <c r="A79" s="8">
        <v>42896.319884259261</v>
      </c>
      <c r="B79" s="20" t="s">
        <v>460</v>
      </c>
      <c r="C79" s="20" t="s">
        <v>577</v>
      </c>
      <c r="D79" s="141">
        <v>1990000</v>
      </c>
      <c r="E79" s="20" t="s">
        <v>425</v>
      </c>
      <c r="F79" s="20" t="s">
        <v>506</v>
      </c>
      <c r="G79" s="8" t="str">
        <f t="shared" si="1"/>
        <v>DAVIS WENDY</v>
      </c>
    </row>
    <row r="80" spans="1:7" x14ac:dyDescent="0.25">
      <c r="A80" s="8">
        <v>42896.328576388885</v>
      </c>
      <c r="B80" s="20" t="s">
        <v>341</v>
      </c>
      <c r="C80" s="20" t="s">
        <v>576</v>
      </c>
      <c r="D80" s="141">
        <v>1100000</v>
      </c>
      <c r="E80" s="20" t="s">
        <v>508</v>
      </c>
      <c r="F80" s="20" t="s">
        <v>509</v>
      </c>
      <c r="G80" s="8" t="str">
        <f t="shared" si="1"/>
        <v>GEBRETEKLE DAGNEW</v>
      </c>
    </row>
    <row r="81" spans="1:7" x14ac:dyDescent="0.25">
      <c r="A81" s="8">
        <v>42896.330497685187</v>
      </c>
      <c r="B81" s="20" t="s">
        <v>490</v>
      </c>
      <c r="C81" s="20" t="s">
        <v>685</v>
      </c>
      <c r="D81" s="141">
        <v>3040000</v>
      </c>
      <c r="E81" s="20" t="s">
        <v>388</v>
      </c>
      <c r="F81" s="20" t="s">
        <v>389</v>
      </c>
      <c r="G81" s="8" t="str">
        <f t="shared" si="1"/>
        <v>WILLIAMS DONTE</v>
      </c>
    </row>
    <row r="82" spans="1:7" x14ac:dyDescent="0.25">
      <c r="A82" s="8">
        <v>42896.332037037035</v>
      </c>
      <c r="B82" s="20" t="s">
        <v>406</v>
      </c>
      <c r="C82" s="20" t="s">
        <v>686</v>
      </c>
      <c r="D82" s="141">
        <v>2560000</v>
      </c>
      <c r="E82" s="20" t="s">
        <v>655</v>
      </c>
      <c r="F82" s="20" t="s">
        <v>372</v>
      </c>
      <c r="G82" s="8" t="str">
        <f t="shared" si="1"/>
        <v>MACDONALD THOMAS</v>
      </c>
    </row>
    <row r="83" spans="1:7" x14ac:dyDescent="0.25">
      <c r="A83" s="8">
        <v>42896.338055555556</v>
      </c>
      <c r="B83" s="20" t="s">
        <v>507</v>
      </c>
      <c r="C83" s="20" t="s">
        <v>687</v>
      </c>
      <c r="D83" s="141">
        <v>2530000</v>
      </c>
      <c r="E83" s="20" t="s">
        <v>639</v>
      </c>
      <c r="F83" s="20" t="s">
        <v>640</v>
      </c>
      <c r="G83" s="8" t="str">
        <f t="shared" si="1"/>
        <v>LALONDE GREGORY</v>
      </c>
    </row>
    <row r="84" spans="1:7" x14ac:dyDescent="0.25">
      <c r="A84" s="8">
        <v>42896.342118055552</v>
      </c>
      <c r="B84" s="20" t="s">
        <v>573</v>
      </c>
      <c r="C84" s="20" t="s">
        <v>688</v>
      </c>
      <c r="D84" s="141">
        <v>2970000</v>
      </c>
      <c r="E84" s="20" t="s">
        <v>385</v>
      </c>
      <c r="F84" s="20" t="s">
        <v>386</v>
      </c>
      <c r="G84" s="8" t="str">
        <f t="shared" si="1"/>
        <v>GUZMAN DANNY</v>
      </c>
    </row>
    <row r="85" spans="1:7" x14ac:dyDescent="0.25">
      <c r="A85" s="8">
        <v>42896.348796296297</v>
      </c>
      <c r="B85" s="20" t="s">
        <v>493</v>
      </c>
      <c r="C85" s="20" t="s">
        <v>689</v>
      </c>
      <c r="D85" s="141">
        <v>900000</v>
      </c>
      <c r="E85" s="20" t="s">
        <v>622</v>
      </c>
      <c r="F85" s="20" t="s">
        <v>623</v>
      </c>
      <c r="G85" s="8" t="str">
        <f t="shared" si="1"/>
        <v>ROCHA YAOTL</v>
      </c>
    </row>
    <row r="86" spans="1:7" x14ac:dyDescent="0.25">
      <c r="A86" s="8">
        <v>42896.358854166669</v>
      </c>
      <c r="B86" s="20" t="s">
        <v>539</v>
      </c>
      <c r="C86" s="20" t="s">
        <v>690</v>
      </c>
      <c r="D86" s="141">
        <v>2560000</v>
      </c>
      <c r="E86" s="20" t="s">
        <v>655</v>
      </c>
      <c r="F86" s="20" t="s">
        <v>372</v>
      </c>
      <c r="G86" s="8" t="str">
        <f t="shared" si="1"/>
        <v>MACDONALD THOMAS</v>
      </c>
    </row>
    <row r="87" spans="1:7" x14ac:dyDescent="0.25">
      <c r="A87" s="8">
        <v>42896.359884259262</v>
      </c>
      <c r="B87" s="20" t="s">
        <v>459</v>
      </c>
      <c r="C87" s="20" t="s">
        <v>691</v>
      </c>
      <c r="D87" s="141">
        <v>1990000</v>
      </c>
      <c r="E87" s="20" t="s">
        <v>425</v>
      </c>
      <c r="F87" s="20" t="s">
        <v>506</v>
      </c>
      <c r="G87" s="8" t="str">
        <f t="shared" si="1"/>
        <v>DAVIS WENDY</v>
      </c>
    </row>
    <row r="88" spans="1:7" x14ac:dyDescent="0.25">
      <c r="A88" s="8">
        <v>42896.359976851854</v>
      </c>
      <c r="B88" s="20" t="s">
        <v>342</v>
      </c>
      <c r="C88" s="20" t="s">
        <v>578</v>
      </c>
      <c r="D88" s="141">
        <v>1100000</v>
      </c>
      <c r="E88" s="20" t="s">
        <v>508</v>
      </c>
      <c r="F88" s="20" t="s">
        <v>509</v>
      </c>
      <c r="G88" s="8" t="str">
        <f t="shared" si="1"/>
        <v>GEBRETEKLE DAGNEW</v>
      </c>
    </row>
    <row r="89" spans="1:7" x14ac:dyDescent="0.25">
      <c r="A89" s="8">
        <v>42896.361585648148</v>
      </c>
      <c r="B89" s="20" t="s">
        <v>437</v>
      </c>
      <c r="C89" s="20" t="s">
        <v>692</v>
      </c>
      <c r="D89" s="141">
        <v>2600000</v>
      </c>
      <c r="E89" s="20" t="s">
        <v>647</v>
      </c>
      <c r="F89" s="20" t="s">
        <v>648</v>
      </c>
      <c r="G89" s="8" t="str">
        <f t="shared" si="1"/>
        <v>DAVIDSON DAVID</v>
      </c>
    </row>
    <row r="90" spans="1:7" x14ac:dyDescent="0.25">
      <c r="A90" s="8">
        <v>42896.371053240742</v>
      </c>
      <c r="B90" s="20" t="s">
        <v>491</v>
      </c>
      <c r="C90" s="20" t="s">
        <v>693</v>
      </c>
      <c r="D90" s="141">
        <v>3040000</v>
      </c>
      <c r="E90" s="20" t="s">
        <v>388</v>
      </c>
      <c r="F90" s="20" t="s">
        <v>389</v>
      </c>
      <c r="G90" s="8" t="str">
        <f t="shared" si="1"/>
        <v>WILLIAMS DONTE</v>
      </c>
    </row>
    <row r="91" spans="1:7" x14ac:dyDescent="0.25">
      <c r="A91" s="8">
        <v>42896.372152777774</v>
      </c>
      <c r="B91" s="20" t="s">
        <v>503</v>
      </c>
      <c r="C91" s="20" t="s">
        <v>694</v>
      </c>
      <c r="D91" s="141">
        <v>2530000</v>
      </c>
      <c r="E91" s="20" t="s">
        <v>639</v>
      </c>
      <c r="F91" s="20" t="s">
        <v>640</v>
      </c>
      <c r="G91" s="8" t="str">
        <f t="shared" si="1"/>
        <v>LALONDE GREGORY</v>
      </c>
    </row>
    <row r="92" spans="1:7" x14ac:dyDescent="0.25">
      <c r="A92" s="8">
        <v>42896.372777777775</v>
      </c>
      <c r="B92" s="20" t="s">
        <v>406</v>
      </c>
      <c r="C92" s="20" t="s">
        <v>695</v>
      </c>
      <c r="D92" s="141">
        <v>2560000</v>
      </c>
      <c r="E92" s="20" t="s">
        <v>655</v>
      </c>
      <c r="F92" s="20" t="s">
        <v>372</v>
      </c>
      <c r="G92" s="8" t="str">
        <f t="shared" si="1"/>
        <v>MACDONALD THOMAS</v>
      </c>
    </row>
    <row r="93" spans="1:7" x14ac:dyDescent="0.25">
      <c r="A93" s="8">
        <v>42896.381261574075</v>
      </c>
      <c r="B93" s="20" t="s">
        <v>659</v>
      </c>
      <c r="C93" s="20" t="s">
        <v>696</v>
      </c>
      <c r="D93" s="141">
        <v>2970000</v>
      </c>
      <c r="E93" s="20" t="s">
        <v>385</v>
      </c>
      <c r="F93" s="20" t="s">
        <v>386</v>
      </c>
      <c r="G93" s="8" t="str">
        <f t="shared" si="1"/>
        <v>GUZMAN DANNY</v>
      </c>
    </row>
    <row r="94" spans="1:7" x14ac:dyDescent="0.25">
      <c r="A94" s="8">
        <v>42896.391631944447</v>
      </c>
      <c r="B94" s="20" t="s">
        <v>460</v>
      </c>
      <c r="C94" s="20" t="s">
        <v>697</v>
      </c>
      <c r="D94" s="141">
        <v>1990000</v>
      </c>
      <c r="E94" s="20" t="s">
        <v>425</v>
      </c>
      <c r="F94" s="20" t="s">
        <v>506</v>
      </c>
      <c r="G94" s="8" t="str">
        <f t="shared" si="1"/>
        <v>DAVIS WENDY</v>
      </c>
    </row>
    <row r="95" spans="1:7" x14ac:dyDescent="0.25">
      <c r="A95" s="8">
        <v>42896.392118055555</v>
      </c>
      <c r="B95" s="20" t="s">
        <v>540</v>
      </c>
      <c r="C95" s="20" t="s">
        <v>698</v>
      </c>
      <c r="D95" s="141">
        <v>900000</v>
      </c>
      <c r="E95" s="20" t="s">
        <v>622</v>
      </c>
      <c r="F95" s="20" t="s">
        <v>623</v>
      </c>
      <c r="G95" s="8" t="str">
        <f t="shared" si="1"/>
        <v>ROCHA YAOTL</v>
      </c>
    </row>
    <row r="96" spans="1:7" x14ac:dyDescent="0.25">
      <c r="A96" s="8">
        <v>42896.393125000002</v>
      </c>
      <c r="B96" s="20" t="s">
        <v>433</v>
      </c>
      <c r="C96" s="20" t="s">
        <v>699</v>
      </c>
      <c r="D96" s="141">
        <v>2600000</v>
      </c>
      <c r="E96" s="20" t="s">
        <v>647</v>
      </c>
      <c r="F96" s="20" t="s">
        <v>648</v>
      </c>
      <c r="G96" s="8" t="str">
        <f t="shared" si="1"/>
        <v>DAVIDSON DAVID</v>
      </c>
    </row>
    <row r="97" spans="1:7" x14ac:dyDescent="0.25">
      <c r="A97" s="8">
        <v>42896.400636574072</v>
      </c>
      <c r="B97" s="20" t="s">
        <v>539</v>
      </c>
      <c r="C97" s="20" t="s">
        <v>700</v>
      </c>
      <c r="D97" s="141">
        <v>2560000</v>
      </c>
      <c r="E97" s="20" t="s">
        <v>655</v>
      </c>
      <c r="F97" s="20" t="s">
        <v>372</v>
      </c>
      <c r="G97" s="8" t="str">
        <f t="shared" si="1"/>
        <v>MACDONALD THOMAS</v>
      </c>
    </row>
    <row r="98" spans="1:7" x14ac:dyDescent="0.25">
      <c r="A98" s="8">
        <v>42896.402986111112</v>
      </c>
      <c r="B98" s="20" t="s">
        <v>341</v>
      </c>
      <c r="C98" s="20" t="s">
        <v>701</v>
      </c>
      <c r="D98" s="141">
        <v>1100000</v>
      </c>
      <c r="E98" s="20" t="s">
        <v>508</v>
      </c>
      <c r="F98" s="20" t="s">
        <v>509</v>
      </c>
      <c r="G98" s="8" t="str">
        <f t="shared" si="1"/>
        <v>GEBRETEKLE DAGNEW</v>
      </c>
    </row>
    <row r="99" spans="1:7" x14ac:dyDescent="0.25">
      <c r="A99" s="8">
        <v>42896.404270833336</v>
      </c>
      <c r="B99" s="20" t="s">
        <v>490</v>
      </c>
      <c r="C99" s="20" t="s">
        <v>702</v>
      </c>
      <c r="D99" s="141">
        <v>3040000</v>
      </c>
      <c r="E99" s="20" t="s">
        <v>388</v>
      </c>
      <c r="F99" s="20" t="s">
        <v>389</v>
      </c>
      <c r="G99" s="8" t="str">
        <f t="shared" si="1"/>
        <v>WILLIAMS DONTE</v>
      </c>
    </row>
    <row r="100" spans="1:7" x14ac:dyDescent="0.25">
      <c r="A100" s="8">
        <v>42896.412777777776</v>
      </c>
      <c r="B100" s="20" t="s">
        <v>507</v>
      </c>
      <c r="C100" s="20" t="s">
        <v>703</v>
      </c>
      <c r="D100" s="141">
        <v>1800000</v>
      </c>
      <c r="E100" s="20" t="s">
        <v>383</v>
      </c>
      <c r="F100" s="20" t="s">
        <v>384</v>
      </c>
      <c r="G100" s="8" t="str">
        <f t="shared" si="1"/>
        <v>CHANDLER KELVIN</v>
      </c>
    </row>
    <row r="101" spans="1:7" x14ac:dyDescent="0.25">
      <c r="A101" s="8">
        <v>42896.413194444445</v>
      </c>
      <c r="B101" s="20" t="s">
        <v>573</v>
      </c>
      <c r="C101" s="20" t="s">
        <v>704</v>
      </c>
      <c r="D101" s="141">
        <v>2970000</v>
      </c>
      <c r="E101" s="20" t="s">
        <v>385</v>
      </c>
      <c r="F101" s="20" t="s">
        <v>386</v>
      </c>
      <c r="G101" s="8" t="str">
        <f t="shared" si="1"/>
        <v>GUZMAN DANNY</v>
      </c>
    </row>
    <row r="102" spans="1:7" x14ac:dyDescent="0.25">
      <c r="A102" s="8">
        <v>42896.414837962962</v>
      </c>
      <c r="B102" s="20" t="s">
        <v>406</v>
      </c>
      <c r="C102" s="20" t="s">
        <v>705</v>
      </c>
      <c r="D102" s="141">
        <v>2560000</v>
      </c>
      <c r="E102" s="20" t="s">
        <v>655</v>
      </c>
      <c r="F102" s="20" t="s">
        <v>372</v>
      </c>
      <c r="G102" s="8" t="str">
        <f t="shared" si="1"/>
        <v>MACDONALD THOMAS</v>
      </c>
    </row>
    <row r="103" spans="1:7" x14ac:dyDescent="0.25">
      <c r="A103" s="8">
        <v>42896.423506944448</v>
      </c>
      <c r="B103" s="20" t="s">
        <v>433</v>
      </c>
      <c r="C103" s="20" t="s">
        <v>699</v>
      </c>
      <c r="D103" s="141">
        <v>2600000</v>
      </c>
      <c r="E103" s="20" t="s">
        <v>647</v>
      </c>
      <c r="F103" s="20" t="s">
        <v>648</v>
      </c>
      <c r="G103" s="8" t="str">
        <f t="shared" si="1"/>
        <v>DAVIDSON DAVID</v>
      </c>
    </row>
    <row r="104" spans="1:7" x14ac:dyDescent="0.25">
      <c r="A104" s="8">
        <v>42896.424317129633</v>
      </c>
      <c r="B104" s="20" t="s">
        <v>493</v>
      </c>
      <c r="C104" s="20" t="s">
        <v>706</v>
      </c>
      <c r="D104" s="141">
        <v>1830000</v>
      </c>
      <c r="E104" s="20" t="s">
        <v>543</v>
      </c>
      <c r="F104" s="20" t="s">
        <v>544</v>
      </c>
      <c r="G104" s="8" t="str">
        <f t="shared" si="1"/>
        <v>YORK EDGAR</v>
      </c>
    </row>
    <row r="105" spans="1:7" x14ac:dyDescent="0.25">
      <c r="A105" s="8">
        <v>42896.432893518519</v>
      </c>
      <c r="B105" s="20" t="s">
        <v>342</v>
      </c>
      <c r="C105" s="20" t="s">
        <v>579</v>
      </c>
      <c r="D105" s="141">
        <v>1100000</v>
      </c>
      <c r="E105" s="20" t="s">
        <v>508</v>
      </c>
      <c r="F105" s="20" t="s">
        <v>509</v>
      </c>
      <c r="G105" s="8" t="str">
        <f t="shared" si="1"/>
        <v>GEBRETEKLE DAGNEW</v>
      </c>
    </row>
    <row r="106" spans="1:7" x14ac:dyDescent="0.25">
      <c r="A106" s="8">
        <v>42896.433738425927</v>
      </c>
      <c r="B106" s="20" t="s">
        <v>459</v>
      </c>
      <c r="C106" s="20" t="s">
        <v>707</v>
      </c>
      <c r="D106" s="141">
        <v>1990000</v>
      </c>
      <c r="E106" s="20" t="s">
        <v>425</v>
      </c>
      <c r="F106" s="20" t="s">
        <v>506</v>
      </c>
      <c r="G106" s="8" t="str">
        <f t="shared" si="1"/>
        <v>DAVIS WENDY</v>
      </c>
    </row>
    <row r="107" spans="1:7" x14ac:dyDescent="0.25">
      <c r="A107" s="8">
        <v>42896.435960648145</v>
      </c>
      <c r="B107" s="20" t="s">
        <v>437</v>
      </c>
      <c r="C107" s="20" t="s">
        <v>708</v>
      </c>
      <c r="D107" s="141">
        <v>2600000</v>
      </c>
      <c r="E107" s="20" t="s">
        <v>647</v>
      </c>
      <c r="F107" s="20" t="s">
        <v>648</v>
      </c>
      <c r="G107" s="8" t="str">
        <f t="shared" si="1"/>
        <v>DAVIDSON DAVID</v>
      </c>
    </row>
    <row r="108" spans="1:7" x14ac:dyDescent="0.25">
      <c r="A108" s="8">
        <v>42896.441828703704</v>
      </c>
      <c r="B108" s="20" t="s">
        <v>539</v>
      </c>
      <c r="C108" s="20" t="s">
        <v>580</v>
      </c>
      <c r="D108" s="141">
        <v>2560000</v>
      </c>
      <c r="E108" s="20" t="s">
        <v>655</v>
      </c>
      <c r="F108" s="20" t="s">
        <v>372</v>
      </c>
      <c r="G108" s="8" t="str">
        <f t="shared" si="1"/>
        <v>MACDONALD THOMAS</v>
      </c>
    </row>
    <row r="109" spans="1:7" x14ac:dyDescent="0.25">
      <c r="A109" s="8">
        <v>42896.445740740739</v>
      </c>
      <c r="B109" s="20" t="s">
        <v>491</v>
      </c>
      <c r="C109" s="20" t="s">
        <v>709</v>
      </c>
      <c r="D109" s="141">
        <v>880000</v>
      </c>
      <c r="E109" s="20" t="s">
        <v>494</v>
      </c>
      <c r="F109" s="20" t="s">
        <v>194</v>
      </c>
      <c r="G109" s="8" t="str">
        <f t="shared" si="1"/>
        <v>STEWART MICHAEL</v>
      </c>
    </row>
    <row r="110" spans="1:7" x14ac:dyDescent="0.25">
      <c r="A110" s="8">
        <v>42896.453842592593</v>
      </c>
      <c r="B110" s="20" t="s">
        <v>503</v>
      </c>
      <c r="C110" s="20" t="s">
        <v>710</v>
      </c>
      <c r="D110" s="141">
        <v>1800000</v>
      </c>
      <c r="E110" s="20" t="s">
        <v>383</v>
      </c>
      <c r="F110" s="20" t="s">
        <v>384</v>
      </c>
      <c r="G110" s="8" t="str">
        <f t="shared" si="1"/>
        <v>CHANDLER KELVIN</v>
      </c>
    </row>
    <row r="111" spans="1:7" x14ac:dyDescent="0.25">
      <c r="A111" s="8">
        <v>42896.454085648147</v>
      </c>
      <c r="B111" s="20" t="s">
        <v>540</v>
      </c>
      <c r="C111" s="20" t="s">
        <v>583</v>
      </c>
      <c r="D111" s="141">
        <v>1830000</v>
      </c>
      <c r="E111" s="20" t="s">
        <v>543</v>
      </c>
      <c r="F111" s="20" t="s">
        <v>544</v>
      </c>
      <c r="G111" s="8" t="str">
        <f t="shared" si="1"/>
        <v>YORK EDGAR</v>
      </c>
    </row>
    <row r="112" spans="1:7" x14ac:dyDescent="0.25">
      <c r="A112" s="8">
        <v>42896.454583333332</v>
      </c>
      <c r="B112" s="20" t="s">
        <v>659</v>
      </c>
      <c r="C112" s="20" t="s">
        <v>711</v>
      </c>
      <c r="D112" s="141">
        <v>2970000</v>
      </c>
      <c r="E112" s="20" t="s">
        <v>385</v>
      </c>
      <c r="F112" s="20" t="s">
        <v>386</v>
      </c>
      <c r="G112" s="8" t="str">
        <f t="shared" si="1"/>
        <v>GUZMAN DANNY</v>
      </c>
    </row>
    <row r="113" spans="1:7" x14ac:dyDescent="0.25">
      <c r="A113" s="8">
        <v>42896.45648148148</v>
      </c>
      <c r="B113" s="20" t="s">
        <v>406</v>
      </c>
      <c r="C113" s="20" t="s">
        <v>581</v>
      </c>
      <c r="D113" s="141">
        <v>2560000</v>
      </c>
      <c r="E113" s="20" t="s">
        <v>655</v>
      </c>
      <c r="F113" s="20" t="s">
        <v>372</v>
      </c>
      <c r="G113" s="8" t="str">
        <f t="shared" si="1"/>
        <v>MACDONALD THOMAS</v>
      </c>
    </row>
    <row r="114" spans="1:7" x14ac:dyDescent="0.25">
      <c r="A114" s="8">
        <v>42896.466736111113</v>
      </c>
      <c r="B114" s="20" t="s">
        <v>433</v>
      </c>
      <c r="C114" s="20" t="s">
        <v>584</v>
      </c>
      <c r="D114" s="141">
        <v>2600000</v>
      </c>
      <c r="E114" s="20" t="s">
        <v>647</v>
      </c>
      <c r="F114" s="20" t="s">
        <v>648</v>
      </c>
      <c r="G114" s="8" t="str">
        <f t="shared" si="1"/>
        <v>DAVIDSON DAVID</v>
      </c>
    </row>
    <row r="115" spans="1:7" x14ac:dyDescent="0.25">
      <c r="A115" s="8">
        <v>42896.467175925929</v>
      </c>
      <c r="B115" s="20" t="s">
        <v>460</v>
      </c>
      <c r="C115" s="20" t="s">
        <v>582</v>
      </c>
      <c r="D115" s="141">
        <v>920000</v>
      </c>
      <c r="E115" s="20" t="s">
        <v>425</v>
      </c>
      <c r="F115" s="20" t="s">
        <v>194</v>
      </c>
      <c r="G115" s="8" t="str">
        <f t="shared" si="1"/>
        <v>DAVIS MICHAEL</v>
      </c>
    </row>
    <row r="116" spans="1:7" x14ac:dyDescent="0.25">
      <c r="A116" s="8">
        <v>42896.475358796299</v>
      </c>
      <c r="B116" s="20" t="s">
        <v>341</v>
      </c>
      <c r="C116" s="20" t="s">
        <v>712</v>
      </c>
      <c r="D116" s="141">
        <v>2360000</v>
      </c>
      <c r="E116" s="20" t="s">
        <v>713</v>
      </c>
      <c r="F116" s="20" t="s">
        <v>714</v>
      </c>
      <c r="G116" s="8" t="str">
        <f t="shared" si="1"/>
        <v>BRANDNER MELINDA</v>
      </c>
    </row>
    <row r="117" spans="1:7" x14ac:dyDescent="0.25">
      <c r="A117" s="8">
        <v>42896.484340277777</v>
      </c>
      <c r="B117" s="20" t="s">
        <v>540</v>
      </c>
      <c r="C117" s="20" t="s">
        <v>583</v>
      </c>
      <c r="D117" s="141">
        <v>1830000</v>
      </c>
      <c r="E117" s="20" t="s">
        <v>543</v>
      </c>
      <c r="F117" s="20" t="s">
        <v>544</v>
      </c>
      <c r="G117" s="8" t="str">
        <f t="shared" si="1"/>
        <v>YORK EDGAR</v>
      </c>
    </row>
    <row r="118" spans="1:7" x14ac:dyDescent="0.25">
      <c r="A118" s="8">
        <v>42896.485231481478</v>
      </c>
      <c r="B118" s="20" t="s">
        <v>539</v>
      </c>
      <c r="C118" s="20" t="s">
        <v>715</v>
      </c>
      <c r="D118" s="141">
        <v>2560000</v>
      </c>
      <c r="E118" s="20" t="s">
        <v>655</v>
      </c>
      <c r="F118" s="20" t="s">
        <v>372</v>
      </c>
      <c r="G118" s="8" t="str">
        <f t="shared" si="1"/>
        <v>MACDONALD THOMAS</v>
      </c>
    </row>
    <row r="119" spans="1:7" x14ac:dyDescent="0.25">
      <c r="A119" s="8">
        <v>42896.486597222225</v>
      </c>
      <c r="B119" s="20" t="s">
        <v>573</v>
      </c>
      <c r="C119" s="20" t="s">
        <v>716</v>
      </c>
      <c r="D119" s="141">
        <v>2970000</v>
      </c>
      <c r="E119" s="20" t="s">
        <v>385</v>
      </c>
      <c r="F119" s="20" t="s">
        <v>386</v>
      </c>
      <c r="G119" s="8" t="str">
        <f t="shared" si="1"/>
        <v>GUZMAN DANNY</v>
      </c>
    </row>
    <row r="120" spans="1:7" x14ac:dyDescent="0.25">
      <c r="A120" s="8">
        <v>42896.48704861111</v>
      </c>
      <c r="B120" s="20" t="s">
        <v>490</v>
      </c>
      <c r="C120" s="20" t="s">
        <v>717</v>
      </c>
      <c r="D120" s="141">
        <v>880000</v>
      </c>
      <c r="E120" s="20" t="s">
        <v>494</v>
      </c>
      <c r="F120" s="20" t="s">
        <v>194</v>
      </c>
      <c r="G120" s="8" t="str">
        <f t="shared" si="1"/>
        <v>STEWART MICHAEL</v>
      </c>
    </row>
    <row r="121" spans="1:7" x14ac:dyDescent="0.25">
      <c r="A121" s="8">
        <v>42896.488240740742</v>
      </c>
      <c r="B121" s="20" t="s">
        <v>507</v>
      </c>
      <c r="C121" s="20" t="s">
        <v>718</v>
      </c>
      <c r="D121" s="141">
        <v>1770000</v>
      </c>
      <c r="E121" s="20" t="s">
        <v>719</v>
      </c>
      <c r="F121" s="20" t="s">
        <v>720</v>
      </c>
      <c r="G121" s="8" t="str">
        <f t="shared" si="1"/>
        <v>BRUDER RICHARD</v>
      </c>
    </row>
    <row r="122" spans="1:7" x14ac:dyDescent="0.25">
      <c r="A122" s="8">
        <v>42896.497048611112</v>
      </c>
      <c r="B122" s="25" t="s">
        <v>493</v>
      </c>
      <c r="C122" s="20" t="s">
        <v>721</v>
      </c>
      <c r="D122" s="141">
        <v>1830000</v>
      </c>
      <c r="E122" s="20" t="s">
        <v>543</v>
      </c>
      <c r="F122" s="20" t="s">
        <v>544</v>
      </c>
      <c r="G122" s="8" t="str">
        <f t="shared" si="1"/>
        <v>YORK EDGAR</v>
      </c>
    </row>
    <row r="123" spans="1:7" x14ac:dyDescent="0.25">
      <c r="A123" s="8">
        <v>42896.498043981483</v>
      </c>
      <c r="B123" s="20" t="s">
        <v>406</v>
      </c>
      <c r="C123" s="20" t="s">
        <v>585</v>
      </c>
      <c r="D123" s="141">
        <v>2560000</v>
      </c>
      <c r="E123" s="20" t="s">
        <v>655</v>
      </c>
      <c r="F123" s="20" t="s">
        <v>372</v>
      </c>
      <c r="G123" s="8" t="str">
        <f t="shared" si="1"/>
        <v>MACDONALD THOMAS</v>
      </c>
    </row>
    <row r="124" spans="1:7" x14ac:dyDescent="0.25">
      <c r="A124" s="8">
        <v>42896.505624999998</v>
      </c>
      <c r="B124" s="20" t="s">
        <v>630</v>
      </c>
      <c r="C124" s="20" t="s">
        <v>722</v>
      </c>
      <c r="D124" s="141">
        <v>1520000</v>
      </c>
      <c r="E124" s="20" t="s">
        <v>635</v>
      </c>
      <c r="F124" s="20" t="s">
        <v>636</v>
      </c>
      <c r="G124" s="8" t="str">
        <f t="shared" si="1"/>
        <v>MAYBERRY BILL</v>
      </c>
    </row>
    <row r="125" spans="1:7" x14ac:dyDescent="0.25">
      <c r="A125" s="8">
        <v>42896.507048611114</v>
      </c>
      <c r="B125" s="20" t="s">
        <v>459</v>
      </c>
      <c r="C125" s="20" t="s">
        <v>586</v>
      </c>
      <c r="D125" s="141">
        <v>920000</v>
      </c>
      <c r="E125" s="20" t="s">
        <v>425</v>
      </c>
      <c r="F125" s="20" t="s">
        <v>194</v>
      </c>
      <c r="G125" s="8" t="str">
        <f t="shared" si="1"/>
        <v>DAVIS MICHAEL</v>
      </c>
    </row>
    <row r="126" spans="1:7" x14ac:dyDescent="0.25">
      <c r="A126" s="8">
        <v>42896.507141203707</v>
      </c>
      <c r="B126" s="20" t="s">
        <v>437</v>
      </c>
      <c r="C126" s="20" t="s">
        <v>723</v>
      </c>
      <c r="D126" s="141">
        <v>2440000</v>
      </c>
      <c r="E126" s="20" t="s">
        <v>724</v>
      </c>
      <c r="F126" s="20" t="s">
        <v>725</v>
      </c>
      <c r="G126" s="8" t="str">
        <f t="shared" si="1"/>
        <v>LOPES KIMBERLY</v>
      </c>
    </row>
    <row r="127" spans="1:7" x14ac:dyDescent="0.25">
      <c r="A127" s="8">
        <v>42896.515659722223</v>
      </c>
      <c r="B127" s="20" t="s">
        <v>342</v>
      </c>
      <c r="C127" s="20" t="s">
        <v>726</v>
      </c>
      <c r="D127" s="141">
        <v>2360000</v>
      </c>
      <c r="E127" s="20" t="s">
        <v>713</v>
      </c>
      <c r="F127" s="20" t="s">
        <v>714</v>
      </c>
      <c r="G127" s="8" t="str">
        <f t="shared" si="1"/>
        <v>BRANDNER MELINDA</v>
      </c>
    </row>
    <row r="128" spans="1:7" x14ac:dyDescent="0.25">
      <c r="A128" s="8">
        <v>42896.51840277778</v>
      </c>
      <c r="B128" s="20" t="s">
        <v>491</v>
      </c>
      <c r="C128" s="20" t="s">
        <v>727</v>
      </c>
      <c r="D128" s="141">
        <v>880000</v>
      </c>
      <c r="E128" s="20" t="s">
        <v>494</v>
      </c>
      <c r="F128" s="20" t="s">
        <v>194</v>
      </c>
      <c r="G128" s="8" t="str">
        <f t="shared" si="1"/>
        <v>STEWART MICHAEL</v>
      </c>
    </row>
    <row r="129" spans="1:7" x14ac:dyDescent="0.25">
      <c r="A129" s="8">
        <v>42896.518645833334</v>
      </c>
      <c r="B129" s="20" t="s">
        <v>626</v>
      </c>
      <c r="C129" s="20" t="s">
        <v>722</v>
      </c>
      <c r="D129" s="141">
        <v>1520000</v>
      </c>
      <c r="E129" s="20" t="s">
        <v>635</v>
      </c>
      <c r="F129" s="20" t="s">
        <v>636</v>
      </c>
      <c r="G129" s="8" t="str">
        <f t="shared" si="1"/>
        <v>MAYBERRY BILL</v>
      </c>
    </row>
    <row r="130" spans="1:7" x14ac:dyDescent="0.25">
      <c r="A130" s="8">
        <v>42896.525405092594</v>
      </c>
      <c r="B130" s="20" t="s">
        <v>630</v>
      </c>
      <c r="C130" s="20" t="s">
        <v>728</v>
      </c>
      <c r="D130" s="141">
        <v>2420000</v>
      </c>
      <c r="E130" s="20" t="s">
        <v>510</v>
      </c>
      <c r="F130" s="20" t="s">
        <v>511</v>
      </c>
      <c r="G130" s="8" t="str">
        <f t="shared" si="1"/>
        <v>HOLCOMB KAMDEN</v>
      </c>
    </row>
    <row r="131" spans="1:7" x14ac:dyDescent="0.25">
      <c r="A131" s="8">
        <v>42896.525601851848</v>
      </c>
      <c r="B131" s="20" t="s">
        <v>343</v>
      </c>
      <c r="C131" s="20" t="s">
        <v>729</v>
      </c>
      <c r="D131" s="141">
        <v>1520000</v>
      </c>
      <c r="E131" s="20" t="s">
        <v>635</v>
      </c>
      <c r="F131" s="20" t="s">
        <v>636</v>
      </c>
      <c r="G131" s="8" t="str">
        <f t="shared" ref="G131:G194" si="2">E131&amp;" "&amp;F131</f>
        <v>MAYBERRY BILL</v>
      </c>
    </row>
    <row r="132" spans="1:7" x14ac:dyDescent="0.25">
      <c r="A132" s="8">
        <v>42896.526030092595</v>
      </c>
      <c r="B132" s="20" t="s">
        <v>540</v>
      </c>
      <c r="C132" s="20" t="s">
        <v>589</v>
      </c>
      <c r="D132" s="141">
        <v>1830000</v>
      </c>
      <c r="E132" s="20" t="s">
        <v>543</v>
      </c>
      <c r="F132" s="20" t="s">
        <v>544</v>
      </c>
      <c r="G132" s="8" t="str">
        <f t="shared" si="2"/>
        <v>YORK EDGAR</v>
      </c>
    </row>
    <row r="133" spans="1:7" x14ac:dyDescent="0.25">
      <c r="A133" s="8">
        <v>42896.526574074072</v>
      </c>
      <c r="B133" s="20" t="s">
        <v>539</v>
      </c>
      <c r="C133" s="20" t="s">
        <v>587</v>
      </c>
      <c r="D133" s="141">
        <v>2560000</v>
      </c>
      <c r="E133" s="20" t="s">
        <v>655</v>
      </c>
      <c r="F133" s="20" t="s">
        <v>372</v>
      </c>
      <c r="G133" s="8" t="str">
        <f t="shared" si="2"/>
        <v>MACDONALD THOMAS</v>
      </c>
    </row>
    <row r="134" spans="1:7" x14ac:dyDescent="0.25">
      <c r="A134" s="8">
        <v>42896.526944444442</v>
      </c>
      <c r="B134" s="20" t="s">
        <v>503</v>
      </c>
      <c r="C134" s="20" t="s">
        <v>588</v>
      </c>
      <c r="D134" s="141">
        <v>1770000</v>
      </c>
      <c r="E134" s="20" t="s">
        <v>719</v>
      </c>
      <c r="F134" s="20" t="s">
        <v>720</v>
      </c>
      <c r="G134" s="8" t="str">
        <f t="shared" si="2"/>
        <v>BRUDER RICHARD</v>
      </c>
    </row>
    <row r="135" spans="1:7" x14ac:dyDescent="0.25">
      <c r="A135" s="8">
        <v>42896.529062499998</v>
      </c>
      <c r="B135" s="20" t="s">
        <v>371</v>
      </c>
      <c r="C135" s="20" t="s">
        <v>729</v>
      </c>
      <c r="D135" s="141">
        <v>1520000</v>
      </c>
      <c r="E135" s="20" t="s">
        <v>635</v>
      </c>
      <c r="F135" s="20" t="s">
        <v>636</v>
      </c>
      <c r="G135" s="8" t="str">
        <f t="shared" si="2"/>
        <v>MAYBERRY BILL</v>
      </c>
    </row>
    <row r="136" spans="1:7" x14ac:dyDescent="0.25">
      <c r="A136" s="8">
        <v>42896.53979166667</v>
      </c>
      <c r="B136" s="20" t="s">
        <v>406</v>
      </c>
      <c r="C136" s="20" t="s">
        <v>730</v>
      </c>
      <c r="D136" s="141">
        <v>2560000</v>
      </c>
      <c r="E136" s="20" t="s">
        <v>655</v>
      </c>
      <c r="F136" s="20" t="s">
        <v>372</v>
      </c>
      <c r="G136" s="8" t="str">
        <f t="shared" si="2"/>
        <v>MACDONALD THOMAS</v>
      </c>
    </row>
    <row r="137" spans="1:7" x14ac:dyDescent="0.25">
      <c r="A137" s="8">
        <v>42896.541365740741</v>
      </c>
      <c r="B137" s="20" t="s">
        <v>343</v>
      </c>
      <c r="C137" s="20" t="s">
        <v>731</v>
      </c>
      <c r="D137" s="141">
        <v>920000</v>
      </c>
      <c r="E137" s="20" t="s">
        <v>425</v>
      </c>
      <c r="F137" s="20" t="s">
        <v>194</v>
      </c>
      <c r="G137" s="8" t="str">
        <f t="shared" si="2"/>
        <v>DAVIS MICHAEL</v>
      </c>
    </row>
    <row r="138" spans="1:7" x14ac:dyDescent="0.25">
      <c r="A138" s="8">
        <v>42896.541921296295</v>
      </c>
      <c r="B138" s="20" t="s">
        <v>433</v>
      </c>
      <c r="C138" s="20" t="s">
        <v>732</v>
      </c>
      <c r="D138" s="141">
        <v>2440000</v>
      </c>
      <c r="E138" s="20" t="s">
        <v>724</v>
      </c>
      <c r="F138" s="20" t="s">
        <v>725</v>
      </c>
      <c r="G138" s="8" t="str">
        <f t="shared" si="2"/>
        <v>LOPES KIMBERLY</v>
      </c>
    </row>
    <row r="139" spans="1:7" x14ac:dyDescent="0.25">
      <c r="A139" s="8">
        <v>42896.548784722225</v>
      </c>
      <c r="B139" s="20" t="s">
        <v>341</v>
      </c>
      <c r="C139" s="20" t="s">
        <v>733</v>
      </c>
      <c r="D139" s="141">
        <v>2360000</v>
      </c>
      <c r="E139" s="20" t="s">
        <v>713</v>
      </c>
      <c r="F139" s="20" t="s">
        <v>714</v>
      </c>
      <c r="G139" s="8" t="str">
        <f t="shared" si="2"/>
        <v>BRANDNER MELINDA</v>
      </c>
    </row>
    <row r="140" spans="1:7" x14ac:dyDescent="0.25">
      <c r="A140" s="8">
        <v>42896.558680555558</v>
      </c>
      <c r="B140" s="20" t="s">
        <v>507</v>
      </c>
      <c r="C140" s="20" t="s">
        <v>734</v>
      </c>
      <c r="D140" s="141">
        <v>1770000</v>
      </c>
      <c r="E140" s="20" t="s">
        <v>719</v>
      </c>
      <c r="F140" s="20" t="s">
        <v>720</v>
      </c>
      <c r="G140" s="8" t="str">
        <f t="shared" si="2"/>
        <v>BRUDER RICHARD</v>
      </c>
    </row>
    <row r="141" spans="1:7" x14ac:dyDescent="0.25">
      <c r="A141" s="8">
        <v>42896.558877314812</v>
      </c>
      <c r="B141" s="20" t="s">
        <v>490</v>
      </c>
      <c r="C141" s="20" t="s">
        <v>735</v>
      </c>
      <c r="D141" s="141">
        <v>880000</v>
      </c>
      <c r="E141" s="20" t="s">
        <v>494</v>
      </c>
      <c r="F141" s="20" t="s">
        <v>194</v>
      </c>
      <c r="G141" s="8" t="str">
        <f t="shared" si="2"/>
        <v>STEWART MICHAEL</v>
      </c>
    </row>
    <row r="142" spans="1:7" x14ac:dyDescent="0.25">
      <c r="A142" s="8">
        <v>42896.558877314812</v>
      </c>
      <c r="B142" s="20" t="s">
        <v>659</v>
      </c>
      <c r="C142" s="20" t="s">
        <v>590</v>
      </c>
      <c r="D142" s="141">
        <v>2270000</v>
      </c>
      <c r="E142" s="20" t="s">
        <v>736</v>
      </c>
      <c r="F142" s="20" t="s">
        <v>737</v>
      </c>
      <c r="G142" s="8" t="str">
        <f t="shared" si="2"/>
        <v>BROWN JACOB</v>
      </c>
    </row>
    <row r="143" spans="1:7" x14ac:dyDescent="0.25">
      <c r="A143" s="8">
        <v>42896.567627314813</v>
      </c>
      <c r="B143" s="20" t="s">
        <v>539</v>
      </c>
      <c r="C143" s="20" t="s">
        <v>738</v>
      </c>
      <c r="D143" s="141">
        <v>2560000</v>
      </c>
      <c r="E143" s="20" t="s">
        <v>655</v>
      </c>
      <c r="F143" s="20" t="s">
        <v>372</v>
      </c>
      <c r="G143" s="8" t="str">
        <f t="shared" si="2"/>
        <v>MACDONALD THOMAS</v>
      </c>
    </row>
    <row r="144" spans="1:7" x14ac:dyDescent="0.25">
      <c r="A144" s="8">
        <v>42896.568449074075</v>
      </c>
      <c r="B144" s="20" t="s">
        <v>626</v>
      </c>
      <c r="C144" s="20" t="s">
        <v>739</v>
      </c>
      <c r="D144" s="141">
        <v>2420000</v>
      </c>
      <c r="E144" s="20" t="s">
        <v>510</v>
      </c>
      <c r="F144" s="20" t="s">
        <v>511</v>
      </c>
      <c r="G144" s="8" t="str">
        <f t="shared" si="2"/>
        <v>HOLCOMB KAMDEN</v>
      </c>
    </row>
    <row r="145" spans="1:7" x14ac:dyDescent="0.25">
      <c r="A145" s="8">
        <v>42896.571168981478</v>
      </c>
      <c r="B145" s="20" t="s">
        <v>493</v>
      </c>
      <c r="C145" s="20" t="s">
        <v>740</v>
      </c>
      <c r="D145" s="141">
        <v>1830000</v>
      </c>
      <c r="E145" s="20" t="s">
        <v>543</v>
      </c>
      <c r="F145" s="20" t="s">
        <v>544</v>
      </c>
      <c r="G145" s="8" t="str">
        <f t="shared" si="2"/>
        <v>YORK EDGAR</v>
      </c>
    </row>
    <row r="146" spans="1:7" x14ac:dyDescent="0.25">
      <c r="A146" s="8">
        <v>42896.579965277779</v>
      </c>
      <c r="B146" s="20" t="s">
        <v>371</v>
      </c>
      <c r="C146" s="20" t="s">
        <v>741</v>
      </c>
      <c r="D146" s="141">
        <v>920000</v>
      </c>
      <c r="E146" s="20" t="s">
        <v>425</v>
      </c>
      <c r="F146" s="20" t="s">
        <v>194</v>
      </c>
      <c r="G146" s="8" t="str">
        <f t="shared" si="2"/>
        <v>DAVIS MICHAEL</v>
      </c>
    </row>
    <row r="147" spans="1:7" x14ac:dyDescent="0.25">
      <c r="A147" s="8">
        <v>42896.581307870372</v>
      </c>
      <c r="B147" s="20" t="s">
        <v>437</v>
      </c>
      <c r="C147" s="20" t="s">
        <v>742</v>
      </c>
      <c r="D147" s="141">
        <v>2440000</v>
      </c>
      <c r="E147" s="20" t="s">
        <v>724</v>
      </c>
      <c r="F147" s="20" t="s">
        <v>725</v>
      </c>
      <c r="G147" s="8" t="str">
        <f t="shared" si="2"/>
        <v>LOPES KIMBERLY</v>
      </c>
    </row>
    <row r="148" spans="1:7" x14ac:dyDescent="0.25">
      <c r="A148" s="8">
        <v>42896.582499999997</v>
      </c>
      <c r="B148" s="20" t="s">
        <v>502</v>
      </c>
      <c r="C148" s="20" t="s">
        <v>590</v>
      </c>
      <c r="D148" s="141">
        <v>2270000</v>
      </c>
      <c r="E148" s="20" t="s">
        <v>736</v>
      </c>
      <c r="F148" s="20" t="s">
        <v>737</v>
      </c>
      <c r="G148" s="8" t="str">
        <f t="shared" si="2"/>
        <v>BROWN JACOB</v>
      </c>
    </row>
    <row r="149" spans="1:7" x14ac:dyDescent="0.25">
      <c r="A149" s="8">
        <v>42896.583414351851</v>
      </c>
      <c r="B149" s="20" t="s">
        <v>502</v>
      </c>
      <c r="C149" s="20" t="s">
        <v>590</v>
      </c>
      <c r="D149" s="141">
        <v>2270000</v>
      </c>
      <c r="E149" s="20" t="s">
        <v>736</v>
      </c>
      <c r="F149" s="20" t="s">
        <v>737</v>
      </c>
      <c r="G149" s="8" t="str">
        <f t="shared" si="2"/>
        <v>BROWN JACOB</v>
      </c>
    </row>
    <row r="150" spans="1:7" x14ac:dyDescent="0.25">
      <c r="A150" s="8">
        <v>42896.589282407411</v>
      </c>
      <c r="B150" s="20" t="s">
        <v>406</v>
      </c>
      <c r="C150" s="20" t="s">
        <v>591</v>
      </c>
      <c r="D150" s="141">
        <v>2470000</v>
      </c>
      <c r="E150" s="20" t="s">
        <v>743</v>
      </c>
      <c r="F150" s="20" t="s">
        <v>744</v>
      </c>
      <c r="G150" s="8" t="str">
        <f t="shared" si="2"/>
        <v>ROMERO CHAD</v>
      </c>
    </row>
    <row r="151" spans="1:7" x14ac:dyDescent="0.25">
      <c r="A151" s="8">
        <v>42896.590636574074</v>
      </c>
      <c r="B151" s="20" t="s">
        <v>342</v>
      </c>
      <c r="C151" s="20" t="s">
        <v>745</v>
      </c>
      <c r="D151" s="141">
        <v>2360000</v>
      </c>
      <c r="E151" s="20" t="s">
        <v>713</v>
      </c>
      <c r="F151" s="20" t="s">
        <v>714</v>
      </c>
      <c r="G151" s="8" t="str">
        <f t="shared" si="2"/>
        <v>BRANDNER MELINDA</v>
      </c>
    </row>
    <row r="152" spans="1:7" x14ac:dyDescent="0.25">
      <c r="A152" s="8">
        <v>42896.59134259259</v>
      </c>
      <c r="B152" s="20" t="s">
        <v>491</v>
      </c>
      <c r="C152" s="20" t="s">
        <v>746</v>
      </c>
      <c r="D152" s="141">
        <v>880000</v>
      </c>
      <c r="E152" s="20" t="s">
        <v>494</v>
      </c>
      <c r="F152" s="20" t="s">
        <v>194</v>
      </c>
      <c r="G152" s="8" t="str">
        <f t="shared" si="2"/>
        <v>STEWART MICHAEL</v>
      </c>
    </row>
    <row r="153" spans="1:7" x14ac:dyDescent="0.25">
      <c r="A153" s="8">
        <v>42896.591562499998</v>
      </c>
      <c r="B153" s="20" t="s">
        <v>460</v>
      </c>
      <c r="C153" s="20" t="s">
        <v>661</v>
      </c>
      <c r="D153" s="141">
        <v>2450000</v>
      </c>
      <c r="E153" s="20" t="s">
        <v>747</v>
      </c>
      <c r="F153" s="20" t="s">
        <v>748</v>
      </c>
      <c r="G153" s="8" t="str">
        <f t="shared" si="2"/>
        <v>NELSON ARIANE</v>
      </c>
    </row>
    <row r="154" spans="1:7" x14ac:dyDescent="0.25">
      <c r="A154" s="8">
        <v>42896.595000000001</v>
      </c>
      <c r="B154" s="20" t="s">
        <v>459</v>
      </c>
      <c r="C154" s="20" t="s">
        <v>661</v>
      </c>
      <c r="D154" s="141">
        <v>2450000</v>
      </c>
      <c r="E154" s="20" t="s">
        <v>747</v>
      </c>
      <c r="F154" s="20" t="s">
        <v>748</v>
      </c>
      <c r="G154" s="8" t="str">
        <f t="shared" si="2"/>
        <v>NELSON ARIANE</v>
      </c>
    </row>
    <row r="155" spans="1:7" x14ac:dyDescent="0.25">
      <c r="A155" s="8">
        <v>42896.597893518519</v>
      </c>
      <c r="B155" s="20" t="s">
        <v>503</v>
      </c>
      <c r="C155" s="20" t="s">
        <v>749</v>
      </c>
      <c r="D155" s="141">
        <v>1770000</v>
      </c>
      <c r="E155" s="20" t="s">
        <v>719</v>
      </c>
      <c r="F155" s="20" t="s">
        <v>720</v>
      </c>
      <c r="G155" s="8" t="str">
        <f t="shared" si="2"/>
        <v>BRUDER RICHARD</v>
      </c>
    </row>
    <row r="156" spans="1:7" x14ac:dyDescent="0.25">
      <c r="A156" s="8">
        <v>42896.59847222222</v>
      </c>
      <c r="B156" s="20" t="s">
        <v>371</v>
      </c>
      <c r="C156" s="20" t="s">
        <v>741</v>
      </c>
      <c r="D156" s="141">
        <v>920000</v>
      </c>
      <c r="E156" s="20" t="s">
        <v>425</v>
      </c>
      <c r="F156" s="20" t="s">
        <v>194</v>
      </c>
      <c r="G156" s="8" t="str">
        <f t="shared" si="2"/>
        <v>DAVIS MICHAEL</v>
      </c>
    </row>
    <row r="157" spans="1:7" x14ac:dyDescent="0.25">
      <c r="A157" s="8">
        <v>42896.599351851852</v>
      </c>
      <c r="B157" s="20" t="s">
        <v>460</v>
      </c>
      <c r="C157" s="20" t="s">
        <v>750</v>
      </c>
      <c r="D157" s="141">
        <v>2420000</v>
      </c>
      <c r="E157" s="20" t="s">
        <v>510</v>
      </c>
      <c r="F157" s="20" t="s">
        <v>511</v>
      </c>
      <c r="G157" s="8" t="str">
        <f t="shared" si="2"/>
        <v>HOLCOMB KAMDEN</v>
      </c>
    </row>
    <row r="158" spans="1:7" x14ac:dyDescent="0.25">
      <c r="A158" s="8">
        <v>42896.599398148152</v>
      </c>
      <c r="B158" s="20" t="s">
        <v>540</v>
      </c>
      <c r="C158" s="20" t="s">
        <v>751</v>
      </c>
      <c r="D158" s="141">
        <v>1830000</v>
      </c>
      <c r="E158" s="20" t="s">
        <v>543</v>
      </c>
      <c r="F158" s="20" t="s">
        <v>544</v>
      </c>
      <c r="G158" s="8" t="str">
        <f t="shared" si="2"/>
        <v>YORK EDGAR</v>
      </c>
    </row>
    <row r="159" spans="1:7" x14ac:dyDescent="0.25">
      <c r="A159" s="8">
        <v>42896.609155092592</v>
      </c>
      <c r="B159" s="20" t="s">
        <v>539</v>
      </c>
      <c r="C159" s="20" t="s">
        <v>592</v>
      </c>
      <c r="D159" s="141">
        <v>2470000</v>
      </c>
      <c r="E159" s="20" t="s">
        <v>743</v>
      </c>
      <c r="F159" s="20" t="s">
        <v>744</v>
      </c>
      <c r="G159" s="8" t="str">
        <f t="shared" si="2"/>
        <v>ROMERO CHAD</v>
      </c>
    </row>
    <row r="160" spans="1:7" x14ac:dyDescent="0.25">
      <c r="A160" s="8">
        <v>42896.614236111112</v>
      </c>
      <c r="B160" s="20" t="s">
        <v>343</v>
      </c>
      <c r="C160" s="20" t="s">
        <v>593</v>
      </c>
      <c r="D160" s="141">
        <v>920000</v>
      </c>
      <c r="E160" s="20" t="s">
        <v>425</v>
      </c>
      <c r="F160" s="20" t="s">
        <v>194</v>
      </c>
      <c r="G160" s="8" t="str">
        <f t="shared" si="2"/>
        <v>DAVIS MICHAEL</v>
      </c>
    </row>
    <row r="161" spans="1:7" x14ac:dyDescent="0.25">
      <c r="A161" s="8">
        <v>42896.62059027778</v>
      </c>
      <c r="B161" s="20" t="s">
        <v>433</v>
      </c>
      <c r="C161" s="20" t="s">
        <v>594</v>
      </c>
      <c r="D161" s="141">
        <v>2440000</v>
      </c>
      <c r="E161" s="20" t="s">
        <v>724</v>
      </c>
      <c r="F161" s="20" t="s">
        <v>725</v>
      </c>
      <c r="G161" s="8" t="str">
        <f t="shared" si="2"/>
        <v>LOPES KIMBERLY</v>
      </c>
    </row>
    <row r="162" spans="1:7" x14ac:dyDescent="0.25">
      <c r="A162" s="8">
        <v>42896.623784722222</v>
      </c>
      <c r="B162" s="20" t="s">
        <v>341</v>
      </c>
      <c r="C162" s="20" t="s">
        <v>595</v>
      </c>
      <c r="D162" s="141">
        <v>2360000</v>
      </c>
      <c r="E162" s="20" t="s">
        <v>713</v>
      </c>
      <c r="F162" s="20" t="s">
        <v>714</v>
      </c>
      <c r="G162" s="8" t="str">
        <f t="shared" si="2"/>
        <v>BRANDNER MELINDA</v>
      </c>
    </row>
    <row r="163" spans="1:7" x14ac:dyDescent="0.25">
      <c r="A163" s="8">
        <v>42896.625486111108</v>
      </c>
      <c r="B163" s="20" t="s">
        <v>406</v>
      </c>
      <c r="C163" s="20" t="s">
        <v>752</v>
      </c>
      <c r="D163" s="141">
        <v>1810000</v>
      </c>
      <c r="E163" s="20" t="s">
        <v>373</v>
      </c>
      <c r="F163" s="20" t="s">
        <v>191</v>
      </c>
      <c r="G163" s="8" t="str">
        <f t="shared" si="2"/>
        <v>NEWELL JAMES</v>
      </c>
    </row>
    <row r="164" spans="1:7" x14ac:dyDescent="0.25">
      <c r="A164" s="8">
        <v>42896.629803240743</v>
      </c>
      <c r="B164" s="20" t="s">
        <v>343</v>
      </c>
      <c r="C164" s="20" t="s">
        <v>593</v>
      </c>
      <c r="D164" s="141">
        <v>920000</v>
      </c>
      <c r="E164" s="20" t="s">
        <v>425</v>
      </c>
      <c r="F164" s="20" t="s">
        <v>194</v>
      </c>
      <c r="G164" s="8" t="str">
        <f t="shared" si="2"/>
        <v>DAVIS MICHAEL</v>
      </c>
    </row>
    <row r="165" spans="1:7" x14ac:dyDescent="0.25">
      <c r="A165" s="8">
        <v>42896.63040509259</v>
      </c>
      <c r="B165" s="20" t="s">
        <v>490</v>
      </c>
      <c r="C165" s="20" t="s">
        <v>753</v>
      </c>
      <c r="D165" s="141">
        <v>880000</v>
      </c>
      <c r="E165" s="20" t="s">
        <v>494</v>
      </c>
      <c r="F165" s="20" t="s">
        <v>194</v>
      </c>
      <c r="G165" s="8" t="str">
        <f t="shared" si="2"/>
        <v>STEWART MICHAEL</v>
      </c>
    </row>
    <row r="166" spans="1:7" x14ac:dyDescent="0.25">
      <c r="A166" s="8">
        <v>42896.631782407407</v>
      </c>
      <c r="B166" s="20" t="s">
        <v>507</v>
      </c>
      <c r="C166" s="20" t="s">
        <v>754</v>
      </c>
      <c r="D166" s="141">
        <v>2270000</v>
      </c>
      <c r="E166" s="20" t="s">
        <v>736</v>
      </c>
      <c r="F166" s="20" t="s">
        <v>737</v>
      </c>
      <c r="G166" s="8" t="str">
        <f t="shared" si="2"/>
        <v>BROWN JACOB</v>
      </c>
    </row>
    <row r="167" spans="1:7" x14ac:dyDescent="0.25">
      <c r="A167" s="8">
        <v>42896.640601851854</v>
      </c>
      <c r="B167" s="20" t="s">
        <v>459</v>
      </c>
      <c r="C167" s="20" t="s">
        <v>596</v>
      </c>
      <c r="D167" s="141">
        <v>2420000</v>
      </c>
      <c r="E167" s="20" t="s">
        <v>510</v>
      </c>
      <c r="F167" s="20" t="s">
        <v>511</v>
      </c>
      <c r="G167" s="8" t="str">
        <f t="shared" si="2"/>
        <v>HOLCOMB KAMDEN</v>
      </c>
    </row>
    <row r="168" spans="1:7" x14ac:dyDescent="0.25">
      <c r="A168" s="8">
        <v>42896.641782407409</v>
      </c>
      <c r="B168" s="20" t="s">
        <v>493</v>
      </c>
      <c r="C168" s="20" t="s">
        <v>755</v>
      </c>
      <c r="D168" s="141">
        <v>1830000</v>
      </c>
      <c r="E168" s="20" t="s">
        <v>543</v>
      </c>
      <c r="F168" s="20" t="s">
        <v>544</v>
      </c>
      <c r="G168" s="8" t="str">
        <f t="shared" si="2"/>
        <v>YORK EDGAR</v>
      </c>
    </row>
    <row r="169" spans="1:7" x14ac:dyDescent="0.25">
      <c r="A169" s="8">
        <v>42896.65016203704</v>
      </c>
      <c r="B169" s="20" t="s">
        <v>539</v>
      </c>
      <c r="C169" s="20" t="s">
        <v>756</v>
      </c>
      <c r="D169" s="141">
        <v>1810000</v>
      </c>
      <c r="E169" s="20" t="s">
        <v>373</v>
      </c>
      <c r="F169" s="20" t="s">
        <v>191</v>
      </c>
      <c r="G169" s="8" t="str">
        <f t="shared" si="2"/>
        <v>NEWELL JAMES</v>
      </c>
    </row>
    <row r="170" spans="1:7" x14ac:dyDescent="0.25">
      <c r="A170" s="8">
        <v>42896.652928240743</v>
      </c>
      <c r="B170" s="20" t="s">
        <v>437</v>
      </c>
      <c r="C170" s="20" t="s">
        <v>757</v>
      </c>
      <c r="D170" s="141">
        <v>2440000</v>
      </c>
      <c r="E170" s="20" t="s">
        <v>724</v>
      </c>
      <c r="F170" s="20" t="s">
        <v>725</v>
      </c>
      <c r="G170" s="8" t="str">
        <f t="shared" si="2"/>
        <v>LOPES KIMBERLY</v>
      </c>
    </row>
    <row r="171" spans="1:7" x14ac:dyDescent="0.25">
      <c r="A171" s="8">
        <v>42896.653738425928</v>
      </c>
      <c r="B171" s="20" t="s">
        <v>371</v>
      </c>
      <c r="C171" s="20" t="s">
        <v>758</v>
      </c>
      <c r="D171" s="141">
        <v>920000</v>
      </c>
      <c r="E171" s="20" t="s">
        <v>425</v>
      </c>
      <c r="F171" s="20" t="s">
        <v>194</v>
      </c>
      <c r="G171" s="8" t="str">
        <f t="shared" si="2"/>
        <v>DAVIS MICHAEL</v>
      </c>
    </row>
    <row r="172" spans="1:7" x14ac:dyDescent="0.25">
      <c r="A172" s="8">
        <v>42896.6640162037</v>
      </c>
      <c r="B172" s="20" t="s">
        <v>491</v>
      </c>
      <c r="C172" s="20" t="s">
        <v>597</v>
      </c>
      <c r="D172" s="141">
        <v>880000</v>
      </c>
      <c r="E172" s="20" t="s">
        <v>494</v>
      </c>
      <c r="F172" s="20" t="s">
        <v>194</v>
      </c>
      <c r="G172" s="8" t="str">
        <f t="shared" si="2"/>
        <v>STEWART MICHAEL</v>
      </c>
    </row>
    <row r="173" spans="1:7" x14ac:dyDescent="0.25">
      <c r="A173" s="8">
        <v>42896.664594907408</v>
      </c>
      <c r="B173" s="20" t="s">
        <v>342</v>
      </c>
      <c r="C173" s="20" t="s">
        <v>598</v>
      </c>
      <c r="D173" s="141">
        <v>2360000</v>
      </c>
      <c r="E173" s="20" t="s">
        <v>713</v>
      </c>
      <c r="F173" s="20" t="s">
        <v>714</v>
      </c>
      <c r="G173" s="8" t="str">
        <f t="shared" si="2"/>
        <v>BRANDNER MELINDA</v>
      </c>
    </row>
    <row r="174" spans="1:7" x14ac:dyDescent="0.25">
      <c r="A174" s="8">
        <v>42896.665173611109</v>
      </c>
      <c r="B174" s="20" t="s">
        <v>503</v>
      </c>
      <c r="C174" s="20" t="s">
        <v>599</v>
      </c>
      <c r="D174" s="141">
        <v>2270000</v>
      </c>
      <c r="E174" s="20" t="s">
        <v>736</v>
      </c>
      <c r="F174" s="20" t="s">
        <v>737</v>
      </c>
      <c r="G174" s="8" t="str">
        <f t="shared" si="2"/>
        <v>BROWN JACOB</v>
      </c>
    </row>
    <row r="175" spans="1:7" x14ac:dyDescent="0.25">
      <c r="A175" s="8">
        <v>42896.669432870367</v>
      </c>
      <c r="B175" s="20" t="s">
        <v>406</v>
      </c>
      <c r="C175" s="20" t="s">
        <v>759</v>
      </c>
      <c r="D175" s="141">
        <v>2470000</v>
      </c>
      <c r="E175" s="20" t="s">
        <v>743</v>
      </c>
      <c r="F175" s="20" t="s">
        <v>744</v>
      </c>
      <c r="G175" s="8" t="str">
        <f t="shared" si="2"/>
        <v>ROMERO CHAD</v>
      </c>
    </row>
    <row r="176" spans="1:7" x14ac:dyDescent="0.25">
      <c r="A176" s="8">
        <v>42896.672280092593</v>
      </c>
      <c r="B176" s="20" t="s">
        <v>540</v>
      </c>
      <c r="C176" s="20" t="s">
        <v>760</v>
      </c>
      <c r="D176" s="141">
        <v>1830000</v>
      </c>
      <c r="E176" s="20" t="s">
        <v>543</v>
      </c>
      <c r="F176" s="20" t="s">
        <v>544</v>
      </c>
      <c r="G176" s="8" t="str">
        <f t="shared" si="2"/>
        <v>YORK EDGAR</v>
      </c>
    </row>
    <row r="177" spans="1:7" x14ac:dyDescent="0.25">
      <c r="A177" s="8">
        <v>42896.673888888887</v>
      </c>
      <c r="B177" s="20" t="s">
        <v>460</v>
      </c>
      <c r="C177" s="20" t="s">
        <v>761</v>
      </c>
      <c r="D177" s="141">
        <v>2420000</v>
      </c>
      <c r="E177" s="20" t="s">
        <v>510</v>
      </c>
      <c r="F177" s="20" t="s">
        <v>511</v>
      </c>
      <c r="G177" s="8" t="str">
        <f t="shared" si="2"/>
        <v>HOLCOMB KAMDEN</v>
      </c>
    </row>
    <row r="178" spans="1:7" x14ac:dyDescent="0.25">
      <c r="A178" s="8">
        <v>42896.683472222219</v>
      </c>
      <c r="B178" s="20" t="s">
        <v>630</v>
      </c>
      <c r="C178" s="20" t="s">
        <v>661</v>
      </c>
      <c r="D178" s="141">
        <v>2450000</v>
      </c>
      <c r="E178" s="20" t="s">
        <v>747</v>
      </c>
      <c r="F178" s="20" t="s">
        <v>748</v>
      </c>
      <c r="G178" s="8" t="str">
        <f t="shared" si="2"/>
        <v>NELSON ARIANE</v>
      </c>
    </row>
    <row r="179" spans="1:7" x14ac:dyDescent="0.25">
      <c r="A179" s="8">
        <v>42896.684108796297</v>
      </c>
      <c r="B179" s="20" t="s">
        <v>630</v>
      </c>
      <c r="C179" s="20" t="s">
        <v>661</v>
      </c>
      <c r="D179" s="141">
        <v>2450000</v>
      </c>
      <c r="E179" s="20" t="s">
        <v>747</v>
      </c>
      <c r="F179" s="20" t="s">
        <v>748</v>
      </c>
      <c r="G179" s="8" t="str">
        <f t="shared" si="2"/>
        <v>NELSON ARIANE</v>
      </c>
    </row>
    <row r="180" spans="1:7" x14ac:dyDescent="0.25">
      <c r="A180" s="8">
        <v>42896.685613425929</v>
      </c>
      <c r="B180" s="20" t="s">
        <v>630</v>
      </c>
      <c r="C180" s="20" t="s">
        <v>661</v>
      </c>
      <c r="D180" s="141">
        <v>2450000</v>
      </c>
      <c r="E180" s="20" t="s">
        <v>747</v>
      </c>
      <c r="F180" s="20" t="s">
        <v>748</v>
      </c>
      <c r="G180" s="8" t="str">
        <f t="shared" si="2"/>
        <v>NELSON ARIANE</v>
      </c>
    </row>
    <row r="181" spans="1:7" x14ac:dyDescent="0.25">
      <c r="A181" s="8">
        <v>42896.685902777775</v>
      </c>
      <c r="B181" s="20" t="s">
        <v>343</v>
      </c>
      <c r="C181" s="20" t="s">
        <v>762</v>
      </c>
      <c r="D181" s="141">
        <v>920000</v>
      </c>
      <c r="E181" s="20" t="s">
        <v>425</v>
      </c>
      <c r="F181" s="20" t="s">
        <v>194</v>
      </c>
      <c r="G181" s="8" t="str">
        <f t="shared" si="2"/>
        <v>DAVIS MICHAEL</v>
      </c>
    </row>
    <row r="182" spans="1:7" x14ac:dyDescent="0.25">
      <c r="A182" s="8">
        <v>42896.687222222223</v>
      </c>
      <c r="B182" s="20" t="s">
        <v>342</v>
      </c>
      <c r="C182" s="20" t="s">
        <v>598</v>
      </c>
      <c r="D182" s="141">
        <v>2360000</v>
      </c>
      <c r="E182" s="20" t="s">
        <v>713</v>
      </c>
      <c r="F182" s="20" t="s">
        <v>714</v>
      </c>
      <c r="G182" s="8" t="str">
        <f t="shared" si="2"/>
        <v>BRANDNER MELINDA</v>
      </c>
    </row>
    <row r="183" spans="1:7" x14ac:dyDescent="0.25">
      <c r="A183" s="8">
        <v>42896.691851851851</v>
      </c>
      <c r="B183" s="20" t="s">
        <v>539</v>
      </c>
      <c r="C183" s="20" t="s">
        <v>763</v>
      </c>
      <c r="D183" s="141">
        <v>2470000</v>
      </c>
      <c r="E183" s="20" t="s">
        <v>743</v>
      </c>
      <c r="F183" s="20" t="s">
        <v>744</v>
      </c>
      <c r="G183" s="8" t="str">
        <f t="shared" si="2"/>
        <v>ROMERO CHAD</v>
      </c>
    </row>
    <row r="184" spans="1:7" x14ac:dyDescent="0.25">
      <c r="A184" s="8">
        <v>42896.692210648151</v>
      </c>
      <c r="B184" s="20" t="s">
        <v>433</v>
      </c>
      <c r="C184" s="20" t="s">
        <v>600</v>
      </c>
      <c r="D184" s="141">
        <v>2440000</v>
      </c>
      <c r="E184" s="20" t="s">
        <v>724</v>
      </c>
      <c r="F184" s="20" t="s">
        <v>725</v>
      </c>
      <c r="G184" s="8" t="str">
        <f t="shared" si="2"/>
        <v>LOPES KIMBERLY</v>
      </c>
    </row>
    <row r="185" spans="1:7" x14ac:dyDescent="0.25">
      <c r="A185" s="8">
        <v>42896.698298611111</v>
      </c>
      <c r="B185" s="20" t="s">
        <v>341</v>
      </c>
      <c r="C185" s="20" t="s">
        <v>598</v>
      </c>
      <c r="D185" s="141">
        <v>2360000</v>
      </c>
      <c r="E185" s="20" t="s">
        <v>713</v>
      </c>
      <c r="F185" s="20" t="s">
        <v>714</v>
      </c>
      <c r="G185" s="8" t="str">
        <f t="shared" si="2"/>
        <v>BRANDNER MELINDA</v>
      </c>
    </row>
    <row r="186" spans="1:7" x14ac:dyDescent="0.25">
      <c r="A186" s="8">
        <v>42896.698831018519</v>
      </c>
      <c r="B186" s="20" t="s">
        <v>341</v>
      </c>
      <c r="C186" s="20" t="s">
        <v>601</v>
      </c>
      <c r="D186" s="141">
        <v>2360000</v>
      </c>
      <c r="E186" s="20" t="s">
        <v>713</v>
      </c>
      <c r="F186" s="20" t="s">
        <v>714</v>
      </c>
      <c r="G186" s="8" t="str">
        <f t="shared" si="2"/>
        <v>BRANDNER MELINDA</v>
      </c>
    </row>
    <row r="187" spans="1:7" x14ac:dyDescent="0.25">
      <c r="A187" s="8">
        <v>42896.704351851855</v>
      </c>
      <c r="B187" s="20" t="s">
        <v>490</v>
      </c>
      <c r="C187" s="20" t="s">
        <v>764</v>
      </c>
      <c r="D187" s="141">
        <v>880000</v>
      </c>
      <c r="E187" s="20" t="s">
        <v>494</v>
      </c>
      <c r="F187" s="20" t="s">
        <v>194</v>
      </c>
      <c r="G187" s="8" t="str">
        <f t="shared" si="2"/>
        <v>STEWART MICHAEL</v>
      </c>
    </row>
    <row r="188" spans="1:7" x14ac:dyDescent="0.25">
      <c r="A188" s="8">
        <v>42896.706296296295</v>
      </c>
      <c r="B188" s="20" t="s">
        <v>406</v>
      </c>
      <c r="C188" s="20" t="s">
        <v>765</v>
      </c>
      <c r="D188" s="141">
        <v>2470000</v>
      </c>
      <c r="E188" s="20" t="s">
        <v>743</v>
      </c>
      <c r="F188" s="20" t="s">
        <v>744</v>
      </c>
      <c r="G188" s="8" t="str">
        <f t="shared" si="2"/>
        <v>ROMERO CHAD</v>
      </c>
    </row>
    <row r="189" spans="1:7" x14ac:dyDescent="0.25">
      <c r="A189" s="8">
        <v>42896.707037037035</v>
      </c>
      <c r="B189" s="20" t="s">
        <v>507</v>
      </c>
      <c r="C189" s="20" t="s">
        <v>766</v>
      </c>
      <c r="D189" s="141">
        <v>1770000</v>
      </c>
      <c r="E189" s="20" t="s">
        <v>719</v>
      </c>
      <c r="F189" s="20" t="s">
        <v>720</v>
      </c>
      <c r="G189" s="8" t="str">
        <f t="shared" si="2"/>
        <v>BRUDER RICHARD</v>
      </c>
    </row>
    <row r="190" spans="1:7" x14ac:dyDescent="0.25">
      <c r="A190" s="8">
        <v>42896.713055555556</v>
      </c>
      <c r="B190" s="20" t="s">
        <v>493</v>
      </c>
      <c r="C190" s="20" t="s">
        <v>760</v>
      </c>
      <c r="D190" s="141">
        <v>1830000</v>
      </c>
      <c r="E190" s="20" t="s">
        <v>543</v>
      </c>
      <c r="F190" s="20" t="s">
        <v>544</v>
      </c>
      <c r="G190" s="8" t="str">
        <f t="shared" si="2"/>
        <v>YORK EDGAR</v>
      </c>
    </row>
    <row r="191" spans="1:7" x14ac:dyDescent="0.25">
      <c r="A191" s="8">
        <v>42896.714050925926</v>
      </c>
      <c r="B191" s="20" t="s">
        <v>493</v>
      </c>
      <c r="C191" s="20" t="s">
        <v>760</v>
      </c>
      <c r="D191" s="141">
        <v>1830000</v>
      </c>
      <c r="E191" s="20" t="s">
        <v>543</v>
      </c>
      <c r="F191" s="20" t="s">
        <v>544</v>
      </c>
      <c r="G191" s="8" t="str">
        <f t="shared" si="2"/>
        <v>YORK EDGAR</v>
      </c>
    </row>
    <row r="192" spans="1:7" x14ac:dyDescent="0.25">
      <c r="A192" s="8">
        <v>42896.714131944442</v>
      </c>
      <c r="B192" s="20" t="s">
        <v>459</v>
      </c>
      <c r="C192" s="20" t="s">
        <v>767</v>
      </c>
      <c r="D192" s="141">
        <v>2420000</v>
      </c>
      <c r="E192" s="20" t="s">
        <v>510</v>
      </c>
      <c r="F192" s="20" t="s">
        <v>511</v>
      </c>
      <c r="G192" s="8" t="str">
        <f t="shared" si="2"/>
        <v>HOLCOMB KAMDEN</v>
      </c>
    </row>
    <row r="193" spans="1:7" x14ac:dyDescent="0.25">
      <c r="A193" s="8">
        <v>42896.714756944442</v>
      </c>
      <c r="B193" s="20" t="s">
        <v>493</v>
      </c>
      <c r="C193" s="20" t="s">
        <v>602</v>
      </c>
      <c r="D193" s="141">
        <v>1830000</v>
      </c>
      <c r="E193" s="20" t="s">
        <v>543</v>
      </c>
      <c r="F193" s="20" t="s">
        <v>544</v>
      </c>
      <c r="G193" s="8" t="str">
        <f t="shared" si="2"/>
        <v>YORK EDGAR</v>
      </c>
    </row>
    <row r="194" spans="1:7" x14ac:dyDescent="0.25">
      <c r="A194" s="8">
        <v>42896.725335648145</v>
      </c>
      <c r="B194" s="20" t="s">
        <v>437</v>
      </c>
      <c r="C194" s="20" t="s">
        <v>768</v>
      </c>
      <c r="D194" s="141">
        <v>2440000</v>
      </c>
      <c r="E194" s="20" t="s">
        <v>724</v>
      </c>
      <c r="F194" s="20" t="s">
        <v>725</v>
      </c>
      <c r="G194" s="8" t="str">
        <f t="shared" si="2"/>
        <v>LOPES KIMBERLY</v>
      </c>
    </row>
    <row r="195" spans="1:7" x14ac:dyDescent="0.25">
      <c r="A195" s="8">
        <v>42896.726909722223</v>
      </c>
      <c r="B195" s="20" t="s">
        <v>371</v>
      </c>
      <c r="C195" s="20" t="s">
        <v>769</v>
      </c>
      <c r="D195" s="141">
        <v>920000</v>
      </c>
      <c r="E195" s="20" t="s">
        <v>425</v>
      </c>
      <c r="F195" s="20" t="s">
        <v>194</v>
      </c>
      <c r="G195" s="8" t="str">
        <f t="shared" ref="G195:G258" si="3">E195&amp;" "&amp;F195</f>
        <v>DAVIS MICHAEL</v>
      </c>
    </row>
    <row r="196" spans="1:7" x14ac:dyDescent="0.25">
      <c r="A196" s="8">
        <v>42896.733506944445</v>
      </c>
      <c r="B196" s="20" t="s">
        <v>539</v>
      </c>
      <c r="C196" s="20" t="s">
        <v>770</v>
      </c>
      <c r="D196" s="141">
        <v>2470000</v>
      </c>
      <c r="E196" s="20" t="s">
        <v>743</v>
      </c>
      <c r="F196" s="20" t="s">
        <v>744</v>
      </c>
      <c r="G196" s="8" t="str">
        <f t="shared" si="3"/>
        <v>ROMERO CHAD</v>
      </c>
    </row>
    <row r="197" spans="1:7" x14ac:dyDescent="0.25">
      <c r="A197" s="8">
        <v>42896.733622685184</v>
      </c>
      <c r="B197" s="20" t="s">
        <v>342</v>
      </c>
      <c r="C197" s="20" t="s">
        <v>771</v>
      </c>
      <c r="D197" s="141">
        <v>2360000</v>
      </c>
      <c r="E197" s="20" t="s">
        <v>713</v>
      </c>
      <c r="F197" s="20" t="s">
        <v>714</v>
      </c>
      <c r="G197" s="8" t="str">
        <f t="shared" si="3"/>
        <v>BRANDNER MELINDA</v>
      </c>
    </row>
    <row r="198" spans="1:7" x14ac:dyDescent="0.25">
      <c r="A198" s="8">
        <v>42896.737685185188</v>
      </c>
      <c r="B198" s="20" t="s">
        <v>491</v>
      </c>
      <c r="C198" s="20" t="s">
        <v>772</v>
      </c>
      <c r="D198" s="141">
        <v>2630000</v>
      </c>
      <c r="E198" s="20" t="s">
        <v>461</v>
      </c>
      <c r="F198" s="20" t="s">
        <v>462</v>
      </c>
      <c r="G198" s="8" t="str">
        <f t="shared" si="3"/>
        <v>SAFIEF AEIMEN</v>
      </c>
    </row>
    <row r="199" spans="1:7" x14ac:dyDescent="0.25">
      <c r="A199" s="8">
        <v>42896.744537037041</v>
      </c>
      <c r="B199" s="20" t="s">
        <v>503</v>
      </c>
      <c r="C199" s="20" t="s">
        <v>773</v>
      </c>
      <c r="D199" s="141">
        <v>1770000</v>
      </c>
      <c r="E199" s="20" t="s">
        <v>719</v>
      </c>
      <c r="F199" s="20" t="s">
        <v>720</v>
      </c>
      <c r="G199" s="8" t="str">
        <f t="shared" si="3"/>
        <v>BRUDER RICHARD</v>
      </c>
    </row>
    <row r="200" spans="1:7" x14ac:dyDescent="0.25">
      <c r="A200" s="8">
        <v>42896.744884259257</v>
      </c>
      <c r="B200" s="20" t="s">
        <v>540</v>
      </c>
      <c r="C200" s="20" t="s">
        <v>774</v>
      </c>
      <c r="D200" s="141">
        <v>1830000</v>
      </c>
      <c r="E200" s="20" t="s">
        <v>543</v>
      </c>
      <c r="F200" s="20" t="s">
        <v>544</v>
      </c>
      <c r="G200" s="8" t="str">
        <f t="shared" si="3"/>
        <v>YORK EDGAR</v>
      </c>
    </row>
    <row r="201" spans="1:7" x14ac:dyDescent="0.25">
      <c r="A201" s="8">
        <v>42896.747777777775</v>
      </c>
      <c r="B201" s="20" t="s">
        <v>460</v>
      </c>
      <c r="C201" s="20" t="s">
        <v>775</v>
      </c>
      <c r="D201" s="141">
        <v>2420000</v>
      </c>
      <c r="E201" s="20" t="s">
        <v>510</v>
      </c>
      <c r="F201" s="20" t="s">
        <v>511</v>
      </c>
      <c r="G201" s="8" t="str">
        <f t="shared" si="3"/>
        <v>HOLCOMB KAMDEN</v>
      </c>
    </row>
    <row r="202" spans="1:7" x14ac:dyDescent="0.25">
      <c r="A202" s="26">
        <v>42896.749988425923</v>
      </c>
      <c r="B202" s="20" t="s">
        <v>406</v>
      </c>
      <c r="C202" s="20" t="s">
        <v>776</v>
      </c>
      <c r="D202" s="141">
        <v>3010000</v>
      </c>
      <c r="E202" s="20" t="s">
        <v>399</v>
      </c>
      <c r="F202" s="20" t="s">
        <v>400</v>
      </c>
      <c r="G202" s="8" t="str">
        <f t="shared" si="3"/>
        <v>SULLIVAN BRANDON</v>
      </c>
    </row>
    <row r="203" spans="1:7" x14ac:dyDescent="0.25">
      <c r="A203" s="8">
        <v>42896.758877314816</v>
      </c>
      <c r="B203" s="20" t="s">
        <v>343</v>
      </c>
      <c r="C203" s="20" t="s">
        <v>777</v>
      </c>
      <c r="D203" s="141">
        <v>2610000</v>
      </c>
      <c r="E203" s="20" t="s">
        <v>428</v>
      </c>
      <c r="F203" s="20" t="s">
        <v>429</v>
      </c>
      <c r="G203" s="8" t="str">
        <f t="shared" si="3"/>
        <v>MAGEE KENYA</v>
      </c>
    </row>
    <row r="204" spans="1:7" x14ac:dyDescent="0.25">
      <c r="A204" s="8">
        <v>42896.766909722224</v>
      </c>
      <c r="B204" s="20" t="s">
        <v>433</v>
      </c>
      <c r="C204" s="20" t="s">
        <v>603</v>
      </c>
      <c r="D204" s="141">
        <v>2440000</v>
      </c>
      <c r="E204" s="20" t="s">
        <v>724</v>
      </c>
      <c r="F204" s="20" t="s">
        <v>725</v>
      </c>
      <c r="G204" s="8" t="str">
        <f t="shared" si="3"/>
        <v>LOPES KIMBERLY</v>
      </c>
    </row>
    <row r="205" spans="1:7" x14ac:dyDescent="0.25">
      <c r="A205" s="8">
        <v>42896.767974537041</v>
      </c>
      <c r="B205" s="20" t="s">
        <v>341</v>
      </c>
      <c r="C205" s="20" t="s">
        <v>778</v>
      </c>
      <c r="D205" s="141">
        <v>3000000</v>
      </c>
      <c r="E205" s="20" t="s">
        <v>438</v>
      </c>
      <c r="F205" s="20" t="s">
        <v>439</v>
      </c>
      <c r="G205" s="8" t="str">
        <f t="shared" si="3"/>
        <v>FORTUNATO FRANK</v>
      </c>
    </row>
    <row r="206" spans="1:7" x14ac:dyDescent="0.25">
      <c r="A206" s="8">
        <v>42896.770138888889</v>
      </c>
      <c r="B206" s="20" t="s">
        <v>490</v>
      </c>
      <c r="C206" s="20" t="s">
        <v>779</v>
      </c>
      <c r="D206" s="141">
        <v>2630000</v>
      </c>
      <c r="E206" s="20" t="s">
        <v>461</v>
      </c>
      <c r="F206" s="20" t="s">
        <v>462</v>
      </c>
      <c r="G206" s="8" t="str">
        <f t="shared" si="3"/>
        <v>SAFIEF AEIMEN</v>
      </c>
    </row>
    <row r="207" spans="1:7" x14ac:dyDescent="0.25">
      <c r="A207" s="8">
        <v>42896.77579861111</v>
      </c>
      <c r="B207" s="20" t="s">
        <v>539</v>
      </c>
      <c r="C207" s="20" t="s">
        <v>780</v>
      </c>
      <c r="D207" s="141">
        <v>3010000</v>
      </c>
      <c r="E207" s="20" t="s">
        <v>399</v>
      </c>
      <c r="F207" s="20" t="s">
        <v>400</v>
      </c>
      <c r="G207" s="8" t="str">
        <f t="shared" si="3"/>
        <v>SULLIVAN BRANDON</v>
      </c>
    </row>
    <row r="208" spans="1:7" x14ac:dyDescent="0.25">
      <c r="A208" s="8">
        <v>42896.777013888888</v>
      </c>
      <c r="B208" s="20" t="s">
        <v>507</v>
      </c>
      <c r="C208" s="20" t="s">
        <v>781</v>
      </c>
      <c r="D208" s="141">
        <v>1770000</v>
      </c>
      <c r="E208" s="20" t="s">
        <v>719</v>
      </c>
      <c r="F208" s="20" t="s">
        <v>720</v>
      </c>
      <c r="G208" s="8" t="str">
        <f t="shared" si="3"/>
        <v>BRUDER RICHARD</v>
      </c>
    </row>
    <row r="209" spans="1:7" x14ac:dyDescent="0.25">
      <c r="A209" s="8">
        <v>42896.785925925928</v>
      </c>
      <c r="B209" s="20" t="s">
        <v>459</v>
      </c>
      <c r="C209" s="20" t="s">
        <v>782</v>
      </c>
      <c r="D209" s="141">
        <v>2420000</v>
      </c>
      <c r="E209" s="20" t="s">
        <v>510</v>
      </c>
      <c r="F209" s="20" t="s">
        <v>511</v>
      </c>
      <c r="G209" s="8" t="str">
        <f t="shared" si="3"/>
        <v>HOLCOMB KAMDEN</v>
      </c>
    </row>
    <row r="210" spans="1:7" x14ac:dyDescent="0.25">
      <c r="A210" s="8">
        <v>42896.788217592592</v>
      </c>
      <c r="B210" s="20" t="s">
        <v>493</v>
      </c>
      <c r="C210" s="20" t="s">
        <v>783</v>
      </c>
      <c r="D210" s="141">
        <v>3090000</v>
      </c>
      <c r="E210" s="20" t="s">
        <v>381</v>
      </c>
      <c r="F210" s="20" t="s">
        <v>382</v>
      </c>
      <c r="G210" s="8" t="str">
        <f t="shared" si="3"/>
        <v>LAMAR NEKESHA</v>
      </c>
    </row>
    <row r="211" spans="1:7" x14ac:dyDescent="0.25">
      <c r="A211" s="8">
        <v>42896.796134259261</v>
      </c>
      <c r="B211" s="20" t="s">
        <v>406</v>
      </c>
      <c r="C211" s="20" t="s">
        <v>784</v>
      </c>
      <c r="D211" s="141">
        <v>3010000</v>
      </c>
      <c r="E211" s="20" t="s">
        <v>399</v>
      </c>
      <c r="F211" s="20" t="s">
        <v>400</v>
      </c>
      <c r="G211" s="8" t="str">
        <f t="shared" si="3"/>
        <v>SULLIVAN BRANDON</v>
      </c>
    </row>
    <row r="212" spans="1:7" x14ac:dyDescent="0.25">
      <c r="A212" s="8">
        <v>42896.798946759256</v>
      </c>
      <c r="B212" s="20" t="s">
        <v>371</v>
      </c>
      <c r="C212" s="20" t="s">
        <v>785</v>
      </c>
      <c r="D212" s="141">
        <v>2610000</v>
      </c>
      <c r="E212" s="20" t="s">
        <v>428</v>
      </c>
      <c r="F212" s="20" t="s">
        <v>429</v>
      </c>
      <c r="G212" s="8" t="str">
        <f t="shared" si="3"/>
        <v>MAGEE KENYA</v>
      </c>
    </row>
    <row r="213" spans="1:7" x14ac:dyDescent="0.25">
      <c r="A213" s="8">
        <v>42896.801099537035</v>
      </c>
      <c r="B213" s="20" t="s">
        <v>437</v>
      </c>
      <c r="C213" s="20" t="s">
        <v>786</v>
      </c>
      <c r="D213" s="141">
        <v>2440000</v>
      </c>
      <c r="E213" s="20" t="s">
        <v>724</v>
      </c>
      <c r="F213" s="20" t="s">
        <v>725</v>
      </c>
      <c r="G213" s="8" t="str">
        <f t="shared" si="3"/>
        <v>LOPES KIMBERLY</v>
      </c>
    </row>
    <row r="214" spans="1:7" x14ac:dyDescent="0.25">
      <c r="A214" s="8">
        <v>42896.802789351852</v>
      </c>
      <c r="B214" s="20" t="s">
        <v>342</v>
      </c>
      <c r="C214" s="20" t="s">
        <v>787</v>
      </c>
      <c r="D214" s="141">
        <v>3000000</v>
      </c>
      <c r="E214" s="20" t="s">
        <v>438</v>
      </c>
      <c r="F214" s="20" t="s">
        <v>439</v>
      </c>
      <c r="G214" s="8" t="str">
        <f t="shared" si="3"/>
        <v>FORTUNATO FRANK</v>
      </c>
    </row>
    <row r="215" spans="1:7" x14ac:dyDescent="0.25">
      <c r="A215" s="8">
        <v>42896.811030092591</v>
      </c>
      <c r="B215" s="20" t="s">
        <v>491</v>
      </c>
      <c r="C215" s="20" t="s">
        <v>788</v>
      </c>
      <c r="D215" s="141">
        <v>2630000</v>
      </c>
      <c r="E215" s="20" t="s">
        <v>461</v>
      </c>
      <c r="F215" s="20" t="s">
        <v>462</v>
      </c>
      <c r="G215" s="8" t="str">
        <f t="shared" si="3"/>
        <v>SAFIEF AEIMEN</v>
      </c>
    </row>
    <row r="216" spans="1:7" x14ac:dyDescent="0.25">
      <c r="A216" s="8">
        <v>42896.817175925928</v>
      </c>
      <c r="B216" s="20" t="s">
        <v>539</v>
      </c>
      <c r="C216" s="20" t="s">
        <v>789</v>
      </c>
      <c r="D216" s="141">
        <v>3010000</v>
      </c>
      <c r="E216" s="20" t="s">
        <v>399</v>
      </c>
      <c r="F216" s="20" t="s">
        <v>400</v>
      </c>
      <c r="G216" s="8" t="str">
        <f t="shared" si="3"/>
        <v>SULLIVAN BRANDON</v>
      </c>
    </row>
    <row r="217" spans="1:7" x14ac:dyDescent="0.25">
      <c r="A217" s="8">
        <v>42896.819351851853</v>
      </c>
      <c r="B217" s="20" t="s">
        <v>460</v>
      </c>
      <c r="C217" s="20" t="s">
        <v>790</v>
      </c>
      <c r="D217" s="141">
        <v>2420000</v>
      </c>
      <c r="E217" s="20" t="s">
        <v>510</v>
      </c>
      <c r="F217" s="20" t="s">
        <v>511</v>
      </c>
      <c r="G217" s="8" t="str">
        <f t="shared" si="3"/>
        <v>HOLCOMB KAMDEN</v>
      </c>
    </row>
    <row r="218" spans="1:7" x14ac:dyDescent="0.25">
      <c r="A218" s="8">
        <v>42896.827847222223</v>
      </c>
      <c r="B218" s="20" t="s">
        <v>540</v>
      </c>
      <c r="C218" s="20" t="s">
        <v>791</v>
      </c>
      <c r="D218" s="141">
        <v>3090000</v>
      </c>
      <c r="E218" s="20" t="s">
        <v>381</v>
      </c>
      <c r="F218" s="20" t="s">
        <v>382</v>
      </c>
      <c r="G218" s="8" t="str">
        <f t="shared" si="3"/>
        <v>LAMAR NEKESHA</v>
      </c>
    </row>
    <row r="219" spans="1:7" x14ac:dyDescent="0.25">
      <c r="A219" s="8">
        <v>42896.830694444441</v>
      </c>
      <c r="B219" s="20" t="s">
        <v>343</v>
      </c>
      <c r="C219" s="20" t="s">
        <v>604</v>
      </c>
      <c r="D219" s="141">
        <v>2610000</v>
      </c>
      <c r="E219" s="20" t="s">
        <v>428</v>
      </c>
      <c r="F219" s="20" t="s">
        <v>429</v>
      </c>
      <c r="G219" s="8" t="str">
        <f t="shared" si="3"/>
        <v>MAGEE KENYA</v>
      </c>
    </row>
    <row r="220" spans="1:7" x14ac:dyDescent="0.25">
      <c r="A220" s="8">
        <v>42896.838055555556</v>
      </c>
      <c r="B220" s="20" t="s">
        <v>406</v>
      </c>
      <c r="C220" s="20" t="s">
        <v>792</v>
      </c>
      <c r="D220" s="141">
        <v>3010000</v>
      </c>
      <c r="E220" s="20" t="s">
        <v>399</v>
      </c>
      <c r="F220" s="20" t="s">
        <v>400</v>
      </c>
      <c r="G220" s="8" t="str">
        <f t="shared" si="3"/>
        <v>SULLIVAN BRANDON</v>
      </c>
    </row>
    <row r="221" spans="1:7" x14ac:dyDescent="0.25">
      <c r="A221" s="8">
        <v>42896.842326388891</v>
      </c>
      <c r="B221" s="20" t="s">
        <v>341</v>
      </c>
      <c r="C221" s="20" t="s">
        <v>605</v>
      </c>
      <c r="D221" s="141">
        <v>3000000</v>
      </c>
      <c r="E221" s="20" t="s">
        <v>438</v>
      </c>
      <c r="F221" s="20" t="s">
        <v>439</v>
      </c>
      <c r="G221" s="8" t="str">
        <f t="shared" si="3"/>
        <v>FORTUNATO FRANK</v>
      </c>
    </row>
    <row r="222" spans="1:7" x14ac:dyDescent="0.25">
      <c r="A222" s="8">
        <v>42896.843263888892</v>
      </c>
      <c r="B222" s="20" t="s">
        <v>490</v>
      </c>
      <c r="C222" s="20" t="s">
        <v>793</v>
      </c>
      <c r="D222" s="141">
        <v>2630000</v>
      </c>
      <c r="E222" s="20" t="s">
        <v>461</v>
      </c>
      <c r="F222" s="20" t="s">
        <v>462</v>
      </c>
      <c r="G222" s="8" t="str">
        <f t="shared" si="3"/>
        <v>SAFIEF AEIMEN</v>
      </c>
    </row>
    <row r="223" spans="1:7" x14ac:dyDescent="0.25">
      <c r="A223" s="8">
        <v>42896.858865740738</v>
      </c>
      <c r="B223" s="20" t="s">
        <v>539</v>
      </c>
      <c r="C223" s="20" t="s">
        <v>794</v>
      </c>
      <c r="D223" s="141">
        <v>3010000</v>
      </c>
      <c r="E223" s="20" t="s">
        <v>399</v>
      </c>
      <c r="F223" s="20" t="s">
        <v>400</v>
      </c>
      <c r="G223" s="8" t="str">
        <f t="shared" si="3"/>
        <v>SULLIVAN BRANDON</v>
      </c>
    </row>
    <row r="224" spans="1:7" x14ac:dyDescent="0.25">
      <c r="A224" s="8">
        <v>42896.858923611115</v>
      </c>
      <c r="B224" t="s">
        <v>505</v>
      </c>
      <c r="C224" t="s">
        <v>795</v>
      </c>
      <c r="D224" s="141">
        <v>3030000</v>
      </c>
      <c r="E224" t="s">
        <v>387</v>
      </c>
      <c r="F224" s="20" t="s">
        <v>372</v>
      </c>
      <c r="G224" s="8" t="str">
        <f t="shared" si="3"/>
        <v>BIRENBAUM THOMAS</v>
      </c>
    </row>
    <row r="225" spans="1:7" x14ac:dyDescent="0.25">
      <c r="A225" s="8">
        <v>42896.862673611111</v>
      </c>
      <c r="B225" t="s">
        <v>504</v>
      </c>
      <c r="C225" t="s">
        <v>795</v>
      </c>
      <c r="D225" s="141">
        <v>3030000</v>
      </c>
      <c r="E225" t="s">
        <v>387</v>
      </c>
      <c r="F225" s="20" t="s">
        <v>372</v>
      </c>
      <c r="G225" s="8" t="str">
        <f t="shared" si="3"/>
        <v>BIRENBAUM THOMAS</v>
      </c>
    </row>
    <row r="226" spans="1:7" x14ac:dyDescent="0.25">
      <c r="A226" s="8">
        <v>42896.870474537034</v>
      </c>
      <c r="B226" t="s">
        <v>493</v>
      </c>
      <c r="C226" t="s">
        <v>796</v>
      </c>
      <c r="D226" s="141">
        <v>3090000</v>
      </c>
      <c r="E226" t="s">
        <v>381</v>
      </c>
      <c r="F226" s="20" t="s">
        <v>382</v>
      </c>
      <c r="G226" s="8" t="str">
        <f t="shared" si="3"/>
        <v>LAMAR NEKESHA</v>
      </c>
    </row>
    <row r="227" spans="1:7" x14ac:dyDescent="0.25">
      <c r="A227" s="8">
        <v>42896.871388888889</v>
      </c>
      <c r="B227" t="s">
        <v>371</v>
      </c>
      <c r="C227" t="s">
        <v>797</v>
      </c>
      <c r="D227" s="141">
        <v>2610000</v>
      </c>
      <c r="E227" t="s">
        <v>428</v>
      </c>
      <c r="F227" s="20" t="s">
        <v>429</v>
      </c>
      <c r="G227" s="8" t="str">
        <f t="shared" si="3"/>
        <v>MAGEE KENYA</v>
      </c>
    </row>
    <row r="228" spans="1:7" x14ac:dyDescent="0.25">
      <c r="A228" s="8">
        <v>42896.881423611114</v>
      </c>
      <c r="B228" t="s">
        <v>406</v>
      </c>
      <c r="C228" t="s">
        <v>606</v>
      </c>
      <c r="D228" s="141">
        <v>3010000</v>
      </c>
      <c r="E228" t="s">
        <v>399</v>
      </c>
      <c r="F228" s="20" t="s">
        <v>400</v>
      </c>
      <c r="G228" s="8" t="str">
        <f t="shared" si="3"/>
        <v>SULLIVAN BRANDON</v>
      </c>
    </row>
    <row r="229" spans="1:7" x14ac:dyDescent="0.25">
      <c r="A229" s="8">
        <v>42896.882453703707</v>
      </c>
      <c r="B229" t="s">
        <v>342</v>
      </c>
      <c r="C229" t="s">
        <v>798</v>
      </c>
      <c r="D229" s="141">
        <v>3000000</v>
      </c>
      <c r="E229" t="s">
        <v>438</v>
      </c>
      <c r="F229" s="20" t="s">
        <v>439</v>
      </c>
      <c r="G229" s="8" t="str">
        <f t="shared" si="3"/>
        <v>FORTUNATO FRANK</v>
      </c>
    </row>
    <row r="230" spans="1:7" x14ac:dyDescent="0.25">
      <c r="A230" s="8">
        <v>42896.888784722221</v>
      </c>
      <c r="B230" t="s">
        <v>491</v>
      </c>
      <c r="C230" t="s">
        <v>799</v>
      </c>
      <c r="D230" s="141">
        <v>2630000</v>
      </c>
      <c r="E230" t="s">
        <v>461</v>
      </c>
      <c r="F230" s="20" t="s">
        <v>462</v>
      </c>
      <c r="G230" s="8" t="str">
        <f t="shared" si="3"/>
        <v>SAFIEF AEIMEN</v>
      </c>
    </row>
    <row r="231" spans="1:7" x14ac:dyDescent="0.25">
      <c r="A231" s="8">
        <v>42896.897361111114</v>
      </c>
      <c r="B231" t="s">
        <v>474</v>
      </c>
      <c r="C231" t="s">
        <v>607</v>
      </c>
      <c r="D231" s="141">
        <v>3130000</v>
      </c>
      <c r="E231" t="s">
        <v>390</v>
      </c>
      <c r="F231" s="20" t="s">
        <v>391</v>
      </c>
      <c r="G231" s="8" t="str">
        <f t="shared" si="3"/>
        <v>ZEWDU DEREJE</v>
      </c>
    </row>
    <row r="232" spans="1:7" x14ac:dyDescent="0.25">
      <c r="A232" s="8">
        <v>42896.900636574072</v>
      </c>
      <c r="B232" t="s">
        <v>539</v>
      </c>
      <c r="C232" t="s">
        <v>800</v>
      </c>
      <c r="D232" s="141">
        <v>3010000</v>
      </c>
      <c r="E232" t="s">
        <v>399</v>
      </c>
      <c r="F232" s="20" t="s">
        <v>400</v>
      </c>
      <c r="G232" s="8" t="str">
        <f t="shared" si="3"/>
        <v>SULLIVAN BRANDON</v>
      </c>
    </row>
    <row r="233" spans="1:7" x14ac:dyDescent="0.25">
      <c r="A233" s="8">
        <v>42896.902233796296</v>
      </c>
      <c r="B233" t="s">
        <v>502</v>
      </c>
      <c r="C233" t="s">
        <v>607</v>
      </c>
      <c r="D233" s="141">
        <v>3130000</v>
      </c>
      <c r="E233" t="s">
        <v>390</v>
      </c>
      <c r="F233" s="20" t="s">
        <v>391</v>
      </c>
      <c r="G233" s="8" t="str">
        <f t="shared" si="3"/>
        <v>ZEWDU DEREJE</v>
      </c>
    </row>
    <row r="234" spans="1:7" x14ac:dyDescent="0.25">
      <c r="A234" s="8">
        <v>42896.903182870374</v>
      </c>
      <c r="B234" t="s">
        <v>502</v>
      </c>
      <c r="C234" t="s">
        <v>607</v>
      </c>
      <c r="D234" s="141">
        <v>3130000</v>
      </c>
      <c r="E234" t="s">
        <v>390</v>
      </c>
      <c r="F234" s="20" t="s">
        <v>391</v>
      </c>
      <c r="G234" s="8" t="str">
        <f t="shared" si="3"/>
        <v>ZEWDU DEREJE</v>
      </c>
    </row>
    <row r="235" spans="1:7" x14ac:dyDescent="0.25">
      <c r="A235" s="8">
        <v>42896.9143287037</v>
      </c>
      <c r="B235" t="s">
        <v>540</v>
      </c>
      <c r="C235" t="s">
        <v>801</v>
      </c>
      <c r="D235" s="141">
        <v>3090000</v>
      </c>
      <c r="E235" t="s">
        <v>381</v>
      </c>
      <c r="F235" s="20" t="s">
        <v>382</v>
      </c>
      <c r="G235" s="8" t="str">
        <f t="shared" si="3"/>
        <v>LAMAR NEKESHA</v>
      </c>
    </row>
    <row r="236" spans="1:7" x14ac:dyDescent="0.25">
      <c r="A236" s="8">
        <v>42896.91443287037</v>
      </c>
      <c r="B236" t="s">
        <v>343</v>
      </c>
      <c r="C236" t="s">
        <v>802</v>
      </c>
      <c r="D236" s="141">
        <v>2610000</v>
      </c>
      <c r="E236" t="s">
        <v>428</v>
      </c>
      <c r="F236" s="20" t="s">
        <v>429</v>
      </c>
      <c r="G236" s="8" t="str">
        <f t="shared" si="3"/>
        <v>MAGEE KENYA</v>
      </c>
    </row>
    <row r="237" spans="1:7" x14ac:dyDescent="0.25">
      <c r="A237" s="8">
        <v>42896.921400462961</v>
      </c>
      <c r="B237" t="s">
        <v>406</v>
      </c>
      <c r="C237" t="s">
        <v>803</v>
      </c>
      <c r="D237" s="141">
        <v>3010000</v>
      </c>
      <c r="E237" t="s">
        <v>399</v>
      </c>
      <c r="F237" s="20" t="s">
        <v>400</v>
      </c>
      <c r="G237" s="8" t="str">
        <f t="shared" si="3"/>
        <v>SULLIVAN BRANDON</v>
      </c>
    </row>
    <row r="238" spans="1:7" x14ac:dyDescent="0.25">
      <c r="A238" s="8">
        <v>42896.922685185185</v>
      </c>
      <c r="B238" t="s">
        <v>341</v>
      </c>
      <c r="C238" t="s">
        <v>804</v>
      </c>
      <c r="D238" s="141">
        <v>3000000</v>
      </c>
      <c r="E238" t="s">
        <v>438</v>
      </c>
      <c r="F238" s="20" t="s">
        <v>439</v>
      </c>
      <c r="G238" s="8" t="str">
        <f t="shared" si="3"/>
        <v>FORTUNATO FRANK</v>
      </c>
    </row>
    <row r="239" spans="1:7" x14ac:dyDescent="0.25">
      <c r="A239" s="8">
        <v>42896.928449074076</v>
      </c>
      <c r="B239" t="s">
        <v>490</v>
      </c>
      <c r="C239" t="s">
        <v>805</v>
      </c>
      <c r="D239" s="141">
        <v>2630000</v>
      </c>
      <c r="E239" t="s">
        <v>461</v>
      </c>
      <c r="F239" s="20" t="s">
        <v>462</v>
      </c>
      <c r="G239" s="8" t="str">
        <f t="shared" si="3"/>
        <v>SAFIEF AEIMEN</v>
      </c>
    </row>
    <row r="240" spans="1:7" x14ac:dyDescent="0.25">
      <c r="A240" s="8">
        <v>42896.943298611113</v>
      </c>
      <c r="B240" t="s">
        <v>539</v>
      </c>
      <c r="C240" t="s">
        <v>806</v>
      </c>
      <c r="D240" s="141">
        <v>3010000</v>
      </c>
      <c r="E240" t="s">
        <v>399</v>
      </c>
      <c r="F240" s="20" t="s">
        <v>400</v>
      </c>
      <c r="G240" s="8" t="str">
        <f t="shared" si="3"/>
        <v>SULLIVAN BRANDON</v>
      </c>
    </row>
    <row r="241" spans="1:7" x14ac:dyDescent="0.25">
      <c r="A241" s="8">
        <v>42896.944618055553</v>
      </c>
      <c r="B241" t="s">
        <v>493</v>
      </c>
      <c r="C241" t="s">
        <v>807</v>
      </c>
      <c r="D241" s="141">
        <v>3090000</v>
      </c>
      <c r="E241" t="s">
        <v>381</v>
      </c>
      <c r="F241" s="20" t="s">
        <v>382</v>
      </c>
      <c r="G241" s="8" t="str">
        <f t="shared" si="3"/>
        <v>LAMAR NEKESHA</v>
      </c>
    </row>
    <row r="242" spans="1:7" x14ac:dyDescent="0.25">
      <c r="A242" s="8">
        <v>42896.951192129629</v>
      </c>
      <c r="B242" t="s">
        <v>406</v>
      </c>
      <c r="C242" t="s">
        <v>806</v>
      </c>
      <c r="D242" s="141">
        <v>3010000</v>
      </c>
      <c r="E242" t="s">
        <v>399</v>
      </c>
      <c r="F242" s="20" t="s">
        <v>400</v>
      </c>
      <c r="G242" s="8" t="str">
        <f t="shared" si="3"/>
        <v>SULLIVAN BRANDON</v>
      </c>
    </row>
    <row r="243" spans="1:7" x14ac:dyDescent="0.25">
      <c r="A243" s="8">
        <v>42896.952118055553</v>
      </c>
      <c r="B243" t="s">
        <v>371</v>
      </c>
      <c r="C243" t="s">
        <v>808</v>
      </c>
      <c r="D243" s="141">
        <v>2610000</v>
      </c>
      <c r="E243" t="s">
        <v>428</v>
      </c>
      <c r="F243" s="20" t="s">
        <v>429</v>
      </c>
      <c r="G243" s="8" t="str">
        <f t="shared" si="3"/>
        <v>MAGEE KENYA</v>
      </c>
    </row>
    <row r="244" spans="1:7" x14ac:dyDescent="0.25">
      <c r="A244" s="8">
        <v>42896.953298611108</v>
      </c>
      <c r="B244" t="s">
        <v>371</v>
      </c>
      <c r="C244" t="s">
        <v>808</v>
      </c>
      <c r="D244" s="141">
        <v>2610000</v>
      </c>
      <c r="E244" t="s">
        <v>428</v>
      </c>
      <c r="F244" s="20" t="s">
        <v>429</v>
      </c>
      <c r="G244" s="8" t="str">
        <f t="shared" si="3"/>
        <v>MAGEE KENYA</v>
      </c>
    </row>
    <row r="245" spans="1:7" x14ac:dyDescent="0.25">
      <c r="A245" s="8">
        <v>42896.964849537035</v>
      </c>
      <c r="B245" t="s">
        <v>342</v>
      </c>
      <c r="C245" t="s">
        <v>809</v>
      </c>
      <c r="D245" s="141">
        <v>3000000</v>
      </c>
      <c r="E245" t="s">
        <v>438</v>
      </c>
      <c r="F245" s="20" t="s">
        <v>439</v>
      </c>
      <c r="G245" s="8" t="str">
        <f t="shared" si="3"/>
        <v>FORTUNATO FRANK</v>
      </c>
    </row>
    <row r="246" spans="1:7" x14ac:dyDescent="0.25">
      <c r="A246" s="8">
        <v>42896.965543981481</v>
      </c>
      <c r="B246" t="s">
        <v>491</v>
      </c>
      <c r="C246" t="s">
        <v>810</v>
      </c>
      <c r="D246" s="141">
        <v>2630000</v>
      </c>
      <c r="E246" t="s">
        <v>461</v>
      </c>
      <c r="F246" s="20" t="s">
        <v>462</v>
      </c>
      <c r="G246" s="8" t="str">
        <f t="shared" si="3"/>
        <v>SAFIEF AEIMEN</v>
      </c>
    </row>
    <row r="247" spans="1:7" x14ac:dyDescent="0.25">
      <c r="A247" s="8">
        <v>42896.994328703702</v>
      </c>
      <c r="B247" t="s">
        <v>540</v>
      </c>
      <c r="C247" t="s">
        <v>811</v>
      </c>
      <c r="D247" s="141">
        <v>3090000</v>
      </c>
      <c r="E247" t="s">
        <v>381</v>
      </c>
      <c r="F247" s="20" t="s">
        <v>382</v>
      </c>
      <c r="G247" s="8" t="str">
        <f t="shared" si="3"/>
        <v>LAMAR NEKESHA</v>
      </c>
    </row>
    <row r="248" spans="1:7" x14ac:dyDescent="0.25">
      <c r="A248" s="8">
        <v>42896.997974537036</v>
      </c>
      <c r="B248" t="s">
        <v>343</v>
      </c>
      <c r="C248" t="s">
        <v>812</v>
      </c>
      <c r="D248" s="141">
        <v>2610000</v>
      </c>
      <c r="E248" t="s">
        <v>428</v>
      </c>
      <c r="F248" s="20" t="s">
        <v>429</v>
      </c>
      <c r="G248" s="8" t="str">
        <f t="shared" si="3"/>
        <v>MAGEE KENYA</v>
      </c>
    </row>
    <row r="249" spans="1:7" x14ac:dyDescent="0.25">
      <c r="A249" s="8">
        <v>42897.005486111113</v>
      </c>
      <c r="B249" t="s">
        <v>341</v>
      </c>
      <c r="C249" t="s">
        <v>813</v>
      </c>
      <c r="D249" s="141">
        <v>3000000</v>
      </c>
      <c r="E249" t="s">
        <v>438</v>
      </c>
      <c r="F249" s="20" t="s">
        <v>439</v>
      </c>
      <c r="G249" s="8" t="str">
        <f t="shared" si="3"/>
        <v>FORTUNATO FRANK</v>
      </c>
    </row>
    <row r="250" spans="1:7" x14ac:dyDescent="0.25">
      <c r="A250" s="8">
        <v>42897.007465277777</v>
      </c>
      <c r="B250" t="s">
        <v>490</v>
      </c>
      <c r="C250" t="s">
        <v>814</v>
      </c>
      <c r="D250" s="141">
        <v>2630000</v>
      </c>
      <c r="E250" t="s">
        <v>461</v>
      </c>
      <c r="F250" s="20" t="s">
        <v>462</v>
      </c>
      <c r="G250" s="8" t="str">
        <f t="shared" si="3"/>
        <v>SAFIEF AEIMEN</v>
      </c>
    </row>
    <row r="251" spans="1:7" x14ac:dyDescent="0.25">
      <c r="A251" s="8">
        <v>42897.035844907405</v>
      </c>
      <c r="B251" t="s">
        <v>371</v>
      </c>
      <c r="C251" t="s">
        <v>815</v>
      </c>
      <c r="D251" s="141">
        <v>2610000</v>
      </c>
      <c r="E251" t="s">
        <v>428</v>
      </c>
      <c r="F251" s="20" t="s">
        <v>429</v>
      </c>
      <c r="G251" s="8" t="str">
        <f t="shared" si="3"/>
        <v>MAGEE KENYA</v>
      </c>
    </row>
    <row r="252" spans="1:7" x14ac:dyDescent="0.25">
      <c r="A252" s="8">
        <v>42897.036296296297</v>
      </c>
      <c r="B252" t="s">
        <v>493</v>
      </c>
      <c r="C252" t="s">
        <v>611</v>
      </c>
      <c r="D252" s="141">
        <v>3090000</v>
      </c>
      <c r="E252" t="s">
        <v>381</v>
      </c>
      <c r="F252" s="20" t="s">
        <v>382</v>
      </c>
      <c r="G252" s="8" t="str">
        <f t="shared" si="3"/>
        <v>LAMAR NEKESHA</v>
      </c>
    </row>
    <row r="253" spans="1:7" x14ac:dyDescent="0.25">
      <c r="A253" s="8">
        <v>42897.047569444447</v>
      </c>
      <c r="B253" t="s">
        <v>342</v>
      </c>
      <c r="C253" t="s">
        <v>816</v>
      </c>
      <c r="D253" s="141">
        <v>3000000</v>
      </c>
      <c r="E253" t="s">
        <v>438</v>
      </c>
      <c r="F253" s="20" t="s">
        <v>439</v>
      </c>
      <c r="G253" s="8" t="str">
        <f t="shared" si="3"/>
        <v>FORTUNATO FRANK</v>
      </c>
    </row>
    <row r="254" spans="1:7" x14ac:dyDescent="0.25">
      <c r="A254" s="8">
        <v>42897.048159722224</v>
      </c>
      <c r="B254" t="s">
        <v>491</v>
      </c>
      <c r="C254" t="s">
        <v>608</v>
      </c>
      <c r="D254" s="141">
        <v>2630000</v>
      </c>
      <c r="E254" t="s">
        <v>461</v>
      </c>
      <c r="F254" s="20" t="s">
        <v>462</v>
      </c>
      <c r="G254" s="8" t="str">
        <f t="shared" si="3"/>
        <v>SAFIEF AEIMEN</v>
      </c>
    </row>
    <row r="255" spans="1:7" x14ac:dyDescent="0.25">
      <c r="A255" s="8">
        <v>42897.068391203706</v>
      </c>
      <c r="B255" t="s">
        <v>343</v>
      </c>
      <c r="C255" t="s">
        <v>817</v>
      </c>
      <c r="D255" s="141">
        <v>2610000</v>
      </c>
      <c r="E255" t="s">
        <v>428</v>
      </c>
      <c r="F255" s="20" t="s">
        <v>429</v>
      </c>
      <c r="G255" s="8" t="str">
        <f t="shared" si="3"/>
        <v>MAGEE KENYA</v>
      </c>
    </row>
    <row r="256" spans="1:7" x14ac:dyDescent="0.25">
      <c r="A256" s="8">
        <v>42897.072789351849</v>
      </c>
      <c r="B256" t="s">
        <v>540</v>
      </c>
      <c r="C256" t="s">
        <v>818</v>
      </c>
      <c r="D256" s="141">
        <v>3090000</v>
      </c>
      <c r="E256" t="s">
        <v>381</v>
      </c>
      <c r="F256" s="20" t="s">
        <v>382</v>
      </c>
      <c r="G256" s="8" t="str">
        <f t="shared" si="3"/>
        <v>LAMAR NEKESHA</v>
      </c>
    </row>
    <row r="257" spans="1:7" x14ac:dyDescent="0.25">
      <c r="A257" s="8">
        <v>42897.089479166665</v>
      </c>
      <c r="B257" t="s">
        <v>341</v>
      </c>
      <c r="C257" t="s">
        <v>819</v>
      </c>
      <c r="D257" s="141">
        <v>3000000</v>
      </c>
      <c r="E257" t="s">
        <v>438</v>
      </c>
      <c r="F257" s="20" t="s">
        <v>439</v>
      </c>
      <c r="G257" s="8" t="str">
        <f t="shared" si="3"/>
        <v>FORTUNATO FRANK</v>
      </c>
    </row>
    <row r="258" spans="1:7" x14ac:dyDescent="0.25">
      <c r="A258" s="8">
        <v>42897.110775462963</v>
      </c>
      <c r="B258" t="s">
        <v>493</v>
      </c>
      <c r="C258" t="s">
        <v>820</v>
      </c>
      <c r="D258" s="141">
        <v>3090000</v>
      </c>
      <c r="E258" t="s">
        <v>381</v>
      </c>
      <c r="F258" s="20" t="s">
        <v>382</v>
      </c>
      <c r="G258" s="8" t="str">
        <f t="shared" si="3"/>
        <v>LAMAR NEKESHA</v>
      </c>
    </row>
    <row r="259" spans="1:7" x14ac:dyDescent="0.25">
      <c r="A259" s="8">
        <v>42897.113530092596</v>
      </c>
      <c r="B259" t="s">
        <v>481</v>
      </c>
      <c r="C259" t="s">
        <v>821</v>
      </c>
      <c r="D259" s="141">
        <v>2010000</v>
      </c>
      <c r="E259" t="s">
        <v>822</v>
      </c>
      <c r="F259" s="20" t="s">
        <v>823</v>
      </c>
      <c r="G259" s="8" t="str">
        <f t="shared" ref="G259:G322" si="4">E259&amp;" "&amp;F259</f>
        <v>MAELZER KURT</v>
      </c>
    </row>
    <row r="260" spans="1:7" x14ac:dyDescent="0.25">
      <c r="A260" s="8">
        <v>42888.081956018519</v>
      </c>
      <c r="B260" t="s">
        <v>370</v>
      </c>
      <c r="C260" t="s">
        <v>466</v>
      </c>
      <c r="D260" s="141">
        <v>2630000</v>
      </c>
      <c r="E260" t="s">
        <v>461</v>
      </c>
      <c r="F260" s="20" t="s">
        <v>462</v>
      </c>
      <c r="G260" s="8" t="str">
        <f t="shared" si="4"/>
        <v>SAFIEF AEIMEN</v>
      </c>
    </row>
    <row r="261" spans="1:7" x14ac:dyDescent="0.25">
      <c r="A261" s="8">
        <v>42888.082962962966</v>
      </c>
      <c r="B261" t="s">
        <v>459</v>
      </c>
      <c r="C261" t="s">
        <v>467</v>
      </c>
      <c r="D261" s="141">
        <v>910000</v>
      </c>
      <c r="E261" t="s">
        <v>468</v>
      </c>
      <c r="F261" s="20" t="s">
        <v>469</v>
      </c>
      <c r="G261" s="8" t="str">
        <f t="shared" si="4"/>
        <v>SUR JEREMY</v>
      </c>
    </row>
    <row r="262" spans="1:7" x14ac:dyDescent="0.25">
      <c r="A262" s="8">
        <v>42888.086365740739</v>
      </c>
      <c r="B262" t="s">
        <v>459</v>
      </c>
      <c r="C262" t="s">
        <v>467</v>
      </c>
      <c r="D262" s="141">
        <v>910000</v>
      </c>
      <c r="E262" t="s">
        <v>468</v>
      </c>
      <c r="F262" s="20" t="s">
        <v>469</v>
      </c>
      <c r="G262" s="8" t="str">
        <f t="shared" si="4"/>
        <v>SUR JEREMY</v>
      </c>
    </row>
    <row r="263" spans="1:7" x14ac:dyDescent="0.25">
      <c r="A263" s="8">
        <v>42888.089062500003</v>
      </c>
      <c r="B263" t="s">
        <v>406</v>
      </c>
      <c r="C263" t="s">
        <v>470</v>
      </c>
      <c r="D263" s="141">
        <v>3000000</v>
      </c>
      <c r="E263" t="s">
        <v>438</v>
      </c>
      <c r="F263" s="20" t="s">
        <v>439</v>
      </c>
      <c r="G263" s="8" t="str">
        <f t="shared" si="4"/>
        <v>FORTUNATO FRANK</v>
      </c>
    </row>
    <row r="264" spans="1:7" x14ac:dyDescent="0.25">
      <c r="A264" s="8">
        <v>42888.097442129627</v>
      </c>
      <c r="B264" t="s">
        <v>460</v>
      </c>
      <c r="C264" t="s">
        <v>467</v>
      </c>
      <c r="D264" s="141">
        <v>910000</v>
      </c>
      <c r="E264" t="s">
        <v>468</v>
      </c>
      <c r="F264" s="20" t="s">
        <v>469</v>
      </c>
      <c r="G264" s="8" t="str">
        <f t="shared" si="4"/>
        <v>SUR JEREMY</v>
      </c>
    </row>
    <row r="265" spans="1:7" x14ac:dyDescent="0.25">
      <c r="A265" s="8">
        <v>42878.991388888891</v>
      </c>
      <c r="B265" t="s">
        <v>423</v>
      </c>
      <c r="C265" t="s">
        <v>442</v>
      </c>
      <c r="D265" s="141">
        <v>2140000</v>
      </c>
      <c r="E265" t="s">
        <v>420</v>
      </c>
      <c r="F265" s="20" t="s">
        <v>421</v>
      </c>
      <c r="G265" s="8" t="str">
        <f t="shared" si="4"/>
        <v>ROBINSON KADDIBA</v>
      </c>
    </row>
    <row r="266" spans="1:7" x14ac:dyDescent="0.25">
      <c r="A266" s="8">
        <v>42878.991539351853</v>
      </c>
      <c r="B266" t="s">
        <v>378</v>
      </c>
      <c r="C266" t="s">
        <v>441</v>
      </c>
      <c r="D266" s="141">
        <v>2000000</v>
      </c>
      <c r="E266" t="s">
        <v>424</v>
      </c>
      <c r="F266" s="20" t="s">
        <v>191</v>
      </c>
      <c r="G266" s="8" t="str">
        <f t="shared" si="4"/>
        <v>STAMBAUGH JAMES</v>
      </c>
    </row>
    <row r="267" spans="1:7" x14ac:dyDescent="0.25">
      <c r="A267" s="8">
        <v>42878.992789351854</v>
      </c>
      <c r="B267" t="s">
        <v>436</v>
      </c>
      <c r="C267" t="s">
        <v>443</v>
      </c>
      <c r="D267" s="141">
        <v>3000000</v>
      </c>
      <c r="E267" t="s">
        <v>438</v>
      </c>
      <c r="F267" s="20" t="s">
        <v>439</v>
      </c>
      <c r="G267" s="8" t="str">
        <f t="shared" si="4"/>
        <v>FORTUNATO FRANK</v>
      </c>
    </row>
    <row r="268" spans="1:7" x14ac:dyDescent="0.25">
      <c r="A268" s="8">
        <v>42879.005439814813</v>
      </c>
      <c r="B268" t="s">
        <v>404</v>
      </c>
      <c r="C268" t="s">
        <v>435</v>
      </c>
      <c r="D268" s="141">
        <v>2680000</v>
      </c>
      <c r="E268" t="s">
        <v>426</v>
      </c>
      <c r="F268" s="20" t="s">
        <v>427</v>
      </c>
      <c r="G268" s="8" t="str">
        <f t="shared" si="4"/>
        <v>DUNCAN SHEILA</v>
      </c>
    </row>
    <row r="269" spans="1:7" x14ac:dyDescent="0.25">
      <c r="A269" s="8">
        <v>42879.011724537035</v>
      </c>
      <c r="B269" t="s">
        <v>342</v>
      </c>
      <c r="C269" t="s">
        <v>444</v>
      </c>
      <c r="D269" s="141">
        <v>2230000</v>
      </c>
      <c r="E269" t="s">
        <v>344</v>
      </c>
      <c r="F269" s="20" t="s">
        <v>194</v>
      </c>
      <c r="G269" s="8" t="str">
        <f t="shared" si="4"/>
        <v>SMITH MICHAEL</v>
      </c>
    </row>
    <row r="270" spans="1:7" x14ac:dyDescent="0.25">
      <c r="A270" s="8">
        <v>42879.018900462965</v>
      </c>
      <c r="B270" t="s">
        <v>437</v>
      </c>
      <c r="C270" t="s">
        <v>445</v>
      </c>
      <c r="D270" s="141">
        <v>2610000</v>
      </c>
      <c r="E270" t="s">
        <v>428</v>
      </c>
      <c r="F270" s="20" t="s">
        <v>429</v>
      </c>
      <c r="G270" s="8" t="str">
        <f t="shared" si="4"/>
        <v>MAGEE KENYA</v>
      </c>
    </row>
    <row r="271" spans="1:7" x14ac:dyDescent="0.25">
      <c r="A271" s="8">
        <v>42879.026886574073</v>
      </c>
      <c r="B271" t="s">
        <v>362</v>
      </c>
      <c r="C271" t="s">
        <v>446</v>
      </c>
      <c r="D271" s="141">
        <v>2140000</v>
      </c>
      <c r="E271" t="s">
        <v>420</v>
      </c>
      <c r="F271" s="20" t="s">
        <v>421</v>
      </c>
      <c r="G271" s="8" t="str">
        <f t="shared" si="4"/>
        <v>ROBINSON KADDIBA</v>
      </c>
    </row>
    <row r="272" spans="1:7" x14ac:dyDescent="0.25">
      <c r="A272" s="8">
        <v>42879.027916666666</v>
      </c>
      <c r="B272" t="s">
        <v>434</v>
      </c>
      <c r="C272" t="s">
        <v>447</v>
      </c>
      <c r="D272" s="141">
        <v>3000000</v>
      </c>
      <c r="E272" t="s">
        <v>438</v>
      </c>
      <c r="F272" s="20" t="s">
        <v>439</v>
      </c>
      <c r="G272" s="8" t="str">
        <f t="shared" si="4"/>
        <v>FORTUNATO FRANK</v>
      </c>
    </row>
    <row r="273" spans="1:7" x14ac:dyDescent="0.25">
      <c r="A273" s="8">
        <v>42879.035393518519</v>
      </c>
      <c r="B273" t="s">
        <v>405</v>
      </c>
      <c r="C273" t="s">
        <v>440</v>
      </c>
      <c r="D273" s="141">
        <v>2680000</v>
      </c>
      <c r="E273" t="s">
        <v>426</v>
      </c>
      <c r="F273" s="20" t="s">
        <v>427</v>
      </c>
      <c r="G273" s="8" t="str">
        <f t="shared" si="4"/>
        <v>DUNCAN SHEILA</v>
      </c>
    </row>
    <row r="274" spans="1:7" x14ac:dyDescent="0.25">
      <c r="A274" s="8">
        <v>42879.048842592594</v>
      </c>
      <c r="B274" t="s">
        <v>341</v>
      </c>
      <c r="C274" t="s">
        <v>448</v>
      </c>
      <c r="D274" s="141">
        <v>2230000</v>
      </c>
      <c r="E274" t="s">
        <v>344</v>
      </c>
      <c r="F274" s="20" t="s">
        <v>194</v>
      </c>
      <c r="G274" s="8" t="str">
        <f t="shared" si="4"/>
        <v>SMITH MICHAEL</v>
      </c>
    </row>
    <row r="275" spans="1:7" x14ac:dyDescent="0.25">
      <c r="A275" s="8">
        <v>42879.059351851851</v>
      </c>
      <c r="B275" t="s">
        <v>433</v>
      </c>
      <c r="C275" t="s">
        <v>449</v>
      </c>
      <c r="D275" s="141">
        <v>2610000</v>
      </c>
      <c r="E275" t="s">
        <v>428</v>
      </c>
      <c r="F275" s="20" t="s">
        <v>429</v>
      </c>
      <c r="G275" s="8" t="str">
        <f t="shared" si="4"/>
        <v>MAGEE KENYA</v>
      </c>
    </row>
    <row r="276" spans="1:7" x14ac:dyDescent="0.25">
      <c r="A276" s="8">
        <v>42879.068622685183</v>
      </c>
      <c r="B276" t="s">
        <v>436</v>
      </c>
      <c r="C276" t="s">
        <v>450</v>
      </c>
      <c r="D276" s="141">
        <v>3000000</v>
      </c>
      <c r="E276" t="s">
        <v>438</v>
      </c>
      <c r="F276" s="20" t="s">
        <v>439</v>
      </c>
      <c r="G276" s="8" t="str">
        <f t="shared" si="4"/>
        <v>FORTUNATO FRANK</v>
      </c>
    </row>
    <row r="277" spans="1:7" x14ac:dyDescent="0.25">
      <c r="A277" s="8">
        <v>42879.089687500003</v>
      </c>
      <c r="B277" t="s">
        <v>437</v>
      </c>
      <c r="C277" t="s">
        <v>451</v>
      </c>
      <c r="D277" s="141">
        <v>2610000</v>
      </c>
      <c r="E277" t="s">
        <v>428</v>
      </c>
      <c r="F277" s="20" t="s">
        <v>429</v>
      </c>
      <c r="G277" s="8" t="str">
        <f t="shared" si="4"/>
        <v>MAGEE KENYA</v>
      </c>
    </row>
    <row r="278" spans="1:7" x14ac:dyDescent="0.25">
      <c r="A278" s="8">
        <v>42872.041689814818</v>
      </c>
      <c r="B278" t="s">
        <v>408</v>
      </c>
      <c r="C278" t="s">
        <v>409</v>
      </c>
      <c r="D278" s="141">
        <v>2970000</v>
      </c>
      <c r="E278" t="s">
        <v>385</v>
      </c>
      <c r="F278" s="20" t="s">
        <v>386</v>
      </c>
      <c r="G278" s="8" t="str">
        <f t="shared" si="4"/>
        <v>GUZMAN DANNY</v>
      </c>
    </row>
    <row r="279" spans="1:7" x14ac:dyDescent="0.25">
      <c r="A279" s="8">
        <v>42872.04792824074</v>
      </c>
      <c r="B279" t="s">
        <v>407</v>
      </c>
      <c r="C279" t="s">
        <v>413</v>
      </c>
      <c r="D279" s="141">
        <v>1810000</v>
      </c>
      <c r="E279" t="s">
        <v>373</v>
      </c>
      <c r="F279" s="20" t="s">
        <v>191</v>
      </c>
      <c r="G279" s="8" t="str">
        <f t="shared" si="4"/>
        <v>NEWELL JAMES</v>
      </c>
    </row>
    <row r="280" spans="1:7" x14ac:dyDescent="0.25">
      <c r="A280" s="8">
        <v>42872.049421296295</v>
      </c>
      <c r="B280" t="s">
        <v>342</v>
      </c>
      <c r="C280" t="s">
        <v>414</v>
      </c>
      <c r="D280" s="141">
        <v>3090000</v>
      </c>
      <c r="E280" t="s">
        <v>381</v>
      </c>
      <c r="F280" s="20" t="s">
        <v>382</v>
      </c>
      <c r="G280" s="8" t="str">
        <f t="shared" si="4"/>
        <v>LAMAR NEKESHA</v>
      </c>
    </row>
    <row r="281" spans="1:7" x14ac:dyDescent="0.25">
      <c r="A281" s="8">
        <v>42872.051990740743</v>
      </c>
      <c r="B281" t="s">
        <v>405</v>
      </c>
      <c r="C281" t="s">
        <v>410</v>
      </c>
      <c r="D281" s="141">
        <v>3010000</v>
      </c>
      <c r="E281" t="s">
        <v>399</v>
      </c>
      <c r="F281" s="20" t="s">
        <v>400</v>
      </c>
      <c r="G281" s="8" t="str">
        <f t="shared" si="4"/>
        <v>SULLIVAN BRANDON</v>
      </c>
    </row>
    <row r="282" spans="1:7" x14ac:dyDescent="0.25">
      <c r="A282" s="8">
        <v>42872.055347222224</v>
      </c>
      <c r="B282" t="s">
        <v>411</v>
      </c>
      <c r="C282" t="s">
        <v>412</v>
      </c>
      <c r="D282" s="141">
        <v>2970000</v>
      </c>
      <c r="E282" t="s">
        <v>385</v>
      </c>
      <c r="F282" s="20" t="s">
        <v>386</v>
      </c>
      <c r="G282" s="8" t="str">
        <f t="shared" si="4"/>
        <v>GUZMAN DANNY</v>
      </c>
    </row>
    <row r="283" spans="1:7" x14ac:dyDescent="0.25">
      <c r="A283" s="8">
        <v>42872.065578703703</v>
      </c>
      <c r="B283" t="s">
        <v>404</v>
      </c>
      <c r="C283" t="s">
        <v>410</v>
      </c>
      <c r="D283" s="141">
        <v>3010000</v>
      </c>
      <c r="E283" t="s">
        <v>399</v>
      </c>
      <c r="F283" s="20" t="s">
        <v>400</v>
      </c>
      <c r="G283" s="8" t="str">
        <f t="shared" si="4"/>
        <v>SULLIVAN BRANDON</v>
      </c>
    </row>
    <row r="284" spans="1:7" x14ac:dyDescent="0.25">
      <c r="A284" s="8">
        <v>42872.066493055558</v>
      </c>
      <c r="B284" t="s">
        <v>406</v>
      </c>
      <c r="C284" t="s">
        <v>415</v>
      </c>
      <c r="D284" s="141">
        <v>3030000</v>
      </c>
      <c r="E284" t="s">
        <v>387</v>
      </c>
      <c r="F284" s="20" t="s">
        <v>372</v>
      </c>
      <c r="G284" s="8" t="str">
        <f t="shared" si="4"/>
        <v>BIRENBAUM THOMAS</v>
      </c>
    </row>
    <row r="285" spans="1:7" x14ac:dyDescent="0.25">
      <c r="A285" s="8">
        <v>42872.067164351851</v>
      </c>
      <c r="B285" t="s">
        <v>404</v>
      </c>
      <c r="C285" t="s">
        <v>410</v>
      </c>
      <c r="D285" s="141">
        <v>3010000</v>
      </c>
      <c r="E285" t="s">
        <v>399</v>
      </c>
      <c r="F285" s="20" t="s">
        <v>400</v>
      </c>
      <c r="G285" s="8" t="str">
        <f t="shared" si="4"/>
        <v>SULLIVAN BRANDON</v>
      </c>
    </row>
    <row r="286" spans="1:7" x14ac:dyDescent="0.25">
      <c r="A286" s="8">
        <v>42872.068761574075</v>
      </c>
      <c r="B286" t="s">
        <v>408</v>
      </c>
      <c r="C286" t="s">
        <v>409</v>
      </c>
      <c r="D286" s="141">
        <v>2970000</v>
      </c>
      <c r="E286" t="s">
        <v>385</v>
      </c>
      <c r="F286" s="20" t="s">
        <v>386</v>
      </c>
      <c r="G286" s="8" t="str">
        <f t="shared" si="4"/>
        <v>GUZMAN DANNY</v>
      </c>
    </row>
    <row r="287" spans="1:7" x14ac:dyDescent="0.25">
      <c r="A287" s="8">
        <v>42872.08258101852</v>
      </c>
      <c r="B287" t="s">
        <v>411</v>
      </c>
      <c r="C287" t="s">
        <v>412</v>
      </c>
      <c r="D287" s="141">
        <v>2970000</v>
      </c>
      <c r="E287" t="s">
        <v>385</v>
      </c>
      <c r="F287" s="20" t="s">
        <v>386</v>
      </c>
      <c r="G287" s="8" t="str">
        <f t="shared" si="4"/>
        <v>GUZMAN DANNY</v>
      </c>
    </row>
    <row r="288" spans="1:7" x14ac:dyDescent="0.25">
      <c r="A288" s="8">
        <v>42872.08861111111</v>
      </c>
      <c r="B288" t="s">
        <v>341</v>
      </c>
      <c r="C288" t="s">
        <v>416</v>
      </c>
      <c r="D288" s="141">
        <v>3090000</v>
      </c>
      <c r="E288" t="s">
        <v>381</v>
      </c>
      <c r="F288" s="20" t="s">
        <v>382</v>
      </c>
      <c r="G288" s="8" t="str">
        <f t="shared" si="4"/>
        <v>LAMAR NEKESHA</v>
      </c>
    </row>
    <row r="289" spans="1:7" x14ac:dyDescent="0.25">
      <c r="A289" s="8">
        <v>42872.095833333333</v>
      </c>
      <c r="B289" t="s">
        <v>408</v>
      </c>
      <c r="C289" t="s">
        <v>409</v>
      </c>
      <c r="D289" s="141">
        <v>2970000</v>
      </c>
      <c r="E289" t="s">
        <v>385</v>
      </c>
      <c r="F289" s="20" t="s">
        <v>386</v>
      </c>
      <c r="G289" s="8" t="str">
        <f t="shared" si="4"/>
        <v>GUZMAN DANNY</v>
      </c>
    </row>
    <row r="290" spans="1:7" x14ac:dyDescent="0.25">
      <c r="A290" s="8">
        <v>42872.099791666667</v>
      </c>
      <c r="B290" t="s">
        <v>405</v>
      </c>
      <c r="C290" t="s">
        <v>410</v>
      </c>
      <c r="D290" s="141">
        <v>3010000</v>
      </c>
      <c r="E290" t="s">
        <v>399</v>
      </c>
      <c r="F290" s="20" t="s">
        <v>400</v>
      </c>
      <c r="G290" s="8" t="str">
        <f t="shared" si="4"/>
        <v>SULLIVAN BRANDON</v>
      </c>
    </row>
    <row r="291" spans="1:7" x14ac:dyDescent="0.25">
      <c r="A291" s="8">
        <v>42872.100324074076</v>
      </c>
      <c r="B291" t="s">
        <v>405</v>
      </c>
      <c r="C291" t="s">
        <v>410</v>
      </c>
      <c r="D291" s="141">
        <v>3010000</v>
      </c>
      <c r="E291" t="s">
        <v>399</v>
      </c>
      <c r="F291" s="20" t="s">
        <v>400</v>
      </c>
      <c r="G291" s="8" t="str">
        <f t="shared" si="4"/>
        <v>SULLIVAN BRANDON</v>
      </c>
    </row>
    <row r="292" spans="1:7" x14ac:dyDescent="0.25">
      <c r="A292" s="8">
        <v>42872.100856481484</v>
      </c>
      <c r="B292" t="s">
        <v>405</v>
      </c>
      <c r="C292" t="s">
        <v>410</v>
      </c>
      <c r="D292" s="141">
        <v>3010000</v>
      </c>
      <c r="E292" t="s">
        <v>399</v>
      </c>
      <c r="F292" s="20" t="s">
        <v>400</v>
      </c>
      <c r="G292" s="8" t="str">
        <f t="shared" si="4"/>
        <v>SULLIVAN BRANDON</v>
      </c>
    </row>
    <row r="293" spans="1:7" x14ac:dyDescent="0.25">
      <c r="A293" s="8">
        <v>42872.1018287037</v>
      </c>
      <c r="B293" t="s">
        <v>405</v>
      </c>
      <c r="C293" t="s">
        <v>410</v>
      </c>
      <c r="D293" s="141">
        <v>3010000</v>
      </c>
      <c r="E293" t="s">
        <v>399</v>
      </c>
      <c r="F293" s="20" t="s">
        <v>400</v>
      </c>
      <c r="G293" s="8" t="str">
        <f t="shared" si="4"/>
        <v>SULLIVAN BRANDON</v>
      </c>
    </row>
    <row r="294" spans="1:7" x14ac:dyDescent="0.25">
      <c r="A294" s="8">
        <v>42872.110578703701</v>
      </c>
      <c r="B294" t="s">
        <v>411</v>
      </c>
      <c r="C294" t="s">
        <v>412</v>
      </c>
      <c r="D294" s="141">
        <v>2970000</v>
      </c>
      <c r="E294" t="s">
        <v>385</v>
      </c>
      <c r="F294" s="20" t="s">
        <v>386</v>
      </c>
      <c r="G294" s="8" t="str">
        <f t="shared" si="4"/>
        <v>GUZMAN DANNY</v>
      </c>
    </row>
    <row r="295" spans="1:7" x14ac:dyDescent="0.25">
      <c r="A295" s="8">
        <v>42864.030914351853</v>
      </c>
      <c r="B295" t="s">
        <v>341</v>
      </c>
      <c r="C295" t="s">
        <v>392</v>
      </c>
      <c r="D295" s="141">
        <v>1800000</v>
      </c>
      <c r="E295" t="s">
        <v>383</v>
      </c>
      <c r="F295" s="20" t="s">
        <v>384</v>
      </c>
      <c r="G295" s="8" t="str">
        <f t="shared" si="4"/>
        <v>CHANDLER KELVIN</v>
      </c>
    </row>
    <row r="296" spans="1:7" x14ac:dyDescent="0.25">
      <c r="A296" s="8">
        <v>42864.036122685182</v>
      </c>
      <c r="B296" t="s">
        <v>371</v>
      </c>
      <c r="C296" t="s">
        <v>393</v>
      </c>
      <c r="D296" s="141">
        <v>3030000</v>
      </c>
      <c r="E296" t="s">
        <v>387</v>
      </c>
      <c r="F296" s="20" t="s">
        <v>372</v>
      </c>
      <c r="G296" s="8" t="str">
        <f t="shared" si="4"/>
        <v>BIRENBAUM THOMAS</v>
      </c>
    </row>
    <row r="297" spans="1:7" x14ac:dyDescent="0.25">
      <c r="A297" s="8">
        <v>42864.042592592596</v>
      </c>
      <c r="B297" t="s">
        <v>380</v>
      </c>
      <c r="C297" t="s">
        <v>376</v>
      </c>
      <c r="D297" s="141">
        <v>2970000</v>
      </c>
      <c r="E297" t="s">
        <v>385</v>
      </c>
      <c r="F297" s="20" t="s">
        <v>386</v>
      </c>
      <c r="G297" s="8" t="str">
        <f t="shared" si="4"/>
        <v>GUZMAN DANNY</v>
      </c>
    </row>
    <row r="298" spans="1:7" x14ac:dyDescent="0.25">
      <c r="A298" s="8">
        <v>42864.048067129632</v>
      </c>
      <c r="B298" t="s">
        <v>362</v>
      </c>
      <c r="C298" t="s">
        <v>394</v>
      </c>
      <c r="D298" s="141">
        <v>2230000</v>
      </c>
      <c r="E298" t="s">
        <v>344</v>
      </c>
      <c r="F298" s="20" t="s">
        <v>194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374</v>
      </c>
      <c r="C299" t="s">
        <v>376</v>
      </c>
      <c r="D299" s="141">
        <v>2970000</v>
      </c>
      <c r="E299" t="s">
        <v>385</v>
      </c>
      <c r="F299" s="20" t="s">
        <v>386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375</v>
      </c>
      <c r="C300" t="s">
        <v>379</v>
      </c>
      <c r="D300" s="141">
        <v>3130000</v>
      </c>
      <c r="E300" t="s">
        <v>390</v>
      </c>
      <c r="F300" s="20" t="s">
        <v>391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374</v>
      </c>
      <c r="C301" t="s">
        <v>376</v>
      </c>
      <c r="D301" s="141">
        <v>2970000</v>
      </c>
      <c r="E301" t="s">
        <v>385</v>
      </c>
      <c r="F301" s="20" t="s">
        <v>386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369</v>
      </c>
      <c r="C302" t="s">
        <v>377</v>
      </c>
      <c r="D302" s="141">
        <v>3040000</v>
      </c>
      <c r="E302" t="s">
        <v>388</v>
      </c>
      <c r="F302" s="20" t="s">
        <v>389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369</v>
      </c>
      <c r="C303" t="s">
        <v>377</v>
      </c>
      <c r="D303" s="141">
        <v>3040000</v>
      </c>
      <c r="E303" t="s">
        <v>388</v>
      </c>
      <c r="F303" s="20" t="s">
        <v>389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343</v>
      </c>
      <c r="C304" t="s">
        <v>395</v>
      </c>
      <c r="D304" s="141">
        <v>3030000</v>
      </c>
      <c r="E304" t="s">
        <v>387</v>
      </c>
      <c r="F304" s="20" t="s">
        <v>372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380</v>
      </c>
      <c r="C305" t="s">
        <v>376</v>
      </c>
      <c r="D305" s="141">
        <v>2970000</v>
      </c>
      <c r="E305" t="s">
        <v>385</v>
      </c>
      <c r="F305" s="20" t="s">
        <v>386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374</v>
      </c>
      <c r="C306" t="s">
        <v>376</v>
      </c>
      <c r="D306" s="141">
        <v>2970000</v>
      </c>
      <c r="E306" t="s">
        <v>385</v>
      </c>
      <c r="F306" s="20" t="s">
        <v>386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370</v>
      </c>
      <c r="C307" t="s">
        <v>377</v>
      </c>
      <c r="D307" s="141">
        <v>3040000</v>
      </c>
      <c r="E307" t="s">
        <v>388</v>
      </c>
      <c r="F307" s="20" t="s">
        <v>389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378</v>
      </c>
      <c r="C308" t="s">
        <v>396</v>
      </c>
      <c r="D308" s="141">
        <v>3130000</v>
      </c>
      <c r="E308" t="s">
        <v>390</v>
      </c>
      <c r="F308" s="20" t="s">
        <v>391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369</v>
      </c>
      <c r="C309" t="s">
        <v>377</v>
      </c>
      <c r="D309" s="141">
        <v>3040000</v>
      </c>
      <c r="E309" t="s">
        <v>388</v>
      </c>
      <c r="F309" s="20" t="s">
        <v>389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380</v>
      </c>
      <c r="C310" t="s">
        <v>376</v>
      </c>
      <c r="D310" s="141">
        <v>2970000</v>
      </c>
      <c r="E310" t="s">
        <v>385</v>
      </c>
      <c r="F310" s="20" t="s">
        <v>386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374</v>
      </c>
      <c r="C311" t="s">
        <v>376</v>
      </c>
      <c r="D311" s="141">
        <v>2970000</v>
      </c>
      <c r="E311" t="s">
        <v>385</v>
      </c>
      <c r="F311" s="20" t="s">
        <v>386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44" customWidth="1"/>
    <col min="2" max="2" width="8.42578125" style="144" bestFit="1" customWidth="1"/>
    <col min="3" max="3" width="12.5703125" style="144" bestFit="1" customWidth="1"/>
    <col min="4" max="4" width="18.5703125" style="133" bestFit="1" customWidth="1"/>
    <col min="5" max="5" width="9.85546875" style="144" bestFit="1" customWidth="1"/>
    <col min="6" max="6" width="9" style="144" bestFit="1" customWidth="1"/>
    <col min="7" max="7" width="8.85546875" style="144" bestFit="1" customWidth="1"/>
    <col min="8" max="8" width="14" style="144" bestFit="1" customWidth="1"/>
    <col min="9" max="9" width="21.140625" style="144" bestFit="1" customWidth="1"/>
    <col min="10" max="10" width="8.7109375" style="144" bestFit="1" customWidth="1"/>
    <col min="11" max="11" width="11.28515625" style="144" bestFit="1" customWidth="1"/>
    <col min="12" max="12" width="11" style="144" bestFit="1" customWidth="1"/>
    <col min="13" max="13" width="11.28515625" style="144" bestFit="1" customWidth="1"/>
    <col min="14" max="14" width="13.7109375" style="144" bestFit="1" customWidth="1"/>
    <col min="15" max="15" width="14.85546875" style="144" bestFit="1" customWidth="1"/>
    <col min="16" max="16" width="16.7109375" style="144" bestFit="1" customWidth="1"/>
    <col min="17" max="17" width="9.42578125" style="113" bestFit="1" customWidth="1"/>
    <col min="18" max="16384" width="9.140625" style="113"/>
  </cols>
  <sheetData>
    <row r="1" spans="1:18" s="114" customFormat="1" x14ac:dyDescent="0.25">
      <c r="A1" s="178" t="s">
        <v>160</v>
      </c>
      <c r="B1" s="178" t="s">
        <v>163</v>
      </c>
      <c r="C1" s="178" t="s">
        <v>156</v>
      </c>
      <c r="D1" s="139" t="s">
        <v>168</v>
      </c>
      <c r="E1" s="178" t="s">
        <v>157</v>
      </c>
      <c r="F1" s="178" t="s">
        <v>155</v>
      </c>
      <c r="G1" s="178" t="s">
        <v>153</v>
      </c>
      <c r="H1" s="178" t="s">
        <v>166</v>
      </c>
      <c r="I1" s="178" t="s">
        <v>167</v>
      </c>
      <c r="J1" s="178" t="s">
        <v>161</v>
      </c>
      <c r="K1" s="178" t="s">
        <v>159</v>
      </c>
      <c r="L1" s="178" t="s">
        <v>154</v>
      </c>
      <c r="M1" s="178" t="s">
        <v>164</v>
      </c>
      <c r="N1" s="178" t="s">
        <v>158</v>
      </c>
      <c r="O1" s="178" t="s">
        <v>165</v>
      </c>
      <c r="P1" s="178" t="s">
        <v>162</v>
      </c>
      <c r="Q1"/>
      <c r="R1"/>
    </row>
    <row r="2" spans="1:18" x14ac:dyDescent="0.25">
      <c r="A2" s="179">
        <v>71.31</v>
      </c>
      <c r="B2" s="179">
        <v>0.16</v>
      </c>
      <c r="C2" s="179">
        <v>37.409999999999997</v>
      </c>
      <c r="D2" s="8">
        <v>42896</v>
      </c>
      <c r="E2" s="179">
        <v>0.28999999999999998</v>
      </c>
      <c r="F2" s="179" t="s">
        <v>824</v>
      </c>
      <c r="G2" s="179">
        <v>303.08</v>
      </c>
      <c r="H2" s="179">
        <v>0</v>
      </c>
      <c r="I2" s="179">
        <v>0</v>
      </c>
      <c r="J2" s="179">
        <v>1001.42</v>
      </c>
      <c r="K2" s="179" t="s">
        <v>825</v>
      </c>
      <c r="L2" s="179">
        <v>71.31</v>
      </c>
      <c r="M2" s="179">
        <v>1497074400</v>
      </c>
      <c r="N2" s="179">
        <v>1.69</v>
      </c>
      <c r="O2" s="179">
        <v>216</v>
      </c>
      <c r="P2" s="179">
        <v>4.4000000000000004</v>
      </c>
      <c r="Q2"/>
      <c r="R2"/>
    </row>
    <row r="3" spans="1:18" x14ac:dyDescent="0.25">
      <c r="A3" s="179">
        <v>69.31</v>
      </c>
      <c r="B3" s="179">
        <v>0.16</v>
      </c>
      <c r="C3" s="179">
        <v>36.47</v>
      </c>
      <c r="D3" s="8">
        <v>42896.041666666664</v>
      </c>
      <c r="E3" s="179">
        <v>0.3</v>
      </c>
      <c r="F3" s="179" t="s">
        <v>824</v>
      </c>
      <c r="G3" s="179">
        <v>301.7</v>
      </c>
      <c r="H3" s="179">
        <v>0</v>
      </c>
      <c r="I3" s="179">
        <v>0</v>
      </c>
      <c r="J3" s="179">
        <v>1001.53</v>
      </c>
      <c r="K3" s="179" t="s">
        <v>825</v>
      </c>
      <c r="L3" s="179">
        <v>69.31</v>
      </c>
      <c r="M3" s="179">
        <v>1497078000</v>
      </c>
      <c r="N3" s="179">
        <v>1.73</v>
      </c>
      <c r="O3" s="179">
        <v>193</v>
      </c>
      <c r="P3" s="179">
        <v>3.85</v>
      </c>
      <c r="Q3"/>
      <c r="R3"/>
    </row>
    <row r="4" spans="1:18" x14ac:dyDescent="0.25">
      <c r="A4" s="179">
        <v>68.27</v>
      </c>
      <c r="B4" s="179">
        <v>0.27</v>
      </c>
      <c r="C4" s="179">
        <v>35.9</v>
      </c>
      <c r="D4" s="8">
        <v>42896.083333333336</v>
      </c>
      <c r="E4" s="179">
        <v>0.3</v>
      </c>
      <c r="F4" s="179" t="s">
        <v>824</v>
      </c>
      <c r="G4" s="179">
        <v>300.31</v>
      </c>
      <c r="H4" s="179">
        <v>0</v>
      </c>
      <c r="I4" s="179">
        <v>0</v>
      </c>
      <c r="J4" s="179">
        <v>1001.65</v>
      </c>
      <c r="K4" s="179" t="s">
        <v>825</v>
      </c>
      <c r="L4" s="179">
        <v>68.27</v>
      </c>
      <c r="M4" s="179">
        <v>1497081600</v>
      </c>
      <c r="N4" s="179">
        <v>1.94</v>
      </c>
      <c r="O4" s="179">
        <v>202</v>
      </c>
      <c r="P4" s="179">
        <v>3.58</v>
      </c>
      <c r="Q4"/>
      <c r="R4"/>
    </row>
    <row r="5" spans="1:18" x14ac:dyDescent="0.25">
      <c r="A5" s="179">
        <v>65.55</v>
      </c>
      <c r="B5" s="179">
        <v>0.36</v>
      </c>
      <c r="C5" s="179">
        <v>34.71</v>
      </c>
      <c r="D5" s="8">
        <v>42896.125</v>
      </c>
      <c r="E5" s="179">
        <v>0.32</v>
      </c>
      <c r="F5" s="179" t="s">
        <v>824</v>
      </c>
      <c r="G5" s="179">
        <v>298.93</v>
      </c>
      <c r="H5" s="179">
        <v>0</v>
      </c>
      <c r="I5" s="179">
        <v>0</v>
      </c>
      <c r="J5" s="179">
        <v>1001.78</v>
      </c>
      <c r="K5" s="179" t="s">
        <v>825</v>
      </c>
      <c r="L5" s="179">
        <v>65.55</v>
      </c>
      <c r="M5" s="179">
        <v>1497085200</v>
      </c>
      <c r="N5" s="179">
        <v>1.7</v>
      </c>
      <c r="O5" s="179">
        <v>197</v>
      </c>
      <c r="P5" s="179">
        <v>2.14</v>
      </c>
      <c r="Q5"/>
      <c r="R5"/>
    </row>
    <row r="6" spans="1:18" x14ac:dyDescent="0.25">
      <c r="A6" s="179">
        <v>64.239999999999995</v>
      </c>
      <c r="B6" s="179">
        <v>0.4</v>
      </c>
      <c r="C6" s="179">
        <v>33.68</v>
      </c>
      <c r="D6" s="8">
        <v>42896.166666666664</v>
      </c>
      <c r="E6" s="179">
        <v>0.32</v>
      </c>
      <c r="F6" s="179" t="s">
        <v>824</v>
      </c>
      <c r="G6" s="179">
        <v>298.17</v>
      </c>
      <c r="H6" s="179">
        <v>0</v>
      </c>
      <c r="I6" s="179">
        <v>0</v>
      </c>
      <c r="J6" s="179">
        <v>1001.87</v>
      </c>
      <c r="K6" s="179" t="s">
        <v>825</v>
      </c>
      <c r="L6" s="179">
        <v>64.239999999999995</v>
      </c>
      <c r="M6" s="179">
        <v>1497088800</v>
      </c>
      <c r="N6" s="179">
        <v>1.87</v>
      </c>
      <c r="O6" s="179">
        <v>192</v>
      </c>
      <c r="P6" s="179">
        <v>2.2799999999999998</v>
      </c>
      <c r="Q6"/>
      <c r="R6"/>
    </row>
    <row r="7" spans="1:18" x14ac:dyDescent="0.25">
      <c r="A7" s="179">
        <v>66.58</v>
      </c>
      <c r="B7" s="179">
        <v>0.35</v>
      </c>
      <c r="C7" s="179">
        <v>37.76</v>
      </c>
      <c r="D7" s="8">
        <v>42896.208333333336</v>
      </c>
      <c r="E7" s="179">
        <v>0.35</v>
      </c>
      <c r="F7" s="179" t="s">
        <v>484</v>
      </c>
      <c r="G7" s="179">
        <v>297.72000000000003</v>
      </c>
      <c r="H7" s="179">
        <v>0</v>
      </c>
      <c r="I7" s="179">
        <v>0</v>
      </c>
      <c r="J7" s="179">
        <v>1001.95</v>
      </c>
      <c r="K7" s="179" t="s">
        <v>476</v>
      </c>
      <c r="L7" s="179">
        <v>66.58</v>
      </c>
      <c r="M7" s="179">
        <v>1497092400</v>
      </c>
      <c r="N7" s="179">
        <v>2.0499999999999998</v>
      </c>
      <c r="O7" s="179">
        <v>197</v>
      </c>
      <c r="P7" s="179">
        <v>2.52</v>
      </c>
      <c r="Q7"/>
      <c r="R7"/>
    </row>
    <row r="8" spans="1:18" x14ac:dyDescent="0.25">
      <c r="A8" s="179">
        <v>64.67</v>
      </c>
      <c r="B8" s="179">
        <v>0.38</v>
      </c>
      <c r="C8" s="179">
        <v>38.85</v>
      </c>
      <c r="D8" s="8">
        <v>42896.25</v>
      </c>
      <c r="E8" s="179">
        <v>0.39</v>
      </c>
      <c r="F8" s="179" t="s">
        <v>824</v>
      </c>
      <c r="G8" s="179">
        <v>297.52999999999997</v>
      </c>
      <c r="H8" s="179">
        <v>0</v>
      </c>
      <c r="I8" s="179">
        <v>0</v>
      </c>
      <c r="J8" s="179">
        <v>1002.04</v>
      </c>
      <c r="K8" s="179" t="s">
        <v>825</v>
      </c>
      <c r="L8" s="179">
        <v>64.67</v>
      </c>
      <c r="M8" s="179">
        <v>1497096000</v>
      </c>
      <c r="N8" s="179">
        <v>1.65</v>
      </c>
      <c r="O8" s="179">
        <v>201</v>
      </c>
      <c r="P8" s="179">
        <v>2.12</v>
      </c>
      <c r="Q8"/>
      <c r="R8"/>
    </row>
    <row r="9" spans="1:18" x14ac:dyDescent="0.25">
      <c r="A9" s="179">
        <v>65.75</v>
      </c>
      <c r="B9" s="179">
        <v>0.4</v>
      </c>
      <c r="C9" s="179">
        <v>39.72</v>
      </c>
      <c r="D9" s="8">
        <v>42896.291666666664</v>
      </c>
      <c r="E9" s="179">
        <v>0.38</v>
      </c>
      <c r="F9" s="179" t="s">
        <v>824</v>
      </c>
      <c r="G9" s="179">
        <v>297.63</v>
      </c>
      <c r="H9" s="179">
        <v>0</v>
      </c>
      <c r="I9" s="179">
        <v>0</v>
      </c>
      <c r="J9" s="179">
        <v>1002.04</v>
      </c>
      <c r="K9" s="179" t="s">
        <v>825</v>
      </c>
      <c r="L9" s="179">
        <v>65.75</v>
      </c>
      <c r="M9" s="179">
        <v>1497099600</v>
      </c>
      <c r="N9" s="179">
        <v>1.5</v>
      </c>
      <c r="O9" s="179">
        <v>265</v>
      </c>
      <c r="P9" s="179">
        <v>1.97</v>
      </c>
      <c r="Q9"/>
      <c r="R9"/>
    </row>
    <row r="10" spans="1:18" x14ac:dyDescent="0.25">
      <c r="A10" s="179">
        <v>71.989999999999995</v>
      </c>
      <c r="B10" s="179">
        <v>0.39</v>
      </c>
      <c r="C10" s="179">
        <v>42.98</v>
      </c>
      <c r="D10" s="8">
        <v>42896.333333333336</v>
      </c>
      <c r="E10" s="179">
        <v>0.35</v>
      </c>
      <c r="F10" s="179" t="s">
        <v>824</v>
      </c>
      <c r="G10" s="179">
        <v>297.99</v>
      </c>
      <c r="H10" s="179">
        <v>0</v>
      </c>
      <c r="I10" s="179">
        <v>0</v>
      </c>
      <c r="J10" s="179">
        <v>1002.01</v>
      </c>
      <c r="K10" s="179" t="s">
        <v>825</v>
      </c>
      <c r="L10" s="179">
        <v>71.989999999999995</v>
      </c>
      <c r="M10" s="179">
        <v>1497103200</v>
      </c>
      <c r="N10" s="179">
        <v>1.43</v>
      </c>
      <c r="O10" s="179">
        <v>229</v>
      </c>
      <c r="P10" s="179">
        <v>2.93</v>
      </c>
      <c r="Q10"/>
      <c r="R10"/>
    </row>
    <row r="11" spans="1:18" x14ac:dyDescent="0.25">
      <c r="A11" s="179">
        <v>78.92</v>
      </c>
      <c r="B11" s="179">
        <v>0.32</v>
      </c>
      <c r="C11" s="179">
        <v>41</v>
      </c>
      <c r="D11" s="8">
        <v>42896.375</v>
      </c>
      <c r="E11" s="179">
        <v>0.25</v>
      </c>
      <c r="F11" s="179" t="s">
        <v>824</v>
      </c>
      <c r="G11" s="179">
        <v>298.54000000000002</v>
      </c>
      <c r="H11" s="179">
        <v>0</v>
      </c>
      <c r="I11" s="179">
        <v>0</v>
      </c>
      <c r="J11" s="179">
        <v>1001.74</v>
      </c>
      <c r="K11" s="179" t="s">
        <v>825</v>
      </c>
      <c r="L11" s="179">
        <v>80.09</v>
      </c>
      <c r="M11" s="179">
        <v>1497106800</v>
      </c>
      <c r="N11" s="179">
        <v>1.41</v>
      </c>
      <c r="O11" s="179">
        <v>214</v>
      </c>
      <c r="P11" s="179">
        <v>2.2200000000000002</v>
      </c>
      <c r="Q11"/>
      <c r="R11"/>
    </row>
    <row r="12" spans="1:18" x14ac:dyDescent="0.25">
      <c r="A12" s="179">
        <v>81.92</v>
      </c>
      <c r="B12" s="179">
        <v>0.3</v>
      </c>
      <c r="C12" s="179">
        <v>38.14</v>
      </c>
      <c r="D12" s="8">
        <v>42896.416666666664</v>
      </c>
      <c r="E12" s="179">
        <v>0.19</v>
      </c>
      <c r="F12" s="179" t="s">
        <v>824</v>
      </c>
      <c r="G12" s="179">
        <v>299.33</v>
      </c>
      <c r="H12" s="179">
        <v>0</v>
      </c>
      <c r="I12" s="179">
        <v>0</v>
      </c>
      <c r="J12" s="179">
        <v>1001.61</v>
      </c>
      <c r="K12" s="179" t="s">
        <v>825</v>
      </c>
      <c r="L12" s="179">
        <v>84.9</v>
      </c>
      <c r="M12" s="179">
        <v>1497110400</v>
      </c>
      <c r="N12" s="179">
        <v>1.41</v>
      </c>
      <c r="O12" s="179">
        <v>164</v>
      </c>
      <c r="P12" s="179">
        <v>2.06</v>
      </c>
      <c r="Q12"/>
      <c r="R12"/>
    </row>
    <row r="13" spans="1:18" x14ac:dyDescent="0.25">
      <c r="A13" s="179">
        <v>84.5</v>
      </c>
      <c r="B13" s="179">
        <v>0.35</v>
      </c>
      <c r="C13" s="179">
        <v>36.799999999999997</v>
      </c>
      <c r="D13" s="8">
        <v>42896.458333333336</v>
      </c>
      <c r="E13" s="179">
        <v>0.16</v>
      </c>
      <c r="F13" s="179" t="s">
        <v>824</v>
      </c>
      <c r="G13" s="179">
        <v>300.3</v>
      </c>
      <c r="H13" s="179">
        <v>0</v>
      </c>
      <c r="I13" s="179">
        <v>0</v>
      </c>
      <c r="J13" s="179">
        <v>1001.53</v>
      </c>
      <c r="K13" s="179" t="s">
        <v>825</v>
      </c>
      <c r="L13" s="179">
        <v>88.22</v>
      </c>
      <c r="M13" s="179">
        <v>1497114000</v>
      </c>
      <c r="N13" s="179">
        <v>1.42</v>
      </c>
      <c r="O13" s="179">
        <v>113</v>
      </c>
      <c r="P13" s="179">
        <v>2.63</v>
      </c>
      <c r="Q13"/>
      <c r="R13"/>
    </row>
    <row r="14" spans="1:18" x14ac:dyDescent="0.25">
      <c r="A14" s="179">
        <v>86.56</v>
      </c>
      <c r="B14" s="179">
        <v>0.28999999999999998</v>
      </c>
      <c r="C14" s="179">
        <v>36.74</v>
      </c>
      <c r="D14" s="8">
        <v>42896.5</v>
      </c>
      <c r="E14" s="179">
        <v>0.15</v>
      </c>
      <c r="F14" s="179" t="s">
        <v>824</v>
      </c>
      <c r="G14" s="179">
        <v>301.2</v>
      </c>
      <c r="H14" s="179">
        <v>0</v>
      </c>
      <c r="I14" s="179">
        <v>0</v>
      </c>
      <c r="J14" s="179">
        <v>1001.15</v>
      </c>
      <c r="K14" s="179" t="s">
        <v>825</v>
      </c>
      <c r="L14" s="179">
        <v>90.66</v>
      </c>
      <c r="M14" s="179">
        <v>1497117600</v>
      </c>
      <c r="N14" s="179">
        <v>1.44</v>
      </c>
      <c r="O14" s="179">
        <v>102</v>
      </c>
      <c r="P14" s="179">
        <v>3.37</v>
      </c>
      <c r="Q14"/>
      <c r="R14"/>
    </row>
    <row r="15" spans="1:18" x14ac:dyDescent="0.25">
      <c r="A15" s="179">
        <v>87.36</v>
      </c>
      <c r="B15" s="179">
        <v>0.28000000000000003</v>
      </c>
      <c r="C15" s="179">
        <v>36.29</v>
      </c>
      <c r="D15" s="8">
        <v>42896.541666666664</v>
      </c>
      <c r="E15" s="179">
        <v>0.14000000000000001</v>
      </c>
      <c r="F15" s="179" t="s">
        <v>475</v>
      </c>
      <c r="G15" s="179">
        <v>301.77999999999997</v>
      </c>
      <c r="H15" s="179">
        <v>0</v>
      </c>
      <c r="I15" s="179">
        <v>0</v>
      </c>
      <c r="J15" s="179">
        <v>1000.19</v>
      </c>
      <c r="K15" s="179" t="s">
        <v>476</v>
      </c>
      <c r="L15" s="179">
        <v>91.59</v>
      </c>
      <c r="M15" s="179">
        <v>1497121200</v>
      </c>
      <c r="N15" s="179">
        <v>10</v>
      </c>
      <c r="O15" s="179">
        <v>105</v>
      </c>
      <c r="P15" s="179">
        <v>3.73</v>
      </c>
      <c r="Q15"/>
      <c r="R15"/>
    </row>
    <row r="16" spans="1:18" x14ac:dyDescent="0.25">
      <c r="A16" s="179">
        <v>89.27</v>
      </c>
      <c r="B16" s="179">
        <v>0.31</v>
      </c>
      <c r="C16" s="179">
        <v>40.74</v>
      </c>
      <c r="D16" s="8">
        <v>42896.583333333336</v>
      </c>
      <c r="E16" s="179">
        <v>0.16</v>
      </c>
      <c r="F16" s="179" t="s">
        <v>824</v>
      </c>
      <c r="G16" s="179">
        <v>302.27999999999997</v>
      </c>
      <c r="H16" s="179">
        <v>0</v>
      </c>
      <c r="I16" s="179">
        <v>0</v>
      </c>
      <c r="J16" s="179">
        <v>998.94</v>
      </c>
      <c r="K16" s="179" t="s">
        <v>825</v>
      </c>
      <c r="L16" s="179">
        <v>93.47</v>
      </c>
      <c r="M16" s="179">
        <v>1497124800</v>
      </c>
      <c r="N16" s="179">
        <v>1.44</v>
      </c>
      <c r="O16" s="179">
        <v>106</v>
      </c>
      <c r="P16" s="179">
        <v>3.4</v>
      </c>
      <c r="Q16"/>
      <c r="R16"/>
    </row>
    <row r="17" spans="1:18" x14ac:dyDescent="0.25">
      <c r="A17" s="179">
        <v>90.29</v>
      </c>
      <c r="B17" s="179">
        <v>0.23</v>
      </c>
      <c r="C17" s="179">
        <v>42.53</v>
      </c>
      <c r="D17" s="8">
        <v>42896.625</v>
      </c>
      <c r="E17" s="179">
        <v>0.17</v>
      </c>
      <c r="F17" s="179" t="s">
        <v>514</v>
      </c>
      <c r="G17" s="179">
        <v>303.14999999999998</v>
      </c>
      <c r="H17" s="179">
        <v>0</v>
      </c>
      <c r="I17" s="179">
        <v>0</v>
      </c>
      <c r="J17" s="179">
        <v>998.06</v>
      </c>
      <c r="K17" s="179" t="s">
        <v>513</v>
      </c>
      <c r="L17" s="179">
        <v>94.42</v>
      </c>
      <c r="M17" s="179">
        <v>1497128400</v>
      </c>
      <c r="N17" s="179">
        <v>3.43</v>
      </c>
      <c r="O17" s="179">
        <v>118</v>
      </c>
      <c r="P17" s="179">
        <v>1.64</v>
      </c>
      <c r="Q17"/>
      <c r="R17"/>
    </row>
    <row r="18" spans="1:18" x14ac:dyDescent="0.25">
      <c r="A18" s="179">
        <v>90.21</v>
      </c>
      <c r="B18" s="179">
        <v>0.35</v>
      </c>
      <c r="C18" s="179">
        <v>38.56</v>
      </c>
      <c r="D18" s="8">
        <v>42896.666666666664</v>
      </c>
      <c r="E18" s="179">
        <v>0.14000000000000001</v>
      </c>
      <c r="F18" s="179" t="s">
        <v>475</v>
      </c>
      <c r="G18" s="179">
        <v>304.87</v>
      </c>
      <c r="H18" s="179">
        <v>0</v>
      </c>
      <c r="I18" s="179">
        <v>0</v>
      </c>
      <c r="J18" s="179">
        <v>997.82</v>
      </c>
      <c r="K18" s="179" t="s">
        <v>476</v>
      </c>
      <c r="L18" s="179">
        <v>94.65</v>
      </c>
      <c r="M18" s="179">
        <v>1497132000</v>
      </c>
      <c r="N18" s="179">
        <v>3.37</v>
      </c>
      <c r="O18" s="179">
        <v>330</v>
      </c>
      <c r="P18" s="179">
        <v>0.89</v>
      </c>
      <c r="Q18"/>
      <c r="R18"/>
    </row>
    <row r="19" spans="1:18" x14ac:dyDescent="0.25">
      <c r="A19" s="179">
        <v>89.5</v>
      </c>
      <c r="B19" s="179">
        <v>0.44</v>
      </c>
      <c r="C19" s="179">
        <v>40.78</v>
      </c>
      <c r="D19" s="8">
        <v>42896.708333333336</v>
      </c>
      <c r="E19" s="179">
        <v>0.16</v>
      </c>
      <c r="F19" s="179" t="s">
        <v>475</v>
      </c>
      <c r="G19" s="179">
        <v>306.95999999999998</v>
      </c>
      <c r="H19" s="179">
        <v>0</v>
      </c>
      <c r="I19" s="179">
        <v>0</v>
      </c>
      <c r="J19" s="179">
        <v>997.52</v>
      </c>
      <c r="K19" s="179" t="s">
        <v>476</v>
      </c>
      <c r="L19" s="179">
        <v>93.71</v>
      </c>
      <c r="M19" s="179">
        <v>1497135600</v>
      </c>
      <c r="N19" s="179">
        <v>3.37</v>
      </c>
      <c r="O19" s="179">
        <v>272</v>
      </c>
      <c r="P19" s="179">
        <v>2.19</v>
      </c>
      <c r="Q19"/>
      <c r="R19"/>
    </row>
    <row r="20" spans="1:18" x14ac:dyDescent="0.25">
      <c r="A20" s="179">
        <v>86.25</v>
      </c>
      <c r="B20" s="179">
        <v>0.45</v>
      </c>
      <c r="C20" s="179">
        <v>48.49</v>
      </c>
      <c r="D20" s="8">
        <v>42896.75</v>
      </c>
      <c r="E20" s="179">
        <v>0.25</v>
      </c>
      <c r="F20" s="179" t="s">
        <v>475</v>
      </c>
      <c r="G20" s="179">
        <v>308.44</v>
      </c>
      <c r="H20" s="179">
        <v>0</v>
      </c>
      <c r="I20" s="179">
        <v>0</v>
      </c>
      <c r="J20" s="179">
        <v>997.36</v>
      </c>
      <c r="K20" s="179" t="s">
        <v>476</v>
      </c>
      <c r="L20" s="179">
        <v>89.33</v>
      </c>
      <c r="M20" s="179">
        <v>1497139200</v>
      </c>
      <c r="N20" s="179">
        <v>3.47</v>
      </c>
      <c r="O20" s="179">
        <v>280</v>
      </c>
      <c r="P20" s="179">
        <v>4.6900000000000004</v>
      </c>
      <c r="Q20"/>
      <c r="R20"/>
    </row>
    <row r="21" spans="1:18" x14ac:dyDescent="0.25">
      <c r="A21" s="179">
        <v>82.87</v>
      </c>
      <c r="B21" s="179">
        <v>0.38</v>
      </c>
      <c r="C21" s="179">
        <v>50.12</v>
      </c>
      <c r="D21" s="8">
        <v>42896.791666666664</v>
      </c>
      <c r="E21" s="179">
        <v>0.3</v>
      </c>
      <c r="F21" s="179" t="s">
        <v>475</v>
      </c>
      <c r="G21" s="179">
        <v>308.81</v>
      </c>
      <c r="H21" s="179">
        <v>0</v>
      </c>
      <c r="I21" s="179">
        <v>0</v>
      </c>
      <c r="J21" s="179">
        <v>997.12</v>
      </c>
      <c r="K21" s="179" t="s">
        <v>476</v>
      </c>
      <c r="L21" s="179">
        <v>85.01</v>
      </c>
      <c r="M21" s="179">
        <v>1497142800</v>
      </c>
      <c r="N21" s="179">
        <v>3.72</v>
      </c>
      <c r="O21" s="179">
        <v>288</v>
      </c>
      <c r="P21" s="179">
        <v>3.69</v>
      </c>
      <c r="Q21"/>
      <c r="R21"/>
    </row>
    <row r="22" spans="1:18" x14ac:dyDescent="0.25">
      <c r="A22" s="179">
        <v>80.930000000000007</v>
      </c>
      <c r="B22" s="179">
        <v>0.3</v>
      </c>
      <c r="C22" s="179">
        <v>51.15</v>
      </c>
      <c r="D22" s="8">
        <v>42896.833333333336</v>
      </c>
      <c r="E22" s="179">
        <v>0.34</v>
      </c>
      <c r="F22" s="179" t="s">
        <v>475</v>
      </c>
      <c r="G22" s="179">
        <v>308.57</v>
      </c>
      <c r="H22" s="179">
        <v>0</v>
      </c>
      <c r="I22" s="179">
        <v>0</v>
      </c>
      <c r="J22" s="179">
        <v>997.65</v>
      </c>
      <c r="K22" s="179" t="s">
        <v>476</v>
      </c>
      <c r="L22" s="179">
        <v>82.09</v>
      </c>
      <c r="M22" s="179">
        <v>1497146400</v>
      </c>
      <c r="N22" s="179">
        <v>4.2</v>
      </c>
      <c r="O22" s="179">
        <v>302</v>
      </c>
      <c r="P22" s="179">
        <v>3.57</v>
      </c>
      <c r="Q22"/>
      <c r="R22"/>
    </row>
    <row r="23" spans="1:18" x14ac:dyDescent="0.25">
      <c r="A23" s="179">
        <v>77.78</v>
      </c>
      <c r="B23" s="179">
        <v>0.17</v>
      </c>
      <c r="C23" s="179">
        <v>50.71</v>
      </c>
      <c r="D23" s="8">
        <v>42896.875</v>
      </c>
      <c r="E23" s="179">
        <v>0.39</v>
      </c>
      <c r="F23" s="179" t="s">
        <v>512</v>
      </c>
      <c r="G23" s="179">
        <v>308.26</v>
      </c>
      <c r="H23" s="179">
        <v>0</v>
      </c>
      <c r="I23" s="179">
        <v>0</v>
      </c>
      <c r="J23" s="179">
        <v>998.38</v>
      </c>
      <c r="K23" s="179" t="s">
        <v>513</v>
      </c>
      <c r="L23" s="179">
        <v>77.78</v>
      </c>
      <c r="M23" s="179">
        <v>1497150000</v>
      </c>
      <c r="N23" s="179">
        <v>5.15</v>
      </c>
      <c r="O23" s="179">
        <v>297</v>
      </c>
      <c r="P23" s="179">
        <v>3.51</v>
      </c>
      <c r="Q23"/>
      <c r="R23"/>
    </row>
    <row r="24" spans="1:18" x14ac:dyDescent="0.25">
      <c r="A24" s="179">
        <v>75.69</v>
      </c>
      <c r="B24" s="179">
        <v>0.06</v>
      </c>
      <c r="C24" s="179">
        <v>51.8</v>
      </c>
      <c r="D24" s="8">
        <v>42896.916666666664</v>
      </c>
      <c r="E24" s="179">
        <v>0.43</v>
      </c>
      <c r="F24" s="179" t="s">
        <v>512</v>
      </c>
      <c r="G24" s="179">
        <v>308.02999999999997</v>
      </c>
      <c r="H24" s="179">
        <v>0</v>
      </c>
      <c r="I24" s="179">
        <v>0</v>
      </c>
      <c r="J24" s="179">
        <v>998.99</v>
      </c>
      <c r="K24" s="179" t="s">
        <v>513</v>
      </c>
      <c r="L24" s="179">
        <v>75.69</v>
      </c>
      <c r="M24" s="179">
        <v>1497153600</v>
      </c>
      <c r="N24" s="179">
        <v>4.62</v>
      </c>
      <c r="O24" s="179">
        <v>272</v>
      </c>
      <c r="P24" s="179">
        <v>1.86</v>
      </c>
      <c r="Q24"/>
      <c r="R24"/>
    </row>
    <row r="25" spans="1:18" x14ac:dyDescent="0.25">
      <c r="A25" s="179">
        <v>72.91</v>
      </c>
      <c r="B25" s="179">
        <v>7.0000000000000007E-2</v>
      </c>
      <c r="C25" s="179">
        <v>51.49</v>
      </c>
      <c r="D25" s="8">
        <v>42896.958333333336</v>
      </c>
      <c r="E25" s="179">
        <v>0.47</v>
      </c>
      <c r="F25" s="179" t="s">
        <v>512</v>
      </c>
      <c r="G25" s="179">
        <v>307.72000000000003</v>
      </c>
      <c r="H25" s="179">
        <v>0</v>
      </c>
      <c r="I25" s="179">
        <v>0</v>
      </c>
      <c r="J25" s="179">
        <v>999.58</v>
      </c>
      <c r="K25" s="179" t="s">
        <v>513</v>
      </c>
      <c r="L25" s="179">
        <v>72.91</v>
      </c>
      <c r="M25" s="179">
        <v>1497157200</v>
      </c>
      <c r="N25" s="179">
        <v>3.41</v>
      </c>
      <c r="O25" s="179">
        <v>244</v>
      </c>
      <c r="P25" s="179">
        <v>2.1</v>
      </c>
      <c r="Q25"/>
      <c r="R25"/>
    </row>
    <row r="26" spans="1:18" x14ac:dyDescent="0.25">
      <c r="A26" s="179">
        <v>69.73</v>
      </c>
      <c r="B26" s="179">
        <v>0.05</v>
      </c>
      <c r="C26" s="179">
        <v>51.05</v>
      </c>
      <c r="D26" s="8">
        <v>42897</v>
      </c>
      <c r="E26" s="179">
        <v>0.52</v>
      </c>
      <c r="F26" s="179" t="s">
        <v>512</v>
      </c>
      <c r="G26" s="179">
        <v>307.41000000000003</v>
      </c>
      <c r="H26" s="179">
        <v>0</v>
      </c>
      <c r="I26" s="179">
        <v>0</v>
      </c>
      <c r="J26" s="179">
        <v>1000.03</v>
      </c>
      <c r="K26" s="179" t="s">
        <v>513</v>
      </c>
      <c r="L26" s="179">
        <v>69.73</v>
      </c>
      <c r="M26" s="179">
        <v>1497160800</v>
      </c>
      <c r="N26" s="179">
        <v>2.75</v>
      </c>
      <c r="O26" s="179">
        <v>215</v>
      </c>
      <c r="P26" s="179">
        <v>2.0299999999999998</v>
      </c>
      <c r="Q26"/>
      <c r="R26"/>
    </row>
    <row r="27" spans="1:18" x14ac:dyDescent="0.25">
      <c r="A27" s="179">
        <v>67.760000000000005</v>
      </c>
      <c r="B27" s="179">
        <v>0.21</v>
      </c>
      <c r="C27" s="179">
        <v>49.05</v>
      </c>
      <c r="D27" s="8">
        <v>42897.041666666664</v>
      </c>
      <c r="E27" s="179">
        <v>0.51</v>
      </c>
      <c r="F27" s="179" t="s">
        <v>512</v>
      </c>
      <c r="G27" s="179">
        <v>307.11</v>
      </c>
      <c r="H27" s="179">
        <v>0</v>
      </c>
      <c r="I27" s="179">
        <v>0</v>
      </c>
      <c r="J27" s="179">
        <v>1000.32</v>
      </c>
      <c r="K27" s="179" t="s">
        <v>513</v>
      </c>
      <c r="L27" s="179">
        <v>67.760000000000005</v>
      </c>
      <c r="M27" s="179">
        <v>1497164400</v>
      </c>
      <c r="N27" s="179">
        <v>2.67</v>
      </c>
      <c r="O27" s="179">
        <v>205</v>
      </c>
      <c r="P27" s="179">
        <v>2.35</v>
      </c>
      <c r="Q27"/>
      <c r="R27"/>
    </row>
    <row r="28" spans="1:18" x14ac:dyDescent="0.25">
      <c r="A28" s="179">
        <v>66.47</v>
      </c>
      <c r="B28" s="179">
        <v>0.22</v>
      </c>
      <c r="C28" s="179">
        <v>47.85</v>
      </c>
      <c r="D28" s="8">
        <v>42897.083333333336</v>
      </c>
      <c r="E28" s="179">
        <v>0.51</v>
      </c>
      <c r="F28" s="179" t="s">
        <v>512</v>
      </c>
      <c r="G28" s="179">
        <v>306.81</v>
      </c>
      <c r="H28" s="179">
        <v>0</v>
      </c>
      <c r="I28" s="179">
        <v>0</v>
      </c>
      <c r="J28" s="179">
        <v>1000.59</v>
      </c>
      <c r="K28" s="179" t="s">
        <v>513</v>
      </c>
      <c r="L28" s="179">
        <v>66.47</v>
      </c>
      <c r="M28" s="179">
        <v>1497168000</v>
      </c>
      <c r="N28" s="179">
        <v>10</v>
      </c>
      <c r="O28" s="179">
        <v>253</v>
      </c>
      <c r="P28" s="179">
        <v>2.78</v>
      </c>
      <c r="Q28"/>
      <c r="R28"/>
    </row>
    <row r="29" spans="1:18" x14ac:dyDescent="0.25">
      <c r="A29" s="179">
        <v>63.78</v>
      </c>
      <c r="B29" s="179">
        <v>0.25</v>
      </c>
      <c r="C29" s="179">
        <v>42.71</v>
      </c>
      <c r="D29" s="8">
        <v>42897.125</v>
      </c>
      <c r="E29" s="179">
        <v>0.46</v>
      </c>
      <c r="F29" s="179" t="s">
        <v>484</v>
      </c>
      <c r="G29" s="179">
        <v>306.5</v>
      </c>
      <c r="H29" s="179">
        <v>0</v>
      </c>
      <c r="I29" s="179">
        <v>0</v>
      </c>
      <c r="J29" s="179">
        <v>1000.87</v>
      </c>
      <c r="K29" s="179" t="s">
        <v>476</v>
      </c>
      <c r="L29" s="179">
        <v>63.78</v>
      </c>
      <c r="M29" s="179">
        <v>1497171600</v>
      </c>
      <c r="N29" s="179">
        <v>2.11</v>
      </c>
      <c r="O29" s="179">
        <v>253</v>
      </c>
      <c r="P29" s="179">
        <v>2.76</v>
      </c>
      <c r="Q29"/>
      <c r="R29"/>
    </row>
    <row r="30" spans="1:18" x14ac:dyDescent="0.25">
      <c r="A30" s="143"/>
      <c r="B30" s="143"/>
      <c r="C30" s="143"/>
      <c r="D30" s="8"/>
      <c r="E30" s="143"/>
      <c r="F30" s="143"/>
      <c r="G30" s="143"/>
      <c r="H30" s="143"/>
      <c r="I30" s="143"/>
      <c r="J30" s="143"/>
      <c r="K30" s="143"/>
      <c r="L30" s="143"/>
      <c r="M30" s="143"/>
      <c r="N30" s="143"/>
      <c r="O30" s="143"/>
      <c r="P30" s="143"/>
    </row>
    <row r="31" spans="1:18" x14ac:dyDescent="0.25">
      <c r="A31" s="144" t="s">
        <v>185</v>
      </c>
    </row>
    <row r="33" spans="1:1" x14ac:dyDescent="0.25">
      <c r="A33" s="144" t="s">
        <v>177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6"/>
  <sheetViews>
    <sheetView workbookViewId="0">
      <selection activeCell="D13" sqref="D13"/>
    </sheetView>
  </sheetViews>
  <sheetFormatPr defaultRowHeight="15" x14ac:dyDescent="0.25"/>
  <cols>
    <col min="1" max="1" width="32.140625" customWidth="1"/>
    <col min="3" max="3" width="24" customWidth="1"/>
    <col min="4" max="4" width="19.140625" style="59" customWidth="1"/>
    <col min="10" max="10" width="24.28515625" style="143" bestFit="1" customWidth="1"/>
    <col min="11" max="11" width="15.28515625" style="143" hidden="1" customWidth="1"/>
    <col min="12" max="12" width="13.5703125" style="143" hidden="1" customWidth="1"/>
    <col min="13" max="13" width="9" style="157" bestFit="1" customWidth="1"/>
    <col min="14" max="17" width="9.140625" style="143"/>
    <col min="20" max="24" width="9.140625" style="157"/>
  </cols>
  <sheetData>
    <row r="1" spans="1:24" ht="45.75" x14ac:dyDescent="0.3">
      <c r="A1" s="11" t="s">
        <v>25</v>
      </c>
      <c r="C1" s="122" t="s">
        <v>99</v>
      </c>
      <c r="D1" s="123" t="s">
        <v>100</v>
      </c>
      <c r="J1" s="149" t="s">
        <v>101</v>
      </c>
      <c r="K1" s="149" t="s">
        <v>66</v>
      </c>
      <c r="L1" s="149" t="s">
        <v>67</v>
      </c>
      <c r="O1" s="150" t="s">
        <v>102</v>
      </c>
      <c r="T1" s="159" t="s">
        <v>336</v>
      </c>
      <c r="U1" s="159"/>
      <c r="V1" s="159"/>
      <c r="W1" s="159"/>
      <c r="X1" s="159"/>
    </row>
    <row r="2" spans="1:24" ht="15.75" thickBot="1" x14ac:dyDescent="0.3">
      <c r="A2" s="12">
        <v>42896</v>
      </c>
      <c r="B2" s="4"/>
      <c r="C2" s="124">
        <v>50</v>
      </c>
      <c r="D2" s="125">
        <v>25</v>
      </c>
      <c r="F2" t="s">
        <v>113</v>
      </c>
      <c r="J2" s="149"/>
      <c r="K2" s="149" t="s">
        <v>66</v>
      </c>
      <c r="L2" s="149" t="s">
        <v>67</v>
      </c>
      <c r="T2" s="158" t="s">
        <v>337</v>
      </c>
      <c r="U2" s="158">
        <v>167</v>
      </c>
      <c r="V2" s="158">
        <v>168</v>
      </c>
      <c r="W2" s="158">
        <v>199</v>
      </c>
      <c r="X2" s="158">
        <v>200</v>
      </c>
    </row>
    <row r="3" spans="1:24" x14ac:dyDescent="0.25">
      <c r="C3" s="59"/>
      <c r="F3" t="s">
        <v>52</v>
      </c>
      <c r="J3" s="151" t="s">
        <v>68</v>
      </c>
      <c r="K3" s="152">
        <v>2.7052</v>
      </c>
      <c r="L3" s="152">
        <v>2.7349999999999999</v>
      </c>
      <c r="M3" s="157">
        <f t="shared" ref="M3:M14" si="0">AVERAGE(K3:L3)</f>
        <v>2.7201</v>
      </c>
      <c r="O3" s="143" t="s">
        <v>103</v>
      </c>
      <c r="P3" s="143">
        <f>AVERAGE(1.0714,1.1016)</f>
        <v>1.0865</v>
      </c>
      <c r="T3" s="158" t="s">
        <v>338</v>
      </c>
      <c r="U3" s="158">
        <v>174</v>
      </c>
      <c r="V3" s="158">
        <v>176</v>
      </c>
      <c r="W3" s="158">
        <v>207</v>
      </c>
      <c r="X3" s="158">
        <v>210</v>
      </c>
    </row>
    <row r="4" spans="1:24" ht="45" x14ac:dyDescent="0.25">
      <c r="C4" s="122" t="s">
        <v>99</v>
      </c>
      <c r="D4" s="123" t="s">
        <v>100</v>
      </c>
      <c r="F4" t="s">
        <v>53</v>
      </c>
      <c r="J4" s="151" t="s">
        <v>69</v>
      </c>
      <c r="K4" s="152">
        <v>3.0830000000000002</v>
      </c>
      <c r="L4" s="152">
        <v>3.097</v>
      </c>
      <c r="M4" s="157">
        <f t="shared" si="0"/>
        <v>3.09</v>
      </c>
      <c r="T4" s="158" t="s">
        <v>339</v>
      </c>
      <c r="U4" s="158">
        <v>173</v>
      </c>
      <c r="V4" s="158">
        <v>175</v>
      </c>
      <c r="W4" s="158">
        <v>208</v>
      </c>
      <c r="X4" s="158">
        <v>209</v>
      </c>
    </row>
    <row r="5" spans="1:24" x14ac:dyDescent="0.25">
      <c r="C5" s="59">
        <v>30</v>
      </c>
      <c r="D5" s="59">
        <v>9</v>
      </c>
      <c r="J5" s="151" t="s">
        <v>70</v>
      </c>
      <c r="K5" s="152">
        <v>3.3136000000000001</v>
      </c>
      <c r="L5" s="152">
        <v>3.3256999999999999</v>
      </c>
      <c r="M5" s="157">
        <f t="shared" si="0"/>
        <v>3.3196500000000002</v>
      </c>
      <c r="T5" s="158" t="s">
        <v>340</v>
      </c>
      <c r="U5" s="158">
        <v>187</v>
      </c>
      <c r="V5" s="158">
        <v>188</v>
      </c>
      <c r="W5" s="158">
        <v>223</v>
      </c>
      <c r="X5" s="158">
        <v>224</v>
      </c>
    </row>
    <row r="6" spans="1:24" x14ac:dyDescent="0.25">
      <c r="C6" s="59"/>
      <c r="F6" t="s">
        <v>114</v>
      </c>
      <c r="J6" s="151" t="s">
        <v>71</v>
      </c>
      <c r="K6" s="152">
        <v>4.2778999999999998</v>
      </c>
      <c r="L6" s="152">
        <v>4.2961</v>
      </c>
      <c r="M6" s="157">
        <f t="shared" si="0"/>
        <v>4.2869999999999999</v>
      </c>
      <c r="T6" s="158"/>
      <c r="U6" s="158"/>
      <c r="V6" s="158"/>
      <c r="W6" s="158"/>
      <c r="X6" s="158"/>
    </row>
    <row r="7" spans="1:24" x14ac:dyDescent="0.25">
      <c r="C7" s="59"/>
      <c r="F7" t="s">
        <v>453</v>
      </c>
      <c r="J7" s="151" t="s">
        <v>72</v>
      </c>
      <c r="K7" s="152">
        <v>4.7865000000000002</v>
      </c>
      <c r="L7" s="152">
        <v>4.8048000000000002</v>
      </c>
      <c r="M7" s="157">
        <f t="shared" si="0"/>
        <v>4.7956500000000002</v>
      </c>
      <c r="T7" s="158"/>
      <c r="U7" s="158"/>
      <c r="V7" s="158"/>
      <c r="W7" s="158"/>
      <c r="X7" s="158"/>
    </row>
    <row r="8" spans="1:24" x14ac:dyDescent="0.25">
      <c r="C8" s="59"/>
      <c r="F8" t="s">
        <v>454</v>
      </c>
      <c r="J8" s="151" t="s">
        <v>73</v>
      </c>
      <c r="K8" s="152">
        <v>5.3155000000000001</v>
      </c>
      <c r="L8" s="152">
        <v>5.3277000000000001</v>
      </c>
      <c r="M8" s="157">
        <f t="shared" si="0"/>
        <v>5.3216000000000001</v>
      </c>
      <c r="T8" s="158"/>
      <c r="U8" s="158"/>
      <c r="V8" s="158"/>
      <c r="W8" s="158"/>
      <c r="X8" s="158"/>
    </row>
    <row r="9" spans="1:24" x14ac:dyDescent="0.25">
      <c r="C9" s="59"/>
      <c r="J9" s="151" t="s">
        <v>74</v>
      </c>
      <c r="K9" s="152">
        <v>5.8117000000000001</v>
      </c>
      <c r="L9" s="152">
        <v>5.8300999999999998</v>
      </c>
      <c r="M9" s="157">
        <f t="shared" si="0"/>
        <v>5.8209</v>
      </c>
      <c r="T9" s="158"/>
      <c r="U9" s="158"/>
      <c r="V9" s="158"/>
      <c r="W9" s="158"/>
      <c r="X9" s="158"/>
    </row>
    <row r="10" spans="1:24" x14ac:dyDescent="0.25">
      <c r="C10" s="59"/>
      <c r="J10" s="151" t="s">
        <v>75</v>
      </c>
      <c r="K10" s="152">
        <v>5.8783000000000003</v>
      </c>
      <c r="L10" s="152">
        <v>5.8903999999999996</v>
      </c>
      <c r="M10" s="157">
        <f t="shared" si="0"/>
        <v>5.8843499999999995</v>
      </c>
      <c r="T10" s="158"/>
      <c r="U10" s="158"/>
      <c r="V10" s="158"/>
      <c r="W10" s="158"/>
      <c r="X10" s="158"/>
    </row>
    <row r="11" spans="1:24" x14ac:dyDescent="0.25">
      <c r="C11" s="59"/>
      <c r="J11" s="151" t="s">
        <v>76</v>
      </c>
      <c r="K11" s="152">
        <v>6.3068</v>
      </c>
      <c r="L11" s="152">
        <v>6.3308999999999997</v>
      </c>
      <c r="M11" s="157">
        <f t="shared" si="0"/>
        <v>6.3188499999999994</v>
      </c>
      <c r="T11" s="158"/>
      <c r="U11" s="158"/>
      <c r="V11" s="158"/>
      <c r="W11" s="158"/>
      <c r="X11" s="158"/>
    </row>
    <row r="12" spans="1:24" x14ac:dyDescent="0.25">
      <c r="C12" s="59"/>
      <c r="J12" s="151" t="s">
        <v>77</v>
      </c>
      <c r="K12" s="152">
        <v>7.8349000000000002</v>
      </c>
      <c r="L12" s="152">
        <v>7.8468999999999998</v>
      </c>
      <c r="M12" s="157">
        <f t="shared" si="0"/>
        <v>7.8408999999999995</v>
      </c>
      <c r="T12" s="158"/>
      <c r="U12" s="158"/>
      <c r="V12" s="158"/>
      <c r="W12" s="158"/>
      <c r="X12" s="158"/>
    </row>
    <row r="13" spans="1:24" x14ac:dyDescent="0.25">
      <c r="C13" s="59"/>
      <c r="J13" s="151" t="s">
        <v>78</v>
      </c>
      <c r="K13" s="152">
        <v>10.373799999999999</v>
      </c>
      <c r="L13" s="152">
        <v>10.38</v>
      </c>
      <c r="M13" s="157">
        <f t="shared" si="0"/>
        <v>10.376899999999999</v>
      </c>
      <c r="T13" s="158"/>
      <c r="U13" s="158"/>
      <c r="V13" s="158"/>
      <c r="W13" s="158"/>
      <c r="X13" s="158"/>
    </row>
    <row r="14" spans="1:24" x14ac:dyDescent="0.25">
      <c r="C14" s="59"/>
      <c r="J14" s="151" t="s">
        <v>79</v>
      </c>
      <c r="K14" s="152">
        <v>10.8954</v>
      </c>
      <c r="L14" s="152">
        <v>10.913500000000001</v>
      </c>
      <c r="M14" s="157">
        <f t="shared" si="0"/>
        <v>10.904450000000001</v>
      </c>
      <c r="T14" s="158"/>
      <c r="U14" s="158"/>
      <c r="V14" s="158"/>
      <c r="W14" s="158"/>
      <c r="X14" s="158"/>
    </row>
    <row r="15" spans="1:24" x14ac:dyDescent="0.25">
      <c r="C15" s="59"/>
      <c r="J15" s="151"/>
      <c r="K15" s="152"/>
      <c r="L15" s="152"/>
      <c r="T15" s="158"/>
      <c r="U15" s="158"/>
      <c r="V15" s="158"/>
      <c r="W15" s="158"/>
      <c r="X15" s="158"/>
    </row>
    <row r="16" spans="1:24" x14ac:dyDescent="0.25">
      <c r="C16" s="59"/>
      <c r="J16" s="151"/>
      <c r="K16" s="152"/>
      <c r="L16" s="152"/>
      <c r="T16" s="158"/>
      <c r="U16" s="158"/>
      <c r="V16" s="158"/>
      <c r="W16" s="158"/>
      <c r="X16" s="158"/>
    </row>
    <row r="17" spans="3:24" x14ac:dyDescent="0.25">
      <c r="C17" s="140" t="s">
        <v>186</v>
      </c>
      <c r="J17" s="151"/>
      <c r="K17" s="152"/>
      <c r="L17" s="152"/>
      <c r="T17" s="158"/>
      <c r="U17" s="158"/>
      <c r="V17" s="158"/>
      <c r="W17" s="158"/>
      <c r="X17" s="158"/>
    </row>
    <row r="18" spans="3:24" x14ac:dyDescent="0.25">
      <c r="C18" t="s">
        <v>1013</v>
      </c>
      <c r="J18" s="151" t="s">
        <v>85</v>
      </c>
      <c r="K18" s="152"/>
      <c r="L18" s="152"/>
      <c r="M18" s="157" t="str">
        <f>"""C:\Program Files (x86)\AstroGrep\AstroGrep.exe"""</f>
        <v>"C:\Program Files (x86)\AstroGrep\AstroGrep.exe"</v>
      </c>
      <c r="T18" s="158"/>
      <c r="U18" s="158"/>
      <c r="V18" s="158"/>
      <c r="W18" s="158"/>
      <c r="X18" s="158"/>
    </row>
    <row r="19" spans="3:24" x14ac:dyDescent="0.25">
      <c r="C19" t="s">
        <v>1014</v>
      </c>
      <c r="J19" s="151" t="s">
        <v>86</v>
      </c>
      <c r="K19" s="152"/>
      <c r="L19" s="152"/>
      <c r="M19" s="157" t="s">
        <v>112</v>
      </c>
      <c r="T19" s="158"/>
      <c r="U19" s="158"/>
      <c r="V19" s="158"/>
      <c r="W19" s="158"/>
      <c r="X19" s="158"/>
    </row>
    <row r="20" spans="3:24" x14ac:dyDescent="0.25">
      <c r="C20" t="s">
        <v>1015</v>
      </c>
      <c r="J20" s="143" t="s">
        <v>87</v>
      </c>
      <c r="M20" s="157" t="s">
        <v>365</v>
      </c>
      <c r="N20" s="157" t="s">
        <v>335</v>
      </c>
      <c r="T20" s="158"/>
      <c r="U20" s="158"/>
      <c r="V20" s="158"/>
      <c r="W20" s="158"/>
      <c r="X20" s="158"/>
    </row>
    <row r="21" spans="3:24" x14ac:dyDescent="0.25">
      <c r="C21" t="s">
        <v>1016</v>
      </c>
      <c r="J21" s="143" t="s">
        <v>90</v>
      </c>
      <c r="K21" s="143" t="s">
        <v>91</v>
      </c>
      <c r="M21" s="157" t="s">
        <v>176</v>
      </c>
      <c r="T21" s="158"/>
      <c r="U21" s="158"/>
      <c r="V21" s="158"/>
      <c r="W21" s="158"/>
      <c r="X21" s="158"/>
    </row>
    <row r="22" spans="3:24" x14ac:dyDescent="0.25">
      <c r="C22" t="s">
        <v>1017</v>
      </c>
      <c r="J22" s="143" t="s">
        <v>92</v>
      </c>
      <c r="K22" s="143" t="s">
        <v>93</v>
      </c>
      <c r="M22" s="157" t="s">
        <v>111</v>
      </c>
      <c r="T22" s="158"/>
      <c r="U22" s="158"/>
      <c r="V22" s="158"/>
      <c r="W22" s="158"/>
      <c r="X22" s="158"/>
    </row>
    <row r="23" spans="3:24" x14ac:dyDescent="0.25">
      <c r="C23" t="s">
        <v>1018</v>
      </c>
      <c r="J23" s="153" t="s">
        <v>95</v>
      </c>
      <c r="M23" s="157" t="str">
        <f>"-06"</f>
        <v>-06</v>
      </c>
      <c r="T23" s="158"/>
      <c r="U23" s="158"/>
      <c r="V23" s="158"/>
      <c r="W23" s="158"/>
      <c r="X23" s="158"/>
    </row>
    <row r="24" spans="3:24" x14ac:dyDescent="0.25">
      <c r="C24" t="s">
        <v>1019</v>
      </c>
      <c r="J24" s="143" t="s">
        <v>108</v>
      </c>
      <c r="M24" s="157" t="s">
        <v>110</v>
      </c>
      <c r="T24" s="158"/>
      <c r="U24" s="158"/>
      <c r="V24" s="158"/>
      <c r="W24" s="158"/>
      <c r="X24" s="158"/>
    </row>
    <row r="25" spans="3:24" x14ac:dyDescent="0.25">
      <c r="C25" t="s">
        <v>1020</v>
      </c>
      <c r="J25" s="143" t="s">
        <v>148</v>
      </c>
      <c r="M25" s="157" t="b">
        <v>1</v>
      </c>
    </row>
    <row r="26" spans="3:24" x14ac:dyDescent="0.25">
      <c r="C26" t="s">
        <v>1021</v>
      </c>
      <c r="J26" s="143" t="s">
        <v>149</v>
      </c>
      <c r="M26" s="157" t="str">
        <f>"C:\Users\stu\Documents\GitHub\eaglep3-reporting\EC\"&amp;TEXT(A2,"yyyy-mm-dd")&amp;"-refined-times.txt"</f>
        <v>C:\Users\stu\Documents\GitHub\eaglep3-reporting\EC\2017-06-10-refined-times.txt</v>
      </c>
    </row>
    <row r="27" spans="3:24" x14ac:dyDescent="0.25">
      <c r="C27" t="s">
        <v>1022</v>
      </c>
      <c r="J27" s="143" t="s">
        <v>178</v>
      </c>
      <c r="M27" s="157" t="str">
        <f>"C:\Users\stu\Documents\GitHub\eaglep3-reporting\EC\"&amp;TEXT(A2,"YYYY-MM-DD")&amp;"-Enforcements.txt"</f>
        <v>C:\Users\stu\Documents\GitHub\eaglep3-reporting\EC\2017-06-10-Enforcements.txt</v>
      </c>
    </row>
    <row r="28" spans="3:24" x14ac:dyDescent="0.25">
      <c r="C28" t="s">
        <v>1023</v>
      </c>
      <c r="J28" s="143" t="s">
        <v>179</v>
      </c>
      <c r="M28" s="157" t="str">
        <f>"C:\Users\stu\Documents\GitHub\eaglep3-reporting\EC\"&amp;TEXT(A2,"YYYY-MM-DD")&amp;"-Runs-refined.txt"</f>
        <v>C:\Users\stu\Documents\GitHub\eaglep3-reporting\EC\2017-06-10-Runs-refined.txt</v>
      </c>
    </row>
    <row r="29" spans="3:24" x14ac:dyDescent="0.25">
      <c r="C29" t="s">
        <v>1024</v>
      </c>
      <c r="J29" s="143" t="s">
        <v>180</v>
      </c>
      <c r="M29" s="157" t="str">
        <f>"C:\Users\stu\Documents\GitHub\eaglep3-reporting\EC\"&amp;TEXT(A2,"YYYY-MM-DD")&amp;"-Trips.txt"</f>
        <v>C:\Users\stu\Documents\GitHub\eaglep3-reporting\EC\2017-06-10-Trips.txt</v>
      </c>
    </row>
    <row r="30" spans="3:24" x14ac:dyDescent="0.25">
      <c r="C30" t="s">
        <v>1025</v>
      </c>
      <c r="J30" s="143" t="s">
        <v>181</v>
      </c>
      <c r="M30" s="157" t="str">
        <f>"C:\Users\stu\Documents\GitHub\eaglep3-reporting\EC\"&amp;TEXT(A2,"YYYY-MM-DD")&amp;"-Weather.txt"</f>
        <v>C:\Users\stu\Documents\GitHub\eaglep3-reporting\EC\2017-06-10-Weather.txt</v>
      </c>
    </row>
    <row r="31" spans="3:24" x14ac:dyDescent="0.25">
      <c r="C31" t="s">
        <v>1026</v>
      </c>
      <c r="J31" s="143" t="s">
        <v>198</v>
      </c>
      <c r="M31" s="157" t="s">
        <v>199</v>
      </c>
    </row>
    <row r="32" spans="3:24" x14ac:dyDescent="0.25">
      <c r="C32" t="s">
        <v>1027</v>
      </c>
    </row>
    <row r="33" spans="3:3" x14ac:dyDescent="0.25">
      <c r="C33" t="s">
        <v>1028</v>
      </c>
    </row>
    <row r="34" spans="3:3" x14ac:dyDescent="0.25">
      <c r="C34" t="s">
        <v>1029</v>
      </c>
    </row>
    <row r="35" spans="3:3" x14ac:dyDescent="0.25">
      <c r="C35" t="s">
        <v>1030</v>
      </c>
    </row>
    <row r="36" spans="3:3" x14ac:dyDescent="0.25">
      <c r="C36" t="s">
        <v>1031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6" bestFit="1" customWidth="1"/>
    <col min="2" max="7" width="9.140625" style="96"/>
    <col min="8" max="8" width="17.7109375" style="96" bestFit="1" customWidth="1"/>
    <col min="9" max="10" width="9.140625" style="165"/>
    <col min="11" max="16384" width="9.140625" style="96"/>
  </cols>
  <sheetData>
    <row r="1" spans="1:11" x14ac:dyDescent="0.25">
      <c r="A1" s="95" t="s">
        <v>119</v>
      </c>
      <c r="B1" s="95" t="s">
        <v>120</v>
      </c>
      <c r="C1" s="96" t="s">
        <v>121</v>
      </c>
      <c r="H1" t="s">
        <v>115</v>
      </c>
      <c r="I1" s="163" t="s">
        <v>117</v>
      </c>
      <c r="J1" s="157" t="s">
        <v>347</v>
      </c>
    </row>
    <row r="2" spans="1:11" x14ac:dyDescent="0.25">
      <c r="A2" s="96" t="s">
        <v>122</v>
      </c>
      <c r="B2" s="96" t="s">
        <v>123</v>
      </c>
      <c r="C2" s="96" t="s">
        <v>124</v>
      </c>
      <c r="H2" t="s">
        <v>116</v>
      </c>
      <c r="I2" s="157" t="s">
        <v>118</v>
      </c>
      <c r="J2" s="157" t="s">
        <v>348</v>
      </c>
    </row>
    <row r="3" spans="1:11" x14ac:dyDescent="0.25">
      <c r="A3" s="96" t="s">
        <v>125</v>
      </c>
      <c r="B3" s="96" t="s">
        <v>126</v>
      </c>
      <c r="C3" s="96" t="s">
        <v>127</v>
      </c>
      <c r="H3" t="s">
        <v>141</v>
      </c>
      <c r="I3" s="157">
        <v>1</v>
      </c>
      <c r="J3" s="157">
        <v>1</v>
      </c>
      <c r="K3" s="58"/>
    </row>
    <row r="4" spans="1:11" x14ac:dyDescent="0.25">
      <c r="A4" s="96" t="s">
        <v>128</v>
      </c>
      <c r="C4" s="96" t="s">
        <v>129</v>
      </c>
      <c r="H4" t="s">
        <v>142</v>
      </c>
      <c r="I4" s="157">
        <v>2</v>
      </c>
      <c r="J4" s="157">
        <v>1</v>
      </c>
      <c r="K4" s="58"/>
    </row>
    <row r="5" spans="1:11" x14ac:dyDescent="0.25">
      <c r="A5" s="96" t="s">
        <v>130</v>
      </c>
      <c r="C5" s="96" t="s">
        <v>131</v>
      </c>
      <c r="H5" t="s">
        <v>143</v>
      </c>
      <c r="I5" s="157">
        <v>23</v>
      </c>
      <c r="J5" s="157">
        <v>10</v>
      </c>
      <c r="K5" s="58"/>
    </row>
    <row r="6" spans="1:11" x14ac:dyDescent="0.25">
      <c r="A6" s="96" t="s">
        <v>132</v>
      </c>
      <c r="C6" s="96" t="s">
        <v>133</v>
      </c>
      <c r="H6" s="97" t="s">
        <v>144</v>
      </c>
      <c r="I6" s="164" t="s">
        <v>123</v>
      </c>
    </row>
    <row r="7" spans="1:11" x14ac:dyDescent="0.25">
      <c r="A7" s="96" t="s">
        <v>134</v>
      </c>
      <c r="C7" s="96" t="s">
        <v>135</v>
      </c>
    </row>
    <row r="8" spans="1:11" x14ac:dyDescent="0.25">
      <c r="C8" s="96" t="s">
        <v>136</v>
      </c>
    </row>
    <row r="9" spans="1:11" x14ac:dyDescent="0.25">
      <c r="C9" s="97" t="s">
        <v>169</v>
      </c>
    </row>
    <row r="10" spans="1:11" x14ac:dyDescent="0.25">
      <c r="C10" s="96" t="s">
        <v>137</v>
      </c>
    </row>
    <row r="11" spans="1:11" x14ac:dyDescent="0.25">
      <c r="C11" s="96" t="s">
        <v>138</v>
      </c>
    </row>
    <row r="12" spans="1:11" x14ac:dyDescent="0.25">
      <c r="C12" s="96" t="s">
        <v>139</v>
      </c>
    </row>
    <row r="13" spans="1:11" x14ac:dyDescent="0.25">
      <c r="C13" s="96" t="s">
        <v>140</v>
      </c>
    </row>
    <row r="14" spans="1:11" x14ac:dyDescent="0.25">
      <c r="C14" s="97" t="s">
        <v>170</v>
      </c>
    </row>
    <row r="15" spans="1:11" x14ac:dyDescent="0.25">
      <c r="C15" s="97" t="s">
        <v>187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205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206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207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208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209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210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211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212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213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214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215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216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217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218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219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220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221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222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223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224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225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226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227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228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229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230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231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232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233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234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235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236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237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238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239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240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241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242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243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244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245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246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247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248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249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250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251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252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253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254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255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256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257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258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259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260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261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262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263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264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265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266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267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268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269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270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271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272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273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274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275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276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277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278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279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280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281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282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283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284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285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286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287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288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289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290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291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292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293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294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295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296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297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298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299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300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301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302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303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304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305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306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307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308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309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310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311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312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313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314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315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316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317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318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319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320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321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322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323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324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325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326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327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328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329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330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331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332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333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334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28</vt:i4>
      </vt:variant>
    </vt:vector>
  </HeadingPairs>
  <TitlesOfParts>
    <vt:vector size="36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2017-06-12T15:37:40Z</dcterms:modified>
</cp:coreProperties>
</file>