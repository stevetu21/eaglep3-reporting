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Enforcements!$A$6:$AC$50</definedName>
    <definedName name="_xlnm._FilterDatabase" localSheetId="2" hidden="1">'Missing Trips'!$A$2:$J$121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/>
  <c r="V21" i="1"/>
  <c r="S21" i="3" s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R7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S15" i="3" s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22" i="3" s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R16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P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S13" i="3" s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AA78" i="1" s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AA82" i="1" s="1"/>
  <c r="Z82" i="1"/>
  <c r="AB82" i="1"/>
  <c r="AC82" i="1"/>
  <c r="AD82" i="1"/>
  <c r="AG82" i="1" s="1"/>
  <c r="AI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S18" i="3" s="1"/>
  <c r="Y84" i="1"/>
  <c r="Z84" i="1"/>
  <c r="AB84" i="1"/>
  <c r="AC84" i="1"/>
  <c r="AD84" i="1"/>
  <c r="T84" i="1" s="1"/>
  <c r="AE84" i="1"/>
  <c r="R19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S20" i="3" s="1"/>
  <c r="Y88" i="1"/>
  <c r="Z88" i="1"/>
  <c r="AB88" i="1"/>
  <c r="AC88" i="1"/>
  <c r="AD88" i="1"/>
  <c r="T88" i="1" s="1"/>
  <c r="AE88" i="1"/>
  <c r="R20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8" i="1"/>
  <c r="AM98" i="1"/>
  <c r="AN98" i="1"/>
  <c r="K166" i="1"/>
  <c r="L166" i="1"/>
  <c r="M166" i="1"/>
  <c r="N166" i="1" s="1"/>
  <c r="V166" i="1"/>
  <c r="Y166" i="1"/>
  <c r="AB166" i="1"/>
  <c r="AC166" i="1"/>
  <c r="AD166" i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P168" i="1" s="1"/>
  <c r="V168" i="1"/>
  <c r="Y168" i="1"/>
  <c r="Z168" i="1"/>
  <c r="AB168" i="1"/>
  <c r="AC168" i="1"/>
  <c r="AD168" i="1"/>
  <c r="AG168" i="1" s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I175" i="1" s="1"/>
  <c r="AB175" i="1"/>
  <c r="AC175" i="1"/>
  <c r="AD175" i="1"/>
  <c r="AG175" i="1" s="1"/>
  <c r="AE175" i="1"/>
  <c r="AF175" i="1"/>
  <c r="AH109" i="1"/>
  <c r="AM109" i="1"/>
  <c r="AN109" i="1"/>
  <c r="K176" i="1"/>
  <c r="L176" i="1"/>
  <c r="M176" i="1"/>
  <c r="N176" i="1" s="1"/>
  <c r="V176" i="1"/>
  <c r="S24" i="3" s="1"/>
  <c r="Y176" i="1"/>
  <c r="Z176" i="1"/>
  <c r="AB176" i="1"/>
  <c r="AC176" i="1"/>
  <c r="AD176" i="1"/>
  <c r="T176" i="1" s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2" i="1"/>
  <c r="AM112" i="1"/>
  <c r="AN112" i="1"/>
  <c r="K179" i="1"/>
  <c r="L179" i="1"/>
  <c r="M179" i="1"/>
  <c r="N179" i="1" s="1"/>
  <c r="V179" i="1"/>
  <c r="S26" i="3" s="1"/>
  <c r="Y179" i="1"/>
  <c r="Z179" i="1"/>
  <c r="AB179" i="1"/>
  <c r="AC179" i="1"/>
  <c r="AD179" i="1"/>
  <c r="AE179" i="1"/>
  <c r="R26" i="3" s="1"/>
  <c r="AF179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6" i="1"/>
  <c r="AM116" i="1"/>
  <c r="AN116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7" i="1"/>
  <c r="AM117" i="1"/>
  <c r="AN1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8" i="1"/>
  <c r="AM118" i="1"/>
  <c r="AN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AM125" i="1"/>
  <c r="AN125" i="1"/>
  <c r="K190" i="1"/>
  <c r="L190" i="1"/>
  <c r="M190" i="1"/>
  <c r="N190" i="1" s="1"/>
  <c r="V190" i="1"/>
  <c r="S25" i="3" s="1"/>
  <c r="Y190" i="1"/>
  <c r="Z190" i="1"/>
  <c r="AB190" i="1"/>
  <c r="AC190" i="1"/>
  <c r="AD190" i="1"/>
  <c r="T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AM129" i="1"/>
  <c r="AN129" i="1"/>
  <c r="K96" i="1"/>
  <c r="L96" i="1"/>
  <c r="M96" i="1"/>
  <c r="P96" i="1" s="1"/>
  <c r="V96" i="1"/>
  <c r="S8" i="3" s="1"/>
  <c r="Y96" i="1"/>
  <c r="Z96" i="1"/>
  <c r="AB96" i="1"/>
  <c r="AC96" i="1"/>
  <c r="AD96" i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P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AM133" i="1"/>
  <c r="AN133" i="1"/>
  <c r="K100" i="1"/>
  <c r="L100" i="1"/>
  <c r="M100" i="1"/>
  <c r="P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P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137" i="1"/>
  <c r="AM137" i="1"/>
  <c r="AN13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S10" i="3" s="1"/>
  <c r="Y105" i="1"/>
  <c r="Z105" i="1"/>
  <c r="AA105" i="1" s="1"/>
  <c r="AB105" i="1"/>
  <c r="AC105" i="1"/>
  <c r="AD105" i="1"/>
  <c r="T105" i="1" s="1"/>
  <c r="AE105" i="1"/>
  <c r="R10" i="3" s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K107" i="1"/>
  <c r="L107" i="1"/>
  <c r="M107" i="1"/>
  <c r="P107" i="1" s="1"/>
  <c r="V107" i="1"/>
  <c r="S14" i="3" s="1"/>
  <c r="Y107" i="1"/>
  <c r="Z107" i="1"/>
  <c r="AB107" i="1"/>
  <c r="AC107" i="1"/>
  <c r="AD107" i="1"/>
  <c r="AG107" i="1" s="1"/>
  <c r="AE107" i="1"/>
  <c r="R14" i="3" s="1"/>
  <c r="AF107" i="1"/>
  <c r="AH143" i="1"/>
  <c r="AM143" i="1"/>
  <c r="AN143" i="1"/>
  <c r="K108" i="1"/>
  <c r="L108" i="1"/>
  <c r="M108" i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5" i="1"/>
  <c r="AM145" i="1"/>
  <c r="AN145" i="1"/>
  <c r="K110" i="1"/>
  <c r="L110" i="1"/>
  <c r="M110" i="1"/>
  <c r="P110" i="1" s="1"/>
  <c r="V110" i="1"/>
  <c r="S9" i="3" s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V111" i="1"/>
  <c r="Y111" i="1"/>
  <c r="Z111" i="1"/>
  <c r="AB111" i="1"/>
  <c r="AC111" i="1"/>
  <c r="AD111" i="1"/>
  <c r="AG111" i="1" s="1"/>
  <c r="AE111" i="1"/>
  <c r="AF111" i="1"/>
  <c r="AH147" i="1"/>
  <c r="AM147" i="1"/>
  <c r="AN147" i="1"/>
  <c r="K112" i="1"/>
  <c r="L112" i="1"/>
  <c r="M112" i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S23" i="3" s="1"/>
  <c r="Y120" i="1"/>
  <c r="Z120" i="1"/>
  <c r="AB120" i="1"/>
  <c r="AC120" i="1"/>
  <c r="AD120" i="1"/>
  <c r="AE120" i="1"/>
  <c r="R23" i="3" s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P131" i="1" s="1"/>
  <c r="V131" i="1"/>
  <c r="Y131" i="1"/>
  <c r="Z131" i="1"/>
  <c r="AB131" i="1"/>
  <c r="AC131" i="1"/>
  <c r="AD131" i="1"/>
  <c r="T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R12" i="3" s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S28" i="3" s="1"/>
  <c r="Y201" i="1"/>
  <c r="Z201" i="1"/>
  <c r="AB201" i="1"/>
  <c r="AC201" i="1"/>
  <c r="AD201" i="1"/>
  <c r="T201" i="1" s="1"/>
  <c r="AE201" i="1"/>
  <c r="R28" i="3" s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AN207" i="1"/>
  <c r="K208" i="1"/>
  <c r="L208" i="1"/>
  <c r="M208" i="1"/>
  <c r="N208" i="1" s="1"/>
  <c r="V208" i="1"/>
  <c r="S29" i="3" s="1"/>
  <c r="Y208" i="1"/>
  <c r="Z208" i="1"/>
  <c r="AB208" i="1"/>
  <c r="AC208" i="1"/>
  <c r="AD208" i="1"/>
  <c r="T208" i="1" s="1"/>
  <c r="AE208" i="1"/>
  <c r="R29" i="3" s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1" i="1"/>
  <c r="AM211" i="1"/>
  <c r="AN211" i="1"/>
  <c r="M28" i="3"/>
  <c r="U28" i="3"/>
  <c r="T28" i="3" s="1"/>
  <c r="V28" i="3"/>
  <c r="W28" i="3"/>
  <c r="X28" i="3"/>
  <c r="AC28" i="3"/>
  <c r="M21" i="3"/>
  <c r="R21" i="3"/>
  <c r="U21" i="3"/>
  <c r="AC21" i="3" s="1"/>
  <c r="V21" i="3"/>
  <c r="W21" i="3"/>
  <c r="X21" i="3"/>
  <c r="M7" i="3"/>
  <c r="S7" i="3"/>
  <c r="U7" i="3"/>
  <c r="T7" i="3" s="1"/>
  <c r="V7" i="3"/>
  <c r="W7" i="3"/>
  <c r="X7" i="3"/>
  <c r="M22" i="3"/>
  <c r="R22" i="3"/>
  <c r="U22" i="3"/>
  <c r="T22" i="3" s="1"/>
  <c r="V22" i="3"/>
  <c r="W22" i="3"/>
  <c r="X22" i="3"/>
  <c r="AC22" i="3"/>
  <c r="M15" i="3"/>
  <c r="R15" i="3"/>
  <c r="U15" i="3"/>
  <c r="V15" i="3"/>
  <c r="W15" i="3"/>
  <c r="X15" i="3"/>
  <c r="M16" i="3"/>
  <c r="S16" i="3"/>
  <c r="U16" i="3"/>
  <c r="AC16" i="3" s="1"/>
  <c r="V16" i="3"/>
  <c r="W16" i="3"/>
  <c r="X16" i="3"/>
  <c r="M13" i="3"/>
  <c r="R13" i="3"/>
  <c r="U13" i="3"/>
  <c r="T13" i="3" s="1"/>
  <c r="V13" i="3"/>
  <c r="W13" i="3"/>
  <c r="X13" i="3"/>
  <c r="AC13" i="3"/>
  <c r="M17" i="3"/>
  <c r="R17" i="3"/>
  <c r="S17" i="3"/>
  <c r="U17" i="3"/>
  <c r="T17" i="3" s="1"/>
  <c r="V17" i="3"/>
  <c r="W17" i="3"/>
  <c r="X17" i="3"/>
  <c r="AC17" i="3"/>
  <c r="M24" i="3"/>
  <c r="R24" i="3"/>
  <c r="U24" i="3"/>
  <c r="V24" i="3"/>
  <c r="W24" i="3"/>
  <c r="X24" i="3"/>
  <c r="M18" i="3"/>
  <c r="U18" i="3"/>
  <c r="AC18" i="3" s="1"/>
  <c r="V18" i="3"/>
  <c r="W18" i="3"/>
  <c r="X18" i="3"/>
  <c r="M19" i="3"/>
  <c r="U19" i="3"/>
  <c r="V19" i="3"/>
  <c r="W19" i="3"/>
  <c r="X19" i="3"/>
  <c r="AC19" i="3"/>
  <c r="M20" i="3"/>
  <c r="U20" i="3"/>
  <c r="T20" i="3" s="1"/>
  <c r="V20" i="3"/>
  <c r="W20" i="3"/>
  <c r="X20" i="3"/>
  <c r="AC20" i="3"/>
  <c r="M8" i="3"/>
  <c r="R8" i="3"/>
  <c r="U8" i="3"/>
  <c r="V8" i="3"/>
  <c r="W8" i="3"/>
  <c r="X8" i="3"/>
  <c r="AC8" i="3"/>
  <c r="M11" i="3"/>
  <c r="R11" i="3"/>
  <c r="U11" i="3"/>
  <c r="AC11" i="3" s="1"/>
  <c r="V11" i="3"/>
  <c r="W11" i="3"/>
  <c r="X11" i="3"/>
  <c r="M10" i="3"/>
  <c r="U10" i="3"/>
  <c r="V10" i="3"/>
  <c r="W10" i="3"/>
  <c r="X10" i="3"/>
  <c r="AC10" i="3"/>
  <c r="M26" i="3"/>
  <c r="U26" i="3"/>
  <c r="T26" i="3" s="1"/>
  <c r="V26" i="3"/>
  <c r="W26" i="3"/>
  <c r="X26" i="3"/>
  <c r="M9" i="3"/>
  <c r="R9" i="3"/>
  <c r="U9" i="3"/>
  <c r="V9" i="3"/>
  <c r="W9" i="3"/>
  <c r="X9" i="3"/>
  <c r="AC9" i="3"/>
  <c r="M14" i="3"/>
  <c r="U14" i="3"/>
  <c r="AC14" i="3" s="1"/>
  <c r="V14" i="3"/>
  <c r="W14" i="3"/>
  <c r="X14" i="3"/>
  <c r="M29" i="3"/>
  <c r="U29" i="3"/>
  <c r="T29" i="3" s="1"/>
  <c r="V29" i="3"/>
  <c r="W29" i="3"/>
  <c r="X29" i="3"/>
  <c r="AC29" i="3"/>
  <c r="M23" i="3"/>
  <c r="U23" i="3"/>
  <c r="T23" i="3" s="1"/>
  <c r="V23" i="3"/>
  <c r="W23" i="3"/>
  <c r="X23" i="3"/>
  <c r="AC23" i="3"/>
  <c r="M25" i="3"/>
  <c r="R25" i="3"/>
  <c r="U25" i="3"/>
  <c r="V25" i="3"/>
  <c r="W25" i="3"/>
  <c r="X25" i="3"/>
  <c r="AC25" i="3"/>
  <c r="M12" i="3"/>
  <c r="S12" i="3"/>
  <c r="U12" i="3"/>
  <c r="AC12" i="3" s="1"/>
  <c r="V12" i="3"/>
  <c r="W12" i="3"/>
  <c r="X12" i="3"/>
  <c r="AD16" i="3" l="1"/>
  <c r="S11" i="3"/>
  <c r="X164" i="1"/>
  <c r="AG163" i="1"/>
  <c r="AG95" i="1"/>
  <c r="X95" i="1"/>
  <c r="AA201" i="1"/>
  <c r="AG100" i="1"/>
  <c r="AA128" i="1"/>
  <c r="AA126" i="1"/>
  <c r="AA62" i="1"/>
  <c r="S19" i="3"/>
  <c r="X96" i="1"/>
  <c r="AG181" i="1"/>
  <c r="U181" i="1" s="1"/>
  <c r="S181" i="1" s="1"/>
  <c r="T68" i="1"/>
  <c r="X100" i="1"/>
  <c r="AI163" i="1"/>
  <c r="U100" i="1"/>
  <c r="X186" i="1"/>
  <c r="AA204" i="1"/>
  <c r="AA200" i="1"/>
  <c r="AA146" i="1"/>
  <c r="AA144" i="1"/>
  <c r="W144" i="1" s="1"/>
  <c r="AG114" i="1"/>
  <c r="X114" i="1"/>
  <c r="AA108" i="1"/>
  <c r="AA193" i="1"/>
  <c r="AI191" i="1"/>
  <c r="AA189" i="1"/>
  <c r="X182" i="1"/>
  <c r="AA94" i="1"/>
  <c r="AA26" i="1"/>
  <c r="AG19" i="1"/>
  <c r="X19" i="1"/>
  <c r="X17" i="1"/>
  <c r="AA184" i="1"/>
  <c r="AA182" i="1"/>
  <c r="T182" i="1"/>
  <c r="T20" i="1"/>
  <c r="X20" i="1"/>
  <c r="T18" i="1"/>
  <c r="X18" i="1"/>
  <c r="T16" i="1"/>
  <c r="X16" i="1"/>
  <c r="AA195" i="1"/>
  <c r="AA159" i="1"/>
  <c r="AA104" i="1"/>
  <c r="AA102" i="1"/>
  <c r="AA30" i="1"/>
  <c r="AA196" i="1"/>
  <c r="AA113" i="1"/>
  <c r="AG106" i="1"/>
  <c r="X106" i="1"/>
  <c r="AG105" i="1"/>
  <c r="W105" i="1" s="1"/>
  <c r="AA99" i="1"/>
  <c r="T96" i="1"/>
  <c r="AG185" i="1"/>
  <c r="U185" i="1" s="1"/>
  <c r="S185" i="1" s="1"/>
  <c r="T178" i="1"/>
  <c r="U178" i="1" s="1"/>
  <c r="S178" i="1" s="1"/>
  <c r="AA167" i="1"/>
  <c r="AG161" i="1"/>
  <c r="T72" i="1"/>
  <c r="X59" i="1"/>
  <c r="AG58" i="1"/>
  <c r="AI58" i="1" s="1"/>
  <c r="AI46" i="1"/>
  <c r="AG45" i="1"/>
  <c r="X43" i="1"/>
  <c r="AA24" i="1"/>
  <c r="R18" i="3"/>
  <c r="AA197" i="1"/>
  <c r="AA131" i="1"/>
  <c r="X105" i="1"/>
  <c r="AG167" i="1"/>
  <c r="AI167" i="1" s="1"/>
  <c r="AA166" i="1"/>
  <c r="AG86" i="1"/>
  <c r="AI83" i="1"/>
  <c r="T52" i="1"/>
  <c r="AI47" i="1"/>
  <c r="AA42" i="1"/>
  <c r="AA38" i="1"/>
  <c r="AD28" i="3"/>
  <c r="X207" i="1"/>
  <c r="AG202" i="1"/>
  <c r="X202" i="1"/>
  <c r="AG201" i="1"/>
  <c r="W201" i="1" s="1"/>
  <c r="X201" i="1"/>
  <c r="AG155" i="1"/>
  <c r="X155" i="1"/>
  <c r="AG152" i="1"/>
  <c r="X152" i="1"/>
  <c r="AG151" i="1"/>
  <c r="X151" i="1"/>
  <c r="AA154" i="1"/>
  <c r="AA145" i="1"/>
  <c r="AA143" i="1"/>
  <c r="AG139" i="1"/>
  <c r="X139" i="1"/>
  <c r="AG136" i="1"/>
  <c r="U136" i="1" s="1"/>
  <c r="S136" i="1" s="1"/>
  <c r="X136" i="1"/>
  <c r="AG128" i="1"/>
  <c r="W128" i="1" s="1"/>
  <c r="AG127" i="1"/>
  <c r="AA116" i="1"/>
  <c r="AA109" i="1"/>
  <c r="X206" i="1"/>
  <c r="AA96" i="1"/>
  <c r="X174" i="1"/>
  <c r="T168" i="1"/>
  <c r="AA163" i="1"/>
  <c r="W163" i="1" s="1"/>
  <c r="AG92" i="1"/>
  <c r="AI92" i="1" s="1"/>
  <c r="AG78" i="1"/>
  <c r="AI78" i="1" s="1"/>
  <c r="AA77" i="1"/>
  <c r="AA74" i="1"/>
  <c r="AA68" i="1"/>
  <c r="AG64" i="1"/>
  <c r="X31" i="1"/>
  <c r="AG24" i="1"/>
  <c r="U24" i="1" s="1"/>
  <c r="X24" i="1"/>
  <c r="AA22" i="1"/>
  <c r="AA207" i="1"/>
  <c r="W207" i="1" s="1"/>
  <c r="AA151" i="1"/>
  <c r="W151" i="1" s="1"/>
  <c r="AA138" i="1"/>
  <c r="AA135" i="1"/>
  <c r="AA130" i="1"/>
  <c r="X118" i="1"/>
  <c r="W99" i="1"/>
  <c r="T175" i="1"/>
  <c r="AA174" i="1"/>
  <c r="AI171" i="1"/>
  <c r="AG169" i="1"/>
  <c r="U169" i="1" s="1"/>
  <c r="S169" i="1" s="1"/>
  <c r="AA168" i="1"/>
  <c r="AA161" i="1"/>
  <c r="X89" i="1"/>
  <c r="T67" i="1"/>
  <c r="AG54" i="1"/>
  <c r="U54" i="1" s="1"/>
  <c r="S54" i="1" s="1"/>
  <c r="AA43" i="1"/>
  <c r="W43" i="1" s="1"/>
  <c r="AA41" i="1"/>
  <c r="X32" i="1"/>
  <c r="AA32" i="1"/>
  <c r="X28" i="1"/>
  <c r="AA121" i="1"/>
  <c r="AA117" i="1"/>
  <c r="AA112" i="1"/>
  <c r="X99" i="1"/>
  <c r="AA97" i="1"/>
  <c r="W97" i="1" s="1"/>
  <c r="AA177" i="1"/>
  <c r="AA175" i="1"/>
  <c r="AA170" i="1"/>
  <c r="W170" i="1" s="1"/>
  <c r="W167" i="1"/>
  <c r="AA81" i="1"/>
  <c r="X75" i="1"/>
  <c r="AG74" i="1"/>
  <c r="U74" i="1" s="1"/>
  <c r="S74" i="1" s="1"/>
  <c r="AA73" i="1"/>
  <c r="AA67" i="1"/>
  <c r="W67" i="1" s="1"/>
  <c r="X63" i="1"/>
  <c r="AA44" i="1"/>
  <c r="AA29" i="1"/>
  <c r="AA27" i="1"/>
  <c r="Y28" i="3"/>
  <c r="Y29" i="3"/>
  <c r="Y12" i="3"/>
  <c r="Y23" i="3"/>
  <c r="Y14" i="3"/>
  <c r="AD13" i="3"/>
  <c r="Y25" i="3"/>
  <c r="AE23" i="3"/>
  <c r="AC7" i="3"/>
  <c r="Y11" i="3"/>
  <c r="Y8" i="3"/>
  <c r="AE10" i="3"/>
  <c r="AD15" i="3"/>
  <c r="T10" i="3"/>
  <c r="Y10" i="3"/>
  <c r="Y16" i="3"/>
  <c r="AE19" i="3"/>
  <c r="Y24" i="3"/>
  <c r="Y15" i="3"/>
  <c r="Y7" i="3"/>
  <c r="AA210" i="1"/>
  <c r="X198" i="1"/>
  <c r="AA194" i="1"/>
  <c r="T194" i="1"/>
  <c r="AA147" i="1"/>
  <c r="T144" i="1"/>
  <c r="AA134" i="1"/>
  <c r="AG132" i="1"/>
  <c r="U132" i="1" s="1"/>
  <c r="S132" i="1" s="1"/>
  <c r="AA123" i="1"/>
  <c r="AA115" i="1"/>
  <c r="W115" i="1" s="1"/>
  <c r="AA190" i="1"/>
  <c r="T170" i="1"/>
  <c r="AA93" i="1"/>
  <c r="AA89" i="1"/>
  <c r="T89" i="1"/>
  <c r="AA76" i="1"/>
  <c r="AA70" i="1"/>
  <c r="AA66" i="1"/>
  <c r="AA51" i="1"/>
  <c r="W51" i="1" s="1"/>
  <c r="AA50" i="1"/>
  <c r="AA48" i="1"/>
  <c r="AA47" i="1"/>
  <c r="W47" i="1" s="1"/>
  <c r="AA46" i="1"/>
  <c r="W46" i="1" s="1"/>
  <c r="AA35" i="1"/>
  <c r="T28" i="1"/>
  <c r="AA19" i="1"/>
  <c r="W19" i="1" s="1"/>
  <c r="AA18" i="1"/>
  <c r="AG16" i="1"/>
  <c r="W82" i="1"/>
  <c r="AG194" i="1"/>
  <c r="AG135" i="1"/>
  <c r="AG123" i="1"/>
  <c r="U123" i="1" s="1"/>
  <c r="S123" i="1" s="1"/>
  <c r="X123" i="1"/>
  <c r="AG113" i="1"/>
  <c r="AI113" i="1" s="1"/>
  <c r="X193" i="1"/>
  <c r="AG183" i="1"/>
  <c r="AI183" i="1" s="1"/>
  <c r="AG176" i="1"/>
  <c r="W161" i="1"/>
  <c r="AG89" i="1"/>
  <c r="AA84" i="1"/>
  <c r="AG76" i="1"/>
  <c r="AI76" i="1" s="1"/>
  <c r="AG70" i="1"/>
  <c r="U70" i="1" s="1"/>
  <c r="S70" i="1" s="1"/>
  <c r="AA64" i="1"/>
  <c r="AG62" i="1"/>
  <c r="AI62" i="1" s="1"/>
  <c r="AA60" i="1"/>
  <c r="AG56" i="1"/>
  <c r="AA52" i="1"/>
  <c r="X47" i="1"/>
  <c r="AI43" i="1"/>
  <c r="AG40" i="1"/>
  <c r="U40" i="1" s="1"/>
  <c r="S40" i="1" s="1"/>
  <c r="X40" i="1"/>
  <c r="AA34" i="1"/>
  <c r="AA31" i="1"/>
  <c r="W31" i="1" s="1"/>
  <c r="AG28" i="1"/>
  <c r="AI28" i="1" s="1"/>
  <c r="AA23" i="1"/>
  <c r="AA21" i="1"/>
  <c r="AA17" i="1"/>
  <c r="W113" i="1"/>
  <c r="AG198" i="1"/>
  <c r="AG159" i="1"/>
  <c r="AI159" i="1" s="1"/>
  <c r="AA158" i="1"/>
  <c r="AA155" i="1"/>
  <c r="W155" i="1" s="1"/>
  <c r="AA150" i="1"/>
  <c r="AG148" i="1"/>
  <c r="U148" i="1" s="1"/>
  <c r="S148" i="1" s="1"/>
  <c r="AG143" i="1"/>
  <c r="W143" i="1" s="1"/>
  <c r="AA142" i="1"/>
  <c r="AA139" i="1"/>
  <c r="X135" i="1"/>
  <c r="AA129" i="1"/>
  <c r="AA127" i="1"/>
  <c r="W127" i="1" s="1"/>
  <c r="AA122" i="1"/>
  <c r="AA120" i="1"/>
  <c r="AA114" i="1"/>
  <c r="W114" i="1" s="1"/>
  <c r="X109" i="1"/>
  <c r="AA98" i="1"/>
  <c r="AG96" i="1"/>
  <c r="U96" i="1" s="1"/>
  <c r="AA192" i="1"/>
  <c r="X189" i="1"/>
  <c r="AA185" i="1"/>
  <c r="AA181" i="1"/>
  <c r="W181" i="1" s="1"/>
  <c r="AA178" i="1"/>
  <c r="W178" i="1" s="1"/>
  <c r="AA172" i="1"/>
  <c r="X168" i="1"/>
  <c r="AG165" i="1"/>
  <c r="AA162" i="1"/>
  <c r="AA92" i="1"/>
  <c r="W92" i="1" s="1"/>
  <c r="AG90" i="1"/>
  <c r="AG88" i="1"/>
  <c r="U88" i="1" s="1"/>
  <c r="S88" i="1" s="1"/>
  <c r="AG85" i="1"/>
  <c r="U85" i="1" s="1"/>
  <c r="X85" i="1"/>
  <c r="AG84" i="1"/>
  <c r="X84" i="1"/>
  <c r="AG81" i="1"/>
  <c r="AG80" i="1"/>
  <c r="AI80" i="1" s="1"/>
  <c r="AI74" i="1"/>
  <c r="AA58" i="1"/>
  <c r="T51" i="1"/>
  <c r="X49" i="1"/>
  <c r="AA39" i="1"/>
  <c r="AA36" i="1"/>
  <c r="AI207" i="1"/>
  <c r="W109" i="1"/>
  <c r="AG211" i="1"/>
  <c r="T197" i="1"/>
  <c r="X211" i="1"/>
  <c r="AG208" i="1"/>
  <c r="X208" i="1"/>
  <c r="AA199" i="1"/>
  <c r="AA198" i="1"/>
  <c r="W198" i="1" s="1"/>
  <c r="AG197" i="1"/>
  <c r="X159" i="1"/>
  <c r="AG156" i="1"/>
  <c r="U156" i="1" s="1"/>
  <c r="S156" i="1" s="1"/>
  <c r="X156" i="1"/>
  <c r="AA149" i="1"/>
  <c r="AA148" i="1"/>
  <c r="AG147" i="1"/>
  <c r="U147" i="1" s="1"/>
  <c r="S147" i="1" s="1"/>
  <c r="X143" i="1"/>
  <c r="AG140" i="1"/>
  <c r="U140" i="1" s="1"/>
  <c r="S140" i="1" s="1"/>
  <c r="X140" i="1"/>
  <c r="AA133" i="1"/>
  <c r="AA132" i="1"/>
  <c r="W132" i="1" s="1"/>
  <c r="AG131" i="1"/>
  <c r="U131" i="1" s="1"/>
  <c r="S131" i="1" s="1"/>
  <c r="X127" i="1"/>
  <c r="AG124" i="1"/>
  <c r="X124" i="1"/>
  <c r="AG121" i="1"/>
  <c r="AA119" i="1"/>
  <c r="T118" i="1"/>
  <c r="AG117" i="1"/>
  <c r="U117" i="1" s="1"/>
  <c r="S117" i="1" s="1"/>
  <c r="X113" i="1"/>
  <c r="AG110" i="1"/>
  <c r="U110" i="1" s="1"/>
  <c r="X110" i="1"/>
  <c r="AA103" i="1"/>
  <c r="AA206" i="1"/>
  <c r="T206" i="1"/>
  <c r="AG205" i="1"/>
  <c r="U205" i="1" s="1"/>
  <c r="S205" i="1" s="1"/>
  <c r="T99" i="1"/>
  <c r="U99" i="1" s="1"/>
  <c r="S99" i="1" s="1"/>
  <c r="AG193" i="1"/>
  <c r="AG189" i="1"/>
  <c r="AG186" i="1"/>
  <c r="T186" i="1"/>
  <c r="X181" i="1"/>
  <c r="T174" i="1"/>
  <c r="X175" i="1"/>
  <c r="AG174" i="1"/>
  <c r="W174" i="1" s="1"/>
  <c r="AA54" i="1"/>
  <c r="W54" i="1" s="1"/>
  <c r="AG35" i="1"/>
  <c r="X35" i="1"/>
  <c r="T207" i="1"/>
  <c r="U207" i="1" s="1"/>
  <c r="S207" i="1" s="1"/>
  <c r="AA203" i="1"/>
  <c r="AA202" i="1"/>
  <c r="W202" i="1" s="1"/>
  <c r="U201" i="1"/>
  <c r="S201" i="1" s="1"/>
  <c r="X197" i="1"/>
  <c r="AA153" i="1"/>
  <c r="AA152" i="1"/>
  <c r="W152" i="1" s="1"/>
  <c r="U151" i="1"/>
  <c r="S151" i="1" s="1"/>
  <c r="X147" i="1"/>
  <c r="U144" i="1"/>
  <c r="X144" i="1"/>
  <c r="AA137" i="1"/>
  <c r="AA136" i="1"/>
  <c r="U135" i="1"/>
  <c r="S135" i="1" s="1"/>
  <c r="X131" i="1"/>
  <c r="X128" i="1"/>
  <c r="X121" i="1"/>
  <c r="X117" i="1"/>
  <c r="U114" i="1"/>
  <c r="T109" i="1"/>
  <c r="U109" i="1" s="1"/>
  <c r="S109" i="1" s="1"/>
  <c r="AA107" i="1"/>
  <c r="W107" i="1" s="1"/>
  <c r="AA106" i="1"/>
  <c r="W106" i="1" s="1"/>
  <c r="X205" i="1"/>
  <c r="AG179" i="1"/>
  <c r="AI179" i="1" s="1"/>
  <c r="T179" i="1"/>
  <c r="X179" i="1"/>
  <c r="T172" i="1"/>
  <c r="AG172" i="1"/>
  <c r="AG79" i="1"/>
  <c r="T79" i="1"/>
  <c r="U79" i="1" s="1"/>
  <c r="S79" i="1" s="1"/>
  <c r="X79" i="1"/>
  <c r="AG55" i="1"/>
  <c r="T55" i="1"/>
  <c r="X55" i="1"/>
  <c r="AA209" i="1"/>
  <c r="AA208" i="1"/>
  <c r="W208" i="1" s="1"/>
  <c r="U198" i="1"/>
  <c r="S198" i="1" s="1"/>
  <c r="AA157" i="1"/>
  <c r="AA156" i="1"/>
  <c r="U155" i="1"/>
  <c r="S155" i="1" s="1"/>
  <c r="X148" i="1"/>
  <c r="AA141" i="1"/>
  <c r="AA140" i="1"/>
  <c r="W140" i="1" s="1"/>
  <c r="U139" i="1"/>
  <c r="S139" i="1" s="1"/>
  <c r="X132" i="1"/>
  <c r="AA125" i="1"/>
  <c r="AA124" i="1"/>
  <c r="AG118" i="1"/>
  <c r="AA111" i="1"/>
  <c r="W111" i="1" s="1"/>
  <c r="AA110" i="1"/>
  <c r="AG206" i="1"/>
  <c r="U206" i="1" s="1"/>
  <c r="T193" i="1"/>
  <c r="AA191" i="1"/>
  <c r="W191" i="1" s="1"/>
  <c r="X190" i="1"/>
  <c r="AG190" i="1"/>
  <c r="U190" i="1" s="1"/>
  <c r="S190" i="1" s="1"/>
  <c r="U95" i="1"/>
  <c r="S95" i="1" s="1"/>
  <c r="T189" i="1"/>
  <c r="AA188" i="1"/>
  <c r="T187" i="1"/>
  <c r="AG187" i="1"/>
  <c r="AI187" i="1" s="1"/>
  <c r="AA187" i="1"/>
  <c r="AI100" i="1"/>
  <c r="T160" i="1"/>
  <c r="X160" i="1"/>
  <c r="AG160" i="1"/>
  <c r="AI160" i="1" s="1"/>
  <c r="AA88" i="1"/>
  <c r="W88" i="1" s="1"/>
  <c r="AA80" i="1"/>
  <c r="AG71" i="1"/>
  <c r="T71" i="1"/>
  <c r="X71" i="1"/>
  <c r="T66" i="1"/>
  <c r="X67" i="1"/>
  <c r="AG66" i="1"/>
  <c r="AI66" i="1" s="1"/>
  <c r="T50" i="1"/>
  <c r="AG50" i="1"/>
  <c r="AI50" i="1" s="1"/>
  <c r="X48" i="1"/>
  <c r="AG48" i="1"/>
  <c r="T36" i="1"/>
  <c r="X36" i="1"/>
  <c r="AG36" i="1"/>
  <c r="T35" i="1"/>
  <c r="U159" i="1"/>
  <c r="S159" i="1" s="1"/>
  <c r="U152" i="1"/>
  <c r="S152" i="1" s="1"/>
  <c r="U127" i="1"/>
  <c r="S127" i="1" s="1"/>
  <c r="U113" i="1"/>
  <c r="S113" i="1" s="1"/>
  <c r="U106" i="1"/>
  <c r="T94" i="1"/>
  <c r="AG94" i="1"/>
  <c r="T60" i="1"/>
  <c r="AG60" i="1"/>
  <c r="W60" i="1" s="1"/>
  <c r="X45" i="1"/>
  <c r="X44" i="1"/>
  <c r="AG44" i="1"/>
  <c r="X39" i="1"/>
  <c r="AG23" i="1"/>
  <c r="W23" i="1" s="1"/>
  <c r="X23" i="1"/>
  <c r="AA15" i="1"/>
  <c r="AA101" i="1"/>
  <c r="W101" i="1" s="1"/>
  <c r="AA100" i="1"/>
  <c r="W100" i="1" s="1"/>
  <c r="AA95" i="1"/>
  <c r="W95" i="1" s="1"/>
  <c r="AA186" i="1"/>
  <c r="AA183" i="1"/>
  <c r="W183" i="1" s="1"/>
  <c r="AA180" i="1"/>
  <c r="AA171" i="1"/>
  <c r="T171" i="1"/>
  <c r="X170" i="1"/>
  <c r="AA169" i="1"/>
  <c r="X167" i="1"/>
  <c r="AA165" i="1"/>
  <c r="W165" i="1" s="1"/>
  <c r="X163" i="1"/>
  <c r="AA91" i="1"/>
  <c r="AA90" i="1"/>
  <c r="W90" i="1" s="1"/>
  <c r="T83" i="1"/>
  <c r="U81" i="1"/>
  <c r="S81" i="1" s="1"/>
  <c r="X80" i="1"/>
  <c r="AA75" i="1"/>
  <c r="T75" i="1"/>
  <c r="AA72" i="1"/>
  <c r="W72" i="1" s="1"/>
  <c r="AA69" i="1"/>
  <c r="AA63" i="1"/>
  <c r="W63" i="1" s="1"/>
  <c r="T63" i="1"/>
  <c r="AA56" i="1"/>
  <c r="AA53" i="1"/>
  <c r="AA45" i="1"/>
  <c r="W45" i="1" s="1"/>
  <c r="AA40" i="1"/>
  <c r="AA33" i="1"/>
  <c r="AA28" i="1"/>
  <c r="T27" i="1"/>
  <c r="U170" i="1"/>
  <c r="S170" i="1" s="1"/>
  <c r="U167" i="1"/>
  <c r="S167" i="1" s="1"/>
  <c r="AA164" i="1"/>
  <c r="T164" i="1"/>
  <c r="U163" i="1"/>
  <c r="S163" i="1" s="1"/>
  <c r="X92" i="1"/>
  <c r="AA87" i="1"/>
  <c r="AA86" i="1"/>
  <c r="W86" i="1" s="1"/>
  <c r="W84" i="1"/>
  <c r="AA83" i="1"/>
  <c r="W83" i="1" s="1"/>
  <c r="X81" i="1"/>
  <c r="W68" i="1"/>
  <c r="AA65" i="1"/>
  <c r="AA59" i="1"/>
  <c r="W59" i="1" s="1"/>
  <c r="T59" i="1"/>
  <c r="W52" i="1"/>
  <c r="X51" i="1"/>
  <c r="T47" i="1"/>
  <c r="U45" i="1"/>
  <c r="T43" i="1"/>
  <c r="U43" i="1" s="1"/>
  <c r="S43" i="1" s="1"/>
  <c r="T39" i="1"/>
  <c r="U39" i="1" s="1"/>
  <c r="S39" i="1" s="1"/>
  <c r="T32" i="1"/>
  <c r="AA25" i="1"/>
  <c r="AA20" i="1"/>
  <c r="T19" i="1"/>
  <c r="U19" i="1" s="1"/>
  <c r="S19" i="1" s="1"/>
  <c r="AA179" i="1"/>
  <c r="X178" i="1"/>
  <c r="AA176" i="1"/>
  <c r="W176" i="1" s="1"/>
  <c r="AA173" i="1"/>
  <c r="X171" i="1"/>
  <c r="AA160" i="1"/>
  <c r="U92" i="1"/>
  <c r="S92" i="1" s="1"/>
  <c r="X88" i="1"/>
  <c r="U84" i="1"/>
  <c r="AA79" i="1"/>
  <c r="W79" i="1" s="1"/>
  <c r="W78" i="1"/>
  <c r="AA71" i="1"/>
  <c r="AA61" i="1"/>
  <c r="AA55" i="1"/>
  <c r="W55" i="1" s="1"/>
  <c r="AA37" i="1"/>
  <c r="AG32" i="1"/>
  <c r="T31" i="1"/>
  <c r="X27" i="1"/>
  <c r="W24" i="1"/>
  <c r="AG20" i="1"/>
  <c r="AA16" i="1"/>
  <c r="W16" i="1" s="1"/>
  <c r="AG203" i="1"/>
  <c r="AI203" i="1" s="1"/>
  <c r="AG199" i="1"/>
  <c r="AI199" i="1" s="1"/>
  <c r="AG195" i="1"/>
  <c r="AG157" i="1"/>
  <c r="AI157" i="1" s="1"/>
  <c r="AG153" i="1"/>
  <c r="AI153" i="1" s="1"/>
  <c r="AG149" i="1"/>
  <c r="AI149" i="1" s="1"/>
  <c r="AG145" i="1"/>
  <c r="AG141" i="1"/>
  <c r="AG137" i="1"/>
  <c r="AI137" i="1" s="1"/>
  <c r="AG133" i="1"/>
  <c r="AI133" i="1" s="1"/>
  <c r="AG129" i="1"/>
  <c r="AI129" i="1" s="1"/>
  <c r="AG125" i="1"/>
  <c r="AI125" i="1" s="1"/>
  <c r="AI143" i="1"/>
  <c r="AI127" i="1"/>
  <c r="U208" i="1"/>
  <c r="S208" i="1" s="1"/>
  <c r="U202" i="1"/>
  <c r="S202" i="1" s="1"/>
  <c r="AG209" i="1"/>
  <c r="AG210" i="1"/>
  <c r="X209" i="1"/>
  <c r="AI208" i="1"/>
  <c r="AG204" i="1"/>
  <c r="W204" i="1" s="1"/>
  <c r="X203" i="1"/>
  <c r="AG200" i="1"/>
  <c r="W200" i="1" s="1"/>
  <c r="X199" i="1"/>
  <c r="AG196" i="1"/>
  <c r="W196" i="1" s="1"/>
  <c r="X195" i="1"/>
  <c r="AG158" i="1"/>
  <c r="X157" i="1"/>
  <c r="AG154" i="1"/>
  <c r="AI154" i="1" s="1"/>
  <c r="X153" i="1"/>
  <c r="AG150" i="1"/>
  <c r="AI150" i="1" s="1"/>
  <c r="X149" i="1"/>
  <c r="AG146" i="1"/>
  <c r="AI146" i="1" s="1"/>
  <c r="X145" i="1"/>
  <c r="S144" i="1"/>
  <c r="AG142" i="1"/>
  <c r="X141" i="1"/>
  <c r="AI176" i="1"/>
  <c r="AG138" i="1"/>
  <c r="AI138" i="1" s="1"/>
  <c r="X137" i="1"/>
  <c r="AI172" i="1"/>
  <c r="AG134" i="1"/>
  <c r="W134" i="1" s="1"/>
  <c r="X133" i="1"/>
  <c r="AI168" i="1"/>
  <c r="AG130" i="1"/>
  <c r="AI130" i="1" s="1"/>
  <c r="X129" i="1"/>
  <c r="AI164" i="1"/>
  <c r="AG126" i="1"/>
  <c r="X125" i="1"/>
  <c r="AG122" i="1"/>
  <c r="T120" i="1"/>
  <c r="X120" i="1"/>
  <c r="AG120" i="1"/>
  <c r="AI120" i="1" s="1"/>
  <c r="AI131" i="1"/>
  <c r="X210" i="1"/>
  <c r="X204" i="1"/>
  <c r="X200" i="1"/>
  <c r="X196" i="1"/>
  <c r="X158" i="1"/>
  <c r="X154" i="1"/>
  <c r="X150" i="1"/>
  <c r="X146" i="1"/>
  <c r="X142" i="1"/>
  <c r="X138" i="1"/>
  <c r="X134" i="1"/>
  <c r="X130" i="1"/>
  <c r="X126" i="1"/>
  <c r="X122" i="1"/>
  <c r="AA118" i="1"/>
  <c r="W118" i="1" s="1"/>
  <c r="U118" i="1"/>
  <c r="S118" i="1" s="1"/>
  <c r="AI151" i="1"/>
  <c r="W103" i="1"/>
  <c r="AI135" i="1"/>
  <c r="AG119" i="1"/>
  <c r="W119" i="1" s="1"/>
  <c r="T119" i="1"/>
  <c r="X119" i="1"/>
  <c r="AI139" i="1"/>
  <c r="AG116" i="1"/>
  <c r="AI116" i="1" s="1"/>
  <c r="X115" i="1"/>
  <c r="T115" i="1"/>
  <c r="U115" i="1" s="1"/>
  <c r="S115" i="1" s="1"/>
  <c r="S114" i="1"/>
  <c r="AG112" i="1"/>
  <c r="AI112" i="1" s="1"/>
  <c r="X111" i="1"/>
  <c r="T111" i="1"/>
  <c r="U111" i="1" s="1"/>
  <c r="AG108" i="1"/>
  <c r="AI108" i="1" s="1"/>
  <c r="X107" i="1"/>
  <c r="T107" i="1"/>
  <c r="U107" i="1" s="1"/>
  <c r="AI142" i="1"/>
  <c r="S106" i="1"/>
  <c r="AG104" i="1"/>
  <c r="AI104" i="1" s="1"/>
  <c r="X103" i="1"/>
  <c r="T103" i="1"/>
  <c r="U103" i="1" s="1"/>
  <c r="S103" i="1" s="1"/>
  <c r="S206" i="1"/>
  <c r="AG102" i="1"/>
  <c r="X101" i="1"/>
  <c r="T101" i="1"/>
  <c r="U101" i="1" s="1"/>
  <c r="S101" i="1" s="1"/>
  <c r="S100" i="1"/>
  <c r="AG98" i="1"/>
  <c r="X97" i="1"/>
  <c r="T97" i="1"/>
  <c r="U97" i="1" s="1"/>
  <c r="S97" i="1" s="1"/>
  <c r="S96" i="1"/>
  <c r="AG192" i="1"/>
  <c r="AI192" i="1" s="1"/>
  <c r="X191" i="1"/>
  <c r="T191" i="1"/>
  <c r="U191" i="1" s="1"/>
  <c r="S191" i="1" s="1"/>
  <c r="AI126" i="1"/>
  <c r="AI121" i="1"/>
  <c r="U179" i="1"/>
  <c r="S179" i="1" s="1"/>
  <c r="W175" i="1"/>
  <c r="X116" i="1"/>
  <c r="X112" i="1"/>
  <c r="X108" i="1"/>
  <c r="X104" i="1"/>
  <c r="X102" i="1"/>
  <c r="X98" i="1"/>
  <c r="X192" i="1"/>
  <c r="T188" i="1"/>
  <c r="X188" i="1"/>
  <c r="AG188" i="1"/>
  <c r="AI188" i="1" s="1"/>
  <c r="W187" i="1"/>
  <c r="X185" i="1"/>
  <c r="T184" i="1"/>
  <c r="X184" i="1"/>
  <c r="AG184" i="1"/>
  <c r="AI184" i="1" s="1"/>
  <c r="U175" i="1"/>
  <c r="S175" i="1" s="1"/>
  <c r="AI109" i="1"/>
  <c r="W171" i="1"/>
  <c r="AI122" i="1"/>
  <c r="W182" i="1"/>
  <c r="U171" i="1"/>
  <c r="S171" i="1" s="1"/>
  <c r="AI105" i="1"/>
  <c r="W168" i="1"/>
  <c r="W164" i="1"/>
  <c r="U182" i="1"/>
  <c r="S182" i="1" s="1"/>
  <c r="U168" i="1"/>
  <c r="S168" i="1" s="1"/>
  <c r="AI101" i="1"/>
  <c r="U164" i="1"/>
  <c r="S164" i="1" s="1"/>
  <c r="AI97" i="1"/>
  <c r="U183" i="1"/>
  <c r="S183" i="1" s="1"/>
  <c r="U94" i="1"/>
  <c r="S94" i="1" s="1"/>
  <c r="U176" i="1"/>
  <c r="S176" i="1" s="1"/>
  <c r="U172" i="1"/>
  <c r="S172" i="1" s="1"/>
  <c r="U165" i="1"/>
  <c r="S165" i="1" s="1"/>
  <c r="U161" i="1"/>
  <c r="S161" i="1" s="1"/>
  <c r="U90" i="1"/>
  <c r="S90" i="1" s="1"/>
  <c r="U86" i="1"/>
  <c r="S86" i="1" s="1"/>
  <c r="U75" i="1"/>
  <c r="S75" i="1"/>
  <c r="AI75" i="1"/>
  <c r="T73" i="1"/>
  <c r="X73" i="1"/>
  <c r="AG73" i="1"/>
  <c r="W73" i="1" s="1"/>
  <c r="U71" i="1"/>
  <c r="S71" i="1" s="1"/>
  <c r="AI71" i="1"/>
  <c r="AI55" i="1"/>
  <c r="X187" i="1"/>
  <c r="X183" i="1"/>
  <c r="AG180" i="1"/>
  <c r="AI180" i="1" s="1"/>
  <c r="X94" i="1"/>
  <c r="AG177" i="1"/>
  <c r="X176" i="1"/>
  <c r="AG173" i="1"/>
  <c r="X172" i="1"/>
  <c r="AG93" i="1"/>
  <c r="W93" i="1" s="1"/>
  <c r="X169" i="1"/>
  <c r="AG166" i="1"/>
  <c r="W166" i="1" s="1"/>
  <c r="X165" i="1"/>
  <c r="AG162" i="1"/>
  <c r="X161" i="1"/>
  <c r="AI93" i="1"/>
  <c r="AG91" i="1"/>
  <c r="X90" i="1"/>
  <c r="AI89" i="1"/>
  <c r="AG87" i="1"/>
  <c r="W87" i="1" s="1"/>
  <c r="X86" i="1"/>
  <c r="AI85" i="1"/>
  <c r="AA85" i="1"/>
  <c r="W85" i="1" s="1"/>
  <c r="AI84" i="1"/>
  <c r="S84" i="1"/>
  <c r="X83" i="1"/>
  <c r="T82" i="1"/>
  <c r="U82" i="1" s="1"/>
  <c r="S82" i="1" s="1"/>
  <c r="X82" i="1"/>
  <c r="AI79" i="1"/>
  <c r="W77" i="1"/>
  <c r="T77" i="1"/>
  <c r="U77" i="1" s="1"/>
  <c r="S77" i="1" s="1"/>
  <c r="U76" i="1"/>
  <c r="S76" i="1" s="1"/>
  <c r="AI72" i="1"/>
  <c r="U67" i="1"/>
  <c r="S67" i="1" s="1"/>
  <c r="AI67" i="1"/>
  <c r="U51" i="1"/>
  <c r="S51" i="1" s="1"/>
  <c r="AI51" i="1"/>
  <c r="AI118" i="1"/>
  <c r="X180" i="1"/>
  <c r="T180" i="1"/>
  <c r="AI114" i="1"/>
  <c r="X177" i="1"/>
  <c r="T177" i="1"/>
  <c r="AI110" i="1"/>
  <c r="X173" i="1"/>
  <c r="T173" i="1"/>
  <c r="AI106" i="1"/>
  <c r="X93" i="1"/>
  <c r="T93" i="1"/>
  <c r="AI102" i="1"/>
  <c r="X166" i="1"/>
  <c r="T166" i="1"/>
  <c r="AI98" i="1"/>
  <c r="X162" i="1"/>
  <c r="T162" i="1"/>
  <c r="AI94" i="1"/>
  <c r="X91" i="1"/>
  <c r="T91" i="1"/>
  <c r="AI90" i="1"/>
  <c r="X87" i="1"/>
  <c r="T87" i="1"/>
  <c r="AI86" i="1"/>
  <c r="AI81" i="1"/>
  <c r="AI77" i="1"/>
  <c r="U72" i="1"/>
  <c r="S72" i="1" s="1"/>
  <c r="U63" i="1"/>
  <c r="S63" i="1" s="1"/>
  <c r="AI63" i="1"/>
  <c r="U62" i="1"/>
  <c r="S62" i="1" s="1"/>
  <c r="S85" i="1"/>
  <c r="U83" i="1"/>
  <c r="S83" i="1" s="1"/>
  <c r="X77" i="1"/>
  <c r="W75" i="1"/>
  <c r="W71" i="1"/>
  <c r="U59" i="1"/>
  <c r="S59" i="1" s="1"/>
  <c r="AI59" i="1"/>
  <c r="U68" i="1"/>
  <c r="S68" i="1" s="1"/>
  <c r="U60" i="1"/>
  <c r="S60" i="1" s="1"/>
  <c r="U56" i="1"/>
  <c r="S56" i="1" s="1"/>
  <c r="U52" i="1"/>
  <c r="S52" i="1" s="1"/>
  <c r="AI36" i="1"/>
  <c r="U35" i="1"/>
  <c r="S35" i="1" s="1"/>
  <c r="AI35" i="1"/>
  <c r="U27" i="1"/>
  <c r="S27" i="1" s="1"/>
  <c r="AI27" i="1"/>
  <c r="AI20" i="1"/>
  <c r="AI19" i="1"/>
  <c r="T17" i="1"/>
  <c r="AG17" i="1"/>
  <c r="X76" i="1"/>
  <c r="X72" i="1"/>
  <c r="AG69" i="1"/>
  <c r="W69" i="1" s="1"/>
  <c r="X68" i="1"/>
  <c r="AG65" i="1"/>
  <c r="X64" i="1"/>
  <c r="AG61" i="1"/>
  <c r="W61" i="1" s="1"/>
  <c r="X60" i="1"/>
  <c r="AG57" i="1"/>
  <c r="W57" i="1" s="1"/>
  <c r="X56" i="1"/>
  <c r="AG53" i="1"/>
  <c r="W53" i="1" s="1"/>
  <c r="X52" i="1"/>
  <c r="AA49" i="1"/>
  <c r="T46" i="1"/>
  <c r="U46" i="1" s="1"/>
  <c r="S46" i="1" s="1"/>
  <c r="X46" i="1"/>
  <c r="T41" i="1"/>
  <c r="X41" i="1"/>
  <c r="AG41" i="1"/>
  <c r="W41" i="1" s="1"/>
  <c r="W40" i="1"/>
  <c r="W39" i="1"/>
  <c r="T33" i="1"/>
  <c r="X33" i="1"/>
  <c r="AG33" i="1"/>
  <c r="W33" i="1" s="1"/>
  <c r="W32" i="1"/>
  <c r="T25" i="1"/>
  <c r="X25" i="1"/>
  <c r="AG25" i="1"/>
  <c r="W25" i="1" s="1"/>
  <c r="AI16" i="1"/>
  <c r="X69" i="1"/>
  <c r="AI68" i="1"/>
  <c r="X65" i="1"/>
  <c r="AI64" i="1"/>
  <c r="X61" i="1"/>
  <c r="AI60" i="1"/>
  <c r="X57" i="1"/>
  <c r="AI56" i="1"/>
  <c r="X53" i="1"/>
  <c r="AI52" i="1"/>
  <c r="U50" i="1"/>
  <c r="S50" i="1" s="1"/>
  <c r="T49" i="1"/>
  <c r="S45" i="1"/>
  <c r="AI45" i="1"/>
  <c r="AI40" i="1"/>
  <c r="AI39" i="1"/>
  <c r="U36" i="1"/>
  <c r="S36" i="1" s="1"/>
  <c r="AI32" i="1"/>
  <c r="U31" i="1"/>
  <c r="S31" i="1" s="1"/>
  <c r="AI31" i="1"/>
  <c r="U28" i="1"/>
  <c r="S28" i="1" s="1"/>
  <c r="S24" i="1"/>
  <c r="AI24" i="1"/>
  <c r="U23" i="1"/>
  <c r="S23" i="1" s="1"/>
  <c r="AI23" i="1"/>
  <c r="U20" i="1"/>
  <c r="S20" i="1" s="1"/>
  <c r="T14" i="1"/>
  <c r="AG14" i="1"/>
  <c r="W14" i="1" s="1"/>
  <c r="X78" i="1"/>
  <c r="X74" i="1"/>
  <c r="X70" i="1"/>
  <c r="X66" i="1"/>
  <c r="X62" i="1"/>
  <c r="X58" i="1"/>
  <c r="X54" i="1"/>
  <c r="X50" i="1"/>
  <c r="AG49" i="1"/>
  <c r="U47" i="1"/>
  <c r="S47" i="1" s="1"/>
  <c r="T37" i="1"/>
  <c r="X37" i="1"/>
  <c r="AG37" i="1"/>
  <c r="W37" i="1" s="1"/>
  <c r="W36" i="1"/>
  <c r="W35" i="1"/>
  <c r="T29" i="1"/>
  <c r="X29" i="1"/>
  <c r="AG29" i="1"/>
  <c r="W27" i="1"/>
  <c r="T21" i="1"/>
  <c r="X21" i="1"/>
  <c r="AG21" i="1"/>
  <c r="W21" i="1" s="1"/>
  <c r="AG42" i="1"/>
  <c r="W42" i="1" s="1"/>
  <c r="AG38" i="1"/>
  <c r="AG34" i="1"/>
  <c r="W34" i="1" s="1"/>
  <c r="AG30" i="1"/>
  <c r="AG26" i="1"/>
  <c r="AG22" i="1"/>
  <c r="AG18" i="1"/>
  <c r="W18" i="1" s="1"/>
  <c r="AG15" i="1"/>
  <c r="X42" i="1"/>
  <c r="X38" i="1"/>
  <c r="X34" i="1"/>
  <c r="X30" i="1"/>
  <c r="X26" i="1"/>
  <c r="X22" i="1"/>
  <c r="X15" i="1"/>
  <c r="AE11" i="3"/>
  <c r="Y9" i="3"/>
  <c r="AD23" i="3"/>
  <c r="AD21" i="3"/>
  <c r="AD17" i="3"/>
  <c r="Y17" i="3"/>
  <c r="AD11" i="3"/>
  <c r="AD9" i="3"/>
  <c r="AD20" i="3"/>
  <c r="Y18" i="3"/>
  <c r="Y21" i="3"/>
  <c r="AD8" i="3"/>
  <c r="AD25" i="3"/>
  <c r="AD24" i="3"/>
  <c r="Y20" i="3"/>
  <c r="AD19" i="3"/>
  <c r="AC24" i="3"/>
  <c r="AE15" i="3"/>
  <c r="Y13" i="3"/>
  <c r="AE14" i="3"/>
  <c r="AD12" i="3"/>
  <c r="T21" i="3"/>
  <c r="T19" i="3"/>
  <c r="T16" i="3"/>
  <c r="AC26" i="3"/>
  <c r="Y26" i="3"/>
  <c r="Y19" i="3"/>
  <c r="Y22" i="3"/>
  <c r="AC15" i="3"/>
  <c r="AE29" i="3"/>
  <c r="T12" i="3"/>
  <c r="AE26" i="3"/>
  <c r="T14" i="3"/>
  <c r="AE22" i="3"/>
  <c r="T11" i="3"/>
  <c r="T25" i="3"/>
  <c r="AD18" i="3"/>
  <c r="AD14" i="3"/>
  <c r="AE13" i="3"/>
  <c r="T15" i="3"/>
  <c r="AD10" i="3"/>
  <c r="AE9" i="3"/>
  <c r="AE18" i="3"/>
  <c r="T18" i="3"/>
  <c r="AD29" i="3"/>
  <c r="AD26" i="3"/>
  <c r="AE25" i="3"/>
  <c r="T9" i="3"/>
  <c r="AD22" i="3"/>
  <c r="AE21" i="3"/>
  <c r="T8" i="3"/>
  <c r="AE17" i="3"/>
  <c r="T24" i="3"/>
  <c r="AE28" i="3"/>
  <c r="AE24" i="3"/>
  <c r="AE20" i="3"/>
  <c r="AE16" i="3"/>
  <c r="AE12" i="3"/>
  <c r="AE8" i="3"/>
  <c r="R27" i="3"/>
  <c r="M27" i="3"/>
  <c r="S27" i="3"/>
  <c r="U27" i="3"/>
  <c r="AC27" i="3" s="1"/>
  <c r="V27" i="3"/>
  <c r="W27" i="3"/>
  <c r="X27" i="3"/>
  <c r="U55" i="1" l="1"/>
  <c r="S55" i="1" s="1"/>
  <c r="AI88" i="1"/>
  <c r="W148" i="1"/>
  <c r="W124" i="1"/>
  <c r="AI96" i="1"/>
  <c r="U194" i="1"/>
  <c r="S194" i="1" s="1"/>
  <c r="Y27" i="3"/>
  <c r="W209" i="1"/>
  <c r="W56" i="1"/>
  <c r="U187" i="1"/>
  <c r="S187" i="1" s="1"/>
  <c r="W185" i="1"/>
  <c r="U89" i="1"/>
  <c r="S89" i="1" s="1"/>
  <c r="W64" i="1"/>
  <c r="U186" i="1"/>
  <c r="S186" i="1" s="1"/>
  <c r="W28" i="1"/>
  <c r="U64" i="1"/>
  <c r="S64" i="1" s="1"/>
  <c r="W142" i="1"/>
  <c r="U78" i="1"/>
  <c r="S78" i="1" s="1"/>
  <c r="W186" i="1"/>
  <c r="W94" i="1"/>
  <c r="W110" i="1"/>
  <c r="U105" i="1"/>
  <c r="S105" i="1" s="1"/>
  <c r="W81" i="1"/>
  <c r="W177" i="1"/>
  <c r="W138" i="1"/>
  <c r="AI70" i="1"/>
  <c r="W70" i="1"/>
  <c r="W172" i="1"/>
  <c r="AI117" i="1"/>
  <c r="W179" i="1"/>
  <c r="W169" i="1"/>
  <c r="W80" i="1"/>
  <c r="W136" i="1"/>
  <c r="W96" i="1"/>
  <c r="U197" i="1"/>
  <c r="S197" i="1" s="1"/>
  <c r="U16" i="1"/>
  <c r="S16" i="1" s="1"/>
  <c r="U58" i="1"/>
  <c r="S58" i="1" s="1"/>
  <c r="W58" i="1"/>
  <c r="U80" i="1"/>
  <c r="S80" i="1" s="1"/>
  <c r="W74" i="1"/>
  <c r="AI200" i="1"/>
  <c r="AI147" i="1"/>
  <c r="AI196" i="1"/>
  <c r="W20" i="1"/>
  <c r="U128" i="1"/>
  <c r="S128" i="1" s="1"/>
  <c r="W135" i="1"/>
  <c r="W65" i="1"/>
  <c r="U66" i="1"/>
  <c r="S66" i="1" s="1"/>
  <c r="AI134" i="1"/>
  <c r="AI54" i="1"/>
  <c r="W156" i="1"/>
  <c r="W139" i="1"/>
  <c r="U143" i="1"/>
  <c r="S143" i="1" s="1"/>
  <c r="AI204" i="1"/>
  <c r="W76" i="1"/>
  <c r="W123" i="1"/>
  <c r="U174" i="1"/>
  <c r="S174" i="1" s="1"/>
  <c r="W190" i="1"/>
  <c r="W89" i="1"/>
  <c r="W194" i="1"/>
  <c r="W149" i="1"/>
  <c r="W159" i="1"/>
  <c r="W62" i="1"/>
  <c r="W116" i="1"/>
  <c r="U48" i="1"/>
  <c r="S48" i="1" s="1"/>
  <c r="AI48" i="1"/>
  <c r="U193" i="1"/>
  <c r="S193" i="1" s="1"/>
  <c r="U124" i="1"/>
  <c r="S124" i="1" s="1"/>
  <c r="AI124" i="1"/>
  <c r="W205" i="1"/>
  <c r="W141" i="1"/>
  <c r="AI141" i="1"/>
  <c r="W129" i="1"/>
  <c r="W48" i="1"/>
  <c r="W117" i="1"/>
  <c r="W145" i="1"/>
  <c r="AI145" i="1"/>
  <c r="W195" i="1"/>
  <c r="AI195" i="1"/>
  <c r="U160" i="1"/>
  <c r="S160" i="1" s="1"/>
  <c r="W50" i="1"/>
  <c r="W66" i="1"/>
  <c r="W206" i="1"/>
  <c r="U121" i="1"/>
  <c r="S121" i="1" s="1"/>
  <c r="U211" i="1"/>
  <c r="S211" i="1" s="1"/>
  <c r="AI211" i="1"/>
  <c r="W211" i="1"/>
  <c r="W121" i="1"/>
  <c r="W147" i="1"/>
  <c r="U32" i="1"/>
  <c r="S32" i="1" s="1"/>
  <c r="W160" i="1"/>
  <c r="U44" i="1"/>
  <c r="S44" i="1" s="1"/>
  <c r="AI44" i="1"/>
  <c r="W44" i="1"/>
  <c r="U189" i="1"/>
  <c r="S189" i="1" s="1"/>
  <c r="W189" i="1"/>
  <c r="W193" i="1"/>
  <c r="W131" i="1"/>
  <c r="W197" i="1"/>
  <c r="U22" i="1"/>
  <c r="S22" i="1" s="1"/>
  <c r="AI22" i="1"/>
  <c r="AI29" i="1"/>
  <c r="U29" i="1"/>
  <c r="S29" i="1" s="1"/>
  <c r="W22" i="1"/>
  <c r="AI107" i="1"/>
  <c r="U173" i="1"/>
  <c r="S173" i="1" s="1"/>
  <c r="AI115" i="1"/>
  <c r="U180" i="1"/>
  <c r="S180" i="1" s="1"/>
  <c r="W180" i="1"/>
  <c r="AI128" i="1"/>
  <c r="U192" i="1"/>
  <c r="S192" i="1" s="1"/>
  <c r="AI144" i="1"/>
  <c r="U108" i="1"/>
  <c r="S107" i="1" s="1"/>
  <c r="U210" i="1"/>
  <c r="S210" i="1" s="1"/>
  <c r="AI210" i="1"/>
  <c r="AI169" i="1"/>
  <c r="U133" i="1"/>
  <c r="S133" i="1" s="1"/>
  <c r="AI185" i="1"/>
  <c r="U149" i="1"/>
  <c r="S149" i="1" s="1"/>
  <c r="AI201" i="1"/>
  <c r="U199" i="1"/>
  <c r="S199" i="1" s="1"/>
  <c r="U38" i="1"/>
  <c r="S38" i="1" s="1"/>
  <c r="AI38" i="1"/>
  <c r="U26" i="1"/>
  <c r="S26" i="1" s="1"/>
  <c r="AI26" i="1"/>
  <c r="W26" i="1"/>
  <c r="AI73" i="1"/>
  <c r="U73" i="1"/>
  <c r="S73" i="1" s="1"/>
  <c r="W173" i="1"/>
  <c r="AI119" i="1"/>
  <c r="U184" i="1"/>
  <c r="S184" i="1" s="1"/>
  <c r="AI132" i="1"/>
  <c r="U98" i="1"/>
  <c r="S98" i="1" s="1"/>
  <c r="AI148" i="1"/>
  <c r="U112" i="1"/>
  <c r="S110" i="1" s="1"/>
  <c r="AI206" i="1"/>
  <c r="U204" i="1"/>
  <c r="S204" i="1" s="1"/>
  <c r="AI209" i="1"/>
  <c r="U209" i="1"/>
  <c r="S209" i="1" s="1"/>
  <c r="AI173" i="1"/>
  <c r="U137" i="1"/>
  <c r="S137" i="1" s="1"/>
  <c r="AI189" i="1"/>
  <c r="U153" i="1"/>
  <c r="S153" i="1" s="1"/>
  <c r="AI205" i="1"/>
  <c r="U203" i="1"/>
  <c r="S203" i="1" s="1"/>
  <c r="W153" i="1"/>
  <c r="W210" i="1"/>
  <c r="AI49" i="1"/>
  <c r="U49" i="1"/>
  <c r="S49" i="1" s="1"/>
  <c r="U30" i="1"/>
  <c r="S30" i="1" s="1"/>
  <c r="AI30" i="1"/>
  <c r="W49" i="1"/>
  <c r="AI57" i="1"/>
  <c r="U57" i="1"/>
  <c r="S57" i="1" s="1"/>
  <c r="AI65" i="1"/>
  <c r="U65" i="1"/>
  <c r="S65" i="1" s="1"/>
  <c r="W38" i="1"/>
  <c r="AI87" i="1"/>
  <c r="U87" i="1"/>
  <c r="S87" i="1" s="1"/>
  <c r="AI91" i="1"/>
  <c r="U91" i="1"/>
  <c r="S91" i="1" s="1"/>
  <c r="AI95" i="1"/>
  <c r="U162" i="1"/>
  <c r="S162" i="1" s="1"/>
  <c r="AI103" i="1"/>
  <c r="U93" i="1"/>
  <c r="S93" i="1" s="1"/>
  <c r="AI111" i="1"/>
  <c r="U177" i="1"/>
  <c r="S177" i="1" s="1"/>
  <c r="W91" i="1"/>
  <c r="U188" i="1"/>
  <c r="S188" i="1" s="1"/>
  <c r="AI123" i="1"/>
  <c r="AI136" i="1"/>
  <c r="U102" i="1"/>
  <c r="S102" i="1" s="1"/>
  <c r="U116" i="1"/>
  <c r="S116" i="1" s="1"/>
  <c r="AI152" i="1"/>
  <c r="U119" i="1"/>
  <c r="S119" i="1" s="1"/>
  <c r="AI155" i="1"/>
  <c r="AI158" i="1"/>
  <c r="U122" i="1"/>
  <c r="S122" i="1" s="1"/>
  <c r="AI162" i="1"/>
  <c r="U126" i="1"/>
  <c r="S126" i="1" s="1"/>
  <c r="AI166" i="1"/>
  <c r="U130" i="1"/>
  <c r="S130" i="1" s="1"/>
  <c r="AI170" i="1"/>
  <c r="U134" i="1"/>
  <c r="S134" i="1" s="1"/>
  <c r="AI174" i="1"/>
  <c r="U138" i="1"/>
  <c r="S138" i="1" s="1"/>
  <c r="AI178" i="1"/>
  <c r="U142" i="1"/>
  <c r="S142" i="1" s="1"/>
  <c r="AI182" i="1"/>
  <c r="U146" i="1"/>
  <c r="S146" i="1" s="1"/>
  <c r="AI186" i="1"/>
  <c r="U150" i="1"/>
  <c r="S150" i="1" s="1"/>
  <c r="AI190" i="1"/>
  <c r="U154" i="1"/>
  <c r="S154" i="1" s="1"/>
  <c r="AI194" i="1"/>
  <c r="U158" i="1"/>
  <c r="S158" i="1" s="1"/>
  <c r="AI198" i="1"/>
  <c r="U196" i="1"/>
  <c r="S196" i="1" s="1"/>
  <c r="U200" i="1"/>
  <c r="S200" i="1" s="1"/>
  <c r="AI202" i="1"/>
  <c r="AI161" i="1"/>
  <c r="U125" i="1"/>
  <c r="S125" i="1" s="1"/>
  <c r="AI177" i="1"/>
  <c r="U141" i="1"/>
  <c r="S141" i="1" s="1"/>
  <c r="AI193" i="1"/>
  <c r="U157" i="1"/>
  <c r="S157" i="1" s="1"/>
  <c r="W122" i="1"/>
  <c r="W154" i="1"/>
  <c r="W130" i="1"/>
  <c r="W150" i="1"/>
  <c r="W125" i="1"/>
  <c r="W157" i="1"/>
  <c r="AI41" i="1"/>
  <c r="U41" i="1"/>
  <c r="S41" i="1" s="1"/>
  <c r="AI53" i="1"/>
  <c r="U53" i="1"/>
  <c r="S53" i="1" s="1"/>
  <c r="AI61" i="1"/>
  <c r="U61" i="1"/>
  <c r="S61" i="1" s="1"/>
  <c r="AI69" i="1"/>
  <c r="U69" i="1"/>
  <c r="S69" i="1" s="1"/>
  <c r="AI17" i="1"/>
  <c r="U17" i="1"/>
  <c r="S17" i="1" s="1"/>
  <c r="AI99" i="1"/>
  <c r="U166" i="1"/>
  <c r="S166" i="1" s="1"/>
  <c r="U42" i="1"/>
  <c r="S42" i="1" s="1"/>
  <c r="AI42" i="1"/>
  <c r="AI37" i="1"/>
  <c r="U37" i="1"/>
  <c r="S37" i="1" s="1"/>
  <c r="W29" i="1"/>
  <c r="U15" i="1"/>
  <c r="S15" i="1" s="1"/>
  <c r="W15" i="1"/>
  <c r="AI15" i="1"/>
  <c r="W17" i="1"/>
  <c r="AI14" i="1"/>
  <c r="U14" i="1"/>
  <c r="S14" i="1" s="1"/>
  <c r="U18" i="1"/>
  <c r="S18" i="1" s="1"/>
  <c r="AI18" i="1"/>
  <c r="U34" i="1"/>
  <c r="S34" i="1" s="1"/>
  <c r="AI34" i="1"/>
  <c r="AI21" i="1"/>
  <c r="U21" i="1"/>
  <c r="S21" i="1" s="1"/>
  <c r="AI25" i="1"/>
  <c r="U25" i="1"/>
  <c r="S25" i="1" s="1"/>
  <c r="AI33" i="1"/>
  <c r="U33" i="1"/>
  <c r="S33" i="1" s="1"/>
  <c r="W30" i="1"/>
  <c r="W162" i="1"/>
  <c r="W184" i="1"/>
  <c r="W188" i="1"/>
  <c r="AI140" i="1"/>
  <c r="U104" i="1"/>
  <c r="S104" i="1" s="1"/>
  <c r="W192" i="1"/>
  <c r="W108" i="1"/>
  <c r="W104" i="1"/>
  <c r="W102" i="1"/>
  <c r="U120" i="1"/>
  <c r="S120" i="1" s="1"/>
  <c r="W120" i="1"/>
  <c r="AI156" i="1"/>
  <c r="W98" i="1"/>
  <c r="W112" i="1"/>
  <c r="AI165" i="1"/>
  <c r="U129" i="1"/>
  <c r="S129" i="1" s="1"/>
  <c r="AI181" i="1"/>
  <c r="U145" i="1"/>
  <c r="S145" i="1" s="1"/>
  <c r="AI197" i="1"/>
  <c r="U195" i="1"/>
  <c r="S195" i="1" s="1"/>
  <c r="W137" i="1"/>
  <c r="W203" i="1"/>
  <c r="W133" i="1"/>
  <c r="W199" i="1"/>
  <c r="W146" i="1"/>
  <c r="W126" i="1"/>
  <c r="W158" i="1"/>
  <c r="T27" i="3"/>
  <c r="AD27" i="3"/>
  <c r="AE27" i="3"/>
  <c r="B5" i="6"/>
  <c r="G5" i="6" s="1"/>
  <c r="F5" i="6" l="1"/>
  <c r="J5" i="6"/>
  <c r="I5" i="6"/>
  <c r="AE7" i="3" l="1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N21" i="3" s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7" i="3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22" i="3" s="1"/>
  <c r="G46" i="4"/>
  <c r="G47" i="4"/>
  <c r="G48" i="4"/>
  <c r="G49" i="4"/>
  <c r="N15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N16" i="3" s="1"/>
  <c r="G68" i="4"/>
  <c r="G69" i="4"/>
  <c r="G70" i="4"/>
  <c r="G71" i="4"/>
  <c r="G72" i="4"/>
  <c r="G73" i="4"/>
  <c r="N13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7" i="3" s="1"/>
  <c r="G100" i="4"/>
  <c r="G101" i="4"/>
  <c r="G102" i="4"/>
  <c r="G103" i="4"/>
  <c r="G104" i="4"/>
  <c r="G105" i="4"/>
  <c r="G106" i="4"/>
  <c r="N24" i="3" s="1"/>
  <c r="G107" i="4"/>
  <c r="G108" i="4"/>
  <c r="G109" i="4"/>
  <c r="G110" i="4"/>
  <c r="N20" i="3" s="1"/>
  <c r="G111" i="4"/>
  <c r="G112" i="4"/>
  <c r="G113" i="4"/>
  <c r="G114" i="4"/>
  <c r="G115" i="4"/>
  <c r="G116" i="4"/>
  <c r="G117" i="4"/>
  <c r="G118" i="4"/>
  <c r="G119" i="4"/>
  <c r="G120" i="4"/>
  <c r="G121" i="4"/>
  <c r="G122" i="4"/>
  <c r="N10" i="3" s="1"/>
  <c r="G123" i="4"/>
  <c r="N26" i="3" s="1"/>
  <c r="G124" i="4"/>
  <c r="G125" i="4"/>
  <c r="N14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23" i="3" s="1"/>
  <c r="G142" i="4"/>
  <c r="G143" i="4"/>
  <c r="N29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5" i="3" s="1"/>
  <c r="G182" i="4"/>
  <c r="G183" i="4"/>
  <c r="G184" i="4"/>
  <c r="G185" i="4"/>
  <c r="G186" i="4"/>
  <c r="G187" i="4"/>
  <c r="G188" i="4"/>
  <c r="N12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11" i="3"/>
  <c r="N8" i="3"/>
  <c r="N18" i="3"/>
  <c r="N19" i="3"/>
  <c r="H5" i="6"/>
  <c r="N9" i="3"/>
  <c r="N27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6" i="6" l="1"/>
  <c r="I6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7" i="6" l="1"/>
  <c r="I7" i="6" s="1"/>
  <c r="F6" i="6"/>
  <c r="J6" i="6"/>
  <c r="G6" i="6"/>
  <c r="H6" i="6"/>
  <c r="G259" i="4"/>
  <c r="G260" i="4"/>
  <c r="G261" i="4"/>
  <c r="G262" i="4"/>
  <c r="G263" i="4"/>
  <c r="G264" i="4"/>
  <c r="G265" i="4"/>
  <c r="F7" i="6" l="1"/>
  <c r="J7" i="6"/>
  <c r="G7" i="6"/>
  <c r="H7" i="6"/>
  <c r="B8" i="6"/>
  <c r="I8" i="6" s="1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H8" i="6"/>
  <c r="J8" i="6"/>
  <c r="G8" i="6"/>
  <c r="B9" i="6"/>
  <c r="I9" i="6" s="1"/>
  <c r="O2" i="3"/>
  <c r="O3" i="3" s="1"/>
  <c r="F9" i="6" l="1"/>
  <c r="J9" i="6"/>
  <c r="G9" i="6"/>
  <c r="H9" i="6"/>
  <c r="B10" i="6"/>
  <c r="I10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10" i="6" l="1"/>
  <c r="F10" i="6"/>
  <c r="G10" i="6"/>
  <c r="H10" i="6"/>
  <c r="B11" i="6"/>
  <c r="I11" i="6" s="1"/>
  <c r="J8" i="1"/>
  <c r="J4" i="1"/>
  <c r="S8" i="1"/>
  <c r="S4" i="1"/>
  <c r="F11" i="6" l="1"/>
  <c r="J11" i="6"/>
  <c r="H11" i="6"/>
  <c r="G11" i="6"/>
  <c r="B12" i="6"/>
  <c r="I12" i="6" s="1"/>
  <c r="S9" i="1"/>
  <c r="J9" i="1"/>
  <c r="B13" i="6" l="1"/>
  <c r="I13" i="6" s="1"/>
  <c r="F12" i="6"/>
  <c r="G12" i="6"/>
  <c r="J12" i="6"/>
  <c r="H12" i="6"/>
  <c r="S11" i="1"/>
  <c r="A11" i="1"/>
  <c r="B14" i="6" l="1"/>
  <c r="I14" i="6" s="1"/>
  <c r="G13" i="6"/>
  <c r="H13" i="6"/>
  <c r="J13" i="6"/>
  <c r="F13" i="6"/>
  <c r="B1" i="6"/>
  <c r="A5" i="3"/>
  <c r="G14" i="6" l="1"/>
  <c r="F14" i="6"/>
  <c r="J14" i="6"/>
  <c r="H14" i="6"/>
  <c r="B15" i="6"/>
  <c r="I15" i="6" s="1"/>
  <c r="F15" i="6" l="1"/>
  <c r="J15" i="6"/>
  <c r="G15" i="6"/>
  <c r="H15" i="6"/>
  <c r="B16" i="6"/>
  <c r="I16" i="6" s="1"/>
  <c r="B17" i="6" l="1"/>
  <c r="I17" i="6" s="1"/>
  <c r="J16" i="6"/>
  <c r="G16" i="6"/>
  <c r="F16" i="6"/>
  <c r="H16" i="6"/>
  <c r="F17" i="6" l="1"/>
  <c r="G17" i="6"/>
  <c r="H17" i="6"/>
  <c r="J17" i="6"/>
  <c r="B18" i="6"/>
  <c r="I18" i="6" s="1"/>
  <c r="J18" i="6" l="1"/>
  <c r="H18" i="6"/>
  <c r="F18" i="6"/>
  <c r="G18" i="6"/>
  <c r="B19" i="6"/>
  <c r="I19" i="6" s="1"/>
  <c r="B20" i="6" l="1"/>
  <c r="I20" i="6" s="1"/>
  <c r="J19" i="6"/>
  <c r="F19" i="6"/>
  <c r="H19" i="6"/>
  <c r="G19" i="6"/>
  <c r="F20" i="6" l="1"/>
  <c r="G20" i="6"/>
  <c r="H20" i="6"/>
  <c r="J20" i="6"/>
  <c r="B21" i="6"/>
  <c r="I21" i="6" s="1"/>
  <c r="G21" i="6" l="1"/>
  <c r="H21" i="6"/>
  <c r="J21" i="6"/>
  <c r="F21" i="6"/>
  <c r="B22" i="6"/>
  <c r="I22" i="6" s="1"/>
  <c r="F22" i="6" l="1"/>
  <c r="H22" i="6"/>
  <c r="J22" i="6"/>
  <c r="G22" i="6"/>
  <c r="B23" i="6"/>
  <c r="I23" i="6" s="1"/>
  <c r="F23" i="6" l="1"/>
  <c r="J23" i="6"/>
  <c r="G23" i="6"/>
  <c r="H23" i="6"/>
  <c r="B24" i="6"/>
  <c r="I24" i="6" s="1"/>
  <c r="B25" i="6" l="1"/>
  <c r="I25" i="6" s="1"/>
  <c r="F24" i="6"/>
  <c r="H24" i="6"/>
  <c r="J24" i="6"/>
  <c r="G24" i="6"/>
  <c r="F25" i="6" l="1"/>
  <c r="H25" i="6"/>
  <c r="J25" i="6"/>
  <c r="G25" i="6"/>
  <c r="B26" i="6"/>
  <c r="I26" i="6" s="1"/>
  <c r="J26" i="6" l="1"/>
  <c r="H26" i="6"/>
  <c r="F26" i="6"/>
  <c r="G26" i="6"/>
  <c r="B27" i="6"/>
  <c r="I27" i="6" s="1"/>
  <c r="B28" i="6" l="1"/>
  <c r="I28" i="6" s="1"/>
  <c r="F27" i="6"/>
  <c r="G27" i="6"/>
  <c r="H27" i="6"/>
  <c r="J27" i="6"/>
  <c r="B29" i="6" l="1"/>
  <c r="I29" i="6" s="1"/>
  <c r="H28" i="6"/>
  <c r="F28" i="6"/>
  <c r="J28" i="6"/>
  <c r="G28" i="6"/>
  <c r="B30" i="6" l="1"/>
  <c r="I30" i="6" s="1"/>
  <c r="F29" i="6"/>
  <c r="H29" i="6"/>
  <c r="J29" i="6"/>
  <c r="G29" i="6"/>
  <c r="F30" i="6" l="1"/>
  <c r="G30" i="6"/>
  <c r="J30" i="6"/>
  <c r="H30" i="6"/>
  <c r="B31" i="6"/>
  <c r="I31" i="6" s="1"/>
  <c r="F31" i="6" l="1"/>
  <c r="J31" i="6"/>
  <c r="H31" i="6"/>
  <c r="G31" i="6"/>
  <c r="B32" i="6"/>
  <c r="I32" i="6" s="1"/>
  <c r="F32" i="6" l="1"/>
  <c r="H32" i="6"/>
  <c r="G32" i="6"/>
  <c r="J32" i="6"/>
  <c r="B33" i="6"/>
  <c r="I33" i="6" s="1"/>
  <c r="B34" i="6" l="1"/>
  <c r="I34" i="6" s="1"/>
  <c r="G33" i="6"/>
  <c r="F33" i="6"/>
  <c r="H33" i="6"/>
  <c r="J33" i="6"/>
  <c r="J34" i="6" l="1"/>
  <c r="H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H37" i="6" l="1"/>
  <c r="J37" i="6"/>
  <c r="F37" i="6"/>
  <c r="G37" i="6"/>
  <c r="B38" i="6"/>
  <c r="I38" i="6" s="1"/>
  <c r="G38" i="6" l="1"/>
  <c r="F38" i="6"/>
  <c r="H38" i="6"/>
  <c r="J38" i="6"/>
  <c r="B39" i="6"/>
  <c r="I39" i="6" s="1"/>
  <c r="B40" i="6" l="1"/>
  <c r="I40" i="6" s="1"/>
  <c r="J39" i="6"/>
  <c r="G39" i="6"/>
  <c r="F39" i="6"/>
  <c r="H39" i="6"/>
  <c r="B41" i="6" l="1"/>
  <c r="I41" i="6" s="1"/>
  <c r="J40" i="6"/>
  <c r="G40" i="6"/>
  <c r="F40" i="6"/>
  <c r="H40" i="6"/>
  <c r="F41" i="6" l="1"/>
  <c r="H41" i="6"/>
  <c r="J41" i="6"/>
  <c r="G41" i="6"/>
  <c r="B42" i="6"/>
  <c r="I42" i="6" s="1"/>
  <c r="B43" i="6" l="1"/>
  <c r="I43" i="6" s="1"/>
  <c r="F42" i="6"/>
  <c r="G42" i="6"/>
  <c r="J42" i="6"/>
  <c r="H42" i="6"/>
  <c r="G43" i="6" l="1"/>
  <c r="F43" i="6"/>
  <c r="H43" i="6"/>
  <c r="J43" i="6"/>
  <c r="B44" i="6"/>
  <c r="I44" i="6" s="1"/>
  <c r="F44" i="6" l="1"/>
  <c r="J44" i="6"/>
  <c r="G44" i="6"/>
  <c r="H44" i="6"/>
  <c r="B45" i="6"/>
  <c r="I45" i="6" s="1"/>
  <c r="G45" i="6" l="1"/>
  <c r="H45" i="6"/>
  <c r="J45" i="6"/>
  <c r="F45" i="6"/>
  <c r="B46" i="6"/>
  <c r="I46" i="6" s="1"/>
  <c r="B47" i="6" l="1"/>
  <c r="I47" i="6" s="1"/>
  <c r="J46" i="6"/>
  <c r="H46" i="6"/>
  <c r="F46" i="6"/>
  <c r="G46" i="6"/>
  <c r="J47" i="6" l="1"/>
  <c r="G47" i="6"/>
  <c r="F47" i="6"/>
  <c r="H47" i="6"/>
  <c r="B48" i="6"/>
  <c r="I48" i="6" s="1"/>
  <c r="B49" i="6" l="1"/>
  <c r="I49" i="6" s="1"/>
  <c r="G48" i="6"/>
  <c r="J48" i="6"/>
  <c r="F48" i="6"/>
  <c r="H48" i="6"/>
  <c r="F49" i="6" l="1"/>
  <c r="G49" i="6"/>
  <c r="J49" i="6"/>
  <c r="H49" i="6"/>
  <c r="B50" i="6"/>
  <c r="I50" i="6" s="1"/>
  <c r="B51" i="6" l="1"/>
  <c r="I51" i="6" s="1"/>
  <c r="F50" i="6"/>
  <c r="G50" i="6"/>
  <c r="J50" i="6"/>
  <c r="H50" i="6"/>
  <c r="G51" i="6" l="1"/>
  <c r="H51" i="6"/>
  <c r="J51" i="6"/>
  <c r="F51" i="6"/>
  <c r="B52" i="6"/>
  <c r="I52" i="6" s="1"/>
  <c r="B53" i="6" l="1"/>
  <c r="I53" i="6" s="1"/>
  <c r="G52" i="6"/>
  <c r="H52" i="6"/>
  <c r="J52" i="6"/>
  <c r="F52" i="6"/>
  <c r="F53" i="6" l="1"/>
  <c r="G53" i="6"/>
  <c r="H53" i="6"/>
  <c r="J53" i="6"/>
  <c r="B54" i="6"/>
  <c r="I54" i="6" s="1"/>
  <c r="G54" i="6" l="1"/>
  <c r="F54" i="6"/>
  <c r="H54" i="6"/>
  <c r="J54" i="6"/>
  <c r="B55" i="6"/>
  <c r="I55" i="6" s="1"/>
  <c r="B56" i="6" l="1"/>
  <c r="I56" i="6" s="1"/>
  <c r="J55" i="6"/>
  <c r="G55" i="6"/>
  <c r="F55" i="6"/>
  <c r="H55" i="6"/>
  <c r="B57" i="6" l="1"/>
  <c r="I57" i="6" s="1"/>
  <c r="J56" i="6"/>
  <c r="G56" i="6"/>
  <c r="F56" i="6"/>
  <c r="H56" i="6"/>
  <c r="H57" i="6" l="1"/>
  <c r="F57" i="6"/>
  <c r="G57" i="6"/>
  <c r="J57" i="6"/>
  <c r="B58" i="6"/>
  <c r="I58" i="6" s="1"/>
  <c r="B59" i="6" l="1"/>
  <c r="I59" i="6" s="1"/>
  <c r="F58" i="6"/>
  <c r="G58" i="6"/>
  <c r="J58" i="6"/>
  <c r="H58" i="6"/>
  <c r="B60" i="6" l="1"/>
  <c r="I60" i="6" s="1"/>
  <c r="J59" i="6"/>
  <c r="F59" i="6"/>
  <c r="G59" i="6"/>
  <c r="H59" i="6"/>
  <c r="F60" i="6" l="1"/>
  <c r="J60" i="6"/>
  <c r="G60" i="6"/>
  <c r="H60" i="6"/>
  <c r="B61" i="6"/>
  <c r="I61" i="6" s="1"/>
  <c r="H61" i="6" l="1"/>
  <c r="J61" i="6"/>
  <c r="G61" i="6"/>
  <c r="F61" i="6"/>
  <c r="B62" i="6"/>
  <c r="I62" i="6" s="1"/>
  <c r="B63" i="6" l="1"/>
  <c r="I63" i="6" s="1"/>
  <c r="J62" i="6"/>
  <c r="H62" i="6"/>
  <c r="F62" i="6"/>
  <c r="G62" i="6"/>
  <c r="J63" i="6" l="1"/>
  <c r="G63" i="6"/>
  <c r="F63" i="6"/>
  <c r="H63" i="6"/>
  <c r="B64" i="6"/>
  <c r="I64" i="6" s="1"/>
  <c r="G64" i="6" l="1"/>
  <c r="H64" i="6"/>
  <c r="J64" i="6"/>
  <c r="F64" i="6"/>
  <c r="B65" i="6"/>
  <c r="I65" i="6" s="1"/>
  <c r="G65" i="6" l="1"/>
  <c r="F65" i="6"/>
  <c r="H65" i="6"/>
  <c r="J65" i="6"/>
  <c r="B66" i="6"/>
  <c r="I66" i="6" s="1"/>
  <c r="B67" i="6" l="1"/>
  <c r="I67" i="6" s="1"/>
  <c r="J66" i="6"/>
  <c r="F66" i="6"/>
  <c r="H66" i="6"/>
  <c r="G66" i="6"/>
  <c r="B68" i="6" l="1"/>
  <c r="I68" i="6" s="1"/>
  <c r="J67" i="6"/>
  <c r="F67" i="6"/>
  <c r="G67" i="6"/>
  <c r="H67" i="6"/>
  <c r="H68" i="6" l="1"/>
  <c r="G68" i="6"/>
  <c r="F68" i="6"/>
  <c r="J68" i="6"/>
  <c r="B69" i="6"/>
  <c r="I69" i="6" s="1"/>
  <c r="G69" i="6" l="1"/>
  <c r="H69" i="6"/>
  <c r="J69" i="6"/>
  <c r="F69" i="6"/>
  <c r="B70" i="6"/>
  <c r="I70" i="6" s="1"/>
  <c r="B71" i="6" l="1"/>
  <c r="I71" i="6" s="1"/>
  <c r="J70" i="6"/>
  <c r="F70" i="6"/>
  <c r="H70" i="6"/>
  <c r="G70" i="6"/>
  <c r="B72" i="6" l="1"/>
  <c r="I72" i="6" s="1"/>
  <c r="J71" i="6"/>
  <c r="F71" i="6"/>
  <c r="G71" i="6"/>
  <c r="H71" i="6"/>
  <c r="B73" i="6" l="1"/>
  <c r="I73" i="6" s="1"/>
  <c r="J72" i="6"/>
  <c r="F72" i="6"/>
  <c r="G72" i="6"/>
  <c r="H72" i="6"/>
  <c r="J73" i="6" l="1"/>
  <c r="F73" i="6"/>
  <c r="H73" i="6"/>
  <c r="G73" i="6"/>
  <c r="B74" i="6"/>
  <c r="I74" i="6" s="1"/>
  <c r="F74" i="6" l="1"/>
  <c r="J74" i="6"/>
  <c r="H74" i="6"/>
  <c r="G74" i="6"/>
  <c r="B75" i="6"/>
  <c r="I75" i="6" s="1"/>
  <c r="J75" i="6" l="1"/>
  <c r="G75" i="6"/>
  <c r="F75" i="6"/>
  <c r="H75" i="6"/>
  <c r="B76" i="6"/>
  <c r="I76" i="6" s="1"/>
  <c r="B77" i="6" l="1"/>
  <c r="I77" i="6" s="1"/>
  <c r="F76" i="6"/>
  <c r="G76" i="6"/>
  <c r="H76" i="6"/>
  <c r="J76" i="6"/>
  <c r="F77" i="6" l="1"/>
  <c r="G77" i="6"/>
  <c r="H77" i="6"/>
  <c r="J77" i="6"/>
  <c r="B78" i="6"/>
  <c r="I78" i="6" s="1"/>
  <c r="B79" i="6" l="1"/>
  <c r="I79" i="6" s="1"/>
  <c r="J78" i="6"/>
  <c r="F78" i="6"/>
  <c r="G78" i="6"/>
  <c r="H78" i="6"/>
  <c r="F79" i="6" l="1"/>
  <c r="H79" i="6"/>
  <c r="G79" i="6"/>
  <c r="J79" i="6"/>
  <c r="B80" i="6"/>
  <c r="I80" i="6" s="1"/>
  <c r="B81" i="6" l="1"/>
  <c r="I81" i="6" s="1"/>
  <c r="H80" i="6"/>
  <c r="G80" i="6"/>
  <c r="F80" i="6"/>
  <c r="J80" i="6"/>
  <c r="B82" i="6" l="1"/>
  <c r="I82" i="6" s="1"/>
  <c r="J81" i="6"/>
  <c r="H81" i="6"/>
  <c r="F81" i="6"/>
  <c r="G81" i="6"/>
  <c r="J82" i="6" l="1"/>
  <c r="H82" i="6"/>
  <c r="F82" i="6"/>
  <c r="G82" i="6"/>
  <c r="B83" i="6"/>
  <c r="I83" i="6" s="1"/>
  <c r="J83" i="6" l="1"/>
  <c r="F83" i="6"/>
  <c r="H83" i="6"/>
  <c r="G83" i="6"/>
  <c r="B84" i="6"/>
  <c r="I84" i="6" s="1"/>
  <c r="B85" i="6" l="1"/>
  <c r="I85" i="6" s="1"/>
  <c r="F84" i="6"/>
  <c r="J84" i="6"/>
  <c r="G84" i="6"/>
  <c r="H84" i="6"/>
  <c r="B86" i="6" l="1"/>
  <c r="I86" i="6" s="1"/>
  <c r="F85" i="6"/>
  <c r="G85" i="6"/>
  <c r="H85" i="6"/>
  <c r="J85" i="6"/>
  <c r="B87" i="6" l="1"/>
  <c r="I87" i="6" s="1"/>
  <c r="J86" i="6"/>
  <c r="H86" i="6"/>
  <c r="G86" i="6"/>
  <c r="F86" i="6"/>
  <c r="B88" i="6" l="1"/>
  <c r="I88" i="6" s="1"/>
  <c r="H87" i="6"/>
  <c r="J87" i="6"/>
  <c r="F87" i="6"/>
  <c r="G87" i="6"/>
  <c r="G88" i="6" l="1"/>
  <c r="H88" i="6"/>
  <c r="J88" i="6"/>
  <c r="F88" i="6"/>
  <c r="B89" i="6"/>
  <c r="I89" i="6" s="1"/>
  <c r="B90" i="6" l="1"/>
  <c r="I90" i="6" s="1"/>
  <c r="G89" i="6"/>
  <c r="J89" i="6"/>
  <c r="H89" i="6"/>
  <c r="F89" i="6"/>
  <c r="F90" i="6" l="1"/>
  <c r="H90" i="6"/>
  <c r="J90" i="6"/>
  <c r="G90" i="6"/>
  <c r="B91" i="6"/>
  <c r="I91" i="6" s="1"/>
  <c r="H91" i="6" l="1"/>
  <c r="F91" i="6"/>
  <c r="G91" i="6"/>
  <c r="J91" i="6"/>
  <c r="B92" i="6"/>
  <c r="I92" i="6" s="1"/>
  <c r="H92" i="6" l="1"/>
  <c r="G92" i="6"/>
  <c r="F92" i="6"/>
  <c r="J92" i="6"/>
  <c r="B93" i="6"/>
  <c r="I93" i="6" s="1"/>
  <c r="H93" i="6" l="1"/>
  <c r="J93" i="6"/>
  <c r="G93" i="6"/>
  <c r="F93" i="6"/>
  <c r="B94" i="6"/>
  <c r="I94" i="6" s="1"/>
  <c r="J94" i="6" l="1"/>
  <c r="G94" i="6"/>
  <c r="F94" i="6"/>
  <c r="H94" i="6"/>
  <c r="B95" i="6"/>
  <c r="I95" i="6" s="1"/>
  <c r="J95" i="6" l="1"/>
  <c r="F95" i="6"/>
  <c r="H95" i="6"/>
  <c r="G95" i="6"/>
  <c r="B96" i="6"/>
  <c r="I96" i="6" s="1"/>
  <c r="G96" i="6" l="1"/>
  <c r="H96" i="6"/>
  <c r="F96" i="6"/>
  <c r="J96" i="6"/>
  <c r="B97" i="6"/>
  <c r="I97" i="6" s="1"/>
  <c r="B98" i="6" l="1"/>
  <c r="I98" i="6" s="1"/>
  <c r="J97" i="6"/>
  <c r="G97" i="6"/>
  <c r="H97" i="6"/>
  <c r="F97" i="6"/>
  <c r="J98" i="6" l="1"/>
  <c r="F98" i="6"/>
  <c r="H98" i="6"/>
  <c r="G98" i="6"/>
  <c r="B99" i="6"/>
  <c r="I99" i="6" s="1"/>
  <c r="B100" i="6" l="1"/>
  <c r="I100" i="6" s="1"/>
  <c r="J99" i="6"/>
  <c r="G99" i="6"/>
  <c r="H99" i="6"/>
  <c r="F99" i="6"/>
  <c r="B101" i="6" l="1"/>
  <c r="I101" i="6" s="1"/>
  <c r="F100" i="6"/>
  <c r="H100" i="6"/>
  <c r="G100" i="6"/>
  <c r="J100" i="6"/>
  <c r="B102" i="6" l="1"/>
  <c r="I102" i="6" s="1"/>
  <c r="J101" i="6"/>
  <c r="F101" i="6"/>
  <c r="G101" i="6"/>
  <c r="H101" i="6"/>
  <c r="B103" i="6" l="1"/>
  <c r="I103" i="6" s="1"/>
  <c r="J102" i="6"/>
  <c r="H102" i="6"/>
  <c r="G102" i="6"/>
  <c r="F102" i="6"/>
  <c r="G103" i="6" l="1"/>
  <c r="H103" i="6"/>
  <c r="J103" i="6"/>
  <c r="F103" i="6"/>
  <c r="B104" i="6"/>
  <c r="I104" i="6" s="1"/>
  <c r="B105" i="6" l="1"/>
  <c r="I105" i="6" s="1"/>
  <c r="J104" i="6"/>
  <c r="F104" i="6"/>
  <c r="G104" i="6"/>
  <c r="H104" i="6"/>
  <c r="F105" i="6" l="1"/>
  <c r="G105" i="6"/>
  <c r="H105" i="6"/>
  <c r="J105" i="6"/>
  <c r="B106" i="6"/>
  <c r="I106" i="6" s="1"/>
  <c r="F106" i="6" l="1"/>
  <c r="H106" i="6"/>
  <c r="G106" i="6"/>
  <c r="J106" i="6"/>
  <c r="B107" i="6"/>
  <c r="I107" i="6" s="1"/>
  <c r="J107" i="6" l="1"/>
  <c r="H107" i="6"/>
  <c r="F107" i="6"/>
  <c r="G107" i="6"/>
  <c r="B108" i="6"/>
  <c r="I108" i="6" s="1"/>
  <c r="F108" i="6" l="1"/>
  <c r="H108" i="6"/>
  <c r="G108" i="6"/>
  <c r="J108" i="6"/>
  <c r="B109" i="6"/>
  <c r="I109" i="6" s="1"/>
  <c r="F109" i="6" l="1"/>
  <c r="H109" i="6"/>
  <c r="G109" i="6"/>
  <c r="J109" i="6"/>
  <c r="B110" i="6"/>
  <c r="I110" i="6" s="1"/>
  <c r="J110" i="6" l="1"/>
  <c r="F110" i="6"/>
  <c r="G110" i="6"/>
  <c r="H110" i="6"/>
  <c r="B111" i="6"/>
  <c r="I111" i="6" s="1"/>
  <c r="G111" i="6" l="1"/>
  <c r="H111" i="6"/>
  <c r="J111" i="6"/>
  <c r="F111" i="6"/>
  <c r="B112" i="6"/>
  <c r="I112" i="6" s="1"/>
  <c r="B113" i="6" l="1"/>
  <c r="I113" i="6" s="1"/>
  <c r="H112" i="6"/>
  <c r="G112" i="6"/>
  <c r="J112" i="6"/>
  <c r="F112" i="6"/>
  <c r="B114" i="6" l="1"/>
  <c r="I114" i="6" s="1"/>
  <c r="J113" i="6"/>
  <c r="G113" i="6"/>
  <c r="H113" i="6"/>
  <c r="F113" i="6"/>
  <c r="H114" i="6" l="1"/>
  <c r="F114" i="6"/>
  <c r="G114" i="6"/>
  <c r="J114" i="6"/>
  <c r="B115" i="6"/>
  <c r="I115" i="6" s="1"/>
  <c r="F115" i="6" l="1"/>
  <c r="H115" i="6"/>
  <c r="J115" i="6"/>
  <c r="G115" i="6"/>
  <c r="B116" i="6"/>
  <c r="I116" i="6" s="1"/>
  <c r="F116" i="6" l="1"/>
  <c r="G116" i="6"/>
  <c r="J116" i="6"/>
  <c r="H116" i="6"/>
  <c r="B117" i="6"/>
  <c r="I117" i="6" s="1"/>
  <c r="B118" i="6" l="1"/>
  <c r="I118" i="6" s="1"/>
  <c r="H117" i="6"/>
  <c r="J117" i="6"/>
  <c r="F117" i="6"/>
  <c r="G117" i="6"/>
  <c r="B119" i="6" l="1"/>
  <c r="I119" i="6" s="1"/>
  <c r="J118" i="6"/>
  <c r="H118" i="6"/>
  <c r="G118" i="6"/>
  <c r="F118" i="6"/>
  <c r="B121" i="6" l="1"/>
  <c r="I121" i="6" s="1"/>
  <c r="B120" i="6"/>
  <c r="I120" i="6" s="1"/>
  <c r="F119" i="6"/>
  <c r="G119" i="6"/>
  <c r="H119" i="6"/>
  <c r="J119" i="6"/>
  <c r="G120" i="6" l="1"/>
  <c r="H120" i="6"/>
  <c r="J120" i="6"/>
  <c r="F120" i="6"/>
  <c r="J121" i="6"/>
  <c r="F121" i="6"/>
  <c r="G121" i="6"/>
  <c r="H12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<sst xmlns="http://schemas.openxmlformats.org/spreadsheetml/2006/main" count="2442" uniqueCount="908">
  <si>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</si>
  <si>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</si>
  <si>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</si>
  <si>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</si>
  <si>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</si>
  <si>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</si>
  <si>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</si>
  <si>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</si>
  <si>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</si>
  <si>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</si>
  <si>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</si>
  <si>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</si>
  <si>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</si>
  <si>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</si>
  <si>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</si>
  <si>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</si>
  <si>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</si>
  <si>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</si>
  <si>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</si>
  <si>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</si>
  <si>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</si>
  <si>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</si>
  <si>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</si>
  <si>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</si>
  <si>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</si>
  <si>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</si>
  <si>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</si>
  <si>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</si>
  <si>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</si>
  <si>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</si>
  <si>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</si>
  <si>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</si>
  <si>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</si>
  <si>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</si>
  <si>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</si>
  <si>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</si>
  <si>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</si>
  <si>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</si>
  <si>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</si>
  <si>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</si>
  <si>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</si>
  <si>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</si>
  <si>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</si>
  <si>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</si>
  <si>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</si>
  <si>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</si>
  <si>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</si>
  <si>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</si>
  <si>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</si>
  <si>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</si>
  <si>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</si>
  <si>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</si>
  <si>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</si>
  <si>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</si>
  <si>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</si>
  <si>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</si>
  <si>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</si>
  <si>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</si>
  <si>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</si>
  <si>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</si>
  <si>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</si>
  <si>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</si>
  <si>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</si>
  <si>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</si>
  <si>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</si>
  <si>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</si>
  <si>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</si>
  <si>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</si>
  <si>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</si>
  <si>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</si>
  <si>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</si>
  <si>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</si>
  <si>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</si>
  <si>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</si>
  <si>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</si>
  <si>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</si>
  <si>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</si>
  <si>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</si>
  <si>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</si>
  <si>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</si>
  <si>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</si>
  <si>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</si>
  <si>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</si>
  <si>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</si>
  <si>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</si>
  <si>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</si>
  <si>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</si>
  <si>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</si>
  <si>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</si>
  <si>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</si>
  <si>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</si>
  <si>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</si>
  <si>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</si>
  <si>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</si>
  <si>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</si>
  <si>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</si>
  <si>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</si>
  <si>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</si>
  <si>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</si>
  <si>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</si>
  <si>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</si>
  <si>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</si>
  <si>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</si>
  <si>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</si>
  <si>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</si>
  <si>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</si>
  <si>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</si>
  <si>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</si>
  <si>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</si>
  <si>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</si>
  <si>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</si>
  <si>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</si>
  <si>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</si>
  <si>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</si>
  <si>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</si>
  <si>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</si>
  <si>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</si>
  <si>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</si>
  <si>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</si>
  <si>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</si>
  <si>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</si>
  <si>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</si>
  <si>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</si>
  <si>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</si>
  <si>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</si>
  <si>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</si>
  <si>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</si>
  <si>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</si>
  <si>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</si>
  <si>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</si>
  <si>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</si>
  <si>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</si>
  <si>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</si>
  <si>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</si>
  <si>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</si>
  <si>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</si>
  <si>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</si>
  <si>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</si>
  <si>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</si>
  <si>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</si>
  <si>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</si>
  <si>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</si>
  <si>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</si>
  <si>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</si>
  <si>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</si>
  <si>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</si>
  <si>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</si>
  <si>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</si>
  <si>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</si>
  <si>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</si>
  <si>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</si>
  <si>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</si>
  <si>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</si>
  <si>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</si>
  <si>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</si>
  <si>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</si>
  <si>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</si>
  <si>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</si>
  <si>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</si>
  <si>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</si>
  <si>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</si>
  <si>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</si>
  <si>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</si>
  <si>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</si>
  <si>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</si>
  <si>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</si>
  <si>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</si>
  <si>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</si>
  <si>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</si>
  <si>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</si>
  <si>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</si>
  <si>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</si>
  <si>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</si>
  <si>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</si>
  <si>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</si>
  <si>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</si>
  <si>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</si>
  <si>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</si>
  <si>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</si>
  <si>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</si>
  <si>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</si>
  <si>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</si>
  <si>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</si>
  <si>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</si>
  <si>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</si>
  <si>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</si>
  <si>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</si>
  <si>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</si>
  <si>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</si>
  <si>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</si>
  <si>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</si>
  <si>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</si>
  <si>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</si>
  <si>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</si>
  <si>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</si>
  <si>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</si>
  <si>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</si>
  <si>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</si>
  <si>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</si>
  <si>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</si>
  <si>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</si>
  <si>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</si>
  <si>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</si>
  <si>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</si>
  <si>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</si>
  <si>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</si>
  <si>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</si>
  <si>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</si>
  <si>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</si>
  <si>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</si>
  <si>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</si>
  <si>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</si>
  <si>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</si>
  <si>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</si>
  <si>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</si>
  <si>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</si>
  <si>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</si>
  <si>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</si>
  <si>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</si>
  <si>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</si>
  <si>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</si>
  <si>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</si>
  <si>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</si>
  <si>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</si>
  <si>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</si>
  <si>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</si>
  <si>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</si>
  <si>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</si>
  <si>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</si>
  <si>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</si>
  <si>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</si>
  <si>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</si>
  <si>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</si>
  <si>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</si>
  <si>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</si>
  <si>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</si>
  <si>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</si>
  <si>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</si>
  <si>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</si>
  <si>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</si>
  <si>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</si>
  <si>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</si>
  <si>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</si>
  <si>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</si>
  <si>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</si>
  <si>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</si>
  <si>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</si>
  <si>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</si>
  <si>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</si>
  <si>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</si>
  <si>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</si>
  <si>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</si>
  <si>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</si>
  <si>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</si>
  <si>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</si>
  <si>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</si>
  <si>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</si>
  <si>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</si>
  <si>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</si>
  <si>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</si>
  <si>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</si>
  <si>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</si>
  <si>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</si>
  <si>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</si>
  <si>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</si>
  <si>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</si>
  <si>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</si>
  <si>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</si>
  <si>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</si>
  <si>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</si>
  <si>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</si>
  <si>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</si>
  <si>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</si>
  <si>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</si>
  <si>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</si>
  <si>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</si>
  <si>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</si>
  <si>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204:232994</t>
  </si>
  <si>
    <t>204:467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</si>
  <si>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</si>
  <si>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</si>
  <si>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</si>
  <si>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</si>
  <si>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</si>
  <si>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</si>
  <si>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</si>
  <si>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</si>
  <si>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</si>
  <si>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</si>
  <si>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</si>
  <si>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</si>
  <si>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</si>
  <si>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</si>
  <si>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</si>
  <si>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</si>
  <si>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</si>
  <si>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204:437</t>
  </si>
  <si>
    <t>204:232976</t>
  </si>
  <si>
    <t>rtdc.l.rtdc.4016:itc</t>
  </si>
  <si>
    <t>204:447</t>
  </si>
  <si>
    <t>204:232993</t>
  </si>
  <si>
    <t>204:233291</t>
  </si>
  <si>
    <t>rtdc.l.rtdc.4009:itc</t>
  </si>
  <si>
    <t>204:232977</t>
  </si>
  <si>
    <t>204:233309</t>
  </si>
  <si>
    <t>204:233303</t>
  </si>
  <si>
    <t>rtdc.l.rtdc.4055:itc</t>
  </si>
  <si>
    <t>rtdc.l.rtdc.4057:itc</t>
  </si>
  <si>
    <t>311-01</t>
  </si>
  <si>
    <t>313-01</t>
  </si>
  <si>
    <t>315-01</t>
  </si>
  <si>
    <t>204:232978</t>
  </si>
  <si>
    <t>204:232991</t>
  </si>
  <si>
    <t>204:233293</t>
  </si>
  <si>
    <t>rtdc.l.rtdc.4019:itc</t>
  </si>
  <si>
    <t>SOUTH57-02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</si>
  <si>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</si>
  <si>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</si>
  <si>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</si>
  <si>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</si>
  <si>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</si>
  <si>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</si>
  <si>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</si>
  <si>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</si>
  <si>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</si>
  <si>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204:464</t>
  </si>
  <si>
    <t>rtdc.l.rtdc.4031:itc</t>
  </si>
  <si>
    <t>SAFIEF</t>
  </si>
  <si>
    <t>AEIMEN</t>
  </si>
  <si>
    <t>rtdc.l.rtdc.4037:itc</t>
  </si>
  <si>
    <t>rtdc.l.rtdc.4032:itc</t>
  </si>
  <si>
    <t>rtdc.l.rtdc.4039:itc</t>
  </si>
  <si>
    <t>204:233297</t>
  </si>
  <si>
    <t>204:161</t>
  </si>
  <si>
    <t>300:58615</t>
  </si>
  <si>
    <t>204:233295</t>
  </si>
  <si>
    <t>204:232989</t>
  </si>
  <si>
    <t>rtdc.l.rtdc.4020:itc</t>
  </si>
  <si>
    <t>MOSES</t>
  </si>
  <si>
    <t>BRADLEY</t>
  </si>
  <si>
    <t>rtdc.l.rtdc.4044:itc</t>
  </si>
  <si>
    <t>204:141</t>
  </si>
  <si>
    <t>204:232987</t>
  </si>
  <si>
    <t>204:232973</t>
  </si>
  <si>
    <t>204:233287</t>
  </si>
  <si>
    <t>204:232983</t>
  </si>
  <si>
    <t>Early arrival</t>
  </si>
  <si>
    <t>244-07</t>
  </si>
  <si>
    <t>rtdc.l.rtdc.4002:itc</t>
  </si>
  <si>
    <t>240-07</t>
  </si>
  <si>
    <t>242-07</t>
  </si>
  <si>
    <t>315-07</t>
  </si>
  <si>
    <t>309-07</t>
  </si>
  <si>
    <t>204:232996</t>
  </si>
  <si>
    <t>204:233312</t>
  </si>
  <si>
    <t>204:233323</t>
  </si>
  <si>
    <t>204:232980</t>
  </si>
  <si>
    <t>204:427</t>
  </si>
  <si>
    <t>204:440</t>
  </si>
  <si>
    <t>204:232986</t>
  </si>
  <si>
    <t>204:232984</t>
  </si>
  <si>
    <t>204:233017</t>
  </si>
  <si>
    <t>Onboard in-route failure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</si>
  <si>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</si>
  <si>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</si>
  <si>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</si>
  <si>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</si>
  <si>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</si>
  <si>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</si>
  <si>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</si>
  <si>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</si>
  <si>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</si>
  <si>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</si>
  <si>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</si>
  <si>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</si>
  <si>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</si>
  <si>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</si>
  <si>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</si>
  <si>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</si>
  <si>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</si>
  <si>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</si>
  <si>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</si>
  <si>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</si>
  <si>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</si>
  <si>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</si>
  <si>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</si>
  <si>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</si>
  <si>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</si>
  <si>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</si>
  <si>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</si>
  <si>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</si>
  <si>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</si>
  <si>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</si>
  <si>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</si>
  <si>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</si>
  <si>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</si>
  <si>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</si>
  <si>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</si>
  <si>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</si>
  <si>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</si>
  <si>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</si>
  <si>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</si>
  <si>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</si>
  <si>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</si>
  <si>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</si>
  <si>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</si>
  <si>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</si>
  <si>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</si>
  <si>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</si>
  <si>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</si>
  <si>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</si>
  <si>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</si>
  <si>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</si>
  <si>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</si>
  <si>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</si>
  <si>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</si>
  <si>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</si>
  <si>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</si>
  <si>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</si>
  <si>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</si>
  <si>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</si>
  <si>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</si>
  <si>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</si>
  <si>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</si>
  <si>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</si>
  <si>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rtdc.l.rtdc.4008:itc</t>
  </si>
  <si>
    <t>rtdc.l.rtdc.4018:itc</t>
  </si>
  <si>
    <t>rtdc.l.rtdc.4017:itc</t>
  </si>
  <si>
    <t>BADERTSCHER</t>
  </si>
  <si>
    <t>DIANE</t>
  </si>
  <si>
    <t>GEBRETEKLE</t>
  </si>
  <si>
    <t>DAGNEW</t>
  </si>
  <si>
    <t>rtdc.l.rtdc.4010:itc</t>
  </si>
  <si>
    <t>HELVIE</t>
  </si>
  <si>
    <t>ADAM</t>
  </si>
  <si>
    <t>BRUDER</t>
  </si>
  <si>
    <t>RICHARD</t>
  </si>
  <si>
    <t>DELGADO</t>
  </si>
  <si>
    <t>DIANAH</t>
  </si>
  <si>
    <t>LOPES</t>
  </si>
  <si>
    <t>KIMBERLY</t>
  </si>
  <si>
    <t>204:232957</t>
  </si>
  <si>
    <t>204:233325</t>
  </si>
  <si>
    <t>204:233270</t>
  </si>
  <si>
    <t>204:232988</t>
  </si>
  <si>
    <t>204:233329</t>
  </si>
  <si>
    <t>204:232961</t>
  </si>
  <si>
    <t>204:475</t>
  </si>
  <si>
    <t>204:233000</t>
  </si>
  <si>
    <t>300:23310</t>
  </si>
  <si>
    <t>300:58628</t>
  </si>
  <si>
    <t>Wi-MAX data drop</t>
  </si>
  <si>
    <t>rtdc.l.rtdc.4012:itc</t>
  </si>
  <si>
    <t>232-09</t>
  </si>
  <si>
    <t>242-09</t>
  </si>
  <si>
    <t>ROBINSON</t>
  </si>
  <si>
    <t>KADDIBA</t>
  </si>
  <si>
    <t>SHOOK</t>
  </si>
  <si>
    <t>JOHN</t>
  </si>
  <si>
    <t>YORK</t>
  </si>
  <si>
    <t>EDGAR</t>
  </si>
  <si>
    <t>KILLION</t>
  </si>
  <si>
    <t>DAVID</t>
  </si>
  <si>
    <t>SMITH</t>
  </si>
  <si>
    <t>CRAYTON</t>
  </si>
  <si>
    <t>QUNTRELL</t>
  </si>
  <si>
    <t>233-09</t>
  </si>
  <si>
    <t>BRANDNER</t>
  </si>
  <si>
    <t>MELINDA</t>
  </si>
  <si>
    <t>230-09</t>
  </si>
  <si>
    <t>235-09</t>
  </si>
  <si>
    <t>847-09</t>
  </si>
  <si>
    <t>WHITED</t>
  </si>
  <si>
    <t>908-09</t>
  </si>
  <si>
    <t>234-09</t>
  </si>
  <si>
    <t>237-09</t>
  </si>
  <si>
    <t>236-09</t>
  </si>
  <si>
    <t>239-09</t>
  </si>
  <si>
    <t>238-09</t>
  </si>
  <si>
    <t>241-09</t>
  </si>
  <si>
    <t>243-09</t>
  </si>
  <si>
    <t>240-09</t>
  </si>
  <si>
    <t>315-09</t>
  </si>
  <si>
    <t>309-09</t>
  </si>
  <si>
    <t>244-09</t>
  </si>
  <si>
    <t>311-09</t>
  </si>
  <si>
    <t>313-09</t>
  </si>
  <si>
    <t>Mostly Cloudy</t>
  </si>
  <si>
    <t>204:755</t>
  </si>
  <si>
    <t>204:136</t>
  </si>
  <si>
    <t>204:156</t>
  </si>
  <si>
    <t>204:748</t>
  </si>
  <si>
    <t>204:233310</t>
  </si>
  <si>
    <t>204:232965</t>
  </si>
  <si>
    <t>204:444</t>
  </si>
  <si>
    <t>204:233305</t>
  </si>
  <si>
    <t>204:233301</t>
  </si>
  <si>
    <t>204:233331</t>
  </si>
  <si>
    <t>204:233322</t>
  </si>
  <si>
    <t>204:233289</t>
  </si>
  <si>
    <t>204:466</t>
  </si>
  <si>
    <t>204:232992</t>
  </si>
  <si>
    <t>204:233315</t>
  </si>
  <si>
    <t>204:489</t>
  </si>
  <si>
    <t>204:147</t>
  </si>
  <si>
    <t>204:225</t>
  </si>
  <si>
    <t>204:233328</t>
  </si>
  <si>
    <t>204:233332</t>
  </si>
  <si>
    <t>204:122</t>
  </si>
  <si>
    <t>300:23346</t>
  </si>
  <si>
    <t>300:23306</t>
  </si>
  <si>
    <t>204:715</t>
  </si>
  <si>
    <t>300:58928</t>
  </si>
  <si>
    <t>300:58611</t>
  </si>
  <si>
    <t>Cancelled due to trip 902-09 onboard in-route failure</t>
  </si>
  <si>
    <t>302-12</t>
  </si>
  <si>
    <t>310-12</t>
  </si>
  <si>
    <t>109-12</t>
  </si>
  <si>
    <t>114-12</t>
  </si>
  <si>
    <t>131-12</t>
  </si>
  <si>
    <t>128-12</t>
  </si>
  <si>
    <t>142-12</t>
  </si>
  <si>
    <t>153-12</t>
  </si>
  <si>
    <t>168-12</t>
  </si>
  <si>
    <t>1816-12</t>
  </si>
  <si>
    <t>172-12</t>
  </si>
  <si>
    <t>176-12</t>
  </si>
  <si>
    <t>184-12</t>
  </si>
  <si>
    <t>193-12</t>
  </si>
  <si>
    <t>1819-12</t>
  </si>
  <si>
    <t>197-12</t>
  </si>
  <si>
    <t>195-12</t>
  </si>
  <si>
    <t>70-12</t>
  </si>
  <si>
    <t>205-12</t>
  </si>
  <si>
    <t>1830-12</t>
  </si>
  <si>
    <t>233-12</t>
  </si>
  <si>
    <t>SWANSON</t>
  </si>
  <si>
    <t>BRYCE</t>
  </si>
  <si>
    <t>101-12</t>
  </si>
  <si>
    <t>304-12</t>
  </si>
  <si>
    <t>MAELZER</t>
  </si>
  <si>
    <t>KURT</t>
  </si>
  <si>
    <t>103-12</t>
  </si>
  <si>
    <t>306-12</t>
  </si>
  <si>
    <t>102-12</t>
  </si>
  <si>
    <t>105-12</t>
  </si>
  <si>
    <t>308-12</t>
  </si>
  <si>
    <t>DAVIS</t>
  </si>
  <si>
    <t>WENDY</t>
  </si>
  <si>
    <t>107-12</t>
  </si>
  <si>
    <t>104-12</t>
  </si>
  <si>
    <t>111-12</t>
  </si>
  <si>
    <t>106-12</t>
  </si>
  <si>
    <t>113-12</t>
  </si>
  <si>
    <t>108-12</t>
  </si>
  <si>
    <t>1901-12</t>
  </si>
  <si>
    <t>115-12</t>
  </si>
  <si>
    <t>117-12</t>
  </si>
  <si>
    <t>110-12</t>
  </si>
  <si>
    <t>1800-12</t>
  </si>
  <si>
    <t>112-12</t>
  </si>
  <si>
    <t>1801-12</t>
  </si>
  <si>
    <t>119-12</t>
  </si>
  <si>
    <t>51-12</t>
  </si>
  <si>
    <t>ARVIDSON</t>
  </si>
  <si>
    <t>DANIEL</t>
  </si>
  <si>
    <t>121-12</t>
  </si>
  <si>
    <t>116-12</t>
  </si>
  <si>
    <t>123-12</t>
  </si>
  <si>
    <t>118-12</t>
  </si>
  <si>
    <t>1802-12</t>
  </si>
  <si>
    <t>125-12</t>
  </si>
  <si>
    <t>120-12</t>
  </si>
  <si>
    <t>127-12</t>
  </si>
  <si>
    <t>1803-12</t>
  </si>
  <si>
    <t>122-12</t>
  </si>
  <si>
    <t>129-12</t>
  </si>
  <si>
    <t>124-12</t>
  </si>
  <si>
    <t>126-12</t>
  </si>
  <si>
    <t>1804-12</t>
  </si>
  <si>
    <t>133-12</t>
  </si>
  <si>
    <t>135-12</t>
  </si>
  <si>
    <t>1805-12</t>
  </si>
  <si>
    <t>130-12</t>
  </si>
  <si>
    <t>137-12</t>
  </si>
  <si>
    <t>139-12</t>
  </si>
  <si>
    <t>132-12</t>
  </si>
  <si>
    <t>134-12</t>
  </si>
  <si>
    <t>1806-12</t>
  </si>
  <si>
    <t>141-12</t>
  </si>
  <si>
    <t>143-12</t>
  </si>
  <si>
    <t>136-12</t>
  </si>
  <si>
    <t>1807-12</t>
  </si>
  <si>
    <t>145-12</t>
  </si>
  <si>
    <t>138-12</t>
  </si>
  <si>
    <t>140-12</t>
  </si>
  <si>
    <t>147-12</t>
  </si>
  <si>
    <t>1808-12</t>
  </si>
  <si>
    <t>149-12</t>
  </si>
  <si>
    <t>144-12</t>
  </si>
  <si>
    <t>151-12</t>
  </si>
  <si>
    <t>1809-12</t>
  </si>
  <si>
    <t>146-12</t>
  </si>
  <si>
    <t>148-12</t>
  </si>
  <si>
    <t>155-12</t>
  </si>
  <si>
    <t>1810-12</t>
  </si>
  <si>
    <t>157-12</t>
  </si>
  <si>
    <t>150-12</t>
  </si>
  <si>
    <t>159-12</t>
  </si>
  <si>
    <t>STEWART</t>
  </si>
  <si>
    <t>152-12</t>
  </si>
  <si>
    <t>1811-12</t>
  </si>
  <si>
    <t>154-12</t>
  </si>
  <si>
    <t>156-12</t>
  </si>
  <si>
    <t>161-12</t>
  </si>
  <si>
    <t>163-12</t>
  </si>
  <si>
    <t>158-12</t>
  </si>
  <si>
    <t>1812-12</t>
  </si>
  <si>
    <t>165-12</t>
  </si>
  <si>
    <t>LALONDE</t>
  </si>
  <si>
    <t>GREGORY</t>
  </si>
  <si>
    <t>160-12</t>
  </si>
  <si>
    <t>167-12</t>
  </si>
  <si>
    <t>1813-12</t>
  </si>
  <si>
    <t>162-12</t>
  </si>
  <si>
    <t>169-12</t>
  </si>
  <si>
    <t>ROMERO</t>
  </si>
  <si>
    <t>CHAD</t>
  </si>
  <si>
    <t>164-12</t>
  </si>
  <si>
    <t>171-12</t>
  </si>
  <si>
    <t>166-12</t>
  </si>
  <si>
    <t>1814-12</t>
  </si>
  <si>
    <t>173-12</t>
  </si>
  <si>
    <t>170-12</t>
  </si>
  <si>
    <t>175-12</t>
  </si>
  <si>
    <t>177-12</t>
  </si>
  <si>
    <t>LEVIN</t>
  </si>
  <si>
    <t>SCOTT</t>
  </si>
  <si>
    <t>1815-12</t>
  </si>
  <si>
    <t>179-12</t>
  </si>
  <si>
    <t>174-12</t>
  </si>
  <si>
    <t>181-12</t>
  </si>
  <si>
    <t>183-12</t>
  </si>
  <si>
    <t>178-12</t>
  </si>
  <si>
    <t>185-12</t>
  </si>
  <si>
    <t>1817-12</t>
  </si>
  <si>
    <t>180-12</t>
  </si>
  <si>
    <t>187-12</t>
  </si>
  <si>
    <t>182-12</t>
  </si>
  <si>
    <t>189-12</t>
  </si>
  <si>
    <t>HOLCOMB</t>
  </si>
  <si>
    <t>KAMDEN</t>
  </si>
  <si>
    <t>1818-12</t>
  </si>
  <si>
    <t>191-12</t>
  </si>
  <si>
    <t>186-12</t>
  </si>
  <si>
    <t>188-12</t>
  </si>
  <si>
    <t>1820-12</t>
  </si>
  <si>
    <t>190-12</t>
  </si>
  <si>
    <t>192-12</t>
  </si>
  <si>
    <t>199-12</t>
  </si>
  <si>
    <t>201-12</t>
  </si>
  <si>
    <t>194-12</t>
  </si>
  <si>
    <t>1821-12</t>
  </si>
  <si>
    <t>196-12</t>
  </si>
  <si>
    <t>203-12</t>
  </si>
  <si>
    <t>198-12</t>
  </si>
  <si>
    <t>1822-12</t>
  </si>
  <si>
    <t>200-12</t>
  </si>
  <si>
    <t>207-12</t>
  </si>
  <si>
    <t>202-12</t>
  </si>
  <si>
    <t>209-12</t>
  </si>
  <si>
    <t>71-12</t>
  </si>
  <si>
    <t>1823-12</t>
  </si>
  <si>
    <t>211-12</t>
  </si>
  <si>
    <t>204-12</t>
  </si>
  <si>
    <t>75-12</t>
  </si>
  <si>
    <t>206-12</t>
  </si>
  <si>
    <t>1824-12</t>
  </si>
  <si>
    <t>213-12</t>
  </si>
  <si>
    <t>208-12</t>
  </si>
  <si>
    <t>215-12</t>
  </si>
  <si>
    <t>50-12</t>
  </si>
  <si>
    <t>210-12</t>
  </si>
  <si>
    <t>217-12</t>
  </si>
  <si>
    <t>1825-12</t>
  </si>
  <si>
    <t>212-12</t>
  </si>
  <si>
    <t>219-12</t>
  </si>
  <si>
    <t>214-12</t>
  </si>
  <si>
    <t>1826-12</t>
  </si>
  <si>
    <t>216-12</t>
  </si>
  <si>
    <t>77-12</t>
  </si>
  <si>
    <t>221-12</t>
  </si>
  <si>
    <t>218-12</t>
  </si>
  <si>
    <t>305-12</t>
  </si>
  <si>
    <t>220-12</t>
  </si>
  <si>
    <t>1827-12</t>
  </si>
  <si>
    <t>223-12</t>
  </si>
  <si>
    <t>1828-12</t>
  </si>
  <si>
    <t>307-12</t>
  </si>
  <si>
    <t>222-12</t>
  </si>
  <si>
    <t>225-12</t>
  </si>
  <si>
    <t>227-12</t>
  </si>
  <si>
    <t>1829-12</t>
  </si>
  <si>
    <t>224-12</t>
  </si>
  <si>
    <t>226-12</t>
  </si>
  <si>
    <t>229-12</t>
  </si>
  <si>
    <t>1831-12</t>
  </si>
  <si>
    <t>231-12</t>
  </si>
  <si>
    <t>228-12</t>
  </si>
  <si>
    <t>1832-12</t>
  </si>
  <si>
    <t>230-12</t>
  </si>
  <si>
    <t>235-12</t>
  </si>
  <si>
    <t>1833-12</t>
  </si>
  <si>
    <t>232-12</t>
  </si>
  <si>
    <t>1902-12</t>
  </si>
  <si>
    <t>234-12</t>
  </si>
  <si>
    <t>237-12</t>
  </si>
  <si>
    <t>239-12</t>
  </si>
  <si>
    <t>236-12</t>
  </si>
  <si>
    <t>241-12</t>
  </si>
  <si>
    <t>238-12</t>
  </si>
  <si>
    <t>243-12</t>
  </si>
  <si>
    <t>240-12</t>
  </si>
  <si>
    <t>242-12</t>
  </si>
  <si>
    <t>315-12</t>
  </si>
  <si>
    <t>309-12</t>
  </si>
  <si>
    <t>244-12</t>
  </si>
  <si>
    <t>311-12</t>
  </si>
  <si>
    <t>313-12</t>
  </si>
  <si>
    <t>precipAccumulation</t>
  </si>
  <si>
    <t>precipType</t>
  </si>
  <si>
    <t>rain</t>
  </si>
  <si>
    <t>snow</t>
  </si>
  <si>
    <t>Flurries</t>
  </si>
  <si>
    <t>Light Snow</t>
  </si>
  <si>
    <t>Drizzle</t>
  </si>
  <si>
    <t>204:765</t>
  </si>
  <si>
    <t>204:233362</t>
  </si>
  <si>
    <t>204:232715</t>
  </si>
  <si>
    <t>204:741</t>
  </si>
  <si>
    <t>204:232692</t>
  </si>
  <si>
    <t>204:232639</t>
  </si>
  <si>
    <t>204:477</t>
  </si>
  <si>
    <t>204:233334</t>
  </si>
  <si>
    <t>204:233021</t>
  </si>
  <si>
    <t>204:777</t>
  </si>
  <si>
    <t>204:233320</t>
  </si>
  <si>
    <t>204:233002</t>
  </si>
  <si>
    <t>204:743</t>
  </si>
  <si>
    <t>204:232998</t>
  </si>
  <si>
    <t>204:233298</t>
  </si>
  <si>
    <t>204:233006</t>
  </si>
  <si>
    <t>204:746</t>
  </si>
  <si>
    <t>204:233284</t>
  </si>
  <si>
    <t>204:233314</t>
  </si>
  <si>
    <t>204:233283</t>
  </si>
  <si>
    <t>204:233259</t>
  </si>
  <si>
    <t>204:232946</t>
  </si>
  <si>
    <t>204:435</t>
  </si>
  <si>
    <t>204:233317</t>
  </si>
  <si>
    <t>204:233011</t>
  </si>
  <si>
    <t>204:1483</t>
  </si>
  <si>
    <t>204:537</t>
  </si>
  <si>
    <t>204:214</t>
  </si>
  <si>
    <t>204:233349</t>
  </si>
  <si>
    <t>204:233005</t>
  </si>
  <si>
    <t>204:233004</t>
  </si>
  <si>
    <t>204:231264</t>
  </si>
  <si>
    <t>204:233336</t>
  </si>
  <si>
    <t>204:233001</t>
  </si>
  <si>
    <t>204:233307</t>
  </si>
  <si>
    <t>204:233319</t>
  </si>
  <si>
    <t>204:233007</t>
  </si>
  <si>
    <t>204:233013</t>
  </si>
  <si>
    <t>204:138</t>
  </si>
  <si>
    <t>204:176</t>
  </si>
  <si>
    <t>204:233345</t>
  </si>
  <si>
    <t>204:205</t>
  </si>
  <si>
    <t>204:200</t>
  </si>
  <si>
    <t>204:233366</t>
  </si>
  <si>
    <t>204:233057</t>
  </si>
  <si>
    <t>300:58623</t>
  </si>
  <si>
    <t>204:1030</t>
  </si>
  <si>
    <t>300:58937</t>
  </si>
  <si>
    <t>300:58619</t>
  </si>
  <si>
    <t>204:734</t>
  </si>
  <si>
    <t>204:1028</t>
  </si>
  <si>
    <t>204:759</t>
  </si>
  <si>
    <t>204:1037</t>
  </si>
  <si>
    <t>300:58613</t>
  </si>
  <si>
    <t>300:44444</t>
  </si>
  <si>
    <t>204:1049</t>
  </si>
  <si>
    <t>300:58924</t>
  </si>
  <si>
    <t>204:1025</t>
  </si>
  <si>
    <t>204:233302</t>
  </si>
  <si>
    <t>204:747</t>
  </si>
  <si>
    <t>204:1034</t>
  </si>
  <si>
    <t>300:58933</t>
  </si>
  <si>
    <t>300:58617</t>
  </si>
  <si>
    <t>204:752</t>
  </si>
  <si>
    <t>204:1039</t>
  </si>
  <si>
    <t>204:1014</t>
  </si>
  <si>
    <t>300:58922</t>
  </si>
  <si>
    <t>204:836</t>
  </si>
  <si>
    <t>204:1123</t>
  </si>
  <si>
    <t>300:58944</t>
  </si>
  <si>
    <t>300:58624</t>
  </si>
  <si>
    <t>204:745</t>
  </si>
  <si>
    <t>204:1021</t>
  </si>
  <si>
    <t>300:58941</t>
  </si>
  <si>
    <t>300:58626</t>
  </si>
  <si>
    <t>204:1041</t>
  </si>
  <si>
    <t>204:726</t>
  </si>
  <si>
    <t>204:1004</t>
  </si>
  <si>
    <t>300:58935</t>
  </si>
  <si>
    <t>204:764</t>
  </si>
  <si>
    <t>204:762</t>
  </si>
  <si>
    <t>300:58939</t>
  </si>
  <si>
    <t>204:761</t>
  </si>
  <si>
    <t>204:1048</t>
  </si>
  <si>
    <t>300:58630</t>
  </si>
  <si>
    <t>204:1032</t>
  </si>
  <si>
    <t>204:58144</t>
  </si>
  <si>
    <t>204:502</t>
  </si>
  <si>
    <t>204:58518</t>
  </si>
  <si>
    <t>204:232963</t>
  </si>
  <si>
    <t>204:64147</t>
  </si>
  <si>
    <t>204:508</t>
  </si>
  <si>
    <t>204:233351</t>
  </si>
  <si>
    <t>204:64149</t>
  </si>
  <si>
    <t>300:30116</t>
  </si>
  <si>
    <t>300:58931</t>
  </si>
  <si>
    <t>300:21740</t>
  </si>
  <si>
    <t>204:438</t>
  </si>
  <si>
    <t>204:233028</t>
  </si>
  <si>
    <t>204:121</t>
  </si>
  <si>
    <t>204:232981</t>
  </si>
  <si>
    <t>204:37180</t>
  </si>
  <si>
    <t>204:64696</t>
  </si>
  <si>
    <t>204:233008</t>
  </si>
  <si>
    <t>204:1509</t>
  </si>
  <si>
    <t>204:1829</t>
  </si>
  <si>
    <t>204:19125</t>
  </si>
  <si>
    <t>204:39705</t>
  </si>
  <si>
    <t>204:64690</t>
  </si>
  <si>
    <t>204:517</t>
  </si>
  <si>
    <t>204:127</t>
  </si>
  <si>
    <t>204:233255</t>
  </si>
  <si>
    <t>204:233311</t>
  </si>
  <si>
    <t>204:232982</t>
  </si>
  <si>
    <t>204:170</t>
  </si>
  <si>
    <t>204:232979</t>
  </si>
  <si>
    <t>204:882</t>
  </si>
  <si>
    <t>204:123</t>
  </si>
  <si>
    <t>204:58279</t>
  </si>
  <si>
    <t>204:233360</t>
  </si>
  <si>
    <t>204:233048</t>
  </si>
  <si>
    <t>204:110</t>
  </si>
  <si>
    <t>204:233344</t>
  </si>
  <si>
    <t>204:233389</t>
  </si>
  <si>
    <t>204:232972</t>
  </si>
  <si>
    <t>204:233381</t>
  </si>
  <si>
    <t>204:233060</t>
  </si>
  <si>
    <t>204:233380</t>
  </si>
  <si>
    <t>204:233070</t>
  </si>
  <si>
    <t>204:232974</t>
  </si>
  <si>
    <t>204:431</t>
  </si>
  <si>
    <t>204:233378</t>
  </si>
  <si>
    <t>204:233066</t>
  </si>
  <si>
    <t>204:144</t>
  </si>
  <si>
    <t>300:22959</t>
  </si>
  <si>
    <t>300:19699</t>
  </si>
  <si>
    <t>204:134</t>
  </si>
  <si>
    <t>204:1196</t>
  </si>
  <si>
    <t>300:22357</t>
  </si>
  <si>
    <t>300:23357</t>
  </si>
  <si>
    <t>204:441</t>
  </si>
  <si>
    <t>300:23304</t>
  </si>
  <si>
    <t>300:23235</t>
  </si>
  <si>
    <t>204:4324</t>
  </si>
  <si>
    <t>300:23302</t>
  </si>
  <si>
    <t>300:21880</t>
  </si>
  <si>
    <t>300:21846</t>
  </si>
  <si>
    <t>204:316</t>
  </si>
  <si>
    <t>204:332</t>
  </si>
  <si>
    <t>204:1490</t>
  </si>
  <si>
    <t>start /low /b %USERPROFILE%\Documents\GitHub\eaglep3\Utilities\DownloadLogsFromS3.py --loco 4015 --day 2017-02-12</t>
  </si>
  <si>
    <t>start /low /b %USERPROFILE%\Documents\GitHub\eaglep3\Utilities\DownloadLogsFromS3.py --loco 4008 --day 2017-02-12</t>
  </si>
  <si>
    <t>start /low /b %USERPROFILE%\Documents\GitHub\eaglep3\Utilities\DownloadLogsFromS3.py --loco 4017 --day 2017-02-12</t>
  </si>
  <si>
    <t>start /low /b %USERPROFILE%\Documents\GitHub\eaglep3\Utilities\DownloadLogsFromS3.py --loco 4045 --day 2017-02-12</t>
  </si>
  <si>
    <t>start /low /b %USERPROFILE%\Documents\GitHub\eaglep3\Utilities\DownloadLogsFromS3.py --loco 4037 --day 2017-02-12</t>
  </si>
  <si>
    <t>start /low /b %USERPROFILE%\Documents\GitHub\eaglep3\Utilities\DownloadLogsFromS3.py --loco 4009 --day 2017-02-12</t>
  </si>
  <si>
    <t>start /low /b %USERPROFILE%\Documents\GitHub\eaglep3\Utilities\DownloadLogsFromS3.py --loco 4016 --day 2017-02-12</t>
  </si>
  <si>
    <t>start /low /b %USERPROFILE%\Documents\GitHub\eaglep3\Utilities\DownloadLogsFromS3.py --loco 4028 --day 2017-02-12</t>
  </si>
  <si>
    <t>start /low /b %USERPROFILE%\Documents\GitHub\eaglep3\Utilities\DownloadLogsFromS3.py --loco 4031 --day 2017-02-12</t>
  </si>
  <si>
    <t>start /low /b %USERPROFILE%\Documents\GitHub\eaglep3\Utilities\DownloadLogsFromS3.py --loco 4038 --day 2017-02-13</t>
  </si>
  <si>
    <t>start /low /b %USERPROFILE%\Documents\GitHub\eaglep3\Utilities\DownloadLogsFromS3.py --loco 4010 --day 2017-02-12</t>
  </si>
  <si>
    <t>start /low /b %USERPROFILE%\Documents\GitHub\eaglep3\Utilities\DownloadLogsFromS3.py --loco 4029 --day 2017-02-13</t>
  </si>
  <si>
    <t>start /low /b %USERPROFILE%\Documents\GitHub\eaglep3\Utilities\DownloadLogsFromS3.py --loco 4028 --day 2017-02-13</t>
  </si>
  <si>
    <t>start /low /b %USERPROFILE%\Documents\GitHub\eaglep3\Utilities\DownloadLogsFromS3.py --loco 4027 --day 2017-02-12</t>
  </si>
  <si>
    <t>EC0508RH ELXS failure</t>
  </si>
  <si>
    <t>Networking equipment failure at NW0376RH</t>
  </si>
  <si>
    <t>Main 3 departure</t>
  </si>
  <si>
    <t>Wi-MAX data drop that didn't cause enforcement</t>
  </si>
  <si>
    <t>Unhealthy at Chambers due to train stop</t>
  </si>
  <si>
    <t>Observed signs of EC0508RH ELXS failure, but not affected</t>
  </si>
  <si>
    <t>Minor onboard in-route failure caused momentary red fence</t>
  </si>
  <si>
    <t>Wi-MAX data drop (4009 CCU failed)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</si>
</sst>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1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42778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COUNTIFS($N$13:$N$9345,"&gt;0",$AG$13:$AG$9345,I1)</f>
        <v>136</v>
      </c>
      <c r="K5" s="40"/>
      <c r="L5" s="40"/>
      <c r="M5" s="41">
        <f>AVERAGEIFS($N$13:$N$9345,$AG$13:$AG$9345,I1)</f>
        <v>37.916911764914403</v>
      </c>
      <c r="N5" s="39">
        <f t="array" ref="N5">MIN(IF($AG$13:$AG$9345=I1,IF(ISNUMBER($N$13:$N$9345),IF($N$13:$N$9345&gt;0,$N$13:$N$9345))))</f>
        <v>34.233333331067115</v>
      </c>
      <c r="O5" s="3">
        <f t="array" ref="O5">MAX(IF($AG$13:$AG$9345=I1,IF(ISNUMBER($N$13:$N$9345),IF($N$13:$N$9345&gt;0,$N$13:$N$9345))))</f>
        <v>46.599999996833503</v>
      </c>
      <c r="P5" s="2"/>
      <c r="R5" s="74" t="s">
        <v>17</v>
      </c>
      <c r="S5" s="50">
        <f>COUNTIFS($N$13:$N$9345,"&gt;0",$AG$13:$AG$9345,R1)</f>
        <v>33</v>
      </c>
      <c r="T5" s="40"/>
      <c r="U5" s="178"/>
      <c r="V5" s="175">
        <f>AVERAGEIFS($N$13:$N$9345,$AG$13:$AG$9345,R1)</f>
        <v>14.008585858920759</v>
      </c>
      <c r="W5" s="176">
        <f t="array" ref="W5">MIN(IF($AG$13:$AG$9345=R1,IF(ISNUMBER($N$13:$N$9345),IF($N$13:$N$9345&gt;0,$N$13:$N$9345))))</f>
        <v>12.016666667768732</v>
      </c>
      <c r="X5" s="177">
        <f t="array" ref="X5">MAX(IF($AG$13:$AG$9345=R1,IF(ISNUMBER($N$13:$N$9345),IF($N$13:$N$9345&gt;0,$N$13:$N$9345))))</f>
        <v>18.166666670003906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8"/>
      <c r="V6" s="175">
        <f>IFERROR(AVERAGE($O$13:$O$111),0)</f>
        <v>0</v>
      </c>
      <c r="W6" s="176">
        <f>MIN($O$13:$O$111)</f>
        <v>0</v>
      </c>
      <c r="X6" s="177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COUNTIFS($P$13:$P$9345,"&gt;0",$AG$13:$AG$9345,I1)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COUNTIFS($P$13:$P$9345,"&gt;0",$AG$13:$AG$9345,R1)</f>
        <v>1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136</v>
      </c>
      <c r="K8" s="40"/>
      <c r="L8" s="40"/>
      <c r="M8" s="41">
        <f>M5</f>
        <v>37.916911764914403</v>
      </c>
      <c r="N8" s="39">
        <f>N5</f>
        <v>34.233333331067115</v>
      </c>
      <c r="O8" s="3">
        <f>O5</f>
        <v>46.599999996833503</v>
      </c>
      <c r="P8" s="2"/>
      <c r="R8" s="74" t="s">
        <v>16</v>
      </c>
      <c r="S8" s="50">
        <f>S5</f>
        <v>33</v>
      </c>
      <c r="T8" s="40"/>
      <c r="U8" s="178"/>
      <c r="V8" s="175">
        <f>V5</f>
        <v>14.008585858920759</v>
      </c>
      <c r="W8" s="176">
        <f>W5</f>
        <v>12.016666667768732</v>
      </c>
      <c r="X8" s="177">
        <f>X5</f>
        <v>18.166666670003906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0.94444444444444442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0.97058823529411764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- 2017-02-12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AVERAGE(S13:S80)</f>
        <v>0.98529411764705888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212</v>
      </c>
      <c r="AN12" s="47" t="s">
        <v>227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538</v>
      </c>
      <c r="B13" s="7">
        <v>4046</v>
      </c>
      <c r="C13" s="21" t="s">
        <v>193</v>
      </c>
      <c r="D13" s="21" t="s">
        <v>736</v>
      </c>
      <c r="E13" s="13">
        <v>42778.133321759262</v>
      </c>
      <c r="F13" s="13">
        <v>42778.135682870372</v>
      </c>
      <c r="G13" s="7">
        <v>1</v>
      </c>
      <c r="H13" s="21" t="s">
        <v>737</v>
      </c>
      <c r="I13" s="13">
        <v>42778.161805555559</v>
      </c>
      <c r="J13" s="7">
        <v>0</v>
      </c>
      <c r="K13" s="98" t="str">
        <f>IF(ISEVEN(B13),(B13-1)&amp;"/"&amp;B13,B13&amp;"/"&amp;(B13+1))</f>
        <v>4045/4046</v>
      </c>
      <c r="L13" s="21" t="str">
        <f>VLOOKUP(A13,'Trips&amp;Operators'!$C$1:$G$99999,5,FALSE)</f>
        <v>SWANSON BRYCE</v>
      </c>
      <c r="M13" s="6">
        <f>I13-F13</f>
        <v>2.6122685187146999E-2</v>
      </c>
      <c r="N13" s="7">
        <f>24*60*SUM($M13:$M13)</f>
        <v>37.616666669491678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-12T02:11:59-0700',mode:absolute,to:'2017-02-12T04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188" t="str">
        <f>IF(AA13&lt;IF(AG13="EC",23,5.65),"Y","N")</f>
        <v>N</v>
      </c>
      <c r="X13" s="188" t="e">
        <f>VALUE(LEFT(AD13,4))-VALUE(LEFT(AD12,4))</f>
        <v>#VALUE!</v>
      </c>
      <c r="Y13" s="62">
        <f>RIGHT(D13,LEN(D13)-4)/10000</f>
        <v>7.6499999999999999E-2</v>
      </c>
      <c r="Z13" s="62">
        <f>RIGHT(H13,LEN(H13)-4)/10000</f>
        <v>23.336200000000002</v>
      </c>
      <c r="AA13" s="62">
        <f>ABS(Z13-Y13)</f>
        <v>23.259700000000002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>IF(LEN(A13)=6,"0"&amp;A13,A13)</f>
        <v>0101-12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 &amp; 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</v>
      </c>
      <c r="AF13" s="8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/stypes="app*4046*20170212*"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4046 --swversion DE.1.0.8.0 --startMP 204:765 --initTime 2017-02-12T03:11:59 --startdatetime 2017-02-12T03:15:23 --delay 1 --endMP 204:233362 --enddatetime 2017-02-12T03:53:00 --enforcementcount 0 &gt;&gt;C:\Users\stu\Documents\GitHub\eaglep3-reporting\EC\2017-02-12-refined-times.txt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{"issue":{"subject":"","project_id":79,"tracker_id":40,"status_id":1,"priority_id":2,"assigned_to_id":23,"start_date":"2017-02-12","description":"","custom_fields":[{"id":1,"name":"Subdivision","value":"EC"},{"id":4,"name":"Milepost","value":"23.3362"},{"id":17,"name":"Train ID","value":"101-12"},{"id":16,"name":"Locomotive ID","value":"4046"},{"id":130,"name":"Impact","value":""},{"id":150,"name":"Time of Event (Mountain Time)","value":"03:53:00"},{"id":151,"name":"Denver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2">"start /low /b "&amp;dls3logs&amp;" --loco "&amp;B13&amp;" --day "&amp;TEXT(F13,"YYYY-MM-DD")</f>
        <v>start /low /b %USERPROFILE%\Documents\GitHub\eaglep3\Utilities\DownloadLogsFromS3.py --loco 4046 --day 2017-02-12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"%USERPROFILE%\AppData\Local\Temp\OnboardLogs"\RTDC4046\*4046*20170212* | grep -SE "(Enforcement Action)|(\[TIMEOUT)|(CHR.+\|PRM\|1\|D.+(SWITCH|SIGNAL).+UNKNOWN)" - &gt;&gt; 2017-02-12-UncaughtWiMAX.txt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544</v>
      </c>
      <c r="B14" s="7">
        <v>4008</v>
      </c>
      <c r="C14" s="21" t="s">
        <v>193</v>
      </c>
      <c r="D14" s="21" t="s">
        <v>738</v>
      </c>
      <c r="E14" s="13">
        <v>42778.163807870369</v>
      </c>
      <c r="F14" s="13">
        <v>42778.174583333333</v>
      </c>
      <c r="G14" s="7">
        <v>1</v>
      </c>
      <c r="H14" s="21" t="s">
        <v>184</v>
      </c>
      <c r="I14" s="13">
        <v>42778.203622685185</v>
      </c>
      <c r="J14" s="7">
        <v>0</v>
      </c>
      <c r="K14" s="98" t="str">
        <f>IF(ISEVEN(B14),(B14-1)&amp;"/"&amp;B14,B14&amp;"/"&amp;(B14+1))</f>
        <v>4007/4008</v>
      </c>
      <c r="L14" s="21" t="str">
        <f>VLOOKUP(A14,'Trips&amp;Operators'!$C$1:$G$99999,5,FALSE)</f>
        <v>SWANSON BRYCE</v>
      </c>
      <c r="M14" s="6">
        <f>I14-F14</f>
        <v>2.9039351851679385E-2</v>
      </c>
      <c r="N14" s="7">
        <f>24*60*SUM($M14:$M14)</f>
        <v>41.816666666418314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-02-12T02:55:53-0700',mode:absolute,to:'2017-02-12T05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" s="188" t="str">
        <f>IF(AA14&lt;IF(AG14="EC",23,5.65),"Y","N")</f>
        <v>N</v>
      </c>
      <c r="X14" s="188">
        <f>VALUE(LEFT(AD14,4))-VALUE(LEFT(AD13,4))</f>
        <v>1</v>
      </c>
      <c r="Y14" s="62">
        <f>RIGHT(D14,LEN(D14)-4)/10000</f>
        <v>23.2715</v>
      </c>
      <c r="Z14" s="62">
        <f>RIGHT(H14,LEN(H14)-4)/10000</f>
        <v>1.49E-2</v>
      </c>
      <c r="AA14" s="62">
        <f>ABS(Z14-Y14)</f>
        <v>23.256599999999999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>IF(LEN(A14)=6,"0"&amp;A14,A14)</f>
        <v>0102-12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14" s="8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/stypes="app*4008*20170212*"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6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4008 --swversion DE.1.0.8.0 --startMP 204:232715 --initTime 2017-02-12T03:55:53 --startdatetime 2017-02-12T04:11:24 --delay 1 --endMP 204:149 --enddatetime 2017-02-12T04:53:13 --enforcementcount 0 &gt;&gt;C:\Users\stu\Documents\GitHub\eaglep3-reporting\EC\2017-02-12-refined-times.txt</v>
      </c>
      <c r="AI14" s="108" t="str">
        <f t="shared" ref="AI14:AI76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{"issue":{"subject":"","project_id":79,"tracker_id":40,"status_id":1,"priority_id":2,"assigned_to_id":23,"start_date":"2017-02-12","description":"","custom_fields":[{"id":1,"name":"Subdivision","value":"EC"},{"id":4,"name":"Milepost","value":"0.0149"},{"id":17,"name":"Train ID","value":"102-12"},{"id":16,"name":"Locomotive ID","value":"4008"},{"id":130,"name":"Impact","value":""},{"id":150,"name":"Time of Event (Mountain Time)","value":"04:53:13"},{"id":151,"name":"Denver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6" si="5">"start /low /b "&amp;dls3logs&amp;" --loco "&amp;B14&amp;" --day "&amp;TEXT(F14,"YYYY-MM-DD")</f>
        <v>start /low /b %USERPROFILE%\Documents\GitHub\eaglep3\Utilities\DownloadLogsFromS3.py --loco 4008 --day 2017-02-12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542</v>
      </c>
      <c r="B15" s="7">
        <v>4018</v>
      </c>
      <c r="C15" s="21" t="s">
        <v>193</v>
      </c>
      <c r="D15" s="21" t="s">
        <v>739</v>
      </c>
      <c r="E15" s="13">
        <v>42778.150972222225</v>
      </c>
      <c r="F15" s="13">
        <v>42778.156539351854</v>
      </c>
      <c r="G15" s="7">
        <v>1</v>
      </c>
      <c r="H15" s="21" t="s">
        <v>507</v>
      </c>
      <c r="I15" s="13">
        <v>42778.181967592594</v>
      </c>
      <c r="J15" s="7">
        <v>0</v>
      </c>
      <c r="K15" s="98" t="str">
        <f>IF(ISEVEN(B15),(B15-1)&amp;"/"&amp;B15,B15&amp;"/"&amp;(B15+1))</f>
        <v>4017/4018</v>
      </c>
      <c r="L15" s="21" t="str">
        <f>VLOOKUP(A15,'Trips&amp;Operators'!$C$1:$G$99999,5,FALSE)</f>
        <v>MAELZER KURT</v>
      </c>
      <c r="M15" s="6">
        <f>I15-F15</f>
        <v>2.5428240740438923E-2</v>
      </c>
      <c r="N15" s="7">
        <f>24*60*SUM($M15:$M15)</f>
        <v>36.616666666232049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-02-12T02:37:24-0700',mode:absolute,to:'2017-02-12T05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88" t="str">
        <f>IF(AA15&lt;IF(AG15="EC",23,5.65),"Y","N")</f>
        <v>N</v>
      </c>
      <c r="X15" s="188">
        <f>VALUE(LEFT(AD15,4))-VALUE(LEFT(AD14,4))</f>
        <v>1</v>
      </c>
      <c r="Y15" s="62">
        <f>RIGHT(D15,LEN(D15)-4)/10000</f>
        <v>7.4099999999999999E-2</v>
      </c>
      <c r="Z15" s="62">
        <f>RIGHT(H15,LEN(H15)-4)/10000</f>
        <v>23.333200000000001</v>
      </c>
      <c r="AA15" s="62">
        <f>ABS(Z15-Y15)</f>
        <v>23.2591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>IF(LEN(A15)=6,"0"&amp;A15,A15)</f>
        <v>0103-12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15" s="8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/stypes="app*4018*20170212*"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103-12 --locoid 4018 --swversion DE.1.0.8.0 --startMP 204:741 --initTime 2017-02-12T03:37:24 --startdatetime 2017-02-12T03:45:25 --delay 1 --endMP 204:233332 --enddatetime 2017-02-12T04:22:02 --enforcementcount 0 &gt;&gt;C:\Users\stu\Documents\GitHub\eaglep3-reporting\EC\2017-02-12-refined-times.txt</v>
      </c>
      <c r="AI15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{"issue":{"subject":"","project_id":79,"tracker_id":40,"status_id":1,"priority_id":2,"assigned_to_id":23,"start_date":"2017-02-12","description":"","custom_fields":[{"id":1,"name":"Subdivision","value":"EC"},{"id":4,"name":"Milepost","value":"23.3332"},{"id":17,"name":"Train ID","value":"103-12"},{"id":16,"name":"Locomotive ID","value":"4018"},{"id":130,"name":"Impact","value":""},{"id":150,"name":"Time of Event (Mountain Time)","value":"04:22:02"},{"id":151,"name":"Denver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5"/>
        <v>start /low /b %USERPROFILE%\Documents\GitHub\eaglep3\Utilities\DownloadLogsFromS3.py --loco 4018 --day 2017-02-12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550</v>
      </c>
      <c r="B16" s="7">
        <v>4015</v>
      </c>
      <c r="C16" s="21" t="s">
        <v>193</v>
      </c>
      <c r="D16" s="21" t="s">
        <v>740</v>
      </c>
      <c r="E16" s="13">
        <v>42778.187835648147</v>
      </c>
      <c r="F16" s="13">
        <v>42778.195439814815</v>
      </c>
      <c r="G16" s="7">
        <v>0</v>
      </c>
      <c r="H16" s="21" t="s">
        <v>184</v>
      </c>
      <c r="I16" s="13">
        <v>42778.223425925928</v>
      </c>
      <c r="J16" s="7">
        <v>0</v>
      </c>
      <c r="K16" s="98" t="str">
        <f>IF(ISEVEN(B16),(B16-1)&amp;"/"&amp;B16,B16&amp;"/"&amp;(B16+1))</f>
        <v>4015/4016</v>
      </c>
      <c r="L16" s="21" t="str">
        <f>VLOOKUP(A16,'Trips&amp;Operators'!$C$1:$G$99999,5,FALSE)</f>
        <v>MAELZER KURT</v>
      </c>
      <c r="M16" s="6">
        <f>I16-F16</f>
        <v>2.7986111112113576E-2</v>
      </c>
      <c r="N16" s="7">
        <f>24*60*SUM($M16:$M16)</f>
        <v>40.30000000144355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-02-12T03:30:29-0700',mode:absolute,to:'2017-02-12T06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188" t="str">
        <f>IF(AA16&lt;IF(AG16="EC",23,5.65),"Y","N")</f>
        <v>N</v>
      </c>
      <c r="X16" s="188">
        <f t="shared" ref="X16:X20" si="6">VALUE(LEFT(AD16,4))-VALUE(LEFT(AD15,4))</f>
        <v>1</v>
      </c>
      <c r="Y16" s="62">
        <f>RIGHT(D16,LEN(D16)-4)/10000</f>
        <v>23.269200000000001</v>
      </c>
      <c r="Z16" s="62">
        <f>RIGHT(H16,LEN(H16)-4)/10000</f>
        <v>1.49E-2</v>
      </c>
      <c r="AA16" s="62">
        <f>ABS(Z16-Y16)</f>
        <v>23.254300000000001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>IF(LEN(A16)=6,"0"&amp;A16,A16)</f>
        <v>0104-12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 &amp; 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</v>
      </c>
      <c r="AF16" s="8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/stypes="app*4015*20170212*"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104-12 --locoid 4015 --swversion DE.1.0.8.0 --startMP 204:232692 --initTime 2017-02-12T04:30:29 --startdatetime 2017-02-12T04:41:26 --delay 0 --endMP 204:149 --enddatetime 2017-02-12T05:21:44 --enforcementcount 0 &gt;&gt;C:\Users\stu\Documents\GitHub\eaglep3-reporting\EC\2017-02-12-refined-times.txt</v>
      </c>
      <c r="AI16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{"issue":{"subject":"","project_id":79,"tracker_id":40,"status_id":1,"priority_id":2,"assigned_to_id":23,"start_date":"2017-02-12","description":"","custom_fields":[{"id":1,"name":"Subdivision","value":"EC"},{"id":4,"name":"Milepost","value":"0.0149"},{"id":17,"name":"Train ID","value":"104-12"},{"id":16,"name":"Locomotive ID","value":"4015"},{"id":130,"name":"Impact","value":""},{"id":150,"name":"Time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5"/>
        <v>start /low /b %USERPROFILE%\Documents\GitHub\eaglep3\Utilities\DownloadLogsFromS3.py --loco 4015 --day 2017-02-12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"%USERPROFILE%\AppData\Local\Temp\OnboardLogs"\RTDC4015\*4015*20170212* | grep -SE "(Enforcement Action)|(\[TIMEOUT)|(CHR.+\|PRM\|1\|D.+(SWITCH|SIGNAL).+UNKNOWN)" - &gt;&gt; 2017-02-12-UncaughtWiMAX.txt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545</v>
      </c>
      <c r="B17" s="7">
        <v>4038</v>
      </c>
      <c r="C17" s="21" t="s">
        <v>193</v>
      </c>
      <c r="D17" s="21" t="s">
        <v>488</v>
      </c>
      <c r="E17" s="13">
        <v>42778.168923611112</v>
      </c>
      <c r="F17" s="13">
        <v>42778.177291666667</v>
      </c>
      <c r="G17" s="7">
        <v>1</v>
      </c>
      <c r="H17" s="21" t="s">
        <v>335</v>
      </c>
      <c r="I17" s="13">
        <v>42778.203634259262</v>
      </c>
      <c r="J17" s="7">
        <v>0</v>
      </c>
      <c r="K17" s="98" t="str">
        <f>IF(ISEVEN(B17),(B17-1)&amp;"/"&amp;B17,B17&amp;"/"&amp;(B17+1))</f>
        <v>4037/4038</v>
      </c>
      <c r="L17" s="21" t="str">
        <f>VLOOKUP(A17,'Trips&amp;Operators'!$C$1:$G$99999,5,FALSE)</f>
        <v>BADERTSCHER DIANE</v>
      </c>
      <c r="M17" s="6">
        <f>I17-F17</f>
        <v>2.6342592595028691E-2</v>
      </c>
      <c r="N17" s="7">
        <f>24*60*SUM($M17:$M17)</f>
        <v>37.933333336841315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-02-12T03:03:15-0700',mode:absolute,to:'2017-02-12T05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7" s="188" t="str">
        <f>IF(AA17&lt;IF(AG17="EC",23,5.65),"Y","N")</f>
        <v>N</v>
      </c>
      <c r="X17" s="188">
        <f t="shared" si="6"/>
        <v>1</v>
      </c>
      <c r="Y17" s="62">
        <f>RIGHT(D17,LEN(D17)-4)/10000</f>
        <v>7.5499999999999998E-2</v>
      </c>
      <c r="Z17" s="62">
        <f>RIGHT(H17,LEN(H17)-4)/10000</f>
        <v>23.329499999999999</v>
      </c>
      <c r="AA17" s="62">
        <f>ABS(Z17-Y17)</f>
        <v>23.253999999999998</v>
      </c>
      <c r="AB17" s="59" t="e">
        <f>VLOOKUP(A17,Enforcements!$C$7:$K$14,8,0)</f>
        <v>#N/A</v>
      </c>
      <c r="AC17" s="55" t="e">
        <f>VLOOKUP(A17,Enforcements!$C$7:$E$14,3,0)</f>
        <v>#N/A</v>
      </c>
      <c r="AD17" s="56" t="str">
        <f>IF(LEN(A17)=6,"0"&amp;A17,A17)</f>
        <v>0105-12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17" s="8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/stypes="app*4038*20170212*"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105-12 --locoid 4038 --swversion DE.1.0.8.0 --startMP 204:755 --initTime 2017-02-12T04:03:15 --startdatetime 2017-02-12T04:15:18 --delay 1 --endMP 204:233295 --enddatetime 2017-02-12T04:53:14 --enforcementcount 0 &gt;&gt;C:\Users\stu\Documents\GitHub\eaglep3-reporting\EC\2017-02-12-refined-times.txt</v>
      </c>
      <c r="AI17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{"issue":{"subject":"","project_id":79,"tracker_id":40,"status_id":1,"priority_id":2,"assigned_to_id":23,"start_date":"2017-02-12","description":"","custom_fields":[{"id":1,"name":"Subdivision","value":"EC"},{"id":4,"name":"Milepost","value":"23.3295"},{"id":17,"name":"Train ID","value":"105-12"},{"id":16,"name":"Locomotive ID","value":"4038"},{"id":130,"name":"Impact","value":""},{"id":150,"name":"Time of Event (Mountain Time)","value":"04:53:14"},{"id":151,"name":"Denver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5"/>
        <v>start /low /b %USERPROFILE%\Documents\GitHub\eaglep3\Utilities\DownloadLogsFromS3.py --loco 4038 --day 2017-02-12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552</v>
      </c>
      <c r="B18" s="7">
        <v>4039</v>
      </c>
      <c r="C18" s="21" t="s">
        <v>193</v>
      </c>
      <c r="D18" s="21" t="s">
        <v>741</v>
      </c>
      <c r="E18" s="13">
        <v>42778.209965277776</v>
      </c>
      <c r="F18" s="13">
        <v>42778.216168981482</v>
      </c>
      <c r="G18" s="7">
        <v>1</v>
      </c>
      <c r="H18" s="21" t="s">
        <v>295</v>
      </c>
      <c r="I18" s="13">
        <v>42778.243564814817</v>
      </c>
      <c r="J18" s="7">
        <v>0</v>
      </c>
      <c r="K18" s="98" t="str">
        <f>IF(ISEVEN(B18),(B18-1)&amp;"/"&amp;B18,B18&amp;"/"&amp;(B18+1))</f>
        <v>4039/4040</v>
      </c>
      <c r="L18" s="21" t="str">
        <f>VLOOKUP(A18,'Trips&amp;Operators'!$C$1:$G$99999,5,FALSE)</f>
        <v>BADERTSCHER DIANE</v>
      </c>
      <c r="M18" s="6">
        <f>I18-F18</f>
        <v>2.7395833334594499E-2</v>
      </c>
      <c r="N18" s="7">
        <f>24*60*SUM($M18:$M18)</f>
        <v>39.450000001816079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-02-12T04:02:21-0700',mode:absolute,to:'2017-02-12T06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88" t="str">
        <f>IF(AA18&lt;IF(AG18="EC",23,5.65),"Y","N")</f>
        <v>N</v>
      </c>
      <c r="X18" s="188">
        <f t="shared" si="6"/>
        <v>1</v>
      </c>
      <c r="Y18" s="62">
        <f>RIGHT(D18,LEN(D18)-4)/10000</f>
        <v>23.2639</v>
      </c>
      <c r="Z18" s="62">
        <f>RIGHT(H18,LEN(H18)-4)/10000</f>
        <v>1.3899999999999999E-2</v>
      </c>
      <c r="AA18" s="62">
        <f>ABS(Z18-Y18)</f>
        <v>23.25</v>
      </c>
      <c r="AB18" s="59" t="e">
        <f>VLOOKUP(A18,Enforcements!$C$7:$K$14,8,0)</f>
        <v>#N/A</v>
      </c>
      <c r="AC18" s="55" t="e">
        <f>VLOOKUP(A18,Enforcements!$C$7:$E$14,3,0)</f>
        <v>#N/A</v>
      </c>
      <c r="AD18" s="56" t="str">
        <f>IF(LEN(A18)=6,"0"&amp;A18,A18)</f>
        <v>0106-12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 &amp; 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</v>
      </c>
      <c r="AF18" s="8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/stypes="app*4039*20170212*"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106-12 --locoid 4039 --swversion DE.1.0.8.0 --startMP 204:232639 --initTime 2017-02-12T05:02:21 --startdatetime 2017-02-12T05:11:17 --delay 1 --endMP 204:139 --enddatetime 2017-02-12T05:50:44 --enforcementcount 0 &gt;&gt;C:\Users\stu\Documents\GitHub\eaglep3-reporting\EC\2017-02-12-refined-times.txt</v>
      </c>
      <c r="AI18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{"issue":{"subject":"","project_id":79,"tracker_id":40,"status_id":1,"priority_id":2,"assigned_to_id":23,"start_date":"2017-02-12","description":"","custom_fields":[{"id":1,"name":"Subdivision","value":"EC"},{"id":4,"name":"Milepost","value":"0.0139"},{"id":17,"name":"Train ID","value":"106-12"},{"id":16,"name":"Locomotive ID","value":"4039"},{"id":130,"name":"Impact","value":""},{"id":150,"name":"Time of Event (Mountain Time)","value":"05:50:44"},{"id":151,"name":"Denver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5"/>
        <v>start /low /b %USERPROFILE%\Documents\GitHub\eaglep3\Utilities\DownloadLogsFromS3.py --loco 4039 --day 2017-02-12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"%USERPROFILE%\AppData\Local\Temp\OnboardLogs"\RTDC4039\*4039*20170212* | grep -SE "(Enforcement Action)|(\[TIMEOUT)|(CHR.+\|PRM\|1\|D.+(SWITCH|SIGNAL).+UNKNOWN)" - &gt;&gt; 2017-02-12-UncaughtWiMAX.txt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549</v>
      </c>
      <c r="B19" s="7">
        <v>4029</v>
      </c>
      <c r="C19" s="21" t="s">
        <v>193</v>
      </c>
      <c r="D19" s="21" t="s">
        <v>279</v>
      </c>
      <c r="E19" s="13">
        <v>42778.188171296293</v>
      </c>
      <c r="F19" s="13">
        <v>42778.189456018517</v>
      </c>
      <c r="G19" s="7">
        <v>1</v>
      </c>
      <c r="H19" s="21" t="s">
        <v>335</v>
      </c>
      <c r="I19" s="13">
        <v>42778.214791666665</v>
      </c>
      <c r="J19" s="7">
        <v>0</v>
      </c>
      <c r="K19" s="98" t="str">
        <f>IF(ISEVEN(B19),(B19-1)&amp;"/"&amp;B19,B19&amp;"/"&amp;(B19+1))</f>
        <v>4029/4030</v>
      </c>
      <c r="L19" s="21" t="str">
        <f>VLOOKUP(A19,'Trips&amp;Operators'!$C$1:$G$99999,5,FALSE)</f>
        <v>DAVIS WENDY</v>
      </c>
      <c r="M19" s="6">
        <f>I19-F19</f>
        <v>2.5335648148029577E-2</v>
      </c>
      <c r="N19" s="7">
        <f>24*60*SUM($M19:$M19)</f>
        <v>36.483333333162591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-02-12T03:30:58-0700',mode:absolute,to:'2017-02-12T06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" s="188" t="str">
        <f>IF(AA19&lt;IF(AG19="EC",23,5.65),"Y","N")</f>
        <v>N</v>
      </c>
      <c r="X19" s="188">
        <f t="shared" si="6"/>
        <v>1</v>
      </c>
      <c r="Y19" s="62">
        <f>RIGHT(D19,LEN(D19)-4)/10000</f>
        <v>4.4600000000000001E-2</v>
      </c>
      <c r="Z19" s="62">
        <f>RIGHT(H19,LEN(H19)-4)/10000</f>
        <v>23.329499999999999</v>
      </c>
      <c r="AA19" s="62">
        <f>ABS(Z19-Y19)</f>
        <v>23.2849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>IF(LEN(A19)=6,"0"&amp;A19,A19)</f>
        <v>0107-12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19" s="8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/stypes="app*4029*20170212*"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107-12 --locoid 4029 --swversion DE.1.0.8.0 --startMP 204:446 --initTime 2017-02-12T04:30:58 --startdatetime 2017-02-12T04:32:49 --delay 1 --endMP 204:233295 --enddatetime 2017-02-12T05:09:18 --enforcementcount 0 &gt;&gt;C:\Users\stu\Documents\GitHub\eaglep3-reporting\EC\2017-02-12-refined-times.txt</v>
      </c>
      <c r="AI19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{"issue":{"subject":"","project_id":79,"tracker_id":40,"status_id":1,"priority_id":2,"assigned_to_id":23,"start_date":"2017-02-12","description":"","custom_fields":[{"id":1,"name":"Subdivision","value":"EC"},{"id":4,"name":"Milepost","value":"23.3295"},{"id":17,"name":"Train ID","value":"107-12"},{"id":16,"name":"Locomotive ID","value":"4029"},{"id":130,"name":"Impact","value":""},{"id":150,"name":"Time of Event (Mountain Time)","value":"05:09:18"},{"id":151,"name":"Denver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5"/>
        <v>start /low /b %USERPROFILE%\Documents\GitHub\eaglep3\Utilities\DownloadLogsFromS3.py --loco 4029 --day 2017-02-12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554</v>
      </c>
      <c r="B20" s="7">
        <v>4030</v>
      </c>
      <c r="C20" s="21" t="s">
        <v>193</v>
      </c>
      <c r="D20" s="21" t="s">
        <v>356</v>
      </c>
      <c r="E20" s="13">
        <v>42778.223194444443</v>
      </c>
      <c r="F20" s="13">
        <v>42778.226574074077</v>
      </c>
      <c r="G20" s="7">
        <v>1</v>
      </c>
      <c r="H20" s="21" t="s">
        <v>504</v>
      </c>
      <c r="I20" s="13">
        <v>42778.25644675926</v>
      </c>
      <c r="J20" s="7">
        <v>0</v>
      </c>
      <c r="K20" s="98" t="str">
        <f>IF(ISEVEN(B20),(B20-1)&amp;"/"&amp;B20,B20&amp;"/"&amp;(B20+1))</f>
        <v>4029/4030</v>
      </c>
      <c r="L20" s="21" t="str">
        <f>VLOOKUP(A20,'Trips&amp;Operators'!$C$1:$G$99999,5,FALSE)</f>
        <v>DAVIS WENDY</v>
      </c>
      <c r="M20" s="6">
        <f>I20-F20</f>
        <v>2.9872685183363501E-2</v>
      </c>
      <c r="N20" s="7">
        <f>24*60*SUM($M20:$M20)</f>
        <v>43.016666664043441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-02-12T04:21:24-0700',mode:absolute,to:'2017-02-12T07:09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" s="188" t="str">
        <f>IF(AA20&lt;IF(AG20="EC",23,5.65),"Y","N")</f>
        <v>N</v>
      </c>
      <c r="X20" s="188">
        <f t="shared" si="6"/>
        <v>1</v>
      </c>
      <c r="Y20" s="62">
        <f>RIGHT(D20,LEN(D20)-4)/10000</f>
        <v>23.297999999999998</v>
      </c>
      <c r="Z20" s="62">
        <f>RIGHT(H20,LEN(H20)-4)/10000</f>
        <v>1.47E-2</v>
      </c>
      <c r="AA20" s="62">
        <f>ABS(Z20-Y20)</f>
        <v>23.283299999999997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>IF(LEN(A20)=6,"0"&amp;A20,A20)</f>
        <v>0108-12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20" s="8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/stypes="app*4030*20170212*"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108-12 --locoid 4030 --swversion DE.1.0.8.0 --startMP 204:232980 --initTime 2017-02-12T05:21:24 --startdatetime 2017-02-12T05:26:16 --delay 1 --endMP 204:147 --enddatetime 2017-02-12T06:09:17 --enforcementcount 0 &gt;&gt;C:\Users\stu\Documents\GitHub\eaglep3-reporting\EC\2017-02-12-refined-times.txt</v>
      </c>
      <c r="AI20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{"issue":{"subject":"","project_id":79,"tracker_id":40,"status_id":1,"priority_id":2,"assigned_to_id":23,"start_date":"2017-02-12","description":"","custom_fields":[{"id":1,"name":"Subdivision","value":"EC"},{"id":4,"name":"Milepost","value":"0.0147"},{"id":17,"name":"Train ID","value":"108-12"},{"id":16,"name":"Locomotive ID","value":"4030"},{"id":130,"name":"Impact","value":""},{"id":150,"name":"Time of Event (Mountain Time)","value":"06:09:17"},{"id":151,"name":"Denver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5"/>
        <v>start /low /b %USERPROFILE%\Documents\GitHub\eaglep3\Utilities\DownloadLogsFromS3.py --loco 4030 --day 2017-02-12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517</v>
      </c>
      <c r="B21" s="7">
        <v>4031</v>
      </c>
      <c r="C21" s="21" t="s">
        <v>193</v>
      </c>
      <c r="D21" s="21" t="s">
        <v>742</v>
      </c>
      <c r="E21" s="13">
        <v>42778.19699074074</v>
      </c>
      <c r="F21" s="13">
        <v>42778.198287037034</v>
      </c>
      <c r="G21" s="7">
        <v>1</v>
      </c>
      <c r="H21" s="21" t="s">
        <v>743</v>
      </c>
      <c r="I21" s="13">
        <v>42778.223923611113</v>
      </c>
      <c r="J21" s="7">
        <v>0</v>
      </c>
      <c r="K21" s="98" t="str">
        <f>IF(ISEVEN(B21),(B21-1)&amp;"/"&amp;B21,B21&amp;"/"&amp;(B21+1))</f>
        <v>4031/4032</v>
      </c>
      <c r="L21" s="21" t="str">
        <f>VLOOKUP(A21,'Trips&amp;Operators'!$C$1:$G$99999,5,FALSE)</f>
        <v>ROBINSON KADDIBA</v>
      </c>
      <c r="M21" s="6">
        <f>I21-F21</f>
        <v>2.5636574078816921E-2</v>
      </c>
      <c r="N21" s="7">
        <f>24*60*SUM($M21:$M21)</f>
        <v>36.916666673496366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-02-12T03:43:40-0700',mode:absolute,to:'2017-02-12T06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" s="188" t="str">
        <f>IF(AA21&lt;IF(AG21="EC",23,5.65),"Y","N")</f>
        <v>N</v>
      </c>
      <c r="X21" s="188">
        <f>VALUE(LEFT(AD21,4))-VALUE(LEFT(AD20,4))</f>
        <v>1</v>
      </c>
      <c r="Y21" s="62">
        <f>RIGHT(D21,LEN(D21)-4)/10000</f>
        <v>4.7699999999999999E-2</v>
      </c>
      <c r="Z21" s="62">
        <f>RIGHT(H21,LEN(H21)-4)/10000</f>
        <v>23.333400000000001</v>
      </c>
      <c r="AA21" s="62">
        <f>ABS(Z21-Y21)</f>
        <v>23.285700000000002</v>
      </c>
      <c r="AB21" s="59" t="e">
        <f>VLOOKUP(A21,Enforcements!$C$7:$K$14,8,0)</f>
        <v>#N/A</v>
      </c>
      <c r="AC21" s="55" t="e">
        <f>VLOOKUP(A21,Enforcements!$C$7:$E$14,3,0)</f>
        <v>#N/A</v>
      </c>
      <c r="AD21" s="56" t="str">
        <f>IF(LEN(A21)=6,"0"&amp;A21,A21)</f>
        <v>0109-12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21" s="8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/stypes="app*4031*20170212*"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109-12 --locoid 4031 --swversion DE.1.0.8.0 --startMP 204:477 --initTime 2017-02-12T04:43:40 --startdatetime 2017-02-12T04:45:32 --delay 1 --endMP 204:233334 --enddatetime 2017-02-12T05:22:27 --enforcementcount 0 &gt;&gt;C:\Users\stu\Documents\GitHub\eaglep3-reporting\EC\2017-02-12-refined-times.txt</v>
      </c>
      <c r="AI21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{"issue":{"subject":"","project_id":79,"tracker_id":40,"status_id":1,"priority_id":2,"assigned_to_id":23,"start_date":"2017-02-12","description":"","custom_fields":[{"id":1,"name":"Subdivision","value":"EC"},{"id":4,"name":"Milepost","value":"23.3334"},{"id":17,"name":"Train ID","value":"109-12"},{"id":16,"name":"Locomotive ID","value":"4031"},{"id":130,"name":"Impact","value":""},{"id":150,"name":"Time of Event (Mountain Time)","value":"05:22:27"},{"id":151,"name":"Denver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5"/>
        <v>start /low /b %USERPROFILE%\Documents\GitHub\eaglep3\Utilities\DownloadLogsFromS3.py --loco 4031 --day 2017-02-12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558</v>
      </c>
      <c r="B22" s="7">
        <v>4032</v>
      </c>
      <c r="C22" s="21" t="s">
        <v>193</v>
      </c>
      <c r="D22" s="21" t="s">
        <v>744</v>
      </c>
      <c r="E22" s="13">
        <v>42778.231944444444</v>
      </c>
      <c r="F22" s="13">
        <v>42778.236979166664</v>
      </c>
      <c r="G22" s="7">
        <v>1</v>
      </c>
      <c r="H22" s="21" t="s">
        <v>221</v>
      </c>
      <c r="I22" s="13">
        <v>42778.266909722224</v>
      </c>
      <c r="J22" s="7">
        <v>0</v>
      </c>
      <c r="K22" s="98" t="str">
        <f>IF(ISEVEN(B22),(B22-1)&amp;"/"&amp;B22,B22&amp;"/"&amp;(B22+1))</f>
        <v>4031/4032</v>
      </c>
      <c r="L22" s="21" t="str">
        <f>VLOOKUP(A22,'Trips&amp;Operators'!$C$1:$G$99999,5,FALSE)</f>
        <v>ROBINSON KADDIBA</v>
      </c>
      <c r="M22" s="6">
        <f>I22-F22</f>
        <v>2.9930555559985805E-2</v>
      </c>
      <c r="N22" s="7">
        <f>24*60*SUM($M22:$M22)</f>
        <v>43.10000000637956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-02-12T04:34:00-0700',mode:absolute,to:'2017-02-12T07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188" t="str">
        <f>IF(AA22&lt;IF(AG22="EC",23,5.65),"Y","N")</f>
        <v>N</v>
      </c>
      <c r="X22" s="188">
        <f>VALUE(LEFT(AD22,4))-VALUE(LEFT(AD21,4))</f>
        <v>1</v>
      </c>
      <c r="Y22" s="62">
        <f>RIGHT(D22,LEN(D22)-4)/10000</f>
        <v>23.302099999999999</v>
      </c>
      <c r="Z22" s="62">
        <f>RIGHT(H22,LEN(H22)-4)/10000</f>
        <v>1.54E-2</v>
      </c>
      <c r="AA22" s="62">
        <f>ABS(Z22-Y22)</f>
        <v>23.2867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>IF(LEN(A22)=6,"0"&amp;A22,A22)</f>
        <v>0110-12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22" s="8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/stypes="app*4032*20170212*"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110-12 --locoid 4032 --swversion DE.1.0.8.0 --startMP 204:233021 --initTime 2017-02-12T05:34:00 --startdatetime 2017-02-12T05:41:15 --delay 1 --endMP 204:154 --enddatetime 2017-02-12T06:24:21 --enforcementcount 0 &gt;&gt;C:\Users\stu\Documents\GitHub\eaglep3-reporting\EC\2017-02-12-refined-times.txt</v>
      </c>
      <c r="AI22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{"issue":{"subject":"","project_id":79,"tracker_id":40,"status_id":1,"priority_id":2,"assigned_to_id":23,"start_date":"2017-02-12","description":"","custom_fields":[{"id":1,"name":"Subdivision","value":"EC"},{"id":4,"name":"Milepost","value":"0.0154"},{"id":17,"name":"Train ID","value":"110-12"},{"id":16,"name":"Locomotive ID","value":"4032"},{"id":130,"name":"Impact","value":""},{"id":150,"name":"Time of Event (Mountain Time)","value":"06:24:21"},{"id":151,"name":"Denver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5"/>
        <v>start /low /b %USERPROFILE%\Documents\GitHub\eaglep3\Utilities\DownloadLogsFromS3.py --loco 4032 --day 2017-02-12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551</v>
      </c>
      <c r="B23" s="7">
        <v>4046</v>
      </c>
      <c r="C23" s="21" t="s">
        <v>193</v>
      </c>
      <c r="D23" s="21" t="s">
        <v>745</v>
      </c>
      <c r="E23" s="13">
        <v>42778.206053240741</v>
      </c>
      <c r="F23" s="13">
        <v>42778.20853009259</v>
      </c>
      <c r="G23" s="7">
        <v>2</v>
      </c>
      <c r="H23" s="21" t="s">
        <v>746</v>
      </c>
      <c r="I23" s="13">
        <v>42778.232928240737</v>
      </c>
      <c r="J23" s="7">
        <v>0</v>
      </c>
      <c r="K23" s="98" t="str">
        <f>IF(ISEVEN(B23),(B23-1)&amp;"/"&amp;B23,B23&amp;"/"&amp;(B23+1))</f>
        <v>4045/4046</v>
      </c>
      <c r="L23" s="21" t="str">
        <f>VLOOKUP(A23,'Trips&amp;Operators'!$C$1:$G$99999,5,FALSE)</f>
        <v>GEBRETEKLE DAGNEW</v>
      </c>
      <c r="M23" s="6">
        <f>I23-F23</f>
        <v>2.4398148147156462E-2</v>
      </c>
      <c r="N23" s="7">
        <f>24*60*SUM($M23:$M23)</f>
        <v>35.133333331905305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-02-12T03:56:43-0700',mode:absolute,to:'2017-02-12T06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188" t="str">
        <f>IF(AA23&lt;IF(AG23="EC",23,5.65),"Y","N")</f>
        <v>N</v>
      </c>
      <c r="X23" s="188">
        <f>VALUE(LEFT(AD23,4))-VALUE(LEFT(AD22,4))</f>
        <v>1</v>
      </c>
      <c r="Y23" s="62">
        <f>RIGHT(D23,LEN(D23)-4)/10000</f>
        <v>7.7700000000000005E-2</v>
      </c>
      <c r="Z23" s="62">
        <f>RIGHT(H23,LEN(H23)-4)/10000</f>
        <v>23.332000000000001</v>
      </c>
      <c r="AA23" s="62">
        <f>ABS(Z23-Y23)</f>
        <v>23.254300000000001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>IF(LEN(A23)=6,"0"&amp;A23,A23)</f>
        <v>0111-12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 &amp; 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</v>
      </c>
      <c r="AF23" s="8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/stypes="app*4046*20170212*"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111-12 --locoid 4046 --swversion DE.1.0.8.0 --startMP 204:777 --initTime 2017-02-12T04:56:43 --startdatetime 2017-02-12T05:00:17 --delay 2 --endMP 204:233320 --enddatetime 2017-02-12T05:35:25 --enforcementcount 0 &gt;&gt;C:\Users\stu\Documents\GitHub\eaglep3-reporting\EC\2017-02-12-refined-times.txt</v>
      </c>
      <c r="AI23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{"issue":{"subject":"","project_id":79,"tracker_id":40,"status_id":1,"priority_id":2,"assigned_to_id":23,"start_date":"2017-02-12","description":"","custom_fields":[{"id":1,"name":"Subdivision","value":"EC"},{"id":4,"name":"Milepost","value":"23.332"},{"id":17,"name":"Train ID","value":"111-12"},{"id":16,"name":"Locomotive ID","value":"4046"},{"id":130,"name":"Impact","value":""},{"id":150,"name":"Time of Event (Mountain Time)","value":"05:35:25"},{"id":151,"name":"Denver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5"/>
        <v>start /low /b %USERPROFILE%\Documents\GitHub\eaglep3\Utilities\DownloadLogsFromS3.py --loco 4046 --day 2017-02-12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"%USERPROFILE%\AppData\Local\Temp\OnboardLogs"\RTDC4046\*4046*20170212* | grep -SE "(Enforcement Action)|(\[TIMEOUT)|(CHR.+\|PRM\|1\|D.+(SWITCH|SIGNAL).+UNKNOWN)" - &gt;&gt; 2017-02-12-UncaughtWiMAX.txt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560</v>
      </c>
      <c r="B24" s="7">
        <v>4045</v>
      </c>
      <c r="C24" s="21" t="s">
        <v>193</v>
      </c>
      <c r="D24" s="21" t="s">
        <v>448</v>
      </c>
      <c r="E24" s="13">
        <v>42778.242476851854</v>
      </c>
      <c r="F24" s="13">
        <v>42778.247418981482</v>
      </c>
      <c r="G24" s="7">
        <v>1</v>
      </c>
      <c r="H24" s="21" t="s">
        <v>209</v>
      </c>
      <c r="I24" s="13">
        <v>42778.275648148148</v>
      </c>
      <c r="J24" s="7">
        <v>0</v>
      </c>
      <c r="K24" s="98" t="str">
        <f>IF(ISEVEN(B24),(B24-1)&amp;"/"&amp;B24,B24&amp;"/"&amp;(B24+1))</f>
        <v>4045/4046</v>
      </c>
      <c r="L24" s="21" t="str">
        <f>VLOOKUP(A24,'Trips&amp;Operators'!$C$1:$G$99999,5,FALSE)</f>
        <v>GEBRETEKLE DAGNEW</v>
      </c>
      <c r="M24" s="6">
        <f>I24-F24</f>
        <v>2.8229166666278616E-2</v>
      </c>
      <c r="N24" s="7">
        <f>24*60*SUM($M24:$M24)</f>
        <v>40.649999999441206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-02-12T04:49:10-0700',mode:absolute,to:'2017-02-12T07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188" t="str">
        <f>IF(AA24&lt;IF(AG24="EC",23,5.65),"Y","N")</f>
        <v>N</v>
      </c>
      <c r="X24" s="188">
        <f>VALUE(LEFT(AD24,4))-VALUE(LEFT(AD23,4))</f>
        <v>1</v>
      </c>
      <c r="Y24" s="62">
        <f>RIGHT(D24,LEN(D24)-4)/10000</f>
        <v>23.3</v>
      </c>
      <c r="Z24" s="62">
        <f>RIGHT(H24,LEN(H24)-4)/10000</f>
        <v>1.52E-2</v>
      </c>
      <c r="AA24" s="62">
        <f>ABS(Z24-Y24)</f>
        <v>23.284800000000001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>IF(LEN(A24)=6,"0"&amp;A24,A24)</f>
        <v>0112-12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s3://rtdc.mdm.uploadarchive.raw/RTDC4045/ "%USERPROFILE%\AppData\Local\Temp\OnboardLogs"\RTDC4045\2017-02-12 --exclude "*" --recursive --include "*20170212*" &amp; "%USERPROFILE%\Documents\GitHub\mrs-test-scripts\Headless Mode &amp; Sideloading\WalkAndUnGZ.bat" "%USERPROFILE%\AppData\Local\Temp\OnboardLogs"\RTDC4045\2017-02-12 &amp; 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</v>
      </c>
      <c r="AF24" s="8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/stypes="app*4045*20170212*"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112-12 --locoid 4045 --swversion DE.1.0.8.0 --startMP 204:233000 --initTime 2017-02-12T05:49:10 --startdatetime 2017-02-12T05:56:17 --delay 1 --endMP 204:152 --enddatetime 2017-02-12T06:36:56 --enforcementcount 0 &gt;&gt;C:\Users\stu\Documents\GitHub\eaglep3-reporting\EC\2017-02-12-refined-times.txt</v>
      </c>
      <c r="AI24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{"issue":{"subject":"","project_id":79,"tracker_id":40,"status_id":1,"priority_id":2,"assigned_to_id":23,"start_date":"2017-02-12","description":"","custom_fields":[{"id":1,"name":"Subdivision","value":"EC"},{"id":4,"name":"Milepost","value":"0.0152"},{"id":17,"name":"Train ID","value":"112-12"},{"id":16,"name":"Locomotive ID","value":"4045"},{"id":130,"name":"Impact","value":""},{"id":150,"name":"Time of Event (Mountain Time)","value":"06:36:56"},{"id":151,"name":"Denver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5"/>
        <v>start /low /b %USERPROFILE%\Documents\GitHub\eaglep3\Utilities\DownloadLogsFromS3.py --loco 4045 --day 2017-02-12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"%USERPROFILE%\AppData\Local\Temp\OnboardLogs"\RTDC4045\*4045*20170212* | grep -SE "(Enforcement Action)|(\[TIMEOUT)|(CHR.+\|PRM\|1\|D.+(SWITCH|SIGNAL).+UNKNOWN)" - &gt;&gt; 2017-02-12-UncaughtWiMAX.txt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553</v>
      </c>
      <c r="B25" s="7">
        <v>4007</v>
      </c>
      <c r="C25" s="21" t="s">
        <v>193</v>
      </c>
      <c r="D25" s="21" t="s">
        <v>278</v>
      </c>
      <c r="E25" s="13">
        <v>42778.210289351853</v>
      </c>
      <c r="F25" s="13">
        <v>42778.218958333331</v>
      </c>
      <c r="G25" s="7">
        <v>2</v>
      </c>
      <c r="H25" s="21" t="s">
        <v>743</v>
      </c>
      <c r="I25" s="13">
        <v>42778.244814814818</v>
      </c>
      <c r="J25" s="7">
        <v>0</v>
      </c>
      <c r="K25" s="98" t="str">
        <f>IF(ISEVEN(B25),(B25-1)&amp;"/"&amp;B25,B25&amp;"/"&amp;(B25+1))</f>
        <v>4007/4008</v>
      </c>
      <c r="L25" s="21" t="str">
        <f>VLOOKUP(A25,'Trips&amp;Operators'!$C$1:$G$99999,5,FALSE)</f>
        <v>MOSES BRADLEY</v>
      </c>
      <c r="M25" s="6">
        <f>I25-F25</f>
        <v>2.5856481486698613E-2</v>
      </c>
      <c r="N25" s="7">
        <f>24*60*SUM($M25:$M25)</f>
        <v>37.233333340846002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-02-12T04:02:49-0700',mode:absolute,to:'2017-02-12T06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88" t="str">
        <f>IF(AA25&lt;IF(AG25="EC",23,5.65),"Y","N")</f>
        <v>N</v>
      </c>
      <c r="X25" s="188">
        <f>VALUE(LEFT(AD25,4))-VALUE(LEFT(AD24,4))</f>
        <v>1</v>
      </c>
      <c r="Y25" s="62">
        <f>RIGHT(D25,LEN(D25)-4)/10000</f>
        <v>4.6699999999999998E-2</v>
      </c>
      <c r="Z25" s="62">
        <f>RIGHT(H25,LEN(H25)-4)/10000</f>
        <v>23.333400000000001</v>
      </c>
      <c r="AA25" s="62">
        <f>ABS(Z25-Y25)</f>
        <v>23.2867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>IF(LEN(A25)=6,"0"&amp;A25,A25)</f>
        <v>0113-12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25" s="8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/stypes="app*4007*20170212*"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113-12 --locoid 4007 --swversion DE.1.0.8.0 --startMP 204:467 --initTime 2017-02-12T05:02:49 --startdatetime 2017-02-12T05:15:18 --delay 2 --endMP 204:233334 --enddatetime 2017-02-12T05:52:32 --enforcementcount 0 &gt;&gt;C:\Users\stu\Documents\GitHub\eaglep3-reporting\EC\2017-02-12-refined-times.txt</v>
      </c>
      <c r="AI25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{"issue":{"subject":"","project_id":79,"tracker_id":40,"status_id":1,"priority_id":2,"assigned_to_id":23,"start_date":"2017-02-12","description":"","custom_fields":[{"id":1,"name":"Subdivision","value":"EC"},{"id":4,"name":"Milepost","value":"23.3334"},{"id":17,"name":"Train ID","value":"113-12"},{"id":16,"name":"Locomotive ID","value":"4007"},{"id":130,"name":"Impact","value":""},{"id":150,"name":"Time of Event (Mountain Time)","value":"05:52:32"},{"id":151,"name":"Denver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5"/>
        <v>start /low /b %USERPROFILE%\Documents\GitHub\eaglep3\Utilities\DownloadLogsFromS3.py --loco 4007 --day 2017-02-12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"%USERPROFILE%\AppData\Local\Temp\OnboardLogs"\RTDC4007\*4007*20170212* | grep -SE "(Enforcement Action)|(\[TIMEOUT)|(CHR.+\|PRM\|1\|D.+(SWITCH|SIGNAL).+UNKNOWN)" - &gt;&gt; 2017-02-12-UncaughtWiMAX.txt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518</v>
      </c>
      <c r="B26" s="7">
        <v>4008</v>
      </c>
      <c r="C26" s="21" t="s">
        <v>193</v>
      </c>
      <c r="D26" s="21" t="s">
        <v>747</v>
      </c>
      <c r="E26" s="13">
        <v>42778.254537037035</v>
      </c>
      <c r="F26" s="13">
        <v>42778.257870370369</v>
      </c>
      <c r="G26" s="7">
        <v>2</v>
      </c>
      <c r="H26" s="21" t="s">
        <v>295</v>
      </c>
      <c r="I26" s="13">
        <v>42778.285381944443</v>
      </c>
      <c r="J26" s="7">
        <v>0</v>
      </c>
      <c r="K26" s="98" t="str">
        <f>IF(ISEVEN(B26),(B26-1)&amp;"/"&amp;B26,B26&amp;"/"&amp;(B26+1))</f>
        <v>4007/4008</v>
      </c>
      <c r="L26" s="21" t="str">
        <f>VLOOKUP(A26,'Trips&amp;Operators'!$C$1:$G$99999,5,FALSE)</f>
        <v>MOSES BRADLEY</v>
      </c>
      <c r="M26" s="6">
        <f>I26-F26</f>
        <v>2.7511574073287193E-2</v>
      </c>
      <c r="N26" s="7">
        <f>24*60*SUM($M26:$M26)</f>
        <v>39.616666665533558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-02-12T05:06:32-0700',mode:absolute,to:'2017-02-12T07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6" s="188" t="str">
        <f>IF(AA26&lt;IF(AG26="EC",23,5.65),"Y","N")</f>
        <v>N</v>
      </c>
      <c r="X26" s="188">
        <f>VALUE(LEFT(AD26,4))-VALUE(LEFT(AD25,4))</f>
        <v>1</v>
      </c>
      <c r="Y26" s="62">
        <f>RIGHT(D26,LEN(D26)-4)/10000</f>
        <v>23.3002</v>
      </c>
      <c r="Z26" s="62">
        <f>RIGHT(H26,LEN(H26)-4)/10000</f>
        <v>1.3899999999999999E-2</v>
      </c>
      <c r="AA26" s="62">
        <f>ABS(Z26-Y26)</f>
        <v>23.286300000000001</v>
      </c>
      <c r="AB26" s="59" t="str">
        <f>VLOOKUP(A26,Enforcements!$C$7:$K$14,8,0)</f>
        <v>Bulletin (2)</v>
      </c>
      <c r="AC26" s="55" t="str">
        <f>VLOOKUP(A26,Enforcements!$C$7:$E$14,3,0)</f>
        <v>GRADE CROSSING</v>
      </c>
      <c r="AD26" s="56" t="str">
        <f>IF(LEN(A26)=6,"0"&amp;A26,A26)</f>
        <v>0114-12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26" s="8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/stypes="app*4008*20170212*"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114-12 --locoid 4008 --swversion DE.1.0.8.0 --startMP 204:233002 --initTime 2017-02-12T06:06:32 --startdatetime 2017-02-12T06:11:20 --delay 2 --endMP 204:139 --enddatetime 2017-02-12T06:50:57 --enforcementcount 0 &gt;&gt;C:\Users\stu\Documents\GitHub\eaglep3-reporting\EC\2017-02-12-refined-times.txt</v>
      </c>
      <c r="AI26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{"issue":{"subject":"","project_id":79,"tracker_id":40,"status_id":1,"priority_id":2,"assigned_to_id":23,"start_date":"2017-02-12","description":"","custom_fields":[{"id":1,"name":"Subdivision","value":"EC"},{"id":4,"name":"Milepost","value":"0.0139"},{"id":17,"name":"Train ID","value":"114-12"},{"id":16,"name":"Locomotive ID","value":"4008"},{"id":130,"name":"Impact","value":""},{"id":150,"name":"Time of Event (Mountain Time)","value":"06:50:57"},{"id":151,"name":"Denver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5"/>
        <v>start /low /b %USERPROFILE%\Documents\GitHub\eaglep3\Utilities\DownloadLogsFromS3.py --loco 4008 --day 2017-02-12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556</v>
      </c>
      <c r="B27" s="7">
        <v>4018</v>
      </c>
      <c r="C27" s="21" t="s">
        <v>193</v>
      </c>
      <c r="D27" s="21" t="s">
        <v>748</v>
      </c>
      <c r="E27" s="13">
        <v>42778.229131944441</v>
      </c>
      <c r="F27" s="13">
        <v>42778.231261574074</v>
      </c>
      <c r="G27" s="7">
        <v>1</v>
      </c>
      <c r="H27" s="21" t="s">
        <v>506</v>
      </c>
      <c r="I27" s="13">
        <v>42778.257685185185</v>
      </c>
      <c r="J27" s="7">
        <v>0</v>
      </c>
      <c r="K27" s="98" t="str">
        <f>IF(ISEVEN(B27),(B27-1)&amp;"/"&amp;B27,B27&amp;"/"&amp;(B27+1))</f>
        <v>4017/4018</v>
      </c>
      <c r="L27" s="21" t="str">
        <f>VLOOKUP(A27,'Trips&amp;Operators'!$C$1:$G$99999,5,FALSE)</f>
        <v>SHOOK JOHN</v>
      </c>
      <c r="M27" s="6">
        <f>I27-F27</f>
        <v>2.6423611110658385E-2</v>
      </c>
      <c r="N27" s="7">
        <f>24*60*SUM($M27:$M27)</f>
        <v>38.049999999348074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-02-12T04:29:57-0700',mode:absolute,to:'2017-02-12T07:11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188" t="str">
        <f>IF(AA27&lt;IF(AG27="EC",23,5.65),"Y","N")</f>
        <v>N</v>
      </c>
      <c r="X27" s="188">
        <f>VALUE(LEFT(AD27,4))-VALUE(LEFT(AD26,4))</f>
        <v>1</v>
      </c>
      <c r="Y27" s="62">
        <f>RIGHT(D27,LEN(D27)-4)/10000</f>
        <v>7.4300000000000005E-2</v>
      </c>
      <c r="Z27" s="62">
        <f>RIGHT(H27,LEN(H27)-4)/10000</f>
        <v>23.332799999999999</v>
      </c>
      <c r="AA27" s="62">
        <f>ABS(Z27-Y27)</f>
        <v>23.258499999999998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>IF(LEN(A27)=6,"0"&amp;A27,A27)</f>
        <v>0115-12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27" s="8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/stypes="app*4018*20170212*"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115-12 --locoid 4018 --swversion DE.1.0.8.0 --startMP 204:743 --initTime 2017-02-12T05:29:57 --startdatetime 2017-02-12T05:33:01 --delay 1 --endMP 204:233328 --enddatetime 2017-02-12T06:11:04 --enforcementcount 0 &gt;&gt;C:\Users\stu\Documents\GitHub\eaglep3-reporting\EC\2017-02-12-refined-times.txt</v>
      </c>
      <c r="AI27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{"issue":{"subject":"","project_id":79,"tracker_id":40,"status_id":1,"priority_id":2,"assigned_to_id":23,"start_date":"2017-02-12","description":"","custom_fields":[{"id":1,"name":"Subdivision","value":"EC"},{"id":4,"name":"Milepost","value":"23.3328"},{"id":17,"name":"Train ID","value":"115-12"},{"id":16,"name":"Locomotive ID","value":"4018"},{"id":130,"name":"Impact","value":""},{"id":150,"name":"Time of Event (Mountain Time)","value":"06:11:04"},{"id":151,"name":"Denver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5"/>
        <v>start /low /b %USERPROFILE%\Documents\GitHub\eaglep3\Utilities\DownloadLogsFromS3.py --loco 4018 --day 2017-02-12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567</v>
      </c>
      <c r="B28" s="7">
        <v>4017</v>
      </c>
      <c r="C28" s="21" t="s">
        <v>193</v>
      </c>
      <c r="D28" s="21" t="s">
        <v>749</v>
      </c>
      <c r="E28" s="13">
        <v>42778.259328703702</v>
      </c>
      <c r="F28" s="13">
        <v>42778.268240740741</v>
      </c>
      <c r="G28" s="7">
        <v>1</v>
      </c>
      <c r="H28" s="21" t="s">
        <v>184</v>
      </c>
      <c r="I28" s="13">
        <v>42778.296597222223</v>
      </c>
      <c r="J28" s="7">
        <v>0</v>
      </c>
      <c r="K28" s="98" t="str">
        <f>IF(ISEVEN(B28),(B28-1)&amp;"/"&amp;B28,B28&amp;"/"&amp;(B28+1))</f>
        <v>4017/4018</v>
      </c>
      <c r="L28" s="21" t="str">
        <f>VLOOKUP(A28,'Trips&amp;Operators'!$C$1:$G$99999,5,FALSE)</f>
        <v>SHOOK JOHN</v>
      </c>
      <c r="M28" s="6">
        <f>I28-F28</f>
        <v>2.8356481481750961E-2</v>
      </c>
      <c r="N28" s="7">
        <f>24*60*SUM($M28:$M28)</f>
        <v>40.833333333721384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-02-12T05:13:26-0700',mode:absolute,to:'2017-02-12T08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188" t="str">
        <f>IF(AA28&lt;IF(AG28="EC",23,5.65),"Y","N")</f>
        <v>N</v>
      </c>
      <c r="X28" s="188">
        <f>VALUE(LEFT(AD28,4))-VALUE(LEFT(AD27,4))</f>
        <v>1</v>
      </c>
      <c r="Y28" s="62">
        <f>RIGHT(D28,LEN(D28)-4)/10000</f>
        <v>23.299800000000001</v>
      </c>
      <c r="Z28" s="62">
        <f>RIGHT(H28,LEN(H28)-4)/10000</f>
        <v>1.49E-2</v>
      </c>
      <c r="AA28" s="62">
        <f>ABS(Z28-Y28)</f>
        <v>23.2849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>IF(LEN(A28)=6,"0"&amp;A28,A28)</f>
        <v>0116-12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28" s="8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/stypes="app*4017*20170212*"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116-12 --locoid 4017 --swversion DE.1.0.8.0 --startMP 204:232998 --initTime 2017-02-12T06:13:26 --startdatetime 2017-02-12T06:26:16 --delay 1 --endMP 204:149 --enddatetime 2017-02-12T07:07:06 --enforcementcount 0 &gt;&gt;C:\Users\stu\Documents\GitHub\eaglep3-reporting\EC\2017-02-12-refined-times.txt</v>
      </c>
      <c r="AI28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{"issue":{"subject":"","project_id":79,"tracker_id":40,"status_id":1,"priority_id":2,"assigned_to_id":23,"start_date":"2017-02-12","description":"","custom_fields":[{"id":1,"name":"Subdivision","value":"EC"},{"id":4,"name":"Milepost","value":"0.0149"},{"id":17,"name":"Train ID","value":"116-12"},{"id":16,"name":"Locomotive ID","value":"4017"},{"id":130,"name":"Impact","value":""},{"id":150,"name":"Time of Event (Mountain Time)","value":"07:07:06"},{"id":151,"name":"Denver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5"/>
        <v>start /low /b %USERPROFILE%\Documents\GitHub\eaglep3\Utilities\DownloadLogsFromS3.py --loco 4017 --day 2017-02-12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"%USERPROFILE%\AppData\Local\Temp\OnboardLogs"\RTDC4017\*4017*20170212* | grep -SE "(Enforcement Action)|(\[TIMEOUT)|(CHR.+\|PRM\|1\|D.+(SWITCH|SIGNAL).+UNKNOWN)" - &gt;&gt; 2017-02-12-UncaughtWiMAX.txt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557</v>
      </c>
      <c r="B29" s="7">
        <v>4016</v>
      </c>
      <c r="C29" s="21" t="s">
        <v>193</v>
      </c>
      <c r="D29" s="21" t="s">
        <v>235</v>
      </c>
      <c r="E29" s="13">
        <v>42778.230162037034</v>
      </c>
      <c r="F29" s="13">
        <v>42778.239861111113</v>
      </c>
      <c r="G29" s="7">
        <v>1</v>
      </c>
      <c r="H29" s="21" t="s">
        <v>750</v>
      </c>
      <c r="I29" s="13">
        <v>42778.267083333332</v>
      </c>
      <c r="J29" s="7">
        <v>0</v>
      </c>
      <c r="K29" s="98" t="str">
        <f>IF(ISEVEN(B29),(B29-1)&amp;"/"&amp;B29,B29&amp;"/"&amp;(B29+1))</f>
        <v>4015/4016</v>
      </c>
      <c r="L29" s="21" t="str">
        <f>VLOOKUP(A29,'Trips&amp;Operators'!$C$1:$G$99999,5,FALSE)</f>
        <v>MAELZER KURT</v>
      </c>
      <c r="M29" s="6">
        <f>I29-F29</f>
        <v>2.7222222219279502E-2</v>
      </c>
      <c r="N29" s="7">
        <f>24*60*SUM($M29:$M29)</f>
        <v>39.199999995762482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-02-12T04:31:26-0700',mode:absolute,to:'2017-02-12T07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88" t="str">
        <f>IF(AA29&lt;IF(AG29="EC",23,5.65),"Y","N")</f>
        <v>N</v>
      </c>
      <c r="X29" s="188">
        <f>VALUE(LEFT(AD29,4))-VALUE(LEFT(AD28,4))</f>
        <v>1</v>
      </c>
      <c r="Y29" s="62">
        <f>RIGHT(D29,LEN(D29)-4)/10000</f>
        <v>4.5100000000000001E-2</v>
      </c>
      <c r="Z29" s="62">
        <f>RIGHT(H29,LEN(H29)-4)/10000</f>
        <v>23.329799999999999</v>
      </c>
      <c r="AA29" s="62">
        <f>ABS(Z29-Y29)</f>
        <v>23.284699999999997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>IF(LEN(A29)=6,"0"&amp;A29,A29)</f>
        <v>0117-12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29" s="8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/stypes="app*4016*20170212*"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117-12 --locoid 4016 --swversion DE.1.0.8.0 --startMP 204:451 --initTime 2017-02-12T05:31:26 --startdatetime 2017-02-12T05:45:24 --delay 1 --endMP 204:233298 --enddatetime 2017-02-12T06:24:36 --enforcementcount 0 &gt;&gt;C:\Users\stu\Documents\GitHub\eaglep3-reporting\EC\2017-02-12-refined-times.txt</v>
      </c>
      <c r="AI29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{"issue":{"subject":"","project_id":79,"tracker_id":40,"status_id":1,"priority_id":2,"assigned_to_id":23,"start_date":"2017-02-12","description":"","custom_fields":[{"id":1,"name":"Subdivision","value":"EC"},{"id":4,"name":"Milepost","value":"23.3298"},{"id":17,"name":"Train ID","value":"117-12"},{"id":16,"name":"Locomotive ID","value":"4016"},{"id":130,"name":"Impact","value":""},{"id":150,"name":"Time of Event (Mountain Time)","value":"06:24:36"},{"id":151,"name":"Denver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5"/>
        <v>start /low /b %USERPROFILE%\Documents\GitHub\eaglep3\Utilities\DownloadLogsFromS3.py --loco 4016 --day 2017-02-12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"%USERPROFILE%\AppData\Local\Temp\OnboardLogs"\RTDC4016\*4016*20170212* | grep -SE "(Enforcement Action)|(\[TIMEOUT)|(CHR.+\|PRM\|1\|D.+(SWITCH|SIGNAL).+UNKNOWN)" - &gt;&gt; 2017-02-12-UncaughtWiMAX.txt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569</v>
      </c>
      <c r="B30" s="7">
        <v>4015</v>
      </c>
      <c r="C30" s="21" t="s">
        <v>193</v>
      </c>
      <c r="D30" s="21" t="s">
        <v>751</v>
      </c>
      <c r="E30" s="13">
        <v>42778.271423611113</v>
      </c>
      <c r="F30" s="13">
        <v>42778.278877314813</v>
      </c>
      <c r="G30" s="7">
        <v>1</v>
      </c>
      <c r="H30" s="21" t="s">
        <v>184</v>
      </c>
      <c r="I30" s="13">
        <v>42778.305555555555</v>
      </c>
      <c r="J30" s="7">
        <v>0</v>
      </c>
      <c r="K30" s="98" t="str">
        <f>IF(ISEVEN(B30),(B30-1)&amp;"/"&amp;B30,B30&amp;"/"&amp;(B30+1))</f>
        <v>4015/4016</v>
      </c>
      <c r="L30" s="21" t="str">
        <f>VLOOKUP(A30,'Trips&amp;Operators'!$C$1:$G$99999,5,FALSE)</f>
        <v>MAELZER KURT</v>
      </c>
      <c r="M30" s="6">
        <f>I30-F30</f>
        <v>2.6678240741603076E-2</v>
      </c>
      <c r="N30" s="7">
        <f>24*60*SUM($M30:$M30)</f>
        <v>38.41666666790843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-02-12T05:30:51-0700',mode:absolute,to:'2017-02-12T08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88" t="str">
        <f>IF(AA30&lt;IF(AG30="EC",23,5.65),"Y","N")</f>
        <v>N</v>
      </c>
      <c r="X30" s="188">
        <f>VALUE(LEFT(AD30,4))-VALUE(LEFT(AD29,4))</f>
        <v>1</v>
      </c>
      <c r="Y30" s="62">
        <f>RIGHT(D30,LEN(D30)-4)/10000</f>
        <v>23.300599999999999</v>
      </c>
      <c r="Z30" s="62">
        <f>RIGHT(H30,LEN(H30)-4)/10000</f>
        <v>1.49E-2</v>
      </c>
      <c r="AA30" s="62">
        <f>ABS(Z30-Y30)</f>
        <v>23.285699999999999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>IF(LEN(A30)=6,"0"&amp;A30,A30)</f>
        <v>0118-12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 &amp; 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</v>
      </c>
      <c r="AF30" s="8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/stypes="app*4015*20170212*"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118-12 --locoid 4015 --swversion DE.1.0.8.0 --startMP 204:233006 --initTime 2017-02-12T06:30:51 --startdatetime 2017-02-12T06:41:35 --delay 1 --endMP 204:149 --enddatetime 2017-02-12T07:20:00 --enforcementcount 0 &gt;&gt;C:\Users\stu\Documents\GitHub\eaglep3-reporting\EC\2017-02-12-refined-times.txt</v>
      </c>
      <c r="AI30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{"issue":{"subject":"","project_id":79,"tracker_id":40,"status_id":1,"priority_id":2,"assigned_to_id":23,"start_date":"2017-02-12","description":"","custom_fields":[{"id":1,"name":"Subdivision","value":"EC"},{"id":4,"name":"Milepost","value":"0.0149"},{"id":17,"name":"Train ID","value":"118-12"},{"id":16,"name":"Locomotive ID","value":"4015"},{"id":130,"name":"Impact","value":""},{"id":150,"name":"Time of Event (Mountain Time)","value":"07:20:00"},{"id":151,"name":"Denver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5"/>
        <v>start /low /b %USERPROFILE%\Documents\GitHub\eaglep3\Utilities\DownloadLogsFromS3.py --loco 4015 --day 2017-02-12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"%USERPROFILE%\AppData\Local\Temp\OnboardLogs"\RTDC4015\*4015*20170212* | grep -SE "(Enforcement Action)|(\[TIMEOUT)|(CHR.+\|PRM\|1\|D.+(SWITCH|SIGNAL).+UNKNOWN)" - &gt;&gt; 2017-02-12-UncaughtWiMAX.txt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562</v>
      </c>
      <c r="B31" s="7">
        <v>4038</v>
      </c>
      <c r="C31" s="21" t="s">
        <v>193</v>
      </c>
      <c r="D31" s="21" t="s">
        <v>752</v>
      </c>
      <c r="E31" s="13">
        <v>42778.248240740744</v>
      </c>
      <c r="F31" s="13">
        <v>42778.2503125</v>
      </c>
      <c r="G31" s="7">
        <v>1</v>
      </c>
      <c r="H31" s="21" t="s">
        <v>496</v>
      </c>
      <c r="I31" s="13">
        <v>42778.275937500002</v>
      </c>
      <c r="J31" s="7">
        <v>0</v>
      </c>
      <c r="K31" s="98" t="str">
        <f>IF(ISEVEN(B31),(B31-1)&amp;"/"&amp;B31,B31&amp;"/"&amp;(B31+1))</f>
        <v>4037/4038</v>
      </c>
      <c r="L31" s="21" t="str">
        <f>VLOOKUP(A31,'Trips&amp;Operators'!$C$1:$G$99999,5,FALSE)</f>
        <v>BADERTSCHER DIANE</v>
      </c>
      <c r="M31" s="6">
        <f>I31-F31</f>
        <v>2.5625000002037268E-2</v>
      </c>
      <c r="N31" s="7">
        <f>24*60*SUM($M31:$M31)</f>
        <v>36.900000002933666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-02-12T04:57:28-0700',mode:absolute,to:'2017-02-12T07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31" s="188" t="str">
        <f>IF(AA31&lt;IF(AG31="EC",23,5.65),"Y","N")</f>
        <v>N</v>
      </c>
      <c r="X31" s="188">
        <f>VALUE(LEFT(AD31,4))-VALUE(LEFT(AD30,4))</f>
        <v>1</v>
      </c>
      <c r="Y31" s="62">
        <f>RIGHT(D31,LEN(D31)-4)/10000</f>
        <v>7.46E-2</v>
      </c>
      <c r="Z31" s="62">
        <f>RIGHT(H31,LEN(H31)-4)/10000</f>
        <v>23.330100000000002</v>
      </c>
      <c r="AA31" s="62">
        <f>ABS(Z31-Y31)</f>
        <v>23.255500000000001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>IF(LEN(A31)=6,"0"&amp;A31,A31)</f>
        <v>0119-12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31" s="8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/stypes="app*4038*20170212*"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119-12 --locoid 4038 --swversion DE.1.0.8.0 --startMP 204:746 --initTime 2017-02-12T05:57:28 --startdatetime 2017-02-12T06:00:27 --delay 1 --endMP 204:233301 --enddatetime 2017-02-12T06:37:21 --enforcementcount 0 &gt;&gt;C:\Users\stu\Documents\GitHub\eaglep3-reporting\EC\2017-02-12-refined-times.txt</v>
      </c>
      <c r="AI31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{"issue":{"subject":"","project_id":79,"tracker_id":40,"status_id":1,"priority_id":2,"assigned_to_id":23,"start_date":"2017-02-12","description":"","custom_fields":[{"id":1,"name":"Subdivision","value":"EC"},{"id":4,"name":"Milepost","value":"23.3301"},{"id":17,"name":"Train ID","value":"119-12"},{"id":16,"name":"Locomotive ID","value":"4038"},{"id":130,"name":"Impact","value":""},{"id":150,"name":"Time of Event (Mountain Time)","value":"06:37:21"},{"id":151,"name":"Denver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5"/>
        <v>start /low /b %USERPROFILE%\Documents\GitHub\eaglep3\Utilities\DownloadLogsFromS3.py --loco 4038 --day 2017-02-12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572</v>
      </c>
      <c r="B32" s="7">
        <v>4037</v>
      </c>
      <c r="C32" s="21" t="s">
        <v>193</v>
      </c>
      <c r="D32" s="21" t="s">
        <v>444</v>
      </c>
      <c r="E32" s="13">
        <v>42778.278506944444</v>
      </c>
      <c r="F32" s="13">
        <v>42778.2890625</v>
      </c>
      <c r="G32" s="7">
        <v>1</v>
      </c>
      <c r="H32" s="21" t="s">
        <v>341</v>
      </c>
      <c r="I32" s="13">
        <v>42778.316770833335</v>
      </c>
      <c r="J32" s="7">
        <v>0</v>
      </c>
      <c r="K32" s="98" t="str">
        <f>IF(ISEVEN(B32),(B32-1)&amp;"/"&amp;B32,B32&amp;"/"&amp;(B32+1))</f>
        <v>4037/4038</v>
      </c>
      <c r="L32" s="21" t="str">
        <f>VLOOKUP(A32,'Trips&amp;Operators'!$C$1:$G$99999,5,FALSE)</f>
        <v>BADERTSCHER DIANE</v>
      </c>
      <c r="M32" s="6">
        <f>I32-F32</f>
        <v>2.7708333334885538E-2</v>
      </c>
      <c r="N32" s="7">
        <f>24*60*SUM($M32:$M32)</f>
        <v>39.900000002235174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-02-12T05:41:03-0700',mode:absolute,to:'2017-02-12T08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32" s="188" t="str">
        <f>IF(AA32&lt;IF(AG32="EC",23,5.65),"Y","N")</f>
        <v>N</v>
      </c>
      <c r="X32" s="188">
        <f>VALUE(LEFT(AD32,4))-VALUE(LEFT(AD31,4))</f>
        <v>1</v>
      </c>
      <c r="Y32" s="62">
        <f>RIGHT(D32,LEN(D32)-4)/10000</f>
        <v>23.2988</v>
      </c>
      <c r="Z32" s="62">
        <f>RIGHT(H32,LEN(H32)-4)/10000</f>
        <v>1.41E-2</v>
      </c>
      <c r="AA32" s="62">
        <f>ABS(Z32-Y32)</f>
        <v>23.284700000000001</v>
      </c>
      <c r="AB32" s="59" t="e">
        <f>VLOOKUP(A32,Enforcements!$C$7:$K$14,8,0)</f>
        <v>#N/A</v>
      </c>
      <c r="AC32" s="55" t="e">
        <f>VLOOKUP(A32,Enforcements!$C$7:$E$14,3,0)</f>
        <v>#N/A</v>
      </c>
      <c r="AD32" s="56" t="str">
        <f>IF(LEN(A32)=6,"0"&amp;A32,A32)</f>
        <v>0120-12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32" s="8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/stypes="app*4037*20170212*"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120-12 --locoid 4037 --swversion DE.1.0.8.0 --startMP 204:232988 --initTime 2017-02-12T06:41:03 --startdatetime 2017-02-12T06:56:15 --delay 1 --endMP 204:141 --enddatetime 2017-02-12T07:36:09 --enforcementcount 0 &gt;&gt;C:\Users\stu\Documents\GitHub\eaglep3-reporting\EC\2017-02-12-refined-times.txt</v>
      </c>
      <c r="AI32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{"issue":{"subject":"","project_id":79,"tracker_id":40,"status_id":1,"priority_id":2,"assigned_to_id":23,"start_date":"2017-02-12","description":"","custom_fields":[{"id":1,"name":"Subdivision","value":"EC"},{"id":4,"name":"Milepost","value":"0.0141"},{"id":17,"name":"Train ID","value":"120-12"},{"id":16,"name":"Locomotive ID","value":"4037"},{"id":130,"name":"Impact","value":""},{"id":150,"name":"Time of Event (Mountain Time)","value":"07:36:09"},{"id":151,"name":"Denver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5"/>
        <v>start /low /b %USERPROFILE%\Documents\GitHub\eaglep3\Utilities\DownloadLogsFromS3.py --loco 4037 --day 2017-02-12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"%USERPROFILE%\AppData\Local\Temp\OnboardLogs"\RTDC4037\*4037*20170212* | grep -SE "(Enforcement Action)|(\[TIMEOUT)|(CHR.+\|PRM\|1\|D.+(SWITCH|SIGNAL).+UNKNOWN)" - &gt;&gt; 2017-02-12-UncaughtWiMAX.txt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566</v>
      </c>
      <c r="B33" s="7">
        <v>4029</v>
      </c>
      <c r="C33" s="21" t="s">
        <v>193</v>
      </c>
      <c r="D33" s="21" t="s">
        <v>222</v>
      </c>
      <c r="E33" s="13">
        <v>42778.259351851855</v>
      </c>
      <c r="F33" s="13">
        <v>42778.260729166665</v>
      </c>
      <c r="G33" s="7">
        <v>1</v>
      </c>
      <c r="H33" s="21" t="s">
        <v>332</v>
      </c>
      <c r="I33" s="13">
        <v>42778.287858796299</v>
      </c>
      <c r="J33" s="7">
        <v>0</v>
      </c>
      <c r="K33" s="98" t="str">
        <f>IF(ISEVEN(B33),(B33-1)&amp;"/"&amp;B33,B33&amp;"/"&amp;(B33+1))</f>
        <v>4029/4030</v>
      </c>
      <c r="L33" s="21" t="str">
        <f>VLOOKUP(A33,'Trips&amp;Operators'!$C$1:$G$99999,5,FALSE)</f>
        <v>DAVIS WENDY</v>
      </c>
      <c r="M33" s="6">
        <f>I33-F33</f>
        <v>2.7129629634146113E-2</v>
      </c>
      <c r="N33" s="7">
        <f>24*60*SUM($M33:$M33)</f>
        <v>39.066666673170403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-02-12T05:13:28-0700',mode:absolute,to:'2017-02-12T07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188" t="str">
        <f>IF(AA33&lt;IF(AG33="EC",23,5.65),"Y","N")</f>
        <v>N</v>
      </c>
      <c r="X33" s="188">
        <f>VALUE(LEFT(AD33,4))-VALUE(LEFT(AD32,4))</f>
        <v>1</v>
      </c>
      <c r="Y33" s="62">
        <f>RIGHT(D33,LEN(D33)-4)/10000</f>
        <v>4.58E-2</v>
      </c>
      <c r="Z33" s="62">
        <f>RIGHT(H33,LEN(H33)-4)/10000</f>
        <v>23.329699999999999</v>
      </c>
      <c r="AA33" s="62">
        <f>ABS(Z33-Y33)</f>
        <v>23.283899999999999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>IF(LEN(A33)=6,"0"&amp;A33,A33)</f>
        <v>0121-12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33" s="8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/stypes="app*4029*20170212*"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121-12 --locoid 4029 --swversion DE.1.0.8.0 --startMP 204:458 --initTime 2017-02-12T06:13:28 --startdatetime 2017-02-12T06:15:27 --delay 1 --endMP 204:233297 --enddatetime 2017-02-12T06:54:31 --enforcementcount 0 &gt;&gt;C:\Users\stu\Documents\GitHub\eaglep3-reporting\EC\2017-02-12-refined-times.txt</v>
      </c>
      <c r="AI33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{"issue":{"subject":"","project_id":79,"tracker_id":40,"status_id":1,"priority_id":2,"assigned_to_id":23,"start_date":"2017-02-12","description":"","custom_fields":[{"id":1,"name":"Subdivision","value":"EC"},{"id":4,"name":"Milepost","value":"23.3297"},{"id":17,"name":"Train ID","value":"121-12"},{"id":16,"name":"Locomotive ID","value":"4029"},{"id":130,"name":"Impact","value":""},{"id":150,"name":"Time of Event (Mountain Time)","value":"06:54:31"},{"id":151,"name":"Denver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5"/>
        <v>start /low /b %USERPROFILE%\Documents\GitHub\eaglep3\Utilities\DownloadLogsFromS3.py --loco 4029 --day 2017-02-12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575</v>
      </c>
      <c r="B34" s="7">
        <v>4030</v>
      </c>
      <c r="C34" s="21" t="s">
        <v>193</v>
      </c>
      <c r="D34" s="21" t="s">
        <v>312</v>
      </c>
      <c r="E34" s="13">
        <v>42778.296018518522</v>
      </c>
      <c r="F34" s="13">
        <v>42778.299456018518</v>
      </c>
      <c r="G34" s="7">
        <v>1</v>
      </c>
      <c r="H34" s="21" t="s">
        <v>333</v>
      </c>
      <c r="I34" s="13">
        <v>42778.327199074076</v>
      </c>
      <c r="J34" s="7">
        <v>0</v>
      </c>
      <c r="K34" s="98" t="str">
        <f>IF(ISEVEN(B34),(B34-1)&amp;"/"&amp;B34,B34&amp;"/"&amp;(B34+1))</f>
        <v>4029/4030</v>
      </c>
      <c r="L34" s="21" t="str">
        <f>VLOOKUP(A34,'Trips&amp;Operators'!$C$1:$G$99999,5,FALSE)</f>
        <v>DAVIS WENDY</v>
      </c>
      <c r="M34" s="6">
        <f>I34-F34</f>
        <v>2.7743055557948537E-2</v>
      </c>
      <c r="N34" s="7">
        <f>24*60*SUM($M34:$M34)</f>
        <v>39.950000003445894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-02-12T06:06:16-0700',mode:absolute,to:'2017-02-12T08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4" s="188" t="str">
        <f>IF(AA34&lt;IF(AG34="EC",23,5.65),"Y","N")</f>
        <v>N</v>
      </c>
      <c r="X34" s="188">
        <f>VALUE(LEFT(AD34,4))-VALUE(LEFT(AD33,4))</f>
        <v>1</v>
      </c>
      <c r="Y34" s="62">
        <f>RIGHT(D34,LEN(D34)-4)/10000</f>
        <v>23.299099999999999</v>
      </c>
      <c r="Z34" s="62">
        <f>RIGHT(H34,LEN(H34)-4)/10000</f>
        <v>1.61E-2</v>
      </c>
      <c r="AA34" s="62">
        <f>ABS(Z34-Y34)</f>
        <v>23.282999999999998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>IF(LEN(A34)=6,"0"&amp;A34,A34)</f>
        <v>0122-12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34" s="8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/stypes="app*4030*20170212*"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122-12 --locoid 4030 --swversion DE.1.0.8.0 --startMP 204:232991 --initTime 2017-02-12T07:06:16 --startdatetime 2017-02-12T07:11:13 --delay 1 --endMP 204:161 --enddatetime 2017-02-12T07:51:10 --enforcementcount 0 &gt;&gt;C:\Users\stu\Documents\GitHub\eaglep3-reporting\EC\2017-02-12-refined-times.txt</v>
      </c>
      <c r="AI34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{"issue":{"subject":"","project_id":79,"tracker_id":40,"status_id":1,"priority_id":2,"assigned_to_id":23,"start_date":"2017-02-12","description":"","custom_fields":[{"id":1,"name":"Subdivision","value":"EC"},{"id":4,"name":"Milepost","value":"0.0161"},{"id":17,"name":"Train ID","value":"122-12"},{"id":16,"name":"Locomotive ID","value":"4030"},{"id":130,"name":"Impact","value":""},{"id":150,"name":"Time of Event (Mountain Time)","value":"07:51:10"},{"id":151,"name":"Denver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5"/>
        <v>start /low /b %USERPROFILE%\Documents\GitHub\eaglep3\Utilities\DownloadLogsFromS3.py --loco 4030 --day 2017-02-12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568</v>
      </c>
      <c r="B35" s="7">
        <v>4031</v>
      </c>
      <c r="C35" s="21" t="s">
        <v>193</v>
      </c>
      <c r="D35" s="21" t="s">
        <v>219</v>
      </c>
      <c r="E35" s="13">
        <v>42778.26829861111</v>
      </c>
      <c r="F35" s="13">
        <v>42778.270995370367</v>
      </c>
      <c r="G35" s="7">
        <v>1</v>
      </c>
      <c r="H35" s="21" t="s">
        <v>753</v>
      </c>
      <c r="I35" s="13">
        <v>42778.296006944445</v>
      </c>
      <c r="J35" s="7">
        <v>0</v>
      </c>
      <c r="K35" s="98" t="str">
        <f>IF(ISEVEN(B35),(B35-1)&amp;"/"&amp;B35,B35&amp;"/"&amp;(B35+1))</f>
        <v>4031/4032</v>
      </c>
      <c r="L35" s="21" t="str">
        <f>VLOOKUP(A35,'Trips&amp;Operators'!$C$1:$G$99999,5,FALSE)</f>
        <v>ROBINSON KADDIBA</v>
      </c>
      <c r="M35" s="6">
        <f>I35-F35</f>
        <v>2.5011574078234844E-2</v>
      </c>
      <c r="N35" s="7">
        <f>24*60*SUM($M35:$M35)</f>
        <v>36.016666672658175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-02-12T05:26:21-0700',mode:absolute,to:'2017-02-12T08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5" s="188" t="str">
        <f>IF(AA35&lt;IF(AG35="EC",23,5.65),"Y","N")</f>
        <v>N</v>
      </c>
      <c r="X35" s="188">
        <f>VALUE(LEFT(AD35,4))-VALUE(LEFT(AD34,4))</f>
        <v>1</v>
      </c>
      <c r="Y35" s="62">
        <f>RIGHT(D35,LEN(D35)-4)/10000</f>
        <v>4.6899999999999997E-2</v>
      </c>
      <c r="Z35" s="62">
        <f>RIGHT(H35,LEN(H35)-4)/10000</f>
        <v>23.328399999999998</v>
      </c>
      <c r="AA35" s="62">
        <f>ABS(Z35-Y35)</f>
        <v>23.281499999999998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>IF(LEN(A35)=6,"0"&amp;A35,A35)</f>
        <v>0123-12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35" s="8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/stypes="app*4031*20170212*"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123-12 --locoid 4031 --swversion DE.1.0.8.0 --startMP 204:469 --initTime 2017-02-12T06:26:21 --startdatetime 2017-02-12T06:30:14 --delay 1 --endMP 204:233284 --enddatetime 2017-02-12T07:06:15 --enforcementcount 0 &gt;&gt;C:\Users\stu\Documents\GitHub\eaglep3-reporting\EC\2017-02-12-refined-times.txt</v>
      </c>
      <c r="AI35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{"issue":{"subject":"","project_id":79,"tracker_id":40,"status_id":1,"priority_id":2,"assigned_to_id":23,"start_date":"2017-02-12","description":"","custom_fields":[{"id":1,"name":"Subdivision","value":"EC"},{"id":4,"name":"Milepost","value":"23.3284"},{"id":17,"name":"Train ID","value":"123-12"},{"id":16,"name":"Locomotive ID","value":"4031"},{"id":130,"name":"Impact","value":""},{"id":150,"name":"Time of Event (Mountain Time)","value":"07:06:15"},{"id":151,"name":"Denver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5"/>
        <v>start /low /b %USERPROFILE%\Documents\GitHub\eaglep3\Utilities\DownloadLogsFromS3.py --loco 4031 --day 2017-02-12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577</v>
      </c>
      <c r="B36" s="7">
        <v>4032</v>
      </c>
      <c r="C36" s="21" t="s">
        <v>193</v>
      </c>
      <c r="D36" s="21" t="s">
        <v>493</v>
      </c>
      <c r="E36" s="13">
        <v>42778.301898148151</v>
      </c>
      <c r="F36" s="13">
        <v>42778.309907407405</v>
      </c>
      <c r="G36" s="7">
        <v>3</v>
      </c>
      <c r="H36" s="21" t="s">
        <v>195</v>
      </c>
      <c r="I36" s="13">
        <v>42778.336006944446</v>
      </c>
      <c r="J36" s="7">
        <v>0</v>
      </c>
      <c r="K36" s="98" t="str">
        <f>IF(ISEVEN(B36),(B36-1)&amp;"/"&amp;B36,B36&amp;"/"&amp;(B36+1))</f>
        <v>4031/4032</v>
      </c>
      <c r="L36" s="21" t="str">
        <f>VLOOKUP(A36,'Trips&amp;Operators'!$C$1:$G$99999,5,FALSE)</f>
        <v>ROBINSON KADDIBA</v>
      </c>
      <c r="M36" s="6">
        <f>I36-F36</f>
        <v>2.6099537040863652E-2</v>
      </c>
      <c r="N36" s="7">
        <f>24*60*SUM($M36:$M36)</f>
        <v>37.583333338843659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-02-12T06:14:44-0700',mode:absolute,to:'2017-02-12T09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188" t="str">
        <f>IF(AA36&lt;IF(AG36="EC",23,5.65),"Y","N")</f>
        <v>N</v>
      </c>
      <c r="X36" s="188">
        <f>VALUE(LEFT(AD36,4))-VALUE(LEFT(AD35,4))</f>
        <v>1</v>
      </c>
      <c r="Y36" s="62">
        <f>RIGHT(D36,LEN(D36)-4)/10000</f>
        <v>23.296500000000002</v>
      </c>
      <c r="Z36" s="62">
        <f>RIGHT(H36,LEN(H36)-4)/10000</f>
        <v>1.4999999999999999E-2</v>
      </c>
      <c r="AA36" s="62">
        <f>ABS(Z36-Y36)</f>
        <v>23.281500000000001</v>
      </c>
      <c r="AB36" s="59" t="e">
        <f>VLOOKUP(A36,Enforcements!$C$7:$K$14,8,0)</f>
        <v>#N/A</v>
      </c>
      <c r="AC36" s="55" t="e">
        <f>VLOOKUP(A36,Enforcements!$C$7:$E$14,3,0)</f>
        <v>#N/A</v>
      </c>
      <c r="AD36" s="56" t="str">
        <f>IF(LEN(A36)=6,"0"&amp;A36,A36)</f>
        <v>0124-12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36" s="8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/stypes="app*4032*20170212*"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124-12 --locoid 4032 --swversion DE.1.0.8.0 --startMP 204:232965 --initTime 2017-02-12T07:14:44 --startdatetime 2017-02-12T07:26:16 --delay 3 --endMP 204:150 --enddatetime 2017-02-12T08:03:51 --enforcementcount 0 &gt;&gt;C:\Users\stu\Documents\GitHub\eaglep3-reporting\EC\2017-02-12-refined-times.txt</v>
      </c>
      <c r="AI36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{"issue":{"subject":"","project_id":79,"tracker_id":40,"status_id":1,"priority_id":2,"assigned_to_id":23,"start_date":"2017-02-12","description":"","custom_fields":[{"id":1,"name":"Subdivision","value":"EC"},{"id":4,"name":"Milepost","value":"0.015"},{"id":17,"name":"Train ID","value":"124-12"},{"id":16,"name":"Locomotive ID","value":"4032"},{"id":130,"name":"Impact","value":""},{"id":150,"name":"Time of Event (Mountain Time)","value":"08:03:51"},{"id":151,"name":"Denver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5"/>
        <v>start /low /b %USERPROFILE%\Documents\GitHub\eaglep3\Utilities\DownloadLogsFromS3.py --loco 4032 --day 2017-02-12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571</v>
      </c>
      <c r="B37" s="7">
        <v>4046</v>
      </c>
      <c r="C37" s="21" t="s">
        <v>193</v>
      </c>
      <c r="D37" s="21" t="s">
        <v>208</v>
      </c>
      <c r="E37" s="13">
        <v>42778.278368055559</v>
      </c>
      <c r="F37" s="13">
        <v>42778.281423611108</v>
      </c>
      <c r="G37" s="7">
        <v>1</v>
      </c>
      <c r="H37" s="21" t="s">
        <v>754</v>
      </c>
      <c r="I37" s="13">
        <v>42778.307245370372</v>
      </c>
      <c r="J37" s="7">
        <v>0</v>
      </c>
      <c r="K37" s="98" t="str">
        <f>IF(ISEVEN(B37),(B37-1)&amp;"/"&amp;B37,B37&amp;"/"&amp;(B37+1))</f>
        <v>4045/4046</v>
      </c>
      <c r="L37" s="21" t="str">
        <f>VLOOKUP(A37,'Trips&amp;Operators'!$C$1:$G$99999,5,FALSE)</f>
        <v>GEBRETEKLE DAGNEW</v>
      </c>
      <c r="M37" s="6">
        <f>I37-F37</f>
        <v>2.5821759263635613E-2</v>
      </c>
      <c r="N37" s="7">
        <f>24*60*SUM($M37:$M37)</f>
        <v>37.183333339635283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-02-12T05:40:51-0700',mode:absolute,to:'2017-02-12T08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88" t="str">
        <f>IF(AA37&lt;IF(AG37="EC",23,5.65),"Y","N")</f>
        <v>N</v>
      </c>
      <c r="X37" s="188">
        <f>VALUE(LEFT(AD37,4))-VALUE(LEFT(AD36,4))</f>
        <v>1</v>
      </c>
      <c r="Y37" s="62">
        <f>RIGHT(D37,LEN(D37)-4)/10000</f>
        <v>4.4900000000000002E-2</v>
      </c>
      <c r="Z37" s="62">
        <f>RIGHT(H37,LEN(H37)-4)/10000</f>
        <v>23.331399999999999</v>
      </c>
      <c r="AA37" s="62">
        <f>ABS(Z37-Y37)</f>
        <v>23.2865</v>
      </c>
      <c r="AB37" s="59" t="e">
        <f>VLOOKUP(A37,Enforcements!$C$7:$K$14,8,0)</f>
        <v>#N/A</v>
      </c>
      <c r="AC37" s="55" t="e">
        <f>VLOOKUP(A37,Enforcements!$C$7:$E$14,3,0)</f>
        <v>#N/A</v>
      </c>
      <c r="AD37" s="56" t="str">
        <f>IF(LEN(A37)=6,"0"&amp;A37,A37)</f>
        <v>0125-12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 &amp; 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</v>
      </c>
      <c r="AF37" s="8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/stypes="app*4046*20170212*"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125-12 --locoid 4046 --swversion DE.1.0.8.0 --startMP 204:449 --initTime 2017-02-12T06:40:51 --startdatetime 2017-02-12T06:45:15 --delay 1 --endMP 204:233314 --enddatetime 2017-02-12T07:22:26 --enforcementcount 0 &gt;&gt;C:\Users\stu\Documents\GitHub\eaglep3-reporting\EC\2017-02-12-refined-times.txt</v>
      </c>
      <c r="AI37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{"issue":{"subject":"","project_id":79,"tracker_id":40,"status_id":1,"priority_id":2,"assigned_to_id":23,"start_date":"2017-02-12","description":"","custom_fields":[{"id":1,"name":"Subdivision","value":"EC"},{"id":4,"name":"Milepost","value":"23.3314"},{"id":17,"name":"Train ID","value":"125-12"},{"id":16,"name":"Locomotive ID","value":"4046"},{"id":130,"name":"Impact","value":""},{"id":150,"name":"Time of Event (Mountain Time)","value":"07:22:26"},{"id":151,"name":"Denver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5"/>
        <v>start /low /b %USERPROFILE%\Documents\GitHub\eaglep3\Utilities\DownloadLogsFromS3.py --loco 4046 --day 2017-02-12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"%USERPROFILE%\AppData\Local\Temp\OnboardLogs"\RTDC4046\*4046*20170212* | grep -SE "(Enforcement Action)|(\[TIMEOUT)|(CHR.+\|PRM\|1\|D.+(SWITCH|SIGNAL).+UNKNOWN)" - &gt;&gt; 2017-02-12-UncaughtWiMAX.txt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578</v>
      </c>
      <c r="B38" s="7">
        <v>4045</v>
      </c>
      <c r="C38" s="21" t="s">
        <v>193</v>
      </c>
      <c r="D38" s="21" t="s">
        <v>336</v>
      </c>
      <c r="E38" s="13">
        <v>42778.317569444444</v>
      </c>
      <c r="F38" s="13">
        <v>42778.320335648146</v>
      </c>
      <c r="G38" s="7">
        <v>1</v>
      </c>
      <c r="H38" s="21" t="s">
        <v>504</v>
      </c>
      <c r="I38" s="13">
        <v>42778.346493055556</v>
      </c>
      <c r="J38" s="7">
        <v>0</v>
      </c>
      <c r="K38" s="98" t="str">
        <f>IF(ISEVEN(B38),(B38-1)&amp;"/"&amp;B38,B38&amp;"/"&amp;(B38+1))</f>
        <v>4045/4046</v>
      </c>
      <c r="L38" s="21" t="str">
        <f>VLOOKUP(A38,'Trips&amp;Operators'!$C$1:$G$99999,5,FALSE)</f>
        <v>GEBRETEKLE DAGNEW</v>
      </c>
      <c r="M38" s="6">
        <f>I38-F38</f>
        <v>2.6157407410209998E-2</v>
      </c>
      <c r="N38" s="7">
        <f>24*60*SUM($M38:$M38)</f>
        <v>37.666666670702398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-02-12T06:37:18-0700',mode:absolute,to:'2017-02-12T09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88" t="str">
        <f>IF(AA38&lt;IF(AG38="EC",23,5.65),"Y","N")</f>
        <v>N</v>
      </c>
      <c r="X38" s="188">
        <f>VALUE(LEFT(AD38,4))-VALUE(LEFT(AD37,4))</f>
        <v>1</v>
      </c>
      <c r="Y38" s="62">
        <f>RIGHT(D38,LEN(D38)-4)/10000</f>
        <v>23.2989</v>
      </c>
      <c r="Z38" s="62">
        <f>RIGHT(H38,LEN(H38)-4)/10000</f>
        <v>1.47E-2</v>
      </c>
      <c r="AA38" s="62">
        <f>ABS(Z38-Y38)</f>
        <v>23.284199999999998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>IF(LEN(A38)=6,"0"&amp;A38,A38)</f>
        <v>0126-12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s3://rtdc.mdm.uploadarchive.raw/RTDC4045/ "%USERPROFILE%\AppData\Local\Temp\OnboardLogs"\RTDC4045\2017-02-12 --exclude "*" --recursive --include "*20170212*" &amp; "%USERPROFILE%\Documents\GitHub\mrs-test-scripts\Headless Mode &amp; Sideloading\WalkAndUnGZ.bat" "%USERPROFILE%\AppData\Local\Temp\OnboardLogs"\RTDC4045\2017-02-12 &amp; 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</v>
      </c>
      <c r="AF38" s="8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/stypes="app*4045*20170212*"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126-12 --locoid 4045 --swversion DE.1.0.8.0 --startMP 204:232989 --initTime 2017-02-12T07:37:18 --startdatetime 2017-02-12T07:41:17 --delay 1 --endMP 204:147 --enddatetime 2017-02-12T08:18:57 --enforcementcount 0 &gt;&gt;C:\Users\stu\Documents\GitHub\eaglep3-reporting\EC\2017-02-12-refined-times.txt</v>
      </c>
      <c r="AI38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{"issue":{"subject":"","project_id":79,"tracker_id":40,"status_id":1,"priority_id":2,"assigned_to_id":23,"start_date":"2017-02-12","description":"","custom_fields":[{"id":1,"name":"Subdivision","value":"EC"},{"id":4,"name":"Milepost","value":"0.0147"},{"id":17,"name":"Train ID","value":"126-12"},{"id":16,"name":"Locomotive ID","value":"4045"},{"id":130,"name":"Impact","value":""},{"id":150,"name":"Time of Event (Mountain Time)","value":"08:18:57"},{"id":151,"name":"Denver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5"/>
        <v>start /low /b %USERPROFILE%\Documents\GitHub\eaglep3\Utilities\DownloadLogsFromS3.py --loco 4045 --day 2017-02-12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"%USERPROFILE%\AppData\Local\Temp\OnboardLogs"\RTDC4045\*4045*20170212* | grep -SE "(Enforcement Action)|(\[TIMEOUT)|(CHR.+\|PRM\|1\|D.+(SWITCH|SIGNAL).+UNKNOWN)" - &gt;&gt; 2017-02-12-UncaughtWiMAX.txt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573</v>
      </c>
      <c r="B39" s="7">
        <v>4007</v>
      </c>
      <c r="C39" s="21" t="s">
        <v>193</v>
      </c>
      <c r="D39" s="21" t="s">
        <v>296</v>
      </c>
      <c r="E39" s="13">
        <v>42778.28833333333</v>
      </c>
      <c r="F39" s="13">
        <v>42778.291886574072</v>
      </c>
      <c r="G39" s="7">
        <v>1</v>
      </c>
      <c r="H39" s="21" t="s">
        <v>332</v>
      </c>
      <c r="I39" s="13">
        <v>42778.316689814812</v>
      </c>
      <c r="J39" s="7">
        <v>0</v>
      </c>
      <c r="K39" s="98" t="str">
        <f>IF(ISEVEN(B39),(B39-1)&amp;"/"&amp;B39,B39&amp;"/"&amp;(B39+1))</f>
        <v>4007/4008</v>
      </c>
      <c r="L39" s="21" t="str">
        <f>VLOOKUP(A39,'Trips&amp;Operators'!$C$1:$G$99999,5,FALSE)</f>
        <v>MOSES BRADLEY</v>
      </c>
      <c r="M39" s="6">
        <f>I39-F39</f>
        <v>2.4803240739856847E-2</v>
      </c>
      <c r="N39" s="7">
        <f>24*60*SUM($M39:$M39)</f>
        <v>35.716666665393859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-02-12T05:55:12-0700',mode:absolute,to:'2017-02-12T08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88" t="str">
        <f>IF(AA39&lt;IF(AG39="EC",23,5.65),"Y","N")</f>
        <v>N</v>
      </c>
      <c r="X39" s="188">
        <f>VALUE(LEFT(AD39,4))-VALUE(LEFT(AD38,4))</f>
        <v>1</v>
      </c>
      <c r="Y39" s="62">
        <f>RIGHT(D39,LEN(D39)-4)/10000</f>
        <v>4.3700000000000003E-2</v>
      </c>
      <c r="Z39" s="62">
        <f>RIGHT(H39,LEN(H39)-4)/10000</f>
        <v>23.329699999999999</v>
      </c>
      <c r="AA39" s="62">
        <f>ABS(Z39-Y39)</f>
        <v>23.285999999999998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>IF(LEN(A39)=6,"0"&amp;A39,A39)</f>
        <v>0127-12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39" s="8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/stypes="app*4007*20170212*"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127-12 --locoid 4007 --swversion DE.1.0.8.0 --startMP 204:437 --initTime 2017-02-12T06:55:12 --startdatetime 2017-02-12T07:00:19 --delay 1 --endMP 204:233297 --enddatetime 2017-02-12T07:36:02 --enforcementcount 0 &gt;&gt;C:\Users\stu\Documents\GitHub\eaglep3-reporting\EC\2017-02-12-refined-times.txt</v>
      </c>
      <c r="AI39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{"issue":{"subject":"","project_id":79,"tracker_id":40,"status_id":1,"priority_id":2,"assigned_to_id":23,"start_date":"2017-02-12","description":"","custom_fields":[{"id":1,"name":"Subdivision","value":"EC"},{"id":4,"name":"Milepost","value":"23.3297"},{"id":17,"name":"Train ID","value":"127-12"},{"id":16,"name":"Locomotive ID","value":"4007"},{"id":130,"name":"Impact","value":""},{"id":150,"name":"Time of Event (Mountain Time)","value":"07:36:02"},{"id":151,"name":"Denver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5"/>
        <v>start /low /b %USERPROFILE%\Documents\GitHub\eaglep3\Utilities\DownloadLogsFromS3.py --loco 4007 --day 2017-02-12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"%USERPROFILE%\AppData\Local\Temp\OnboardLogs"\RTDC4007\*4007*20170212* | grep -SE "(Enforcement Action)|(\[TIMEOUT)|(CHR.+\|PRM\|1\|D.+(SWITCH|SIGNAL).+UNKNOWN)" - &gt;&gt; 2017-02-12-UncaughtWiMAX.txt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520</v>
      </c>
      <c r="B40" s="7">
        <v>4008</v>
      </c>
      <c r="C40" s="21" t="s">
        <v>193</v>
      </c>
      <c r="D40" s="21" t="s">
        <v>343</v>
      </c>
      <c r="E40" s="13">
        <v>42778.327662037038</v>
      </c>
      <c r="F40" s="13">
        <v>42778.330810185187</v>
      </c>
      <c r="G40" s="7">
        <v>1</v>
      </c>
      <c r="H40" s="21" t="s">
        <v>505</v>
      </c>
      <c r="I40" s="13">
        <v>42778.357164351852</v>
      </c>
      <c r="J40" s="7">
        <v>0</v>
      </c>
      <c r="K40" s="98" t="str">
        <f>IF(ISEVEN(B40),(B40-1)&amp;"/"&amp;B40,B40&amp;"/"&amp;(B40+1))</f>
        <v>4007/4008</v>
      </c>
      <c r="L40" s="21" t="str">
        <f>VLOOKUP(A40,'Trips&amp;Operators'!$C$1:$G$99999,5,FALSE)</f>
        <v>MOSES BRADLEY</v>
      </c>
      <c r="M40" s="6">
        <f>I40-F40</f>
        <v>2.6354166664532386E-2</v>
      </c>
      <c r="N40" s="7">
        <f>24*60*SUM($M40:$M40)</f>
        <v>37.949999996926636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-02-12T06:51:50-0700',mode:absolute,to:'2017-02-12T09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0" s="188" t="str">
        <f>IF(AA40&lt;IF(AG40="EC",23,5.65),"Y","N")</f>
        <v>N</v>
      </c>
      <c r="X40" s="188">
        <f>VALUE(LEFT(AD40,4))-VALUE(LEFT(AD39,4))</f>
        <v>1</v>
      </c>
      <c r="Y40" s="62">
        <f>RIGHT(D40,LEN(D40)-4)/10000</f>
        <v>23.2973</v>
      </c>
      <c r="Z40" s="62">
        <f>RIGHT(H40,LEN(H40)-4)/10000</f>
        <v>2.2499999999999999E-2</v>
      </c>
      <c r="AA40" s="62">
        <f>ABS(Z40-Y40)</f>
        <v>23.274799999999999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>IF(LEN(A40)=6,"0"&amp;A40,A40)</f>
        <v>0128-12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40" s="8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/stypes="app*4008*20170212*"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128-12 --locoid 4008 --swversion DE.1.0.8.0 --startMP 204:232973 --initTime 2017-02-12T07:51:50 --startdatetime 2017-02-12T07:56:22 --delay 1 --endMP 204:225 --enddatetime 2017-02-12T08:34:19 --enforcementcount 0 &gt;&gt;C:\Users\stu\Documents\GitHub\eaglep3-reporting\EC\2017-02-12-refined-times.txt</v>
      </c>
      <c r="AI40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{"issue":{"subject":"","project_id":79,"tracker_id":40,"status_id":1,"priority_id":2,"assigned_to_id":23,"start_date":"2017-02-12","description":"","custom_fields":[{"id":1,"name":"Subdivision","value":"EC"},{"id":4,"name":"Milepost","value":"0.0225"},{"id":17,"name":"Train ID","value":"128-12"},{"id":16,"name":"Locomotive ID","value":"4008"},{"id":130,"name":"Impact","value":""},{"id":150,"name":"Time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5"/>
        <v>start /low /b %USERPROFILE%\Documents\GitHub\eaglep3\Utilities\DownloadLogsFromS3.py --loco 4008 --day 2017-02-12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576</v>
      </c>
      <c r="B41" s="7">
        <v>4018</v>
      </c>
      <c r="C41" s="21" t="s">
        <v>193</v>
      </c>
      <c r="D41" s="21" t="s">
        <v>222</v>
      </c>
      <c r="E41" s="13">
        <v>42778.29859953704</v>
      </c>
      <c r="F41" s="13">
        <v>42778.302268518521</v>
      </c>
      <c r="G41" s="7">
        <v>1</v>
      </c>
      <c r="H41" s="21" t="s">
        <v>755</v>
      </c>
      <c r="I41" s="13">
        <v>42778.329525462963</v>
      </c>
      <c r="J41" s="7">
        <v>0</v>
      </c>
      <c r="K41" s="98" t="str">
        <f>IF(ISEVEN(B41),(B41-1)&amp;"/"&amp;B41,B41&amp;"/"&amp;(B41+1))</f>
        <v>4017/4018</v>
      </c>
      <c r="L41" s="21" t="str">
        <f>VLOOKUP(A41,'Trips&amp;Operators'!$C$1:$G$99999,5,FALSE)</f>
        <v>SHOOK JOHN</v>
      </c>
      <c r="M41" s="6">
        <f>I41-F41</f>
        <v>2.7256944442342501E-2</v>
      </c>
      <c r="N41" s="7">
        <f>24*60*SUM($M41:$M41)</f>
        <v>39.249999996973202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-02-12T06:09:59-0700',mode:absolute,to:'2017-02-12T08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188" t="str">
        <f>IF(AA41&lt;IF(AG41="EC",23,5.65),"Y","N")</f>
        <v>N</v>
      </c>
      <c r="X41" s="188">
        <f>VALUE(LEFT(AD41,4))-VALUE(LEFT(AD40,4))</f>
        <v>1</v>
      </c>
      <c r="Y41" s="62">
        <f>RIGHT(D41,LEN(D41)-4)/10000</f>
        <v>4.58E-2</v>
      </c>
      <c r="Z41" s="62">
        <f>RIGHT(H41,LEN(H41)-4)/10000</f>
        <v>23.328299999999999</v>
      </c>
      <c r="AA41" s="62">
        <f>ABS(Z41-Y41)</f>
        <v>23.282499999999999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>IF(LEN(A41)=6,"0"&amp;A41,A41)</f>
        <v>0129-12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41" s="8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/stypes="app*4018*20170212*"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129-12 --locoid 4018 --swversion DE.1.0.8.0 --startMP 204:458 --initTime 2017-02-12T07:09:59 --startdatetime 2017-02-12T07:15:16 --delay 1 --endMP 204:233283 --enddatetime 2017-02-12T07:54:31 --enforcementcount 0 &gt;&gt;C:\Users\stu\Documents\GitHub\eaglep3-reporting\EC\2017-02-12-refined-times.txt</v>
      </c>
      <c r="AI41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{"issue":{"subject":"","project_id":79,"tracker_id":40,"status_id":1,"priority_id":2,"assigned_to_id":23,"start_date":"2017-02-12","description":"","custom_fields":[{"id":1,"name":"Subdivision","value":"EC"},{"id":4,"name":"Milepost","value":"23.3283"},{"id":17,"name":"Train ID","value":"129-12"},{"id":16,"name":"Locomotive ID","value":"4018"},{"id":130,"name":"Impact","value":""},{"id":150,"name":"Time of Event (Mountain Time)","value":"07:54:31"},{"id":151,"name":"Denver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5"/>
        <v>start /low /b %USERPROFILE%\Documents\GitHub\eaglep3\Utilities\DownloadLogsFromS3.py --loco 4018 --day 2017-02-12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583</v>
      </c>
      <c r="B42" s="7">
        <v>4017</v>
      </c>
      <c r="C42" s="21" t="s">
        <v>193</v>
      </c>
      <c r="D42" s="21" t="s">
        <v>277</v>
      </c>
      <c r="E42" s="13">
        <v>42778.331643518519</v>
      </c>
      <c r="F42" s="13">
        <v>42778.341319444444</v>
      </c>
      <c r="G42" s="7">
        <v>0</v>
      </c>
      <c r="H42" s="21" t="s">
        <v>504</v>
      </c>
      <c r="I42" s="13">
        <v>42778.368611111109</v>
      </c>
      <c r="J42" s="7">
        <v>0</v>
      </c>
      <c r="K42" s="98" t="str">
        <f>IF(ISEVEN(B42),(B42-1)&amp;"/"&amp;B42,B42&amp;"/"&amp;(B42+1))</f>
        <v>4017/4018</v>
      </c>
      <c r="L42" s="21" t="str">
        <f>VLOOKUP(A42,'Trips&amp;Operators'!$C$1:$G$99999,5,FALSE)</f>
        <v>SHOOK JOHN</v>
      </c>
      <c r="M42" s="6">
        <f>I42-F42</f>
        <v>2.7291666665405501E-2</v>
      </c>
      <c r="N42" s="7">
        <f>24*60*SUM($M42:$M42)</f>
        <v>39.299999998183921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-02-12T06:57:34-0700',mode:absolute,to:'2017-02-12T09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188" t="str">
        <f>IF(AA42&lt;IF(AG42="EC",23,5.65),"Y","N")</f>
        <v>N</v>
      </c>
      <c r="X42" s="188">
        <f>VALUE(LEFT(AD42,4))-VALUE(LEFT(AD41,4))</f>
        <v>1</v>
      </c>
      <c r="Y42" s="62">
        <f>RIGHT(D42,LEN(D42)-4)/10000</f>
        <v>23.299399999999999</v>
      </c>
      <c r="Z42" s="62">
        <f>RIGHT(H42,LEN(H42)-4)/10000</f>
        <v>1.47E-2</v>
      </c>
      <c r="AA42" s="62">
        <f>ABS(Z42-Y42)</f>
        <v>23.284699999999997</v>
      </c>
      <c r="AB42" s="59" t="e">
        <f>VLOOKUP(A42,Enforcements!$C$7:$K$14,8,0)</f>
        <v>#N/A</v>
      </c>
      <c r="AC42" s="55" t="e">
        <f>VLOOKUP(A42,Enforcements!$C$7:$E$14,3,0)</f>
        <v>#N/A</v>
      </c>
      <c r="AD42" s="56" t="str">
        <f>IF(LEN(A42)=6,"0"&amp;A42,A42)</f>
        <v>0130-12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42" s="8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/stypes="app*4017*20170212*"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130-12 --locoid 4017 --swversion DE.1.0.8.0 --startMP 204:232994 --initTime 2017-02-12T07:57:34 --startdatetime 2017-02-12T08:11:30 --delay 0 --endMP 204:147 --enddatetime 2017-02-12T08:50:48 --enforcementcount 0 &gt;&gt;C:\Users\stu\Documents\GitHub\eaglep3-reporting\EC\2017-02-12-refined-times.txt</v>
      </c>
      <c r="AI42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{"issue":{"subject":"","project_id":79,"tracker_id":40,"status_id":1,"priority_id":2,"assigned_to_id":23,"start_date":"2017-02-12","description":"","custom_fields":[{"id":1,"name":"Subdivision","value":"EC"},{"id":4,"name":"Milepost","value":"0.0147"},{"id":17,"name":"Train ID","value":"130-12"},{"id":16,"name":"Locomotive ID","value":"4017"},{"id":130,"name":"Impact","value":""},{"id":150,"name":"Time of Event (Mountain Time)","value":"08:50:48"},{"id":151,"name":"Denver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5"/>
        <v>start /low /b %USERPROFILE%\Documents\GitHub\eaglep3\Utilities\DownloadLogsFromS3.py --loco 4017 --day 2017-02-12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"%USERPROFILE%\AppData\Local\Temp\OnboardLogs"\RTDC4017\*4017*20170212* | grep -SE "(Enforcement Action)|(\[TIMEOUT)|(CHR.+\|PRM\|1\|D.+(SWITCH|SIGNAL).+UNKNOWN)" - &gt;&gt; 2017-02-12-UncaughtWiMAX.txt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519</v>
      </c>
      <c r="B43" s="7">
        <v>4016</v>
      </c>
      <c r="C43" s="21" t="s">
        <v>193</v>
      </c>
      <c r="D43" s="21" t="s">
        <v>235</v>
      </c>
      <c r="E43" s="13">
        <v>42778.307534722226</v>
      </c>
      <c r="F43" s="13">
        <v>42778.312719907408</v>
      </c>
      <c r="G43" s="7">
        <v>1</v>
      </c>
      <c r="H43" s="21" t="s">
        <v>756</v>
      </c>
      <c r="I43" s="13">
        <v>42778.337256944447</v>
      </c>
      <c r="J43" s="7">
        <v>0</v>
      </c>
      <c r="K43" s="98" t="str">
        <f>IF(ISEVEN(B43),(B43-1)&amp;"/"&amp;B43,B43&amp;"/"&amp;(B43+1))</f>
        <v>4015/4016</v>
      </c>
      <c r="L43" s="21" t="str">
        <f>VLOOKUP(A43,'Trips&amp;Operators'!$C$1:$G$99999,5,FALSE)</f>
        <v>MAELZER KURT</v>
      </c>
      <c r="M43" s="6">
        <f>I43-F43</f>
        <v>2.453703703940846E-2</v>
      </c>
      <c r="N43" s="7">
        <f>24*60*SUM($M43:$M43)</f>
        <v>35.333333336748183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-02-12T06:22:51-0700',mode:absolute,to:'2017-02-12T09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88" t="str">
        <f>IF(AA43&lt;IF(AG43="EC",23,5.65),"Y","N")</f>
        <v>N</v>
      </c>
      <c r="X43" s="188">
        <f>VALUE(LEFT(AD43,4))-VALUE(LEFT(AD42,4))</f>
        <v>1</v>
      </c>
      <c r="Y43" s="62">
        <f>RIGHT(D43,LEN(D43)-4)/10000</f>
        <v>4.5100000000000001E-2</v>
      </c>
      <c r="Z43" s="62">
        <f>RIGHT(H43,LEN(H43)-4)/10000</f>
        <v>23.325900000000001</v>
      </c>
      <c r="AA43" s="62">
        <f>ABS(Z43-Y43)</f>
        <v>23.280799999999999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>IF(LEN(A43)=6,"0"&amp;A43,A43)</f>
        <v>0131-12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43" s="8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/stypes="app*4016*20170212*"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131-12 --locoid 4016 --swversion DE.1.0.8.0 --startMP 204:451 --initTime 2017-02-12T07:22:51 --startdatetime 2017-02-12T07:30:19 --delay 1 --endMP 204:233259 --enddatetime 2017-02-12T08:05:39 --enforcementcount 0 &gt;&gt;C:\Users\stu\Documents\GitHub\eaglep3-reporting\EC\2017-02-12-refined-times.txt</v>
      </c>
      <c r="AI43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{"issue":{"subject":"","project_id":79,"tracker_id":40,"status_id":1,"priority_id":2,"assigned_to_id":23,"start_date":"2017-02-12","description":"","custom_fields":[{"id":1,"name":"Subdivision","value":"EC"},{"id":4,"name":"Milepost","value":"23.3259"},{"id":17,"name":"Train ID","value":"131-12"},{"id":16,"name":"Locomotive ID","value":"4016"},{"id":130,"name":"Impact","value":""},{"id":150,"name":"Time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5"/>
        <v>start /low /b %USERPROFILE%\Documents\GitHub\eaglep3\Utilities\DownloadLogsFromS3.py --loco 4016 --day 2017-02-12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"%USERPROFILE%\AppData\Local\Temp\OnboardLogs"\RTDC4016\*4016*20170212* | grep -SE "(Enforcement Action)|(\[TIMEOUT)|(CHR.+\|PRM\|1\|D.+(SWITCH|SIGNAL).+UNKNOWN)" - &gt;&gt; 2017-02-12-UncaughtWiMAX.txt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586</v>
      </c>
      <c r="B44" s="7">
        <v>4015</v>
      </c>
      <c r="C44" s="21" t="s">
        <v>193</v>
      </c>
      <c r="D44" s="21" t="s">
        <v>757</v>
      </c>
      <c r="E44" s="13">
        <v>42778.350335648145</v>
      </c>
      <c r="F44" s="13">
        <v>42778.352048611108</v>
      </c>
      <c r="G44" s="7">
        <v>1</v>
      </c>
      <c r="H44" s="21" t="s">
        <v>195</v>
      </c>
      <c r="I44" s="13">
        <v>42778.378530092596</v>
      </c>
      <c r="J44" s="7">
        <v>0</v>
      </c>
      <c r="K44" s="98" t="str">
        <f>IF(ISEVEN(B44),(B44-1)&amp;"/"&amp;B44,B44&amp;"/"&amp;(B44+1))</f>
        <v>4015/4016</v>
      </c>
      <c r="L44" s="21" t="str">
        <f>VLOOKUP(A44,'Trips&amp;Operators'!$C$1:$G$99999,5,FALSE)</f>
        <v>MAELZER KURT</v>
      </c>
      <c r="M44" s="6">
        <f>I44-F44</f>
        <v>2.6481481487280689E-2</v>
      </c>
      <c r="N44" s="7">
        <f>24*60*SUM($M44:$M44)</f>
        <v>38.133333341684192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-02-12T07:24:29-0700',mode:absolute,to:'2017-02-12T10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188" t="str">
        <f>IF(AA44&lt;IF(AG44="EC",23,5.65),"Y","N")</f>
        <v>N</v>
      </c>
      <c r="X44" s="188">
        <f>VALUE(LEFT(AD44,4))-VALUE(LEFT(AD43,4))</f>
        <v>1</v>
      </c>
      <c r="Y44" s="62">
        <f>RIGHT(D44,LEN(D44)-4)/10000</f>
        <v>23.294599999999999</v>
      </c>
      <c r="Z44" s="62">
        <f>RIGHT(H44,LEN(H44)-4)/10000</f>
        <v>1.4999999999999999E-2</v>
      </c>
      <c r="AA44" s="62">
        <f>ABS(Z44-Y44)</f>
        <v>23.279599999999999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>IF(LEN(A44)=6,"0"&amp;A44,A44)</f>
        <v>0132-12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 &amp; 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</v>
      </c>
      <c r="AF44" s="8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/stypes="app*4015*20170212*"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132-12 --locoid 4015 --swversion DE.1.0.8.0 --startMP 204:232946 --initTime 2017-02-12T08:24:29 --startdatetime 2017-02-12T08:26:57 --delay 1 --endMP 204:150 --enddatetime 2017-02-12T09:05:05 --enforcementcount 0 &gt;&gt;C:\Users\stu\Documents\GitHub\eaglep3-reporting\EC\2017-02-12-refined-times.txt</v>
      </c>
      <c r="AI44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{"issue":{"subject":"","project_id":79,"tracker_id":40,"status_id":1,"priority_id":2,"assigned_to_id":23,"start_date":"2017-02-12","description":"","custom_fields":[{"id":1,"name":"Subdivision","value":"EC"},{"id":4,"name":"Milepost","value":"0.015"},{"id":17,"name":"Train ID","value":"132-12"},{"id":16,"name":"Locomotive ID","value":"4015"},{"id":130,"name":"Impact","value":""},{"id":150,"name":"Time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5"/>
        <v>start /low /b %USERPROFILE%\Documents\GitHub\eaglep3\Utilities\DownloadLogsFromS3.py --loco 4015 --day 2017-02-12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"%USERPROFILE%\AppData\Local\Temp\OnboardLogs"\RTDC4015\*4015*20170212* | grep -SE "(Enforcement Action)|(\[TIMEOUT)|(CHR.+\|PRM\|1\|D.+(SWITCH|SIGNAL).+UNKNOWN)" - &gt;&gt; 2017-02-12-UncaughtWiMAX.txt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580</v>
      </c>
      <c r="B45" s="7">
        <v>4038</v>
      </c>
      <c r="C45" s="21" t="s">
        <v>193</v>
      </c>
      <c r="D45" s="21" t="s">
        <v>758</v>
      </c>
      <c r="E45" s="13">
        <v>42778.318993055553</v>
      </c>
      <c r="F45" s="13">
        <v>42778.32309027778</v>
      </c>
      <c r="G45" s="7">
        <v>1</v>
      </c>
      <c r="H45" s="21" t="s">
        <v>294</v>
      </c>
      <c r="I45" s="13">
        <v>42778.349178240744</v>
      </c>
      <c r="J45" s="7">
        <v>0</v>
      </c>
      <c r="K45" s="98" t="str">
        <f>IF(ISEVEN(B45),(B45-1)&amp;"/"&amp;B45,B45&amp;"/"&amp;(B45+1))</f>
        <v>4037/4038</v>
      </c>
      <c r="L45" s="21" t="str">
        <f>VLOOKUP(A45,'Trips&amp;Operators'!$C$1:$G$99999,5,FALSE)</f>
        <v>BADERTSCHER DIANE</v>
      </c>
      <c r="M45" s="6">
        <f>I45-F45</f>
        <v>2.6087962964083999E-2</v>
      </c>
      <c r="N45" s="7">
        <f>24*60*SUM($M45:$M45)</f>
        <v>37.566666668280959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-02-12T06:39:21-0700',mode:absolute,to:'2017-02-12T09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5" s="188" t="str">
        <f>IF(AA45&lt;IF(AG45="EC",23,5.65),"Y","N")</f>
        <v>N</v>
      </c>
      <c r="X45" s="188">
        <f>VALUE(LEFT(AD45,4))-VALUE(LEFT(AD44,4))</f>
        <v>1</v>
      </c>
      <c r="Y45" s="62">
        <f>RIGHT(D45,LEN(D45)-4)/10000</f>
        <v>4.3499999999999997E-2</v>
      </c>
      <c r="Z45" s="62">
        <f>RIGHT(H45,LEN(H45)-4)/10000</f>
        <v>23.3308</v>
      </c>
      <c r="AA45" s="62">
        <f>ABS(Z45-Y45)</f>
        <v>23.287299999999998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>IF(LEN(A45)=6,"0"&amp;A45,A45)</f>
        <v>0133-12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45" s="8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/stypes="app*4038*20170212*"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133-12 --locoid 4038 --swversion DE.1.0.8.0 --startMP 204:435 --initTime 2017-02-12T07:39:21 --startdatetime 2017-02-12T07:45:15 --delay 1 --endMP 204:233308 --enddatetime 2017-02-12T08:22:49 --enforcementcount 0 &gt;&gt;C:\Users\stu\Documents\GitHub\eaglep3-reporting\EC\2017-02-12-refined-times.txt</v>
      </c>
      <c r="AI45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{"issue":{"subject":"","project_id":79,"tracker_id":40,"status_id":1,"priority_id":2,"assigned_to_id":23,"start_date":"2017-02-12","description":"","custom_fields":[{"id":1,"name":"Subdivision","value":"EC"},{"id":4,"name":"Milepost","value":"23.3308"},{"id":17,"name":"Train ID","value":"133-12"},{"id":16,"name":"Locomotive ID","value":"4038"},{"id":130,"name":"Impact","value":""},{"id":150,"name":"Time of Event (Mountain Time)","value":"08:22:49"},{"id":151,"name":"Denver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5"/>
        <v>start /low /b %USERPROFILE%\Documents\GitHub\eaglep3\Utilities\DownloadLogsFromS3.py --loco 4038 --day 2017-02-12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587</v>
      </c>
      <c r="B46" s="7">
        <v>4037</v>
      </c>
      <c r="C46" s="21" t="s">
        <v>193</v>
      </c>
      <c r="D46" s="21" t="s">
        <v>353</v>
      </c>
      <c r="E46" s="13">
        <v>42778.357083333336</v>
      </c>
      <c r="F46" s="13">
        <v>42778.361967592595</v>
      </c>
      <c r="G46" s="7">
        <v>1</v>
      </c>
      <c r="H46" s="21" t="s">
        <v>210</v>
      </c>
      <c r="I46" s="13">
        <v>42778.388865740744</v>
      </c>
      <c r="J46" s="7">
        <v>0</v>
      </c>
      <c r="K46" s="98" t="str">
        <f>IF(ISEVEN(B46),(B46-1)&amp;"/"&amp;B46,B46&amp;"/"&amp;(B46+1))</f>
        <v>4037/4038</v>
      </c>
      <c r="L46" s="21" t="str">
        <f>VLOOKUP(A46,'Trips&amp;Operators'!$C$1:$G$99999,5,FALSE)</f>
        <v>BADERTSCHER DIANE</v>
      </c>
      <c r="M46" s="6">
        <f>I46-F46</f>
        <v>2.6898148149484769E-2</v>
      </c>
      <c r="N46" s="7">
        <f>24*60*SUM($M46:$M46)</f>
        <v>38.733333335258067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-02-12T07:34:12-0700',mode:absolute,to:'2017-02-12T10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6" s="188" t="str">
        <f>IF(AA46&lt;IF(AG46="EC",23,5.65),"Y","N")</f>
        <v>N</v>
      </c>
      <c r="X46" s="188">
        <f>VALUE(LEFT(AD46,4))-VALUE(LEFT(AD45,4))</f>
        <v>1</v>
      </c>
      <c r="Y46" s="62">
        <f>RIGHT(D46,LEN(D46)-4)/10000</f>
        <v>23.299600000000002</v>
      </c>
      <c r="Z46" s="62">
        <f>RIGHT(H46,LEN(H46)-4)/10000</f>
        <v>1.5800000000000002E-2</v>
      </c>
      <c r="AA46" s="62">
        <f>ABS(Z46-Y46)</f>
        <v>23.283800000000003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>IF(LEN(A46)=6,"0"&amp;A46,A46)</f>
        <v>0134-12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46" s="8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/stypes="app*4037*20170212*"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134-12 --locoid 4037 --swversion DE.1.0.8.0 --startMP 204:232996 --initTime 2017-02-12T08:34:12 --startdatetime 2017-02-12T08:41:14 --delay 1 --endMP 204:158 --enddatetime 2017-02-12T09:19:58 --enforcementcount 0 &gt;&gt;C:\Users\stu\Documents\GitHub\eaglep3-reporting\EC\2017-02-12-refined-times.txt</v>
      </c>
      <c r="AI46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{"issue":{"subject":"","project_id":79,"tracker_id":40,"status_id":1,"priority_id":2,"assigned_to_id":23,"start_date":"2017-02-12","description":"","custom_fields":[{"id":1,"name":"Subdivision","value":"EC"},{"id":4,"name":"Milepost","value":"0.0158"},{"id":17,"name":"Train ID","value":"134-12"},{"id":16,"name":"Locomotive ID","value":"4037"},{"id":130,"name":"Impact","value":""},{"id":150,"name":"Time of Event (Mountain Time)","value":"09:19:58"},{"id":151,"name":"Denver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5"/>
        <v>start /low /b %USERPROFILE%\Documents\GitHub\eaglep3\Utilities\DownloadLogsFromS3.py --loco 4037 --day 2017-02-12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"%USERPROFILE%\AppData\Local\Temp\OnboardLogs"\RTDC4037\*4037*20170212* | grep -SE "(Enforcement Action)|(\[TIMEOUT)|(CHR.+\|PRM\|1\|D.+(SWITCH|SIGNAL).+UNKNOWN)" - &gt;&gt; 2017-02-12-UncaughtWiMAX.txt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581</v>
      </c>
      <c r="B47" s="7">
        <v>4029</v>
      </c>
      <c r="C47" s="21" t="s">
        <v>193</v>
      </c>
      <c r="D47" s="21" t="s">
        <v>239</v>
      </c>
      <c r="E47" s="13">
        <v>42778.329699074071</v>
      </c>
      <c r="F47" s="13">
        <v>42778.333506944444</v>
      </c>
      <c r="G47" s="7">
        <v>1</v>
      </c>
      <c r="H47" s="21" t="s">
        <v>499</v>
      </c>
      <c r="I47" s="13">
        <v>42778.358761574076</v>
      </c>
      <c r="J47" s="7">
        <v>0</v>
      </c>
      <c r="K47" s="98" t="str">
        <f>IF(ISEVEN(B47),(B47-1)&amp;"/"&amp;B47,B47&amp;"/"&amp;(B47+1))</f>
        <v>4029/4030</v>
      </c>
      <c r="L47" s="21" t="str">
        <f>VLOOKUP(A47,'Trips&amp;Operators'!$C$1:$G$99999,5,FALSE)</f>
        <v>DAVIS WENDY</v>
      </c>
      <c r="M47" s="6">
        <f>I47-F47</f>
        <v>2.5254629632399883E-2</v>
      </c>
      <c r="N47" s="7">
        <f>24*60*SUM($M47:$M47)</f>
        <v>36.366666670655832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-02-12T06:54:46-0700',mode:absolute,to:'2017-02-12T09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188" t="str">
        <f>IF(AA47&lt;IF(AG47="EC",23,5.65),"Y","N")</f>
        <v>N</v>
      </c>
      <c r="X47" s="188">
        <f>VALUE(LEFT(AD47,4))-VALUE(LEFT(AD46,4))</f>
        <v>1</v>
      </c>
      <c r="Y47" s="62">
        <f>RIGHT(D47,LEN(D47)-4)/10000</f>
        <v>4.5999999999999999E-2</v>
      </c>
      <c r="Z47" s="62">
        <f>RIGHT(H47,LEN(H47)-4)/10000</f>
        <v>23.328900000000001</v>
      </c>
      <c r="AA47" s="62">
        <f>ABS(Z47-Y47)</f>
        <v>23.282900000000001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>IF(LEN(A47)=6,"0"&amp;A47,A47)</f>
        <v>0135-12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47" s="8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/stypes="app*4029*20170212*"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135-12 --locoid 4029 --swversion DE.1.0.8.0 --startMP 204:460 --initTime 2017-02-12T07:54:46 --startdatetime 2017-02-12T08:00:15 --delay 1 --endMP 204:233289 --enddatetime 2017-02-12T08:36:37 --enforcementcount 0 &gt;&gt;C:\Users\stu\Documents\GitHub\eaglep3-reporting\EC\2017-02-12-refined-times.txt</v>
      </c>
      <c r="AI47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{"issue":{"subject":"","project_id":79,"tracker_id":40,"status_id":1,"priority_id":2,"assigned_to_id":23,"start_date":"2017-02-12","description":"","custom_fields":[{"id":1,"name":"Subdivision","value":"EC"},{"id":4,"name":"Milepost","value":"23.3289"},{"id":17,"name":"Train ID","value":"135-12"},{"id":16,"name":"Locomotive ID","value":"4029"},{"id":130,"name":"Impact","value":""},{"id":150,"name":"Time of Event (Mountain Time)","value":"08:36:37"},{"id":151,"name":"Denver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5"/>
        <v>start /low /b %USERPROFILE%\Documents\GitHub\eaglep3\Utilities\DownloadLogsFromS3.py --loco 4029 --day 2017-02-12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591</v>
      </c>
      <c r="B48" s="7">
        <v>4030</v>
      </c>
      <c r="C48" s="21" t="s">
        <v>193</v>
      </c>
      <c r="D48" s="21" t="s">
        <v>446</v>
      </c>
      <c r="E48" s="13">
        <v>42778.371168981481</v>
      </c>
      <c r="F48" s="13">
        <v>42778.372442129628</v>
      </c>
      <c r="G48" s="7">
        <v>1</v>
      </c>
      <c r="H48" s="21" t="s">
        <v>490</v>
      </c>
      <c r="I48" s="13">
        <v>42778.400694444441</v>
      </c>
      <c r="J48" s="7">
        <v>0</v>
      </c>
      <c r="K48" s="98" t="str">
        <f>IF(ISEVEN(B48),(B48-1)&amp;"/"&amp;B48,B48&amp;"/"&amp;(B48+1))</f>
        <v>4029/4030</v>
      </c>
      <c r="L48" s="21" t="str">
        <f>VLOOKUP(A48,'Trips&amp;Operators'!$C$1:$G$99999,5,FALSE)</f>
        <v>DAVIS WENDY</v>
      </c>
      <c r="M48" s="6">
        <f>I48-F48</f>
        <v>2.8252314812561963E-2</v>
      </c>
      <c r="N48" s="7">
        <f>24*60*SUM($M48:$M48)</f>
        <v>40.683333330089226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-02-12T07:54:29-0700',mode:absolute,to:'2017-02-12T10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88" t="str">
        <f>IF(AA48&lt;IF(AG48="EC",23,5.65),"Y","N")</f>
        <v>N</v>
      </c>
      <c r="X48" s="188">
        <f>VALUE(LEFT(AD48,4))-VALUE(LEFT(AD47,4))</f>
        <v>1</v>
      </c>
      <c r="Y48" s="62">
        <f>RIGHT(D48,LEN(D48)-4)/10000</f>
        <v>23.296099999999999</v>
      </c>
      <c r="Z48" s="62">
        <f>RIGHT(H48,LEN(H48)-4)/10000</f>
        <v>1.5599999999999999E-2</v>
      </c>
      <c r="AA48" s="62">
        <f>ABS(Z48-Y48)</f>
        <v>23.2805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>IF(LEN(A48)=6,"0"&amp;A48,A48)</f>
        <v>0136-12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48" s="8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/stypes="app*4030*20170212*"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136-12 --locoid 4030 --swversion DE.1.0.8.0 --startMP 204:232961 --initTime 2017-02-12T08:54:29 --startdatetime 2017-02-12T08:56:19 --delay 1 --endMP 204:156 --enddatetime 2017-02-12T09:37:00 --enforcementcount 0 &gt;&gt;C:\Users\stu\Documents\GitHub\eaglep3-reporting\EC\2017-02-12-refined-times.txt</v>
      </c>
      <c r="AI48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{"issue":{"subject":"","project_id":79,"tracker_id":40,"status_id":1,"priority_id":2,"assigned_to_id":23,"start_date":"2017-02-12","description":"","custom_fields":[{"id":1,"name":"Subdivision","value":"EC"},{"id":4,"name":"Milepost","value":"0.0156"},{"id":17,"name":"Train ID","value":"136-12"},{"id":16,"name":"Locomotive ID","value":"4030"},{"id":130,"name":"Impact","value":""},{"id":150,"name":"Time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5"/>
        <v>start /low /b %USERPROFILE%\Documents\GitHub\eaglep3\Utilities\DownloadLogsFromS3.py --loco 4030 --day 2017-02-12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584</v>
      </c>
      <c r="B49" s="7">
        <v>4031</v>
      </c>
      <c r="C49" s="21" t="s">
        <v>193</v>
      </c>
      <c r="D49" s="21" t="s">
        <v>742</v>
      </c>
      <c r="E49" s="13">
        <v>42778.33934027778</v>
      </c>
      <c r="F49" s="13">
        <v>42778.343923611108</v>
      </c>
      <c r="G49" s="7">
        <v>0</v>
      </c>
      <c r="H49" s="21" t="s">
        <v>759</v>
      </c>
      <c r="I49" s="13">
        <v>42778.369803240741</v>
      </c>
      <c r="J49" s="7">
        <v>0</v>
      </c>
      <c r="K49" s="98" t="str">
        <f>IF(ISEVEN(B49),(B49-1)&amp;"/"&amp;B49,B49&amp;"/"&amp;(B49+1))</f>
        <v>4031/4032</v>
      </c>
      <c r="L49" s="21" t="str">
        <f>VLOOKUP(A49,'Trips&amp;Operators'!$C$1:$G$99999,5,FALSE)</f>
        <v>ROBINSON KADDIBA</v>
      </c>
      <c r="M49" s="6">
        <f>I49-F49</f>
        <v>2.587962963298196E-2</v>
      </c>
      <c r="N49" s="7">
        <f>24*60*SUM($M49:$M49)</f>
        <v>37.266666671494022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-02-12T07:08:39-0700',mode:absolute,to:'2017-02-12T09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9" s="188" t="str">
        <f>IF(AA49&lt;IF(AG49="EC",23,5.65),"Y","N")</f>
        <v>N</v>
      </c>
      <c r="X49" s="188">
        <f>VALUE(LEFT(AD49,4))-VALUE(LEFT(AD48,4))</f>
        <v>1</v>
      </c>
      <c r="Y49" s="62">
        <f>RIGHT(D49,LEN(D49)-4)/10000</f>
        <v>4.7699999999999999E-2</v>
      </c>
      <c r="Z49" s="62">
        <f>RIGHT(H49,LEN(H49)-4)/10000</f>
        <v>23.331700000000001</v>
      </c>
      <c r="AA49" s="62">
        <f>ABS(Z49-Y49)</f>
        <v>23.284000000000002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>IF(LEN(A49)=6,"0"&amp;A49,A49)</f>
        <v>0137-12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49" s="8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/stypes="app*4031*20170212*"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137-12 --locoid 4031 --swversion DE.1.0.8.0 --startMP 204:477 --initTime 2017-02-12T08:08:39 --startdatetime 2017-02-12T08:15:15 --delay 0 --endMP 204:233317 --enddatetime 2017-02-12T08:52:31 --enforcementcount 0 &gt;&gt;C:\Users\stu\Documents\GitHub\eaglep3-reporting\EC\2017-02-12-refined-times.txt</v>
      </c>
      <c r="AI49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{"issue":{"subject":"","project_id":79,"tracker_id":40,"status_id":1,"priority_id":2,"assigned_to_id":23,"start_date":"2017-02-12","description":"","custom_fields":[{"id":1,"name":"Subdivision","value":"EC"},{"id":4,"name":"Milepost","value":"23.3317"},{"id":17,"name":"Train ID","value":"137-12"},{"id":16,"name":"Locomotive ID","value":"4031"},{"id":130,"name":"Impact","value":""},{"id":150,"name":"Time of Event (Mountain Time)","value":"08:52:31"},{"id":151,"name":"Denver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5"/>
        <v>start /low /b %USERPROFILE%\Documents\GitHub\eaglep3\Utilities\DownloadLogsFromS3.py --loco 4031 --day 2017-02-12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594</v>
      </c>
      <c r="B50" s="7">
        <v>4032</v>
      </c>
      <c r="C50" s="21" t="s">
        <v>193</v>
      </c>
      <c r="D50" s="21" t="s">
        <v>760</v>
      </c>
      <c r="E50" s="13">
        <v>42778.380023148151</v>
      </c>
      <c r="F50" s="13">
        <v>42778.382800925923</v>
      </c>
      <c r="G50" s="7">
        <v>1</v>
      </c>
      <c r="H50" s="21" t="s">
        <v>221</v>
      </c>
      <c r="I50" s="13">
        <v>42778.408807870372</v>
      </c>
      <c r="J50" s="7">
        <v>0</v>
      </c>
      <c r="K50" s="98" t="str">
        <f>IF(ISEVEN(B50),(B50-1)&amp;"/"&amp;B50,B50&amp;"/"&amp;(B50+1))</f>
        <v>4031/4032</v>
      </c>
      <c r="L50" s="21" t="str">
        <f>VLOOKUP(A50,'Trips&amp;Operators'!$C$1:$G$99999,5,FALSE)</f>
        <v>ROBINSON KADDIBA</v>
      </c>
      <c r="M50" s="6">
        <f>I50-F50</f>
        <v>2.6006944448454306E-2</v>
      </c>
      <c r="N50" s="7">
        <f>24*60*SUM($M50:$M50)</f>
        <v>37.4500000057742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-02-12T08:07:14-0700',mode:absolute,to:'2017-02-12T10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188" t="str">
        <f>IF(AA50&lt;IF(AG50="EC",23,5.65),"Y","N")</f>
        <v>N</v>
      </c>
      <c r="X50" s="188">
        <f>VALUE(LEFT(AD50,4))-VALUE(LEFT(AD49,4))</f>
        <v>1</v>
      </c>
      <c r="Y50" s="62">
        <f>RIGHT(D50,LEN(D50)-4)/10000</f>
        <v>23.301100000000002</v>
      </c>
      <c r="Z50" s="62">
        <f>RIGHT(H50,LEN(H50)-4)/10000</f>
        <v>1.54E-2</v>
      </c>
      <c r="AA50" s="62">
        <f>ABS(Z50-Y50)</f>
        <v>23.285700000000002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>IF(LEN(A50)=6,"0"&amp;A50,A50)</f>
        <v>0138-12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50" s="8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/stypes="app*4032*20170212*"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138-12 --locoid 4032 --swversion DE.1.0.8.0 --startMP 204:233011 --initTime 2017-02-12T09:07:14 --startdatetime 2017-02-12T09:11:14 --delay 1 --endMP 204:154 --enddatetime 2017-02-12T09:48:41 --enforcementcount 0 &gt;&gt;C:\Users\stu\Documents\GitHub\eaglep3-reporting\EC\2017-02-12-refined-times.txt</v>
      </c>
      <c r="AI50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{"issue":{"subject":"","project_id":79,"tracker_id":40,"status_id":1,"priority_id":2,"assigned_to_id":23,"start_date":"2017-02-12","description":"","custom_fields":[{"id":1,"name":"Subdivision","value":"EC"},{"id":4,"name":"Milepost","value":"0.0154"},{"id":17,"name":"Train ID","value":"138-12"},{"id":16,"name":"Locomotive ID","value":"4032"},{"id":130,"name":"Impact","value":""},{"id":150,"name":"Time of Event (Mountain Time)","value":"09:48:41"},{"id":151,"name":"Denver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5"/>
        <v>start /low /b %USERPROFILE%\Documents\GitHub\eaglep3\Utilities\DownloadLogsFromS3.py --loco 4032 --day 2017-02-12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585</v>
      </c>
      <c r="B51" s="7">
        <v>4009</v>
      </c>
      <c r="C51" s="21" t="s">
        <v>193</v>
      </c>
      <c r="D51" s="21" t="s">
        <v>761</v>
      </c>
      <c r="E51" s="13">
        <v>42778.342037037037</v>
      </c>
      <c r="F51" s="13">
        <v>42778.35527777778</v>
      </c>
      <c r="G51" s="7">
        <v>13</v>
      </c>
      <c r="H51" s="21" t="s">
        <v>354</v>
      </c>
      <c r="I51" s="13">
        <v>42778.379050925927</v>
      </c>
      <c r="J51" s="7">
        <v>0</v>
      </c>
      <c r="K51" s="98" t="str">
        <f>IF(ISEVEN(B51),(B51-1)&amp;"/"&amp;B51,B51&amp;"/"&amp;(B51+1))</f>
        <v>4009/4010</v>
      </c>
      <c r="L51" s="21" t="str">
        <f>VLOOKUP(A51,'Trips&amp;Operators'!$C$1:$G$99999,5,FALSE)</f>
        <v>GEBRETEKLE DAGNEW</v>
      </c>
      <c r="M51" s="6">
        <f>I51-F51</f>
        <v>2.3773148146574385E-2</v>
      </c>
      <c r="N51" s="7">
        <f>24*60*SUM($M51:$M51)</f>
        <v>34.233333331067115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-02-12T07:12:32-0700',mode:absolute,to:'2017-02-12T10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1" s="188" t="str">
        <f>IF(AA51&lt;IF(AG51="EC",23,5.65),"Y","N")</f>
        <v>N</v>
      </c>
      <c r="X51" s="188">
        <f>VALUE(LEFT(AD51,4))-VALUE(LEFT(AD50,4))</f>
        <v>1</v>
      </c>
      <c r="Y51" s="62">
        <f>RIGHT(D51,LEN(D51)-4)/10000</f>
        <v>0.14829999999999999</v>
      </c>
      <c r="Z51" s="62">
        <f>RIGHT(H51,LEN(H51)-4)/10000</f>
        <v>23.331199999999999</v>
      </c>
      <c r="AA51" s="62">
        <f>ABS(Z51-Y51)</f>
        <v>23.1829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>IF(LEN(A51)=6,"0"&amp;A51,A51)</f>
        <v>0139-12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51" s="8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/stypes="app*4009*20170212*"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139-12 --locoid 4009 --swversion DE.1.0.8.0 --startMP 204:1483 --initTime 2017-02-12T08:12:32 --startdatetime 2017-02-12T08:31:36 --delay 13 --endMP 204:233312 --enddatetime 2017-02-12T09:05:50 --enforcementcount 0 &gt;&gt;C:\Users\stu\Documents\GitHub\eaglep3-reporting\EC\2017-02-12-refined-times.txt</v>
      </c>
      <c r="AI51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{"issue":{"subject":"","project_id":79,"tracker_id":40,"status_id":1,"priority_id":2,"assigned_to_id":23,"start_date":"2017-02-12","description":"","custom_fields":[{"id":1,"name":"Subdivision","value":"EC"},{"id":4,"name":"Milepost","value":"23.3312"},{"id":17,"name":"Train ID","value":"139-12"},{"id":16,"name":"Locomotive ID","value":"4009"},{"id":130,"name":"Impact","value":""},{"id":150,"name":"Time of Event (Mountain Time)","value":"09:05:50"},{"id":151,"name":"Denver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5"/>
        <v>start /low /b %USERPROFILE%\Documents\GitHub\eaglep3\Utilities\DownloadLogsFromS3.py --loco 4009 --day 2017-02-12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595</v>
      </c>
      <c r="B52" s="7">
        <v>4010</v>
      </c>
      <c r="C52" s="21" t="s">
        <v>193</v>
      </c>
      <c r="D52" s="21" t="s">
        <v>359</v>
      </c>
      <c r="E52" s="13">
        <v>42778.386793981481</v>
      </c>
      <c r="F52" s="13">
        <v>42778.393321759257</v>
      </c>
      <c r="G52" s="7">
        <v>2</v>
      </c>
      <c r="H52" s="21" t="s">
        <v>490</v>
      </c>
      <c r="I52" s="13">
        <v>42778.419641203705</v>
      </c>
      <c r="J52" s="7">
        <v>0</v>
      </c>
      <c r="K52" s="98" t="str">
        <f>IF(ISEVEN(B52),(B52-1)&amp;"/"&amp;B52,B52&amp;"/"&amp;(B52+1))</f>
        <v>4009/4010</v>
      </c>
      <c r="L52" s="21" t="str">
        <f>VLOOKUP(A52,'Trips&amp;Operators'!$C$1:$G$99999,5,FALSE)</f>
        <v>GEBRETEKLE DAGNEW</v>
      </c>
      <c r="M52" s="6">
        <f>I52-F52</f>
        <v>2.6319444448745344E-2</v>
      </c>
      <c r="N52" s="7">
        <f>24*60*SUM($M52:$M52)</f>
        <v>37.900000006193295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-02-12T08:16:59-0700',mode:absolute,to:'2017-02-12T11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188" t="str">
        <f>IF(AA52&lt;IF(AG52="EC",23,5.65),"Y","N")</f>
        <v>N</v>
      </c>
      <c r="X52" s="188">
        <f>VALUE(LEFT(AD52,4))-VALUE(LEFT(AD51,4))</f>
        <v>1</v>
      </c>
      <c r="Y52" s="62">
        <f>RIGHT(D52,LEN(D52)-4)/10000</f>
        <v>23.2986</v>
      </c>
      <c r="Z52" s="62">
        <f>RIGHT(H52,LEN(H52)-4)/10000</f>
        <v>1.5599999999999999E-2</v>
      </c>
      <c r="AA52" s="62">
        <f>ABS(Z52-Y52)</f>
        <v>23.283000000000001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>IF(LEN(A52)=6,"0"&amp;A52,A52)</f>
        <v>0140-12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52" s="8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/stypes="app*4010*20170212*"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140-12 --locoid 4010 --swversion DE.1.0.8.0 --startMP 204:232986 --initTime 2017-02-12T09:16:59 --startdatetime 2017-02-12T09:26:23 --delay 2 --endMP 204:156 --enddatetime 2017-02-12T10:04:17 --enforcementcount 0 &gt;&gt;C:\Users\stu\Documents\GitHub\eaglep3-reporting\EC\2017-02-12-refined-times.txt</v>
      </c>
      <c r="AI52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{"issue":{"subject":"","project_id":79,"tracker_id":40,"status_id":1,"priority_id":2,"assigned_to_id":23,"start_date":"2017-02-12","description":"","custom_fields":[{"id":1,"name":"Subdivision","value":"EC"},{"id":4,"name":"Milepost","value":"0.0156"},{"id":17,"name":"Train ID","value":"140-12"},{"id":16,"name":"Locomotive ID","value":"4010"},{"id":130,"name":"Impact","value":""},{"id":150,"name":"Time of Event (Mountain Time)","value":"10:04:17"},{"id":151,"name":"Denver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5"/>
        <v>start /low /b %USERPROFILE%\Documents\GitHub\eaglep3\Utilities\DownloadLogsFromS3.py --loco 4010 --day 2017-02-12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589</v>
      </c>
      <c r="B53" s="7">
        <v>4007</v>
      </c>
      <c r="C53" s="21" t="s">
        <v>193</v>
      </c>
      <c r="D53" s="21" t="s">
        <v>762</v>
      </c>
      <c r="E53" s="13">
        <v>42778.362013888887</v>
      </c>
      <c r="F53" s="13">
        <v>42778.364942129629</v>
      </c>
      <c r="G53" s="7">
        <v>1</v>
      </c>
      <c r="H53" s="21" t="s">
        <v>445</v>
      </c>
      <c r="I53" s="13">
        <v>42778.390393518515</v>
      </c>
      <c r="J53" s="7">
        <v>0</v>
      </c>
      <c r="K53" s="98" t="str">
        <f>IF(ISEVEN(B53),(B53-1)&amp;"/"&amp;B53,B53&amp;"/"&amp;(B53+1))</f>
        <v>4007/4008</v>
      </c>
      <c r="L53" s="21" t="str">
        <f>VLOOKUP(A53,'Trips&amp;Operators'!$C$1:$G$99999,5,FALSE)</f>
        <v>MOSES BRADLEY</v>
      </c>
      <c r="M53" s="6">
        <f>I53-F53</f>
        <v>2.545138888672227E-2</v>
      </c>
      <c r="N53" s="7">
        <f>24*60*SUM($M53:$M53)</f>
        <v>36.649999996880069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-02-12T07:41:18-0700',mode:absolute,to:'2017-02-12T10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8" t="str">
        <f>IF(AA53&lt;IF(AG53="EC",23,5.65),"Y","N")</f>
        <v>N</v>
      </c>
      <c r="X53" s="188">
        <f>VALUE(LEFT(AD53,4))-VALUE(LEFT(AD52,4))</f>
        <v>1</v>
      </c>
      <c r="Y53" s="62">
        <f>RIGHT(D53,LEN(D53)-4)/10000</f>
        <v>5.3699999999999998E-2</v>
      </c>
      <c r="Z53" s="62">
        <f>RIGHT(H53,LEN(H53)-4)/10000</f>
        <v>23.332899999999999</v>
      </c>
      <c r="AA53" s="62">
        <f>ABS(Z53-Y53)</f>
        <v>23.279199999999999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>IF(LEN(A53)=6,"0"&amp;A53,A53)</f>
        <v>0141-12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53" s="8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/stypes="app*4007*20170212*"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141-12 --locoid 4007 --swversion DE.1.0.8.0 --startMP 204:537 --initTime 2017-02-12T08:41:18 --startdatetime 2017-02-12T08:45:31 --delay 1 --endMP 204:233329 --enddatetime 2017-02-12T09:22:10 --enforcementcount 0 &gt;&gt;C:\Users\stu\Documents\GitHub\eaglep3-reporting\EC\2017-02-12-refined-times.txt</v>
      </c>
      <c r="AI53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{"issue":{"subject":"","project_id":79,"tracker_id":40,"status_id":1,"priority_id":2,"assigned_to_id":23,"start_date":"2017-02-12","description":"","custom_fields":[{"id":1,"name":"Subdivision","value":"EC"},{"id":4,"name":"Milepost","value":"23.3329"},{"id":17,"name":"Train ID","value":"141-12"},{"id":16,"name":"Locomotive ID","value":"4007"},{"id":130,"name":"Impact","value":""},{"id":150,"name":"Time of Event (Mountain Time)","value":"09:22:10"},{"id":151,"name":"Denver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5"/>
        <v>start /low /b %USERPROFILE%\Documents\GitHub\eaglep3\Utilities\DownloadLogsFromS3.py --loco 4007 --day 2017-02-12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"%USERPROFILE%\AppData\Local\Temp\OnboardLogs"\RTDC4007\*4007*20170212* | grep -SE "(Enforcement Action)|(\[TIMEOUT)|(CHR.+\|PRM\|1\|D.+(SWITCH|SIGNAL).+UNKNOWN)" - &gt;&gt; 2017-02-12-UncaughtWiMAX.txt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521</v>
      </c>
      <c r="B54" s="7">
        <v>4008</v>
      </c>
      <c r="C54" s="21" t="s">
        <v>193</v>
      </c>
      <c r="D54" s="21" t="s">
        <v>751</v>
      </c>
      <c r="E54" s="13">
        <v>42778.399594907409</v>
      </c>
      <c r="F54" s="13">
        <v>42778.403738425928</v>
      </c>
      <c r="G54" s="7">
        <v>1</v>
      </c>
      <c r="H54" s="21" t="s">
        <v>763</v>
      </c>
      <c r="I54" s="13">
        <v>42778.430891203701</v>
      </c>
      <c r="J54" s="7">
        <v>0</v>
      </c>
      <c r="K54" s="98" t="str">
        <f>IF(ISEVEN(B54),(B54-1)&amp;"/"&amp;B54,B54&amp;"/"&amp;(B54+1))</f>
        <v>4007/4008</v>
      </c>
      <c r="L54" s="21" t="str">
        <f>VLOOKUP(A54,'Trips&amp;Operators'!$C$1:$G$99999,5,FALSE)</f>
        <v>MOSES BRADLEY</v>
      </c>
      <c r="M54" s="6">
        <f>I54-F54</f>
        <v>2.7152777773153502E-2</v>
      </c>
      <c r="N54" s="7">
        <f>24*60*SUM($M54:$M54)</f>
        <v>39.099999993341044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-02-12T08:35:25-0700',mode:absolute,to:'2017-02-12T11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188" t="str">
        <f>IF(AA54&lt;IF(AG54="EC",23,5.65),"Y","N")</f>
        <v>N</v>
      </c>
      <c r="X54" s="188">
        <f>VALUE(LEFT(AD54,4))-VALUE(LEFT(AD53,4))</f>
        <v>1</v>
      </c>
      <c r="Y54" s="62">
        <f>RIGHT(D54,LEN(D54)-4)/10000</f>
        <v>23.300599999999999</v>
      </c>
      <c r="Z54" s="62">
        <f>RIGHT(H54,LEN(H54)-4)/10000</f>
        <v>2.1399999999999999E-2</v>
      </c>
      <c r="AA54" s="62">
        <f>ABS(Z54-Y54)</f>
        <v>23.279199999999999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>IF(LEN(A54)=6,"0"&amp;A54,A54)</f>
        <v>0142-12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54" s="8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/stypes="app*4008*20170212*"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142-12 --locoid 4008 --swversion DE.1.0.8.0 --startMP 204:233006 --initTime 2017-02-12T09:35:25 --startdatetime 2017-02-12T09:41:23 --delay 1 --endMP 204:214 --enddatetime 2017-02-12T10:20:29 --enforcementcount 0 &gt;&gt;C:\Users\stu\Documents\GitHub\eaglep3-reporting\EC\2017-02-12-refined-times.txt</v>
      </c>
      <c r="AI54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{"issue":{"subject":"","project_id":79,"tracker_id":40,"status_id":1,"priority_id":2,"assigned_to_id":23,"start_date":"2017-02-12","description":"","custom_fields":[{"id":1,"name":"Subdivision","value":"EC"},{"id":4,"name":"Milepost","value":"0.0214"},{"id":17,"name":"Train ID","value":"142-12"},{"id":16,"name":"Locomotive ID","value":"4008"},{"id":130,"name":"Impact","value":""},{"id":150,"name":"Time of Event (Mountain Time)","value":"10:20:29"},{"id":151,"name":"Denver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5"/>
        <v>start /low /b %USERPROFILE%\Documents\GitHub\eaglep3\Utilities\DownloadLogsFromS3.py --loco 4008 --day 2017-02-12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590</v>
      </c>
      <c r="B55" s="7">
        <v>4018</v>
      </c>
      <c r="C55" s="21" t="s">
        <v>193</v>
      </c>
      <c r="D55" s="21" t="s">
        <v>222</v>
      </c>
      <c r="E55" s="13">
        <v>42778.370671296296</v>
      </c>
      <c r="F55" s="13">
        <v>42778.375185185185</v>
      </c>
      <c r="G55" s="7">
        <v>1</v>
      </c>
      <c r="H55" s="21" t="s">
        <v>764</v>
      </c>
      <c r="I55" s="13">
        <v>42778.400729166664</v>
      </c>
      <c r="J55" s="7">
        <v>0</v>
      </c>
      <c r="K55" s="98" t="str">
        <f>IF(ISEVEN(B55),(B55-1)&amp;"/"&amp;B55,B55&amp;"/"&amp;(B55+1))</f>
        <v>4017/4018</v>
      </c>
      <c r="L55" s="21" t="str">
        <f>VLOOKUP(A55,'Trips&amp;Operators'!$C$1:$G$99999,5,FALSE)</f>
        <v>SHOOK JOHN</v>
      </c>
      <c r="M55" s="6">
        <f>I55-F55</f>
        <v>2.5543981479131617E-2</v>
      </c>
      <c r="N55" s="7">
        <f>24*60*SUM($M55:$M55)</f>
        <v>36.783333329949528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-02-12T07:53:46-0700',mode:absolute,to:'2017-02-12T10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5" s="188" t="str">
        <f>IF(AA55&lt;IF(AG55="EC",23,5.65),"Y","N")</f>
        <v>N</v>
      </c>
      <c r="X55" s="188">
        <f>VALUE(LEFT(AD55,4))-VALUE(LEFT(AD54,4))</f>
        <v>1</v>
      </c>
      <c r="Y55" s="62">
        <f>RIGHT(D55,LEN(D55)-4)/10000</f>
        <v>4.58E-2</v>
      </c>
      <c r="Z55" s="62">
        <f>RIGHT(H55,LEN(H55)-4)/10000</f>
        <v>23.334900000000001</v>
      </c>
      <c r="AA55" s="62">
        <f>ABS(Z55-Y55)</f>
        <v>23.289100000000001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>IF(LEN(A55)=6,"0"&amp;A55,A55)</f>
        <v>0143-12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55" s="8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/stypes="app*4018*20170212*"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143-12 --locoid 4018 --swversion DE.1.0.8.0 --startMP 204:458 --initTime 2017-02-12T08:53:46 --startdatetime 2017-02-12T09:00:16 --delay 1 --endMP 204:233349 --enddatetime 2017-02-12T09:37:03 --enforcementcount 0 &gt;&gt;C:\Users\stu\Documents\GitHub\eaglep3-reporting\EC\2017-02-12-refined-times.txt</v>
      </c>
      <c r="AI55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{"issue":{"subject":"","project_id":79,"tracker_id":40,"status_id":1,"priority_id":2,"assigned_to_id":23,"start_date":"2017-02-12","description":"","custom_fields":[{"id":1,"name":"Subdivision","value":"EC"},{"id":4,"name":"Milepost","value":"23.3349"},{"id":17,"name":"Train ID","value":"143-12"},{"id":16,"name":"Locomotive ID","value":"4018"},{"id":130,"name":"Impact","value":""},{"id":150,"name":"Time of Event (Mountain Time)","value":"09:37:03"},{"id":151,"name":"Denver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5"/>
        <v>start /low /b %USERPROFILE%\Documents\GitHub\eaglep3\Utilities\DownloadLogsFromS3.py --loco 4018 --day 2017-02-12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599</v>
      </c>
      <c r="B56" s="7">
        <v>4017</v>
      </c>
      <c r="C56" s="21" t="s">
        <v>193</v>
      </c>
      <c r="D56" s="21" t="s">
        <v>765</v>
      </c>
      <c r="E56" s="13">
        <v>42778.402175925927</v>
      </c>
      <c r="F56" s="13">
        <v>42778.414097222223</v>
      </c>
      <c r="G56" s="7">
        <v>1</v>
      </c>
      <c r="H56" s="21" t="s">
        <v>490</v>
      </c>
      <c r="I56" s="13">
        <v>42778.44195601852</v>
      </c>
      <c r="J56" s="7">
        <v>0</v>
      </c>
      <c r="K56" s="98" t="str">
        <f>IF(ISEVEN(B56),(B56-1)&amp;"/"&amp;B56,B56&amp;"/"&amp;(B56+1))</f>
        <v>4017/4018</v>
      </c>
      <c r="L56" s="21" t="str">
        <f>VLOOKUP(A56,'Trips&amp;Operators'!$C$1:$G$99999,5,FALSE)</f>
        <v>SHOOK JOHN</v>
      </c>
      <c r="M56" s="6">
        <f>I56-F56</f>
        <v>2.7858796296641231E-2</v>
      </c>
      <c r="N56" s="7">
        <f>24*60*SUM($M56:$M56)</f>
        <v>40.116666667163372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-02-12T08:39:08-0700',mode:absolute,to:'2017-02-12T11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6" s="188" t="str">
        <f>IF(AA56&lt;IF(AG56="EC",23,5.65),"Y","N")</f>
        <v>N</v>
      </c>
      <c r="X56" s="188">
        <f>VALUE(LEFT(AD56,4))-VALUE(LEFT(AD55,4))</f>
        <v>1</v>
      </c>
      <c r="Y56" s="62">
        <f>RIGHT(D56,LEN(D56)-4)/10000</f>
        <v>23.3005</v>
      </c>
      <c r="Z56" s="62">
        <f>RIGHT(H56,LEN(H56)-4)/10000</f>
        <v>1.5599999999999999E-2</v>
      </c>
      <c r="AA56" s="62">
        <f>ABS(Z56-Y56)</f>
        <v>23.2849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>IF(LEN(A56)=6,"0"&amp;A56,A56)</f>
        <v>0144-12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56" s="8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/stypes="app*4017*20170212*"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144-12 --locoid 4017 --swversion DE.1.0.8.0 --startMP 204:233005 --initTime 2017-02-12T09:39:08 --startdatetime 2017-02-12T09:56:18 --delay 1 --endMP 204:156 --enddatetime 2017-02-12T10:36:25 --enforcementcount 0 &gt;&gt;C:\Users\stu\Documents\GitHub\eaglep3-reporting\EC\2017-02-12-refined-times.txt</v>
      </c>
      <c r="AI56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{"issue":{"subject":"","project_id":79,"tracker_id":40,"status_id":1,"priority_id":2,"assigned_to_id":23,"start_date":"2017-02-12","description":"","custom_fields":[{"id":1,"name":"Subdivision","value":"EC"},{"id":4,"name":"Milepost","value":"0.0156"},{"id":17,"name":"Train ID","value":"144-12"},{"id":16,"name":"Locomotive ID","value":"4017"},{"id":130,"name":"Impact","value":""},{"id":150,"name":"Time of Event (Mountain Time)","value":"10:36:25"},{"id":151,"name":"Denver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5"/>
        <v>start /low /b %USERPROFILE%\Documents\GitHub\eaglep3\Utilities\DownloadLogsFromS3.py --loco 4017 --day 2017-02-12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"%USERPROFILE%\AppData\Local\Temp\OnboardLogs"\RTDC4017\*4017*20170212* | grep -SE "(Enforcement Action)|(\[TIMEOUT)|(CHR.+\|PRM\|1\|D.+(SWITCH|SIGNAL).+UNKNOWN)" - &gt;&gt; 2017-02-12-UncaughtWiMAX.txt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593</v>
      </c>
      <c r="B57" s="7">
        <v>4016</v>
      </c>
      <c r="C57" s="21" t="s">
        <v>193</v>
      </c>
      <c r="D57" s="21" t="s">
        <v>270</v>
      </c>
      <c r="E57" s="13">
        <v>42778.379930555559</v>
      </c>
      <c r="F57" s="13">
        <v>42778.385636574072</v>
      </c>
      <c r="G57" s="7">
        <v>1</v>
      </c>
      <c r="H57" s="21" t="s">
        <v>502</v>
      </c>
      <c r="I57" s="13">
        <v>42778.411631944444</v>
      </c>
      <c r="J57" s="7">
        <v>0</v>
      </c>
      <c r="K57" s="98" t="str">
        <f>IF(ISEVEN(B57),(B57-1)&amp;"/"&amp;B57,B57&amp;"/"&amp;(B57+1))</f>
        <v>4015/4016</v>
      </c>
      <c r="L57" s="21" t="str">
        <f>VLOOKUP(A57,'Trips&amp;Operators'!$C$1:$G$99999,5,FALSE)</f>
        <v>MAELZER KURT</v>
      </c>
      <c r="M57" s="6">
        <f>I57-F57</f>
        <v>2.5995370371674653E-2</v>
      </c>
      <c r="N57" s="7">
        <f>24*60*SUM($M57:$M57)</f>
        <v>37.433333335211501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-02-12T08:07:06-0700',mode:absolute,to:'2017-02-12T10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188" t="str">
        <f>IF(AA57&lt;IF(AG57="EC",23,5.65),"Y","N")</f>
        <v>N</v>
      </c>
      <c r="X57" s="188">
        <f>VALUE(LEFT(AD57,4))-VALUE(LEFT(AD56,4))</f>
        <v>1</v>
      </c>
      <c r="Y57" s="62">
        <f>RIGHT(D57,LEN(D57)-4)/10000</f>
        <v>4.53E-2</v>
      </c>
      <c r="Z57" s="62">
        <f>RIGHT(H57,LEN(H57)-4)/10000</f>
        <v>23.331499999999998</v>
      </c>
      <c r="AA57" s="62">
        <f>ABS(Z57-Y57)</f>
        <v>23.286199999999997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>IF(LEN(A57)=6,"0"&amp;A57,A57)</f>
        <v>0145-12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57" s="8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/stypes="app*4016*20170212*"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145-12 --locoid 4016 --swversion DE.1.0.8.0 --startMP 204:453 --initTime 2017-02-12T09:07:06 --startdatetime 2017-02-12T09:15:19 --delay 1 --endMP 204:233315 --enddatetime 2017-02-12T09:52:45 --enforcementcount 0 &gt;&gt;C:\Users\stu\Documents\GitHub\eaglep3-reporting\EC\2017-02-12-refined-times.txt</v>
      </c>
      <c r="AI57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{"issue":{"subject":"","project_id":79,"tracker_id":40,"status_id":1,"priority_id":2,"assigned_to_id":23,"start_date":"2017-02-12","description":"","custom_fields":[{"id":1,"name":"Subdivision","value":"EC"},{"id":4,"name":"Milepost","value":"23.3315"},{"id":17,"name":"Train ID","value":"145-12"},{"id":16,"name":"Locomotive ID","value":"4016"},{"id":130,"name":"Impact","value":""},{"id":150,"name":"Time of Event (Mountain Time)","value":"09:52:45"},{"id":151,"name":"Denver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5"/>
        <v>start /low /b %USERPROFILE%\Documents\GitHub\eaglep3\Utilities\DownloadLogsFromS3.py --loco 4016 --day 2017-02-12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"%USERPROFILE%\AppData\Local\Temp\OnboardLogs"\RTDC4016\*4016*20170212* | grep -SE "(Enforcement Action)|(\[TIMEOUT)|(CHR.+\|PRM\|1\|D.+(SWITCH|SIGNAL).+UNKNOWN)" - &gt;&gt; 2017-02-12-UncaughtWiMAX.txt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602</v>
      </c>
      <c r="B58" s="7">
        <v>4015</v>
      </c>
      <c r="C58" s="21" t="s">
        <v>193</v>
      </c>
      <c r="D58" s="21" t="s">
        <v>766</v>
      </c>
      <c r="E58" s="13">
        <v>42778.420844907407</v>
      </c>
      <c r="F58" s="13">
        <v>42778.421493055554</v>
      </c>
      <c r="G58" s="7">
        <v>0</v>
      </c>
      <c r="H58" s="21" t="s">
        <v>767</v>
      </c>
      <c r="I58" s="13">
        <v>42778.425092592595</v>
      </c>
      <c r="J58" s="7">
        <v>0</v>
      </c>
      <c r="K58" s="98" t="str">
        <f>IF(ISEVEN(B58),(B58-1)&amp;"/"&amp;B58,B58&amp;"/"&amp;(B58+1))</f>
        <v>4015/4016</v>
      </c>
      <c r="L58" s="21" t="str">
        <f>VLOOKUP(A58,'Trips&amp;Operators'!$C$1:$G$99999,5,FALSE)</f>
        <v>MAELZER KURT</v>
      </c>
      <c r="M58" s="6">
        <f>I58-F58</f>
        <v>3.5995370417367667E-3</v>
      </c>
      <c r="N58" s="7"/>
      <c r="O58" s="7"/>
      <c r="P58" s="7">
        <f>24*60*SUM($M58:$M58)</f>
        <v>5.183333340100944</v>
      </c>
      <c r="Q58" s="22"/>
      <c r="R58" s="22" t="s">
        <v>362</v>
      </c>
      <c r="S58" s="31">
        <f>SUM(U58:U58)/IF(AG58="EC",12,1)</f>
        <v>0</v>
      </c>
      <c r="T58" s="46" t="str">
        <f>IF(ISEVEN(LEFT(AD58,4)),"Southbound","NorthBound")</f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0</v>
      </c>
      <c r="V58" s="187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-02-12T09:06:01-0700',mode:absolute,to:'2017-02-12T11:12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188" t="str">
        <f>IF(AA58&lt;IF(AG58="EC",23,5.65),"Y","N")</f>
        <v>Y</v>
      </c>
      <c r="X58" s="188">
        <f>VALUE(LEFT(AD58,4))-VALUE(LEFT(AD57,4))</f>
        <v>1</v>
      </c>
      <c r="Y58" s="62">
        <f>RIGHT(D58,LEN(D58)-4)/10000</f>
        <v>23.3004</v>
      </c>
      <c r="Z58" s="62">
        <f>RIGHT(H58,LEN(H58)-4)/10000</f>
        <v>23.1264</v>
      </c>
      <c r="AA58" s="62">
        <f>ABS(Z58-Y58)</f>
        <v>0.17399999999999949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>IF(LEN(A58)=6,"0"&amp;A58,A58)</f>
        <v>0146-12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 &amp; 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</v>
      </c>
      <c r="AF58" s="8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/stypes="app*4015*20170212*"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146-12 --locoid 4015 --swversion DE.1.0.8.0 --startMP 204:233004 --initTime 2017-02-12T10:06:01 --startdatetime 2017-02-12T10:06:57 --delay 0 --endMP 204:231264 --enddatetime 2017-02-12T10:12:08 --enforcementcount 0 &gt;&gt;C:\Users\stu\Documents\GitHub\eaglep3-reporting\EC\2017-02-12-refined-times.txt</v>
      </c>
      <c r="AI58" s="108" t="str">
        <f t="shared" si="4"/>
        <v>echo {"issue":{"subject":"Onboard in-route failure","project_id":79,"tracker_id":40,"status_id":1,"priority_id":2,"assigned_to_id":23,"start_date":"2017-02-12","description":"","custom_fields":[{"id":1,"name":"Subdivision","value":"EC"},{"id":4,"name":"Milepost","value":"23.1264"},{"id":17,"name":"Train ID","value":"146-12"},{"id":16,"name":"Locomotive ID","value":"4015"},{"id":130,"name":"Impact","value":""},{"id":150,"name":"Time of Event (Mountain Time)","value":"10:12:08"},{"id":151,"name":"Denver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5"/>
        <v>start /low /b %USERPROFILE%\Documents\GitHub\eaglep3\Utilities\DownloadLogsFromS3.py --loco 4015 --day 2017-02-12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"%USERPROFILE%\AppData\Local\Temp\OnboardLogs"\RTDC4015\*4015*20170212* | grep -SE "(Enforcement Action)|(\[TIMEOUT)|(CHR.+\|PRM\|1\|D.+(SWITCH|SIGNAL).+UNKNOWN)" - &gt;&gt; 2017-02-12-UncaughtWiMAX.txt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596</v>
      </c>
      <c r="B59" s="7">
        <v>4038</v>
      </c>
      <c r="C59" s="21" t="s">
        <v>193</v>
      </c>
      <c r="D59" s="21" t="s">
        <v>299</v>
      </c>
      <c r="E59" s="13">
        <v>42778.390625</v>
      </c>
      <c r="F59" s="13">
        <v>42778.396006944444</v>
      </c>
      <c r="G59" s="7">
        <v>1</v>
      </c>
      <c r="H59" s="21" t="s">
        <v>768</v>
      </c>
      <c r="I59" s="13">
        <v>42778.421898148146</v>
      </c>
      <c r="J59" s="7">
        <v>0</v>
      </c>
      <c r="K59" s="98" t="str">
        <f>IF(ISEVEN(B59),(B59-1)&amp;"/"&amp;B59,B59&amp;"/"&amp;(B59+1))</f>
        <v>4037/4038</v>
      </c>
      <c r="L59" s="21" t="str">
        <f>VLOOKUP(A59,'Trips&amp;Operators'!$C$1:$G$99999,5,FALSE)</f>
        <v>BADERTSCHER DIANE</v>
      </c>
      <c r="M59" s="6">
        <f>I59-F59</f>
        <v>2.5891203702485655E-2</v>
      </c>
      <c r="N59" s="7">
        <f>24*60*SUM($M59:$M59)</f>
        <v>37.283333331579342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-02-12T08:22:30-0700',mode:absolute,to:'2017-02-12T11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9" s="188" t="str">
        <f>IF(AA59&lt;IF(AG59="EC",23,5.65),"Y","N")</f>
        <v>N</v>
      </c>
      <c r="X59" s="188">
        <f>VALUE(LEFT(AD59,4))-VALUE(LEFT(AD58,4))</f>
        <v>1</v>
      </c>
      <c r="Y59" s="62">
        <f>RIGHT(D59,LEN(D59)-4)/10000</f>
        <v>4.4699999999999997E-2</v>
      </c>
      <c r="Z59" s="62">
        <f>RIGHT(H59,LEN(H59)-4)/10000</f>
        <v>23.333600000000001</v>
      </c>
      <c r="AA59" s="62">
        <f>ABS(Z59-Y59)</f>
        <v>23.288900000000002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>IF(LEN(A59)=6,"0"&amp;A59,A59)</f>
        <v>0147-12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59" s="8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/stypes="app*4038*20170212*"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147-12 --locoid 4038 --swversion DE.1.0.8.0 --startMP 204:447 --initTime 2017-02-12T09:22:30 --startdatetime 2017-02-12T09:30:15 --delay 1 --endMP 204:233336 --enddatetime 2017-02-12T10:07:32 --enforcementcount 0 &gt;&gt;C:\Users\stu\Documents\GitHub\eaglep3-reporting\EC\2017-02-12-refined-times.txt</v>
      </c>
      <c r="AI59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{"issue":{"subject":"","project_id":79,"tracker_id":40,"status_id":1,"priority_id":2,"assigned_to_id":23,"start_date":"2017-02-12","description":"","custom_fields":[{"id":1,"name":"Subdivision","value":"EC"},{"id":4,"name":"Milepost","value":"23.3336"},{"id":17,"name":"Train ID","value":"147-12"},{"id":16,"name":"Locomotive ID","value":"4038"},{"id":130,"name":"Impact","value":""},{"id":150,"name":"Time of Event (Mountain Time)","value":"10:07:32"},{"id":151,"name":"Denver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5"/>
        <v>start /low /b %USERPROFILE%\Documents\GitHub\eaglep3\Utilities\DownloadLogsFromS3.py --loco 4038 --day 2017-02-12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603</v>
      </c>
      <c r="B60" s="7">
        <v>4037</v>
      </c>
      <c r="C60" s="21" t="s">
        <v>193</v>
      </c>
      <c r="D60" s="21" t="s">
        <v>769</v>
      </c>
      <c r="E60" s="13">
        <v>42778.429131944446</v>
      </c>
      <c r="F60" s="13">
        <v>42778.436423611114</v>
      </c>
      <c r="G60" s="7">
        <v>1</v>
      </c>
      <c r="H60" s="21" t="s">
        <v>341</v>
      </c>
      <c r="I60" s="13">
        <v>42778.465902777774</v>
      </c>
      <c r="J60" s="7">
        <v>0</v>
      </c>
      <c r="K60" s="98" t="str">
        <f>IF(ISEVEN(B60),(B60-1)&amp;"/"&amp;B60,B60&amp;"/"&amp;(B60+1))</f>
        <v>4037/4038</v>
      </c>
      <c r="L60" s="21" t="str">
        <f>VLOOKUP(A60,'Trips&amp;Operators'!$C$1:$G$99999,5,FALSE)</f>
        <v>BADERTSCHER DIANE</v>
      </c>
      <c r="M60" s="6">
        <f>I60-F60</f>
        <v>2.9479166660166811E-2</v>
      </c>
      <c r="N60" s="7">
        <f>24*60*SUM($M60:$M60)</f>
        <v>42.449999990640208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-02-12T09:17:57-0700',mode:absolute,to:'2017-02-12T12:10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60" s="188" t="str">
        <f>IF(AA60&lt;IF(AG60="EC",23,5.65),"Y","N")</f>
        <v>N</v>
      </c>
      <c r="X60" s="188">
        <f>VALUE(LEFT(AD60,4))-VALUE(LEFT(AD59,4))</f>
        <v>1</v>
      </c>
      <c r="Y60" s="62">
        <f>RIGHT(D60,LEN(D60)-4)/10000</f>
        <v>23.3001</v>
      </c>
      <c r="Z60" s="62">
        <f>RIGHT(H60,LEN(H60)-4)/10000</f>
        <v>1.41E-2</v>
      </c>
      <c r="AA60" s="62">
        <f>ABS(Z60-Y60)</f>
        <v>23.286000000000001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>IF(LEN(A60)=6,"0"&amp;A60,A60)</f>
        <v>0148-12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60" s="8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/stypes="app*4037*20170212*"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148-12 --locoid 4037 --swversion DE.1.0.8.0 --startMP 204:233001 --initTime 2017-02-12T10:17:57 --startdatetime 2017-02-12T10:28:27 --delay 1 --endMP 204:141 --enddatetime 2017-02-12T11:10:54 --enforcementcount 0 &gt;&gt;C:\Users\stu\Documents\GitHub\eaglep3-reporting\EC\2017-02-12-refined-times.txt</v>
      </c>
      <c r="AI60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{"issue":{"subject":"","project_id":79,"tracker_id":40,"status_id":1,"priority_id":2,"assigned_to_id":23,"start_date":"2017-02-12","description":"","custom_fields":[{"id":1,"name":"Subdivision","value":"EC"},{"id":4,"name":"Milepost","value":"0.0141"},{"id":17,"name":"Train ID","value":"148-12"},{"id":16,"name":"Locomotive ID","value":"4037"},{"id":130,"name":"Impact","value":""},{"id":150,"name":"Time of Event (Mountain Time)","value":"11:10:54"},{"id":151,"name":"Denver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5"/>
        <v>start /low /b %USERPROFILE%\Documents\GitHub\eaglep3\Utilities\DownloadLogsFromS3.py --loco 4037 --day 2017-02-12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"%USERPROFILE%\AppData\Local\Temp\OnboardLogs"\RTDC4037\*4037*20170212* | grep -SE "(Enforcement Action)|(\[TIMEOUT)|(CHR.+\|PRM\|1\|D.+(SWITCH|SIGNAL).+UNKNOWN)" - &gt;&gt; 2017-02-12-UncaughtWiMAX.txt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598</v>
      </c>
      <c r="B61" s="7">
        <v>4029</v>
      </c>
      <c r="C61" s="21" t="s">
        <v>193</v>
      </c>
      <c r="D61" s="21" t="s">
        <v>270</v>
      </c>
      <c r="E61" s="13">
        <v>42778.402418981481</v>
      </c>
      <c r="F61" s="13">
        <v>42778.406435185185</v>
      </c>
      <c r="G61" s="7">
        <v>1</v>
      </c>
      <c r="H61" s="21" t="s">
        <v>355</v>
      </c>
      <c r="I61" s="13">
        <v>42778.436180555553</v>
      </c>
      <c r="J61" s="7">
        <v>0</v>
      </c>
      <c r="K61" s="98" t="str">
        <f>IF(ISEVEN(B61),(B61-1)&amp;"/"&amp;B61,B61&amp;"/"&amp;(B61+1))</f>
        <v>4029/4030</v>
      </c>
      <c r="L61" s="21" t="str">
        <f>VLOOKUP(A61,'Trips&amp;Operators'!$C$1:$G$99999,5,FALSE)</f>
        <v>DAVIS WENDY</v>
      </c>
      <c r="M61" s="6">
        <f>I61-F61</f>
        <v>2.9745370367891155E-2</v>
      </c>
      <c r="N61" s="7">
        <f>24*60*SUM($M61:$M61)</f>
        <v>42.833333329763263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-02-12T08:39:29-0700',mode:absolute,to:'2017-02-12T11:28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88" t="str">
        <f>IF(AA61&lt;IF(AG61="EC",23,5.65),"Y","N")</f>
        <v>N</v>
      </c>
      <c r="X61" s="188">
        <f>VALUE(LEFT(AD61,4))-VALUE(LEFT(AD60,4))</f>
        <v>1</v>
      </c>
      <c r="Y61" s="62">
        <f>RIGHT(D61,LEN(D61)-4)/10000</f>
        <v>4.53E-2</v>
      </c>
      <c r="Z61" s="62">
        <f>RIGHT(H61,LEN(H61)-4)/10000</f>
        <v>23.3323</v>
      </c>
      <c r="AA61" s="62">
        <f>ABS(Z61-Y61)</f>
        <v>23.286999999999999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>IF(LEN(A61)=6,"0"&amp;A61,A61)</f>
        <v>0149-12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61" s="8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/stypes="app*4029*20170212*"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149-12 --locoid 4029 --swversion DE.1.0.8.0 --startMP 204:453 --initTime 2017-02-12T09:39:29 --startdatetime 2017-02-12T09:45:16 --delay 1 --endMP 204:233323 --enddatetime 2017-02-12T10:28:06 --enforcementcount 0 &gt;&gt;C:\Users\stu\Documents\GitHub\eaglep3-reporting\EC\2017-02-12-refined-times.txt</v>
      </c>
      <c r="AI61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{"issue":{"subject":"","project_id":79,"tracker_id":40,"status_id":1,"priority_id":2,"assigned_to_id":23,"start_date":"2017-02-12","description":"","custom_fields":[{"id":1,"name":"Subdivision","value":"EC"},{"id":4,"name":"Milepost","value":"23.3323"},{"id":17,"name":"Train ID","value":"149-12"},{"id":16,"name":"Locomotive ID","value":"4029"},{"id":130,"name":"Impact","value":""},{"id":150,"name":"Time of Event (Mountain Time)","value":"10:28:06"},{"id":151,"name":"Denver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5"/>
        <v>start /low /b %USERPROFILE%\Documents\GitHub\eaglep3\Utilities\DownloadLogsFromS3.py --loco 4029 --day 2017-02-12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607</v>
      </c>
      <c r="B62" s="7">
        <v>4030</v>
      </c>
      <c r="C62" s="21" t="s">
        <v>193</v>
      </c>
      <c r="D62" s="21" t="s">
        <v>448</v>
      </c>
      <c r="E62" s="13">
        <v>42778.443958333337</v>
      </c>
      <c r="F62" s="13">
        <v>42778.445324074077</v>
      </c>
      <c r="G62" s="7">
        <v>0</v>
      </c>
      <c r="H62" s="21" t="s">
        <v>195</v>
      </c>
      <c r="I62" s="13">
        <v>42778.473287037035</v>
      </c>
      <c r="J62" s="7">
        <v>0</v>
      </c>
      <c r="K62" s="98" t="str">
        <f>IF(ISEVEN(B62),(B62-1)&amp;"/"&amp;B62,B62&amp;"/"&amp;(B62+1))</f>
        <v>4029/4030</v>
      </c>
      <c r="L62" s="21" t="str">
        <f>VLOOKUP(A62,'Trips&amp;Operators'!$C$1:$G$99999,5,FALSE)</f>
        <v>DAVIS WENDY</v>
      </c>
      <c r="M62" s="6">
        <f>I62-F62</f>
        <v>2.7962962958554272E-2</v>
      </c>
      <c r="N62" s="7">
        <f>24*60*SUM($M62:$M62)</f>
        <v>40.266666660318151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-02-12T09:39:18-0700',mode:absolute,to:'2017-02-12T12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88" t="str">
        <f>IF(AA62&lt;IF(AG62="EC",23,5.65),"Y","N")</f>
        <v>N</v>
      </c>
      <c r="X62" s="188">
        <f>VALUE(LEFT(AD62,4))-VALUE(LEFT(AD61,4))</f>
        <v>1</v>
      </c>
      <c r="Y62" s="62">
        <f>RIGHT(D62,LEN(D62)-4)/10000</f>
        <v>23.3</v>
      </c>
      <c r="Z62" s="62">
        <f>RIGHT(H62,LEN(H62)-4)/10000</f>
        <v>1.4999999999999999E-2</v>
      </c>
      <c r="AA62" s="62">
        <f>ABS(Z62-Y62)</f>
        <v>23.285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>IF(LEN(A62)=6,"0"&amp;A62,A62)</f>
        <v>0150-12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62" s="8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/stypes="app*4030*20170212*"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150-12 --locoid 4030 --swversion DE.1.0.8.0 --startMP 204:233000 --initTime 2017-02-12T10:39:18 --startdatetime 2017-02-12T10:41:16 --delay 0 --endMP 204:150 --enddatetime 2017-02-12T11:21:32 --enforcementcount 0 &gt;&gt;C:\Users\stu\Documents\GitHub\eaglep3-reporting\EC\2017-02-12-refined-times.txt</v>
      </c>
      <c r="AI62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{"issue":{"subject":"","project_id":79,"tracker_id":40,"status_id":1,"priority_id":2,"assigned_to_id":23,"start_date":"2017-02-12","description":"","custom_fields":[{"id":1,"name":"Subdivision","value":"EC"},{"id":4,"name":"Milepost","value":"0.015"},{"id":17,"name":"Train ID","value":"150-12"},{"id":16,"name":"Locomotive ID","value":"4030"},{"id":130,"name":"Impact","value":""},{"id":150,"name":"Time of Event (Mountain Time)","value":"11:21:32"},{"id":151,"name":"Denver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5"/>
        <v>start /low /b %USERPROFILE%\Documents\GitHub\eaglep3\Utilities\DownloadLogsFromS3.py --loco 4030 --day 2017-02-12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600</v>
      </c>
      <c r="B63" s="7">
        <v>4031</v>
      </c>
      <c r="C63" s="21" t="s">
        <v>193</v>
      </c>
      <c r="D63" s="21" t="s">
        <v>219</v>
      </c>
      <c r="E63" s="13">
        <v>42778.412233796298</v>
      </c>
      <c r="F63" s="13">
        <v>42778.416828703703</v>
      </c>
      <c r="G63" s="7">
        <v>1</v>
      </c>
      <c r="H63" s="21" t="s">
        <v>770</v>
      </c>
      <c r="I63" s="13">
        <v>42778.441412037035</v>
      </c>
      <c r="J63" s="7">
        <v>0</v>
      </c>
      <c r="K63" s="98" t="str">
        <f>IF(ISEVEN(B63),(B63-1)&amp;"/"&amp;B63,B63&amp;"/"&amp;(B63+1))</f>
        <v>4031/4032</v>
      </c>
      <c r="L63" s="21" t="str">
        <f>VLOOKUP(A63,'Trips&amp;Operators'!$C$1:$G$99999,5,FALSE)</f>
        <v>ROBINSON KADDIBA</v>
      </c>
      <c r="M63" s="6">
        <f>I63-F63</f>
        <v>2.4583333331975155E-2</v>
      </c>
      <c r="N63" s="7">
        <f>24*60*SUM($M63:$M63)</f>
        <v>35.399999998044223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-02-12T08:53:37-0700',mode:absolute,to:'2017-02-12T11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188" t="str">
        <f>IF(AA63&lt;IF(AG63="EC",23,5.65),"Y","N")</f>
        <v>N</v>
      </c>
      <c r="X63" s="188">
        <f>VALUE(LEFT(AD63,4))-VALUE(LEFT(AD62,4))</f>
        <v>1</v>
      </c>
      <c r="Y63" s="62">
        <f>RIGHT(D63,LEN(D63)-4)/10000</f>
        <v>4.6899999999999997E-2</v>
      </c>
      <c r="Z63" s="62">
        <f>RIGHT(H63,LEN(H63)-4)/10000</f>
        <v>23.3307</v>
      </c>
      <c r="AA63" s="62">
        <f>ABS(Z63-Y63)</f>
        <v>23.283799999999999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>IF(LEN(A63)=6,"0"&amp;A63,A63)</f>
        <v>0151-12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63" s="8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/stypes="app*4031*20170212*"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151-12 --locoid 4031 --swversion DE.1.0.8.0 --startMP 204:469 --initTime 2017-02-12T09:53:37 --startdatetime 2017-02-12T10:00:14 --delay 1 --endMP 204:233307 --enddatetime 2017-02-12T10:35:38 --enforcementcount 0 &gt;&gt;C:\Users\stu\Documents\GitHub\eaglep3-reporting\EC\2017-02-12-refined-times.txt</v>
      </c>
      <c r="AI63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{"issue":{"subject":"","project_id":79,"tracker_id":40,"status_id":1,"priority_id":2,"assigned_to_id":23,"start_date":"2017-02-12","description":"","custom_fields":[{"id":1,"name":"Subdivision","value":"EC"},{"id":4,"name":"Milepost","value":"23.3307"},{"id":17,"name":"Train ID","value":"151-12"},{"id":16,"name":"Locomotive ID","value":"4031"},{"id":130,"name":"Impact","value":""},{"id":150,"name":"Time of Event (Mountain Time)","value":"10:35:38"},{"id":151,"name":"Denver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5"/>
        <v>start /low /b %USERPROFILE%\Documents\GitHub\eaglep3\Utilities\DownloadLogsFromS3.py --loco 4031 --day 2017-02-12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610</v>
      </c>
      <c r="B64" s="7">
        <v>4032</v>
      </c>
      <c r="C64" s="21" t="s">
        <v>193</v>
      </c>
      <c r="D64" s="21" t="s">
        <v>501</v>
      </c>
      <c r="E64" s="13">
        <v>42778.453182870369</v>
      </c>
      <c r="F64" s="13">
        <v>42778.455740740741</v>
      </c>
      <c r="G64" s="7">
        <v>1</v>
      </c>
      <c r="H64" s="21" t="s">
        <v>221</v>
      </c>
      <c r="I64" s="13">
        <v>42778.482048611113</v>
      </c>
      <c r="J64" s="7">
        <v>0</v>
      </c>
      <c r="K64" s="98" t="str">
        <f>IF(ISEVEN(B64),(B64-1)&amp;"/"&amp;B64,B64&amp;"/"&amp;(B64+1))</f>
        <v>4031/4032</v>
      </c>
      <c r="L64" s="21" t="str">
        <f>VLOOKUP(A64,'Trips&amp;Operators'!$C$1:$G$99999,5,FALSE)</f>
        <v>ROBINSON KADDIBA</v>
      </c>
      <c r="M64" s="6">
        <f>I64-F64</f>
        <v>2.6307870371965691E-2</v>
      </c>
      <c r="N64" s="7">
        <f>24*60*SUM($M64:$M64)</f>
        <v>37.883333335630596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-02-12T09:52:35-0700',mode:absolute,to:'2017-02-12T12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188" t="str">
        <f>IF(AA64&lt;IF(AG64="EC",23,5.65),"Y","N")</f>
        <v>N</v>
      </c>
      <c r="X64" s="188">
        <f>VALUE(LEFT(AD64,4))-VALUE(LEFT(AD63,4))</f>
        <v>1</v>
      </c>
      <c r="Y64" s="62">
        <f>RIGHT(D64,LEN(D64)-4)/10000</f>
        <v>23.299199999999999</v>
      </c>
      <c r="Z64" s="62">
        <f>RIGHT(H64,LEN(H64)-4)/10000</f>
        <v>1.54E-2</v>
      </c>
      <c r="AA64" s="62">
        <f>ABS(Z64-Y64)</f>
        <v>23.283799999999999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>IF(LEN(A64)=6,"0"&amp;A64,A64)</f>
        <v>0152-12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64" s="8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/stypes="app*4032*20170212*"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152-12 --locoid 4032 --swversion DE.1.0.8.0 --startMP 204:232992 --initTime 2017-02-12T10:52:35 --startdatetime 2017-02-12T10:56:16 --delay 1 --endMP 204:154 --enddatetime 2017-02-12T11:34:09 --enforcementcount 0 &gt;&gt;C:\Users\stu\Documents\GitHub\eaglep3-reporting\EC\2017-02-12-refined-times.txt</v>
      </c>
      <c r="AI64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{"issue":{"subject":"","project_id":79,"tracker_id":40,"status_id":1,"priority_id":2,"assigned_to_id":23,"start_date":"2017-02-12","description":"","custom_fields":[{"id":1,"name":"Subdivision","value":"EC"},{"id":4,"name":"Milepost","value":"0.0154"},{"id":17,"name":"Train ID","value":"152-12"},{"id":16,"name":"Locomotive ID","value":"4032"},{"id":130,"name":"Impact","value":""},{"id":150,"name":"Time of Event (Mountain Time)","value":"11:34:09"},{"id":151,"name":"Denver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5"/>
        <v>start /low /b %USERPROFILE%\Documents\GitHub\eaglep3\Utilities\DownloadLogsFromS3.py --loco 4032 --day 2017-02-12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522</v>
      </c>
      <c r="B65" s="7">
        <v>4009</v>
      </c>
      <c r="C65" s="21" t="s">
        <v>193</v>
      </c>
      <c r="D65" s="21" t="s">
        <v>494</v>
      </c>
      <c r="E65" s="13">
        <v>42778.422372685185</v>
      </c>
      <c r="F65" s="13">
        <v>42778.427256944444</v>
      </c>
      <c r="G65" s="7">
        <v>2</v>
      </c>
      <c r="H65" s="21" t="s">
        <v>771</v>
      </c>
      <c r="I65" s="13">
        <v>42778.452986111108</v>
      </c>
      <c r="J65" s="7">
        <v>0</v>
      </c>
      <c r="K65" s="98" t="str">
        <f>IF(ISEVEN(B65),(B65-1)&amp;"/"&amp;B65,B65&amp;"/"&amp;(B65+1))</f>
        <v>4009/4010</v>
      </c>
      <c r="L65" s="21" t="str">
        <f>VLOOKUP(A65,'Trips&amp;Operators'!$C$1:$G$99999,5,FALSE)</f>
        <v>GEBRETEKLE DAGNEW</v>
      </c>
      <c r="M65" s="6">
        <f>I65-F65</f>
        <v>2.5729166663950309E-2</v>
      </c>
      <c r="N65" s="7">
        <f>24*60*SUM($M65:$M65)</f>
        <v>37.049999996088445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-02-12T09:08:13-0700',mode:absolute,to:'2017-02-12T11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188" t="str">
        <f>IF(AA65&lt;IF(AG65="EC",23,5.65),"Y","N")</f>
        <v>N</v>
      </c>
      <c r="X65" s="188">
        <f>VALUE(LEFT(AD65,4))-VALUE(LEFT(AD64,4))</f>
        <v>1</v>
      </c>
      <c r="Y65" s="62">
        <f>RIGHT(D65,LEN(D65)-4)/10000</f>
        <v>4.4400000000000002E-2</v>
      </c>
      <c r="Z65" s="62">
        <f>RIGHT(H65,LEN(H65)-4)/10000</f>
        <v>23.331900000000001</v>
      </c>
      <c r="AA65" s="62">
        <f>ABS(Z65-Y65)</f>
        <v>23.287500000000001</v>
      </c>
      <c r="AB65" s="59" t="str">
        <f>VLOOKUP(A65,Enforcements!$C$7:$K$14,8,0)</f>
        <v>Signal based authority (5)</v>
      </c>
      <c r="AC65" s="55" t="str">
        <f>VLOOKUP(A65,Enforcements!$C$7:$E$14,3,0)</f>
        <v>SIGNAL</v>
      </c>
      <c r="AD65" s="56" t="str">
        <f>IF(LEN(A65)=6,"0"&amp;A65,A65)</f>
        <v>0153-12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65" s="8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/stypes="app*4009*20170212*"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153-12 --locoid 4009 --swversion DE.1.0.8.0 --startMP 204:444 --initTime 2017-02-12T10:08:13 --startdatetime 2017-02-12T10:15:15 --delay 2 --endMP 204:233319 --enddatetime 2017-02-12T10:52:18 --enforcementcount 0 &gt;&gt;C:\Users\stu\Documents\GitHub\eaglep3-reporting\EC\2017-02-12-refined-times.txt</v>
      </c>
      <c r="AI65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{"issue":{"subject":"","project_id":79,"tracker_id":40,"status_id":1,"priority_id":2,"assigned_to_id":23,"start_date":"2017-02-12","description":"","custom_fields":[{"id":1,"name":"Subdivision","value":"EC"},{"id":4,"name":"Milepost","value":"23.3319"},{"id":17,"name":"Train ID","value":"153-12"},{"id":16,"name":"Locomotive ID","value":"4009"},{"id":130,"name":"Impact","value":""},{"id":150,"name":"Time of Event (Mountain Time)","value":"10:52:18"},{"id":151,"name":"Denver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5"/>
        <v>start /low /b %USERPROFILE%\Documents\GitHub\eaglep3\Utilities\DownloadLogsFromS3.py --loco 4009 --day 2017-02-12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612</v>
      </c>
      <c r="B66" s="7">
        <v>4010</v>
      </c>
      <c r="C66" s="21" t="s">
        <v>193</v>
      </c>
      <c r="D66" s="21" t="s">
        <v>766</v>
      </c>
      <c r="E66" s="13">
        <v>42778.460833333331</v>
      </c>
      <c r="F66" s="13">
        <v>42778.466192129628</v>
      </c>
      <c r="G66" s="7">
        <v>1</v>
      </c>
      <c r="H66" s="21" t="s">
        <v>210</v>
      </c>
      <c r="I66" s="13">
        <v>42778.4921412037</v>
      </c>
      <c r="J66" s="7">
        <v>0</v>
      </c>
      <c r="K66" s="98" t="str">
        <f>IF(ISEVEN(B66),(B66-1)&amp;"/"&amp;B66,B66&amp;"/"&amp;(B66+1))</f>
        <v>4009/4010</v>
      </c>
      <c r="L66" s="21" t="str">
        <f>VLOOKUP(A66,'Trips&amp;Operators'!$C$1:$G$99999,5,FALSE)</f>
        <v>GEBRETEKLE DAGNEW</v>
      </c>
      <c r="M66" s="6">
        <f>I66-F66</f>
        <v>2.5949074071832001E-2</v>
      </c>
      <c r="N66" s="7">
        <f>24*60*SUM($M66:$M66)</f>
        <v>37.366666663438082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-02-12T10:03:36-0700',mode:absolute,to:'2017-02-12T12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88" t="str">
        <f>IF(AA66&lt;IF(AG66="EC",23,5.65),"Y","N")</f>
        <v>N</v>
      </c>
      <c r="X66" s="188">
        <f>VALUE(LEFT(AD66,4))-VALUE(LEFT(AD65,4))</f>
        <v>1</v>
      </c>
      <c r="Y66" s="62">
        <f>RIGHT(D66,LEN(D66)-4)/10000</f>
        <v>23.3004</v>
      </c>
      <c r="Z66" s="62">
        <f>RIGHT(H66,LEN(H66)-4)/10000</f>
        <v>1.5800000000000002E-2</v>
      </c>
      <c r="AA66" s="62">
        <f>ABS(Z66-Y66)</f>
        <v>23.284600000000001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>IF(LEN(A66)=6,"0"&amp;A66,A66)</f>
        <v>0154-12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66" s="8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/stypes="app*4010*20170212*"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154-12 --locoid 4010 --swversion DE.1.0.8.0 --startMP 204:233004 --initTime 2017-02-12T11:03:36 --startdatetime 2017-02-12T11:11:19 --delay 1 --endMP 204:158 --enddatetime 2017-02-12T11:48:41 --enforcementcount 0 &gt;&gt;C:\Users\stu\Documents\GitHub\eaglep3-reporting\EC\2017-02-12-refined-times.txt</v>
      </c>
      <c r="AI66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{"issue":{"subject":"","project_id":79,"tracker_id":40,"status_id":1,"priority_id":2,"assigned_to_id":23,"start_date":"2017-02-12","description":"","custom_fields":[{"id":1,"name":"Subdivision","value":"EC"},{"id":4,"name":"Milepost","value":"0.0158"},{"id":17,"name":"Train ID","value":"154-12"},{"id":16,"name":"Locomotive ID","value":"4010"},{"id":130,"name":"Impact","value":""},{"id":150,"name":"Time of Event (Mountain Time)","value":"11:48:41"},{"id":151,"name":"Denver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5"/>
        <v>start /low /b %USERPROFILE%\Documents\GitHub\eaglep3\Utilities\DownloadLogsFromS3.py --loco 4010 --day 2017-02-12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604</v>
      </c>
      <c r="B67" s="7">
        <v>4007</v>
      </c>
      <c r="C67" s="21" t="s">
        <v>193</v>
      </c>
      <c r="D67" s="21" t="s">
        <v>762</v>
      </c>
      <c r="E67" s="13">
        <v>42778.433449074073</v>
      </c>
      <c r="F67" s="13">
        <v>42778.437673611108</v>
      </c>
      <c r="G67" s="7">
        <v>1</v>
      </c>
      <c r="H67" s="21" t="s">
        <v>506</v>
      </c>
      <c r="I67" s="13">
        <v>42778.463020833333</v>
      </c>
      <c r="J67" s="7">
        <v>0</v>
      </c>
      <c r="K67" s="98" t="str">
        <f>IF(ISEVEN(B67),(B67-1)&amp;"/"&amp;B67,B67&amp;"/"&amp;(B67+1))</f>
        <v>4007/4008</v>
      </c>
      <c r="L67" s="21" t="str">
        <f>VLOOKUP(A67,'Trips&amp;Operators'!$C$1:$G$99999,5,FALSE)</f>
        <v>DELGADO DIANAH</v>
      </c>
      <c r="M67" s="6">
        <f>I67-F67</f>
        <v>2.5347222224809229E-2</v>
      </c>
      <c r="N67" s="7">
        <f>24*60*SUM($M67:$M67)</f>
        <v>36.50000000372529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-02-12T09:24:10-0700',mode:absolute,to:'2017-02-12T12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88" t="str">
        <f>IF(AA67&lt;IF(AG67="EC",23,5.65),"Y","N")</f>
        <v>N</v>
      </c>
      <c r="X67" s="188">
        <f>VALUE(LEFT(AD67,4))-VALUE(LEFT(AD66,4))</f>
        <v>1</v>
      </c>
      <c r="Y67" s="62">
        <f>RIGHT(D67,LEN(D67)-4)/10000</f>
        <v>5.3699999999999998E-2</v>
      </c>
      <c r="Z67" s="62">
        <f>RIGHT(H67,LEN(H67)-4)/10000</f>
        <v>23.332799999999999</v>
      </c>
      <c r="AA67" s="62">
        <f>ABS(Z67-Y67)</f>
        <v>23.2791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>IF(LEN(A67)=6,"0"&amp;A67,A67)</f>
        <v>0155-12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67" s="8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/stypes="app*4007*20170212*"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155-12 --locoid 4007 --swversion DE.1.0.8.0 --startMP 204:537 --initTime 2017-02-12T10:24:10 --startdatetime 2017-02-12T10:30:15 --delay 1 --endMP 204:233328 --enddatetime 2017-02-12T11:06:45 --enforcementcount 0 &gt;&gt;C:\Users\stu\Documents\GitHub\eaglep3-reporting\EC\2017-02-12-refined-times.txt</v>
      </c>
      <c r="AI67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{"issue":{"subject":"","project_id":79,"tracker_id":40,"status_id":1,"priority_id":2,"assigned_to_id":23,"start_date":"2017-02-12","description":"","custom_fields":[{"id":1,"name":"Subdivision","value":"EC"},{"id":4,"name":"Milepost","value":"23.3328"},{"id":17,"name":"Train ID","value":"155-12"},{"id":16,"name":"Locomotive ID","value":"4007"},{"id":130,"name":"Impact","value":""},{"id":150,"name":"Time of Event (Mountain Time)","value":"11:06:45"},{"id":151,"name":"Denver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5"/>
        <v>start /low /b %USERPROFILE%\Documents\GitHub\eaglep3\Utilities\DownloadLogsFromS3.py --loco 4007 --day 2017-02-12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"%USERPROFILE%\AppData\Local\Temp\OnboardLogs"\RTDC4007\*4007*20170212* | grep -SE "(Enforcement Action)|(\[TIMEOUT)|(CHR.+\|PRM\|1\|D.+(SWITCH|SIGNAL).+UNKNOWN)" - &gt;&gt; 2017-02-12-UncaughtWiMAX.txt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613</v>
      </c>
      <c r="B68" s="7">
        <v>4008</v>
      </c>
      <c r="C68" s="21" t="s">
        <v>193</v>
      </c>
      <c r="D68" s="21" t="s">
        <v>772</v>
      </c>
      <c r="E68" s="13">
        <v>42778.467743055553</v>
      </c>
      <c r="F68" s="13">
        <v>42778.476724537039</v>
      </c>
      <c r="G68" s="7">
        <v>1</v>
      </c>
      <c r="H68" s="21" t="s">
        <v>489</v>
      </c>
      <c r="I68" s="13">
        <v>42778.504374999997</v>
      </c>
      <c r="J68" s="7">
        <v>0</v>
      </c>
      <c r="K68" s="98" t="str">
        <f>IF(ISEVEN(B68),(B68-1)&amp;"/"&amp;B68,B68&amp;"/"&amp;(B68+1))</f>
        <v>4007/4008</v>
      </c>
      <c r="L68" s="21" t="str">
        <f>VLOOKUP(A68,'Trips&amp;Operators'!$C$1:$G$99999,5,FALSE)</f>
        <v>DELGADO DIANAH</v>
      </c>
      <c r="M68" s="6">
        <f>I68-F68</f>
        <v>2.7650462958263233E-2</v>
      </c>
      <c r="N68" s="7">
        <f>24*60*SUM($M68:$M68)</f>
        <v>39.816666659899056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-02-12T10:13:33-0700',mode:absolute,to:'2017-02-12T13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8" s="188" t="str">
        <f>IF(AA68&lt;IF(AG68="EC",23,5.65),"Y","N")</f>
        <v>N</v>
      </c>
      <c r="X68" s="188">
        <f>VALUE(LEFT(AD68,4))-VALUE(LEFT(AD67,4))</f>
        <v>1</v>
      </c>
      <c r="Y68" s="62">
        <f>RIGHT(D68,LEN(D68)-4)/10000</f>
        <v>23.300699999999999</v>
      </c>
      <c r="Z68" s="62">
        <f>RIGHT(H68,LEN(H68)-4)/10000</f>
        <v>1.3599999999999999E-2</v>
      </c>
      <c r="AA68" s="62">
        <f>ABS(Z68-Y68)</f>
        <v>23.287099999999999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>IF(LEN(A68)=6,"0"&amp;A68,A68)</f>
        <v>0156-12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68" s="8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/stypes="app*4008*20170212*"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156-12 --locoid 4008 --swversion DE.1.0.8.0 --startMP 204:233007 --initTime 2017-02-12T11:13:33 --startdatetime 2017-02-12T11:26:29 --delay 1 --endMP 204:136 --enddatetime 2017-02-12T12:06:18 --enforcementcount 0 &gt;&gt;C:\Users\stu\Documents\GitHub\eaglep3-reporting\EC\2017-02-12-refined-times.txt</v>
      </c>
      <c r="AI68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{"issue":{"subject":"","project_id":79,"tracker_id":40,"status_id":1,"priority_id":2,"assigned_to_id":23,"start_date":"2017-02-12","description":"","custom_fields":[{"id":1,"name":"Subdivision","value":"EC"},{"id":4,"name":"Milepost","value":"0.0136"},{"id":17,"name":"Train ID","value":"156-12"},{"id":16,"name":"Locomotive ID","value":"4008"},{"id":130,"name":"Impact","value":""},{"id":150,"name":"Time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5"/>
        <v>start /low /b %USERPROFILE%\Documents\GitHub\eaglep3\Utilities\DownloadLogsFromS3.py --loco 4008 --day 2017-02-12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606</v>
      </c>
      <c r="B69" s="7">
        <v>4018</v>
      </c>
      <c r="C69" s="21" t="s">
        <v>193</v>
      </c>
      <c r="D69" s="21" t="s">
        <v>208</v>
      </c>
      <c r="E69" s="13">
        <v>42778.443749999999</v>
      </c>
      <c r="F69" s="13">
        <v>42778.448101851849</v>
      </c>
      <c r="G69" s="7">
        <v>1</v>
      </c>
      <c r="H69" s="21" t="s">
        <v>743</v>
      </c>
      <c r="I69" s="13">
        <v>42778.474641203706</v>
      </c>
      <c r="J69" s="7">
        <v>0</v>
      </c>
      <c r="K69" s="98" t="str">
        <f>IF(ISEVEN(B69),(B69-1)&amp;"/"&amp;B69,B69&amp;"/"&amp;(B69+1))</f>
        <v>4017/4018</v>
      </c>
      <c r="L69" s="21" t="str">
        <f>VLOOKUP(A69,'Trips&amp;Operators'!$C$1:$G$99999,5,FALSE)</f>
        <v>SHOOK JOHN</v>
      </c>
      <c r="M69" s="6">
        <f>I69-F69</f>
        <v>2.6539351856627036E-2</v>
      </c>
      <c r="N69" s="7">
        <f>24*60*SUM($M69:$M69)</f>
        <v>38.216666673542932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-02-12T09:39:00-0700',mode:absolute,to:'2017-02-12T12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9" s="188" t="str">
        <f>IF(AA69&lt;IF(AG69="EC",23,5.65),"Y","N")</f>
        <v>N</v>
      </c>
      <c r="X69" s="188">
        <f>VALUE(LEFT(AD69,4))-VALUE(LEFT(AD68,4))</f>
        <v>1</v>
      </c>
      <c r="Y69" s="62">
        <f>RIGHT(D69,LEN(D69)-4)/10000</f>
        <v>4.4900000000000002E-2</v>
      </c>
      <c r="Z69" s="62">
        <f>RIGHT(H69,LEN(H69)-4)/10000</f>
        <v>23.333400000000001</v>
      </c>
      <c r="AA69" s="62">
        <f>ABS(Z69-Y69)</f>
        <v>23.288500000000003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>IF(LEN(A69)=6,"0"&amp;A69,A69)</f>
        <v>0157-12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69" s="8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/stypes="app*4018*20170212*"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157-12 --locoid 4018 --swversion DE.1.0.8.0 --startMP 204:449 --initTime 2017-02-12T10:39:00 --startdatetime 2017-02-12T10:45:16 --delay 1 --endMP 204:233334 --enddatetime 2017-02-12T11:23:29 --enforcementcount 0 &gt;&gt;C:\Users\stu\Documents\GitHub\eaglep3-reporting\EC\2017-02-12-refined-times.txt</v>
      </c>
      <c r="AI69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{"issue":{"subject":"","project_id":79,"tracker_id":40,"status_id":1,"priority_id":2,"assigned_to_id":23,"start_date":"2017-02-12","description":"","custom_fields":[{"id":1,"name":"Subdivision","value":"EC"},{"id":4,"name":"Milepost","value":"23.3334"},{"id":17,"name":"Train ID","value":"157-12"},{"id":16,"name":"Locomotive ID","value":"4018"},{"id":130,"name":"Impact","value":""},{"id":150,"name":"Time of Event (Mountain Time)","value":"11:23:29"},{"id":151,"name":"Denver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5"/>
        <v>start /low /b %USERPROFILE%\Documents\GitHub\eaglep3\Utilities\DownloadLogsFromS3.py --loco 4018 --day 2017-02-12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616</v>
      </c>
      <c r="B70" s="7">
        <v>4017</v>
      </c>
      <c r="C70" s="21" t="s">
        <v>193</v>
      </c>
      <c r="D70" s="21" t="s">
        <v>773</v>
      </c>
      <c r="E70" s="13">
        <v>42778.476145833331</v>
      </c>
      <c r="F70" s="13">
        <v>42778.487013888887</v>
      </c>
      <c r="G70" s="7">
        <v>1</v>
      </c>
      <c r="H70" s="21" t="s">
        <v>774</v>
      </c>
      <c r="I70" s="13">
        <v>42778.516944444447</v>
      </c>
      <c r="J70" s="7">
        <v>0</v>
      </c>
      <c r="K70" s="98" t="str">
        <f>IF(ISEVEN(B70),(B70-1)&amp;"/"&amp;B70,B70&amp;"/"&amp;(B70+1))</f>
        <v>4017/4018</v>
      </c>
      <c r="L70" s="21" t="str">
        <f>VLOOKUP(A70,'Trips&amp;Operators'!$C$1:$G$99999,5,FALSE)</f>
        <v>SHOOK JOHN</v>
      </c>
      <c r="M70" s="6">
        <f>I70-F70</f>
        <v>2.9930555559985805E-2</v>
      </c>
      <c r="N70" s="7">
        <f>24*60*SUM($M70:$M70)</f>
        <v>43.10000000637956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-02-12T10:25:39-0700',mode:absolute,to:'2017-02-12T13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0" s="188" t="str">
        <f>IF(AA70&lt;IF(AG70="EC",23,5.65),"Y","N")</f>
        <v>N</v>
      </c>
      <c r="X70" s="188">
        <f>VALUE(LEFT(AD70,4))-VALUE(LEFT(AD69,4))</f>
        <v>1</v>
      </c>
      <c r="Y70" s="62">
        <f>RIGHT(D70,LEN(D70)-4)/10000</f>
        <v>23.301300000000001</v>
      </c>
      <c r="Z70" s="62">
        <f>RIGHT(H70,LEN(H70)-4)/10000</f>
        <v>1.38E-2</v>
      </c>
      <c r="AA70" s="62">
        <f>ABS(Z70-Y70)</f>
        <v>23.287500000000001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>IF(LEN(A70)=6,"0"&amp;A70,A70)</f>
        <v>0158-12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70" s="8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/stypes="app*4017*20170212*"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158-12 --locoid 4017 --swversion DE.1.0.8.0 --startMP 204:233013 --initTime 2017-02-12T11:25:39 --startdatetime 2017-02-12T11:41:18 --delay 1 --endMP 204:138 --enddatetime 2017-02-12T12:24:24 --enforcementcount 0 &gt;&gt;C:\Users\stu\Documents\GitHub\eaglep3-reporting\EC\2017-02-12-refined-times.txt</v>
      </c>
      <c r="AI70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{"issue":{"subject":"","project_id":79,"tracker_id":40,"status_id":1,"priority_id":2,"assigned_to_id":23,"start_date":"2017-02-12","description":"","custom_fields":[{"id":1,"name":"Subdivision","value":"EC"},{"id":4,"name":"Milepost","value":"0.0138"},{"id":17,"name":"Train ID","value":"158-12"},{"id":16,"name":"Locomotive ID","value":"4017"},{"id":130,"name":"Impact","value":""},{"id":150,"name":"Time of Event (Mountain Time)","value":"12:24:24"},{"id":151,"name":"Denver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5"/>
        <v>start /low /b %USERPROFILE%\Documents\GitHub\eaglep3\Utilities\DownloadLogsFromS3.py --loco 4017 --day 2017-02-12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"%USERPROFILE%\AppData\Local\Temp\OnboardLogs"\RTDC4017\*4017*20170212* | grep -SE "(Enforcement Action)|(\[TIMEOUT)|(CHR.+\|PRM\|1\|D.+(SWITCH|SIGNAL).+UNKNOWN)" - &gt;&gt; 2017-02-12-UncaughtWiMAX.txt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608</v>
      </c>
      <c r="B71" s="7">
        <v>4046</v>
      </c>
      <c r="C71" s="21" t="s">
        <v>193</v>
      </c>
      <c r="D71" s="21" t="s">
        <v>279</v>
      </c>
      <c r="E71" s="13">
        <v>42778.451192129629</v>
      </c>
      <c r="F71" s="13">
        <v>42778.458553240744</v>
      </c>
      <c r="G71" s="7">
        <v>1</v>
      </c>
      <c r="H71" s="21" t="s">
        <v>304</v>
      </c>
      <c r="I71" s="13">
        <v>42778.483240740738</v>
      </c>
      <c r="J71" s="7">
        <v>0</v>
      </c>
      <c r="K71" s="98" t="str">
        <f>IF(ISEVEN(B71),(B71-1)&amp;"/"&amp;B71,B71&amp;"/"&amp;(B71+1))</f>
        <v>4045/4046</v>
      </c>
      <c r="L71" s="21" t="str">
        <f>VLOOKUP(A71,'Trips&amp;Operators'!$C$1:$G$99999,5,FALSE)</f>
        <v>STEWART MICHAEL</v>
      </c>
      <c r="M71" s="6">
        <f>I71-F71</f>
        <v>2.4687499993888196E-2</v>
      </c>
      <c r="N71" s="7">
        <f>24*60*SUM($M71:$M71)</f>
        <v>35.549999991199002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-02-12T09:49:43-0700',mode:absolute,to:'2017-02-12T12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188" t="str">
        <f>IF(AA71&lt;IF(AG71="EC",23,5.65),"Y","N")</f>
        <v>N</v>
      </c>
      <c r="X71" s="188">
        <f>VALUE(LEFT(AD71,4))-VALUE(LEFT(AD70,4))</f>
        <v>1</v>
      </c>
      <c r="Y71" s="62">
        <f>RIGHT(D71,LEN(D71)-4)/10000</f>
        <v>4.4600000000000001E-2</v>
      </c>
      <c r="Z71" s="62">
        <f>RIGHT(H71,LEN(H71)-4)/10000</f>
        <v>23.3309</v>
      </c>
      <c r="AA71" s="62">
        <f>ABS(Z71-Y71)</f>
        <v>23.286300000000001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>IF(LEN(A71)=6,"0"&amp;A71,A71)</f>
        <v>0159-12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 &amp; 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</v>
      </c>
      <c r="AF71" s="8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/stypes="app*4046*20170212*"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159-12 --locoid 4046 --swversion DE.1.0.8.0 --startMP 204:446 --initTime 2017-02-12T10:49:43 --startdatetime 2017-02-12T11:00:19 --delay 1 --endMP 204:233309 --enddatetime 2017-02-12T11:35:52 --enforcementcount 0 &gt;&gt;C:\Users\stu\Documents\GitHub\eaglep3-reporting\EC\2017-02-12-refined-times.txt</v>
      </c>
      <c r="AI71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{"issue":{"subject":"","project_id":79,"tracker_id":40,"status_id":1,"priority_id":2,"assigned_to_id":23,"start_date":"2017-02-12","description":"","custom_fields":[{"id":1,"name":"Subdivision","value":"EC"},{"id":4,"name":"Milepost","value":"23.3309"},{"id":17,"name":"Train ID","value":"159-12"},{"id":16,"name":"Locomotive ID","value":"4046"},{"id":130,"name":"Impact","value":""},{"id":150,"name":"Time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5"/>
        <v>start /low /b %USERPROFILE%\Documents\GitHub\eaglep3\Utilities\DownloadLogsFromS3.py --loco 4046 --day 2017-02-12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"%USERPROFILE%\AppData\Local\Temp\OnboardLogs"\RTDC4046\*4046*20170212* | grep -SE "(Enforcement Action)|(\[TIMEOUT)|(CHR.+\|PRM\|1\|D.+(SWITCH|SIGNAL).+UNKNOWN)" - &gt;&gt; 2017-02-12-UncaughtWiMAX.txt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621</v>
      </c>
      <c r="B72" s="7">
        <v>4045</v>
      </c>
      <c r="C72" s="21" t="s">
        <v>193</v>
      </c>
      <c r="D72" s="21" t="s">
        <v>343</v>
      </c>
      <c r="E72" s="13">
        <v>42778.492951388886</v>
      </c>
      <c r="F72" s="13">
        <v>42778.498657407406</v>
      </c>
      <c r="G72" s="7">
        <v>2</v>
      </c>
      <c r="H72" s="21" t="s">
        <v>209</v>
      </c>
      <c r="I72" s="13">
        <v>42778.524988425925</v>
      </c>
      <c r="J72" s="7">
        <v>0</v>
      </c>
      <c r="K72" s="98" t="str">
        <f>IF(ISEVEN(B72),(B72-1)&amp;"/"&amp;B72,B72&amp;"/"&amp;(B72+1))</f>
        <v>4045/4046</v>
      </c>
      <c r="L72" s="21" t="str">
        <f>VLOOKUP(A72,'Trips&amp;Operators'!$C$1:$G$99999,5,FALSE)</f>
        <v>STEWART MICHAEL</v>
      </c>
      <c r="M72" s="6">
        <f>I72-F72</f>
        <v>2.6331018518249039E-2</v>
      </c>
      <c r="N72" s="7">
        <f>24*60*SUM($M72:$M72)</f>
        <v>37.916666666278616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-02-12T10:49:51-0700',mode:absolute,to:'2017-02-12T13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188" t="str">
        <f>IF(AA72&lt;IF(AG72="EC",23,5.65),"Y","N")</f>
        <v>N</v>
      </c>
      <c r="X72" s="188">
        <f>VALUE(LEFT(AD72,4))-VALUE(LEFT(AD71,4))</f>
        <v>1</v>
      </c>
      <c r="Y72" s="62">
        <f>RIGHT(D72,LEN(D72)-4)/10000</f>
        <v>23.2973</v>
      </c>
      <c r="Z72" s="62">
        <f>RIGHT(H72,LEN(H72)-4)/10000</f>
        <v>1.52E-2</v>
      </c>
      <c r="AA72" s="62">
        <f>ABS(Z72-Y72)</f>
        <v>23.2821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>IF(LEN(A72)=6,"0"&amp;A72,A72)</f>
        <v>0160-12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s3://rtdc.mdm.uploadarchive.raw/RTDC4045/ "%USERPROFILE%\AppData\Local\Temp\OnboardLogs"\RTDC4045\2017-02-12 --exclude "*" --recursive --include "*20170212*" &amp; "%USERPROFILE%\Documents\GitHub\mrs-test-scripts\Headless Mode &amp; Sideloading\WalkAndUnGZ.bat" "%USERPROFILE%\AppData\Local\Temp\OnboardLogs"\RTDC4045\2017-02-12 &amp; 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</v>
      </c>
      <c r="AF72" s="8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/stypes="app*4045*20170212*"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160-12 --locoid 4045 --swversion DE.1.0.8.0 --startMP 204:232973 --initTime 2017-02-12T11:49:51 --startdatetime 2017-02-12T11:58:04 --delay 2 --endMP 204:152 --enddatetime 2017-02-12T12:35:59 --enforcementcount 0 &gt;&gt;C:\Users\stu\Documents\GitHub\eaglep3-reporting\EC\2017-02-12-refined-times.txt</v>
      </c>
      <c r="AI72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{"issue":{"subject":"","project_id":79,"tracker_id":40,"status_id":1,"priority_id":2,"assigned_to_id":23,"start_date":"2017-02-12","description":"","custom_fields":[{"id":1,"name":"Subdivision","value":"EC"},{"id":4,"name":"Milepost","value":"0.0152"},{"id":17,"name":"Train ID","value":"160-12"},{"id":16,"name":"Locomotive ID","value":"4045"},{"id":130,"name":"Impact","value":""},{"id":150,"name":"Time of Event (Mountain Time)","value":"12:35:59"},{"id":151,"name":"Denver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5"/>
        <v>start /low /b %USERPROFILE%\Documents\GitHub\eaglep3\Utilities\DownloadLogsFromS3.py --loco 4045 --day 2017-02-12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"%USERPROFILE%\AppData\Local\Temp\OnboardLogs"\RTDC4045\*4045*20170212* | grep -SE "(Enforcement Action)|(\[TIMEOUT)|(CHR.+\|PRM\|1\|D.+(SWITCH|SIGNAL).+UNKNOWN)" - &gt;&gt; 2017-02-12-UncaughtWiMAX.txt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614</v>
      </c>
      <c r="B73" s="7">
        <v>4038</v>
      </c>
      <c r="C73" s="21" t="s">
        <v>193</v>
      </c>
      <c r="D73" s="21" t="s">
        <v>239</v>
      </c>
      <c r="E73" s="13">
        <v>42778.468460648146</v>
      </c>
      <c r="F73" s="13">
        <v>42778.471597222226</v>
      </c>
      <c r="G73" s="7">
        <v>2</v>
      </c>
      <c r="H73" s="21" t="s">
        <v>355</v>
      </c>
      <c r="I73" s="13">
        <v>42778.498391203706</v>
      </c>
      <c r="J73" s="7">
        <v>0</v>
      </c>
      <c r="K73" s="98" t="str">
        <f>IF(ISEVEN(B73),(B73-1)&amp;"/"&amp;B73,B73&amp;"/"&amp;(B73+1))</f>
        <v>4037/4038</v>
      </c>
      <c r="L73" s="21" t="str">
        <f>VLOOKUP(A73,'Trips&amp;Operators'!$C$1:$G$99999,5,FALSE)</f>
        <v>DAVIS MICHAEL</v>
      </c>
      <c r="M73" s="6">
        <f>I73-F73</f>
        <v>2.679398148029577E-2</v>
      </c>
      <c r="N73" s="7">
        <f>24*60*SUM($M73:$M73)</f>
        <v>38.583333331625909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-02-12T10:14:35-0700',mode:absolute,to:'2017-02-12T12:57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73" s="188" t="str">
        <f>IF(AA73&lt;IF(AG73="EC",23,5.65),"Y","N")</f>
        <v>N</v>
      </c>
      <c r="X73" s="188">
        <f>VALUE(LEFT(AD73,4))-VALUE(LEFT(AD72,4))</f>
        <v>1</v>
      </c>
      <c r="Y73" s="62">
        <f>RIGHT(D73,LEN(D73)-4)/10000</f>
        <v>4.5999999999999999E-2</v>
      </c>
      <c r="Z73" s="62">
        <f>RIGHT(H73,LEN(H73)-4)/10000</f>
        <v>23.3323</v>
      </c>
      <c r="AA73" s="62">
        <f>ABS(Z73-Y73)</f>
        <v>23.286300000000001</v>
      </c>
      <c r="AB73" s="59" t="e">
        <f>VLOOKUP(A73,Enforcements!$C$7:$K$14,8,0)</f>
        <v>#N/A</v>
      </c>
      <c r="AC73" s="55" t="e">
        <f>VLOOKUP(A73,Enforcements!$C$7:$E$14,3,0)</f>
        <v>#N/A</v>
      </c>
      <c r="AD73" s="56" t="str">
        <f>IF(LEN(A73)=6,"0"&amp;A73,A73)</f>
        <v>0161-12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73" s="8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/stypes="app*4038*20170212*"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161-12 --locoid 4038 --swversion DE.1.0.8.0 --startMP 204:460 --initTime 2017-02-12T11:14:35 --startdatetime 2017-02-12T11:19:06 --delay 2 --endMP 204:233323 --enddatetime 2017-02-12T11:57:41 --enforcementcount 0 &gt;&gt;C:\Users\stu\Documents\GitHub\eaglep3-reporting\EC\2017-02-12-refined-times.txt</v>
      </c>
      <c r="AI73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{"issue":{"subject":"","project_id":79,"tracker_id":40,"status_id":1,"priority_id":2,"assigned_to_id":23,"start_date":"2017-02-12","description":"","custom_fields":[{"id":1,"name":"Subdivision","value":"EC"},{"id":4,"name":"Milepost","value":"23.3323"},{"id":17,"name":"Train ID","value":"161-12"},{"id":16,"name":"Locomotive ID","value":"4038"},{"id":130,"name":"Impact","value":""},{"id":150,"name":"Time of Event (Mountain Time)","value":"11:57:41"},{"id":151,"name":"Denver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5"/>
        <v>start /low /b %USERPROFILE%\Documents\GitHub\eaglep3\Utilities\DownloadLogsFromS3.py --loco 4038 --day 2017-02-12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624</v>
      </c>
      <c r="B74" s="7">
        <v>4037</v>
      </c>
      <c r="C74" s="21" t="s">
        <v>193</v>
      </c>
      <c r="D74" s="21" t="s">
        <v>751</v>
      </c>
      <c r="E74" s="13">
        <v>42778.505277777775</v>
      </c>
      <c r="F74" s="13">
        <v>42778.508032407408</v>
      </c>
      <c r="G74" s="7">
        <v>1</v>
      </c>
      <c r="H74" s="21" t="s">
        <v>232</v>
      </c>
      <c r="I74" s="13">
        <v>42778.535115740742</v>
      </c>
      <c r="J74" s="7">
        <v>0</v>
      </c>
      <c r="K74" s="98" t="str">
        <f>IF(ISEVEN(B74),(B74-1)&amp;"/"&amp;B74,B74&amp;"/"&amp;(B74+1))</f>
        <v>4037/4038</v>
      </c>
      <c r="L74" s="21" t="str">
        <f>VLOOKUP(A74,'Trips&amp;Operators'!$C$1:$G$99999,5,FALSE)</f>
        <v>DAVIS MICHAEL</v>
      </c>
      <c r="M74" s="6">
        <f>I74-F74</f>
        <v>2.7083333334303461E-2</v>
      </c>
      <c r="N74" s="7">
        <f>24*60*SUM($M74:$M74)</f>
        <v>39.000000001396984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-02-12T11:07:36-0700',mode:absolute,to:'2017-02-12T13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4" s="188" t="str">
        <f>IF(AA74&lt;IF(AG74="EC",23,5.65),"Y","N")</f>
        <v>N</v>
      </c>
      <c r="X74" s="188">
        <f>VALUE(LEFT(AD74,4))-VALUE(LEFT(AD73,4))</f>
        <v>1</v>
      </c>
      <c r="Y74" s="62">
        <f>RIGHT(D74,LEN(D74)-4)/10000</f>
        <v>23.300599999999999</v>
      </c>
      <c r="Z74" s="62">
        <f>RIGHT(H74,LEN(H74)-4)/10000</f>
        <v>1.43E-2</v>
      </c>
      <c r="AA74" s="62">
        <f>ABS(Z74-Y74)</f>
        <v>23.286300000000001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>IF(LEN(A74)=6,"0"&amp;A74,A74)</f>
        <v>0162-12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74" s="8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/stypes="app*4037*20170212*"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162-12 --locoid 4037 --swversion DE.1.0.8.0 --startMP 204:233006 --initTime 2017-02-12T12:07:36 --startdatetime 2017-02-12T12:11:34 --delay 1 --endMP 204:143 --enddatetime 2017-02-12T12:50:34 --enforcementcount 0 &gt;&gt;C:\Users\stu\Documents\GitHub\eaglep3-reporting\EC\2017-02-12-refined-times.txt</v>
      </c>
      <c r="AI74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{"issue":{"subject":"","project_id":79,"tracker_id":40,"status_id":1,"priority_id":2,"assigned_to_id":23,"start_date":"2017-02-12","description":"","custom_fields":[{"id":1,"name":"Subdivision","value":"EC"},{"id":4,"name":"Milepost","value":"0.0143"},{"id":17,"name":"Train ID","value":"162-12"},{"id":16,"name":"Locomotive ID","value":"4037"},{"id":130,"name":"Impact","value":""},{"id":150,"name":"Time of Event (Mountain Time)","value":"12:50:34"},{"id":151,"name":"Denver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5"/>
        <v>start /low /b %USERPROFILE%\Documents\GitHub\eaglep3\Utilities\DownloadLogsFromS3.py --loco 4037 --day 2017-02-12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"%USERPROFILE%\AppData\Local\Temp\OnboardLogs"\RTDC4037\*4037*20170212* | grep -SE "(Enforcement Action)|(\[TIMEOUT)|(CHR.+\|PRM\|1\|D.+(SWITCH|SIGNAL).+UNKNOWN)" - &gt;&gt; 2017-02-12-UncaughtWiMAX.txt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615</v>
      </c>
      <c r="B75" s="7">
        <v>4029</v>
      </c>
      <c r="C75" s="21" t="s">
        <v>193</v>
      </c>
      <c r="D75" s="21" t="s">
        <v>447</v>
      </c>
      <c r="E75" s="13">
        <v>42778.475532407407</v>
      </c>
      <c r="F75" s="13">
        <v>42778.479409722226</v>
      </c>
      <c r="G75" s="7">
        <v>1</v>
      </c>
      <c r="H75" s="21" t="s">
        <v>354</v>
      </c>
      <c r="I75" s="13">
        <v>42778.504618055558</v>
      </c>
      <c r="J75" s="7">
        <v>0</v>
      </c>
      <c r="K75" s="98" t="str">
        <f>IF(ISEVEN(B75),(B75-1)&amp;"/"&amp;B75,B75&amp;"/"&amp;(B75+1))</f>
        <v>4029/4030</v>
      </c>
      <c r="L75" s="21" t="str">
        <f>VLOOKUP(A75,'Trips&amp;Operators'!$C$1:$G$99999,5,FALSE)</f>
        <v>WHITED DUSTIN</v>
      </c>
      <c r="M75" s="6">
        <f>I75-F75</f>
        <v>2.5208333332557231E-2</v>
      </c>
      <c r="N75" s="7">
        <f>24*60*SUM($M75:$M75)</f>
        <v>36.299999998882413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-02-12T10:24:46-0700',mode:absolute,to:'2017-02-12T13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88" t="str">
        <f>IF(AA75&lt;IF(AG75="EC",23,5.65),"Y","N")</f>
        <v>N</v>
      </c>
      <c r="X75" s="188">
        <f>VALUE(LEFT(AD75,4))-VALUE(LEFT(AD74,4))</f>
        <v>1</v>
      </c>
      <c r="Y75" s="62">
        <f>RIGHT(D75,LEN(D75)-4)/10000</f>
        <v>4.7500000000000001E-2</v>
      </c>
      <c r="Z75" s="62">
        <f>RIGHT(H75,LEN(H75)-4)/10000</f>
        <v>23.331199999999999</v>
      </c>
      <c r="AA75" s="62">
        <f>ABS(Z75-Y75)</f>
        <v>23.2837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>IF(LEN(A75)=6,"0"&amp;A75,A75)</f>
        <v>0163-12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75" s="8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/stypes="app*4029*20170212*"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163-12 --locoid 4029 --swversion DE.1.0.8.0 --startMP 204:475 --initTime 2017-02-12T11:24:46 --startdatetime 2017-02-12T11:30:21 --delay 1 --endMP 204:233312 --enddatetime 2017-02-12T12:06:39 --enforcementcount 0 &gt;&gt;C:\Users\stu\Documents\GitHub\eaglep3-reporting\EC\2017-02-12-refined-times.txt</v>
      </c>
      <c r="AI75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{"issue":{"subject":"","project_id":79,"tracker_id":40,"status_id":1,"priority_id":2,"assigned_to_id":23,"start_date":"2017-02-12","description":"","custom_fields":[{"id":1,"name":"Subdivision","value":"EC"},{"id":4,"name":"Milepost","value":"23.3312"},{"id":17,"name":"Train ID","value":"163-12"},{"id":16,"name":"Locomotive ID","value":"4029"},{"id":130,"name":"Impact","value":""},{"id":150,"name":"Time of Event (Mountain Time)","value":"12:06:39"},{"id":151,"name":"Denver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5"/>
        <v>start /low /b %USERPROFILE%\Documents\GitHub\eaglep3\Utilities\DownloadLogsFromS3.py --loco 4029 --day 2017-02-12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628</v>
      </c>
      <c r="B76" s="7">
        <v>4030</v>
      </c>
      <c r="C76" s="21" t="s">
        <v>193</v>
      </c>
      <c r="D76" s="21" t="s">
        <v>501</v>
      </c>
      <c r="E76" s="13">
        <v>42778.510983796295</v>
      </c>
      <c r="F76" s="13">
        <v>42778.518321759257</v>
      </c>
      <c r="G76" s="7">
        <v>1</v>
      </c>
      <c r="H76" s="21" t="s">
        <v>195</v>
      </c>
      <c r="I76" s="13">
        <v>42778.54478009259</v>
      </c>
      <c r="J76" s="7">
        <v>0</v>
      </c>
      <c r="K76" s="98" t="str">
        <f>IF(ISEVEN(B76),(B76-1)&amp;"/"&amp;B76,B76&amp;"/"&amp;(B76+1))</f>
        <v>4029/4030</v>
      </c>
      <c r="L76" s="21" t="str">
        <f>VLOOKUP(A76,'Trips&amp;Operators'!$C$1:$G$99999,5,FALSE)</f>
        <v>WHITED DUSTIN</v>
      </c>
      <c r="M76" s="6">
        <f>I76-F76</f>
        <v>2.6458333333721384E-2</v>
      </c>
      <c r="N76" s="7">
        <f>24*60*SUM($M76:$M76)</f>
        <v>38.100000000558794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-02-12T11:15:49-0700',mode:absolute,to:'2017-02-12T14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188" t="str">
        <f>IF(AA76&lt;IF(AG76="EC",23,5.65),"Y","N")</f>
        <v>N</v>
      </c>
      <c r="X76" s="188">
        <f>VALUE(LEFT(AD76,4))-VALUE(LEFT(AD75,4))</f>
        <v>1</v>
      </c>
      <c r="Y76" s="62">
        <f>RIGHT(D76,LEN(D76)-4)/10000</f>
        <v>23.299199999999999</v>
      </c>
      <c r="Z76" s="62">
        <f>RIGHT(H76,LEN(H76)-4)/10000</f>
        <v>1.4999999999999999E-2</v>
      </c>
      <c r="AA76" s="62">
        <f>ABS(Z76-Y76)</f>
        <v>23.284199999999998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>IF(LEN(A76)=6,"0"&amp;A76,A76)</f>
        <v>0164-12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76" s="8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/stypes="app*4030*20170212*" /stext=" 20:.+((SYSTEM_STATE.+slice.+state.+changed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164-12 --locoid 4030 --swversion DE.1.0.8.0 --startMP 204:232992 --initTime 2017-02-12T12:15:49 --startdatetime 2017-02-12T12:26:23 --delay 1 --endMP 204:150 --enddatetime 2017-02-12T13:04:29 --enforcementcount 0 &gt;&gt;C:\Users\stu\Documents\GitHub\eaglep3-reporting\EC\2017-02-12-refined-times.txt</v>
      </c>
      <c r="AI76" s="108" t="str">
        <f t="shared" si="4"/>
        <v>echo {"issue":{"subject":"","project_id":79,"tracker_id":40,"status_id":1,"priority_id":2,"assigned_to_id":23,"start_date":"2017-02-12","description":"","custom_fields":[{"id":1,"name":"Subdivision","value":"EC"},{"id":4,"name":"Milepost","value":"0.015"},{"id":17,"name":"Train ID","value":"164-12"},{"id":16,"name":"Locomotive ID","value":"4030"},{"id":130,"name":"Impact","value":""},{"id":150,"name":"Time of Event (Mountain Time)","value":"13:04:29"},{"id":151,"name":"Denver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5"/>
        <v>start /low /b %USERPROFILE%\Documents\GitHub\eaglep3\Utilities\DownloadLogsFromS3.py --loco 4030 --day 2017-02-12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 s="33" t="s">
        <v>618</v>
      </c>
      <c r="B77" s="7">
        <v>4031</v>
      </c>
      <c r="C77" s="21" t="s">
        <v>193</v>
      </c>
      <c r="D77" s="21" t="s">
        <v>500</v>
      </c>
      <c r="E77" s="13">
        <v>42778.485763888886</v>
      </c>
      <c r="F77" s="13">
        <v>42778.489872685182</v>
      </c>
      <c r="G77" s="7">
        <v>1</v>
      </c>
      <c r="H77" s="21" t="s">
        <v>355</v>
      </c>
      <c r="I77" s="13">
        <v>42778.515393518515</v>
      </c>
      <c r="J77" s="7">
        <v>0</v>
      </c>
      <c r="K77" s="98" t="str">
        <f>IF(ISEVEN(B77),(B77-1)&amp;"/"&amp;B77,B77&amp;"/"&amp;(B77+1))</f>
        <v>4031/4032</v>
      </c>
      <c r="L77" s="21" t="str">
        <f>VLOOKUP(A77,'Trips&amp;Operators'!$C$1:$G$99999,5,FALSE)</f>
        <v>LALONDE GREGORY</v>
      </c>
      <c r="M77" s="6">
        <f>I77-F77</f>
        <v>2.5520833332848269E-2</v>
      </c>
      <c r="N77" s="7">
        <f>24*60*SUM($M77:$M77)</f>
        <v>36.749999999301508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-12T10:39:30-0700',mode:absolute,to:'2017-02-12T13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188" t="str">
        <f>IF(AA77&lt;IF(AG77="EC",23,5.65),"Y","N")</f>
        <v>N</v>
      </c>
      <c r="X77" s="188">
        <f>VALUE(LEFT(AD77,4))-VALUE(LEFT(AD76,4))</f>
        <v>1</v>
      </c>
      <c r="Y77" s="62">
        <f>RIGHT(D77,LEN(D77)-4)/10000</f>
        <v>4.6600000000000003E-2</v>
      </c>
      <c r="Z77" s="62">
        <f>RIGHT(H77,LEN(H77)-4)/10000</f>
        <v>23.3323</v>
      </c>
      <c r="AA77" s="62">
        <f>ABS(Z77-Y77)</f>
        <v>23.285699999999999</v>
      </c>
      <c r="AB77" s="59" t="e">
        <f>VLOOKUP(A77,Enforcements!$C$7:$K$14,8,0)</f>
        <v>#N/A</v>
      </c>
      <c r="AC77" s="55" t="e">
        <f>VLOOKUP(A77,Enforcements!$C$7:$E$14,3,0)</f>
        <v>#N/A</v>
      </c>
      <c r="AD77" s="56" t="str">
        <f>IF(LEN(A77)=6,"0"&amp;A77,A77)</f>
        <v>0165-12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77" s="8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/stypes="app*4031*20170212*"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6" t="str">
        <f t="shared" ref="AH77:AH140" si="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165-12 --locoid 4031 --swversion DE.1.0.8.0 --startMP 204:466 --initTime 2017-02-12T11:39:30 --startdatetime 2017-02-12T11:45:25 --delay 1 --endMP 204:233323 --enddatetime 2017-02-12T12:22:10 --enforcementcount 0 &gt;&gt;C:\Users\stu\Documents\GitHub\eaglep3-reporting\EC\2017-02-12-refined-times.txt</v>
      </c>
      <c r="AI77" s="108" t="str">
        <f t="shared" ref="AI77:AI140" si="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{"issue":{"subject":"","project_id":79,"tracker_id":40,"status_id":1,"priority_id":2,"assigned_to_id":23,"start_date":"2017-02-12","description":"","custom_fields":[{"id":1,"name":"Subdivision","value":"EC"},{"id":4,"name":"Milepost","value":"23.3323"},{"id":17,"name":"Train ID","value":"165-12"},{"id":16,"name":"Locomotive ID","value":"4031"},{"id":130,"name":"Impact","value":""},{"id":150,"name":"Time of Event (Mountain Time)","value":"12:22:10"},{"id":151,"name":"Denver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ref="AM77:AM140" si="9">"start /low /b "&amp;dls3logs&amp;" --loco "&amp;B77&amp;" --day "&amp;TEXT(F77,"YYYY-MM-DD")</f>
        <v>start /low /b %USERPROFILE%\Documents\GitHub\eaglep3\Utilities\DownloadLogsFromS3.py --loco 4031 --day 2017-02-12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2017-02-12-UncaughtWiMAX.txt</v>
      </c>
    </row>
    <row r="78" spans="1:91" x14ac:dyDescent="0.25">
      <c r="A78" s="33" t="s">
        <v>630</v>
      </c>
      <c r="B78" s="7">
        <v>4032</v>
      </c>
      <c r="C78" s="21" t="s">
        <v>193</v>
      </c>
      <c r="D78" s="21" t="s">
        <v>448</v>
      </c>
      <c r="E78" s="13">
        <v>42778.52171296296</v>
      </c>
      <c r="F78" s="13">
        <v>42778.528634259259</v>
      </c>
      <c r="G78" s="7">
        <v>1</v>
      </c>
      <c r="H78" s="21" t="s">
        <v>209</v>
      </c>
      <c r="I78" s="13">
        <v>42778.554791666669</v>
      </c>
      <c r="J78" s="7">
        <v>0</v>
      </c>
      <c r="K78" s="98" t="str">
        <f>IF(ISEVEN(B78),(B78-1)&amp;"/"&amp;B78,B78&amp;"/"&amp;(B78+1))</f>
        <v>4031/4032</v>
      </c>
      <c r="L78" s="21" t="str">
        <f>VLOOKUP(A78,'Trips&amp;Operators'!$C$1:$G$99999,5,FALSE)</f>
        <v>LALONDE GREGORY</v>
      </c>
      <c r="M78" s="6">
        <f>I78-F78</f>
        <v>2.6157407410209998E-2</v>
      </c>
      <c r="N78" s="7">
        <f>24*60*SUM($M78:$M78)</f>
        <v>37.666666670702398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-02-12T11:31:16-0700',mode:absolute,to:'2017-02-12T14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188" t="str">
        <f>IF(AA78&lt;IF(AG78="EC",23,5.65),"Y","N")</f>
        <v>N</v>
      </c>
      <c r="X78" s="188">
        <f>VALUE(LEFT(AD78,4))-VALUE(LEFT(AD77,4))</f>
        <v>1</v>
      </c>
      <c r="Y78" s="62">
        <f>RIGHT(D78,LEN(D78)-4)/10000</f>
        <v>23.3</v>
      </c>
      <c r="Z78" s="62">
        <f>RIGHT(H78,LEN(H78)-4)/10000</f>
        <v>1.52E-2</v>
      </c>
      <c r="AA78" s="62">
        <f>ABS(Z78-Y78)</f>
        <v>23.284800000000001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>IF(LEN(A78)=6,"0"&amp;A78,A78)</f>
        <v>0166-12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78" s="8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/stypes="app*4032*20170212*"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6" t="str">
        <f t="shared" si="7"/>
        <v>"%USERPROFILE%\Documents\GitHub\eaglep3\Utilities\RefineRTDCRunTimes.py" --tripid 166-12 --locoid 4032 --swversion DE.1.0.8.0 --startMP 204:233000 --initTime 2017-02-12T12:31:16 --startdatetime 2017-02-12T12:41:14 --delay 1 --endMP 204:152 --enddatetime 2017-02-12T13:18:54 --enforcementcount 0 &gt;&gt;C:\Users\stu\Documents\GitHub\eaglep3-reporting\EC\2017-02-12-refined-times.txt</v>
      </c>
      <c r="AI78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{"issue":{"subject":"","project_id":79,"tracker_id":40,"status_id":1,"priority_id":2,"assigned_to_id":23,"start_date":"2017-02-12","description":"","custom_fields":[{"id":1,"name":"Subdivision","value":"EC"},{"id":4,"name":"Milepost","value":"0.0152"},{"id":17,"name":"Train ID","value":"166-12"},{"id":16,"name":"Locomotive ID","value":"4032"},{"id":130,"name":"Impact","value":""},{"id":150,"name":"Time of Event (Mountain Time)","value":"13:18:54"},{"id":151,"name":"Denver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9"/>
        <v>start /low /b %USERPROFILE%\Documents\GitHub\eaglep3\Utilities\DownloadLogsFromS3.py --loco 4032 --day 2017-02-12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</row>
    <row r="79" spans="1:91" s="20" customFormat="1" x14ac:dyDescent="0.25">
      <c r="A79" s="33" t="s">
        <v>622</v>
      </c>
      <c r="B79" s="7">
        <v>4009</v>
      </c>
      <c r="C79" s="21" t="s">
        <v>193</v>
      </c>
      <c r="D79" s="21" t="s">
        <v>270</v>
      </c>
      <c r="E79" s="13">
        <v>42778.493657407409</v>
      </c>
      <c r="F79" s="13">
        <v>42778.500289351854</v>
      </c>
      <c r="G79" s="7">
        <v>1</v>
      </c>
      <c r="H79" s="21" t="s">
        <v>305</v>
      </c>
      <c r="I79" s="13">
        <v>42778.525590277779</v>
      </c>
      <c r="J79" s="7">
        <v>0</v>
      </c>
      <c r="K79" s="98" t="str">
        <f>IF(ISEVEN(B79),(B79-1)&amp;"/"&amp;B79,B79&amp;"/"&amp;(B79+1))</f>
        <v>4009/4010</v>
      </c>
      <c r="L79" s="21" t="str">
        <f>VLOOKUP(A79,'Trips&amp;Operators'!$C$1:$G$99999,5,FALSE)</f>
        <v>CRAYTON QUNTRELL</v>
      </c>
      <c r="M79" s="6">
        <f>I79-F79</f>
        <v>2.5300925924966577E-2</v>
      </c>
      <c r="N79" s="7">
        <f>24*60*SUM($M79:$M79)</f>
        <v>36.433333331951872</v>
      </c>
      <c r="O79" s="7"/>
      <c r="P79" s="7"/>
      <c r="Q79" s="22"/>
      <c r="R79" s="22" t="s">
        <v>903</v>
      </c>
      <c r="S79" s="31">
        <f>SUM(U79:U79)/IF(AG79="EC",12,1)</f>
        <v>1</v>
      </c>
      <c r="T79" s="46" t="str">
        <f>IF(ISEVEN(LEFT(AD79,4)),"Southbound","NorthBound")</f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-02-12T10:50:52-0700',mode:absolute,to:'2017-02-12T13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9" s="188" t="str">
        <f>IF(AA79&lt;IF(AG79="EC",23,5.65),"Y","N")</f>
        <v>N</v>
      </c>
      <c r="X79" s="188">
        <f>VALUE(LEFT(AD79,4))-VALUE(LEFT(AD78,4))</f>
        <v>1</v>
      </c>
      <c r="Y79" s="62">
        <f>RIGHT(D79,LEN(D79)-4)/10000</f>
        <v>4.53E-2</v>
      </c>
      <c r="Z79" s="62">
        <f>RIGHT(H79,LEN(H79)-4)/10000</f>
        <v>23.330300000000001</v>
      </c>
      <c r="AA79" s="62">
        <f>ABS(Z79-Y79)</f>
        <v>23.285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>IF(LEN(A79)=6,"0"&amp;A79,A79)</f>
        <v>0167-12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79" s="8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/stypes="app*4009*20170212*"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6" t="str">
        <f t="shared" si="7"/>
        <v>"%USERPROFILE%\Documents\GitHub\eaglep3\Utilities\RefineRTDCRunTimes.py" --tripid 167-12 --locoid 4009 --swversion DE.1.0.8.0 --startMP 204:453 --initTime 2017-02-12T11:50:52 --startdatetime 2017-02-12T12:00:25 --delay 1 --endMP 204:233303 --enddatetime 2017-02-12T12:36:51 --enforcementcount 0 &gt;&gt;C:\Users\stu\Documents\GitHub\eaglep3-reporting\EC\2017-02-12-refined-times.txt</v>
      </c>
      <c r="AI79" s="108" t="str">
        <f t="shared" si="8"/>
        <v>echo {"issue":{"subject":"Wi-MAX data drop that didn't cause enforcement","project_id":79,"tracker_id":40,"status_id":1,"priority_id":2,"assigned_to_id":23,"start_date":"2017-02-12","description":"","custom_fields":[{"id":1,"name":"Subdivision","value":"EC"},{"id":4,"name":"Milepost","value":"23.3303"},{"id":17,"name":"Train ID","value":"167-12"},{"id":16,"name":"Locomotive ID","value":"4009"},{"id":130,"name":"Impact","value":""},{"id":150,"name":"Time of Event (Mountain Time)","value":"12:36:51"},{"id":151,"name":"Denver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9"/>
        <v>start /low /b %USERPROFILE%\Documents\GitHub\eaglep3\Utilities\DownloadLogsFromS3.py --loco 4009 --day 2017-02-12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523</v>
      </c>
      <c r="B80" s="7">
        <v>4010</v>
      </c>
      <c r="C80" s="21" t="s">
        <v>193</v>
      </c>
      <c r="D80" s="21" t="s">
        <v>749</v>
      </c>
      <c r="E80" s="13">
        <v>42778.529085648152</v>
      </c>
      <c r="F80" s="13">
        <v>42778.539189814815</v>
      </c>
      <c r="G80" s="7">
        <v>1</v>
      </c>
      <c r="H80" s="21" t="s">
        <v>775</v>
      </c>
      <c r="I80" s="13">
        <v>42778.56559027778</v>
      </c>
      <c r="J80" s="7">
        <v>0</v>
      </c>
      <c r="K80" s="98" t="str">
        <f>IF(ISEVEN(B80),(B80-1)&amp;"/"&amp;B80,B80&amp;"/"&amp;(B80+1))</f>
        <v>4009/4010</v>
      </c>
      <c r="L80" s="21" t="str">
        <f>VLOOKUP(A80,'Trips&amp;Operators'!$C$1:$G$99999,5,FALSE)</f>
        <v>CRAYTON QUNTRELL</v>
      </c>
      <c r="M80" s="6">
        <f>I80-F80</f>
        <v>2.6400462964375038E-2</v>
      </c>
      <c r="N80" s="7">
        <f>24*60*SUM($M80:$M80)</f>
        <v>38.016666668700054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-02-12T11:41:53-0700',mode:absolute,to:'2017-02-12T14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188" t="str">
        <f>IF(AA80&lt;IF(AG80="EC",23,5.65),"Y","N")</f>
        <v>N</v>
      </c>
      <c r="X80" s="188">
        <f>VALUE(LEFT(AD80,4))-VALUE(LEFT(AD79,4))</f>
        <v>1</v>
      </c>
      <c r="Y80" s="62">
        <f>RIGHT(D80,LEN(D80)-4)/10000</f>
        <v>23.299800000000001</v>
      </c>
      <c r="Z80" s="62">
        <f>RIGHT(H80,LEN(H80)-4)/10000</f>
        <v>1.7600000000000001E-2</v>
      </c>
      <c r="AA80" s="62">
        <f>ABS(Z80-Y80)</f>
        <v>23.2822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>IF(LEN(A80)=6,"0"&amp;A80,A80)</f>
        <v>0168-12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80" s="8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/stypes="app*4010*20170212*"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6" t="str">
        <f t="shared" si="7"/>
        <v>"%USERPROFILE%\Documents\GitHub\eaglep3\Utilities\RefineRTDCRunTimes.py" --tripid 168-12 --locoid 4010 --swversion DE.1.0.8.0 --startMP 204:232998 --initTime 2017-02-12T12:41:53 --startdatetime 2017-02-12T12:56:26 --delay 1 --endMP 204:176 --enddatetime 2017-02-12T13:34:27 --enforcementcount 0 &gt;&gt;C:\Users\stu\Documents\GitHub\eaglep3-reporting\EC\2017-02-12-refined-times.txt</v>
      </c>
      <c r="AI80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{"issue":{"subject":"","project_id":79,"tracker_id":40,"status_id":1,"priority_id":2,"assigned_to_id":23,"start_date":"2017-02-12","description":"","custom_fields":[{"id":1,"name":"Subdivision","value":"EC"},{"id":4,"name":"Milepost","value":"0.0176"},{"id":17,"name":"Train ID","value":"168-12"},{"id":16,"name":"Locomotive ID","value":"4010"},{"id":130,"name":"Impact","value":""},{"id":150,"name":"Time of Event (Mountain Time)","value":"13:34:27"},{"id":151,"name":"Denver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9"/>
        <v>start /low /b %USERPROFILE%\Documents\GitHub\eaglep3\Utilities\DownloadLogsFromS3.py --loco 4010 --day 2017-02-12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625</v>
      </c>
      <c r="B81" s="7">
        <v>4007</v>
      </c>
      <c r="C81" s="21" t="s">
        <v>193</v>
      </c>
      <c r="D81" s="21" t="s">
        <v>280</v>
      </c>
      <c r="E81" s="13">
        <v>42778.506712962961</v>
      </c>
      <c r="F81" s="13">
        <v>42778.510613425926</v>
      </c>
      <c r="G81" s="7">
        <v>1</v>
      </c>
      <c r="H81" s="21" t="s">
        <v>497</v>
      </c>
      <c r="I81" s="13">
        <v>42778.535879629628</v>
      </c>
      <c r="J81" s="7">
        <v>0</v>
      </c>
      <c r="K81" s="98" t="str">
        <f>IF(ISEVEN(B81),(B81-1)&amp;"/"&amp;B81,B81&amp;"/"&amp;(B81+1))</f>
        <v>4007/4008</v>
      </c>
      <c r="L81" s="21" t="str">
        <f>VLOOKUP(A81,'Trips&amp;Operators'!$C$1:$G$99999,5,FALSE)</f>
        <v>ROMERO CHAD</v>
      </c>
      <c r="M81" s="6">
        <f>I81-F81</f>
        <v>2.5266203701903578E-2</v>
      </c>
      <c r="N81" s="7">
        <f>24*60*SUM($M81:$M81)</f>
        <v>36.383333330741152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-02-12T11:09:40-0700',mode:absolute,to:'2017-02-12T13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88" t="str">
        <f>IF(AA81&lt;IF(AG81="EC",23,5.65),"Y","N")</f>
        <v>N</v>
      </c>
      <c r="X81" s="188">
        <f>VALUE(LEFT(AD81,4))-VALUE(LEFT(AD80,4))</f>
        <v>1</v>
      </c>
      <c r="Y81" s="62">
        <f>RIGHT(D81,LEN(D81)-4)/10000</f>
        <v>4.5499999999999999E-2</v>
      </c>
      <c r="Z81" s="62">
        <f>RIGHT(H81,LEN(H81)-4)/10000</f>
        <v>23.333100000000002</v>
      </c>
      <c r="AA81" s="62">
        <f>ABS(Z81-Y81)</f>
        <v>23.287600000000001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>IF(LEN(A81)=6,"0"&amp;A81,A81)</f>
        <v>0169-12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81" s="8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/stypes="app*4007*20170212*" /stext=" 19:.+((SYSTEM_STATE.+slice.+state.+changed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6" t="str">
        <f t="shared" si="7"/>
        <v>"%USERPROFILE%\Documents\GitHub\eaglep3\Utilities\RefineRTDCRunTimes.py" --tripid 169-12 --locoid 4007 --swversion DE.1.0.8.0 --startMP 204:455 --initTime 2017-02-12T12:09:40 --startdatetime 2017-02-12T12:15:17 --delay 1 --endMP 204:233331 --enddatetime 2017-02-12T12:51:40 --enforcementcount 0 &gt;&gt;C:\Users\stu\Documents\GitHub\eaglep3-reporting\EC\2017-02-12-refined-times.txt</v>
      </c>
      <c r="AI81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{"issue":{"subject":"","project_id":79,"tracker_id":40,"status_id":1,"priority_id":2,"assigned_to_id":23,"start_date":"2017-02-12","description":"","custom_fields":[{"id":1,"name":"Subdivision","value":"EC"},{"id":4,"name":"Milepost","value":"23.3331"},{"id":17,"name":"Train ID","value":"169-12"},{"id":16,"name":"Locomotive ID","value":"4007"},{"id":130,"name":"Impact","value":""},{"id":150,"name":"Time of Event (Mountain Time)","value":"12:51:40"},{"id":151,"name":"Denver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9"/>
        <v>start /low /b %USERPROFILE%\Documents\GitHub\eaglep3\Utilities\DownloadLogsFromS3.py --loco 4007 --day 2017-02-12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"%USERPROFILE%\AppData\Local\Temp\OnboardLogs"\RTDC4007\*4007*20170212* | grep -SE "(Enforcement Action)|(\[TIMEOUT)|(CHR.+\|PRM\|1\|D.+(SWITCH|SIGNAL).+UNKNOWN)" - &gt;&gt; 2017-02-12-UncaughtWiMAX.txt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633</v>
      </c>
      <c r="B82" s="7">
        <v>4008</v>
      </c>
      <c r="C82" s="21" t="s">
        <v>193</v>
      </c>
      <c r="D82" s="21" t="s">
        <v>448</v>
      </c>
      <c r="E82" s="13">
        <v>42778.538518518515</v>
      </c>
      <c r="F82" s="13">
        <v>42778.549479166664</v>
      </c>
      <c r="G82" s="7">
        <v>1</v>
      </c>
      <c r="H82" s="21" t="s">
        <v>198</v>
      </c>
      <c r="I82" s="13">
        <v>42778.574907407405</v>
      </c>
      <c r="J82" s="7">
        <v>0</v>
      </c>
      <c r="K82" s="98" t="str">
        <f>IF(ISEVEN(B82),(B82-1)&amp;"/"&amp;B82,B82&amp;"/"&amp;(B82+1))</f>
        <v>4007/4008</v>
      </c>
      <c r="L82" s="21" t="str">
        <f>VLOOKUP(A82,'Trips&amp;Operators'!$C$1:$G$99999,5,FALSE)</f>
        <v>ROMERO CHAD</v>
      </c>
      <c r="M82" s="6">
        <f>I82-F82</f>
        <v>2.5428240740438923E-2</v>
      </c>
      <c r="N82" s="7">
        <f>24*60*SUM($M82:$M82)</f>
        <v>36.616666666232049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-02-12T11:55:28-0700',mode:absolute,to:'2017-02-12T14:47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2" s="188" t="str">
        <f>IF(AA82&lt;IF(AG82="EC",23,5.65),"Y","N")</f>
        <v>N</v>
      </c>
      <c r="X82" s="188">
        <f>VALUE(LEFT(AD82,4))-VALUE(LEFT(AD81,4))</f>
        <v>1</v>
      </c>
      <c r="Y82" s="62">
        <f>RIGHT(D82,LEN(D82)-4)/10000</f>
        <v>23.3</v>
      </c>
      <c r="Z82" s="62">
        <f>RIGHT(H82,LEN(H82)-4)/10000</f>
        <v>1.4500000000000001E-2</v>
      </c>
      <c r="AA82" s="62">
        <f>ABS(Z82-Y82)</f>
        <v>23.285499999999999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>IF(LEN(A82)=6,"0"&amp;A82,A82)</f>
        <v>0170-12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82" s="8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/stypes="app*4008*20170212*"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6" t="str">
        <f t="shared" si="7"/>
        <v>"%USERPROFILE%\Documents\GitHub\eaglep3\Utilities\RefineRTDCRunTimes.py" --tripid 170-12 --locoid 4008 --swversion DE.1.0.8.0 --startMP 204:233000 --initTime 2017-02-12T12:55:28 --startdatetime 2017-02-12T13:11:15 --delay 1 --endMP 204:145 --enddatetime 2017-02-12T13:47:52 --enforcementcount 0 &gt;&gt;C:\Users\stu\Documents\GitHub\eaglep3-reporting\EC\2017-02-12-refined-times.txt</v>
      </c>
      <c r="AI82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{"issue":{"subject":"","project_id":79,"tracker_id":40,"status_id":1,"priority_id":2,"assigned_to_id":23,"start_date":"2017-02-12","description":"","custom_fields":[{"id":1,"name":"Subdivision","value":"EC"},{"id":4,"name":"Milepost","value":"0.0145"},{"id":17,"name":"Train ID","value":"170-12"},{"id":16,"name":"Locomotive ID","value":"4008"},{"id":130,"name":"Impact","value":""},{"id":150,"name":"Time of Event (Mountain Time)","value":"13:47:52"},{"id":151,"name":"Denver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9"/>
        <v>start /low /b %USERPROFILE%\Documents\GitHub\eaglep3\Utilities\DownloadLogsFromS3.py --loco 4008 --day 2017-02-12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629</v>
      </c>
      <c r="B83" s="7">
        <v>4018</v>
      </c>
      <c r="C83" s="21" t="s">
        <v>193</v>
      </c>
      <c r="D83" s="21" t="s">
        <v>299</v>
      </c>
      <c r="E83" s="13">
        <v>42778.518275462964</v>
      </c>
      <c r="F83" s="13">
        <v>42778.521192129629</v>
      </c>
      <c r="G83" s="7">
        <v>1</v>
      </c>
      <c r="H83" s="21" t="s">
        <v>776</v>
      </c>
      <c r="I83" s="13">
        <v>42778.546331018515</v>
      </c>
      <c r="J83" s="7">
        <v>0</v>
      </c>
      <c r="K83" s="98" t="str">
        <f>IF(ISEVEN(B83),(B83-1)&amp;"/"&amp;B83,B83&amp;"/"&amp;(B83+1))</f>
        <v>4017/4018</v>
      </c>
      <c r="L83" s="21" t="str">
        <f>VLOOKUP(A83,'Trips&amp;Operators'!$C$1:$G$99999,5,FALSE)</f>
        <v>KILLION DAVID</v>
      </c>
      <c r="M83" s="6">
        <f>I83-F83</f>
        <v>2.5138888886431232E-2</v>
      </c>
      <c r="N83" s="7">
        <f>24*60*SUM($M83:$M83)</f>
        <v>36.199999996460974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-02-12T11:26:19-0700',mode:absolute,to:'2017-02-12T14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3" s="188" t="str">
        <f>IF(AA83&lt;IF(AG83="EC",23,5.65),"Y","N")</f>
        <v>N</v>
      </c>
      <c r="X83" s="188">
        <f>VALUE(LEFT(AD83,4))-VALUE(LEFT(AD82,4))</f>
        <v>1</v>
      </c>
      <c r="Y83" s="62">
        <f>RIGHT(D83,LEN(D83)-4)/10000</f>
        <v>4.4699999999999997E-2</v>
      </c>
      <c r="Z83" s="62">
        <f>RIGHT(H83,LEN(H83)-4)/10000</f>
        <v>23.334499999999998</v>
      </c>
      <c r="AA83" s="62">
        <f>ABS(Z83-Y83)</f>
        <v>23.2898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>IF(LEN(A83)=6,"0"&amp;A83,A83)</f>
        <v>0171-12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83" s="8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/stypes="app*4018*20170212*"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6" t="str">
        <f t="shared" si="7"/>
        <v>"%USERPROFILE%\Documents\GitHub\eaglep3\Utilities\RefineRTDCRunTimes.py" --tripid 171-12 --locoid 4018 --swversion DE.1.0.8.0 --startMP 204:447 --initTime 2017-02-12T12:26:19 --startdatetime 2017-02-12T12:30:31 --delay 1 --endMP 204:233345 --enddatetime 2017-02-12T13:06:43 --enforcementcount 0 &gt;&gt;C:\Users\stu\Documents\GitHub\eaglep3-reporting\EC\2017-02-12-refined-times.txt</v>
      </c>
      <c r="AI83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{"issue":{"subject":"","project_id":79,"tracker_id":40,"status_id":1,"priority_id":2,"assigned_to_id":23,"start_date":"2017-02-12","description":"","custom_fields":[{"id":1,"name":"Subdivision","value":"EC"},{"id":4,"name":"Milepost","value":"23.3345"},{"id":17,"name":"Train ID","value":"171-12"},{"id":16,"name":"Locomotive ID","value":"4018"},{"id":130,"name":"Impact","value":""},{"id":150,"name":"Time of Event (Mountain Time)","value":"13:06:43"},{"id":151,"name":"Denver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9"/>
        <v>start /low /b %USERPROFILE%\Documents\GitHub\eaglep3\Utilities\DownloadLogsFromS3.py --loco 4018 --day 2017-02-12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525</v>
      </c>
      <c r="B84" s="7">
        <v>4017</v>
      </c>
      <c r="C84" s="21" t="s">
        <v>193</v>
      </c>
      <c r="D84" s="21" t="s">
        <v>444</v>
      </c>
      <c r="E84" s="13">
        <v>42778.553078703706</v>
      </c>
      <c r="F84" s="13">
        <v>42778.559884259259</v>
      </c>
      <c r="G84" s="7">
        <v>2</v>
      </c>
      <c r="H84" s="21" t="s">
        <v>777</v>
      </c>
      <c r="I84" s="13">
        <v>42778.587060185186</v>
      </c>
      <c r="J84" s="7">
        <v>0</v>
      </c>
      <c r="K84" s="98" t="str">
        <f>IF(ISEVEN(B84),(B84-1)&amp;"/"&amp;B84,B84&amp;"/"&amp;(B84+1))</f>
        <v>4017/4018</v>
      </c>
      <c r="L84" s="21" t="str">
        <f>VLOOKUP(A84,'Trips&amp;Operators'!$C$1:$G$99999,5,FALSE)</f>
        <v>KILLION DAVID</v>
      </c>
      <c r="M84" s="6">
        <f>I84-F84</f>
        <v>2.7175925926712807E-2</v>
      </c>
      <c r="N84" s="7">
        <f>24*60*SUM($M84:$M84)</f>
        <v>39.133333334466442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-02-12T12:16:26-0700',mode:absolute,to:'2017-02-12T15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4" s="188" t="str">
        <f>IF(AA84&lt;IF(AG84="EC",23,5.65),"Y","N")</f>
        <v>N</v>
      </c>
      <c r="X84" s="188">
        <f>VALUE(LEFT(AD84,4))-VALUE(LEFT(AD83,4))</f>
        <v>1</v>
      </c>
      <c r="Y84" s="62">
        <f>RIGHT(D84,LEN(D84)-4)/10000</f>
        <v>23.2988</v>
      </c>
      <c r="Z84" s="62">
        <f>RIGHT(H84,LEN(H84)-4)/10000</f>
        <v>2.0500000000000001E-2</v>
      </c>
      <c r="AA84" s="62">
        <f>ABS(Z84-Y84)</f>
        <v>23.278300000000002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>IF(LEN(A84)=6,"0"&amp;A84,A84)</f>
        <v>0172-12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84" s="8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/stypes="app*4017*20170212*" /stext=" 21:.+((SYSTEM_STATE.+slice.+state.+changed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6" t="str">
        <f t="shared" si="7"/>
        <v>"%USERPROFILE%\Documents\GitHub\eaglep3\Utilities\RefineRTDCRunTimes.py" --tripid 172-12 --locoid 4017 --swversion DE.1.0.8.0 --startMP 204:232988 --initTime 2017-02-12T13:16:26 --startdatetime 2017-02-12T13:26:14 --delay 2 --endMP 204:205 --enddatetime 2017-02-12T14:05:22 --enforcementcount 0 &gt;&gt;C:\Users\stu\Documents\GitHub\eaglep3-reporting\EC\2017-02-12-refined-times.txt</v>
      </c>
      <c r="AI84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{"issue":{"subject":"","project_id":79,"tracker_id":40,"status_id":1,"priority_id":2,"assigned_to_id":23,"start_date":"2017-02-12","description":"","custom_fields":[{"id":1,"name":"Subdivision","value":"EC"},{"id":4,"name":"Milepost","value":"0.0205"},{"id":17,"name":"Train ID","value":"172-12"},{"id":16,"name":"Locomotive ID","value":"4017"},{"id":130,"name":"Impact","value":""},{"id":150,"name":"Time of Event (Mountain Time)","value":"14:05:22"},{"id":151,"name":"Denver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9"/>
        <v>start /low /b %USERPROFILE%\Documents\GitHub\eaglep3\Utilities\DownloadLogsFromS3.py --loco 4017 --day 2017-02-12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"%USERPROFILE%\AppData\Local\Temp\OnboardLogs"\RTDC4017\*4017*20170212* | grep -SE "(Enforcement Action)|(\[TIMEOUT)|(CHR.+\|PRM\|1\|D.+(SWITCH|SIGNAL).+UNKNOWN)" - &gt;&gt; 2017-02-12-UncaughtWiMAX.txt</v>
      </c>
    </row>
    <row r="85" spans="1:91" s="20" customFormat="1" x14ac:dyDescent="0.25">
      <c r="A85" s="33" t="s">
        <v>632</v>
      </c>
      <c r="B85" s="7">
        <v>4046</v>
      </c>
      <c r="C85" s="21" t="s">
        <v>193</v>
      </c>
      <c r="D85" s="21" t="s">
        <v>222</v>
      </c>
      <c r="E85" s="13">
        <v>42778.527037037034</v>
      </c>
      <c r="F85" s="13">
        <v>42778.531458333331</v>
      </c>
      <c r="G85" s="7">
        <v>1</v>
      </c>
      <c r="H85" s="21" t="s">
        <v>492</v>
      </c>
      <c r="I85" s="13">
        <v>42778.556921296295</v>
      </c>
      <c r="J85" s="7">
        <v>0</v>
      </c>
      <c r="K85" s="98" t="str">
        <f>IF(ISEVEN(B85),(B85-1)&amp;"/"&amp;B85,B85&amp;"/"&amp;(B85+1))</f>
        <v>4045/4046</v>
      </c>
      <c r="L85" s="21" t="str">
        <f>VLOOKUP(A85,'Trips&amp;Operators'!$C$1:$G$99999,5,FALSE)</f>
        <v>STEWART MICHAEL</v>
      </c>
      <c r="M85" s="6">
        <f>I85-F85</f>
        <v>2.5462962963501923E-2</v>
      </c>
      <c r="N85" s="7">
        <f>24*60*SUM($M85:$M85)</f>
        <v>36.666666667442769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-02-12T11:38:56-0700',mode:absolute,to:'2017-02-12T14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88" t="str">
        <f>IF(AA85&lt;IF(AG85="EC",23,5.65),"Y","N")</f>
        <v>N</v>
      </c>
      <c r="X85" s="188">
        <f>VALUE(LEFT(AD85,4))-VALUE(LEFT(AD84,4))</f>
        <v>1</v>
      </c>
      <c r="Y85" s="62">
        <f>RIGHT(D85,LEN(D85)-4)/10000</f>
        <v>4.58E-2</v>
      </c>
      <c r="Z85" s="62">
        <f>RIGHT(H85,LEN(H85)-4)/10000</f>
        <v>23.331</v>
      </c>
      <c r="AA85" s="62">
        <f>ABS(Z85-Y85)</f>
        <v>23.2852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>IF(LEN(A85)=6,"0"&amp;A85,A85)</f>
        <v>0173-12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 &amp; 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</v>
      </c>
      <c r="AF85" s="8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/stypes="app*4046*20170212*"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6" t="str">
        <f t="shared" si="7"/>
        <v>"%USERPROFILE%\Documents\GitHub\eaglep3\Utilities\RefineRTDCRunTimes.py" --tripid 173-12 --locoid 4046 --swversion DE.1.0.8.0 --startMP 204:458 --initTime 2017-02-12T12:38:56 --startdatetime 2017-02-12T12:45:18 --delay 1 --endMP 204:233310 --enddatetime 2017-02-12T13:21:58 --enforcementcount 0 &gt;&gt;C:\Users\stu\Documents\GitHub\eaglep3-reporting\EC\2017-02-12-refined-times.txt</v>
      </c>
      <c r="AI85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{"issue":{"subject":"","project_id":79,"tracker_id":40,"status_id":1,"priority_id":2,"assigned_to_id":23,"start_date":"2017-02-12","description":"","custom_fields":[{"id":1,"name":"Subdivision","value":"EC"},{"id":4,"name":"Milepost","value":"23.331"},{"id":17,"name":"Train ID","value":"173-12"},{"id":16,"name":"Locomotive ID","value":"4046"},{"id":130,"name":"Impact","value":""},{"id":150,"name":"Time of Event (Mountain Time)","value":"13:21:58"},{"id":151,"name":"Denver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9"/>
        <v>start /low /b %USERPROFILE%\Documents\GitHub\eaglep3\Utilities\DownloadLogsFromS3.py --loco 4046 --day 2017-02-12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"%USERPROFILE%\AppData\Local\Temp\OnboardLogs"\RTDC4046\*4046*20170212* | grep -SE "(Enforcement Action)|(\[TIMEOUT)|(CHR.+\|PRM\|1\|D.+(SWITCH|SIGNAL).+UNKNOWN)" - &gt;&gt; 2017-02-12-UncaughtWiMAX.txt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640</v>
      </c>
      <c r="B86" s="7">
        <v>4045</v>
      </c>
      <c r="C86" s="21" t="s">
        <v>193</v>
      </c>
      <c r="D86" s="21" t="s">
        <v>353</v>
      </c>
      <c r="E86" s="13">
        <v>42778.565868055557</v>
      </c>
      <c r="F86" s="13">
        <v>42778.570914351854</v>
      </c>
      <c r="G86" s="7">
        <v>1</v>
      </c>
      <c r="H86" s="21" t="s">
        <v>333</v>
      </c>
      <c r="I86" s="13">
        <v>42778.596736111111</v>
      </c>
      <c r="J86" s="7">
        <v>0</v>
      </c>
      <c r="K86" s="98" t="str">
        <f>IF(ISEVEN(B86),(B86-1)&amp;"/"&amp;B86,B86&amp;"/"&amp;(B86+1))</f>
        <v>4045/4046</v>
      </c>
      <c r="L86" s="21" t="str">
        <f>VLOOKUP(A86,'Trips&amp;Operators'!$C$1:$G$99999,5,FALSE)</f>
        <v>STEWART MICHAEL</v>
      </c>
      <c r="M86" s="6">
        <f>I86-F86</f>
        <v>2.5821759256359655E-2</v>
      </c>
      <c r="N86" s="7">
        <f>24*60*SUM($M86:$M86)</f>
        <v>37.183333329157904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-02-12T12:34:51-0700',mode:absolute,to:'2017-02-12T15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88" t="str">
        <f>IF(AA86&lt;IF(AG86="EC",23,5.65),"Y","N")</f>
        <v>N</v>
      </c>
      <c r="X86" s="188">
        <f>VALUE(LEFT(AD86,4))-VALUE(LEFT(AD85,4))</f>
        <v>1</v>
      </c>
      <c r="Y86" s="62">
        <f>RIGHT(D86,LEN(D86)-4)/10000</f>
        <v>23.299600000000002</v>
      </c>
      <c r="Z86" s="62">
        <f>RIGHT(H86,LEN(H86)-4)/10000</f>
        <v>1.61E-2</v>
      </c>
      <c r="AA86" s="62">
        <f>ABS(Z86-Y86)</f>
        <v>23.2835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>IF(LEN(A86)=6,"0"&amp;A86,A86)</f>
        <v>0174-12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s3://rtdc.mdm.uploadarchive.raw/RTDC4045/ "%USERPROFILE%\AppData\Local\Temp\OnboardLogs"\RTDC4045\2017-02-12 --exclude "*" --recursive --include "*20170212*" &amp; "%USERPROFILE%\Documents\GitHub\mrs-test-scripts\Headless Mode &amp; Sideloading\WalkAndUnGZ.bat" "%USERPROFILE%\AppData\Local\Temp\OnboardLogs"\RTDC4045\2017-02-12 &amp; 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</v>
      </c>
      <c r="AF86" s="8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/stypes="app*4045*20170212*"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6" t="str">
        <f t="shared" si="7"/>
        <v>"%USERPROFILE%\Documents\GitHub\eaglep3\Utilities\RefineRTDCRunTimes.py" --tripid 174-12 --locoid 4045 --swversion DE.1.0.8.0 --startMP 204:232996 --initTime 2017-02-12T13:34:51 --startdatetime 2017-02-12T13:42:07 --delay 1 --endMP 204:161 --enddatetime 2017-02-12T14:19:18 --enforcementcount 0 &gt;&gt;C:\Users\stu\Documents\GitHub\eaglep3-reporting\EC\2017-02-12-refined-times.txt</v>
      </c>
      <c r="AI86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{"issue":{"subject":"","project_id":79,"tracker_id":40,"status_id":1,"priority_id":2,"assigned_to_id":23,"start_date":"2017-02-12","description":"","custom_fields":[{"id":1,"name":"Subdivision","value":"EC"},{"id":4,"name":"Milepost","value":"0.0161"},{"id":17,"name":"Train ID","value":"174-12"},{"id":16,"name":"Locomotive ID","value":"4045"},{"id":130,"name":"Impact","value":""},{"id":150,"name":"Time of Event (Mountain Time)","value":"14:19:18"},{"id":151,"name":"Denver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9"/>
        <v>start /low /b %USERPROFILE%\Documents\GitHub\eaglep3\Utilities\DownloadLogsFromS3.py --loco 4045 --day 2017-02-12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"%USERPROFILE%\AppData\Local\Temp\OnboardLogs"\RTDC4045\*4045*20170212* | grep -SE "(Enforcement Action)|(\[TIMEOUT)|(CHR.+\|PRM\|1\|D.+(SWITCH|SIGNAL).+UNKNOWN)" - &gt;&gt; 2017-02-12-UncaughtWiMAX.txt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634</v>
      </c>
      <c r="B87" s="7">
        <v>4038</v>
      </c>
      <c r="C87" s="21" t="s">
        <v>193</v>
      </c>
      <c r="D87" s="21" t="s">
        <v>357</v>
      </c>
      <c r="E87" s="13">
        <v>42778.5390162037</v>
      </c>
      <c r="F87" s="13">
        <v>42778.541979166665</v>
      </c>
      <c r="G87" s="7">
        <v>1</v>
      </c>
      <c r="H87" s="21" t="s">
        <v>495</v>
      </c>
      <c r="I87" s="13">
        <v>42778.567870370367</v>
      </c>
      <c r="J87" s="7">
        <v>0</v>
      </c>
      <c r="K87" s="98" t="str">
        <f>IF(ISEVEN(B87),(B87-1)&amp;"/"&amp;B87,B87&amp;"/"&amp;(B87+1))</f>
        <v>4037/4038</v>
      </c>
      <c r="L87" s="21" t="str">
        <f>VLOOKUP(A87,'Trips&amp;Operators'!$C$1:$G$99999,5,FALSE)</f>
        <v>DAVIS MICHAEL</v>
      </c>
      <c r="M87" s="6">
        <f>I87-F87</f>
        <v>2.5891203702485655E-2</v>
      </c>
      <c r="N87" s="7">
        <f>24*60*SUM($M87:$M87)</f>
        <v>37.283333331579342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-02-12T11:56:11-0700',mode:absolute,to:'2017-02-12T14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7" s="188" t="str">
        <f>IF(AA87&lt;IF(AG87="EC",23,5.65),"Y","N")</f>
        <v>N</v>
      </c>
      <c r="X87" s="188">
        <f>VALUE(LEFT(AD87,4))-VALUE(LEFT(AD86,4))</f>
        <v>1</v>
      </c>
      <c r="Y87" s="62">
        <f>RIGHT(D87,LEN(D87)-4)/10000</f>
        <v>4.2700000000000002E-2</v>
      </c>
      <c r="Z87" s="62">
        <f>RIGHT(H87,LEN(H87)-4)/10000</f>
        <v>23.330500000000001</v>
      </c>
      <c r="AA87" s="62">
        <f>ABS(Z87-Y87)</f>
        <v>23.287800000000001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>IF(LEN(A87)=6,"0"&amp;A87,A87)</f>
        <v>0175-12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87" s="8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/stypes="app*4038*20170212*"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6" t="str">
        <f t="shared" si="7"/>
        <v>"%USERPROFILE%\Documents\GitHub\eaglep3\Utilities\RefineRTDCRunTimes.py" --tripid 175-12 --locoid 4038 --swversion DE.1.0.8.0 --startMP 204:427 --initTime 2017-02-12T12:56:11 --startdatetime 2017-02-12T13:00:27 --delay 1 --endMP 204:233305 --enddatetime 2017-02-12T13:37:44 --enforcementcount 0 &gt;&gt;C:\Users\stu\Documents\GitHub\eaglep3-reporting\EC\2017-02-12-refined-times.txt</v>
      </c>
      <c r="AI87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{"issue":{"subject":"","project_id":79,"tracker_id":40,"status_id":1,"priority_id":2,"assigned_to_id":23,"start_date":"2017-02-12","description":"","custom_fields":[{"id":1,"name":"Subdivision","value":"EC"},{"id":4,"name":"Milepost","value":"23.3305"},{"id":17,"name":"Train ID","value":"175-12"},{"id":16,"name":"Locomotive ID","value":"4038"},{"id":130,"name":"Impact","value":""},{"id":150,"name":"Time of Event (Mountain Time)","value":"13:37:44"},{"id":151,"name":"Denver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9"/>
        <v>start /low /b %USERPROFILE%\Documents\GitHub\eaglep3\Utilities\DownloadLogsFromS3.py --loco 4038 --day 2017-02-12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526</v>
      </c>
      <c r="B88" s="7">
        <v>4037</v>
      </c>
      <c r="C88" s="21" t="s">
        <v>193</v>
      </c>
      <c r="D88" s="21" t="s">
        <v>360</v>
      </c>
      <c r="E88" s="13">
        <v>42778.578113425923</v>
      </c>
      <c r="F88" s="13">
        <v>42778.581145833334</v>
      </c>
      <c r="G88" s="7">
        <v>1</v>
      </c>
      <c r="H88" s="21" t="s">
        <v>778</v>
      </c>
      <c r="I88" s="13">
        <v>42778.6093287037</v>
      </c>
      <c r="J88" s="7">
        <v>0</v>
      </c>
      <c r="K88" s="98" t="str">
        <f>IF(ISEVEN(B88),(B88-1)&amp;"/"&amp;B88,B88&amp;"/"&amp;(B88+1))</f>
        <v>4037/4038</v>
      </c>
      <c r="L88" s="21" t="str">
        <f>VLOOKUP(A88,'Trips&amp;Operators'!$C$1:$G$99999,5,FALSE)</f>
        <v>DAVIS MICHAEL</v>
      </c>
      <c r="M88" s="6">
        <f>I88-F88</f>
        <v>2.8182870366435964E-2</v>
      </c>
      <c r="N88" s="7">
        <f>24*60*SUM($M88:$M88)</f>
        <v>40.583333327667788</v>
      </c>
      <c r="O88" s="7"/>
      <c r="P88" s="7"/>
      <c r="Q88" s="22"/>
      <c r="R88" s="22" t="s">
        <v>904</v>
      </c>
      <c r="S88" s="31">
        <f>SUM(U88:U88)/IF(AG88="EC",12,1)</f>
        <v>1</v>
      </c>
      <c r="T88" s="46" t="str">
        <f>IF(ISEVEN(LEFT(AD88,4)),"Southbound","NorthBound")</f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-02-12T12:52:29-0700',mode:absolute,to:'2017-02-12T15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8" s="188" t="str">
        <f>IF(AA88&lt;IF(AG88="EC",23,5.65),"Y","N")</f>
        <v>N</v>
      </c>
      <c r="X88" s="188">
        <f>VALUE(LEFT(AD88,4))-VALUE(LEFT(AD87,4))</f>
        <v>1</v>
      </c>
      <c r="Y88" s="62">
        <f>RIGHT(D88,LEN(D88)-4)/10000</f>
        <v>23.298400000000001</v>
      </c>
      <c r="Z88" s="62">
        <f>RIGHT(H88,LEN(H88)-4)/10000</f>
        <v>0.02</v>
      </c>
      <c r="AA88" s="62">
        <f>ABS(Z88-Y88)</f>
        <v>23.278400000000001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>IF(LEN(A88)=6,"0"&amp;A88,A88)</f>
        <v>0176-12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88" s="8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/stypes="app*4037*20170212*"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6" t="str">
        <f t="shared" si="7"/>
        <v>"%USERPROFILE%\Documents\GitHub\eaglep3\Utilities\RefineRTDCRunTimes.py" --tripid 176-12 --locoid 4037 --swversion DE.1.0.8.0 --startMP 204:232984 --initTime 2017-02-12T13:52:29 --startdatetime 2017-02-12T13:56:51 --delay 1 --endMP 204:200 --enddatetime 2017-02-12T14:37:26 --enforcementcount 0 &gt;&gt;C:\Users\stu\Documents\GitHub\eaglep3-reporting\EC\2017-02-12-refined-times.txt</v>
      </c>
      <c r="AI88" s="108" t="str">
        <f t="shared" si="8"/>
        <v>echo {"issue":{"subject":"Unhealthy at Chambers due to train stop","project_id":79,"tracker_id":40,"status_id":1,"priority_id":2,"assigned_to_id":23,"start_date":"2017-02-12","description":"","custom_fields":[{"id":1,"name":"Subdivision","value":"EC"},{"id":4,"name":"Milepost","value":"0.02"},{"id":17,"name":"Train ID","value":"176-12"},{"id":16,"name":"Locomotive ID","value":"4037"},{"id":130,"name":"Impact","value":""},{"id":150,"name":"Time of Event (Mountain Time)","value":"14:37:26"},{"id":151,"name":"Denver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9"/>
        <v>start /low /b %USERPROFILE%\Documents\GitHub\eaglep3\Utilities\DownloadLogsFromS3.py --loco 4037 --day 2017-02-12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"%USERPROFILE%\AppData\Local\Temp\OnboardLogs"\RTDC4037\*4037*20170212* | grep -SE "(Enforcement Action)|(\[TIMEOUT)|(CHR.+\|PRM\|1\|D.+(SWITCH|SIGNAL).+UNKNOWN)" - &gt;&gt; 2017-02-12-UncaughtWiMAX.txt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635</v>
      </c>
      <c r="B89" s="7">
        <v>4029</v>
      </c>
      <c r="C89" s="21" t="s">
        <v>193</v>
      </c>
      <c r="D89" s="21" t="s">
        <v>279</v>
      </c>
      <c r="E89" s="13">
        <v>42778.549745370372</v>
      </c>
      <c r="F89" s="13">
        <v>42778.552245370367</v>
      </c>
      <c r="G89" s="7">
        <v>1</v>
      </c>
      <c r="H89" s="21" t="s">
        <v>779</v>
      </c>
      <c r="I89" s="13">
        <v>42778.577824074076</v>
      </c>
      <c r="J89" s="7">
        <v>0</v>
      </c>
      <c r="K89" s="98" t="str">
        <f>IF(ISEVEN(B89),(B89-1)&amp;"/"&amp;B89,B89&amp;"/"&amp;(B89+1))</f>
        <v>4029/4030</v>
      </c>
      <c r="L89" s="21" t="str">
        <f>VLOOKUP(A89,'Trips&amp;Operators'!$C$1:$G$99999,5,FALSE)</f>
        <v>LEVIN SCOTT</v>
      </c>
      <c r="M89" s="6">
        <f>I89-F89</f>
        <v>2.5578703709470574E-2</v>
      </c>
      <c r="N89" s="7">
        <f>24*60*SUM($M89:$M89)</f>
        <v>36.833333341637626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-02-12T12:11:38-0700',mode:absolute,to:'2017-02-12T14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88" t="str">
        <f>IF(AA89&lt;IF(AG89="EC",23,5.65),"Y","N")</f>
        <v>N</v>
      </c>
      <c r="X89" s="188">
        <f>VALUE(LEFT(AD89,4))-VALUE(LEFT(AD88,4))</f>
        <v>1</v>
      </c>
      <c r="Y89" s="62">
        <f>RIGHT(D89,LEN(D89)-4)/10000</f>
        <v>4.4600000000000001E-2</v>
      </c>
      <c r="Z89" s="62">
        <f>RIGHT(H89,LEN(H89)-4)/10000</f>
        <v>23.336600000000001</v>
      </c>
      <c r="AA89" s="62">
        <f>ABS(Z89-Y89)</f>
        <v>23.292000000000002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>IF(LEN(A89)=6,"0"&amp;A89,A89)</f>
        <v>0177-12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89" s="8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/stypes="app*4029*20170212*" /stext=" 20:.+((SYSTEM_STATE.+slice.+state.+changed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6" t="str">
        <f t="shared" si="7"/>
        <v>"%USERPROFILE%\Documents\GitHub\eaglep3\Utilities\RefineRTDCRunTimes.py" --tripid 177-12 --locoid 4029 --swversion DE.1.0.8.0 --startMP 204:446 --initTime 2017-02-12T13:11:38 --startdatetime 2017-02-12T13:15:14 --delay 1 --endMP 204:233366 --enddatetime 2017-02-12T13:52:04 --enforcementcount 0 &gt;&gt;C:\Users\stu\Documents\GitHub\eaglep3-reporting\EC\2017-02-12-refined-times.txt</v>
      </c>
      <c r="AI89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{"issue":{"subject":"","project_id":79,"tracker_id":40,"status_id":1,"priority_id":2,"assigned_to_id":23,"start_date":"2017-02-12","description":"","custom_fields":[{"id":1,"name":"Subdivision","value":"EC"},{"id":4,"name":"Milepost","value":"23.3366"},{"id":17,"name":"Train ID","value":"177-12"},{"id":16,"name":"Locomotive ID","value":"4029"},{"id":130,"name":"Impact","value":""},{"id":150,"name":"Time of Event (Mountain Time)","value":"13:52:04"},{"id":151,"name":"Denver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9"/>
        <v>start /low /b %USERPROFILE%\Documents\GitHub\eaglep3\Utilities\DownloadLogsFromS3.py --loco 4029 --day 2017-02-12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643</v>
      </c>
      <c r="B90" s="7">
        <v>4030</v>
      </c>
      <c r="C90" s="21" t="s">
        <v>193</v>
      </c>
      <c r="D90" s="21" t="s">
        <v>780</v>
      </c>
      <c r="E90" s="13">
        <v>42778.58697916667</v>
      </c>
      <c r="F90" s="13">
        <v>42778.591203703705</v>
      </c>
      <c r="G90" s="7">
        <v>1</v>
      </c>
      <c r="H90" s="21" t="s">
        <v>295</v>
      </c>
      <c r="I90" s="13">
        <v>42778.616782407407</v>
      </c>
      <c r="J90" s="7">
        <v>0</v>
      </c>
      <c r="K90" s="98" t="str">
        <f>IF(ISEVEN(B90),(B90-1)&amp;"/"&amp;B90,B90&amp;"/"&amp;(B90+1))</f>
        <v>4029/4030</v>
      </c>
      <c r="L90" s="21" t="str">
        <f>VLOOKUP(A90,'Trips&amp;Operators'!$C$1:$G$99999,5,FALSE)</f>
        <v>LEVIN SCOTT</v>
      </c>
      <c r="M90" s="6">
        <f>I90-F90</f>
        <v>2.5578703702194616E-2</v>
      </c>
      <c r="N90" s="7">
        <f>24*60*SUM($M90:$M90)</f>
        <v>36.833333331160247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-02-12T13:05:15-0700',mode:absolute,to:'2017-02-12T15:48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188" t="str">
        <f>IF(AA90&lt;IF(AG90="EC",23,5.65),"Y","N")</f>
        <v>N</v>
      </c>
      <c r="X90" s="188">
        <f>VALUE(LEFT(AD90,4))-VALUE(LEFT(AD89,4))</f>
        <v>1</v>
      </c>
      <c r="Y90" s="62">
        <f>RIGHT(D90,LEN(D90)-4)/10000</f>
        <v>23.305700000000002</v>
      </c>
      <c r="Z90" s="62">
        <f>RIGHT(H90,LEN(H90)-4)/10000</f>
        <v>1.3899999999999999E-2</v>
      </c>
      <c r="AA90" s="62">
        <f>ABS(Z90-Y90)</f>
        <v>23.291800000000002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>IF(LEN(A90)=6,"0"&amp;A90,A90)</f>
        <v>0178-12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90" s="8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/stypes="app*4030*20170212*"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6" t="str">
        <f t="shared" si="7"/>
        <v>"%USERPROFILE%\Documents\GitHub\eaglep3\Utilities\RefineRTDCRunTimes.py" --tripid 178-12 --locoid 4030 --swversion DE.1.0.8.0 --startMP 204:233057 --initTime 2017-02-12T14:05:15 --startdatetime 2017-02-12T14:11:20 --delay 1 --endMP 204:139 --enddatetime 2017-02-12T14:48:10 --enforcementcount 0 &gt;&gt;C:\Users\stu\Documents\GitHub\eaglep3-reporting\EC\2017-02-12-refined-times.txt</v>
      </c>
      <c r="AI90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{"issue":{"subject":"","project_id":79,"tracker_id":40,"status_id":1,"priority_id":2,"assigned_to_id":23,"start_date":"2017-02-12","description":"","custom_fields":[{"id":1,"name":"Subdivision","value":"EC"},{"id":4,"name":"Milepost","value":"0.0139"},{"id":17,"name":"Train ID","value":"178-12"},{"id":16,"name":"Locomotive ID","value":"4030"},{"id":130,"name":"Impact","value":""},{"id":150,"name":"Time of Event (Mountain Time)","value":"14:48:10"},{"id":151,"name":"Denver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9"/>
        <v>start /low /b %USERPROFILE%\Documents\GitHub\eaglep3\Utilities\DownloadLogsFromS3.py --loco 4030 --day 2017-02-12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639</v>
      </c>
      <c r="B91" s="7">
        <v>4031</v>
      </c>
      <c r="C91" s="21" t="s">
        <v>193</v>
      </c>
      <c r="D91" s="21" t="s">
        <v>270</v>
      </c>
      <c r="E91" s="13">
        <v>42778.558229166665</v>
      </c>
      <c r="F91" s="13">
        <v>42778.562662037039</v>
      </c>
      <c r="G91" s="7">
        <v>2</v>
      </c>
      <c r="H91" s="21" t="s">
        <v>496</v>
      </c>
      <c r="I91" s="13">
        <v>42778.587013888886</v>
      </c>
      <c r="J91" s="7">
        <v>0</v>
      </c>
      <c r="K91" s="98" t="str">
        <f>IF(ISEVEN(B91),(B91-1)&amp;"/"&amp;B91,B91&amp;"/"&amp;(B91+1))</f>
        <v>4031/4032</v>
      </c>
      <c r="L91" s="21" t="str">
        <f>VLOOKUP(A91,'Trips&amp;Operators'!$C$1:$G$99999,5,FALSE)</f>
        <v>BRUDER RICHARD</v>
      </c>
      <c r="M91" s="6">
        <f>I91-F91</f>
        <v>2.435185184731381E-2</v>
      </c>
      <c r="N91" s="7">
        <f>24*60*SUM($M91:$M91)</f>
        <v>35.066666660131887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-02-12T12:23:51-0700',mode:absolute,to:'2017-02-12T15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188" t="str">
        <f>IF(AA91&lt;IF(AG91="EC",23,5.65),"Y","N")</f>
        <v>N</v>
      </c>
      <c r="X91" s="188">
        <f>VALUE(LEFT(AD91,4))-VALUE(LEFT(AD90,4))</f>
        <v>1</v>
      </c>
      <c r="Y91" s="62">
        <f>RIGHT(D91,LEN(D91)-4)/10000</f>
        <v>4.53E-2</v>
      </c>
      <c r="Z91" s="62">
        <f>RIGHT(H91,LEN(H91)-4)/10000</f>
        <v>23.330100000000002</v>
      </c>
      <c r="AA91" s="62">
        <f>ABS(Z91-Y91)</f>
        <v>23.284800000000001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>IF(LEN(A91)=6,"0"&amp;A91,A91)</f>
        <v>0179-12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91" s="8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/stypes="app*4031*20170212*"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6" t="str">
        <f t="shared" si="7"/>
        <v>"%USERPROFILE%\Documents\GitHub\eaglep3\Utilities\RefineRTDCRunTimes.py" --tripid 179-12 --locoid 4031 --swversion DE.1.0.8.0 --startMP 204:453 --initTime 2017-02-12T13:23:51 --startdatetime 2017-02-12T13:30:14 --delay 2 --endMP 204:233301 --enddatetime 2017-02-12T14:05:18 --enforcementcount 0 &gt;&gt;C:\Users\stu\Documents\GitHub\eaglep3-reporting\EC\2017-02-12-refined-times.txt</v>
      </c>
      <c r="AI91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{"issue":{"subject":"","project_id":79,"tracker_id":40,"status_id":1,"priority_id":2,"assigned_to_id":23,"start_date":"2017-02-12","description":"","custom_fields":[{"id":1,"name":"Subdivision","value":"EC"},{"id":4,"name":"Milepost","value":"23.3301"},{"id":17,"name":"Train ID","value":"179-12"},{"id":16,"name":"Locomotive ID","value":"4031"},{"id":130,"name":"Impact","value":""},{"id":150,"name":"Time of Event (Mountain Time)","value":"14:05:18"},{"id":151,"name":"Denver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9"/>
        <v>start /low /b %USERPROFILE%\Documents\GitHub\eaglep3\Utilities\DownloadLogsFromS3.py --loco 4031 --day 2017-02-12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646</v>
      </c>
      <c r="B92" s="7">
        <v>4032</v>
      </c>
      <c r="C92" s="21" t="s">
        <v>193</v>
      </c>
      <c r="D92" s="21" t="s">
        <v>444</v>
      </c>
      <c r="E92" s="13">
        <v>42778.596817129626</v>
      </c>
      <c r="F92" s="13">
        <v>42778.6015625</v>
      </c>
      <c r="G92" s="7">
        <v>1</v>
      </c>
      <c r="H92" s="21" t="s">
        <v>195</v>
      </c>
      <c r="I92" s="13">
        <v>42778.627835648149</v>
      </c>
      <c r="J92" s="7">
        <v>0</v>
      </c>
      <c r="K92" s="98" t="str">
        <f>IF(ISEVEN(B92),(B92-1)&amp;"/"&amp;B92,B92&amp;"/"&amp;(B92+1))</f>
        <v>4031/4032</v>
      </c>
      <c r="L92" s="21" t="str">
        <f>VLOOKUP(A92,'Trips&amp;Operators'!$C$1:$G$99999,5,FALSE)</f>
        <v>BRUDER RICHARD</v>
      </c>
      <c r="M92" s="6">
        <f>I92-F92</f>
        <v>2.6273148148902692E-2</v>
      </c>
      <c r="N92" s="7">
        <f>24*60*SUM($M92:$M92)</f>
        <v>37.833333334419876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-02-12T13:19:25-0700',mode:absolute,to:'2017-02-12T16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188" t="str">
        <f>IF(AA92&lt;IF(AG92="EC",23,5.65),"Y","N")</f>
        <v>N</v>
      </c>
      <c r="X92" s="188">
        <f>VALUE(LEFT(AD92,4))-VALUE(LEFT(AD91,4))</f>
        <v>1</v>
      </c>
      <c r="Y92" s="62">
        <f>RIGHT(D92,LEN(D92)-4)/10000</f>
        <v>23.2988</v>
      </c>
      <c r="Z92" s="62">
        <f>RIGHT(H92,LEN(H92)-4)/10000</f>
        <v>1.4999999999999999E-2</v>
      </c>
      <c r="AA92" s="62">
        <f>ABS(Z92-Y92)</f>
        <v>23.283799999999999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>IF(LEN(A92)=6,"0"&amp;A92,A92)</f>
        <v>0180-12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92" s="8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/stypes="app*4032*20170212*" /stext=" 22:.+((SYSTEM_STATE.+slice.+state.+changed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6" t="str">
        <f t="shared" si="7"/>
        <v>"%USERPROFILE%\Documents\GitHub\eaglep3\Utilities\RefineRTDCRunTimes.py" --tripid 180-12 --locoid 4032 --swversion DE.1.0.8.0 --startMP 204:232988 --initTime 2017-02-12T14:19:25 --startdatetime 2017-02-12T14:26:15 --delay 1 --endMP 204:150 --enddatetime 2017-02-12T15:04:05 --enforcementcount 0 &gt;&gt;C:\Users\stu\Documents\GitHub\eaglep3-reporting\EC\2017-02-12-refined-times.txt</v>
      </c>
      <c r="AI92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{"issue":{"subject":"","project_id":79,"tracker_id":40,"status_id":1,"priority_id":2,"assigned_to_id":23,"start_date":"2017-02-12","description":"","custom_fields":[{"id":1,"name":"Subdivision","value":"EC"},{"id":4,"name":"Milepost","value":"0.015"},{"id":17,"name":"Train ID","value":"180-12"},{"id":16,"name":"Locomotive ID","value":"4032"},{"id":130,"name":"Impact","value":""},{"id":150,"name":"Time of Event (Mountain Time)","value":"15:04:05"},{"id":151,"name":"Denver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9"/>
        <v>start /low /b %USERPROFILE%\Documents\GitHub\eaglep3\Utilities\DownloadLogsFromS3.py --loco 4032 --day 2017-02-12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641</v>
      </c>
      <c r="B93" s="7">
        <v>4009</v>
      </c>
      <c r="C93" s="21" t="s">
        <v>193</v>
      </c>
      <c r="D93" s="21" t="s">
        <v>503</v>
      </c>
      <c r="E93" s="13">
        <v>42778.567488425928</v>
      </c>
      <c r="F93" s="13">
        <v>42778.573136574072</v>
      </c>
      <c r="G93" s="7">
        <v>2</v>
      </c>
      <c r="H93" s="21" t="s">
        <v>794</v>
      </c>
      <c r="I93" s="13">
        <v>42778.599074074074</v>
      </c>
      <c r="J93" s="7">
        <v>0</v>
      </c>
      <c r="K93" s="98" t="str">
        <f>IF(ISEVEN(B93),(B93-1)&amp;"/"&amp;B93,B93&amp;"/"&amp;(B93+1))</f>
        <v>4009/4010</v>
      </c>
      <c r="L93" s="21" t="str">
        <f>VLOOKUP(A93,'Trips&amp;Operators'!$C$1:$G$99999,5,FALSE)</f>
        <v>MCREYNOLDS KYLE</v>
      </c>
      <c r="M93" s="6">
        <f>I93-F93</f>
        <v>2.5937500002328306E-2</v>
      </c>
      <c r="N93" s="7">
        <f>24*60*SUM($M93:$M93)</f>
        <v>37.350000003352761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-02-12T12:37:11-0700',mode:absolute,to:'2017-02-12T15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188" t="str">
        <f>IF(AA93&lt;IF(AG93="EC",23,5.65),"Y","N")</f>
        <v>N</v>
      </c>
      <c r="X93" s="188">
        <f>VALUE(LEFT(AD93,4))-VALUE(LEFT(AD92,4))</f>
        <v>1</v>
      </c>
      <c r="Y93" s="62">
        <f>RIGHT(D93,LEN(D93)-4)/10000</f>
        <v>4.8899999999999999E-2</v>
      </c>
      <c r="Z93" s="62">
        <f>RIGHT(H93,LEN(H93)-4)/10000</f>
        <v>23.330200000000001</v>
      </c>
      <c r="AA93" s="62">
        <f>ABS(Z93-Y93)</f>
        <v>23.281300000000002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>IF(LEN(A93)=6,"0"&amp;A93,A93)</f>
        <v>0181-12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93" s="8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/stypes="app*4009*20170212*"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6" t="str">
        <f t="shared" si="7"/>
        <v>"%USERPROFILE%\Documents\GitHub\eaglep3\Utilities\RefineRTDCRunTimes.py" --tripid 181-12 --locoid 4009 --swversion DE.1.0.8.0 --startMP 204:489 --initTime 2017-02-12T13:37:11 --startdatetime 2017-02-12T13:45:19 --delay 2 --endMP 204:233302 --enddatetime 2017-02-12T14:22:40 --enforcementcount 0 &gt;&gt;C:\Users\stu\Documents\GitHub\eaglep3-reporting\EC\2017-02-12-refined-times.txt</v>
      </c>
      <c r="AI93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{"issue":{"subject":"","project_id":79,"tracker_id":40,"status_id":1,"priority_id":2,"assigned_to_id":23,"start_date":"2017-02-12","description":"","custom_fields":[{"id":1,"name":"Subdivision","value":"EC"},{"id":4,"name":"Milepost","value":"23.3302"},{"id":17,"name":"Train ID","value":"181-12"},{"id":16,"name":"Locomotive ID","value":"4009"},{"id":130,"name":"Impact","value":""},{"id":150,"name":"Time of Event (Mountain Time)","value":"14:22:40"},{"id":151,"name":"Denver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9"/>
        <v>start /low /b %USERPROFILE%\Documents\GitHub\eaglep3\Utilities\DownloadLogsFromS3.py --loco 4009 --day 2017-02-12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2017-02-12-UncaughtWiMAX.txt</v>
      </c>
    </row>
    <row r="94" spans="1:91" s="20" customFormat="1" x14ac:dyDescent="0.25">
      <c r="A94" s="33" t="s">
        <v>648</v>
      </c>
      <c r="B94" s="7">
        <v>4010</v>
      </c>
      <c r="C94" s="21" t="s">
        <v>193</v>
      </c>
      <c r="D94" s="21" t="s">
        <v>336</v>
      </c>
      <c r="E94" s="13">
        <v>42778.603391203702</v>
      </c>
      <c r="F94" s="13">
        <v>42778.612164351849</v>
      </c>
      <c r="G94" s="7">
        <v>1</v>
      </c>
      <c r="H94" s="21" t="s">
        <v>210</v>
      </c>
      <c r="I94" s="13">
        <v>42778.639930555553</v>
      </c>
      <c r="J94" s="7">
        <v>0</v>
      </c>
      <c r="K94" s="98" t="str">
        <f>IF(ISEVEN(B94),(B94-1)&amp;"/"&amp;B94,B94&amp;"/"&amp;(B94+1))</f>
        <v>4009/4010</v>
      </c>
      <c r="L94" s="21" t="str">
        <f>VLOOKUP(A94,'Trips&amp;Operators'!$C$1:$G$99999,5,FALSE)</f>
        <v>MCREYNOLDS KYLE</v>
      </c>
      <c r="M94" s="6">
        <f>I94-F94</f>
        <v>2.7766203704231884E-2</v>
      </c>
      <c r="N94" s="7">
        <f>24*60*SUM($M94:$M94)</f>
        <v>39.983333334093913</v>
      </c>
      <c r="O94" s="7"/>
      <c r="P94" s="7"/>
      <c r="Q94" s="22"/>
      <c r="R94" s="22" t="s">
        <v>905</v>
      </c>
      <c r="S94" s="31">
        <f>SUM(U94:U94)/IF(AG94="EC",12,1)</f>
        <v>1</v>
      </c>
      <c r="T94" s="46" t="str">
        <f>IF(ISEVEN(LEFT(AD94,4)),"Southbound","NorthBound")</f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-02-12T13:28:53-0700',mode:absolute,to:'2017-02-12T16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188" t="str">
        <f>IF(AA94&lt;IF(AG94="EC",23,5.65),"Y","N")</f>
        <v>N</v>
      </c>
      <c r="X94" s="188">
        <f>VALUE(LEFT(AD94,4))-VALUE(LEFT(AD93,4))</f>
        <v>1</v>
      </c>
      <c r="Y94" s="62">
        <f>RIGHT(D94,LEN(D94)-4)/10000</f>
        <v>23.2989</v>
      </c>
      <c r="Z94" s="62">
        <f>RIGHT(H94,LEN(H94)-4)/10000</f>
        <v>1.5800000000000002E-2</v>
      </c>
      <c r="AA94" s="62">
        <f>ABS(Z94-Y94)</f>
        <v>23.283100000000001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>IF(LEN(A94)=6,"0"&amp;A94,A94)</f>
        <v>0182-12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94" s="8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/stypes="app*4010*20170212*" /stext=" 22:.+((SYSTEM_STATE.+slice.+state.+changed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6" t="str">
        <f t="shared" si="7"/>
        <v>"%USERPROFILE%\Documents\GitHub\eaglep3\Utilities\RefineRTDCRunTimes.py" --tripid 182-12 --locoid 4010 --swversion DE.1.0.8.0 --startMP 204:232989 --initTime 2017-02-12T14:28:53 --startdatetime 2017-02-12T14:41:31 --delay 1 --endMP 204:158 --enddatetime 2017-02-12T15:21:30 --enforcementcount 0 &gt;&gt;C:\Users\stu\Documents\GitHub\eaglep3-reporting\EC\2017-02-12-refined-times.txt</v>
      </c>
      <c r="AI94" s="108" t="str">
        <f t="shared" si="8"/>
        <v>echo {"issue":{"subject":"Observed signs of EC0508RH ELXS failure, but not affected","project_id":79,"tracker_id":40,"status_id":1,"priority_id":2,"assigned_to_id":23,"start_date":"2017-02-12","description":"","custom_fields":[{"id":1,"name":"Subdivision","value":"EC"},{"id":4,"name":"Milepost","value":"0.0158"},{"id":17,"name":"Train ID","value":"182-12"},{"id":16,"name":"Locomotive ID","value":"4010"},{"id":130,"name":"Impact","value":""},{"id":150,"name":"Time of Event (Mountain Time)","value":"15:21:30"},{"id":151,"name":"Denver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9"/>
        <v>start /low /b %USERPROFILE%\Documents\GitHub\eaglep3\Utilities\DownloadLogsFromS3.py --loco 4010 --day 2017-02-12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642</v>
      </c>
      <c r="B95" s="7">
        <v>4007</v>
      </c>
      <c r="C95" s="21" t="s">
        <v>193</v>
      </c>
      <c r="D95" s="21" t="s">
        <v>279</v>
      </c>
      <c r="E95" s="13">
        <v>42778.577997685185</v>
      </c>
      <c r="F95" s="13">
        <v>42778.583865740744</v>
      </c>
      <c r="G95" s="7">
        <v>1</v>
      </c>
      <c r="H95" s="21" t="s">
        <v>498</v>
      </c>
      <c r="I95" s="13">
        <v>42778.608229166668</v>
      </c>
      <c r="J95" s="7">
        <v>0</v>
      </c>
      <c r="K95" s="98" t="str">
        <f>IF(ISEVEN(B95),(B95-1)&amp;"/"&amp;B95,B95&amp;"/"&amp;(B95+1))</f>
        <v>4007/4008</v>
      </c>
      <c r="L95" s="21" t="str">
        <f>VLOOKUP(A95,'Trips&amp;Operators'!$C$1:$G$99999,5,FALSE)</f>
        <v>ROMERO CHAD</v>
      </c>
      <c r="M95" s="6">
        <f>I95-F95</f>
        <v>2.4363425924093463E-2</v>
      </c>
      <c r="N95" s="7">
        <f>24*60*SUM($M95:$M95)</f>
        <v>35.083333330694586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-02-12T12:52:19-0700',mode:absolute,to:'2017-02-12T15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88" t="str">
        <f>IF(AA95&lt;IF(AG95="EC",23,5.65),"Y","N")</f>
        <v>N</v>
      </c>
      <c r="X95" s="188">
        <f>VALUE(LEFT(AD95,4))-VALUE(LEFT(AD94,4))</f>
        <v>1</v>
      </c>
      <c r="Y95" s="62">
        <f>RIGHT(D95,LEN(D95)-4)/10000</f>
        <v>4.4600000000000001E-2</v>
      </c>
      <c r="Z95" s="62">
        <f>RIGHT(H95,LEN(H95)-4)/10000</f>
        <v>23.3322</v>
      </c>
      <c r="AA95" s="62">
        <f>ABS(Z95-Y95)</f>
        <v>23.287600000000001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>IF(LEN(A95)=6,"0"&amp;A95,A95)</f>
        <v>0183-12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95" s="8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/stypes="app*4007*20170212*" /stext=" 21:.+((SYSTEM_STATE.+slice.+state.+changed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6" t="str">
        <f t="shared" si="7"/>
        <v>"%USERPROFILE%\Documents\GitHub\eaglep3\Utilities\RefineRTDCRunTimes.py" --tripid 183-12 --locoid 4007 --swversion DE.1.0.8.0 --startMP 204:446 --initTime 2017-02-12T13:52:19 --startdatetime 2017-02-12T14:00:46 --delay 1 --endMP 204:233322 --enddatetime 2017-02-12T14:35:51 --enforcementcount 0 &gt;&gt;C:\Users\stu\Documents\GitHub\eaglep3-reporting\EC\2017-02-12-refined-times.txt</v>
      </c>
      <c r="AI95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{"issue":{"subject":"","project_id":79,"tracker_id":40,"status_id":1,"priority_id":2,"assigned_to_id":23,"start_date":"2017-02-12","description":"","custom_fields":[{"id":1,"name":"Subdivision","value":"EC"},{"id":4,"name":"Milepost","value":"23.3322"},{"id":17,"name":"Train ID","value":"183-12"},{"id":16,"name":"Locomotive ID","value":"4007"},{"id":130,"name":"Impact","value":""},{"id":150,"name":"Time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9"/>
        <v>start /low /b %USERPROFILE%\Documents\GitHub\eaglep3\Utilities\DownloadLogsFromS3.py --loco 4007 --day 2017-02-12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"%USERPROFILE%\AppData\Local\Temp\OnboardLogs"\RTDC4007\*4007*20170212* | grep -SE "(Enforcement Action)|(\[TIMEOUT)|(CHR.+\|PRM\|1\|D.+(SWITCH|SIGNAL).+UNKNOWN)" - &gt;&gt; 2017-02-12-UncaughtWiMAX.txt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527</v>
      </c>
      <c r="B96" s="7">
        <v>4008</v>
      </c>
      <c r="C96" s="21" t="s">
        <v>193</v>
      </c>
      <c r="D96" s="21" t="s">
        <v>360</v>
      </c>
      <c r="E96" s="13">
        <v>42778.614189814813</v>
      </c>
      <c r="F96" s="13">
        <v>42778.622731481482</v>
      </c>
      <c r="G96" s="7">
        <v>1</v>
      </c>
      <c r="H96" s="21" t="s">
        <v>822</v>
      </c>
      <c r="I96" s="13">
        <v>42778.64167824074</v>
      </c>
      <c r="J96" s="7">
        <v>0</v>
      </c>
      <c r="K96" s="98" t="str">
        <f>IF(ISEVEN(B96),(B96-1)&amp;"/"&amp;B96,B96&amp;"/"&amp;(B96+1))</f>
        <v>4007/4008</v>
      </c>
      <c r="L96" s="21" t="str">
        <f>VLOOKUP(A96,'Trips&amp;Operators'!$C$1:$G$99999,5,FALSE)</f>
        <v>ROMERO CHAD</v>
      </c>
      <c r="M96" s="6">
        <f>I96-F96</f>
        <v>1.894675925723277E-2</v>
      </c>
      <c r="N96" s="7"/>
      <c r="O96" s="7"/>
      <c r="P96" s="7">
        <f>24*60*SUM($M96:$M96)</f>
        <v>27.283333330415189</v>
      </c>
      <c r="Q96" s="22"/>
      <c r="R96" s="22" t="s">
        <v>900</v>
      </c>
      <c r="S96" s="31">
        <f>SUM(U96:U96)/IF(AG96="EC",12,1)</f>
        <v>0.5</v>
      </c>
      <c r="T96" s="46" t="str">
        <f>IF(ISEVEN(LEFT(AD96,4)),"Southbound","NorthBound")</f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6</v>
      </c>
      <c r="V96" s="187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-02-12T13:44:26-0700',mode:absolute,to:'2017-02-12T16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6" s="188" t="str">
        <f>IF(AA96&lt;IF(AG96="EC",23,5.65),"Y","N")</f>
        <v>Y</v>
      </c>
      <c r="X96" s="188">
        <f>VALUE(LEFT(AD96,4))-VALUE(LEFT(AD95,4))</f>
        <v>1</v>
      </c>
      <c r="Y96" s="62">
        <f>RIGHT(D96,LEN(D96)-4)/10000</f>
        <v>23.298400000000001</v>
      </c>
      <c r="Z96" s="62">
        <f>RIGHT(H96,LEN(H96)-4)/10000</f>
        <v>5.8144</v>
      </c>
      <c r="AA96" s="62">
        <f>ABS(Z96-Y96)</f>
        <v>17.484000000000002</v>
      </c>
      <c r="AB96" s="59" t="str">
        <f>VLOOKUP(A96,Enforcements!$C$7:$K$14,8,0)</f>
        <v>Bulletin (2)</v>
      </c>
      <c r="AC96" s="55" t="str">
        <f>VLOOKUP(A96,Enforcements!$C$7:$E$14,3,0)</f>
        <v>GRADE CROSSING</v>
      </c>
      <c r="AD96" s="56" t="str">
        <f>IF(LEN(A96)=6,"0"&amp;A96,A96)</f>
        <v>0184-12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96" s="8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/stypes="app*4008*20170212*"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6" t="str">
        <f t="shared" si="7"/>
        <v>"%USERPROFILE%\Documents\GitHub\eaglep3\Utilities\RefineRTDCRunTimes.py" --tripid 184-12 --locoid 4008 --swversion DE.1.0.8.0 --startMP 204:232984 --initTime 2017-02-12T14:44:26 --startdatetime 2017-02-12T14:56:44 --delay 1 --endMP 204:58144 --enddatetime 2017-02-12T15:24:01 --enforcementcount 0 &gt;&gt;C:\Users\stu\Documents\GitHub\eaglep3-reporting\EC\2017-02-12-refined-times.txt</v>
      </c>
      <c r="AI96" s="108" t="str">
        <f t="shared" si="8"/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failure","project_id":79,"tracker_id":40,"status_id":1,"priority_id":2,"assigned_to_id":23,"start_date":"2017-02-12","description":"","custom_fields":[{"id":1,"name":"Subdivision","value":"EC"},{"id":4,"name":"Milepost","value":"5.8144"},{"id":17,"name":"Train ID","value":"184-12"},{"id":16,"name":"Locomotive ID","value":"4008"},{"id":130,"name":"Impact","value":""},{"id":150,"name":"Time of Event (Mountain Time)","value":"15:24:01"},{"id":151,"name":"Denver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9"/>
        <v>start /low /b %USERPROFILE%\Documents\GitHub\eaglep3\Utilities\DownloadLogsFromS3.py --loco 4008 --day 2017-02-12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644</v>
      </c>
      <c r="B97" s="7">
        <v>4018</v>
      </c>
      <c r="C97" s="21" t="s">
        <v>193</v>
      </c>
      <c r="D97" s="21" t="s">
        <v>823</v>
      </c>
      <c r="E97" s="13">
        <v>42778.590196759258</v>
      </c>
      <c r="F97" s="13">
        <v>42778.593935185185</v>
      </c>
      <c r="G97" s="7">
        <v>1</v>
      </c>
      <c r="H97" s="21" t="s">
        <v>354</v>
      </c>
      <c r="I97" s="13">
        <v>42778.618761574071</v>
      </c>
      <c r="J97" s="7">
        <v>0</v>
      </c>
      <c r="K97" s="98" t="str">
        <f>IF(ISEVEN(B97),(B97-1)&amp;"/"&amp;B97,B97&amp;"/"&amp;(B97+1))</f>
        <v>4017/4018</v>
      </c>
      <c r="L97" s="21" t="str">
        <f>VLOOKUP(A97,'Trips&amp;Operators'!$C$1:$G$99999,5,FALSE)</f>
        <v>KILLION DAVID</v>
      </c>
      <c r="M97" s="6">
        <f>I97-F97</f>
        <v>2.4826388886140194E-2</v>
      </c>
      <c r="N97" s="7">
        <f>24*60*SUM($M97:$M97)</f>
        <v>35.749999996041879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-02-12T13:09:53-0700',mode:absolute,to:'2017-02-12T15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7" s="188" t="str">
        <f>IF(AA97&lt;IF(AG97="EC",23,5.65),"Y","N")</f>
        <v>N</v>
      </c>
      <c r="X97" s="188">
        <f>VALUE(LEFT(AD97,4))-VALUE(LEFT(AD96,4))</f>
        <v>1</v>
      </c>
      <c r="Y97" s="62">
        <f>RIGHT(D97,LEN(D97)-4)/10000</f>
        <v>5.0200000000000002E-2</v>
      </c>
      <c r="Z97" s="62">
        <f>RIGHT(H97,LEN(H97)-4)/10000</f>
        <v>23.331199999999999</v>
      </c>
      <c r="AA97" s="62">
        <f>ABS(Z97-Y97)</f>
        <v>23.280999999999999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>IF(LEN(A97)=6,"0"&amp;A97,A97)</f>
        <v>0185-12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97" s="8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/stypes="app*4018*20170212*"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6" t="str">
        <f t="shared" si="7"/>
        <v>"%USERPROFILE%\Documents\GitHub\eaglep3\Utilities\RefineRTDCRunTimes.py" --tripid 185-12 --locoid 4018 --swversion DE.1.0.8.0 --startMP 204:502 --initTime 2017-02-12T14:09:53 --startdatetime 2017-02-12T14:15:16 --delay 1 --endMP 204:233312 --enddatetime 2017-02-12T14:51:01 --enforcementcount 0 &gt;&gt;C:\Users\stu\Documents\GitHub\eaglep3-reporting\EC\2017-02-12-refined-times.txt</v>
      </c>
      <c r="AI97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{"issue":{"subject":"","project_id":79,"tracker_id":40,"status_id":1,"priority_id":2,"assigned_to_id":23,"start_date":"2017-02-12","description":"","custom_fields":[{"id":1,"name":"Subdivision","value":"EC"},{"id":4,"name":"Milepost","value":"23.3312"},{"id":17,"name":"Train ID","value":"185-12"},{"id":16,"name":"Locomotive ID","value":"4018"},{"id":130,"name":"Impact","value":""},{"id":150,"name":"Time of Event (Mountain Time)","value":"14:51:01"},{"id":151,"name":"Denver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9"/>
        <v>start /low /b %USERPROFILE%\Documents\GitHub\eaglep3\Utilities\DownloadLogsFromS3.py --loco 4018 --day 2017-02-12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654</v>
      </c>
      <c r="B98" s="7">
        <v>4017</v>
      </c>
      <c r="C98" s="21" t="s">
        <v>193</v>
      </c>
      <c r="D98" s="21" t="s">
        <v>297</v>
      </c>
      <c r="E98" s="13">
        <v>42778.626423611109</v>
      </c>
      <c r="F98" s="13">
        <v>42778.6328125</v>
      </c>
      <c r="G98" s="7">
        <v>1</v>
      </c>
      <c r="H98" s="21" t="s">
        <v>824</v>
      </c>
      <c r="I98" s="13">
        <v>42778.651030092595</v>
      </c>
      <c r="J98" s="7">
        <v>0</v>
      </c>
      <c r="K98" s="98" t="str">
        <f>IF(ISEVEN(B98),(B98-1)&amp;"/"&amp;B98,B98&amp;"/"&amp;(B98+1))</f>
        <v>4017/4018</v>
      </c>
      <c r="L98" s="21" t="str">
        <f>VLOOKUP(A98,'Trips&amp;Operators'!$C$1:$G$99999,5,FALSE)</f>
        <v>KILLION DAVID</v>
      </c>
      <c r="M98" s="6">
        <f>I98-F98</f>
        <v>1.8217592594737653E-2</v>
      </c>
      <c r="N98" s="7"/>
      <c r="O98" s="7"/>
      <c r="P98" s="7">
        <f>24*60*SUM($M98:$M98)</f>
        <v>26.23333333642222</v>
      </c>
      <c r="Q98" s="22"/>
      <c r="R98" s="22" t="s">
        <v>900</v>
      </c>
      <c r="S98" s="31">
        <f>SUM(U98:U98)/IF(AG98="EC",12,1)</f>
        <v>0.41666666666666669</v>
      </c>
      <c r="T98" s="46" t="str">
        <f>IF(ISEVEN(LEFT(AD98,4)),"Southbound","NorthBound")</f>
        <v>Southbound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5</v>
      </c>
      <c r="V98" s="187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-02-12T14:02:03-0700',mode:absolute,to:'2017-02-12T16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8" s="188" t="str">
        <f>IF(AA98&lt;IF(AG98="EC",23,5.65),"Y","N")</f>
        <v>Y</v>
      </c>
      <c r="X98" s="188">
        <f>VALUE(LEFT(AD98,4))-VALUE(LEFT(AD97,4))</f>
        <v>1</v>
      </c>
      <c r="Y98" s="62">
        <f>RIGHT(D98,LEN(D98)-4)/10000</f>
        <v>23.297599999999999</v>
      </c>
      <c r="Z98" s="62">
        <f>RIGHT(H98,LEN(H98)-4)/10000</f>
        <v>5.8517999999999999</v>
      </c>
      <c r="AA98" s="62">
        <f>ABS(Z98-Y98)</f>
        <v>17.445799999999998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>IF(LEN(A98)=6,"0"&amp;A98,A98)</f>
        <v>0186-12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98" s="8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/stypes="app*4017*20170212*"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6" t="str">
        <f t="shared" si="7"/>
        <v>"%USERPROFILE%\Documents\GitHub\eaglep3\Utilities\RefineRTDCRunTimes.py" --tripid 186-12 --locoid 4017 --swversion DE.1.0.8.0 --startMP 204:232976 --initTime 2017-02-12T15:02:03 --startdatetime 2017-02-12T15:11:15 --delay 1 --endMP 204:58518 --enddatetime 2017-02-12T15:37:29 --enforcementcount 0 &gt;&gt;C:\Users\stu\Documents\GitHub\eaglep3-reporting\EC\2017-02-12-refined-times.txt</v>
      </c>
      <c r="AI98" s="108" t="str">
        <f t="shared" si="8"/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failure","project_id":79,"tracker_id":40,"status_id":1,"priority_id":2,"assigned_to_id":23,"start_date":"2017-02-12","description":"","custom_fields":[{"id":1,"name":"Subdivision","value":"EC"},{"id":4,"name":"Milepost","value":"5.8518"},{"id":17,"name":"Train ID","value":"186-12"},{"id":16,"name":"Locomotive ID","value":"4017"},{"id":130,"name":"Impact","value":""},{"id":150,"name":"Time of Event (Mountain Time)","value":"15:37:29"},{"id":151,"name":"Denver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9"/>
        <v>start /low /b %USERPROFILE%\Documents\GitHub\eaglep3\Utilities\DownloadLogsFromS3.py --loco 4017 --day 2017-02-12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"%USERPROFILE%\AppData\Local\Temp\OnboardLogs"\RTDC4017\*4017*20170212* | grep -SE "(Enforcement Action)|(\[TIMEOUT)|(CHR.+\|PRM\|1\|D.+(SWITCH|SIGNAL).+UNKNOWN)" - &gt;&gt; 2017-02-12-UncaughtWiMAX.txt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647</v>
      </c>
      <c r="B99" s="7">
        <v>4046</v>
      </c>
      <c r="C99" s="21" t="s">
        <v>193</v>
      </c>
      <c r="D99" s="21" t="s">
        <v>280</v>
      </c>
      <c r="E99" s="13">
        <v>42778.600023148145</v>
      </c>
      <c r="F99" s="13">
        <v>42778.604375000003</v>
      </c>
      <c r="G99" s="7">
        <v>1</v>
      </c>
      <c r="H99" s="21" t="s">
        <v>332</v>
      </c>
      <c r="I99" s="13">
        <v>42778.629328703704</v>
      </c>
      <c r="J99" s="7">
        <v>0</v>
      </c>
      <c r="K99" s="98" t="str">
        <f>IF(ISEVEN(B99),(B99-1)&amp;"/"&amp;B99,B99&amp;"/"&amp;(B99+1))</f>
        <v>4045/4046</v>
      </c>
      <c r="L99" s="21" t="str">
        <f>VLOOKUP(A99,'Trips&amp;Operators'!$C$1:$G$99999,5,FALSE)</f>
        <v>STEWART MICHAEL</v>
      </c>
      <c r="M99" s="6">
        <f>I99-F99</f>
        <v>2.495370370161254E-2</v>
      </c>
      <c r="N99" s="7">
        <f>24*60*SUM($M99:$M99)</f>
        <v>35.933333330322057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-02-12T13:24:02-0700',mode:absolute,to:'2017-02-12T16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9" s="188" t="str">
        <f>IF(AA99&lt;IF(AG99="EC",23,5.65),"Y","N")</f>
        <v>N</v>
      </c>
      <c r="X99" s="188">
        <f>VALUE(LEFT(AD99,4))-VALUE(LEFT(AD98,4))</f>
        <v>1</v>
      </c>
      <c r="Y99" s="62">
        <f>RIGHT(D99,LEN(D99)-4)/10000</f>
        <v>4.5499999999999999E-2</v>
      </c>
      <c r="Z99" s="62">
        <f>RIGHT(H99,LEN(H99)-4)/10000</f>
        <v>23.329699999999999</v>
      </c>
      <c r="AA99" s="62">
        <f>ABS(Z99-Y99)</f>
        <v>23.284199999999998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>IF(LEN(A99)=6,"0"&amp;A99,A99)</f>
        <v>0187-12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 &amp; 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</v>
      </c>
      <c r="AF99" s="8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/stypes="app*4046*20170212*"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6" t="str">
        <f t="shared" si="7"/>
        <v>"%USERPROFILE%\Documents\GitHub\eaglep3\Utilities\RefineRTDCRunTimes.py" --tripid 187-12 --locoid 4046 --swversion DE.1.0.8.0 --startMP 204:455 --initTime 2017-02-12T14:24:02 --startdatetime 2017-02-12T14:30:18 --delay 1 --endMP 204:233297 --enddatetime 2017-02-12T15:06:14 --enforcementcount 0 &gt;&gt;C:\Users\stu\Documents\GitHub\eaglep3-reporting\EC\2017-02-12-refined-times.txt</v>
      </c>
      <c r="AI99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{"issue":{"subject":"","project_id":79,"tracker_id":40,"status_id":1,"priority_id":2,"assigned_to_id":23,"start_date":"2017-02-12","description":"","custom_fields":[{"id":1,"name":"Subdivision","value":"EC"},{"id":4,"name":"Milepost","value":"23.3297"},{"id":17,"name":"Train ID","value":"187-12"},{"id":16,"name":"Locomotive ID","value":"4046"},{"id":130,"name":"Impact","value":""},{"id":150,"name":"Time of Event (Mountain Time)","value":"15:06:14"},{"id":151,"name":"Denver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9"/>
        <v>start /low /b %USERPROFILE%\Documents\GitHub\eaglep3\Utilities\DownloadLogsFromS3.py --loco 4046 --day 2017-02-12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"%USERPROFILE%\AppData\Local\Temp\OnboardLogs"\RTDC4046\*4046*20170212* | grep -SE "(Enforcement Action)|(\[TIMEOUT)|(CHR.+\|PRM\|1\|D.+(SWITCH|SIGNAL).+UNKNOWN)" - &gt;&gt; 2017-02-12-UncaughtWiMAX.txt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655</v>
      </c>
      <c r="B100" s="7">
        <v>4045</v>
      </c>
      <c r="C100" s="21" t="s">
        <v>193</v>
      </c>
      <c r="D100" s="21" t="s">
        <v>825</v>
      </c>
      <c r="E100" s="13">
        <v>42778.638657407406</v>
      </c>
      <c r="F100" s="13">
        <v>42778.643275462964</v>
      </c>
      <c r="G100" s="7">
        <v>1</v>
      </c>
      <c r="H100" s="21" t="s">
        <v>826</v>
      </c>
      <c r="I100" s="13">
        <v>42778.659050925926</v>
      </c>
      <c r="J100" s="7">
        <v>0</v>
      </c>
      <c r="K100" s="98" t="str">
        <f>IF(ISEVEN(B100),(B100-1)&amp;"/"&amp;B100,B100&amp;"/"&amp;(B100+1))</f>
        <v>4045/4046</v>
      </c>
      <c r="L100" s="21" t="str">
        <f>VLOOKUP(A100,'Trips&amp;Operators'!$C$1:$G$99999,5,FALSE)</f>
        <v>STEWART MICHAEL</v>
      </c>
      <c r="M100" s="6">
        <f>I100-F100</f>
        <v>1.5775462961755693E-2</v>
      </c>
      <c r="N100" s="7"/>
      <c r="O100" s="7"/>
      <c r="P100" s="7">
        <f>24*60*SUM($M100:$M100)</f>
        <v>22.716666664928198</v>
      </c>
      <c r="Q100" s="22"/>
      <c r="R100" s="22" t="s">
        <v>900</v>
      </c>
      <c r="S100" s="31">
        <f>SUM(U100:U100)/IF(AG100="EC",12,1)</f>
        <v>0.25</v>
      </c>
      <c r="T100" s="46" t="str">
        <f>IF(ISEVEN(LEFT(AD100,4)),"Southbound","NorthBound")</f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3</v>
      </c>
      <c r="V100" s="187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-02-12T14:19:40-0700',mode:absolute,to:'2017-02-12T16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0" s="188" t="str">
        <f>IF(AA100&lt;IF(AG100="EC",23,5.65),"Y","N")</f>
        <v>Y</v>
      </c>
      <c r="X100" s="188">
        <f>VALUE(LEFT(AD100,4))-VALUE(LEFT(AD99,4))</f>
        <v>1</v>
      </c>
      <c r="Y100" s="62">
        <f>RIGHT(D100,LEN(D100)-4)/10000</f>
        <v>23.296299999999999</v>
      </c>
      <c r="Z100" s="62">
        <f>RIGHT(H100,LEN(H100)-4)/10000</f>
        <v>6.4146999999999998</v>
      </c>
      <c r="AA100" s="62">
        <f>ABS(Z100-Y100)</f>
        <v>16.881599999999999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>IF(LEN(A100)=6,"0"&amp;A100,A100)</f>
        <v>0188-12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s3://rtdc.mdm.uploadarchive.raw/RTDC4045/ "%USERPROFILE%\AppData\Local\Temp\OnboardLogs"\RTDC4045\2017-02-12 --exclude "*" --recursive --include "*20170212*" &amp; "%USERPROFILE%\Documents\GitHub\mrs-test-scripts\Headless Mode &amp; Sideloading\WalkAndUnGZ.bat" "%USERPROFILE%\AppData\Local\Temp\OnboardLogs"\RTDC4045\2017-02-12 &amp; aws s3 cp s3://rtdc.mdm.uploadarchive.raw/RTDC4045/ "%USERPROFILE%\AppData\Local\Temp\OnboardLogs"\RTDC4045\2017-02-13 --exclude "*" --recursive --include "*20170213*" &amp; "%USERPROFILE%\Documents\GitHub\mrs-test-scripts\Headless Mode &amp; Sideloading\WalkAndUnGZ.bat" "%USERPROFILE%\AppData\Local\Temp\OnboardLogs"\RTDC4045\2017-02-13</v>
      </c>
      <c r="AF100" s="8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/stypes="app*4045*20170212*"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6" t="str">
        <f t="shared" si="7"/>
        <v>"%USERPROFILE%\Documents\GitHub\eaglep3\Utilities\RefineRTDCRunTimes.py" --tripid 188-12 --locoid 4045 --swversion DE.1.0.8.0 --startMP 204:232963 --initTime 2017-02-12T15:19:40 --startdatetime 2017-02-12T15:26:19 --delay 1 --endMP 204:64147 --enddatetime 2017-02-12T15:49:02 --enforcementcount 0 &gt;&gt;C:\Users\stu\Documents\GitHub\eaglep3-reporting\EC\2017-02-12-refined-times.txt</v>
      </c>
      <c r="AI100" s="108" t="str">
        <f t="shared" si="8"/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failure","project_id":79,"tracker_id":40,"status_id":1,"priority_id":2,"assigned_to_id":23,"start_date":"2017-02-12","description":"","custom_fields":[{"id":1,"name":"Subdivision","value":"EC"},{"id":4,"name":"Milepost","value":"6.4147"},{"id":17,"name":"Train ID","value":"188-12"},{"id":16,"name":"Locomotive ID","value":"4045"},{"id":130,"name":"Impact","value":""},{"id":150,"name":"Time of Event (Mountain Time)","value":"15:49:02"},{"id":151,"name":"Denver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9"/>
        <v>start /low /b %USERPROFILE%\Documents\GitHub\eaglep3\Utilities\DownloadLogsFromS3.py --loco 4045 --day 2017-02-12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"%USERPROFILE%\AppData\Local\Temp\OnboardLogs"\RTDC4045\*4045*20170212* | grep -SE "(Enforcement Action)|(\[TIMEOUT)|(CHR.+\|PRM\|1\|D.+(SWITCH|SIGNAL).+UNKNOWN)" - &gt;&gt; 2017-02-12-UncaughtWiMAX.txt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649</v>
      </c>
      <c r="B101" s="7">
        <v>4038</v>
      </c>
      <c r="C101" s="21" t="s">
        <v>193</v>
      </c>
      <c r="D101" s="21" t="s">
        <v>827</v>
      </c>
      <c r="E101" s="13">
        <v>42778.610856481479</v>
      </c>
      <c r="F101" s="13">
        <v>42778.614872685182</v>
      </c>
      <c r="G101" s="7">
        <v>1</v>
      </c>
      <c r="H101" s="21" t="s">
        <v>828</v>
      </c>
      <c r="I101" s="13">
        <v>42778.63921296296</v>
      </c>
      <c r="J101" s="7">
        <v>0</v>
      </c>
      <c r="K101" s="98" t="str">
        <f>IF(ISEVEN(B101),(B101-1)&amp;"/"&amp;B101,B101&amp;"/"&amp;(B101+1))</f>
        <v>4037/4038</v>
      </c>
      <c r="L101" s="21" t="str">
        <f>VLOOKUP(A101,'Trips&amp;Operators'!$C$1:$G$99999,5,FALSE)</f>
        <v>HOLCOMB KAMDEN</v>
      </c>
      <c r="M101" s="6">
        <f>I101-F101</f>
        <v>2.4340277777810115E-2</v>
      </c>
      <c r="N101" s="7">
        <f>24*60*SUM($M101:$M101)</f>
        <v>35.050000000046566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-02-12T13:39:38-0700',mode:absolute,to:'2017-02-12T16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1" s="188" t="str">
        <f>IF(AA101&lt;IF(AG101="EC",23,5.65),"Y","N")</f>
        <v>N</v>
      </c>
      <c r="X101" s="188">
        <f>VALUE(LEFT(AD101,4))-VALUE(LEFT(AD100,4))</f>
        <v>1</v>
      </c>
      <c r="Y101" s="62">
        <f>RIGHT(D101,LEN(D101)-4)/10000</f>
        <v>5.0799999999999998E-2</v>
      </c>
      <c r="Z101" s="62">
        <f>RIGHT(H101,LEN(H101)-4)/10000</f>
        <v>23.335100000000001</v>
      </c>
      <c r="AA101" s="62">
        <f>ABS(Z101-Y101)</f>
        <v>23.284300000000002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>IF(LEN(A101)=6,"0"&amp;A101,A101)</f>
        <v>0189-12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101" s="8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/stypes="app*4038*20170212*"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6" t="str">
        <f t="shared" si="7"/>
        <v>"%USERPROFILE%\Documents\GitHub\eaglep3\Utilities\RefineRTDCRunTimes.py" --tripid 189-12 --locoid 4038 --swversion DE.1.0.8.0 --startMP 204:508 --initTime 2017-02-12T14:39:38 --startdatetime 2017-02-12T14:45:25 --delay 1 --endMP 204:233351 --enddatetime 2017-02-12T15:20:28 --enforcementcount 0 &gt;&gt;C:\Users\stu\Documents\GitHub\eaglep3-reporting\EC\2017-02-12-refined-times.txt</v>
      </c>
      <c r="AI101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{"issue":{"subject":"","project_id":79,"tracker_id":40,"status_id":1,"priority_id":2,"assigned_to_id":23,"start_date":"2017-02-12","description":"","custom_fields":[{"id":1,"name":"Subdivision","value":"EC"},{"id":4,"name":"Milepost","value":"23.3351"},{"id":17,"name":"Train ID","value":"189-12"},{"id":16,"name":"Locomotive ID","value":"4038"},{"id":130,"name":"Impact","value":""},{"id":150,"name":"Time of Event (Mountain Time)","value":"15:20:28"},{"id":151,"name":"Denver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9"/>
        <v>start /low /b %USERPROFILE%\Documents\GitHub\eaglep3\Utilities\DownloadLogsFromS3.py --loco 4038 --day 2017-02-12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657</v>
      </c>
      <c r="B102" s="7">
        <v>4037</v>
      </c>
      <c r="C102" s="21" t="s">
        <v>193</v>
      </c>
      <c r="D102" s="21" t="s">
        <v>312</v>
      </c>
      <c r="E102" s="13">
        <v>42778.649814814817</v>
      </c>
      <c r="F102" s="13">
        <v>42778.653692129628</v>
      </c>
      <c r="G102" s="7">
        <v>1</v>
      </c>
      <c r="H102" s="21" t="s">
        <v>829</v>
      </c>
      <c r="I102" s="13">
        <v>42778.669502314813</v>
      </c>
      <c r="J102" s="7">
        <v>0</v>
      </c>
      <c r="K102" s="98" t="str">
        <f>IF(ISEVEN(B102),(B102-1)&amp;"/"&amp;B102,B102&amp;"/"&amp;(B102+1))</f>
        <v>4037/4038</v>
      </c>
      <c r="L102" s="21" t="str">
        <f>VLOOKUP(A102,'Trips&amp;Operators'!$C$1:$G$99999,5,FALSE)</f>
        <v>HOLCOMB KAMDEN</v>
      </c>
      <c r="M102" s="6">
        <f>I102-F102</f>
        <v>1.5810185184818693E-2</v>
      </c>
      <c r="N102" s="7"/>
      <c r="O102" s="7"/>
      <c r="P102" s="7">
        <f>24*60*SUM($M102:$M102)</f>
        <v>22.766666666138917</v>
      </c>
      <c r="Q102" s="22"/>
      <c r="R102" s="22" t="s">
        <v>900</v>
      </c>
      <c r="S102" s="31">
        <f>SUM(U102:U102)/IF(AG102="EC",12,1)</f>
        <v>0.25</v>
      </c>
      <c r="T102" s="46" t="str">
        <f>IF(ISEVEN(LEFT(AD102,4)),"Southbound","NorthBound")</f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3</v>
      </c>
      <c r="V102" s="187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-02-12T14:35:44-0700',mode:absolute,to:'2017-02-12T17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2" s="188" t="str">
        <f>IF(AA102&lt;IF(AG102="EC",23,5.65),"Y","N")</f>
        <v>Y</v>
      </c>
      <c r="X102" s="188">
        <f>VALUE(LEFT(AD102,4))-VALUE(LEFT(AD101,4))</f>
        <v>1</v>
      </c>
      <c r="Y102" s="62">
        <f>RIGHT(D102,LEN(D102)-4)/10000</f>
        <v>23.299099999999999</v>
      </c>
      <c r="Z102" s="62">
        <f>RIGHT(H102,LEN(H102)-4)/10000</f>
        <v>6.4149000000000003</v>
      </c>
      <c r="AA102" s="62">
        <f>ABS(Z102-Y102)</f>
        <v>16.8842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>IF(LEN(A102)=6,"0"&amp;A102,A102)</f>
        <v>0190-12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102" s="8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/stypes="app*4037*20170212*"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6" t="str">
        <f t="shared" si="7"/>
        <v>"%USERPROFILE%\Documents\GitHub\eaglep3\Utilities\RefineRTDCRunTimes.py" --tripid 190-12 --locoid 4037 --swversion DE.1.0.8.0 --startMP 204:232991 --initTime 2017-02-12T15:35:44 --startdatetime 2017-02-12T15:41:19 --delay 1 --endMP 204:64149 --enddatetime 2017-02-12T16:04:05 --enforcementcount 0 &gt;&gt;C:\Users\stu\Documents\GitHub\eaglep3-reporting\EC\2017-02-12-refined-times.txt</v>
      </c>
      <c r="AI102" s="108" t="str">
        <f t="shared" si="8"/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failure","project_id":79,"tracker_id":40,"status_id":1,"priority_id":2,"assigned_to_id":23,"start_date":"2017-02-12","description":"","custom_fields":[{"id":1,"name":"Subdivision","value":"EC"},{"id":4,"name":"Milepost","value":"6.4149"},{"id":17,"name":"Train ID","value":"190-12"},{"id":16,"name":"Locomotive ID","value":"4037"},{"id":130,"name":"Impact","value":""},{"id":150,"name":"Time of Event (Mountain Time)","value":"16:04:05"},{"id":151,"name":"Denver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9"/>
        <v>start /low /b %USERPROFILE%\Documents\GitHub\eaglep3\Utilities\DownloadLogsFromS3.py --loco 4037 --day 2017-02-12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"%USERPROFILE%\AppData\Local\Temp\OnboardLogs"\RTDC4037\*4037*20170212* | grep -SE "(Enforcement Action)|(\[TIMEOUT)|(CHR.+\|PRM\|1\|D.+(SWITCH|SIGNAL).+UNKNOWN)" - &gt;&gt; 2017-02-12-UncaughtWiMAX.txt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653</v>
      </c>
      <c r="B103" s="7">
        <v>4029</v>
      </c>
      <c r="C103" s="21" t="s">
        <v>193</v>
      </c>
      <c r="D103" s="21" t="s">
        <v>833</v>
      </c>
      <c r="E103" s="13">
        <v>42778.622534722221</v>
      </c>
      <c r="F103" s="13">
        <v>42778.625185185185</v>
      </c>
      <c r="G103" s="7">
        <v>2</v>
      </c>
      <c r="H103" s="21" t="s">
        <v>737</v>
      </c>
      <c r="I103" s="13">
        <v>42778.650567129633</v>
      </c>
      <c r="J103" s="7">
        <v>0</v>
      </c>
      <c r="K103" s="98" t="str">
        <f>IF(ISEVEN(B103),(B103-1)&amp;"/"&amp;B103,B103&amp;"/"&amp;(B103+1))</f>
        <v>4029/4030</v>
      </c>
      <c r="L103" s="21" t="str">
        <f>VLOOKUP(A103,'Trips&amp;Operators'!$C$1:$G$99999,5,FALSE)</f>
        <v>LEVIN SCOTT</v>
      </c>
      <c r="M103" s="6">
        <f>I103-F103</f>
        <v>2.5381944447872229E-2</v>
      </c>
      <c r="N103" s="7">
        <f>24*60*SUM($M103:$M103)</f>
        <v>36.55000000493601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-02-12T13:56:27-0700',mode:absolute,to:'2017-02-12T16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88" t="str">
        <f>IF(AA103&lt;IF(AG103="EC",23,5.65),"Y","N")</f>
        <v>N</v>
      </c>
      <c r="X103" s="188">
        <f>VALUE(LEFT(AD103,4))-VALUE(LEFT(AD102,4))</f>
        <v>1</v>
      </c>
      <c r="Y103" s="62">
        <f>RIGHT(D103,LEN(D103)-4)/10000</f>
        <v>4.3799999999999999E-2</v>
      </c>
      <c r="Z103" s="62">
        <f>RIGHT(H103,LEN(H103)-4)/10000</f>
        <v>23.336200000000002</v>
      </c>
      <c r="AA103" s="62">
        <f>ABS(Z103-Y103)</f>
        <v>23.292400000000001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>IF(LEN(A103)=6,"0"&amp;A103,A103)</f>
        <v>0191-12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103" s="8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/stypes="app*4029*20170212*"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6" t="str">
        <f t="shared" si="7"/>
        <v>"%USERPROFILE%\Documents\GitHub\eaglep3\Utilities\RefineRTDCRunTimes.py" --tripid 191-12 --locoid 4029 --swversion DE.1.0.8.0 --startMP 204:438 --initTime 2017-02-12T14:56:27 --startdatetime 2017-02-12T15:00:16 --delay 2 --endMP 204:233362 --enddatetime 2017-02-12T15:36:49 --enforcementcount 0 &gt;&gt;C:\Users\stu\Documents\GitHub\eaglep3-reporting\EC\2017-02-12-refined-times.txt</v>
      </c>
      <c r="AI103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{"issue":{"subject":"","project_id":79,"tracker_id":40,"status_id":1,"priority_id":2,"assigned_to_id":23,"start_date":"2017-02-12","description":"","custom_fields":[{"id":1,"name":"Subdivision","value":"EC"},{"id":4,"name":"Milepost","value":"23.3362"},{"id":17,"name":"Train ID","value":"191-12"},{"id":16,"name":"Locomotive ID","value":"4029"},{"id":130,"name":"Impact","value":""},{"id":150,"name":"Time of Event (Mountain Time)","value":"15:36:49"},{"id":151,"name":"Denver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9"/>
        <v>start /low /b %USERPROFILE%\Documents\GitHub\eaglep3\Utilities\DownloadLogsFromS3.py --loco 4029 --day 2017-02-12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"%USERPROFILE%\AppData\Local\Temp\OnboardLogs"\RTDC4029\*4029*20170212* | grep -SE "(Enforcement Action)|(\[TIMEOUT)|(CHR.+\|PRM\|1\|D.+(SWITCH|SIGNAL).+UNKNOWN)" - &gt;&gt; 2017-02-12-UncaughtWiMAX.txt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658</v>
      </c>
      <c r="B104" s="7">
        <v>4030</v>
      </c>
      <c r="C104" s="21" t="s">
        <v>193</v>
      </c>
      <c r="D104" s="21" t="s">
        <v>834</v>
      </c>
      <c r="E104" s="13">
        <v>42778.659837962965</v>
      </c>
      <c r="F104" s="13">
        <v>42778.664131944446</v>
      </c>
      <c r="G104" s="7">
        <v>1</v>
      </c>
      <c r="H104" s="21" t="s">
        <v>835</v>
      </c>
      <c r="I104" s="13">
        <v>42778.689988425926</v>
      </c>
      <c r="J104" s="7">
        <v>0</v>
      </c>
      <c r="K104" s="98" t="str">
        <f>IF(ISEVEN(B104),(B104-1)&amp;"/"&amp;B104,B104&amp;"/"&amp;(B104+1))</f>
        <v>4029/4030</v>
      </c>
      <c r="L104" s="21" t="str">
        <f>VLOOKUP(A104,'Trips&amp;Operators'!$C$1:$G$99999,5,FALSE)</f>
        <v>LEVIN SCOTT</v>
      </c>
      <c r="M104" s="6">
        <f>I104-F104</f>
        <v>2.5856481479422655E-2</v>
      </c>
      <c r="N104" s="7">
        <f>24*60*SUM($M104:$M104)</f>
        <v>37.233333330368623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-02-12T14:50:10-0700',mode:absolute,to:'2017-02-12T17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188" t="str">
        <f>IF(AA104&lt;IF(AG104="EC",23,5.65),"Y","N")</f>
        <v>N</v>
      </c>
      <c r="X104" s="188">
        <f>VALUE(LEFT(AD104,4))-VALUE(LEFT(AD103,4))</f>
        <v>1</v>
      </c>
      <c r="Y104" s="62">
        <f>RIGHT(D104,LEN(D104)-4)/10000</f>
        <v>23.302800000000001</v>
      </c>
      <c r="Z104" s="62">
        <f>RIGHT(H104,LEN(H104)-4)/10000</f>
        <v>1.21E-2</v>
      </c>
      <c r="AA104" s="62">
        <f>ABS(Z104-Y104)</f>
        <v>23.290700000000001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>IF(LEN(A104)=6,"0"&amp;A104,A104)</f>
        <v>0192-12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104" s="8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/stypes="app*4030*20170212*"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6" t="str">
        <f t="shared" si="7"/>
        <v>"%USERPROFILE%\Documents\GitHub\eaglep3\Utilities\RefineRTDCRunTimes.py" --tripid 192-12 --locoid 4030 --swversion DE.1.0.8.0 --startMP 204:233028 --initTime 2017-02-12T15:50:10 --startdatetime 2017-02-12T15:56:21 --delay 1 --endMP 204:121 --enddatetime 2017-02-12T16:33:35 --enforcementcount 0 &gt;&gt;C:\Users\stu\Documents\GitHub\eaglep3-reporting\EC\2017-02-12-refined-times.txt</v>
      </c>
      <c r="AI104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{"issue":{"subject":"","project_id":79,"tracker_id":40,"status_id":1,"priority_id":2,"assigned_to_id":23,"start_date":"2017-02-12","description":"","custom_fields":[{"id":1,"name":"Subdivision","value":"EC"},{"id":4,"name":"Milepost","value":"0.0121"},{"id":17,"name":"Train ID","value":"192-12"},{"id":16,"name":"Locomotive ID","value":"4030"},{"id":130,"name":"Impact","value":""},{"id":150,"name":"Time of Event (Mountain Time)","value":"16:33:35"},{"id":151,"name":"Denver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9"/>
        <v>start /low /b %USERPROFILE%\Documents\GitHub\eaglep3\Utilities\DownloadLogsFromS3.py --loco 4030 --day 2017-02-12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528</v>
      </c>
      <c r="B105" s="7">
        <v>4031</v>
      </c>
      <c r="C105" s="21" t="s">
        <v>193</v>
      </c>
      <c r="D105" s="21" t="s">
        <v>270</v>
      </c>
      <c r="E105" s="13">
        <v>42778.630185185182</v>
      </c>
      <c r="F105" s="13">
        <v>42778.635613425926</v>
      </c>
      <c r="G105" s="7">
        <v>1</v>
      </c>
      <c r="H105" s="21" t="s">
        <v>442</v>
      </c>
      <c r="I105" s="13">
        <v>42778.667974537035</v>
      </c>
      <c r="J105" s="7">
        <v>0</v>
      </c>
      <c r="K105" s="98" t="str">
        <f>IF(ISEVEN(B105),(B105-1)&amp;"/"&amp;B105,B105&amp;"/"&amp;(B105+1))</f>
        <v>4031/4032</v>
      </c>
      <c r="L105" s="21" t="str">
        <f>VLOOKUP(A105,'Trips&amp;Operators'!$C$1:$G$99999,5,FALSE)</f>
        <v>LALONDE GREGORY</v>
      </c>
      <c r="M105" s="6">
        <f>I105-F105</f>
        <v>3.2361111108912155E-2</v>
      </c>
      <c r="N105" s="7">
        <f>24*60*SUM($M105:$M105)</f>
        <v>46.599999996833503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-02-12T14:07:28-0700',mode:absolute,to:'2017-02-12T17:01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5" s="188" t="str">
        <f>IF(AA105&lt;IF(AG105="EC",23,5.65),"Y","N")</f>
        <v>N</v>
      </c>
      <c r="X105" s="188">
        <f>VALUE(LEFT(AD105,4))-VALUE(LEFT(AD104,4))</f>
        <v>1</v>
      </c>
      <c r="Y105" s="62">
        <f>RIGHT(D105,LEN(D105)-4)/10000</f>
        <v>4.53E-2</v>
      </c>
      <c r="Z105" s="62">
        <f>RIGHT(H105,LEN(H105)-4)/10000</f>
        <v>23.3325</v>
      </c>
      <c r="AA105" s="62">
        <f>ABS(Z105-Y105)</f>
        <v>23.287199999999999</v>
      </c>
      <c r="AB105" s="59" t="str">
        <f>VLOOKUP(A105,Enforcements!$C$7:$K$14,8,0)</f>
        <v>Signal based authority (5)</v>
      </c>
      <c r="AC105" s="55" t="str">
        <f>VLOOKUP(A105,Enforcements!$C$7:$E$14,3,0)</f>
        <v>SIGNAL</v>
      </c>
      <c r="AD105" s="56" t="str">
        <f>IF(LEN(A105)=6,"0"&amp;A105,A105)</f>
        <v>0193-12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105" s="8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/stypes="app*4031*20170212*" /stext=" 23:.+((SYSTEM_STATE.+slice.+state.+changed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6" t="str">
        <f t="shared" si="7"/>
        <v>"%USERPROFILE%\Documents\GitHub\eaglep3\Utilities\RefineRTDCRunTimes.py" --tripid 193-12 --locoid 4031 --swversion DE.1.0.8.0 --startMP 204:453 --initTime 2017-02-12T15:07:28 --startdatetime 2017-02-12T15:15:17 --delay 1 --endMP 204:233325 --enddatetime 2017-02-12T16:01:53 --enforcementcount 0 &gt;&gt;C:\Users\stu\Documents\GitHub\eaglep3-reporting\EC\2017-02-12-refined-times.txt</v>
      </c>
      <c r="AI105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{"issue":{"subject":"","project_id":79,"tracker_id":40,"status_id":1,"priority_id":2,"assigned_to_id":23,"start_date":"2017-02-12","description":"","custom_fields":[{"id":1,"name":"Subdivision","value":"EC"},{"id":4,"name":"Milepost","value":"23.3325"},{"id":17,"name":"Train ID","value":"193-12"},{"id":16,"name":"Locomotive ID","value":"4031"},{"id":130,"name":"Impact","value":""},{"id":150,"name":"Time of Event (Mountain Time)","value":"16:01:53"},{"id":151,"name":"Denver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9"/>
        <v>start /low /b %USERPROFILE%\Documents\GitHub\eaglep3\Utilities\DownloadLogsFromS3.py --loco 4031 --day 2017-02-12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"%USERPROFILE%\AppData\Local\Temp\OnboardLogs"\RTDC4031\*4031*20170212* | grep -SE "(Enforcement Action)|(\[TIMEOUT)|(CHR.+\|PRM\|1\|D.+(SWITCH|SIGNAL).+UNKNOWN)" - &gt;&gt; 2017-02-12-UncaughtWiMAX.txt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661</v>
      </c>
      <c r="B106" s="7">
        <v>4032</v>
      </c>
      <c r="C106" s="21" t="s">
        <v>193</v>
      </c>
      <c r="D106" s="21" t="s">
        <v>836</v>
      </c>
      <c r="E106" s="13">
        <v>42778.669768518521</v>
      </c>
      <c r="F106" s="13">
        <v>42778.674502314818</v>
      </c>
      <c r="G106" s="7">
        <v>1</v>
      </c>
      <c r="H106" s="21" t="s">
        <v>209</v>
      </c>
      <c r="I106" s="13">
        <v>42778.70071759259</v>
      </c>
      <c r="J106" s="7">
        <v>0</v>
      </c>
      <c r="K106" s="98" t="str">
        <f>IF(ISEVEN(B106),(B106-1)&amp;"/"&amp;B106,B106&amp;"/"&amp;(B106+1))</f>
        <v>4031/4032</v>
      </c>
      <c r="L106" s="21" t="str">
        <f>VLOOKUP(A106,'Trips&amp;Operators'!$C$1:$G$99999,5,FALSE)</f>
        <v>LALONDE GREGORY</v>
      </c>
      <c r="M106" s="6">
        <f>I106-F106</f>
        <v>2.6215277772280388E-2</v>
      </c>
      <c r="N106" s="7">
        <f>24*60*SUM($M106:$M106)</f>
        <v>37.749999992083758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-02-12T15:04:28-0700',mode:absolute,to:'2017-02-12T17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88" t="str">
        <f>IF(AA106&lt;IF(AG106="EC",23,5.65),"Y","N")</f>
        <v>N</v>
      </c>
      <c r="X106" s="188">
        <f>VALUE(LEFT(AD106,4))-VALUE(LEFT(AD105,4))</f>
        <v>1</v>
      </c>
      <c r="Y106" s="62">
        <f>RIGHT(D106,LEN(D106)-4)/10000</f>
        <v>23.298100000000002</v>
      </c>
      <c r="Z106" s="62">
        <f>RIGHT(H106,LEN(H106)-4)/10000</f>
        <v>1.52E-2</v>
      </c>
      <c r="AA106" s="62">
        <f>ABS(Z106-Y106)</f>
        <v>23.282900000000001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>IF(LEN(A106)=6,"0"&amp;A106,A106)</f>
        <v>0194-12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106" s="8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/stypes="app*4032*20170212*"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6" t="str">
        <f t="shared" si="7"/>
        <v>"%USERPROFILE%\Documents\GitHub\eaglep3\Utilities\RefineRTDCRunTimes.py" --tripid 194-12 --locoid 4032 --swversion DE.1.0.8.0 --startMP 204:232981 --initTime 2017-02-12T16:04:28 --startdatetime 2017-02-12T16:11:17 --delay 1 --endMP 204:152 --enddatetime 2017-02-12T16:49:02 --enforcementcount 0 &gt;&gt;C:\Users\stu\Documents\GitHub\eaglep3-reporting\EC\2017-02-12-refined-times.txt</v>
      </c>
      <c r="AI106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{"issue":{"subject":"","project_id":79,"tracker_id":40,"status_id":1,"priority_id":2,"assigned_to_id":23,"start_date":"2017-02-12","description":"","custom_fields":[{"id":1,"name":"Subdivision","value":"EC"},{"id":4,"name":"Milepost","value":"0.0152"},{"id":17,"name":"Train ID","value":"194-12"},{"id":16,"name":"Locomotive ID","value":"4032"},{"id":130,"name":"Impact","value":""},{"id":150,"name":"Time of Event (Mountain Time)","value":"16:49:02"},{"id":151,"name":"Denver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9"/>
        <v>start /low /b %USERPROFILE%\Documents\GitHub\eaglep3\Utilities\DownloadLogsFromS3.py --loco 4032 --day 2017-02-12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531</v>
      </c>
      <c r="B107" s="7">
        <v>4009</v>
      </c>
      <c r="C107" s="21" t="s">
        <v>193</v>
      </c>
      <c r="D107" s="21" t="s">
        <v>278</v>
      </c>
      <c r="E107" s="13">
        <v>42778.641504629632</v>
      </c>
      <c r="F107" s="13">
        <v>42778.66028935185</v>
      </c>
      <c r="G107" s="7">
        <v>1</v>
      </c>
      <c r="H107" s="21" t="s">
        <v>837</v>
      </c>
      <c r="I107" s="13">
        <v>42778.680439814816</v>
      </c>
      <c r="J107" s="7">
        <v>0</v>
      </c>
      <c r="K107" s="98" t="str">
        <f>IF(ISEVEN(B107),(B107-1)&amp;"/"&amp;B107,B107&amp;"/"&amp;(B107+1))</f>
        <v>4009/4010</v>
      </c>
      <c r="L107" s="21" t="str">
        <f>VLOOKUP(A107,'Trips&amp;Operators'!$C$1:$G$99999,5,FALSE)</f>
        <v>CRAYTON QUNTRELL</v>
      </c>
      <c r="M107" s="6">
        <f>I107-F107</f>
        <v>2.0150462965830229E-2</v>
      </c>
      <c r="N107" s="7"/>
      <c r="O107" s="7"/>
      <c r="P107" s="7">
        <f>24*60*SUM($M107:$M107)</f>
        <v>29.01666667079553</v>
      </c>
      <c r="Q107" s="22"/>
      <c r="R107" s="22" t="s">
        <v>900</v>
      </c>
      <c r="S107" s="31">
        <f>SUM(U107:U108)/IF(AG107="EC",12,1)</f>
        <v>0.5</v>
      </c>
      <c r="T107" s="46" t="str">
        <f>IF(ISEVEN(LEFT(AD107,4)),"Southbound","NorthBound")</f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3</v>
      </c>
      <c r="V107" s="187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-02-12T14:23:46-0700',mode:absolute,to:'2017-02-12T17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7" s="188" t="str">
        <f>IF(AA107&lt;IF(AG107="EC",23,5.65),"Y","N")</f>
        <v>Y</v>
      </c>
      <c r="X107" s="188">
        <f>VALUE(LEFT(AD107,4))-VALUE(LEFT(AD106,4))</f>
        <v>1</v>
      </c>
      <c r="Y107" s="62">
        <f>RIGHT(D107,LEN(D107)-4)/10000</f>
        <v>4.6699999999999998E-2</v>
      </c>
      <c r="Z107" s="62">
        <f>RIGHT(H107,LEN(H107)-4)/10000</f>
        <v>3.718</v>
      </c>
      <c r="AA107" s="62">
        <f>ABS(Z107-Y107)</f>
        <v>3.6713</v>
      </c>
      <c r="AB107" s="59" t="str">
        <f>VLOOKUP(A107,Enforcements!$C$7:$K$14,8,0)</f>
        <v>Signal based authority (5)</v>
      </c>
      <c r="AC107" s="55" t="str">
        <f>VLOOKUP(A107,Enforcements!$C$7:$E$14,3,0)</f>
        <v>SIGNAL</v>
      </c>
      <c r="AD107" s="56" t="str">
        <f>IF(LEN(A107)=6,"0"&amp;A107,A107)</f>
        <v>0195-12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107" s="8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/stypes="app*4009*20170212*"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6" t="str">
        <f t="shared" si="7"/>
        <v>"%USERPROFILE%\Documents\GitHub\eaglep3\Utilities\RefineRTDCRunTimes.py" --tripid 195-12 --locoid 4009 --swversion DE.1.0.8.0 --startMP 204:467 --initTime 2017-02-12T15:23:46 --startdatetime 2017-02-12T15:50:49 --delay 1 --endMP 204:37180 --enddatetime 2017-02-12T16:19:50 --enforcementcount 0 &gt;&gt;C:\Users\stu\Documents\GitHub\eaglep3-reporting\EC\2017-02-12-refined-times.txt</v>
      </c>
      <c r="AI107" s="108" t="str">
        <f t="shared" si="8"/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failure","project_id":79,"tracker_id":40,"status_id":1,"priority_id":2,"assigned_to_id":23,"start_date":"2017-02-12","description":"","custom_fields":[{"id":1,"name":"Subdivision","value":"EC"},{"id":4,"name":"Milepost","value":"3.718"},{"id":17,"name":"Train ID","value":"195-12"},{"id":16,"name":"Locomotive ID","value":"4009"},{"id":130,"name":"Impact","value":""},{"id":150,"name":"Time of Event (Mountain Time)","value":"16:19:50"},{"id":151,"name":"Denver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9"/>
        <v>start /low /b %USERPROFILE%\Documents\GitHub\eaglep3\Utilities\DownloadLogsFromS3.py --loco 4009 --day 2017-02-12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531</v>
      </c>
      <c r="B108" s="7">
        <v>4009</v>
      </c>
      <c r="C108" s="21" t="s">
        <v>193</v>
      </c>
      <c r="D108" s="21" t="s">
        <v>838</v>
      </c>
      <c r="E108" s="13">
        <v>42778.659513888888</v>
      </c>
      <c r="F108" s="13">
        <v>42778.66028935185</v>
      </c>
      <c r="G108" s="7">
        <v>0</v>
      </c>
      <c r="H108" s="21" t="s">
        <v>754</v>
      </c>
      <c r="I108" s="13">
        <v>42778.680439814816</v>
      </c>
      <c r="J108" s="7">
        <v>0</v>
      </c>
      <c r="K108" s="98" t="str">
        <f>IF(ISEVEN(B108),(B108-1)&amp;"/"&amp;B108,B108&amp;"/"&amp;(B108+1))</f>
        <v>4009/4010</v>
      </c>
      <c r="L108" s="21" t="str">
        <f>VLOOKUP(A108,'Trips&amp;Operators'!$C$1:$G$99999,5,FALSE)</f>
        <v>CRAYTON QUNTRELL</v>
      </c>
      <c r="M108" s="6">
        <f>I108-F108</f>
        <v>2.0150462965830229E-2</v>
      </c>
      <c r="N108" s="7"/>
      <c r="O108" s="7"/>
      <c r="P108" s="7"/>
      <c r="Q108" s="22"/>
      <c r="R108" s="22"/>
      <c r="S108" s="31"/>
      <c r="T108" s="46" t="str">
        <f>IF(ISEVEN(LEFT(AD108,4)),"Southbound","NorthBound")</f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187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-02-12T14:49:42-0700',mode:absolute,to:'2017-02-12T17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8" s="188" t="str">
        <f>IF(AA108&lt;IF(AG108="EC",23,5.65),"Y","N")</f>
        <v>Y</v>
      </c>
      <c r="X108" s="188">
        <f>VALUE(LEFT(AD108,4))-VALUE(LEFT(AD107,4))</f>
        <v>0</v>
      </c>
      <c r="Y108" s="62">
        <f>RIGHT(D108,LEN(D108)-4)/10000</f>
        <v>6.4695999999999998</v>
      </c>
      <c r="Z108" s="62">
        <f>RIGHT(H108,LEN(H108)-4)/10000</f>
        <v>23.331399999999999</v>
      </c>
      <c r="AA108" s="62">
        <f>ABS(Z108-Y108)</f>
        <v>16.861799999999999</v>
      </c>
      <c r="AB108" s="59" t="str">
        <f>VLOOKUP(A108,Enforcements!$C$7:$K$14,8,0)</f>
        <v>Signal based authority (5)</v>
      </c>
      <c r="AC108" s="55" t="str">
        <f>VLOOKUP(A108,Enforcements!$C$7:$E$14,3,0)</f>
        <v>SIGNAL</v>
      </c>
      <c r="AD108" s="56" t="str">
        <f>IF(LEN(A108)=6,"0"&amp;A108,A108)</f>
        <v>0195-12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108" s="8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/stypes="app*4009*20170212*"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6" t="str">
        <f t="shared" si="7"/>
        <v>"%USERPROFILE%\Documents\GitHub\eaglep3\Utilities\RefineRTDCRunTimes.py" --tripid 195-12 --locoid 4009 --swversion DE.1.0.8.0 --startMP 204:64696 --initTime 2017-02-12T15:49:42 --startdatetime 2017-02-12T15:50:49 --delay 0 --endMP 204:233314 --enddatetime 2017-02-12T16:19:50 --enforcementcount 0 &gt;&gt;C:\Users\stu\Documents\GitHub\eaglep3-reporting\EC\2017-02-12-refined-times.txt</v>
      </c>
      <c r="AI108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{"issue":{"subject":"","project_id":79,"tracker_id":40,"status_id":1,"priority_id":2,"assigned_to_id":23,"start_date":"2017-02-12","description":"","custom_fields":[{"id":1,"name":"Subdivision","value":"EC"},{"id":4,"name":"Milepost","value":"23.3314"},{"id":17,"name":"Train ID","value":"195-12"},{"id":16,"name":"Locomotive ID","value":"4009"},{"id":130,"name":"Impact","value":""},{"id":150,"name":"Time of Event (Mountain Time)","value":"16:19:50"},{"id":151,"name":"Denver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9"/>
        <v>start /low /b %USERPROFILE%\Documents\GitHub\eaglep3\Utilities\DownloadLogsFromS3.py --loco 4009 --day 2017-02-12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"%USERPROFILE%\AppData\Local\Temp\OnboardLogs"\RTDC4009\*4009*20170212* | grep -SE "(Enforcement Action)|(\[TIMEOUT)|(CHR.+\|PRM\|1\|D.+(SWITCH|SIGNAL).+UNKNOWN)" - &gt;&gt; 2017-02-12-UncaughtWiMAX.txt</v>
      </c>
    </row>
    <row r="109" spans="1:91" s="20" customFormat="1" x14ac:dyDescent="0.25">
      <c r="A109" s="33" t="s">
        <v>663</v>
      </c>
      <c r="B109" s="7">
        <v>4010</v>
      </c>
      <c r="C109" s="21" t="s">
        <v>193</v>
      </c>
      <c r="D109" s="21" t="s">
        <v>839</v>
      </c>
      <c r="E109" s="13">
        <v>42778.682141203702</v>
      </c>
      <c r="F109" s="13">
        <v>42778.684884259259</v>
      </c>
      <c r="G109" s="7">
        <v>1</v>
      </c>
      <c r="H109" s="21" t="s">
        <v>333</v>
      </c>
      <c r="I109" s="13">
        <v>42778.711550925924</v>
      </c>
      <c r="J109" s="7">
        <v>0</v>
      </c>
      <c r="K109" s="98" t="str">
        <f>IF(ISEVEN(B109),(B109-1)&amp;"/"&amp;B109,B109&amp;"/"&amp;(B109+1))</f>
        <v>4009/4010</v>
      </c>
      <c r="L109" s="21" t="str">
        <f>VLOOKUP(A109,'Trips&amp;Operators'!$C$1:$G$99999,5,FALSE)</f>
        <v>CRAYTON QUNTRELL</v>
      </c>
      <c r="M109" s="6">
        <f>I109-F109</f>
        <v>2.6666666664823424E-2</v>
      </c>
      <c r="N109" s="7">
        <f>24*60*SUM($M109:$M109)</f>
        <v>38.399999997345731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Southbound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-02-12T15:22:17-0700',mode:absolute,to:'2017-02-12T18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188" t="str">
        <f>IF(AA109&lt;IF(AG109="EC",23,5.65),"Y","N")</f>
        <v>N</v>
      </c>
      <c r="X109" s="188">
        <f>VALUE(LEFT(AD109,4))-VALUE(LEFT(AD108,4))</f>
        <v>1</v>
      </c>
      <c r="Y109" s="62">
        <f>RIGHT(D109,LEN(D109)-4)/10000</f>
        <v>23.300799999999999</v>
      </c>
      <c r="Z109" s="62">
        <f>RIGHT(H109,LEN(H109)-4)/10000</f>
        <v>1.61E-2</v>
      </c>
      <c r="AA109" s="62">
        <f>ABS(Z109-Y109)</f>
        <v>23.284699999999997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>IF(LEN(A109)=6,"0"&amp;A109,A109)</f>
        <v>0196-12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109" s="8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/stypes="app*4010*20170213*"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6" t="str">
        <f t="shared" si="7"/>
        <v>"%USERPROFILE%\Documents\GitHub\eaglep3\Utilities\RefineRTDCRunTimes.py" --tripid 196-12 --locoid 4010 --swversion DE.1.0.8.0 --startMP 204:233008 --initTime 2017-02-12T16:22:17 --startdatetime 2017-02-12T16:26:14 --delay 1 --endMP 204:161 --enddatetime 2017-02-12T17:04:38 --enforcementcount 0 &gt;&gt;C:\Users\stu\Documents\GitHub\eaglep3-reporting\EC\2017-02-12-refined-times.txt</v>
      </c>
      <c r="AI109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{"issue":{"subject":"","project_id":79,"tracker_id":40,"status_id":1,"priority_id":2,"assigned_to_id":23,"start_date":"2017-02-12","description":"","custom_fields":[{"id":1,"name":"Subdivision","value":"EC"},{"id":4,"name":"Milepost","value":"0.0161"},{"id":17,"name":"Train ID","value":"196-12"},{"id":16,"name":"Locomotive ID","value":"4010"},{"id":130,"name":"Impact","value":""},{"id":150,"name":"Time of Event (Mountain Time)","value":"17:04:38"},{"id":151,"name":"Denver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9"/>
        <v>start /low /b %USERPROFILE%\Documents\GitHub\eaglep3\Utilities\DownloadLogsFromS3.py --loco 4010 --day 2017-02-12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"%USERPROFILE%\AppData\Local\Temp\OnboardLogs"\RTDC4010\*4010*20170212* | grep -SE "(Enforcement Action)|(\[TIMEOUT)|(CHR.+\|PRM\|1\|D.+(SWITCH|SIGNAL).+UNKNOWN)" - &gt;&gt; 2017-02-12-UncaughtWiMAX.txt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530</v>
      </c>
      <c r="B110" s="7">
        <v>4016</v>
      </c>
      <c r="C110" s="21" t="s">
        <v>193</v>
      </c>
      <c r="D110" s="21" t="s">
        <v>840</v>
      </c>
      <c r="E110" s="13">
        <v>42778.649050925924</v>
      </c>
      <c r="F110" s="13">
        <v>42778.650057870371</v>
      </c>
      <c r="G110" s="7">
        <v>1</v>
      </c>
      <c r="H110" s="21" t="s">
        <v>841</v>
      </c>
      <c r="I110" s="13">
        <v>42778.657488425924</v>
      </c>
      <c r="J110" s="7">
        <v>1</v>
      </c>
      <c r="K110" s="98" t="str">
        <f>IF(ISEVEN(B110),(B110-1)&amp;"/"&amp;B110,B110&amp;"/"&amp;(B110+1))</f>
        <v>4015/4016</v>
      </c>
      <c r="L110" s="21" t="str">
        <f>VLOOKUP(A110,'Trips&amp;Operators'!$C$1:$G$99999,5,FALSE)</f>
        <v>LOPES KIMBERLY</v>
      </c>
      <c r="M110" s="6">
        <f>I110-F110</f>
        <v>7.4305555535829626E-3</v>
      </c>
      <c r="N110" s="7"/>
      <c r="O110" s="7"/>
      <c r="P110" s="7">
        <f>24*60*SUM($M110:$M111)</f>
        <v>17.166666666744277</v>
      </c>
      <c r="Q110" s="22"/>
      <c r="R110" s="22" t="s">
        <v>900</v>
      </c>
      <c r="S110" s="31">
        <f>SUM(U110:U112)/IF(AG110="EC",12,1)</f>
        <v>0.5</v>
      </c>
      <c r="T110" s="46" t="str">
        <f>IF(ISEVEN(LEFT(AD110,4)),"Southbound","NorthBound")</f>
        <v>NorthBound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87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-02-12T14:34:38-0700',mode:absolute,to:'2017-02-12T16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0" s="188" t="str">
        <f>IF(AA110&lt;IF(AG110="EC",23,5.65),"Y","N")</f>
        <v>Y</v>
      </c>
      <c r="X110" s="188">
        <f>VALUE(LEFT(AD110,4))-VALUE(LEFT(AD109,4))</f>
        <v>1</v>
      </c>
      <c r="Y110" s="62">
        <f>RIGHT(D110,LEN(D110)-4)/10000</f>
        <v>0.15090000000000001</v>
      </c>
      <c r="Z110" s="62">
        <f>RIGHT(H110,LEN(H110)-4)/10000</f>
        <v>0.18290000000000001</v>
      </c>
      <c r="AA110" s="62">
        <f>ABS(Z110-Y110)</f>
        <v>3.2000000000000001E-2</v>
      </c>
      <c r="AB110" s="59" t="str">
        <f>VLOOKUP(A110,Enforcements!$C$7:$K$14,8,0)</f>
        <v>Signal based authority (5)</v>
      </c>
      <c r="AC110" s="55" t="str">
        <f>VLOOKUP(A110,Enforcements!$C$7:$E$14,3,0)</f>
        <v>SIGNAL</v>
      </c>
      <c r="AD110" s="56" t="str">
        <f>IF(LEN(A110)=6,"0"&amp;A110,A110)</f>
        <v>0197-12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110" s="8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/stypes="app*4016*20170212*" /stext=" 22:.+((SYSTEM_STATE.+slice.+state.+changed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6" t="str">
        <f t="shared" si="7"/>
        <v>"%USERPROFILE%\Documents\GitHub\eaglep3\Utilities\RefineRTDCRunTimes.py" --tripid 197-12 --locoid 4016 --swversion DE.1.0.8.0 --startMP 204:1509 --initTime 2017-02-12T15:34:38 --startdatetime 2017-02-12T15:36:05 --delay 1 --endMP 204:1829 --enddatetime 2017-02-12T15:46:47 --enforcementcount 1 &gt;&gt;C:\Users\stu\Documents\GitHub\eaglep3-reporting\EC\2017-02-12-refined-times.txt</v>
      </c>
      <c r="AI110" s="108" t="str">
        <f t="shared" si="8"/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failure","project_id":79,"tracker_id":40,"status_id":1,"priority_id":2,"assigned_to_id":23,"start_date":"2017-02-12","description":"","custom_fields":[{"id":1,"name":"Subdivision","value":"EC"},{"id":4,"name":"Milepost","value":"0.1829"},{"id":17,"name":"Train ID","value":"197-12"},{"id":16,"name":"Locomotive ID","value":"4016"},{"id":130,"name":"Impact","value":""},{"id":150,"name":"Time of Event (Mountain Time)","value":"15:46:47"},{"id":151,"name":"Denver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9"/>
        <v>start /low /b %USERPROFILE%\Documents\GitHub\eaglep3\Utilities\DownloadLogsFromS3.py --loco 4016 --day 2017-02-12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"%USERPROFILE%\AppData\Local\Temp\OnboardLogs"\RTDC4016\*4016*20170212* | grep -SE "(Enforcement Action)|(\[TIMEOUT)|(CHR.+\|PRM\|1\|D.+(SWITCH|SIGNAL).+UNKNOWN)" - &gt;&gt; 2017-02-12-UncaughtWiMAX.txt</v>
      </c>
    </row>
    <row r="111" spans="1:91" s="20" customFormat="1" x14ac:dyDescent="0.25">
      <c r="A111" s="33" t="s">
        <v>530</v>
      </c>
      <c r="B111" s="7">
        <v>4016</v>
      </c>
      <c r="C111" s="21" t="s">
        <v>193</v>
      </c>
      <c r="D111" s="21" t="s">
        <v>842</v>
      </c>
      <c r="E111" s="13">
        <v>42778.660520833335</v>
      </c>
      <c r="F111" s="13">
        <v>42778.661377314813</v>
      </c>
      <c r="G111" s="7">
        <v>1</v>
      </c>
      <c r="H111" s="21" t="s">
        <v>843</v>
      </c>
      <c r="I111" s="13">
        <v>42778.665868055556</v>
      </c>
      <c r="J111" s="7">
        <v>0</v>
      </c>
      <c r="K111" s="98" t="str">
        <f>IF(ISEVEN(B111),(B111-1)&amp;"/"&amp;B111,B111&amp;"/"&amp;(B111+1))</f>
        <v>4015/4016</v>
      </c>
      <c r="L111" s="21" t="str">
        <f>VLOOKUP(A111,'Trips&amp;Operators'!$C$1:$G$99999,5,FALSE)</f>
        <v>LOPES KIMBERLY</v>
      </c>
      <c r="M111" s="6">
        <f>I111-F111</f>
        <v>4.4907407427672297E-3</v>
      </c>
      <c r="N111" s="7"/>
      <c r="O111" s="7"/>
      <c r="P111" s="7"/>
      <c r="Q111" s="22"/>
      <c r="R111" s="22"/>
      <c r="S111" s="31"/>
      <c r="T111" s="46" t="str">
        <f>IF(ISEVEN(LEFT(AD111,4)),"Southbound","NorthBound")</f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187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-02-12T14:51:09-0700',mode:absolute,to:'2017-02-12T16:58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88" t="str">
        <f>IF(AA111&lt;IF(AG111="EC",23,5.65),"Y","N")</f>
        <v>Y</v>
      </c>
      <c r="X111" s="188">
        <f>VALUE(LEFT(AD111,4))-VALUE(LEFT(AD110,4))</f>
        <v>0</v>
      </c>
      <c r="Y111" s="62">
        <f>RIGHT(D111,LEN(D111)-4)/10000</f>
        <v>1.9125000000000001</v>
      </c>
      <c r="Z111" s="62">
        <f>RIGHT(H111,LEN(H111)-4)/10000</f>
        <v>3.9704999999999999</v>
      </c>
      <c r="AA111" s="62">
        <f>ABS(Z111-Y111)</f>
        <v>2.0579999999999998</v>
      </c>
      <c r="AB111" s="59" t="str">
        <f>VLOOKUP(A111,Enforcements!$C$7:$K$14,8,0)</f>
        <v>Signal based authority (5)</v>
      </c>
      <c r="AC111" s="55" t="str">
        <f>VLOOKUP(A111,Enforcements!$C$7:$E$14,3,0)</f>
        <v>SIGNAL</v>
      </c>
      <c r="AD111" s="56" t="str">
        <f>IF(LEN(A111)=6,"0"&amp;A111,A111)</f>
        <v>0197-12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111" s="8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/stypes="app*4016*20170212*" /stext=" 22:.+((SYSTEM_STATE.+slice.+state.+changed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6" t="str">
        <f t="shared" si="7"/>
        <v>"%USERPROFILE%\Documents\GitHub\eaglep3\Utilities\RefineRTDCRunTimes.py" --tripid 197-12 --locoid 4016 --swversion DE.1.0.8.0 --startMP 204:19125 --initTime 2017-02-12T15:51:09 --startdatetime 2017-02-12T15:52:23 --delay 1 --endMP 204:39705 --enddatetime 2017-02-12T15:58:51 --enforcementcount 0 &gt;&gt;C:\Users\stu\Documents\GitHub\eaglep3-reporting\EC\2017-02-12-refined-times.txt</v>
      </c>
      <c r="AI111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{"issue":{"subject":"","project_id":79,"tracker_id":40,"status_id":1,"priority_id":2,"assigned_to_id":23,"start_date":"2017-02-12","description":"","custom_fields":[{"id":1,"name":"Subdivision","value":"EC"},{"id":4,"name":"Milepost","value":"3.9705"},{"id":17,"name":"Train ID","value":"197-12"},{"id":16,"name":"Locomotive ID","value":"4016"},{"id":130,"name":"Impact","value":""},{"id":150,"name":"Time of Event (Mountain Time)","value":"15:58:51"},{"id":151,"name":"Denver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9"/>
        <v>start /low /b %USERPROFILE%\Documents\GitHub\eaglep3\Utilities\DownloadLogsFromS3.py --loco 4016 --day 2017-02-12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"%USERPROFILE%\AppData\Local\Temp\OnboardLogs"\RTDC4016\*4016*20170212* | grep -SE "(Enforcement Action)|(\[TIMEOUT)|(CHR.+\|PRM\|1\|D.+(SWITCH|SIGNAL).+UNKNOWN)" - &gt;&gt; 2017-02-12-UncaughtWiMAX.txt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530</v>
      </c>
      <c r="B112" s="7">
        <v>4016</v>
      </c>
      <c r="C112" s="21" t="s">
        <v>193</v>
      </c>
      <c r="D112" s="21" t="s">
        <v>844</v>
      </c>
      <c r="E112" s="13">
        <v>42778.670497685183</v>
      </c>
      <c r="F112" s="13">
        <v>42778.67119212963</v>
      </c>
      <c r="G112" s="7">
        <v>1</v>
      </c>
      <c r="H112" s="21" t="s">
        <v>354</v>
      </c>
      <c r="I112" s="13">
        <v>42778.689513888887</v>
      </c>
      <c r="J112" s="7">
        <v>0</v>
      </c>
      <c r="K112" s="98" t="str">
        <f>IF(ISEVEN(B112),(B112-1)&amp;"/"&amp;B112,B112&amp;"/"&amp;(B112+1))</f>
        <v>4015/4016</v>
      </c>
      <c r="L112" s="21" t="str">
        <f>VLOOKUP(A112,'Trips&amp;Operators'!$C$1:$G$99999,5,FALSE)</f>
        <v>LOPES KIMBERLY</v>
      </c>
      <c r="M112" s="6">
        <f>I112-F112</f>
        <v>1.8321759256650694E-2</v>
      </c>
      <c r="N112" s="7"/>
      <c r="O112" s="7"/>
      <c r="P112" s="7"/>
      <c r="Q112" s="22"/>
      <c r="R112" s="22"/>
      <c r="S112" s="31"/>
      <c r="T112" s="46" t="str">
        <f>IF(ISEVEN(LEFT(AD112,4)),"Southbound","NorthBound")</f>
        <v>NorthBound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3</v>
      </c>
      <c r="V112" s="187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-02-12T15:05:31-0700',mode:absolute,to:'2017-02-12T17:32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188" t="str">
        <f>IF(AA112&lt;IF(AG112="EC",23,5.65),"Y","N")</f>
        <v>Y</v>
      </c>
      <c r="X112" s="188">
        <f>VALUE(LEFT(AD112,4))-VALUE(LEFT(AD111,4))</f>
        <v>0</v>
      </c>
      <c r="Y112" s="62">
        <f>RIGHT(D112,LEN(D112)-4)/10000</f>
        <v>6.4690000000000003</v>
      </c>
      <c r="Z112" s="62">
        <f>RIGHT(H112,LEN(H112)-4)/10000</f>
        <v>23.331199999999999</v>
      </c>
      <c r="AA112" s="62">
        <f>ABS(Z112-Y112)</f>
        <v>16.862199999999998</v>
      </c>
      <c r="AB112" s="59" t="str">
        <f>VLOOKUP(A112,Enforcements!$C$7:$K$14,8,0)</f>
        <v>Signal based authority (5)</v>
      </c>
      <c r="AC112" s="55" t="str">
        <f>VLOOKUP(A112,Enforcements!$C$7:$E$14,3,0)</f>
        <v>SIGNAL</v>
      </c>
      <c r="AD112" s="56" t="str">
        <f>IF(LEN(A112)=6,"0"&amp;A112,A112)</f>
        <v>0197-12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112" s="8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/stypes="app*4016*20170212*" /stext=" 23:.+((SYSTEM_STATE.+slice.+state.+changed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6" t="str">
        <f t="shared" si="7"/>
        <v>"%USERPROFILE%\Documents\GitHub\eaglep3\Utilities\RefineRTDCRunTimes.py" --tripid 197-12 --locoid 4016 --swversion DE.1.0.8.0 --startMP 204:64690 --initTime 2017-02-12T16:05:31 --startdatetime 2017-02-12T16:06:31 --delay 1 --endMP 204:233312 --enddatetime 2017-02-12T16:32:54 --enforcementcount 0 &gt;&gt;C:\Users\stu\Documents\GitHub\eaglep3-reporting\EC\2017-02-12-refined-times.txt</v>
      </c>
      <c r="AI112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{"issue":{"subject":"","project_id":79,"tracker_id":40,"status_id":1,"priority_id":2,"assigned_to_id":23,"start_date":"2017-02-12","description":"","custom_fields":[{"id":1,"name":"Subdivision","value":"EC"},{"id":4,"name":"Milepost","value":"23.3312"},{"id":17,"name":"Train ID","value":"197-12"},{"id":16,"name":"Locomotive ID","value":"4016"},{"id":130,"name":"Impact","value":""},{"id":150,"name":"Time of Event (Mountain Time)","value":"16:32:54"},{"id":151,"name":"Denver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9"/>
        <v>start /low /b %USERPROFILE%\Documents\GitHub\eaglep3\Utilities\DownloadLogsFromS3.py --loco 4016 --day 2017-02-12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"%USERPROFILE%\AppData\Local\Temp\OnboardLogs"\RTDC4016\*4016*20170212* | grep -SE "(Enforcement Action)|(\[TIMEOUT)|(CHR.+\|PRM\|1\|D.+(SWITCH|SIGNAL).+UNKNOWN)" - &gt;&gt; 2017-02-12-UncaughtWiMAX.txt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665</v>
      </c>
      <c r="B113" s="7">
        <v>4015</v>
      </c>
      <c r="C113" s="21" t="s">
        <v>193</v>
      </c>
      <c r="D113" s="21" t="s">
        <v>312</v>
      </c>
      <c r="E113" s="13">
        <v>42778.692060185182</v>
      </c>
      <c r="F113" s="13">
        <v>42778.695381944446</v>
      </c>
      <c r="G113" s="7">
        <v>1</v>
      </c>
      <c r="H113" s="21" t="s">
        <v>209</v>
      </c>
      <c r="I113" s="13">
        <v>42778.722361111111</v>
      </c>
      <c r="J113" s="7">
        <v>0</v>
      </c>
      <c r="K113" s="98" t="str">
        <f>IF(ISEVEN(B113),(B113-1)&amp;"/"&amp;B113,B113&amp;"/"&amp;(B113+1))</f>
        <v>4015/4016</v>
      </c>
      <c r="L113" s="21" t="str">
        <f>VLOOKUP(A113,'Trips&amp;Operators'!$C$1:$G$99999,5,FALSE)</f>
        <v>LOPES KIMBERLY</v>
      </c>
      <c r="M113" s="6">
        <f>I113-F113</f>
        <v>2.6979166665114462E-2</v>
      </c>
      <c r="N113" s="7">
        <f>24*60*SUM($M113:$M113)</f>
        <v>38.849999997764826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Southbound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-02-12T15:36:34-0700',mode:absolute,to:'2017-02-12T18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188" t="str">
        <f>IF(AA113&lt;IF(AG113="EC",23,5.65),"Y","N")</f>
        <v>N</v>
      </c>
      <c r="X113" s="188">
        <f>VALUE(LEFT(AD113,4))-VALUE(LEFT(AD112,4))</f>
        <v>1</v>
      </c>
      <c r="Y113" s="62">
        <f>RIGHT(D113,LEN(D113)-4)/10000</f>
        <v>23.299099999999999</v>
      </c>
      <c r="Z113" s="62">
        <f>RIGHT(H113,LEN(H113)-4)/10000</f>
        <v>1.52E-2</v>
      </c>
      <c r="AA113" s="62">
        <f>ABS(Z113-Y113)</f>
        <v>23.283899999999999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>IF(LEN(A113)=6,"0"&amp;A113,A113)</f>
        <v>0198-12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 &amp; 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</v>
      </c>
      <c r="AF113" s="8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/stypes="app*4015*20170213*"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6" t="str">
        <f t="shared" si="7"/>
        <v>"%USERPROFILE%\Documents\GitHub\eaglep3\Utilities\RefineRTDCRunTimes.py" --tripid 198-12 --locoid 4015 --swversion DE.1.0.8.0 --startMP 204:232991 --initTime 2017-02-12T16:36:34 --startdatetime 2017-02-12T16:41:21 --delay 1 --endMP 204:152 --enddatetime 2017-02-12T17:20:12 --enforcementcount 0 &gt;&gt;C:\Users\stu\Documents\GitHub\eaglep3-reporting\EC\2017-02-12-refined-times.txt</v>
      </c>
      <c r="AI113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{"issue":{"subject":"","project_id":79,"tracker_id":40,"status_id":1,"priority_id":2,"assigned_to_id":23,"start_date":"2017-02-12","description":"","custom_fields":[{"id":1,"name":"Subdivision","value":"EC"},{"id":4,"name":"Milepost","value":"0.0152"},{"id":17,"name":"Train ID","value":"198-12"},{"id":16,"name":"Locomotive ID","value":"4015"},{"id":130,"name":"Impact","value":""},{"id":150,"name":"Time of Event (Mountain Time)","value":"17:20:12"},{"id":151,"name":"Denver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9"/>
        <v>start /low /b %USERPROFILE%\Documents\GitHub\eaglep3\Utilities\DownloadLogsFromS3.py --loco 4015 --day 2017-02-12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659</v>
      </c>
      <c r="B114" s="7">
        <v>4007</v>
      </c>
      <c r="C114" s="21" t="s">
        <v>193</v>
      </c>
      <c r="D114" s="21" t="s">
        <v>845</v>
      </c>
      <c r="E114" s="13">
        <v>42778.662094907406</v>
      </c>
      <c r="F114" s="13">
        <v>42778.666909722226</v>
      </c>
      <c r="G114" s="7">
        <v>2</v>
      </c>
      <c r="H114" s="21" t="s">
        <v>507</v>
      </c>
      <c r="I114" s="13">
        <v>42778.692557870374</v>
      </c>
      <c r="J114" s="7">
        <v>0</v>
      </c>
      <c r="K114" s="98" t="str">
        <f>IF(ISEVEN(B114),(B114-1)&amp;"/"&amp;B114,B114&amp;"/"&amp;(B114+1))</f>
        <v>4007/4008</v>
      </c>
      <c r="L114" s="21" t="str">
        <f>VLOOKUP(A114,'Trips&amp;Operators'!$C$1:$G$99999,5,FALSE)</f>
        <v>WHITED DUSTIN</v>
      </c>
      <c r="M114" s="6">
        <f>I114-F114</f>
        <v>2.5648148148320615E-2</v>
      </c>
      <c r="N114" s="7">
        <f>24*60*SUM($M114:$M114)</f>
        <v>36.933333333581686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NorthBound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-02-12T14:53:25-0700',mode:absolute,to:'2017-02-12T17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4" s="188" t="str">
        <f>IF(AA114&lt;IF(AG114="EC",23,5.65),"Y","N")</f>
        <v>N</v>
      </c>
      <c r="X114" s="188">
        <f>VALUE(LEFT(AD114,4))-VALUE(LEFT(AD113,4))</f>
        <v>1</v>
      </c>
      <c r="Y114" s="62">
        <f>RIGHT(D114,LEN(D114)-4)/10000</f>
        <v>5.1700000000000003E-2</v>
      </c>
      <c r="Z114" s="62">
        <f>RIGHT(H114,LEN(H114)-4)/10000</f>
        <v>23.333200000000001</v>
      </c>
      <c r="AA114" s="62">
        <f>ABS(Z114-Y114)</f>
        <v>23.281500000000001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>IF(LEN(A114)=6,"0"&amp;A114,A114)</f>
        <v>0199-12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114" s="8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/stypes="app*4007*20170212*" /stext=" 23:.+((SYSTEM_STATE.+slice.+state.+changed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6" t="str">
        <f t="shared" si="7"/>
        <v>"%USERPROFILE%\Documents\GitHub\eaglep3\Utilities\RefineRTDCRunTimes.py" --tripid 199-12 --locoid 4007 --swversion DE.1.0.8.0 --startMP 204:517 --initTime 2017-02-12T15:53:25 --startdatetime 2017-02-12T16:00:21 --delay 2 --endMP 204:233332 --enddatetime 2017-02-12T16:37:17 --enforcementcount 0 &gt;&gt;C:\Users\stu\Documents\GitHub\eaglep3-reporting\EC\2017-02-12-refined-times.txt</v>
      </c>
      <c r="AI114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{"issue":{"subject":"","project_id":79,"tracker_id":40,"status_id":1,"priority_id":2,"assigned_to_id":23,"start_date":"2017-02-12","description":"","custom_fields":[{"id":1,"name":"Subdivision","value":"EC"},{"id":4,"name":"Milepost","value":"23.3332"},{"id":17,"name":"Train ID","value":"199-12"},{"id":16,"name":"Locomotive ID","value":"4007"},{"id":130,"name":"Impact","value":""},{"id":150,"name":"Time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9"/>
        <v>start /low /b %USERPROFILE%\Documents\GitHub\eaglep3\Utilities\DownloadLogsFromS3.py --loco 4007 --day 2017-02-12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"%USERPROFILE%\AppData\Local\Temp\OnboardLogs"\RTDC4007\*4007*20170212* | grep -SE "(Enforcement Action)|(\[TIMEOUT)|(CHR.+\|PRM\|1\|D.+(SWITCH|SIGNAL).+UNKNOWN)" - &gt;&gt; 2017-02-12-UncaughtWiMAX.txt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667</v>
      </c>
      <c r="B115" s="7">
        <v>4008</v>
      </c>
      <c r="C115" s="21" t="s">
        <v>193</v>
      </c>
      <c r="D115" s="21" t="s">
        <v>834</v>
      </c>
      <c r="E115" s="13">
        <v>42778.701168981483</v>
      </c>
      <c r="F115" s="13">
        <v>42778.705775462964</v>
      </c>
      <c r="G115" s="7">
        <v>1</v>
      </c>
      <c r="H115" s="21" t="s">
        <v>846</v>
      </c>
      <c r="I115" s="13">
        <v>42778.732766203706</v>
      </c>
      <c r="J115" s="7">
        <v>0</v>
      </c>
      <c r="K115" s="98" t="str">
        <f>IF(ISEVEN(B115),(B115-1)&amp;"/"&amp;B115,B115&amp;"/"&amp;(B115+1))</f>
        <v>4007/4008</v>
      </c>
      <c r="L115" s="21" t="str">
        <f>VLOOKUP(A115,'Trips&amp;Operators'!$C$1:$G$99999,5,FALSE)</f>
        <v>WHITED DUSTIN</v>
      </c>
      <c r="M115" s="6">
        <f>I115-F115</f>
        <v>2.6990740741894115E-2</v>
      </c>
      <c r="N115" s="7">
        <f>24*60*SUM($M115:$M115)</f>
        <v>38.866666668327525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Southbound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-02-12T15:49:41-0700',mode:absolute,to:'2017-02-12T18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5" s="188" t="str">
        <f>IF(AA115&lt;IF(AG115="EC",23,5.65),"Y","N")</f>
        <v>N</v>
      </c>
      <c r="X115" s="188">
        <f>VALUE(LEFT(AD115,4))-VALUE(LEFT(AD114,4))</f>
        <v>1</v>
      </c>
      <c r="Y115" s="62">
        <f>RIGHT(D115,LEN(D115)-4)/10000</f>
        <v>23.302800000000001</v>
      </c>
      <c r="Z115" s="62">
        <f>RIGHT(H115,LEN(H115)-4)/10000</f>
        <v>1.2699999999999999E-2</v>
      </c>
      <c r="AA115" s="62">
        <f>ABS(Z115-Y115)</f>
        <v>23.290100000000002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>IF(LEN(A115)=6,"0"&amp;A115,A115)</f>
        <v>0200-12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115" s="8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/stypes="app*4008*20170213*"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6" t="str">
        <f t="shared" si="7"/>
        <v>"%USERPROFILE%\Documents\GitHub\eaglep3\Utilities\RefineRTDCRunTimes.py" --tripid 200-12 --locoid 4008 --swversion DE.1.0.8.0 --startMP 204:233028 --initTime 2017-02-12T16:49:41 --startdatetime 2017-02-12T16:56:19 --delay 1 --endMP 204:127 --enddatetime 2017-02-12T17:35:11 --enforcementcount 0 &gt;&gt;C:\Users\stu\Documents\GitHub\eaglep3-reporting\EC\2017-02-12-refined-times.txt</v>
      </c>
      <c r="AI115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{"issue":{"subject":"","project_id":79,"tracker_id":40,"status_id":1,"priority_id":2,"assigned_to_id":23,"start_date":"2017-02-12","description":"","custom_fields":[{"id":1,"name":"Subdivision","value":"EC"},{"id":4,"name":"Milepost","value":"0.0127"},{"id":17,"name":"Train ID","value":"200-12"},{"id":16,"name":"Locomotive ID","value":"4008"},{"id":130,"name":"Impact","value":""},{"id":150,"name":"Time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9"/>
        <v>start /low /b %USERPROFILE%\Documents\GitHub\eaglep3\Utilities\DownloadLogsFromS3.py --loco 4008 --day 2017-02-12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"%USERPROFILE%\AppData\Local\Temp\OnboardLogs"\RTDC4008\*4008*20170213* | grep -SE "(Enforcement Action)|(\[TIMEOUT)|(CHR.+\|PRM\|1\|D.+(SWITCH|SIGNAL).+UNKNOWN)" - &gt;&gt; 2017-02-12-UncaughtWiMAX.txt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660</v>
      </c>
      <c r="B116" s="7">
        <v>4018</v>
      </c>
      <c r="C116" s="21" t="s">
        <v>193</v>
      </c>
      <c r="D116" s="21" t="s">
        <v>278</v>
      </c>
      <c r="E116" s="13">
        <v>42778.669664351852</v>
      </c>
      <c r="F116" s="13">
        <v>42778.677314814813</v>
      </c>
      <c r="G116" s="7">
        <v>1</v>
      </c>
      <c r="H116" s="21" t="s">
        <v>313</v>
      </c>
      <c r="I116" s="13">
        <v>42778.702037037037</v>
      </c>
      <c r="J116" s="7">
        <v>0</v>
      </c>
      <c r="K116" s="98" t="str">
        <f>IF(ISEVEN(B116),(B116-1)&amp;"/"&amp;B116,B116&amp;"/"&amp;(B116+1))</f>
        <v>4017/4018</v>
      </c>
      <c r="L116" s="21" t="str">
        <f>VLOOKUP(A116,'Trips&amp;Operators'!$C$1:$G$99999,5,FALSE)</f>
        <v>MACDONALD THOMAS</v>
      </c>
      <c r="M116" s="6">
        <f>I116-F116</f>
        <v>2.4722222224227153E-2</v>
      </c>
      <c r="N116" s="7">
        <f>24*60*SUM($M116:$M116)</f>
        <v>35.6000000028871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NorthBound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-02-12T15:04:19-0700',mode:absolute,to:'2017-02-12T17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188" t="str">
        <f>IF(AA116&lt;IF(AG116="EC",23,5.65),"Y","N")</f>
        <v>N</v>
      </c>
      <c r="X116" s="188">
        <f>VALUE(LEFT(AD116,4))-VALUE(LEFT(AD115,4))</f>
        <v>1</v>
      </c>
      <c r="Y116" s="62">
        <f>RIGHT(D116,LEN(D116)-4)/10000</f>
        <v>4.6699999999999998E-2</v>
      </c>
      <c r="Z116" s="62">
        <f>RIGHT(H116,LEN(H116)-4)/10000</f>
        <v>23.3293</v>
      </c>
      <c r="AA116" s="62">
        <f>ABS(Z116-Y116)</f>
        <v>23.282599999999999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>IF(LEN(A116)=6,"0"&amp;A116,A116)</f>
        <v>0201-12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116" s="8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/stypes="app*4018*20170212*" /stext=" 23:.+((SYSTEM_STATE.+slice.+state.+changed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6" t="str">
        <f t="shared" si="7"/>
        <v>"%USERPROFILE%\Documents\GitHub\eaglep3\Utilities\RefineRTDCRunTimes.py" --tripid 201-12 --locoid 4018 --swversion DE.1.0.8.0 --startMP 204:467 --initTime 2017-02-12T16:04:19 --startdatetime 2017-02-12T16:15:20 --delay 1 --endMP 204:233293 --enddatetime 2017-02-12T16:50:56 --enforcementcount 0 &gt;&gt;C:\Users\stu\Documents\GitHub\eaglep3-reporting\EC\2017-02-12-refined-times.txt</v>
      </c>
      <c r="AI116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{"issue":{"subject":"","project_id":79,"tracker_id":40,"status_id":1,"priority_id":2,"assigned_to_id":23,"start_date":"2017-02-12","description":"","custom_fields":[{"id":1,"name":"Subdivision","value":"EC"},{"id":4,"name":"Milepost","value":"23.3293"},{"id":17,"name":"Train ID","value":"201-12"},{"id":16,"name":"Locomotive ID","value":"4018"},{"id":130,"name":"Impact","value":""},{"id":150,"name":"Time of Event (Mountain Time)","value":"16:50:56"},{"id":151,"name":"Denver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9"/>
        <v>start /low /b %USERPROFILE%\Documents\GitHub\eaglep3\Utilities\DownloadLogsFromS3.py --loco 4018 --day 2017-02-12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"%USERPROFILE%\AppData\Local\Temp\OnboardLogs"\RTDC4018\*4018*20170212* | grep -SE "(Enforcement Action)|(\[TIMEOUT)|(CHR.+\|PRM\|1\|D.+(SWITCH|SIGNAL).+UNKNOWN)" - &gt;&gt; 2017-02-12-UncaughtWiMAX.txt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669</v>
      </c>
      <c r="B117" s="7">
        <v>4017</v>
      </c>
      <c r="C117" s="21" t="s">
        <v>193</v>
      </c>
      <c r="D117" s="21" t="s">
        <v>342</v>
      </c>
      <c r="E117" s="13">
        <v>42778.712685185186</v>
      </c>
      <c r="F117" s="13">
        <v>42778.716168981482</v>
      </c>
      <c r="G117" s="7">
        <v>1</v>
      </c>
      <c r="H117" s="21" t="s">
        <v>209</v>
      </c>
      <c r="I117" s="13">
        <v>42778.742152777777</v>
      </c>
      <c r="J117" s="7">
        <v>0</v>
      </c>
      <c r="K117" s="98" t="str">
        <f>IF(ISEVEN(B117),(B117-1)&amp;"/"&amp;B117,B117&amp;"/"&amp;(B117+1))</f>
        <v>4017/4018</v>
      </c>
      <c r="L117" s="21" t="str">
        <f>VLOOKUP(A117,'Trips&amp;Operators'!$C$1:$G$99999,5,FALSE)</f>
        <v>MACDONALD THOMAS</v>
      </c>
      <c r="M117" s="6">
        <f>I117-F117</f>
        <v>2.5983796294895001E-2</v>
      </c>
      <c r="N117" s="7">
        <f>24*60*SUM($M117:$M117)</f>
        <v>37.416666664648801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Southbound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-02-12T16:06:16-0700',mode:absolute,to:'2017-02-12T18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188" t="str">
        <f>IF(AA117&lt;IF(AG117="EC",23,5.65),"Y","N")</f>
        <v>N</v>
      </c>
      <c r="X117" s="188">
        <f>VALUE(LEFT(AD117,4))-VALUE(LEFT(AD116,4))</f>
        <v>1</v>
      </c>
      <c r="Y117" s="62">
        <f>RIGHT(D117,LEN(D117)-4)/10000</f>
        <v>23.2987</v>
      </c>
      <c r="Z117" s="62">
        <f>RIGHT(H117,LEN(H117)-4)/10000</f>
        <v>1.52E-2</v>
      </c>
      <c r="AA117" s="62">
        <f>ABS(Z117-Y117)</f>
        <v>23.2835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>IF(LEN(A117)=6,"0"&amp;A117,A117)</f>
        <v>0202-12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117" s="8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/stypes="app*4017*20170213*"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6" t="str">
        <f t="shared" si="7"/>
        <v>"%USERPROFILE%\Documents\GitHub\eaglep3\Utilities\RefineRTDCRunTimes.py" --tripid 202-12 --locoid 4017 --swversion DE.1.0.8.0 --startMP 204:232987 --initTime 2017-02-12T17:06:16 --startdatetime 2017-02-12T17:11:17 --delay 1 --endMP 204:152 --enddatetime 2017-02-12T17:48:42 --enforcementcount 0 &gt;&gt;C:\Users\stu\Documents\GitHub\eaglep3-reporting\EC\2017-02-12-refined-times.txt</v>
      </c>
      <c r="AI117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{"issue":{"subject":"","project_id":79,"tracker_id":40,"status_id":1,"priority_id":2,"assigned_to_id":23,"start_date":"2017-02-12","description":"","custom_fields":[{"id":1,"name":"Subdivision","value":"EC"},{"id":4,"name":"Milepost","value":"0.0152"},{"id":17,"name":"Train ID","value":"202-12"},{"id":16,"name":"Locomotive ID","value":"4017"},{"id":130,"name":"Impact","value":""},{"id":150,"name":"Time of Event (Mountain Time)","value":"17:48:42"},{"id":151,"name":"Denver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9"/>
        <v>start /low /b %USERPROFILE%\Documents\GitHub\eaglep3\Utilities\DownloadLogsFromS3.py --loco 4017 --day 2017-02-12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"%USERPROFILE%\AppData\Local\Temp\OnboardLogs"\RTDC4017\*4017*20170213* | grep -SE "(Enforcement Action)|(\[TIMEOUT)|(CHR.+\|PRM\|1\|D.+(SWITCH|SIGNAL).+UNKNOWN)" - &gt;&gt; 2017-02-12-UncaughtWiMAX.txt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664</v>
      </c>
      <c r="B118" s="7">
        <v>4038</v>
      </c>
      <c r="C118" s="21" t="s">
        <v>193</v>
      </c>
      <c r="D118" s="21" t="s">
        <v>280</v>
      </c>
      <c r="E118" s="13">
        <v>42778.684606481482</v>
      </c>
      <c r="F118" s="13">
        <v>42778.687951388885</v>
      </c>
      <c r="G118" s="7">
        <v>1</v>
      </c>
      <c r="H118" s="21" t="s">
        <v>847</v>
      </c>
      <c r="I118" s="13">
        <v>42778.714826388888</v>
      </c>
      <c r="J118" s="7">
        <v>0</v>
      </c>
      <c r="K118" s="98" t="str">
        <f>IF(ISEVEN(B118),(B118-1)&amp;"/"&amp;B118,B118&amp;"/"&amp;(B118+1))</f>
        <v>4037/4038</v>
      </c>
      <c r="L118" s="21" t="str">
        <f>VLOOKUP(A118,'Trips&amp;Operators'!$C$1:$G$99999,5,FALSE)</f>
        <v>DAVIS MICHAEL</v>
      </c>
      <c r="M118" s="6">
        <f>I118-F118</f>
        <v>2.6875000003201421E-2</v>
      </c>
      <c r="N118" s="7">
        <f>24*60*SUM($M118:$M118)</f>
        <v>38.700000004610047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NorthBound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-02-12T15:25:50-0700',mode:absolute,to:'2017-02-12T18:09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18" s="188" t="str">
        <f>IF(AA118&lt;IF(AG118="EC",23,5.65),"Y","N")</f>
        <v>N</v>
      </c>
      <c r="X118" s="188">
        <f>VALUE(LEFT(AD118,4))-VALUE(LEFT(AD117,4))</f>
        <v>1</v>
      </c>
      <c r="Y118" s="62">
        <f>RIGHT(D118,LEN(D118)-4)/10000</f>
        <v>4.5499999999999999E-2</v>
      </c>
      <c r="Z118" s="62">
        <f>RIGHT(H118,LEN(H118)-4)/10000</f>
        <v>23.325500000000002</v>
      </c>
      <c r="AA118" s="62">
        <f>ABS(Z118-Y118)</f>
        <v>23.28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>IF(LEN(A118)=6,"0"&amp;A118,A118)</f>
        <v>0203-12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118" s="8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/stypes="app*4038*20170213*"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6" t="str">
        <f t="shared" si="7"/>
        <v>"%USERPROFILE%\Documents\GitHub\eaglep3\Utilities\RefineRTDCRunTimes.py" --tripid 203-12 --locoid 4038 --swversion DE.1.0.8.0 --startMP 204:455 --initTime 2017-02-12T16:25:50 --startdatetime 2017-02-12T16:30:39 --delay 1 --endMP 204:233255 --enddatetime 2017-02-12T17:09:21 --enforcementcount 0 &gt;&gt;C:\Users\stu\Documents\GitHub\eaglep3-reporting\EC\2017-02-12-refined-times.txt</v>
      </c>
      <c r="AI118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{"issue":{"subject":"","project_id":79,"tracker_id":40,"status_id":1,"priority_id":2,"assigned_to_id":23,"start_date":"2017-02-12","description":"","custom_fields":[{"id":1,"name":"Subdivision","value":"EC"},{"id":4,"name":"Milepost","value":"23.3255"},{"id":17,"name":"Train ID","value":"203-12"},{"id":16,"name":"Locomotive ID","value":"4038"},{"id":130,"name":"Impact","value":""},{"id":150,"name":"Time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9"/>
        <v>start /low /b %USERPROFILE%\Documents\GitHub\eaglep3\Utilities\DownloadLogsFromS3.py --loco 4038 --day 2017-02-12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"%USERPROFILE%\AppData\Local\Temp\OnboardLogs"\RTDC4038\*4038*20170212* | grep -SE "(Enforcement Action)|(\[TIMEOUT)|(CHR.+\|PRM\|1\|D.+(SWITCH|SIGNAL).+UNKNOWN)" - &gt;&gt; 2017-02-12-UncaughtWiMAX.txt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674</v>
      </c>
      <c r="B119" s="7">
        <v>4037</v>
      </c>
      <c r="C119" s="21" t="s">
        <v>193</v>
      </c>
      <c r="D119" s="21" t="s">
        <v>303</v>
      </c>
      <c r="E119" s="13">
        <v>42778.724826388891</v>
      </c>
      <c r="F119" s="13">
        <v>42778.726701388892</v>
      </c>
      <c r="G119" s="7">
        <v>1</v>
      </c>
      <c r="H119" s="21" t="s">
        <v>184</v>
      </c>
      <c r="I119" s="13">
        <v>42778.754270833335</v>
      </c>
      <c r="J119" s="7">
        <v>0</v>
      </c>
      <c r="K119" s="98" t="str">
        <f>IF(ISEVEN(B119),(B119-1)&amp;"/"&amp;B119,B119&amp;"/"&amp;(B119+1))</f>
        <v>4037/4038</v>
      </c>
      <c r="L119" s="21" t="str">
        <f>VLOOKUP(A119,'Trips&amp;Operators'!$C$1:$G$99999,5,FALSE)</f>
        <v>DAVIS MICHAEL</v>
      </c>
      <c r="M119" s="6">
        <f>I119-F119</f>
        <v>2.7569444442633539E-2</v>
      </c>
      <c r="N119" s="7">
        <f>24*60*SUM($M119:$M119)</f>
        <v>39.699999997392297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Southbound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-02-12T16:23:45-0700',mode:absolute,to:'2017-02-12T19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9" s="188" t="str">
        <f>IF(AA119&lt;IF(AG119="EC",23,5.65),"Y","N")</f>
        <v>N</v>
      </c>
      <c r="X119" s="188">
        <f>VALUE(LEFT(AD119,4))-VALUE(LEFT(AD118,4))</f>
        <v>1</v>
      </c>
      <c r="Y119" s="62">
        <f>RIGHT(D119,LEN(D119)-4)/10000</f>
        <v>23.297699999999999</v>
      </c>
      <c r="Z119" s="62">
        <f>RIGHT(H119,LEN(H119)-4)/10000</f>
        <v>1.49E-2</v>
      </c>
      <c r="AA119" s="62">
        <f>ABS(Z119-Y119)</f>
        <v>23.282799999999998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>IF(LEN(A119)=6,"0"&amp;A119,A119)</f>
        <v>0204-12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119" s="8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/stypes="app*4037*20170213*"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6" t="str">
        <f t="shared" si="7"/>
        <v>"%USERPROFILE%\Documents\GitHub\eaglep3\Utilities\RefineRTDCRunTimes.py" --tripid 204-12 --locoid 4037 --swversion DE.1.0.8.0 --startMP 204:232977 --initTime 2017-02-12T17:23:45 --startdatetime 2017-02-12T17:26:27 --delay 1 --endMP 204:149 --enddatetime 2017-02-12T18:06:09 --enforcementcount 0 &gt;&gt;C:\Users\stu\Documents\GitHub\eaglep3-reporting\EC\2017-02-12-refined-times.txt</v>
      </c>
      <c r="AI119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{"issue":{"subject":"","project_id":79,"tracker_id":40,"status_id":1,"priority_id":2,"assigned_to_id":23,"start_date":"2017-02-12","description":"","custom_fields":[{"id":1,"name":"Subdivision","value":"EC"},{"id":4,"name":"Milepost","value":"0.0149"},{"id":17,"name":"Train ID","value":"204-12"},{"id":16,"name":"Locomotive ID","value":"4037"},{"id":130,"name":"Impact","value":""},{"id":150,"name":"Time of Event (Mountain Time)","value":"18:06:09"},{"id":151,"name":"Denver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9"/>
        <v>start /low /b %USERPROFILE%\Documents\GitHub\eaglep3\Utilities\DownloadLogsFromS3.py --loco 4037 --day 2017-02-12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"%USERPROFILE%\AppData\Local\Temp\OnboardLogs"\RTDC4037\*4037*20170213* | grep -SE "(Enforcement Action)|(\[TIMEOUT)|(CHR.+\|PRM\|1\|D.+(SWITCH|SIGNAL).+UNKNOWN)" - &gt;&gt; 2017-02-12-UncaughtWiMAX.txt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533</v>
      </c>
      <c r="B120" s="7">
        <v>4029</v>
      </c>
      <c r="C120" s="21" t="s">
        <v>193</v>
      </c>
      <c r="D120" s="21" t="s">
        <v>358</v>
      </c>
      <c r="E120" s="13">
        <v>42778.693912037037</v>
      </c>
      <c r="F120" s="13">
        <v>42778.698078703703</v>
      </c>
      <c r="G120" s="7">
        <v>1</v>
      </c>
      <c r="H120" s="21" t="s">
        <v>443</v>
      </c>
      <c r="I120" s="13">
        <v>42778.722893518519</v>
      </c>
      <c r="J120" s="7">
        <v>0</v>
      </c>
      <c r="K120" s="98" t="str">
        <f>IF(ISEVEN(B120),(B120-1)&amp;"/"&amp;B120,B120&amp;"/"&amp;(B120+1))</f>
        <v>4029/4030</v>
      </c>
      <c r="L120" s="21" t="str">
        <f>VLOOKUP(A120,'Trips&amp;Operators'!$C$1:$G$99999,5,FALSE)</f>
        <v>LEVIN SCOTT</v>
      </c>
      <c r="M120" s="6">
        <f>I120-F120</f>
        <v>2.4814814816636499E-2</v>
      </c>
      <c r="N120" s="7">
        <f>24*60*SUM($M120:$M120)</f>
        <v>35.733333335956559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NorthBound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-02-12T15:39:14-0700',mode:absolute,to:'2017-02-12T18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188" t="str">
        <f>IF(AA120&lt;IF(AG120="EC",23,5.65),"Y","N")</f>
        <v>N</v>
      </c>
      <c r="X120" s="188">
        <f>VALUE(LEFT(AD120,4))-VALUE(LEFT(AD119,4))</f>
        <v>1</v>
      </c>
      <c r="Y120" s="62">
        <f>RIGHT(D120,LEN(D120)-4)/10000</f>
        <v>4.3999999999999997E-2</v>
      </c>
      <c r="Z120" s="62">
        <f>RIGHT(H120,LEN(H120)-4)/10000</f>
        <v>23.327000000000002</v>
      </c>
      <c r="AA120" s="62">
        <f>ABS(Z120-Y120)</f>
        <v>23.283000000000001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>IF(LEN(A120)=6,"0"&amp;A120,A120)</f>
        <v>0205-12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120" s="8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/stypes="app*4029*20170213*" /stext=" 00:.+((SYSTEM_STATE.+slice.+state.+changed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6" t="str">
        <f t="shared" si="7"/>
        <v>"%USERPROFILE%\Documents\GitHub\eaglep3\Utilities\RefineRTDCRunTimes.py" --tripid 205-12 --locoid 4029 --swversion DE.1.0.8.0 --startMP 204:440 --initTime 2017-02-12T16:39:14 --startdatetime 2017-02-12T16:45:14 --delay 1 --endMP 204:233270 --enddatetime 2017-02-12T17:20:58 --enforcementcount 0 &gt;&gt;C:\Users\stu\Documents\GitHub\eaglep3-reporting\EC\2017-02-12-refined-times.txt</v>
      </c>
      <c r="AI120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{"issue":{"subject":"","project_id":79,"tracker_id":40,"status_id":1,"priority_id":2,"assigned_to_id":23,"start_date":"2017-02-12","description":"","custom_fields":[{"id":1,"name":"Subdivision","value":"EC"},{"id":4,"name":"Milepost","value":"23.327"},{"id":17,"name":"Train ID","value":"205-12"},{"id":16,"name":"Locomotive ID","value":"4029"},{"id":130,"name":"Impact","value":""},{"id":150,"name":"Time of Event (Mountain Time)","value":"17:20:58"},{"id":151,"name":"Denver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9"/>
        <v>start /low /b %USERPROFILE%\Documents\GitHub\eaglep3\Utilities\DownloadLogsFromS3.py --loco 4029 --day 2017-02-12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676</v>
      </c>
      <c r="B121" s="7">
        <v>4030</v>
      </c>
      <c r="C121" s="21" t="s">
        <v>193</v>
      </c>
      <c r="D121" s="21" t="s">
        <v>441</v>
      </c>
      <c r="E121" s="13">
        <v>42778.73296296296</v>
      </c>
      <c r="F121" s="13">
        <v>42778.737129629626</v>
      </c>
      <c r="G121" s="7">
        <v>1</v>
      </c>
      <c r="H121" s="21" t="s">
        <v>489</v>
      </c>
      <c r="I121" s="13">
        <v>42778.76295138889</v>
      </c>
      <c r="J121" s="7">
        <v>0</v>
      </c>
      <c r="K121" s="98" t="str">
        <f>IF(ISEVEN(B121),(B121-1)&amp;"/"&amp;B121,B121&amp;"/"&amp;(B121+1))</f>
        <v>4029/4030</v>
      </c>
      <c r="L121" s="21" t="str">
        <f>VLOOKUP(A121,'Trips&amp;Operators'!$C$1:$G$99999,5,FALSE)</f>
        <v>LEVIN SCOTT</v>
      </c>
      <c r="M121" s="6">
        <f>I121-F121</f>
        <v>2.5821759263635613E-2</v>
      </c>
      <c r="N121" s="7">
        <f>24*60*SUM($M121:$M121)</f>
        <v>37.183333339635283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Southbound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-02-12T16:35:28-0700',mode:absolute,to:'2017-02-12T19:18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1" s="188" t="str">
        <f>IF(AA121&lt;IF(AG121="EC",23,5.65),"Y","N")</f>
        <v>N</v>
      </c>
      <c r="X121" s="188">
        <f>VALUE(LEFT(AD121,4))-VALUE(LEFT(AD120,4))</f>
        <v>1</v>
      </c>
      <c r="Y121" s="62">
        <f>RIGHT(D121,LEN(D121)-4)/10000</f>
        <v>23.2957</v>
      </c>
      <c r="Z121" s="62">
        <f>RIGHT(H121,LEN(H121)-4)/10000</f>
        <v>1.3599999999999999E-2</v>
      </c>
      <c r="AA121" s="62">
        <f>ABS(Z121-Y121)</f>
        <v>23.2821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>IF(LEN(A121)=6,"0"&amp;A121,A121)</f>
        <v>0206-12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121" s="8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/stypes="app*4030*20170213*" /stext=" 01:.+((SYSTEM_STATE.+slice.+state.+changed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6" t="str">
        <f t="shared" si="7"/>
        <v>"%USERPROFILE%\Documents\GitHub\eaglep3\Utilities\RefineRTDCRunTimes.py" --tripid 206-12 --locoid 4030 --swversion DE.1.0.8.0 --startMP 204:232957 --initTime 2017-02-12T17:35:28 --startdatetime 2017-02-12T17:41:28 --delay 1 --endMP 204:136 --enddatetime 2017-02-12T18:18:39 --enforcementcount 0 &gt;&gt;C:\Users\stu\Documents\GitHub\eaglep3-reporting\EC\2017-02-12-refined-times.txt</v>
      </c>
      <c r="AI121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{"issue":{"subject":"","project_id":79,"tracker_id":40,"status_id":1,"priority_id":2,"assigned_to_id":23,"start_date":"2017-02-12","description":"","custom_fields":[{"id":1,"name":"Subdivision","value":"EC"},{"id":4,"name":"Milepost","value":"0.0136"},{"id":17,"name":"Train ID","value":"206-12"},{"id":16,"name":"Locomotive ID","value":"4030"},{"id":130,"name":"Impact","value":""},{"id":150,"name":"Time of Event (Mountain Time)","value":"18:18:39"},{"id":151,"name":"Denver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9"/>
        <v>start /low /b %USERPROFILE%\Documents\GitHub\eaglep3\Utilities\DownloadLogsFromS3.py --loco 4030 --day 2017-02-12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668</v>
      </c>
      <c r="B122" s="7">
        <v>4031</v>
      </c>
      <c r="C122" s="21" t="s">
        <v>193</v>
      </c>
      <c r="D122" s="21" t="s">
        <v>206</v>
      </c>
      <c r="E122" s="13">
        <v>42778.703564814816</v>
      </c>
      <c r="F122" s="13">
        <v>42778.708541666667</v>
      </c>
      <c r="G122" s="7">
        <v>2</v>
      </c>
      <c r="H122" s="21" t="s">
        <v>848</v>
      </c>
      <c r="I122" s="13">
        <v>42778.733680555553</v>
      </c>
      <c r="J122" s="7">
        <v>0</v>
      </c>
      <c r="K122" s="98" t="str">
        <f>IF(ISEVEN(B122),(B122-1)&amp;"/"&amp;B122,B122&amp;"/"&amp;(B122+1))</f>
        <v>4031/4032</v>
      </c>
      <c r="L122" s="21" t="str">
        <f>VLOOKUP(A122,'Trips&amp;Operators'!$C$1:$G$99999,5,FALSE)</f>
        <v>BRUDER RICHARD</v>
      </c>
      <c r="M122" s="6">
        <f>I122-F122</f>
        <v>2.5138888886431232E-2</v>
      </c>
      <c r="N122" s="7">
        <f>24*60*SUM($M122:$M122)</f>
        <v>36.199999996460974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-02-12T15:53:08-0700',mode:absolute,to:'2017-02-12T18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188" t="str">
        <f>IF(AA122&lt;IF(AG122="EC",23,5.65),"Y","N")</f>
        <v>N</v>
      </c>
      <c r="X122" s="188">
        <f>VALUE(LEFT(AD122,4))-VALUE(LEFT(AD121,4))</f>
        <v>1</v>
      </c>
      <c r="Y122" s="62">
        <f>RIGHT(D122,LEN(D122)-4)/10000</f>
        <v>4.6199999999999998E-2</v>
      </c>
      <c r="Z122" s="62">
        <f>RIGHT(H122,LEN(H122)-4)/10000</f>
        <v>23.331099999999999</v>
      </c>
      <c r="AA122" s="62">
        <f>ABS(Z122-Y122)</f>
        <v>23.2849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>IF(LEN(A122)=6,"0"&amp;A122,A122)</f>
        <v>0207-12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AF122" s="8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/stypes="app*4031*20170213*" /stext=" 00:.+((SYSTEM_STATE.+slice.+state.+changed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6" t="str">
        <f t="shared" si="7"/>
        <v>"%USERPROFILE%\Documents\GitHub\eaglep3\Utilities\RefineRTDCRunTimes.py" --tripid 207-12 --locoid 4031 --swversion DE.1.0.8.0 --startMP 204:462 --initTime 2017-02-12T16:53:08 --startdatetime 2017-02-12T17:00:18 --delay 2 --endMP 204:233311 --enddatetime 2017-02-12T17:36:30 --enforcementcount 0 &gt;&gt;C:\Users\stu\Documents\GitHub\eaglep3-reporting\EC\2017-02-12-refined-times.txt</v>
      </c>
      <c r="AI122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{"issue":{"subject":"","project_id":79,"tracker_id":40,"status_id":1,"priority_id":2,"assigned_to_id":23,"start_date":"2017-02-12","description":"","custom_fields":[{"id":1,"name":"Subdivision","value":"EC"},{"id":4,"name":"Milepost","value":"23.3311"},{"id":17,"name":"Train ID","value":"207-12"},{"id":16,"name":"Locomotive ID","value":"4031"},{"id":130,"name":"Impact","value":""},{"id":150,"name":"Time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9"/>
        <v>start /low /b %USERPROFILE%\Documents\GitHub\eaglep3\Utilities\DownloadLogsFromS3.py --loco 4031 --day 2017-02-12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"%USERPROFILE%\AppData\Local\Temp\OnboardLogs"\RTDC4031\*4031*20170213* | grep -SE "(Enforcement Action)|(\[TIMEOUT)|(CHR.+\|PRM\|1\|D.+(SWITCH|SIGNAL).+UNKNOWN)" - &gt;&gt; 2017-02-12-UncaughtWiMAX.txt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679</v>
      </c>
      <c r="B123" s="7">
        <v>4032</v>
      </c>
      <c r="C123" s="21" t="s">
        <v>193</v>
      </c>
      <c r="D123" s="21" t="s">
        <v>849</v>
      </c>
      <c r="E123" s="13">
        <v>42778.741365740738</v>
      </c>
      <c r="F123" s="13">
        <v>42778.747407407405</v>
      </c>
      <c r="G123" s="7">
        <v>2</v>
      </c>
      <c r="H123" s="21" t="s">
        <v>850</v>
      </c>
      <c r="I123" s="13">
        <v>42778.773761574077</v>
      </c>
      <c r="J123" s="7">
        <v>0</v>
      </c>
      <c r="K123" s="98" t="str">
        <f>IF(ISEVEN(B123),(B123-1)&amp;"/"&amp;B123,B123&amp;"/"&amp;(B123+1))</f>
        <v>4031/4032</v>
      </c>
      <c r="L123" s="21" t="str">
        <f>VLOOKUP(A123,'Trips&amp;Operators'!$C$1:$G$99999,5,FALSE)</f>
        <v>BRUDER RICHARD</v>
      </c>
      <c r="M123" s="6">
        <f>I123-F123</f>
        <v>2.6354166671808343E-2</v>
      </c>
      <c r="N123" s="7">
        <f>24*60*SUM($M123:$M123)</f>
        <v>37.950000007404014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-02-12T16:47:34-0700',mode:absolute,to:'2017-02-12T19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3" s="188" t="str">
        <f>IF(AA123&lt;IF(AG123="EC",23,5.65),"Y","N")</f>
        <v>N</v>
      </c>
      <c r="X123" s="188">
        <f>VALUE(LEFT(AD123,4))-VALUE(LEFT(AD122,4))</f>
        <v>1</v>
      </c>
      <c r="Y123" s="62">
        <f>RIGHT(D123,LEN(D123)-4)/10000</f>
        <v>23.298200000000001</v>
      </c>
      <c r="Z123" s="62">
        <f>RIGHT(H123,LEN(H123)-4)/10000</f>
        <v>1.7000000000000001E-2</v>
      </c>
      <c r="AA123" s="62">
        <f>ABS(Z123-Y123)</f>
        <v>23.281200000000002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>IF(LEN(A123)=6,"0"&amp;A123,A123)</f>
        <v>0208-12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123" s="8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/stypes="app*4032*20170213*"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6" t="str">
        <f t="shared" si="7"/>
        <v>"%USERPROFILE%\Documents\GitHub\eaglep3\Utilities\RefineRTDCRunTimes.py" --tripid 208-12 --locoid 4032 --swversion DE.1.0.8.0 --startMP 204:232982 --initTime 2017-02-12T17:47:34 --startdatetime 2017-02-12T17:56:16 --delay 2 --endMP 204:170 --enddatetime 2017-02-12T18:34:13 --enforcementcount 0 &gt;&gt;C:\Users\stu\Documents\GitHub\eaglep3-reporting\EC\2017-02-12-refined-times.txt</v>
      </c>
      <c r="AI123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{"issue":{"subject":"","project_id":79,"tracker_id":40,"status_id":1,"priority_id":2,"assigned_to_id":23,"start_date":"2017-02-12","description":"","custom_fields":[{"id":1,"name":"Subdivision","value":"EC"},{"id":4,"name":"Milepost","value":"0.017"},{"id":17,"name":"Train ID","value":"208-12"},{"id":16,"name":"Locomotive ID","value":"4032"},{"id":130,"name":"Impact","value":""},{"id":150,"name":"Time of Event (Mountain Time)","value":"18:34:13"},{"id":151,"name":"Denver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9"/>
        <v>start /low /b %USERPROFILE%\Documents\GitHub\eaglep3\Utilities\DownloadLogsFromS3.py --loco 4032 --day 2017-02-12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"%USERPROFILE%\AppData\Local\Temp\OnboardLogs"\RTDC4032\*4032*20170213* | grep -SE "(Enforcement Action)|(\[TIMEOUT)|(CHR.+\|PRM\|1\|D.+(SWITCH|SIGNAL).+UNKNOWN)" - &gt;&gt; 2017-02-12-UncaughtWiMAX.txt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670</v>
      </c>
      <c r="B124" s="7">
        <v>4009</v>
      </c>
      <c r="C124" s="21" t="s">
        <v>193</v>
      </c>
      <c r="D124" s="21" t="s">
        <v>235</v>
      </c>
      <c r="E124" s="13">
        <v>42778.716111111113</v>
      </c>
      <c r="F124" s="13">
        <v>42778.719039351854</v>
      </c>
      <c r="G124" s="7">
        <v>1</v>
      </c>
      <c r="H124" s="21" t="s">
        <v>354</v>
      </c>
      <c r="I124" s="13">
        <v>42778.744143518517</v>
      </c>
      <c r="J124" s="7">
        <v>0</v>
      </c>
      <c r="K124" s="98" t="str">
        <f>IF(ISEVEN(B124),(B124-1)&amp;"/"&amp;B124,B124&amp;"/"&amp;(B124+1))</f>
        <v>4009/4010</v>
      </c>
      <c r="L124" s="21" t="str">
        <f>VLOOKUP(A124,'Trips&amp;Operators'!$C$1:$G$99999,5,FALSE)</f>
        <v>CHANDLER KELVIN</v>
      </c>
      <c r="M124" s="6">
        <f>I124-F124</f>
        <v>2.5104166663368233E-2</v>
      </c>
      <c r="N124" s="7">
        <f>24*60*SUM($M124:$M124)</f>
        <v>36.149999995250255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-02-12T16:11:12-0700',mode:absolute,to:'2017-02-12T18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188" t="str">
        <f>IF(AA124&lt;IF(AG124="EC",23,5.65),"Y","N")</f>
        <v>N</v>
      </c>
      <c r="X124" s="188">
        <f>VALUE(LEFT(AD124,4))-VALUE(LEFT(AD123,4))</f>
        <v>1</v>
      </c>
      <c r="Y124" s="62">
        <f>RIGHT(D124,LEN(D124)-4)/10000</f>
        <v>4.5100000000000001E-2</v>
      </c>
      <c r="Z124" s="62">
        <f>RIGHT(H124,LEN(H124)-4)/10000</f>
        <v>23.331199999999999</v>
      </c>
      <c r="AA124" s="62">
        <f>ABS(Z124-Y124)</f>
        <v>23.286099999999998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>IF(LEN(A124)=6,"0"&amp;A124,A124)</f>
        <v>0209-12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124" s="8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/stypes="app*4009*20170213*" /stext=" 00:.+((SYSTEM_STATE.+slice.+state.+changed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6" t="str">
        <f t="shared" si="7"/>
        <v>"%USERPROFILE%\Documents\GitHub\eaglep3\Utilities\RefineRTDCRunTimes.py" --tripid 209-12 --locoid 4009 --swversion DE.1.0.8.0 --startMP 204:451 --initTime 2017-02-12T17:11:12 --startdatetime 2017-02-12T17:15:25 --delay 1 --endMP 204:233312 --enddatetime 2017-02-12T17:51:34 --enforcementcount 0 &gt;&gt;C:\Users\stu\Documents\GitHub\eaglep3-reporting\EC\2017-02-12-refined-times.txt</v>
      </c>
      <c r="AI124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{"issue":{"subject":"","project_id":79,"tracker_id":40,"status_id":1,"priority_id":2,"assigned_to_id":23,"start_date":"2017-02-12","description":"","custom_fields":[{"id":1,"name":"Subdivision","value":"EC"},{"id":4,"name":"Milepost","value":"23.3312"},{"id":17,"name":"Train ID","value":"209-12"},{"id":16,"name":"Locomotive ID","value":"4009"},{"id":130,"name":"Impact","value":""},{"id":150,"name":"Time of Event (Mountain Time)","value":"17:51:34"},{"id":151,"name":"Denver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9"/>
        <v>start /low /b %USERPROFILE%\Documents\GitHub\eaglep3\Utilities\DownloadLogsFromS3.py --loco 4009 --day 2017-02-12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682</v>
      </c>
      <c r="B125" s="7">
        <v>4010</v>
      </c>
      <c r="C125" s="21" t="s">
        <v>193</v>
      </c>
      <c r="D125" s="21" t="s">
        <v>851</v>
      </c>
      <c r="E125" s="13">
        <v>42778.754618055558</v>
      </c>
      <c r="F125" s="13">
        <v>42778.758009259262</v>
      </c>
      <c r="G125" s="7">
        <v>1</v>
      </c>
      <c r="H125" s="21" t="s">
        <v>295</v>
      </c>
      <c r="I125" s="13">
        <v>42778.785486111112</v>
      </c>
      <c r="J125" s="7">
        <v>0</v>
      </c>
      <c r="K125" s="98" t="str">
        <f>IF(ISEVEN(B125),(B125-1)&amp;"/"&amp;B125,B125&amp;"/"&amp;(B125+1))</f>
        <v>4009/4010</v>
      </c>
      <c r="L125" s="21" t="str">
        <f>VLOOKUP(A125,'Trips&amp;Operators'!$C$1:$G$99999,5,FALSE)</f>
        <v>CHANDLER KELVIN</v>
      </c>
      <c r="M125" s="6">
        <f>I125-F125</f>
        <v>2.7476851850224193E-2</v>
      </c>
      <c r="N125" s="7">
        <f>24*60*SUM($M125:$M125)</f>
        <v>39.566666664322838</v>
      </c>
      <c r="O125" s="7"/>
      <c r="P125" s="7"/>
      <c r="Q125" s="22"/>
      <c r="R125" s="22" t="s">
        <v>904</v>
      </c>
      <c r="S125" s="31">
        <f>SUM(U125:U125)/IF(AG125="EC",12,1)</f>
        <v>1</v>
      </c>
      <c r="T125" s="46" t="str">
        <f>IF(ISEVEN(LEFT(AD125,4)),"Southbound","NorthBound")</f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-02-12T17:06:39-0700',mode:absolute,to:'2017-02-12T19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5" s="188" t="str">
        <f>IF(AA125&lt;IF(AG125="EC",23,5.65),"Y","N")</f>
        <v>N</v>
      </c>
      <c r="X125" s="188">
        <f>VALUE(LEFT(AD125,4))-VALUE(LEFT(AD124,4))</f>
        <v>1</v>
      </c>
      <c r="Y125" s="62">
        <f>RIGHT(D125,LEN(D125)-4)/10000</f>
        <v>23.297899999999998</v>
      </c>
      <c r="Z125" s="62">
        <f>RIGHT(H125,LEN(H125)-4)/10000</f>
        <v>1.3899999999999999E-2</v>
      </c>
      <c r="AA125" s="62">
        <f>ABS(Z125-Y125)</f>
        <v>23.283999999999999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>IF(LEN(A125)=6,"0"&amp;A125,A125)</f>
        <v>0210-12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125" s="8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/stypes="app*4010*20170213*"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6" t="str">
        <f t="shared" si="7"/>
        <v>"%USERPROFILE%\Documents\GitHub\eaglep3\Utilities\RefineRTDCRunTimes.py" --tripid 210-12 --locoid 4010 --swversion DE.1.0.8.0 --startMP 204:232979 --initTime 2017-02-12T18:06:39 --startdatetime 2017-02-12T18:11:32 --delay 1 --endMP 204:139 --enddatetime 2017-02-12T18:51:06 --enforcementcount 0 &gt;&gt;C:\Users\stu\Documents\GitHub\eaglep3-reporting\EC\2017-02-12-refined-times.txt</v>
      </c>
      <c r="AI125" s="108" t="str">
        <f t="shared" si="8"/>
        <v>echo {"issue":{"subject":"Unhealthy at Chambers due to train stop","project_id":79,"tracker_id":40,"status_id":1,"priority_id":2,"assigned_to_id":23,"start_date":"2017-02-12","description":"","custom_fields":[{"id":1,"name":"Subdivision","value":"EC"},{"id":4,"name":"Milepost","value":"0.0139"},{"id":17,"name":"Train ID","value":"210-12"},{"id":16,"name":"Locomotive ID","value":"4010"},{"id":130,"name":"Impact","value":""},{"id":150,"name":"Time of Event (Mountain Time)","value":"18:51:06"},{"id":151,"name":"Denver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9"/>
        <v>start /low /b %USERPROFILE%\Documents\GitHub\eaglep3\Utilities\DownloadLogsFromS3.py --loco 4010 --day 2017-02-12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673</v>
      </c>
      <c r="B126" s="7">
        <v>4016</v>
      </c>
      <c r="C126" s="21" t="s">
        <v>193</v>
      </c>
      <c r="D126" s="21" t="s">
        <v>279</v>
      </c>
      <c r="E126" s="13">
        <v>42778.723692129628</v>
      </c>
      <c r="F126" s="13">
        <v>42778.729456018518</v>
      </c>
      <c r="G126" s="7">
        <v>1</v>
      </c>
      <c r="H126" s="21" t="s">
        <v>301</v>
      </c>
      <c r="I126" s="13">
        <v>42778.754583333335</v>
      </c>
      <c r="J126" s="7">
        <v>0</v>
      </c>
      <c r="K126" s="98" t="str">
        <f>IF(ISEVEN(B126),(B126-1)&amp;"/"&amp;B126,B126&amp;"/"&amp;(B126+1))</f>
        <v>4015/4016</v>
      </c>
      <c r="L126" s="21" t="str">
        <f>VLOOKUP(A126,'Trips&amp;Operators'!$C$1:$G$99999,5,FALSE)</f>
        <v>CRAYTON QUNTRELL</v>
      </c>
      <c r="M126" s="6">
        <f>I126-F126</f>
        <v>2.5127314816927537E-2</v>
      </c>
      <c r="N126" s="7">
        <f>24*60*SUM($M126:$M126)</f>
        <v>36.183333336375654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-02-12T16:22:07-0700',mode:absolute,to:'2017-02-12T19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6" s="188" t="str">
        <f>IF(AA126&lt;IF(AG126="EC",23,5.65),"Y","N")</f>
        <v>N</v>
      </c>
      <c r="X126" s="188">
        <f>VALUE(LEFT(AD126,4))-VALUE(LEFT(AD125,4))</f>
        <v>1</v>
      </c>
      <c r="Y126" s="62">
        <f>RIGHT(D126,LEN(D126)-4)/10000</f>
        <v>4.4600000000000001E-2</v>
      </c>
      <c r="Z126" s="62">
        <f>RIGHT(H126,LEN(H126)-4)/10000</f>
        <v>23.3291</v>
      </c>
      <c r="AA126" s="62">
        <f>ABS(Z126-Y126)</f>
        <v>23.284500000000001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>IF(LEN(A126)=6,"0"&amp;A126,A126)</f>
        <v>0211-12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126" s="8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/stypes="app*4016*20170213*"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6" t="str">
        <f t="shared" si="7"/>
        <v>"%USERPROFILE%\Documents\GitHub\eaglep3\Utilities\RefineRTDCRunTimes.py" --tripid 211-12 --locoid 4016 --swversion DE.1.0.8.0 --startMP 204:446 --initTime 2017-02-12T17:22:07 --startdatetime 2017-02-12T17:30:25 --delay 1 --endMP 204:233291 --enddatetime 2017-02-12T18:06:36 --enforcementcount 0 &gt;&gt;C:\Users\stu\Documents\GitHub\eaglep3-reporting\EC\2017-02-12-refined-times.txt</v>
      </c>
      <c r="AI126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{"issue":{"subject":"","project_id":79,"tracker_id":40,"status_id":1,"priority_id":2,"assigned_to_id":23,"start_date":"2017-02-12","description":"","custom_fields":[{"id":1,"name":"Subdivision","value":"EC"},{"id":4,"name":"Milepost","value":"23.3291"},{"id":17,"name":"Train ID","value":"211-12"},{"id":16,"name":"Locomotive ID","value":"4016"},{"id":130,"name":"Impact","value":""},{"id":150,"name":"Time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9"/>
        <v>start /low /b %USERPROFILE%\Documents\GitHub\eaglep3\Utilities\DownloadLogsFromS3.py --loco 4016 --day 2017-02-12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"%USERPROFILE%\AppData\Local\Temp\OnboardLogs"\RTDC4016\*4016*20170213* | grep -SE "(Enforcement Action)|(\[TIMEOUT)|(CHR.+\|PRM\|1\|D.+(SWITCH|SIGNAL).+UNKNOWN)" - &gt;&gt; 2017-02-12-UncaughtWiMAX.txt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685</v>
      </c>
      <c r="B127" s="7">
        <v>4015</v>
      </c>
      <c r="C127" s="21" t="s">
        <v>193</v>
      </c>
      <c r="D127" s="21" t="s">
        <v>303</v>
      </c>
      <c r="E127" s="13">
        <v>42778.761863425927</v>
      </c>
      <c r="F127" s="13">
        <v>42778.768263888887</v>
      </c>
      <c r="G127" s="7">
        <v>1</v>
      </c>
      <c r="H127" s="21" t="s">
        <v>852</v>
      </c>
      <c r="I127" s="13">
        <v>42778.795162037037</v>
      </c>
      <c r="J127" s="7">
        <v>0</v>
      </c>
      <c r="K127" s="98" t="str">
        <f>IF(ISEVEN(B127),(B127-1)&amp;"/"&amp;B127,B127&amp;"/"&amp;(B127+1))</f>
        <v>4015/4016</v>
      </c>
      <c r="L127" s="21" t="str">
        <f>VLOOKUP(A127,'Trips&amp;Operators'!$C$1:$G$99999,5,FALSE)</f>
        <v>CRAYTON QUNTRELL</v>
      </c>
      <c r="M127" s="6">
        <f>I127-F127</f>
        <v>2.6898148149484769E-2</v>
      </c>
      <c r="N127" s="7">
        <f>24*60*SUM($M127:$M127)</f>
        <v>38.733333335258067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-02-12T17:17:05-0700',mode:absolute,to:'2017-02-12T20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188" t="str">
        <f>IF(AA127&lt;IF(AG127="EC",23,5.65),"Y","N")</f>
        <v>N</v>
      </c>
      <c r="X127" s="188">
        <f>VALUE(LEFT(AD127,4))-VALUE(LEFT(AD126,4))</f>
        <v>1</v>
      </c>
      <c r="Y127" s="62">
        <f>RIGHT(D127,LEN(D127)-4)/10000</f>
        <v>23.297699999999999</v>
      </c>
      <c r="Z127" s="62">
        <f>RIGHT(H127,LEN(H127)-4)/10000</f>
        <v>8.8200000000000001E-2</v>
      </c>
      <c r="AA127" s="62">
        <f>ABS(Z127-Y127)</f>
        <v>23.209499999999998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>IF(LEN(A127)=6,"0"&amp;A127,A127)</f>
        <v>0212-12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 &amp; 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</v>
      </c>
      <c r="AF127" s="8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/stypes="app*4015*20170213*" /stext=" 02:.+((SYSTEM_STATE.+slice.+state.+changed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6" t="str">
        <f t="shared" si="7"/>
        <v>"%USERPROFILE%\Documents\GitHub\eaglep3\Utilities\RefineRTDCRunTimes.py" --tripid 212-12 --locoid 4015 --swversion DE.1.0.8.0 --startMP 204:232977 --initTime 2017-02-12T18:17:05 --startdatetime 2017-02-12T18:26:18 --delay 1 --endMP 204:882 --enddatetime 2017-02-12T19:05:02 --enforcementcount 0 &gt;&gt;C:\Users\stu\Documents\GitHub\eaglep3-reporting\EC\2017-02-12-refined-times.txt</v>
      </c>
      <c r="AI127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{"issue":{"subject":"","project_id":79,"tracker_id":40,"status_id":1,"priority_id":2,"assigned_to_id":23,"start_date":"2017-02-12","description":"","custom_fields":[{"id":1,"name":"Subdivision","value":"EC"},{"id":4,"name":"Milepost","value":"0.0882"},{"id":17,"name":"Train ID","value":"212-12"},{"id":16,"name":"Locomotive ID","value":"4015"},{"id":130,"name":"Impact","value":""},{"id":150,"name":"Time of Event (Mountain Time)","value":"19:05:02"},{"id":151,"name":"Denver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9"/>
        <v>start /low /b %USERPROFILE%\Documents\GitHub\eaglep3\Utilities\DownloadLogsFromS3.py --loco 4015 --day 2017-02-12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"%USERPROFILE%\AppData\Local\Temp\OnboardLogs"\RTDC4015\*4015*20170213* | grep -SE "(Enforcement Action)|(\[TIMEOUT)|(CHR.+\|PRM\|1\|D.+(SWITCH|SIGNAL).+UNKNOWN)" - &gt;&gt; 2017-02-12-UncaughtWiMAX.txt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678</v>
      </c>
      <c r="B128" s="7">
        <v>4007</v>
      </c>
      <c r="C128" s="21" t="s">
        <v>193</v>
      </c>
      <c r="D128" s="21" t="s">
        <v>279</v>
      </c>
      <c r="E128" s="13">
        <v>42778.735497685186</v>
      </c>
      <c r="F128" s="13">
        <v>42778.740023148152</v>
      </c>
      <c r="G128" s="7">
        <v>2</v>
      </c>
      <c r="H128" s="21" t="s">
        <v>442</v>
      </c>
      <c r="I128" s="13">
        <v>42778.765486111108</v>
      </c>
      <c r="J128" s="7">
        <v>0</v>
      </c>
      <c r="K128" s="98" t="str">
        <f>IF(ISEVEN(B128),(B128-1)&amp;"/"&amp;B128,B128&amp;"/"&amp;(B128+1))</f>
        <v>4007/4008</v>
      </c>
      <c r="L128" s="21" t="str">
        <f>VLOOKUP(A128,'Trips&amp;Operators'!$C$1:$G$99999,5,FALSE)</f>
        <v>SAFIEF AEIMEN</v>
      </c>
      <c r="M128" s="6">
        <f>I128-F128</f>
        <v>2.5462962956225965E-2</v>
      </c>
      <c r="N128" s="7">
        <f>24*60*SUM($M128:$M128)</f>
        <v>36.66666665696539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-02-12T16:39:07-0700',mode:absolute,to:'2017-02-12T19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188" t="str">
        <f>IF(AA128&lt;IF(AG128="EC",23,5.65),"Y","N")</f>
        <v>N</v>
      </c>
      <c r="X128" s="188">
        <f>VALUE(LEFT(AD128,4))-VALUE(LEFT(AD127,4))</f>
        <v>1</v>
      </c>
      <c r="Y128" s="62">
        <f>RIGHT(D128,LEN(D128)-4)/10000</f>
        <v>4.4600000000000001E-2</v>
      </c>
      <c r="Z128" s="62">
        <f>RIGHT(H128,LEN(H128)-4)/10000</f>
        <v>23.3325</v>
      </c>
      <c r="AA128" s="62">
        <f>ABS(Z128-Y128)</f>
        <v>23.2879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>IF(LEN(A128)=6,"0"&amp;A128,A128)</f>
        <v>0213-12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128" s="8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/stypes="app*4007*20170213*" /stext=" 01:.+((SYSTEM_STATE.+slice.+state.+changed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6" t="str">
        <f t="shared" si="7"/>
        <v>"%USERPROFILE%\Documents\GitHub\eaglep3\Utilities\RefineRTDCRunTimes.py" --tripid 213-12 --locoid 4007 --swversion DE.1.0.8.0 --startMP 204:446 --initTime 2017-02-12T17:39:07 --startdatetime 2017-02-12T17:45:38 --delay 2 --endMP 204:233325 --enddatetime 2017-02-12T18:22:18 --enforcementcount 0 &gt;&gt;C:\Users\stu\Documents\GitHub\eaglep3-reporting\EC\2017-02-12-refined-times.txt</v>
      </c>
      <c r="AI128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{"issue":{"subject":"","project_id":79,"tracker_id":40,"status_id":1,"priority_id":2,"assigned_to_id":23,"start_date":"2017-02-12","description":"","custom_fields":[{"id":1,"name":"Subdivision","value":"EC"},{"id":4,"name":"Milepost","value":"23.3325"},{"id":17,"name":"Train ID","value":"213-12"},{"id":16,"name":"Locomotive ID","value":"4007"},{"id":130,"name":"Impact","value":""},{"id":150,"name":"Time of Event (Mountain Time)","value":"18:22:18"},{"id":151,"name":"Denver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9"/>
        <v>start /low /b %USERPROFILE%\Documents\GitHub\eaglep3\Utilities\DownloadLogsFromS3.py --loco 4007 --day 2017-02-12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"%USERPROFILE%\AppData\Local\Temp\OnboardLogs"\RTDC4007\*4007*20170213* | grep -SE "(Enforcement Action)|(\[TIMEOUT)|(CHR.+\|PRM\|1\|D.+(SWITCH|SIGNAL).+UNKNOWN)" - &gt;&gt; 2017-02-12-UncaughtWiMAX.txt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687</v>
      </c>
      <c r="B129" s="7">
        <v>4008</v>
      </c>
      <c r="C129" s="21" t="s">
        <v>193</v>
      </c>
      <c r="D129" s="21" t="s">
        <v>751</v>
      </c>
      <c r="E129" s="13">
        <v>42778.772499999999</v>
      </c>
      <c r="F129" s="13">
        <v>42778.778726851851</v>
      </c>
      <c r="G129" s="7">
        <v>1</v>
      </c>
      <c r="H129" s="21" t="s">
        <v>853</v>
      </c>
      <c r="I129" s="13">
        <v>42778.805659722224</v>
      </c>
      <c r="J129" s="7">
        <v>0</v>
      </c>
      <c r="K129" s="98" t="str">
        <f>IF(ISEVEN(B129),(B129-1)&amp;"/"&amp;B129,B129&amp;"/"&amp;(B129+1))</f>
        <v>4007/4008</v>
      </c>
      <c r="L129" s="21" t="str">
        <f>VLOOKUP(A129,'Trips&amp;Operators'!$C$1:$G$99999,5,FALSE)</f>
        <v>SAFIEF AEIMEN</v>
      </c>
      <c r="M129" s="6">
        <f>I129-F129</f>
        <v>2.6932870372547768E-2</v>
      </c>
      <c r="N129" s="7">
        <f>24*60*SUM($M129:$M129)</f>
        <v>38.783333336468786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-02-12T17:32:24-0700',mode:absolute,to:'2017-02-12T20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188" t="str">
        <f>IF(AA129&lt;IF(AG129="EC",23,5.65),"Y","N")</f>
        <v>N</v>
      </c>
      <c r="X129" s="188">
        <f>VALUE(LEFT(AD129,4))-VALUE(LEFT(AD128,4))</f>
        <v>1</v>
      </c>
      <c r="Y129" s="62">
        <f>RIGHT(D129,LEN(D129)-4)/10000</f>
        <v>23.300599999999999</v>
      </c>
      <c r="Z129" s="62">
        <f>RIGHT(H129,LEN(H129)-4)/10000</f>
        <v>1.23E-2</v>
      </c>
      <c r="AA129" s="62">
        <f>ABS(Z129-Y129)</f>
        <v>23.2883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>IF(LEN(A129)=6,"0"&amp;A129,A129)</f>
        <v>0214-12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129" s="8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/stypes="app*4008*20170213*" /stext=" 02:.+((SYSTEM_STATE.+slice.+state.+changed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6" t="str">
        <f t="shared" si="7"/>
        <v>"%USERPROFILE%\Documents\GitHub\eaglep3\Utilities\RefineRTDCRunTimes.py" --tripid 214-12 --locoid 4008 --swversion DE.1.0.8.0 --startMP 204:233006 --initTime 2017-02-12T18:32:24 --startdatetime 2017-02-12T18:41:22 --delay 1 --endMP 204:123 --enddatetime 2017-02-12T19:20:09 --enforcementcount 0 &gt;&gt;C:\Users\stu\Documents\GitHub\eaglep3-reporting\EC\2017-02-12-refined-times.txt</v>
      </c>
      <c r="AI129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{"issue":{"subject":"","project_id":79,"tracker_id":40,"status_id":1,"priority_id":2,"assigned_to_id":23,"start_date":"2017-02-12","description":"","custom_fields":[{"id":1,"name":"Subdivision","value":"EC"},{"id":4,"name":"Milepost","value":"0.0123"},{"id":17,"name":"Train ID","value":"214-12"},{"id":16,"name":"Locomotive ID","value":"4008"},{"id":130,"name":"Impact","value":""},{"id":150,"name":"Time of Event (Mountain Time)","value":"19:20:09"},{"id":151,"name":"Denver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9"/>
        <v>start /low /b %USERPROFILE%\Documents\GitHub\eaglep3\Utilities\DownloadLogsFromS3.py --loco 4008 --day 2017-02-12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"%USERPROFILE%\AppData\Local\Temp\OnboardLogs"\RTDC4008\*4008*20170213* | grep -SE "(Enforcement Action)|(\[TIMEOUT)|(CHR.+\|PRM\|1\|D.+(SWITCH|SIGNAL).+UNKNOWN)" - &gt;&gt; 2017-02-12-UncaughtWiMAX.txt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680</v>
      </c>
      <c r="B130" s="7">
        <v>4018</v>
      </c>
      <c r="C130" s="21" t="s">
        <v>193</v>
      </c>
      <c r="D130" s="21" t="s">
        <v>494</v>
      </c>
      <c r="E130" s="13">
        <v>42778.744305555556</v>
      </c>
      <c r="F130" s="13">
        <v>42778.750196759262</v>
      </c>
      <c r="G130" s="7">
        <v>1</v>
      </c>
      <c r="H130" s="21" t="s">
        <v>305</v>
      </c>
      <c r="I130" s="13">
        <v>42778.776296296295</v>
      </c>
      <c r="J130" s="7">
        <v>0</v>
      </c>
      <c r="K130" s="98" t="str">
        <f>IF(ISEVEN(B130),(B130-1)&amp;"/"&amp;B130,B130&amp;"/"&amp;(B130+1))</f>
        <v>4017/4018</v>
      </c>
      <c r="L130" s="21" t="str">
        <f>VLOOKUP(A130,'Trips&amp;Operators'!$C$1:$G$99999,5,FALSE)</f>
        <v>KILLION DAVID</v>
      </c>
      <c r="M130" s="6">
        <f>I130-F130</f>
        <v>2.6099537033587694E-2</v>
      </c>
      <c r="N130" s="7">
        <f>24*60*SUM($M130:$M130)</f>
        <v>37.58333332836628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NorthBound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-02-12T16:51:48-0700',mode:absolute,to:'2017-02-12T19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188" t="str">
        <f>IF(AA130&lt;IF(AG130="EC",23,5.65),"Y","N")</f>
        <v>N</v>
      </c>
      <c r="X130" s="188">
        <f>VALUE(LEFT(AD130,4))-VALUE(LEFT(AD129,4))</f>
        <v>1</v>
      </c>
      <c r="Y130" s="62">
        <f>RIGHT(D130,LEN(D130)-4)/10000</f>
        <v>4.4400000000000002E-2</v>
      </c>
      <c r="Z130" s="62">
        <f>RIGHT(H130,LEN(H130)-4)/10000</f>
        <v>23.330300000000001</v>
      </c>
      <c r="AA130" s="62">
        <f>ABS(Z130-Y130)</f>
        <v>23.285900000000002</v>
      </c>
      <c r="AB130" s="59" t="e">
        <f>VLOOKUP(A130,Enforcements!$C$7:$K$14,8,0)</f>
        <v>#N/A</v>
      </c>
      <c r="AC130" s="55" t="e">
        <f>VLOOKUP(A130,Enforcements!$C$7:$E$14,3,0)</f>
        <v>#N/A</v>
      </c>
      <c r="AD130" s="56" t="str">
        <f>IF(LEN(A130)=6,"0"&amp;A130,A130)</f>
        <v>0215-12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130" s="8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/stypes="app*4018*20170213*" /stext=" 01:.+((SYSTEM_STATE.+slice.+state.+changed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6" t="str">
        <f t="shared" si="7"/>
        <v>"%USERPROFILE%\Documents\GitHub\eaglep3\Utilities\RefineRTDCRunTimes.py" --tripid 215-12 --locoid 4018 --swversion DE.1.0.8.0 --startMP 204:444 --initTime 2017-02-12T17:51:48 --startdatetime 2017-02-12T18:00:17 --delay 1 --endMP 204:233303 --enddatetime 2017-02-12T18:37:52 --enforcementcount 0 &gt;&gt;C:\Users\stu\Documents\GitHub\eaglep3-reporting\EC\2017-02-12-refined-times.txt</v>
      </c>
      <c r="AI130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{"issue":{"subject":"","project_id":79,"tracker_id":40,"status_id":1,"priority_id":2,"assigned_to_id":23,"start_date":"2017-02-12","description":"","custom_fields":[{"id":1,"name":"Subdivision","value":"EC"},{"id":4,"name":"Milepost","value":"23.3303"},{"id":17,"name":"Train ID","value":"215-12"},{"id":16,"name":"Locomotive ID","value":"4018"},{"id":130,"name":"Impact","value":""},{"id":150,"name":"Time of Event (Mountain Time)","value":"18:37:52"},{"id":151,"name":"Denver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9"/>
        <v>start /low /b %USERPROFILE%\Documents\GitHub\eaglep3\Utilities\DownloadLogsFromS3.py --loco 4018 --day 2017-02-12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"%USERPROFILE%\AppData\Local\Temp\OnboardLogs"\RTDC4018\*4018*20170213* | grep -SE "(Enforcement Action)|(\[TIMEOUT)|(CHR.+\|PRM\|1\|D.+(SWITCH|SIGNAL).+UNKNOWN)" - &gt;&gt; 2017-02-12-UncaughtWiMAX.txt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689</v>
      </c>
      <c r="B131" s="7">
        <v>4017</v>
      </c>
      <c r="C131" s="21" t="s">
        <v>193</v>
      </c>
      <c r="D131" s="21" t="s">
        <v>311</v>
      </c>
      <c r="E131" s="13">
        <v>42778.782673611109</v>
      </c>
      <c r="F131" s="13">
        <v>42778.789178240739</v>
      </c>
      <c r="G131" s="7">
        <v>1</v>
      </c>
      <c r="H131" s="21" t="s">
        <v>854</v>
      </c>
      <c r="I131" s="13">
        <v>42778.80741898148</v>
      </c>
      <c r="J131" s="7">
        <v>0</v>
      </c>
      <c r="K131" s="98" t="str">
        <f>IF(ISEVEN(B131),(B131-1)&amp;"/"&amp;B131,B131&amp;"/"&amp;(B131+1))</f>
        <v>4017/4018</v>
      </c>
      <c r="L131" s="21" t="str">
        <f>VLOOKUP(A131,'Trips&amp;Operators'!$C$1:$G$99999,5,FALSE)</f>
        <v>KILLION DAVID</v>
      </c>
      <c r="M131" s="6">
        <f>I131-F131</f>
        <v>1.8240740741021E-2</v>
      </c>
      <c r="N131" s="7"/>
      <c r="O131" s="7"/>
      <c r="P131" s="7">
        <f>24*60*SUM($M131:$M131)</f>
        <v>26.26666666707024</v>
      </c>
      <c r="Q131" s="22"/>
      <c r="R131" s="22" t="s">
        <v>900</v>
      </c>
      <c r="S131" s="31">
        <f>SUM(U131:U131)/IF(AG131="EC",12,1)</f>
        <v>0.41666666666666669</v>
      </c>
      <c r="T131" s="46" t="str">
        <f>IF(ISEVEN(LEFT(AD131,4)),"Southbound","NorthBound")</f>
        <v>Southbound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5</v>
      </c>
      <c r="V131" s="187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-02-12T17:47:03-0700',mode:absolute,to:'2017-02-12T20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188" t="str">
        <f>IF(AA131&lt;IF(AG131="EC",23,5.65),"Y","N")</f>
        <v>Y</v>
      </c>
      <c r="X131" s="188">
        <f>VALUE(LEFT(AD131,4))-VALUE(LEFT(AD130,4))</f>
        <v>1</v>
      </c>
      <c r="Y131" s="62">
        <f>RIGHT(D131,LEN(D131)-4)/10000</f>
        <v>23.297799999999999</v>
      </c>
      <c r="Z131" s="62">
        <f>RIGHT(H131,LEN(H131)-4)/10000</f>
        <v>5.8278999999999996</v>
      </c>
      <c r="AA131" s="62">
        <f>ABS(Z131-Y131)</f>
        <v>17.469899999999999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>IF(LEN(A131)=6,"0"&amp;A131,A131)</f>
        <v>0216-12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AF131" s="8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/stypes="app*4017*20170213*"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6" t="str">
        <f t="shared" si="7"/>
        <v>"%USERPROFILE%\Documents\GitHub\eaglep3\Utilities\RefineRTDCRunTimes.py" --tripid 216-12 --locoid 4017 --swversion DE.1.0.8.0 --startMP 204:232978 --initTime 2017-02-12T18:47:03 --startdatetime 2017-02-12T18:56:25 --delay 1 --endMP 204:58279 --enddatetime 2017-02-12T19:22:41 --enforcementcount 0 &gt;&gt;C:\Users\stu\Documents\GitHub\eaglep3-reporting\EC\2017-02-12-refined-times.txt</v>
      </c>
      <c r="AI131" s="108" t="str">
        <f t="shared" si="8"/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failure","project_id":79,"tracker_id":40,"status_id":1,"priority_id":2,"assigned_to_id":23,"start_date":"2017-02-12","description":"","custom_fields":[{"id":1,"name":"Subdivision","value":"EC"},{"id":4,"name":"Milepost","value":"5.8279"},{"id":17,"name":"Train ID","value":"216-12"},{"id":16,"name":"Locomotive ID","value":"4017"},{"id":130,"name":"Impact","value":""},{"id":150,"name":"Time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9"/>
        <v>start /low /b %USERPROFILE%\Documents\GitHub\eaglep3\Utilities\DownloadLogsFromS3.py --loco 4017 --day 2017-02-12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"%USERPROFILE%\AppData\Local\Temp\OnboardLogs"\RTDC4017\*4017*20170213* | grep -SE "(Enforcement Action)|(\[TIMEOUT)|(CHR.+\|PRM\|1\|D.+(SWITCH|SIGNAL).+UNKNOWN)" - &gt;&gt; 2017-02-12-UncaughtWiMAX.txt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683</v>
      </c>
      <c r="B132" s="7">
        <v>4038</v>
      </c>
      <c r="C132" s="21" t="s">
        <v>193</v>
      </c>
      <c r="D132" s="21" t="s">
        <v>494</v>
      </c>
      <c r="E132" s="13">
        <v>42778.757430555554</v>
      </c>
      <c r="F132" s="13">
        <v>42778.760694444441</v>
      </c>
      <c r="G132" s="7">
        <v>1</v>
      </c>
      <c r="H132" s="21" t="s">
        <v>443</v>
      </c>
      <c r="I132" s="13">
        <v>42778.785740740743</v>
      </c>
      <c r="J132" s="7">
        <v>0</v>
      </c>
      <c r="K132" s="98" t="str">
        <f>IF(ISEVEN(B132),(B132-1)&amp;"/"&amp;B132,B132&amp;"/"&amp;(B132+1))</f>
        <v>4037/4038</v>
      </c>
      <c r="L132" s="21" t="str">
        <f>VLOOKUP(A132,'Trips&amp;Operators'!$C$1:$G$99999,5,FALSE)</f>
        <v>SMITH MICHAEL</v>
      </c>
      <c r="M132" s="6">
        <f>I132-F132</f>
        <v>2.5046296301297843E-2</v>
      </c>
      <c r="N132" s="7">
        <f>24*60*SUM($M132:$M132)</f>
        <v>36.066666673868895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-02-12T17:10:42-0700',mode:absolute,to:'2017-02-12T19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2" s="188" t="str">
        <f>IF(AA132&lt;IF(AG132="EC",23,5.65),"Y","N")</f>
        <v>N</v>
      </c>
      <c r="X132" s="188">
        <f>VALUE(LEFT(AD132,4))-VALUE(LEFT(AD131,4))</f>
        <v>1</v>
      </c>
      <c r="Y132" s="62">
        <f>RIGHT(D132,LEN(D132)-4)/10000</f>
        <v>4.4400000000000002E-2</v>
      </c>
      <c r="Z132" s="62">
        <f>RIGHT(H132,LEN(H132)-4)/10000</f>
        <v>23.327000000000002</v>
      </c>
      <c r="AA132" s="62">
        <f>ABS(Z132-Y132)</f>
        <v>23.282600000000002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>IF(LEN(A132)=6,"0"&amp;A132,A132)</f>
        <v>0217-12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132" s="8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/stypes="app*4038*20170213*" /stext=" 01:.+((SYSTEM_STATE.+slice.+state.+changed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6" t="str">
        <f t="shared" si="7"/>
        <v>"%USERPROFILE%\Documents\GitHub\eaglep3\Utilities\RefineRTDCRunTimes.py" --tripid 217-12 --locoid 4038 --swversion DE.1.0.8.0 --startMP 204:444 --initTime 2017-02-12T18:10:42 --startdatetime 2017-02-12T18:15:24 --delay 1 --endMP 204:233270 --enddatetime 2017-02-12T18:51:28 --enforcementcount 0 &gt;&gt;C:\Users\stu\Documents\GitHub\eaglep3-reporting\EC\2017-02-12-refined-times.txt</v>
      </c>
      <c r="AI132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{"issue":{"subject":"","project_id":79,"tracker_id":40,"status_id":1,"priority_id":2,"assigned_to_id":23,"start_date":"2017-02-12","description":"","custom_fields":[{"id":1,"name":"Subdivision","value":"EC"},{"id":4,"name":"Milepost","value":"23.327"},{"id":17,"name":"Train ID","value":"217-12"},{"id":16,"name":"Locomotive ID","value":"4038"},{"id":130,"name":"Impact","value":""},{"id":150,"name":"Time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9"/>
        <v>start /low /b %USERPROFILE%\Documents\GitHub\eaglep3\Utilities\DownloadLogsFromS3.py --loco 4038 --day 2017-02-12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"%USERPROFILE%\AppData\Local\Temp\OnboardLogs"\RTDC4038\*4038*20170213* | grep -SE "(Enforcement Action)|(\[TIMEOUT)|(CHR.+\|PRM\|1\|D.+(SWITCH|SIGNAL).+UNKNOWN)" - &gt;&gt; 2017-02-12-UncaughtWiMAX.txt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692</v>
      </c>
      <c r="B133" s="7">
        <v>4037</v>
      </c>
      <c r="C133" s="21" t="s">
        <v>193</v>
      </c>
      <c r="D133" s="21" t="s">
        <v>345</v>
      </c>
      <c r="E133" s="13">
        <v>42778.793807870374</v>
      </c>
      <c r="F133" s="13">
        <v>42778.799479166664</v>
      </c>
      <c r="G133" s="7">
        <v>1</v>
      </c>
      <c r="H133" s="21" t="s">
        <v>184</v>
      </c>
      <c r="I133" s="13">
        <v>42778.826562499999</v>
      </c>
      <c r="J133" s="7">
        <v>0</v>
      </c>
      <c r="K133" s="98" t="str">
        <f>IF(ISEVEN(B133),(B133-1)&amp;"/"&amp;B133,B133&amp;"/"&amp;(B133+1))</f>
        <v>4037/4038</v>
      </c>
      <c r="L133" s="21" t="str">
        <f>VLOOKUP(A133,'Trips&amp;Operators'!$C$1:$G$99999,5,FALSE)</f>
        <v>SMITH MICHAEL</v>
      </c>
      <c r="M133" s="6">
        <f>I133-F133</f>
        <v>2.7083333334303461E-2</v>
      </c>
      <c r="N133" s="7">
        <f>24*60*SUM($M133:$M133)</f>
        <v>39.000000001396984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-02-12T18:03:05-0700',mode:absolute,to:'2017-02-12T20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3" s="188" t="str">
        <f>IF(AA133&lt;IF(AG133="EC",23,5.65),"Y","N")</f>
        <v>N</v>
      </c>
      <c r="X133" s="188">
        <f>VALUE(LEFT(AD133,4))-VALUE(LEFT(AD132,4))</f>
        <v>1</v>
      </c>
      <c r="Y133" s="62">
        <f>RIGHT(D133,LEN(D133)-4)/10000</f>
        <v>23.298300000000001</v>
      </c>
      <c r="Z133" s="62">
        <f>RIGHT(H133,LEN(H133)-4)/10000</f>
        <v>1.49E-2</v>
      </c>
      <c r="AA133" s="62">
        <f>ABS(Z133-Y133)</f>
        <v>23.2834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>IF(LEN(A133)=6,"0"&amp;A133,A133)</f>
        <v>0218-12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133" s="8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/stypes="app*4037*20170213*" /stext=" 02:.+((SYSTEM_STATE.+slice.+state.+changed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6" t="str">
        <f t="shared" si="7"/>
        <v>"%USERPROFILE%\Documents\GitHub\eaglep3\Utilities\RefineRTDCRunTimes.py" --tripid 218-12 --locoid 4037 --swversion DE.1.0.8.0 --startMP 204:232983 --initTime 2017-02-12T19:03:05 --startdatetime 2017-02-12T19:11:15 --delay 1 --endMP 204:149 --enddatetime 2017-02-12T19:50:15 --enforcementcount 0 &gt;&gt;C:\Users\stu\Documents\GitHub\eaglep3-reporting\EC\2017-02-12-refined-times.txt</v>
      </c>
      <c r="AI133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{"issue":{"subject":"","project_id":79,"tracker_id":40,"status_id":1,"priority_id":2,"assigned_to_id":23,"start_date":"2017-02-12","description":"","custom_fields":[{"id":1,"name":"Subdivision","value":"EC"},{"id":4,"name":"Milepost","value":"0.0149"},{"id":17,"name":"Train ID","value":"218-12"},{"id":16,"name":"Locomotive ID","value":"4037"},{"id":130,"name":"Impact","value":""},{"id":150,"name":"Time of Event (Mountain Time)","value":"19:50:15"},{"id":151,"name":"Denver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9"/>
        <v>start /low /b %USERPROFILE%\Documents\GitHub\eaglep3\Utilities\DownloadLogsFromS3.py --loco 4037 --day 2017-02-12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"%USERPROFILE%\AppData\Local\Temp\OnboardLogs"\RTDC4037\*4037*20170213* | grep -SE "(Enforcement Action)|(\[TIMEOUT)|(CHR.+\|PRM\|1\|D.+(SWITCH|SIGNAL).+UNKNOWN)" - &gt;&gt; 2017-02-12-UncaughtWiMAX.txt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686</v>
      </c>
      <c r="B134" s="7">
        <v>4029</v>
      </c>
      <c r="C134" s="21" t="s">
        <v>193</v>
      </c>
      <c r="D134" s="21" t="s">
        <v>447</v>
      </c>
      <c r="E134" s="13">
        <v>42778.76457175926</v>
      </c>
      <c r="F134" s="13">
        <v>42778.771087962959</v>
      </c>
      <c r="G134" s="7">
        <v>2</v>
      </c>
      <c r="H134" s="21" t="s">
        <v>855</v>
      </c>
      <c r="I134" s="13">
        <v>42778.796134259261</v>
      </c>
      <c r="J134" s="7">
        <v>0</v>
      </c>
      <c r="K134" s="98" t="str">
        <f>IF(ISEVEN(B134),(B134-1)&amp;"/"&amp;B134,B134&amp;"/"&amp;(B134+1))</f>
        <v>4029/4030</v>
      </c>
      <c r="L134" s="21" t="str">
        <f>VLOOKUP(A134,'Trips&amp;Operators'!$C$1:$G$99999,5,FALSE)</f>
        <v>STAMBAUGH JAMES</v>
      </c>
      <c r="M134" s="6">
        <f>I134-F134</f>
        <v>2.5046296301297843E-2</v>
      </c>
      <c r="N134" s="7">
        <f>24*60*SUM($M134:$M134)</f>
        <v>36.066666673868895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-02-12T17:20:59-0700',mode:absolute,to:'2017-02-12T20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188" t="str">
        <f>IF(AA134&lt;IF(AG134="EC",23,5.65),"Y","N")</f>
        <v>N</v>
      </c>
      <c r="X134" s="188">
        <f>VALUE(LEFT(AD134,4))-VALUE(LEFT(AD133,4))</f>
        <v>1</v>
      </c>
      <c r="Y134" s="62">
        <f>RIGHT(D134,LEN(D134)-4)/10000</f>
        <v>4.7500000000000001E-2</v>
      </c>
      <c r="Z134" s="62">
        <f>RIGHT(H134,LEN(H134)-4)/10000</f>
        <v>23.335999999999999</v>
      </c>
      <c r="AA134" s="62">
        <f>ABS(Z134-Y134)</f>
        <v>23.288499999999999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>IF(LEN(A134)=6,"0"&amp;A134,A134)</f>
        <v>0219-12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134" s="8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/stypes="app*4029*20170213*" /stext=" 02:.+((SYSTEM_STATE.+slice.+state.+changed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6" t="str">
        <f t="shared" si="7"/>
        <v>"%USERPROFILE%\Documents\GitHub\eaglep3\Utilities\RefineRTDCRunTimes.py" --tripid 219-12 --locoid 4029 --swversion DE.1.0.8.0 --startMP 204:475 --initTime 2017-02-12T18:20:59 --startdatetime 2017-02-12T18:30:22 --delay 2 --endMP 204:233360 --enddatetime 2017-02-12T19:06:26 --enforcementcount 0 &gt;&gt;C:\Users\stu\Documents\GitHub\eaglep3-reporting\EC\2017-02-12-refined-times.txt</v>
      </c>
      <c r="AI134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{"issue":{"subject":"","project_id":79,"tracker_id":40,"status_id":1,"priority_id":2,"assigned_to_id":23,"start_date":"2017-02-12","description":"","custom_fields":[{"id":1,"name":"Subdivision","value":"EC"},{"id":4,"name":"Milepost","value":"23.336"},{"id":17,"name":"Train ID","value":"219-12"},{"id":16,"name":"Locomotive ID","value":"4029"},{"id":130,"name":"Impact","value":""},{"id":150,"name":"Time of Event (Mountain Time)","value":"19:06:26"},{"id":151,"name":"Denver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9"/>
        <v>start /low /b %USERPROFILE%\Documents\GitHub\eaglep3\Utilities\DownloadLogsFromS3.py --loco 4029 --day 2017-02-12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694</v>
      </c>
      <c r="B135" s="7">
        <v>4030</v>
      </c>
      <c r="C135" s="21" t="s">
        <v>193</v>
      </c>
      <c r="D135" s="21" t="s">
        <v>856</v>
      </c>
      <c r="E135" s="13">
        <v>42778.801041666666</v>
      </c>
      <c r="F135" s="13">
        <v>42778.809988425928</v>
      </c>
      <c r="G135" s="7">
        <v>2</v>
      </c>
      <c r="H135" s="21" t="s">
        <v>857</v>
      </c>
      <c r="I135" s="13">
        <v>42778.835844907408</v>
      </c>
      <c r="J135" s="7">
        <v>0</v>
      </c>
      <c r="K135" s="98" t="str">
        <f>IF(ISEVEN(B135),(B135-1)&amp;"/"&amp;B135,B135&amp;"/"&amp;(B135+1))</f>
        <v>4029/4030</v>
      </c>
      <c r="L135" s="21" t="str">
        <f>VLOOKUP(A135,'Trips&amp;Operators'!$C$1:$G$99999,5,FALSE)</f>
        <v>STAMBAUGH JAMES</v>
      </c>
      <c r="M135" s="6">
        <f>I135-F135</f>
        <v>2.5856481479422655E-2</v>
      </c>
      <c r="N135" s="7">
        <f>24*60*SUM($M135:$M135)</f>
        <v>37.233333330368623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-02-12T18:13:30-0700',mode:absolute,to:'2017-02-12T21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188" t="str">
        <f>IF(AA135&lt;IF(AG135="EC",23,5.65),"Y","N")</f>
        <v>N</v>
      </c>
      <c r="X135" s="188">
        <f>VALUE(LEFT(AD135,4))-VALUE(LEFT(AD134,4))</f>
        <v>1</v>
      </c>
      <c r="Y135" s="62">
        <f>RIGHT(D135,LEN(D135)-4)/10000</f>
        <v>23.3048</v>
      </c>
      <c r="Z135" s="62">
        <f>RIGHT(H135,LEN(H135)-4)/10000</f>
        <v>1.0999999999999999E-2</v>
      </c>
      <c r="AA135" s="62">
        <f>ABS(Z135-Y135)</f>
        <v>23.293800000000001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>IF(LEN(A135)=6,"0"&amp;A135,A135)</f>
        <v>0220-12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135" s="8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/stypes="app*4030*20170213*"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6" t="str">
        <f t="shared" si="7"/>
        <v>"%USERPROFILE%\Documents\GitHub\eaglep3\Utilities\RefineRTDCRunTimes.py" --tripid 220-12 --locoid 4030 --swversion DE.1.0.8.0 --startMP 204:233048 --initTime 2017-02-12T19:13:30 --startdatetime 2017-02-12T19:26:23 --delay 2 --endMP 204:110 --enddatetime 2017-02-12T20:03:37 --enforcementcount 0 &gt;&gt;C:\Users\stu\Documents\GitHub\eaglep3-reporting\EC\2017-02-12-refined-times.txt</v>
      </c>
      <c r="AI135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{"issue":{"subject":"","project_id":79,"tracker_id":40,"status_id":1,"priority_id":2,"assigned_to_id":23,"start_date":"2017-02-12","description":"","custom_fields":[{"id":1,"name":"Subdivision","value":"EC"},{"id":4,"name":"Milepost","value":"0.011"},{"id":17,"name":"Train ID","value":"220-12"},{"id":16,"name":"Locomotive ID","value":"4030"},{"id":130,"name":"Impact","value":""},{"id":150,"name":"Time of Event (Mountain Time)","value":"20:03:37"},{"id":151,"name":"Denver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9"/>
        <v>start /low /b %USERPROFILE%\Documents\GitHub\eaglep3\Utilities\DownloadLogsFromS3.py --loco 4030 --day 2017-02-12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691</v>
      </c>
      <c r="B136" s="7">
        <v>4009</v>
      </c>
      <c r="C136" s="21" t="s">
        <v>193</v>
      </c>
      <c r="D136" s="21" t="s">
        <v>280</v>
      </c>
      <c r="E136" s="13">
        <v>42778.790208333332</v>
      </c>
      <c r="F136" s="13">
        <v>42778.791967592595</v>
      </c>
      <c r="G136" s="7">
        <v>1</v>
      </c>
      <c r="H136" s="21" t="s">
        <v>354</v>
      </c>
      <c r="I136" s="13">
        <v>42778.817129629628</v>
      </c>
      <c r="J136" s="7">
        <v>0</v>
      </c>
      <c r="K136" s="98" t="str">
        <f>IF(ISEVEN(B136),(B136-1)&amp;"/"&amp;B136,B136&amp;"/"&amp;(B136+1))</f>
        <v>4009/4010</v>
      </c>
      <c r="L136" s="21" t="str">
        <f>VLOOKUP(A136,'Trips&amp;Operators'!$C$1:$G$99999,5,FALSE)</f>
        <v>CHANDLER KELVIN</v>
      </c>
      <c r="M136" s="6">
        <f>I136-F136</f>
        <v>2.5162037032714579E-2</v>
      </c>
      <c r="N136" s="7">
        <f>24*60*SUM($M136:$M136)</f>
        <v>36.233333327108994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-02-12T17:57:54-0700',mode:absolute,to:'2017-02-12T20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188" t="str">
        <f>IF(AA136&lt;IF(AG136="EC",23,5.65),"Y","N")</f>
        <v>N</v>
      </c>
      <c r="X136" s="188">
        <f>VALUE(LEFT(AD136,4))-VALUE(LEFT(AD135,4))</f>
        <v>1</v>
      </c>
      <c r="Y136" s="62">
        <f>RIGHT(D136,LEN(D136)-4)/10000</f>
        <v>4.5499999999999999E-2</v>
      </c>
      <c r="Z136" s="62">
        <f>RIGHT(H136,LEN(H136)-4)/10000</f>
        <v>23.331199999999999</v>
      </c>
      <c r="AA136" s="62">
        <f>ABS(Z136-Y136)</f>
        <v>23.285699999999999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>IF(LEN(A136)=6,"0"&amp;A136,A136)</f>
        <v>0221-12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136" s="8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/stypes="app*4009*20170213*" /stext=" 02:.+((SYSTEM_STATE.+slice.+state.+changed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6" t="str">
        <f t="shared" si="7"/>
        <v>"%USERPROFILE%\Documents\GitHub\eaglep3\Utilities\RefineRTDCRunTimes.py" --tripid 221-12 --locoid 4009 --swversion DE.1.0.8.0 --startMP 204:455 --initTime 2017-02-12T18:57:54 --startdatetime 2017-02-12T19:00:26 --delay 1 --endMP 204:233312 --enddatetime 2017-02-12T19:36:40 --enforcementcount 0 &gt;&gt;C:\Users\stu\Documents\GitHub\eaglep3-reporting\EC\2017-02-12-refined-times.txt</v>
      </c>
      <c r="AI136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{"issue":{"subject":"","project_id":79,"tracker_id":40,"status_id":1,"priority_id":2,"assigned_to_id":23,"start_date":"2017-02-12","description":"","custom_fields":[{"id":1,"name":"Subdivision","value":"EC"},{"id":4,"name":"Milepost","value":"23.3312"},{"id":17,"name":"Train ID","value":"221-12"},{"id":16,"name":"Locomotive ID","value":"4009"},{"id":130,"name":"Impact","value":""},{"id":150,"name":"Time of Event (Mountain Time)","value":"19:36:40"},{"id":151,"name":"Denver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9"/>
        <v>start /low /b %USERPROFILE%\Documents\GitHub\eaglep3\Utilities\DownloadLogsFromS3.py --loco 4009 --day 2017-02-12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699</v>
      </c>
      <c r="B137" s="7">
        <v>4010</v>
      </c>
      <c r="C137" s="21" t="s">
        <v>193</v>
      </c>
      <c r="D137" s="21" t="s">
        <v>851</v>
      </c>
      <c r="E137" s="13">
        <v>42778.82739583333</v>
      </c>
      <c r="F137" s="13">
        <v>42778.830833333333</v>
      </c>
      <c r="G137" s="7">
        <v>1</v>
      </c>
      <c r="H137" s="21" t="s">
        <v>205</v>
      </c>
      <c r="I137" s="13">
        <v>42778.858587962961</v>
      </c>
      <c r="J137" s="7">
        <v>0</v>
      </c>
      <c r="K137" s="98" t="str">
        <f>IF(ISEVEN(B137),(B137-1)&amp;"/"&amp;B137,B137&amp;"/"&amp;(B137+1))</f>
        <v>4009/4010</v>
      </c>
      <c r="L137" s="21" t="str">
        <f>VLOOKUP(A137,'Trips&amp;Operators'!$C$1:$G$99999,5,FALSE)</f>
        <v>CHANDLER KELVIN</v>
      </c>
      <c r="M137" s="6">
        <f>I137-F137</f>
        <v>2.7754629627452232E-2</v>
      </c>
      <c r="N137" s="7">
        <f>24*60*SUM($M137:$M137)</f>
        <v>39.966666663531214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-02-12T18:51:27-0700',mode:absolute,to:'2017-02-12T21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188" t="str">
        <f>IF(AA137&lt;IF(AG137="EC",23,5.65),"Y","N")</f>
        <v>N</v>
      </c>
      <c r="X137" s="188">
        <f>VALUE(LEFT(AD137,4))-VALUE(LEFT(AD136,4))</f>
        <v>1</v>
      </c>
      <c r="Y137" s="62">
        <f>RIGHT(D137,LEN(D137)-4)/10000</f>
        <v>23.297899999999998</v>
      </c>
      <c r="Z137" s="62">
        <f>RIGHT(H137,LEN(H137)-4)/10000</f>
        <v>1.6E-2</v>
      </c>
      <c r="AA137" s="62">
        <f>ABS(Z137-Y137)</f>
        <v>23.2819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>IF(LEN(A137)=6,"0"&amp;A137,A137)</f>
        <v>0222-12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137" s="8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/stypes="app*4010*20170213*"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6" t="str">
        <f t="shared" si="7"/>
        <v>"%USERPROFILE%\Documents\GitHub\eaglep3\Utilities\RefineRTDCRunTimes.py" --tripid 222-12 --locoid 4010 --swversion DE.1.0.8.0 --startMP 204:232979 --initTime 2017-02-12T19:51:27 --startdatetime 2017-02-12T19:56:24 --delay 1 --endMP 204:160 --enddatetime 2017-02-12T20:36:22 --enforcementcount 0 &gt;&gt;C:\Users\stu\Documents\GitHub\eaglep3-reporting\EC\2017-02-12-refined-times.txt</v>
      </c>
      <c r="AI137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{"issue":{"subject":"","project_id":79,"tracker_id":40,"status_id":1,"priority_id":2,"assigned_to_id":23,"start_date":"2017-02-12","description":"","custom_fields":[{"id":1,"name":"Subdivision","value":"EC"},{"id":4,"name":"Milepost","value":"0.016"},{"id":17,"name":"Train ID","value":"222-12"},{"id":16,"name":"Locomotive ID","value":"4010"},{"id":130,"name":"Impact","value":""},{"id":150,"name":"Time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9"/>
        <v>start /low /b %USERPROFILE%\Documents\GitHub\eaglep3\Utilities\DownloadLogsFromS3.py --loco 4010 --day 2017-02-12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696</v>
      </c>
      <c r="B138" s="7">
        <v>4007</v>
      </c>
      <c r="C138" s="21" t="s">
        <v>193</v>
      </c>
      <c r="D138" s="21" t="s">
        <v>296</v>
      </c>
      <c r="E138" s="13">
        <v>42778.809918981482</v>
      </c>
      <c r="F138" s="13">
        <v>42778.812789351854</v>
      </c>
      <c r="G138" s="7">
        <v>1</v>
      </c>
      <c r="H138" s="21" t="s">
        <v>858</v>
      </c>
      <c r="I138" s="13">
        <v>42778.838564814818</v>
      </c>
      <c r="J138" s="7">
        <v>0</v>
      </c>
      <c r="K138" s="98" t="str">
        <f>IF(ISEVEN(B138),(B138-1)&amp;"/"&amp;B138,B138&amp;"/"&amp;(B138+1))</f>
        <v>4007/4008</v>
      </c>
      <c r="L138" s="21" t="str">
        <f>VLOOKUP(A138,'Trips&amp;Operators'!$C$1:$G$99999,5,FALSE)</f>
        <v>SAFIEF AEIMEN</v>
      </c>
      <c r="M138" s="6">
        <f>I138-F138</f>
        <v>2.5775462963792961E-2</v>
      </c>
      <c r="N138" s="7">
        <f>24*60*SUM($M138:$M138)</f>
        <v>37.116666667861864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-02-12T18:26:17-0700',mode:absolute,to:'2017-02-12T21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8" s="188" t="str">
        <f>IF(AA138&lt;IF(AG138="EC",23,5.65),"Y","N")</f>
        <v>N</v>
      </c>
      <c r="X138" s="188">
        <f>VALUE(LEFT(AD138,4))-VALUE(LEFT(AD137,4))</f>
        <v>1</v>
      </c>
      <c r="Y138" s="62">
        <f>RIGHT(D138,LEN(D138)-4)/10000</f>
        <v>4.3700000000000003E-2</v>
      </c>
      <c r="Z138" s="62">
        <f>RIGHT(H138,LEN(H138)-4)/10000</f>
        <v>23.334399999999999</v>
      </c>
      <c r="AA138" s="62">
        <f>ABS(Z138-Y138)</f>
        <v>23.290699999999998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>IF(LEN(A138)=6,"0"&amp;A138,A138)</f>
        <v>0223-12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138" s="8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/stypes="app*4007*20170213*" /stext=" 03:.+((SYSTEM_STATE.+slice.+state.+changed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6" t="str">
        <f t="shared" si="7"/>
        <v>"%USERPROFILE%\Documents\GitHub\eaglep3\Utilities\RefineRTDCRunTimes.py" --tripid 223-12 --locoid 4007 --swversion DE.1.0.8.0 --startMP 204:437 --initTime 2017-02-12T19:26:17 --startdatetime 2017-02-12T19:30:25 --delay 1 --endMP 204:233344 --enddatetime 2017-02-12T20:07:32 --enforcementcount 0 &gt;&gt;C:\Users\stu\Documents\GitHub\eaglep3-reporting\EC\2017-02-12-refined-times.txt</v>
      </c>
      <c r="AI138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{"issue":{"subject":"","project_id":79,"tracker_id":40,"status_id":1,"priority_id":2,"assigned_to_id":23,"start_date":"2017-02-12","description":"","custom_fields":[{"id":1,"name":"Subdivision","value":"EC"},{"id":4,"name":"Milepost","value":"23.3344"},{"id":17,"name":"Train ID","value":"223-12"},{"id":16,"name":"Locomotive ID","value":"4007"},{"id":130,"name":"Impact","value":""},{"id":150,"name":"Time of Event (Mountain Time)","value":"20:07:32"},{"id":151,"name":"Denver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9"/>
        <v>start /low /b %USERPROFILE%\Documents\GitHub\eaglep3\Utilities\DownloadLogsFromS3.py --loco 4007 --day 2017-02-12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"%USERPROFILE%\AppData\Local\Temp\OnboardLogs"\RTDC4007\*4007*20170213* | grep -SE "(Enforcement Action)|(\[TIMEOUT)|(CHR.+\|PRM\|1\|D.+(SWITCH|SIGNAL).+UNKNOWN)" - &gt;&gt; 2017-02-12-UncaughtWiMAX.txt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703</v>
      </c>
      <c r="B139" s="7">
        <v>4008</v>
      </c>
      <c r="C139" s="21" t="s">
        <v>193</v>
      </c>
      <c r="D139" s="21" t="s">
        <v>361</v>
      </c>
      <c r="E139" s="13">
        <v>42778.849247685182</v>
      </c>
      <c r="F139" s="13">
        <v>42778.852013888885</v>
      </c>
      <c r="G139" s="7">
        <v>1</v>
      </c>
      <c r="H139" s="21" t="s">
        <v>198</v>
      </c>
      <c r="I139" s="13">
        <v>42778.878842592596</v>
      </c>
      <c r="J139" s="7">
        <v>0</v>
      </c>
      <c r="K139" s="98" t="str">
        <f>IF(ISEVEN(B139),(B139-1)&amp;"/"&amp;B139,B139&amp;"/"&amp;(B139+1))</f>
        <v>4007/4008</v>
      </c>
      <c r="L139" s="21" t="str">
        <f>VLOOKUP(A139,'Trips&amp;Operators'!$C$1:$G$99999,5,FALSE)</f>
        <v>SAFIEF AEIMEN</v>
      </c>
      <c r="M139" s="6">
        <f>I139-F139</f>
        <v>2.6828703710634727E-2</v>
      </c>
      <c r="N139" s="7">
        <f>24*60*SUM($M139:$M139)</f>
        <v>38.633333343314007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Southbound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-02-12T19:22:55-0700',mode:absolute,to:'2017-02-12T22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188" t="str">
        <f>IF(AA139&lt;IF(AG139="EC",23,5.65),"Y","N")</f>
        <v>N</v>
      </c>
      <c r="X139" s="188">
        <f>VALUE(LEFT(AD139,4))-VALUE(LEFT(AD138,4))</f>
        <v>1</v>
      </c>
      <c r="Y139" s="62">
        <f>RIGHT(D139,LEN(D139)-4)/10000</f>
        <v>23.3017</v>
      </c>
      <c r="Z139" s="62">
        <f>RIGHT(H139,LEN(H139)-4)/10000</f>
        <v>1.4500000000000001E-2</v>
      </c>
      <c r="AA139" s="62">
        <f>ABS(Z139-Y139)</f>
        <v>23.287199999999999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>IF(LEN(A139)=6,"0"&amp;A139,A139)</f>
        <v>0224-12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139" s="8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/stypes="app*4008*20170213*"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6" t="str">
        <f t="shared" si="7"/>
        <v>"%USERPROFILE%\Documents\GitHub\eaglep3\Utilities\RefineRTDCRunTimes.py" --tripid 224-12 --locoid 4008 --swversion DE.1.0.8.0 --startMP 204:233017 --initTime 2017-02-12T20:22:55 --startdatetime 2017-02-12T20:26:54 --delay 1 --endMP 204:145 --enddatetime 2017-02-12T21:05:32 --enforcementcount 0 &gt;&gt;C:\Users\stu\Documents\GitHub\eaglep3-reporting\EC\2017-02-12-refined-times.txt</v>
      </c>
      <c r="AI139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{"issue":{"subject":"","project_id":79,"tracker_id":40,"status_id":1,"priority_id":2,"assigned_to_id":23,"start_date":"2017-02-12","description":"","custom_fields":[{"id":1,"name":"Subdivision","value":"EC"},{"id":4,"name":"Milepost","value":"0.0145"},{"id":17,"name":"Train ID","value":"224-12"},{"id":16,"name":"Locomotive ID","value":"4008"},{"id":130,"name":"Impact","value":""},{"id":150,"name":"Time of Event (Mountain Time)","value":"21:05:32"},{"id":151,"name":"Denver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9"/>
        <v>start /low /b %USERPROFILE%\Documents\GitHub\eaglep3\Utilities\DownloadLogsFromS3.py --loco 4008 --day 2017-02-12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"%USERPROFILE%\AppData\Local\Temp\OnboardLogs"\RTDC4008\*4008*20170213* | grep -SE "(Enforcement Action)|(\[TIMEOUT)|(CHR.+\|PRM\|1\|D.+(SWITCH|SIGNAL).+UNKNOWN)" - &gt;&gt; 2017-02-12-UncaughtWiMAX.txt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700</v>
      </c>
      <c r="B140" s="7">
        <v>4038</v>
      </c>
      <c r="C140" s="21" t="s">
        <v>193</v>
      </c>
      <c r="D140" s="21" t="s">
        <v>236</v>
      </c>
      <c r="E140" s="13">
        <v>42778.828738425924</v>
      </c>
      <c r="F140" s="13">
        <v>42778.833564814813</v>
      </c>
      <c r="G140" s="7">
        <v>2</v>
      </c>
      <c r="H140" s="21" t="s">
        <v>445</v>
      </c>
      <c r="I140" s="13">
        <v>42778.858564814815</v>
      </c>
      <c r="J140" s="7">
        <v>0</v>
      </c>
      <c r="K140" s="98" t="str">
        <f>IF(ISEVEN(B140),(B140-1)&amp;"/"&amp;B140,B140&amp;"/"&amp;(B140+1))</f>
        <v>4037/4038</v>
      </c>
      <c r="L140" s="21" t="str">
        <f>VLOOKUP(A140,'Trips&amp;Operators'!$C$1:$G$99999,5,FALSE)</f>
        <v>SMITH MICHAEL</v>
      </c>
      <c r="M140" s="6">
        <f>I140-F140</f>
        <v>2.5000000001455192E-2</v>
      </c>
      <c r="N140" s="7">
        <f>24*60*SUM($M140:$M140)</f>
        <v>36.000000002095476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-02-12T18:53:23-0700',mode:absolute,to:'2017-02-12T21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0" s="188" t="str">
        <f>IF(AA140&lt;IF(AG140="EC",23,5.65),"Y","N")</f>
        <v>N</v>
      </c>
      <c r="X140" s="188">
        <f>VALUE(LEFT(AD140,4))-VALUE(LEFT(AD139,4))</f>
        <v>1</v>
      </c>
      <c r="Y140" s="62">
        <f>RIGHT(D140,LEN(D140)-4)/10000</f>
        <v>4.5699999999999998E-2</v>
      </c>
      <c r="Z140" s="62">
        <f>RIGHT(H140,LEN(H140)-4)/10000</f>
        <v>23.332899999999999</v>
      </c>
      <c r="AA140" s="62">
        <f>ABS(Z140-Y140)</f>
        <v>23.287199999999999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>IF(LEN(A140)=6,"0"&amp;A140,A140)</f>
        <v>0225-12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140" s="8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/stypes="app*4038*20170213*" /stext=" 03:.+((SYSTEM_STATE.+slice.+state.+changed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6" t="str">
        <f t="shared" si="7"/>
        <v>"%USERPROFILE%\Documents\GitHub\eaglep3\Utilities\RefineRTDCRunTimes.py" --tripid 225-12 --locoid 4038 --swversion DE.1.0.8.0 --startMP 204:457 --initTime 2017-02-12T19:53:23 --startdatetime 2017-02-12T20:00:20 --delay 2 --endMP 204:233329 --enddatetime 2017-02-12T20:36:20 --enforcementcount 0 &gt;&gt;C:\Users\stu\Documents\GitHub\eaglep3-reporting\EC\2017-02-12-refined-times.txt</v>
      </c>
      <c r="AI140" s="108" t="str">
        <f t="shared" si="8"/>
        <v>echo {"issue":{"subject":"","project_id":79,"tracker_id":40,"status_id":1,"priority_id":2,"assigned_to_id":23,"start_date":"2017-02-12","description":"","custom_fields":[{"id":1,"name":"Subdivision","value":"EC"},{"id":4,"name":"Milepost","value":"23.3329"},{"id":17,"name":"Train ID","value":"225-12"},{"id":16,"name":"Locomotive ID","value":"4038"},{"id":130,"name":"Impact","value":""},{"id":150,"name":"Time of Event (Mountain Time)","value":"20:36:20"},{"id":151,"name":"Denver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9"/>
        <v>start /low /b %USERPROFILE%\Documents\GitHub\eaglep3\Utilities\DownloadLogsFromS3.py --loco 4038 --day 2017-02-12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"%USERPROFILE%\AppData\Local\Temp\OnboardLogs"\RTDC4038\*4038*20170213* | grep -SE "(Enforcement Action)|(\[TIMEOUT)|(CHR.+\|PRM\|1\|D.+(SWITCH|SIGNAL).+UNKNOWN)" - &gt;&gt; 2017-02-12-UncaughtWiMAX.txt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704</v>
      </c>
      <c r="B141" s="7">
        <v>4037</v>
      </c>
      <c r="C141" s="21" t="s">
        <v>193</v>
      </c>
      <c r="D141" s="21" t="s">
        <v>749</v>
      </c>
      <c r="E141" s="13">
        <v>42778.861076388886</v>
      </c>
      <c r="F141" s="13">
        <v>42778.87263888889</v>
      </c>
      <c r="G141" s="7">
        <v>1</v>
      </c>
      <c r="H141" s="21" t="s">
        <v>490</v>
      </c>
      <c r="I141" s="13">
        <v>42778.899097222224</v>
      </c>
      <c r="J141" s="7">
        <v>0</v>
      </c>
      <c r="K141" s="98" t="str">
        <f>IF(ISEVEN(B141),(B141-1)&amp;"/"&amp;B141,B141&amp;"/"&amp;(B141+1))</f>
        <v>4037/4038</v>
      </c>
      <c r="L141" s="21" t="str">
        <f>VLOOKUP(A141,'Trips&amp;Operators'!$C$1:$G$99999,5,FALSE)</f>
        <v>SMITH MICHAEL</v>
      </c>
      <c r="M141" s="6">
        <f>I141-F141</f>
        <v>2.6458333333721384E-2</v>
      </c>
      <c r="N141" s="7">
        <f>24*60*SUM($M141:$M141)</f>
        <v>38.100000000558794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Southbound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-12T19:39:57-0700',mode:absolute,to:'2017-02-12T22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1" s="188" t="str">
        <f>IF(AA141&lt;IF(AG141="EC",23,5.65),"Y","N")</f>
        <v>N</v>
      </c>
      <c r="X141" s="188">
        <f>VALUE(LEFT(AD141,4))-VALUE(LEFT(AD140,4))</f>
        <v>1</v>
      </c>
      <c r="Y141" s="62">
        <f>RIGHT(D141,LEN(D141)-4)/10000</f>
        <v>23.299800000000001</v>
      </c>
      <c r="Z141" s="62">
        <f>RIGHT(H141,LEN(H141)-4)/10000</f>
        <v>1.5599999999999999E-2</v>
      </c>
      <c r="AA141" s="62">
        <f>ABS(Z141-Y141)</f>
        <v>23.284200000000002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>IF(LEN(A141)=6,"0"&amp;A141,A141)</f>
        <v>0226-12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141" s="8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/stypes="app*4037*20170213*"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6" t="str">
        <f t="shared" ref="AH141:AH204" si="1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226-12 --locoid 4037 --swversion DE.1.0.8.0 --startMP 204:232998 --initTime 2017-02-12T20:39:57 --startdatetime 2017-02-12T20:56:36 --delay 1 --endMP 204:156 --enddatetime 2017-02-12T21:34:42 --enforcementcount 0 &gt;&gt;C:\Users\stu\Documents\GitHub\eaglep3-reporting\EC\2017-02-12-refined-times.txt</v>
      </c>
      <c r="AI141" s="108" t="str">
        <f t="shared" ref="AI141:AI204" si="1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{"issue":{"subject":"","project_id":79,"tracker_id":40,"status_id":1,"priority_id":2,"assigned_to_id":23,"start_date":"2017-02-12","description":"","custom_fields":[{"id":1,"name":"Subdivision","value":"EC"},{"id":4,"name":"Milepost","value":"0.0156"},{"id":17,"name":"Train ID","value":"226-12"},{"id":16,"name":"Locomotive ID","value":"4037"},{"id":130,"name":"Impact","value":""},{"id":150,"name":"Time of Event (Mountain Time)","value":"21:34:42"},{"id":151,"name":"Denver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4" si="12">"start /low /b "&amp;dls3logs&amp;" --loco "&amp;B141&amp;" --day "&amp;TEXT(F141,"YYYY-MM-DD")</f>
        <v>start /low /b %USERPROFILE%\Documents\GitHub\eaglep3\Utilities\DownloadLogsFromS3.py --loco 4037 --day 2017-02-12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"%USERPROFILE%\AppData\Local\Temp\OnboardLogs"\RTDC4037\*4037*20170213* | grep -SE "(Enforcement Action)|(\[TIMEOUT)|(CHR.+\|PRM\|1\|D.+(SWITCH|SIGNAL).+UNKNOWN)" - &gt;&gt; 2017-02-12-UncaughtWiMAX.txt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701</v>
      </c>
      <c r="B142" s="7">
        <v>4029</v>
      </c>
      <c r="C142" s="21" t="s">
        <v>193</v>
      </c>
      <c r="D142" s="21" t="s">
        <v>758</v>
      </c>
      <c r="E142" s="13">
        <v>42778.838229166664</v>
      </c>
      <c r="F142" s="13">
        <v>42778.854490740741</v>
      </c>
      <c r="G142" s="7">
        <v>1</v>
      </c>
      <c r="H142" s="21" t="s">
        <v>859</v>
      </c>
      <c r="I142" s="13">
        <v>42778.879108796296</v>
      </c>
      <c r="J142" s="7">
        <v>0</v>
      </c>
      <c r="K142" s="98" t="str">
        <f>IF(ISEVEN(B142),(B142-1)&amp;"/"&amp;B142,B142&amp;"/"&amp;(B142+1))</f>
        <v>4029/4030</v>
      </c>
      <c r="L142" s="21" t="str">
        <f>VLOOKUP(A142,'Trips&amp;Operators'!$C$1:$G$99999,5,FALSE)</f>
        <v>STAMBAUGH JAMES</v>
      </c>
      <c r="M142" s="6">
        <f>I142-F142</f>
        <v>2.4618055555038154E-2</v>
      </c>
      <c r="N142" s="7">
        <f>24*60*SUM($M142:$M142)</f>
        <v>35.449999999254942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-02-12T19:07:03-0700',mode:absolute,to:'2017-02-12T22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188" t="str">
        <f>IF(AA142&lt;IF(AG142="EC",23,5.65),"Y","N")</f>
        <v>N</v>
      </c>
      <c r="X142" s="188">
        <f>VALUE(LEFT(AD142,4))-VALUE(LEFT(AD141,4))</f>
        <v>1</v>
      </c>
      <c r="Y142" s="62">
        <f>RIGHT(D142,LEN(D142)-4)/10000</f>
        <v>4.3499999999999997E-2</v>
      </c>
      <c r="Z142" s="62">
        <f>RIGHT(H142,LEN(H142)-4)/10000</f>
        <v>23.338899999999999</v>
      </c>
      <c r="AA142" s="62">
        <f>ABS(Z142-Y142)</f>
        <v>23.295399999999997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>IF(LEN(A142)=6,"0"&amp;A142,A142)</f>
        <v>0227-12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142" s="8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/stypes="app*4029*20170213*" /stext=" 04:.+((SYSTEM_STATE.+slice.+state.+changed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6" t="str">
        <f t="shared" si="10"/>
        <v>"%USERPROFILE%\Documents\GitHub\eaglep3\Utilities\RefineRTDCRunTimes.py" --tripid 227-12 --locoid 4029 --swversion DE.1.0.8.0 --startMP 204:435 --initTime 2017-02-12T20:07:03 --startdatetime 2017-02-12T20:30:28 --delay 1 --endMP 204:233389 --enddatetime 2017-02-12T21:05:55 --enforcementcount 0 &gt;&gt;C:\Users\stu\Documents\GitHub\eaglep3-reporting\EC\2017-02-12-refined-times.txt</v>
      </c>
      <c r="AI142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{"issue":{"subject":"","project_id":79,"tracker_id":40,"status_id":1,"priority_id":2,"assigned_to_id":23,"start_date":"2017-02-12","description":"","custom_fields":[{"id":1,"name":"Subdivision","value":"EC"},{"id":4,"name":"Milepost","value":"23.3389"},{"id":17,"name":"Train ID","value":"227-12"},{"id":16,"name":"Locomotive ID","value":"4029"},{"id":130,"name":"Impact","value":""},{"id":150,"name":"Time of Event (Mountain Time)","value":"21:05:55"},{"id":151,"name":"Denver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12"/>
        <v>start /low /b %USERPROFILE%\Documents\GitHub\eaglep3\Utilities\DownloadLogsFromS3.py --loco 4029 --day 2017-02-12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708</v>
      </c>
      <c r="B143" s="7">
        <v>4030</v>
      </c>
      <c r="C143" s="21" t="s">
        <v>193</v>
      </c>
      <c r="D143" s="21" t="s">
        <v>780</v>
      </c>
      <c r="E143" s="13">
        <v>42778.891898148147</v>
      </c>
      <c r="F143" s="13">
        <v>42778.893425925926</v>
      </c>
      <c r="G143" s="7">
        <v>1</v>
      </c>
      <c r="H143" s="21" t="s">
        <v>490</v>
      </c>
      <c r="I143" s="13">
        <v>42778.921215277776</v>
      </c>
      <c r="J143" s="7">
        <v>0</v>
      </c>
      <c r="K143" s="98" t="str">
        <f>IF(ISEVEN(B143),(B143-1)&amp;"/"&amp;B143,B143&amp;"/"&amp;(B143+1))</f>
        <v>4029/4030</v>
      </c>
      <c r="L143" s="21" t="str">
        <f>VLOOKUP(A143,'Trips&amp;Operators'!$C$1:$G$99999,5,FALSE)</f>
        <v>STAMBAUGH JAMES</v>
      </c>
      <c r="M143" s="6">
        <f>I143-F143</f>
        <v>2.7789351850515231E-2</v>
      </c>
      <c r="N143" s="7">
        <f>24*60*SUM($M143:$M143)</f>
        <v>40.016666664741933</v>
      </c>
      <c r="O143" s="7"/>
      <c r="P143" s="7"/>
      <c r="Q143" s="22"/>
      <c r="R143" s="22" t="s">
        <v>906</v>
      </c>
      <c r="S143" s="31">
        <f>SUM(U143:U143)/IF(AG143="EC",12,1)</f>
        <v>1</v>
      </c>
      <c r="T143" s="46" t="str">
        <f>IF(ISEVEN(LEFT(AD143,4)),"Southbound","NorthBound")</f>
        <v>Southbound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-02-12T20:24:20-0700',mode:absolute,to:'2017-02-12T23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88" t="str">
        <f>IF(AA143&lt;IF(AG143="EC",23,5.65),"Y","N")</f>
        <v>N</v>
      </c>
      <c r="X143" s="188">
        <f>VALUE(LEFT(AD143,4))-VALUE(LEFT(AD142,4))</f>
        <v>1</v>
      </c>
      <c r="Y143" s="62">
        <f>RIGHT(D143,LEN(D143)-4)/10000</f>
        <v>23.305700000000002</v>
      </c>
      <c r="Z143" s="62">
        <f>RIGHT(H143,LEN(H143)-4)/10000</f>
        <v>1.5599999999999999E-2</v>
      </c>
      <c r="AA143" s="62">
        <f>ABS(Z143-Y143)</f>
        <v>23.290100000000002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>IF(LEN(A143)=6,"0"&amp;A143,A143)</f>
        <v>0228-12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143" s="8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/stypes="app*4030*20170213*"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6" t="str">
        <f t="shared" si="10"/>
        <v>"%USERPROFILE%\Documents\GitHub\eaglep3\Utilities\RefineRTDCRunTimes.py" --tripid 228-12 --locoid 4030 --swversion DE.1.0.8.0 --startMP 204:233057 --initTime 2017-02-12T21:24:20 --startdatetime 2017-02-12T21:26:32 --delay 1 --endMP 204:156 --enddatetime 2017-02-12T22:06:33 --enforcementcount 0 &gt;&gt;C:\Users\stu\Documents\GitHub\eaglep3-reporting\EC\2017-02-12-refined-times.txt</v>
      </c>
      <c r="AI143" s="108" t="str">
        <f t="shared" si="11"/>
        <v>echo {"issue":{"subject":"Minor onboard in-route failure caused momentary red fence","project_id":79,"tracker_id":40,"status_id":1,"priority_id":2,"assigned_to_id":23,"start_date":"2017-02-12","description":"","custom_fields":[{"id":1,"name":"Subdivision","value":"EC"},{"id":4,"name":"Milepost","value":"0.0156"},{"id":17,"name":"Train ID","value":"228-12"},{"id":16,"name":"Locomotive ID","value":"4030"},{"id":130,"name":"Impact","value":""},{"id":150,"name":"Time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12"/>
        <v>start /low /b %USERPROFILE%\Documents\GitHub\eaglep3\Utilities\DownloadLogsFromS3.py --loco 4030 --day 2017-02-12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705</v>
      </c>
      <c r="B144" s="7">
        <v>4009</v>
      </c>
      <c r="C144" s="21" t="s">
        <v>193</v>
      </c>
      <c r="D144" s="21" t="s">
        <v>447</v>
      </c>
      <c r="E144" s="13">
        <v>42778.870138888888</v>
      </c>
      <c r="F144" s="13">
        <v>42778.875231481485</v>
      </c>
      <c r="G144" s="7">
        <v>1</v>
      </c>
      <c r="H144" s="21" t="s">
        <v>335</v>
      </c>
      <c r="I144" s="13">
        <v>42778.90047453704</v>
      </c>
      <c r="J144" s="7">
        <v>0</v>
      </c>
      <c r="K144" s="98" t="str">
        <f>IF(ISEVEN(B144),(B144-1)&amp;"/"&amp;B144,B144&amp;"/"&amp;(B144+1))</f>
        <v>4009/4010</v>
      </c>
      <c r="L144" s="21" t="str">
        <f>VLOOKUP(A144,'Trips&amp;Operators'!$C$1:$G$99999,5,FALSE)</f>
        <v>CHANDLER KELVIN</v>
      </c>
      <c r="M144" s="6">
        <f>I144-F144</f>
        <v>2.5243055555620231E-2</v>
      </c>
      <c r="N144" s="7">
        <f>24*60*SUM($M144:$M144)</f>
        <v>36.350000000093132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-02-12T19:53:00-0700',mode:absolute,to:'2017-02-12T22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88" t="str">
        <f>IF(AA144&lt;IF(AG144="EC",23,5.65),"Y","N")</f>
        <v>N</v>
      </c>
      <c r="X144" s="188">
        <f>VALUE(LEFT(AD144,4))-VALUE(LEFT(AD143,4))</f>
        <v>1</v>
      </c>
      <c r="Y144" s="62">
        <f>RIGHT(D144,LEN(D144)-4)/10000</f>
        <v>4.7500000000000001E-2</v>
      </c>
      <c r="Z144" s="62">
        <f>RIGHT(H144,LEN(H144)-4)/10000</f>
        <v>23.329499999999999</v>
      </c>
      <c r="AA144" s="62">
        <f>ABS(Z144-Y144)</f>
        <v>23.282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>IF(LEN(A144)=6,"0"&amp;A144,A144)</f>
        <v>0229-12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144" s="8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/stypes="app*4009*20170213*" /stext=" 04:.+((SYSTEM_STATE.+slice.+state.+changed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6" t="str">
        <f t="shared" si="10"/>
        <v>"%USERPROFILE%\Documents\GitHub\eaglep3\Utilities\RefineRTDCRunTimes.py" --tripid 229-12 --locoid 4009 --swversion DE.1.0.8.0 --startMP 204:475 --initTime 2017-02-12T20:53:00 --startdatetime 2017-02-12T21:00:20 --delay 1 --endMP 204:233295 --enddatetime 2017-02-12T21:36:41 --enforcementcount 0 &gt;&gt;C:\Users\stu\Documents\GitHub\eaglep3-reporting\EC\2017-02-12-refined-times.txt</v>
      </c>
      <c r="AI144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{"issue":{"subject":"","project_id":79,"tracker_id":40,"status_id":1,"priority_id":2,"assigned_to_id":23,"start_date":"2017-02-12","description":"","custom_fields":[{"id":1,"name":"Subdivision","value":"EC"},{"id":4,"name":"Milepost","value":"23.3295"},{"id":17,"name":"Train ID","value":"229-12"},{"id":16,"name":"Locomotive ID","value":"4009"},{"id":130,"name":"Impact","value":""},{"id":150,"name":"Time of Event (Mountain Time)","value":"21:36:41"},{"id":151,"name":"Denver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12"/>
        <v>start /low /b %USERPROFILE%\Documents\GitHub\eaglep3\Utilities\DownloadLogsFromS3.py --loco 4009 --day 2017-02-12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710</v>
      </c>
      <c r="B145" s="7">
        <v>4010</v>
      </c>
      <c r="C145" s="21" t="s">
        <v>193</v>
      </c>
      <c r="D145" s="21" t="s">
        <v>860</v>
      </c>
      <c r="E145" s="13">
        <v>42778.913217592592</v>
      </c>
      <c r="F145" s="13">
        <v>42778.914375</v>
      </c>
      <c r="G145" s="7">
        <v>1</v>
      </c>
      <c r="H145" s="21" t="s">
        <v>210</v>
      </c>
      <c r="I145" s="13">
        <v>42778.941666666666</v>
      </c>
      <c r="J145" s="7">
        <v>0</v>
      </c>
      <c r="K145" s="98" t="str">
        <f>IF(ISEVEN(B145),(B145-1)&amp;"/"&amp;B145,B145&amp;"/"&amp;(B145+1))</f>
        <v>4009/4010</v>
      </c>
      <c r="L145" s="21" t="str">
        <f>VLOOKUP(A145,'Trips&amp;Operators'!$C$1:$G$99999,5,FALSE)</f>
        <v>CHANDLER KELVIN</v>
      </c>
      <c r="M145" s="6">
        <f>I145-F145</f>
        <v>2.7291666665405501E-2</v>
      </c>
      <c r="N145" s="7">
        <f>24*60*SUM($M145:$M145)</f>
        <v>39.299999998183921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-02-12T20:55:02-0700',mode:absolute,to:'2017-02-12T23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88" t="str">
        <f>IF(AA145&lt;IF(AG145="EC",23,5.65),"Y","N")</f>
        <v>N</v>
      </c>
      <c r="X145" s="188">
        <f>VALUE(LEFT(AD145,4))-VALUE(LEFT(AD144,4))</f>
        <v>1</v>
      </c>
      <c r="Y145" s="62">
        <f>RIGHT(D145,LEN(D145)-4)/10000</f>
        <v>23.2972</v>
      </c>
      <c r="Z145" s="62">
        <f>RIGHT(H145,LEN(H145)-4)/10000</f>
        <v>1.5800000000000002E-2</v>
      </c>
      <c r="AA145" s="62">
        <f>ABS(Z145-Y145)</f>
        <v>23.281400000000001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>IF(LEN(A145)=6,"0"&amp;A145,A145)</f>
        <v>0230-12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145" s="8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/stypes="app*4010*20170213*"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6" t="str">
        <f t="shared" si="10"/>
        <v>"%USERPROFILE%\Documents\GitHub\eaglep3\Utilities\RefineRTDCRunTimes.py" --tripid 230-12 --locoid 4010 --swversion DE.1.0.8.0 --startMP 204:232972 --initTime 2017-02-12T21:55:02 --startdatetime 2017-02-12T21:56:42 --delay 1 --endMP 204:158 --enddatetime 2017-02-12T22:36:00 --enforcementcount 0 &gt;&gt;C:\Users\stu\Documents\GitHub\eaglep3-reporting\EC\2017-02-12-refined-times.txt</v>
      </c>
      <c r="AI145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{"issue":{"subject":"","project_id":79,"tracker_id":40,"status_id":1,"priority_id":2,"assigned_to_id":23,"start_date":"2017-02-12","description":"","custom_fields":[{"id":1,"name":"Subdivision","value":"EC"},{"id":4,"name":"Milepost","value":"0.0158"},{"id":17,"name":"Train ID","value":"230-12"},{"id":16,"name":"Locomotive ID","value":"4010"},{"id":130,"name":"Impact","value":""},{"id":150,"name":"Time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12"/>
        <v>start /low /b %USERPROFILE%\Documents\GitHub\eaglep3\Utilities\DownloadLogsFromS3.py --loco 4010 --day 2017-02-12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2017-02-12-UncaughtWiMAX.txt</v>
      </c>
    </row>
    <row r="146" spans="1:91" s="20" customFormat="1" x14ac:dyDescent="0.25">
      <c r="A146" s="33" t="s">
        <v>707</v>
      </c>
      <c r="B146" s="7">
        <v>4007</v>
      </c>
      <c r="C146" s="21" t="s">
        <v>193</v>
      </c>
      <c r="D146" s="21" t="s">
        <v>279</v>
      </c>
      <c r="E146" s="13">
        <v>42778.891412037039</v>
      </c>
      <c r="F146" s="13">
        <v>42778.896249999998</v>
      </c>
      <c r="G146" s="7">
        <v>1</v>
      </c>
      <c r="H146" s="21" t="s">
        <v>497</v>
      </c>
      <c r="I146" s="13">
        <v>42778.921678240738</v>
      </c>
      <c r="J146" s="7">
        <v>0</v>
      </c>
      <c r="K146" s="98" t="str">
        <f>IF(ISEVEN(B146),(B146-1)&amp;"/"&amp;B146,B146&amp;"/"&amp;(B146+1))</f>
        <v>4007/4008</v>
      </c>
      <c r="L146" s="21" t="str">
        <f>VLOOKUP(A146,'Trips&amp;Operators'!$C$1:$G$99999,5,FALSE)</f>
        <v>SAFIEF AEIMEN</v>
      </c>
      <c r="M146" s="6">
        <f>I146-F146</f>
        <v>2.5428240740438923E-2</v>
      </c>
      <c r="N146" s="7">
        <f>24*60*SUM($M146:$M146)</f>
        <v>36.616666666232049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-02-12T20:23:38-0700',mode:absolute,to:'2017-02-12T23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6" s="188" t="str">
        <f>IF(AA146&lt;IF(AG146="EC",23,5.65),"Y","N")</f>
        <v>N</v>
      </c>
      <c r="X146" s="188">
        <f>VALUE(LEFT(AD146,4))-VALUE(LEFT(AD145,4))</f>
        <v>1</v>
      </c>
      <c r="Y146" s="62">
        <f>RIGHT(D146,LEN(D146)-4)/10000</f>
        <v>4.4600000000000001E-2</v>
      </c>
      <c r="Z146" s="62">
        <f>RIGHT(H146,LEN(H146)-4)/10000</f>
        <v>23.333100000000002</v>
      </c>
      <c r="AA146" s="62">
        <f>ABS(Z146-Y146)</f>
        <v>23.288500000000003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>IF(LEN(A146)=6,"0"&amp;A146,A146)</f>
        <v>0231-12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146" s="8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/stypes="app*4007*20170213*" /stext=" 05:.+((SYSTEM_STATE.+slice.+state.+changed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6" t="str">
        <f t="shared" si="10"/>
        <v>"%USERPROFILE%\Documents\GitHub\eaglep3\Utilities\RefineRTDCRunTimes.py" --tripid 231-12 --locoid 4007 --swversion DE.1.0.8.0 --startMP 204:446 --initTime 2017-02-12T21:23:38 --startdatetime 2017-02-12T21:30:36 --delay 1 --endMP 204:233331 --enddatetime 2017-02-12T22:07:13 --enforcementcount 0 &gt;&gt;C:\Users\stu\Documents\GitHub\eaglep3-reporting\EC\2017-02-12-refined-times.txt</v>
      </c>
      <c r="AI146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{"issue":{"subject":"","project_id":79,"tracker_id":40,"status_id":1,"priority_id":2,"assigned_to_id":23,"start_date":"2017-02-12","description":"","custom_fields":[{"id":1,"name":"Subdivision","value":"EC"},{"id":4,"name":"Milepost","value":"23.3331"},{"id":17,"name":"Train ID","value":"231-12"},{"id":16,"name":"Locomotive ID","value":"4007"},{"id":130,"name":"Impact","value":""},{"id":150,"name":"Time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2"/>
        <v>start /low /b %USERPROFILE%\Documents\GitHub\eaglep3\Utilities\DownloadLogsFromS3.py --loco 4007 --day 2017-02-12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"%USERPROFILE%\AppData\Local\Temp\OnboardLogs"\RTDC4007\*4007*20170213* | grep -SE "(Enforcement Action)|(\[TIMEOUT)|(CHR.+\|PRM\|1\|D.+(SWITCH|SIGNAL).+UNKNOWN)" - &gt;&gt; 2017-02-12-UncaughtWiMAX.txt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713</v>
      </c>
      <c r="B147" s="7">
        <v>4008</v>
      </c>
      <c r="C147" s="21" t="s">
        <v>193</v>
      </c>
      <c r="D147" s="21" t="s">
        <v>760</v>
      </c>
      <c r="E147" s="13">
        <v>42778.929097222222</v>
      </c>
      <c r="F147" s="13">
        <v>42778.934988425928</v>
      </c>
      <c r="G147" s="7">
        <v>1</v>
      </c>
      <c r="H147" s="21" t="s">
        <v>341</v>
      </c>
      <c r="I147" s="13">
        <v>42778.962118055555</v>
      </c>
      <c r="J147" s="7">
        <v>0</v>
      </c>
      <c r="K147" s="98" t="str">
        <f>IF(ISEVEN(B147),(B147-1)&amp;"/"&amp;B147,B147&amp;"/"&amp;(B147+1))</f>
        <v>4007/4008</v>
      </c>
      <c r="L147" s="21" t="str">
        <f>VLOOKUP(A147,'Trips&amp;Operators'!$C$1:$G$99999,5,FALSE)</f>
        <v>SAFIEF AEIMEN</v>
      </c>
      <c r="M147" s="6">
        <f>I147-F147</f>
        <v>2.7129629626870155E-2</v>
      </c>
      <c r="N147" s="7">
        <f>24*60*SUM($M147:$M147)</f>
        <v>39.066666662693024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-02-12T21:17:54-0700',mode:absolute,to:'2017-02-13T00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188" t="str">
        <f>IF(AA147&lt;IF(AG147="EC",23,5.65),"Y","N")</f>
        <v>N</v>
      </c>
      <c r="X147" s="188">
        <f>VALUE(LEFT(AD147,4))-VALUE(LEFT(AD146,4))</f>
        <v>1</v>
      </c>
      <c r="Y147" s="62">
        <f>RIGHT(D147,LEN(D147)-4)/10000</f>
        <v>23.301100000000002</v>
      </c>
      <c r="Z147" s="62">
        <f>RIGHT(H147,LEN(H147)-4)/10000</f>
        <v>1.41E-2</v>
      </c>
      <c r="AA147" s="62">
        <f>ABS(Z147-Y147)</f>
        <v>23.287000000000003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>IF(LEN(A147)=6,"0"&amp;A147,A147)</f>
        <v>0232-12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147" s="8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/stypes="app*4008*20170213*" /stext=" 06:.+((SYSTEM_STATE.+slice.+state.+changed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6" t="str">
        <f t="shared" si="10"/>
        <v>"%USERPROFILE%\Documents\GitHub\eaglep3\Utilities\RefineRTDCRunTimes.py" --tripid 232-12 --locoid 4008 --swversion DE.1.0.8.0 --startMP 204:233011 --initTime 2017-02-12T22:17:54 --startdatetime 2017-02-12T22:26:23 --delay 1 --endMP 204:141 --enddatetime 2017-02-12T23:05:27 --enforcementcount 0 &gt;&gt;C:\Users\stu\Documents\GitHub\eaglep3-reporting\EC\2017-02-12-refined-times.txt</v>
      </c>
      <c r="AI147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{"issue":{"subject":"","project_id":79,"tracker_id":40,"status_id":1,"priority_id":2,"assigned_to_id":23,"start_date":"2017-02-12","description":"","custom_fields":[{"id":1,"name":"Subdivision","value":"EC"},{"id":4,"name":"Milepost","value":"0.0141"},{"id":17,"name":"Train ID","value":"232-12"},{"id":16,"name":"Locomotive ID","value":"4008"},{"id":130,"name":"Impact","value":""},{"id":150,"name":"Time of Event (Mountain Time)","value":"23:05:27"},{"id":151,"name":"Denver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2"/>
        <v>start /low /b %USERPROFILE%\Documents\GitHub\eaglep3\Utilities\DownloadLogsFromS3.py --loco 4008 --day 2017-02-12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"%USERPROFILE%\AppData\Local\Temp\OnboardLogs"\RTDC4008\*4008*20170213* | grep -SE "(Enforcement Action)|(\[TIMEOUT)|(CHR.+\|PRM\|1\|D.+(SWITCH|SIGNAL).+UNKNOWN)" - &gt;&gt; 2017-02-12-UncaughtWiMAX.txt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535</v>
      </c>
      <c r="B148" s="7">
        <v>4038</v>
      </c>
      <c r="C148" s="21" t="s">
        <v>193</v>
      </c>
      <c r="D148" s="21" t="s">
        <v>279</v>
      </c>
      <c r="E148" s="13">
        <v>42778.906307870369</v>
      </c>
      <c r="F148" s="13">
        <v>42778.916932870372</v>
      </c>
      <c r="G148" s="7">
        <v>1</v>
      </c>
      <c r="H148" s="21" t="s">
        <v>861</v>
      </c>
      <c r="I148" s="13">
        <v>42778.942719907405</v>
      </c>
      <c r="J148" s="7">
        <v>0</v>
      </c>
      <c r="K148" s="98" t="str">
        <f>IF(ISEVEN(B148),(B148-1)&amp;"/"&amp;B148,B148&amp;"/"&amp;(B148+1))</f>
        <v>4037/4038</v>
      </c>
      <c r="L148" s="21" t="str">
        <f>VLOOKUP(A148,'Trips&amp;Operators'!$C$1:$G$99999,5,FALSE)</f>
        <v>SMITH MICHAEL</v>
      </c>
      <c r="M148" s="6">
        <f>I148-F148</f>
        <v>2.5787037033296656E-2</v>
      </c>
      <c r="N148" s="7">
        <f>24*60*SUM($M148:$M148)</f>
        <v>37.133333327947184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-02-12T20:45:05-0700',mode:absolute,to:'2017-02-12T23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8" s="188" t="str">
        <f>IF(AA148&lt;IF(AG148="EC",23,5.65),"Y","N")</f>
        <v>N</v>
      </c>
      <c r="X148" s="188">
        <f>VALUE(LEFT(AD148,4))-VALUE(LEFT(AD147,4))</f>
        <v>1</v>
      </c>
      <c r="Y148" s="62">
        <f>RIGHT(D148,LEN(D148)-4)/10000</f>
        <v>4.4600000000000001E-2</v>
      </c>
      <c r="Z148" s="62">
        <f>RIGHT(H148,LEN(H148)-4)/10000</f>
        <v>23.338100000000001</v>
      </c>
      <c r="AA148" s="62">
        <f>ABS(Z148-Y148)</f>
        <v>23.293500000000002</v>
      </c>
      <c r="AB148" s="59" t="str">
        <f>VLOOKUP(A148,Enforcements!$C$7:$K$14,8,0)</f>
        <v>Signal based authority (5)</v>
      </c>
      <c r="AC148" s="55" t="str">
        <f>VLOOKUP(A148,Enforcements!$C$7:$E$14,3,0)</f>
        <v>SIGNAL</v>
      </c>
      <c r="AD148" s="56" t="str">
        <f>IF(LEN(A148)=6,"0"&amp;A148,A148)</f>
        <v>0233-12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AF148" s="8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/stypes="app*4038*20170213*" /stext=" 05:.+((SYSTEM_STATE.+slice.+state.+changed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6" t="str">
        <f t="shared" si="10"/>
        <v>"%USERPROFILE%\Documents\GitHub\eaglep3\Utilities\RefineRTDCRunTimes.py" --tripid 233-12 --locoid 4038 --swversion DE.1.0.8.0 --startMP 204:446 --initTime 2017-02-12T21:45:05 --startdatetime 2017-02-12T22:00:23 --delay 1 --endMP 204:233381 --enddatetime 2017-02-12T22:37:31 --enforcementcount 0 &gt;&gt;C:\Users\stu\Documents\GitHub\eaglep3-reporting\EC\2017-02-12-refined-times.txt</v>
      </c>
      <c r="AI148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{"issue":{"subject":"","project_id":79,"tracker_id":40,"status_id":1,"priority_id":2,"assigned_to_id":23,"start_date":"2017-02-12","description":"","custom_fields":[{"id":1,"name":"Subdivision","value":"EC"},{"id":4,"name":"Milepost","value":"23.3381"},{"id":17,"name":"Train ID","value":"233-12"},{"id":16,"name":"Locomotive ID","value":"4038"},{"id":130,"name":"Impact","value":""},{"id":150,"name":"Time of Event (Mountain Time)","value":"22:37:31"},{"id":151,"name":"Denver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2"/>
        <v>start /low /b %USERPROFILE%\Documents\GitHub\eaglep3\Utilities\DownloadLogsFromS3.py --loco 4038 --day 2017-02-12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"%USERPROFILE%\AppData\Local\Temp\OnboardLogs"\RTDC4038\*4038*20170213* | grep -SE "(Enforcement Action)|(\[TIMEOUT)|(CHR.+\|PRM\|1\|D.+(SWITCH|SIGNAL).+UNKNOWN)" - &gt;&gt; 2017-02-12-UncaughtWiMAX.txt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715</v>
      </c>
      <c r="B149" s="7">
        <v>4037</v>
      </c>
      <c r="C149" s="21" t="s">
        <v>193</v>
      </c>
      <c r="D149" s="21" t="s">
        <v>862</v>
      </c>
      <c r="E149" s="13">
        <v>42778.944618055553</v>
      </c>
      <c r="F149" s="13">
        <v>42778.955787037034</v>
      </c>
      <c r="G149" s="7">
        <v>1</v>
      </c>
      <c r="H149" s="21" t="s">
        <v>210</v>
      </c>
      <c r="I149" s="13">
        <v>42778.982685185183</v>
      </c>
      <c r="J149" s="7">
        <v>0</v>
      </c>
      <c r="K149" s="98" t="str">
        <f>IF(ISEVEN(B149),(B149-1)&amp;"/"&amp;B149,B149&amp;"/"&amp;(B149+1))</f>
        <v>4037/4038</v>
      </c>
      <c r="L149" s="21" t="str">
        <f>VLOOKUP(A149,'Trips&amp;Operators'!$C$1:$G$99999,5,FALSE)</f>
        <v>SMITH MICHAEL</v>
      </c>
      <c r="M149" s="6">
        <f>I149-F149</f>
        <v>2.6898148149484769E-2</v>
      </c>
      <c r="N149" s="7">
        <f>24*60*SUM($M149:$M149)</f>
        <v>38.733333335258067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-02-12T21:40:15-0700',mode:absolute,to:'2017-02-13T00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9" s="188" t="str">
        <f>IF(AA149&lt;IF(AG149="EC",23,5.65),"Y","N")</f>
        <v>N</v>
      </c>
      <c r="X149" s="188">
        <f>VALUE(LEFT(AD149,4))-VALUE(LEFT(AD148,4))</f>
        <v>1</v>
      </c>
      <c r="Y149" s="62">
        <f>RIGHT(D149,LEN(D149)-4)/10000</f>
        <v>23.306000000000001</v>
      </c>
      <c r="Z149" s="62">
        <f>RIGHT(H149,LEN(H149)-4)/10000</f>
        <v>1.5800000000000002E-2</v>
      </c>
      <c r="AA149" s="62">
        <f>ABS(Z149-Y149)</f>
        <v>23.290200000000002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>IF(LEN(A149)=6,"0"&amp;A149,A149)</f>
        <v>0234-12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AF149" s="8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/stypes="app*4037*20170213*"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6" t="str">
        <f t="shared" si="10"/>
        <v>"%USERPROFILE%\Documents\GitHub\eaglep3\Utilities\RefineRTDCRunTimes.py" --tripid 234-12 --locoid 4037 --swversion DE.1.0.8.0 --startMP 204:233060 --initTime 2017-02-12T22:40:15 --startdatetime 2017-02-12T22:56:20 --delay 1 --endMP 204:158 --enddatetime 2017-02-12T23:35:04 --enforcementcount 0 &gt;&gt;C:\Users\stu\Documents\GitHub\eaglep3-reporting\EC\2017-02-12-refined-times.txt</v>
      </c>
      <c r="AI149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{"issue":{"subject":"","project_id":79,"tracker_id":40,"status_id":1,"priority_id":2,"assigned_to_id":23,"start_date":"2017-02-12","description":"","custom_fields":[{"id":1,"name":"Subdivision","value":"EC"},{"id":4,"name":"Milepost","value":"0.0158"},{"id":17,"name":"Train ID","value":"234-12"},{"id":16,"name":"Locomotive ID","value":"4037"},{"id":130,"name":"Impact","value":""},{"id":150,"name":"Time of Event (Mountain Time)","value":"23:35:04"},{"id":151,"name":"Denver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2"/>
        <v>start /low /b %USERPROFILE%\Documents\GitHub\eaglep3\Utilities\DownloadLogsFromS3.py --loco 4037 --day 2017-02-12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"%USERPROFILE%\AppData\Local\Temp\OnboardLogs"\RTDC4037\*4037*20170213* | grep -SE "(Enforcement Action)|(\[TIMEOUT)|(CHR.+\|PRM\|1\|D.+(SWITCH|SIGNAL).+UNKNOWN)" - &gt;&gt; 2017-02-12-UncaughtWiMAX.txt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711</v>
      </c>
      <c r="B150" s="7">
        <v>4029</v>
      </c>
      <c r="C150" s="21" t="s">
        <v>193</v>
      </c>
      <c r="D150" s="21" t="s">
        <v>239</v>
      </c>
      <c r="E150" s="13">
        <v>42778.923206018517</v>
      </c>
      <c r="F150" s="13">
        <v>42778.93787037037</v>
      </c>
      <c r="G150" s="7">
        <v>1</v>
      </c>
      <c r="H150" s="21" t="s">
        <v>863</v>
      </c>
      <c r="I150" s="13">
        <v>42778.96234953704</v>
      </c>
      <c r="J150" s="7">
        <v>0</v>
      </c>
      <c r="K150" s="98" t="str">
        <f>IF(ISEVEN(B150),(B150-1)&amp;"/"&amp;B150,B150&amp;"/"&amp;(B150+1))</f>
        <v>4029/4030</v>
      </c>
      <c r="L150" s="21" t="str">
        <f>VLOOKUP(A150,'Trips&amp;Operators'!$C$1:$G$99999,5,FALSE)</f>
        <v>STAMBAUGH JAMES</v>
      </c>
      <c r="M150" s="6">
        <f>I150-F150</f>
        <v>2.4479166670062114E-2</v>
      </c>
      <c r="N150" s="7">
        <f>24*60*SUM($M150:$M150)</f>
        <v>35.250000004889444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-02-12T21:09:25-0700',mode:absolute,to:'2017-02-13T00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188" t="str">
        <f>IF(AA150&lt;IF(AG150="EC",23,5.65),"Y","N")</f>
        <v>N</v>
      </c>
      <c r="X150" s="188">
        <f>VALUE(LEFT(AD150,4))-VALUE(LEFT(AD149,4))</f>
        <v>1</v>
      </c>
      <c r="Y150" s="62">
        <f>RIGHT(D150,LEN(D150)-4)/10000</f>
        <v>4.5999999999999999E-2</v>
      </c>
      <c r="Z150" s="62">
        <f>RIGHT(H150,LEN(H150)-4)/10000</f>
        <v>23.338000000000001</v>
      </c>
      <c r="AA150" s="62">
        <f>ABS(Z150-Y150)</f>
        <v>23.292000000000002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>IF(LEN(A150)=6,"0"&amp;A150,A150)</f>
        <v>0235-12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AF150" s="8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/stypes="app*4029*20170213*" /stext=" 06:.+((SYSTEM_STATE.+slice.+state.+changed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6" t="str">
        <f t="shared" si="10"/>
        <v>"%USERPROFILE%\Documents\GitHub\eaglep3\Utilities\RefineRTDCRunTimes.py" --tripid 235-12 --locoid 4029 --swversion DE.1.0.8.0 --startMP 204:460 --initTime 2017-02-12T22:09:25 --startdatetime 2017-02-12T22:30:32 --delay 1 --endMP 204:233380 --enddatetime 2017-02-12T23:05:47 --enforcementcount 0 &gt;&gt;C:\Users\stu\Documents\GitHub\eaglep3-reporting\EC\2017-02-12-refined-times.txt</v>
      </c>
      <c r="AI150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{"issue":{"subject":"","project_id":79,"tracker_id":40,"status_id":1,"priority_id":2,"assigned_to_id":23,"start_date":"2017-02-12","description":"","custom_fields":[{"id":1,"name":"Subdivision","value":"EC"},{"id":4,"name":"Milepost","value":"23.338"},{"id":17,"name":"Train ID","value":"235-12"},{"id":16,"name":"Locomotive ID","value":"4029"},{"id":130,"name":"Impact","value":""},{"id":150,"name":"Time of Event (Mountain Time)","value":"23:05:47"},{"id":151,"name":"Denver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2"/>
        <v>start /low /b %USERPROFILE%\Documents\GitHub\eaglep3\Utilities\DownloadLogsFromS3.py --loco 4029 --day 2017-02-12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2017-02-12-UncaughtWiMAX.txt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718</v>
      </c>
      <c r="B151" s="7">
        <v>4030</v>
      </c>
      <c r="C151" s="21" t="s">
        <v>193</v>
      </c>
      <c r="D151" s="21" t="s">
        <v>864</v>
      </c>
      <c r="E151" s="13">
        <v>42778.975277777776</v>
      </c>
      <c r="F151" s="13">
        <v>42778.976817129631</v>
      </c>
      <c r="G151" s="7">
        <v>1</v>
      </c>
      <c r="H151" s="21" t="s">
        <v>198</v>
      </c>
      <c r="I151" s="13">
        <v>42779.002858796295</v>
      </c>
      <c r="J151" s="7">
        <v>0</v>
      </c>
      <c r="K151" s="98" t="str">
        <f>IF(ISEVEN(B151),(B151-1)&amp;"/"&amp;B151,B151&amp;"/"&amp;(B151+1))</f>
        <v>4029/4030</v>
      </c>
      <c r="L151" s="21" t="str">
        <f>VLOOKUP(A151,'Trips&amp;Operators'!$C$1:$G$99999,5,FALSE)</f>
        <v>STAMBAUGH JAMES</v>
      </c>
      <c r="M151" s="6">
        <f>I151-F151</f>
        <v>2.6041666664241347E-2</v>
      </c>
      <c r="N151" s="7">
        <f>24*60*SUM($M151:$M151)</f>
        <v>37.49999999650754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-02-12T22:24:24-0700',mode:absolute,to:'2017-02-13T01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88" t="str">
        <f>IF(AA151&lt;IF(AG151="EC",23,5.65),"Y","N")</f>
        <v>N</v>
      </c>
      <c r="X151" s="188">
        <f>VALUE(LEFT(AD151,4))-VALUE(LEFT(AD150,4))</f>
        <v>1</v>
      </c>
      <c r="Y151" s="62">
        <f>RIGHT(D151,LEN(D151)-4)/10000</f>
        <v>23.306999999999999</v>
      </c>
      <c r="Z151" s="62">
        <f>RIGHT(H151,LEN(H151)-4)/10000</f>
        <v>1.4500000000000001E-2</v>
      </c>
      <c r="AA151" s="62">
        <f>ABS(Z151-Y151)</f>
        <v>23.292499999999997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>IF(LEN(A151)=6,"0"&amp;A151,A151)</f>
        <v>0236-12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151" s="8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/stypes="app*4030*20170213*" /stext=" 07:.+((SYSTEM_STATE.+slice.+state.+changed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6" t="str">
        <f t="shared" si="10"/>
        <v>"%USERPROFILE%\Documents\GitHub\eaglep3\Utilities\RefineRTDCRunTimes.py" --tripid 236-12 --locoid 4030 --swversion DE.1.0.8.0 --startMP 204:233070 --initTime 2017-02-12T23:24:24 --startdatetime 2017-02-12T23:26:37 --delay 1 --endMP 204:145 --enddatetime 2017-02-13T00:04:07 --enforcementcount 0 &gt;&gt;C:\Users\stu\Documents\GitHub\eaglep3-reporting\EC\2017-02-12-refined-times.txt</v>
      </c>
      <c r="AI151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{"issue":{"subject":"","project_id":79,"tracker_id":40,"status_id":1,"priority_id":2,"assigned_to_id":23,"start_date":"2017-02-13","description":"","custom_fields":[{"id":1,"name":"Subdivision","value":"EC"},{"id":4,"name":"Milepost","value":"0.0145"},{"id":17,"name":"Train ID","value":"236-12"},{"id":16,"name":"Locomotive ID","value":"4030"},{"id":130,"name":"Impact","value":""},{"id":150,"name":"Time of Event (Mountain Time)","value":"00:04:07"},{"id":151,"name":"Denver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2"/>
        <v>start /low /b %USERPROFILE%\Documents\GitHub\eaglep3\Utilities\DownloadLogsFromS3.py --loco 4030 --day 2017-02-12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2017-02-12-UncaughtWiMAX.txt</v>
      </c>
    </row>
    <row r="152" spans="1:91" s="20" customFormat="1" x14ac:dyDescent="0.25">
      <c r="A152" s="33" t="s">
        <v>716</v>
      </c>
      <c r="B152" s="7">
        <v>4009</v>
      </c>
      <c r="C152" s="21" t="s">
        <v>193</v>
      </c>
      <c r="D152" s="21" t="s">
        <v>742</v>
      </c>
      <c r="E152" s="13">
        <v>42778.956226851849</v>
      </c>
      <c r="F152" s="13">
        <v>42778.958564814813</v>
      </c>
      <c r="G152" s="7">
        <v>1</v>
      </c>
      <c r="H152" s="21" t="s">
        <v>301</v>
      </c>
      <c r="I152" s="13">
        <v>42778.983425925922</v>
      </c>
      <c r="J152" s="7">
        <v>0</v>
      </c>
      <c r="K152" s="98" t="str">
        <f>IF(ISEVEN(B152),(B152-1)&amp;"/"&amp;B152,B152&amp;"/"&amp;(B152+1))</f>
        <v>4009/4010</v>
      </c>
      <c r="L152" s="21" t="str">
        <f>VLOOKUP(A152,'Trips&amp;Operators'!$C$1:$G$99999,5,FALSE)</f>
        <v>CHANDLER KELVIN</v>
      </c>
      <c r="M152" s="6">
        <f>I152-F152</f>
        <v>2.4861111109203193E-2</v>
      </c>
      <c r="N152" s="7">
        <f>24*60*SUM($M152:$M152)</f>
        <v>35.799999997252598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NorthBound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-02-12T21:56:58-0700',mode:absolute,to:'2017-02-13T00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88" t="str">
        <f>IF(AA152&lt;IF(AG152="EC",23,5.65),"Y","N")</f>
        <v>N</v>
      </c>
      <c r="X152" s="188">
        <f>VALUE(LEFT(AD152,4))-VALUE(LEFT(AD151,4))</f>
        <v>1</v>
      </c>
      <c r="Y152" s="62">
        <f>RIGHT(D152,LEN(D152)-4)/10000</f>
        <v>4.7699999999999999E-2</v>
      </c>
      <c r="Z152" s="62">
        <f>RIGHT(H152,LEN(H152)-4)/10000</f>
        <v>23.3291</v>
      </c>
      <c r="AA152" s="62">
        <f>ABS(Z152-Y152)</f>
        <v>23.281400000000001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>IF(LEN(A152)=6,"0"&amp;A152,A152)</f>
        <v>0237-12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AF152" s="8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/stypes="app*4009*20170213*" /stext=" 06:.+((SYSTEM_STATE.+slice.+state.+changed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6" t="str">
        <f t="shared" si="10"/>
        <v>"%USERPROFILE%\Documents\GitHub\eaglep3\Utilities\RefineRTDCRunTimes.py" --tripid 237-12 --locoid 4009 --swversion DE.1.0.8.0 --startMP 204:477 --initTime 2017-02-12T22:56:58 --startdatetime 2017-02-12T23:00:20 --delay 1 --endMP 204:233291 --enddatetime 2017-02-12T23:36:08 --enforcementcount 0 &gt;&gt;C:\Users\stu\Documents\GitHub\eaglep3-reporting\EC\2017-02-12-refined-times.txt</v>
      </c>
      <c r="AI152" s="108" t="str">
        <f t="shared" si="11"/>
        <v>echo {"issue":{"subject":"","project_id":79,"tracker_id":40,"status_id":1,"priority_id":2,"assigned_to_id":23,"start_date":"2017-02-12","description":"","custom_fields":[{"id":1,"name":"Subdivision","value":"EC"},{"id":4,"name":"Milepost","value":"23.3291"},{"id":17,"name":"Train ID","value":"237-12"},{"id":16,"name":"Locomotive ID","value":"4009"},{"id":130,"name":"Impact","value":""},{"id":150,"name":"Time of Event (Mountain Time)","value":"23:36:08"},{"id":151,"name":"Denver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2"/>
        <v>start /low /b %USERPROFILE%\Documents\GitHub\eaglep3\Utilities\DownloadLogsFromS3.py --loco 4009 --day 2017-02-12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720</v>
      </c>
      <c r="B153" s="7">
        <v>4010</v>
      </c>
      <c r="C153" s="21" t="s">
        <v>193</v>
      </c>
      <c r="D153" s="21" t="s">
        <v>865</v>
      </c>
      <c r="E153" s="13">
        <v>42778.99559027778</v>
      </c>
      <c r="F153" s="13">
        <v>42778.997743055559</v>
      </c>
      <c r="G153" s="7">
        <v>1</v>
      </c>
      <c r="H153" s="21" t="s">
        <v>221</v>
      </c>
      <c r="I153" s="13">
        <v>42779.025439814817</v>
      </c>
      <c r="J153" s="7">
        <v>0</v>
      </c>
      <c r="K153" s="98" t="str">
        <f>IF(ISEVEN(B153),(B153-1)&amp;"/"&amp;B153,B153&amp;"/"&amp;(B153+1))</f>
        <v>4009/4010</v>
      </c>
      <c r="L153" s="21" t="str">
        <f>VLOOKUP(A153,'Trips&amp;Operators'!$C$1:$G$99999,5,FALSE)</f>
        <v>CHANDLER KELVIN</v>
      </c>
      <c r="M153" s="6">
        <f>I153-F153</f>
        <v>2.7696759258105885E-2</v>
      </c>
      <c r="N153" s="7">
        <f>24*60*SUM($M153:$M153)</f>
        <v>39.883333331672475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-02-12T22:53:39-0700',mode:absolute,to:'2017-02-13T01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88" t="str">
        <f>IF(AA153&lt;IF(AG153="EC",23,5.65),"Y","N")</f>
        <v>N</v>
      </c>
      <c r="X153" s="188">
        <f>VALUE(LEFT(AD153,4))-VALUE(LEFT(AD152,4))</f>
        <v>1</v>
      </c>
      <c r="Y153" s="62">
        <f>RIGHT(D153,LEN(D153)-4)/10000</f>
        <v>23.2974</v>
      </c>
      <c r="Z153" s="62">
        <f>RIGHT(H153,LEN(H153)-4)/10000</f>
        <v>1.54E-2</v>
      </c>
      <c r="AA153" s="62">
        <f>ABS(Z153-Y153)</f>
        <v>23.282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>IF(LEN(A153)=6,"0"&amp;A153,A153)</f>
        <v>0238-12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AF153" s="8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/stypes="app*4010*20170213*"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6" t="str">
        <f t="shared" si="10"/>
        <v>"%USERPROFILE%\Documents\GitHub\eaglep3\Utilities\RefineRTDCRunTimes.py" --tripid 238-12 --locoid 4010 --swversion DE.1.0.8.0 --startMP 204:232974 --initTime 2017-02-12T23:53:39 --startdatetime 2017-02-12T23:56:45 --delay 1 --endMP 204:154 --enddatetime 2017-02-13T00:36:38 --enforcementcount 0 &gt;&gt;C:\Users\stu\Documents\GitHub\eaglep3-reporting\EC\2017-02-12-refined-times.txt</v>
      </c>
      <c r="AI153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{"issue":{"subject":"","project_id":79,"tracker_id":40,"status_id":1,"priority_id":2,"assigned_to_id":23,"start_date":"2017-02-13","description":"","custom_fields":[{"id":1,"name":"Subdivision","value":"EC"},{"id":4,"name":"Milepost","value":"0.0154"},{"id":17,"name":"Train ID","value":"238-12"},{"id":16,"name":"Locomotive ID","value":"4010"},{"id":130,"name":"Impact","value":""},{"id":150,"name":"Time of Event (Mountain Time)","value":"00:36:38"},{"id":151,"name":"Denver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2"/>
        <v>start /low /b %USERPROFILE%\Documents\GitHub\eaglep3\Utilities\DownloadLogsFromS3.py --loco 4010 --day 2017-02-12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"%USERPROFILE%\AppData\Local\Temp\OnboardLogs"\RTDC4010\*4010*20170213* | grep -SE "(Enforcement Action)|(\[TIMEOUT)|(CHR.+\|PRM\|1\|D.+(SWITCH|SIGNAL).+UNKNOWN)" - &gt;&gt; 2017-02-12-UncaughtWiMAX.txt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717</v>
      </c>
      <c r="B154" s="7">
        <v>4007</v>
      </c>
      <c r="C154" s="21" t="s">
        <v>193</v>
      </c>
      <c r="D154" s="21" t="s">
        <v>866</v>
      </c>
      <c r="E154" s="13">
        <v>42778.970555555556</v>
      </c>
      <c r="F154" s="13">
        <v>42778.979409722226</v>
      </c>
      <c r="G154" s="7">
        <v>1</v>
      </c>
      <c r="H154" s="21" t="s">
        <v>507</v>
      </c>
      <c r="I154" s="13">
        <v>42779.004884259259</v>
      </c>
      <c r="J154" s="7">
        <v>0</v>
      </c>
      <c r="K154" s="98" t="str">
        <f>IF(ISEVEN(B154),(B154-1)&amp;"/"&amp;B154,B154&amp;"/"&amp;(B154+1))</f>
        <v>4007/4008</v>
      </c>
      <c r="L154" s="21" t="str">
        <f>VLOOKUP(A154,'Trips&amp;Operators'!$C$1:$G$99999,5,FALSE)</f>
        <v>SAFIEF AEIMEN</v>
      </c>
      <c r="M154" s="6">
        <f>I154-F154</f>
        <v>2.5474537033005618E-2</v>
      </c>
      <c r="N154" s="7">
        <f>24*60*SUM($M154:$M154)</f>
        <v>36.683333327528089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NorthBound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-02-12T22:17:36-0700',mode:absolute,to:'2017-02-13T01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4" s="188" t="str">
        <f>IF(AA154&lt;IF(AG154="EC",23,5.65),"Y","N")</f>
        <v>N</v>
      </c>
      <c r="X154" s="188">
        <f>VALUE(LEFT(AD154,4))-VALUE(LEFT(AD153,4))</f>
        <v>1</v>
      </c>
      <c r="Y154" s="62">
        <f>RIGHT(D154,LEN(D154)-4)/10000</f>
        <v>4.3099999999999999E-2</v>
      </c>
      <c r="Z154" s="62">
        <f>RIGHT(H154,LEN(H154)-4)/10000</f>
        <v>23.333200000000001</v>
      </c>
      <c r="AA154" s="62">
        <f>ABS(Z154-Y154)</f>
        <v>23.290100000000002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>IF(LEN(A154)=6,"0"&amp;A154,A154)</f>
        <v>0239-12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s3://rtdc.mdm.uploadarchive.raw/RTDC4007/ "%USERPROFILE%\AppData\Local\Temp\OnboardLogs"\RTDC4007\2017-02-12 --exclude "*" --recursive --include "*20170212*" &amp; "%USERPROFILE%\Documents\GitHub\mrs-test-scripts\Headless Mode &amp; Sideloading\WalkAndUnGZ.bat" "%USERPROFILE%\AppData\Local\Temp\OnboardLogs"\RTDC4007\2017-02-12 &amp; 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</v>
      </c>
      <c r="AF154" s="8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/stypes="app*4007*20170213*" /stext=" 07:.+((SYSTEM_STATE.+slice.+state.+changed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6" t="str">
        <f t="shared" si="10"/>
        <v>"%USERPROFILE%\Documents\GitHub\eaglep3\Utilities\RefineRTDCRunTimes.py" --tripid 239-12 --locoid 4007 --swversion DE.1.0.8.0 --startMP 204:431 --initTime 2017-02-12T23:17:36 --startdatetime 2017-02-12T23:30:21 --delay 1 --endMP 204:233332 --enddatetime 2017-02-13T00:07:02 --enforcementcount 0 &gt;&gt;C:\Users\stu\Documents\GitHub\eaglep3-reporting\EC\2017-02-12-refined-times.txt</v>
      </c>
      <c r="AI154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{"issue":{"subject":"","project_id":79,"tracker_id":40,"status_id":1,"priority_id":2,"assigned_to_id":23,"start_date":"2017-02-13","description":"","custom_fields":[{"id":1,"name":"Subdivision","value":"EC"},{"id":4,"name":"Milepost","value":"23.3332"},{"id":17,"name":"Train ID","value":"239-12"},{"id":16,"name":"Locomotive ID","value":"4007"},{"id":130,"name":"Impact","value":""},{"id":150,"name":"Time of Event (Mountain Time)","value":"00:07:02"},{"id":151,"name":"Denver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2"/>
        <v>start /low /b %USERPROFILE%\Documents\GitHub\eaglep3\Utilities\DownloadLogsFromS3.py --loco 4007 --day 2017-02-12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"%USERPROFILE%\AppData\Local\Temp\OnboardLogs"\RTDC4007\*4007*20170213* | grep -SE "(Enforcement Action)|(\[TIMEOUT)|(CHR.+\|PRM\|1\|D.+(SWITCH|SIGNAL).+UNKNOWN)" - &gt;&gt; 2017-02-12-UncaughtWiMAX.txt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722</v>
      </c>
      <c r="B155" s="7">
        <v>4008</v>
      </c>
      <c r="C155" s="21" t="s">
        <v>193</v>
      </c>
      <c r="D155" s="21" t="s">
        <v>751</v>
      </c>
      <c r="E155" s="13">
        <v>42779.007175925923</v>
      </c>
      <c r="F155" s="13">
        <v>42779.018263888887</v>
      </c>
      <c r="G155" s="7">
        <v>1</v>
      </c>
      <c r="H155" s="21" t="s">
        <v>508</v>
      </c>
      <c r="I155" s="13">
        <v>42779.044953703706</v>
      </c>
      <c r="J155" s="7">
        <v>0</v>
      </c>
      <c r="K155" s="98" t="str">
        <f>IF(ISEVEN(B155),(B155-1)&amp;"/"&amp;B155,B155&amp;"/"&amp;(B155+1))</f>
        <v>4007/4008</v>
      </c>
      <c r="L155" s="21" t="str">
        <f>VLOOKUP(A155,'Trips&amp;Operators'!$C$1:$G$99999,5,FALSE)</f>
        <v>SAFIEF AEIMEN</v>
      </c>
      <c r="M155" s="6">
        <f>I155-F155</f>
        <v>2.6689814818382729E-2</v>
      </c>
      <c r="N155" s="7">
        <f>24*60*SUM($M155:$M155)</f>
        <v>38.43333333847113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Southbound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-02-12T23:10:20-0700',mode:absolute,to:'2017-02-13T02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188" t="str">
        <f>IF(AA155&lt;IF(AG155="EC",23,5.65),"Y","N")</f>
        <v>N</v>
      </c>
      <c r="X155" s="188">
        <f>VALUE(LEFT(AD155,4))-VALUE(LEFT(AD154,4))</f>
        <v>1</v>
      </c>
      <c r="Y155" s="62">
        <f>RIGHT(D155,LEN(D155)-4)/10000</f>
        <v>23.300599999999999</v>
      </c>
      <c r="Z155" s="62">
        <f>RIGHT(H155,LEN(H155)-4)/10000</f>
        <v>1.2200000000000001E-2</v>
      </c>
      <c r="AA155" s="62">
        <f>ABS(Z155-Y155)</f>
        <v>23.288399999999999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>IF(LEN(A155)=6,"0"&amp;A155,A155)</f>
        <v>0240-12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 &amp; aws s3 cp s3://rtdc.mdm.uploadarchive.raw/RTDC4008/ "%USERPROFILE%\AppData\Local\Temp\OnboardLogs"\RTDC4008\2017-02-14 --exclude "*" --recursive --include "*20170214*" &amp; "%USERPROFILE%\Documents\GitHub\mrs-test-scripts\Headless Mode &amp; Sideloading\WalkAndUnGZ.bat" "%USERPROFILE%\AppData\Local\Temp\OnboardLogs"\RTDC4008\2017-02-14</v>
      </c>
      <c r="AF155" s="8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/stypes="app*4008*20170213*" /stext=" 08:.+((SYSTEM_STATE.+slice.+state.+changed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6" t="str">
        <f t="shared" si="10"/>
        <v>"%USERPROFILE%\Documents\GitHub\eaglep3\Utilities\RefineRTDCRunTimes.py" --tripid 240-12 --locoid 4008 --swversion DE.1.0.8.0 --startMP 204:233006 --initTime 2017-02-13T00:10:20 --startdatetime 2017-02-13T00:26:18 --delay 1 --endMP 204:122 --enddatetime 2017-02-13T01:04:44 --enforcementcount 0 &gt;&gt;C:\Users\stu\Documents\GitHub\eaglep3-reporting\EC\2017-02-12-refined-times.txt</v>
      </c>
      <c r="AI155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{"issue":{"subject":"","project_id":79,"tracker_id":40,"status_id":1,"priority_id":2,"assigned_to_id":23,"start_date":"2017-02-13","description":"","custom_fields":[{"id":1,"name":"Subdivision","value":"EC"},{"id":4,"name":"Milepost","value":"0.0122"},{"id":17,"name":"Train ID","value":"240-12"},{"id":16,"name":"Locomotive ID","value":"4008"},{"id":130,"name":"Impact","value":""},{"id":150,"name":"Time of Event (Mountain Time)","value":"01:04:44"},{"id":151,"name":"Denver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2"/>
        <v>start /low /b %USERPROFILE%\Documents\GitHub\eaglep3\Utilities\DownloadLogsFromS3.py --loco 4008 --day 2017-02-13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"%USERPROFILE%\AppData\Local\Temp\OnboardLogs"\RTDC4008\*4008*20170213* | grep -SE "(Enforcement Action)|(\[TIMEOUT)|(CHR.+\|PRM\|1\|D.+(SWITCH|SIGNAL).+UNKNOWN)" - &gt;&gt; 2017-02-12-UncaughtWiMAX.txt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719</v>
      </c>
      <c r="B156" s="7">
        <v>4038</v>
      </c>
      <c r="C156" s="21" t="s">
        <v>193</v>
      </c>
      <c r="D156" s="21" t="s">
        <v>503</v>
      </c>
      <c r="E156" s="13">
        <v>42778.990370370368</v>
      </c>
      <c r="F156" s="13">
        <v>42779.0002662037</v>
      </c>
      <c r="G156" s="7">
        <v>1</v>
      </c>
      <c r="H156" s="21" t="s">
        <v>867</v>
      </c>
      <c r="I156" s="13">
        <v>42779.025219907409</v>
      </c>
      <c r="J156" s="7">
        <v>0</v>
      </c>
      <c r="K156" s="98" t="str">
        <f>IF(ISEVEN(B156),(B156-1)&amp;"/"&amp;B156,B156&amp;"/"&amp;(B156+1))</f>
        <v>4037/4038</v>
      </c>
      <c r="L156" s="21" t="str">
        <f>VLOOKUP(A156,'Trips&amp;Operators'!$C$1:$G$99999,5,FALSE)</f>
        <v>SMITH MICHAEL</v>
      </c>
      <c r="M156" s="6">
        <f>I156-F156</f>
        <v>2.4953703708888497E-2</v>
      </c>
      <c r="N156" s="7">
        <f>24*60*SUM($M156:$M156)</f>
        <v>35.933333340799436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-02-12T22:46:08-0700',mode:absolute,to:'2017-02-13T01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6" s="188" t="str">
        <f>IF(AA156&lt;IF(AG156="EC",23,5.65),"Y","N")</f>
        <v>N</v>
      </c>
      <c r="X156" s="188">
        <f>VALUE(LEFT(AD156,4))-VALUE(LEFT(AD155,4))</f>
        <v>1</v>
      </c>
      <c r="Y156" s="62">
        <f>RIGHT(D156,LEN(D156)-4)/10000</f>
        <v>4.8899999999999999E-2</v>
      </c>
      <c r="Z156" s="62">
        <f>RIGHT(H156,LEN(H156)-4)/10000</f>
        <v>23.337800000000001</v>
      </c>
      <c r="AA156" s="62">
        <f>ABS(Z156-Y156)</f>
        <v>23.288900000000002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>IF(LEN(A156)=6,"0"&amp;A156,A156)</f>
        <v>0241-12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 &amp; aws s3 cp s3://rtdc.mdm.uploadarchive.raw/RTDC4038/ "%USERPROFILE%\AppData\Local\Temp\OnboardLogs"\RTDC4038\2017-02-14 --exclude "*" --recursive --include "*20170214*" &amp; "%USERPROFILE%\Documents\GitHub\mrs-test-scripts\Headless Mode &amp; Sideloading\WalkAndUnGZ.bat" "%USERPROFILE%\AppData\Local\Temp\OnboardLogs"\RTDC4038\2017-02-14</v>
      </c>
      <c r="AF156" s="8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/stypes="app*4038*20170213*" /stext=" 07:.+((SYSTEM_STATE.+slice.+state.+changed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6" t="str">
        <f t="shared" si="10"/>
        <v>"%USERPROFILE%\Documents\GitHub\eaglep3\Utilities\RefineRTDCRunTimes.py" --tripid 241-12 --locoid 4038 --swversion DE.1.0.8.0 --startMP 204:489 --initTime 2017-02-12T23:46:08 --startdatetime 2017-02-13T00:00:23 --delay 1 --endMP 204:233378 --enddatetime 2017-02-13T00:36:19 --enforcementcount 0 &gt;&gt;C:\Users\stu\Documents\GitHub\eaglep3-reporting\EC\2017-02-12-refined-times.txt</v>
      </c>
      <c r="AI156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{"issue":{"subject":"","project_id":79,"tracker_id":40,"status_id":1,"priority_id":2,"assigned_to_id":23,"start_date":"2017-02-13","description":"","custom_fields":[{"id":1,"name":"Subdivision","value":"EC"},{"id":4,"name":"Milepost","value":"23.3378"},{"id":17,"name":"Train ID","value":"241-12"},{"id":16,"name":"Locomotive ID","value":"4038"},{"id":130,"name":"Impact","value":""},{"id":150,"name":"Time of Event (Mountain Time)","value":"00:36:19"},{"id":151,"name":"Denver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2"/>
        <v>start /low /b %USERPROFILE%\Documents\GitHub\eaglep3\Utilities\DownloadLogsFromS3.py --loco 4038 --day 2017-02-13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"%USERPROFILE%\AppData\Local\Temp\OnboardLogs"\RTDC4038\*4038*20170213* | grep -SE "(Enforcement Action)|(\[TIMEOUT)|(CHR.+\|PRM\|1\|D.+(SWITCH|SIGNAL).+UNKNOWN)" - &gt;&gt; 2017-02-12-UncaughtWiMAX.txt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723</v>
      </c>
      <c r="B157" s="7">
        <v>4037</v>
      </c>
      <c r="C157" s="21" t="s">
        <v>193</v>
      </c>
      <c r="D157" s="21" t="s">
        <v>868</v>
      </c>
      <c r="E157" s="13">
        <v>42779.027025462965</v>
      </c>
      <c r="F157" s="13">
        <v>42779.039074074077</v>
      </c>
      <c r="G157" s="7">
        <v>1</v>
      </c>
      <c r="H157" s="21" t="s">
        <v>869</v>
      </c>
      <c r="I157" s="13">
        <v>42779.067326388889</v>
      </c>
      <c r="J157" s="7">
        <v>0</v>
      </c>
      <c r="K157" s="98" t="str">
        <f>IF(ISEVEN(B157),(B157-1)&amp;"/"&amp;B157,B157&amp;"/"&amp;(B157+1))</f>
        <v>4037/4038</v>
      </c>
      <c r="L157" s="21" t="str">
        <f>VLOOKUP(A157,'Trips&amp;Operators'!$C$1:$G$99999,5,FALSE)</f>
        <v>SMITH MICHAEL</v>
      </c>
      <c r="M157" s="6">
        <f>I157-F157</f>
        <v>2.8252314812561963E-2</v>
      </c>
      <c r="N157" s="7">
        <f>24*60*SUM($M157:$M157)</f>
        <v>40.683333330089226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-02-12T23:38:55-0700',mode:absolute,to:'2017-02-13T02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7" s="188" t="str">
        <f>IF(AA157&lt;IF(AG157="EC",23,5.65),"Y","N")</f>
        <v>N</v>
      </c>
      <c r="X157" s="188">
        <f>VALUE(LEFT(AD157,4))-VALUE(LEFT(AD156,4))</f>
        <v>1</v>
      </c>
      <c r="Y157" s="62">
        <f>RIGHT(D157,LEN(D157)-4)/10000</f>
        <v>23.3066</v>
      </c>
      <c r="Z157" s="62">
        <f>RIGHT(H157,LEN(H157)-4)/10000</f>
        <v>1.44E-2</v>
      </c>
      <c r="AA157" s="62">
        <f>ABS(Z157-Y157)</f>
        <v>23.292200000000001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>IF(LEN(A157)=6,"0"&amp;A157,A157)</f>
        <v>0242-12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 &amp; aws s3 cp s3://rtdc.mdm.uploadarchive.raw/RTDC4037/ "%USERPROFILE%\AppData\Local\Temp\OnboardLogs"\RTDC4037\2017-02-14 --exclude "*" --recursive --include "*20170214*" &amp; "%USERPROFILE%\Documents\GitHub\mrs-test-scripts\Headless Mode &amp; Sideloading\WalkAndUnGZ.bat" "%USERPROFILE%\AppData\Local\Temp\OnboardLogs"\RTDC4037\2017-02-14</v>
      </c>
      <c r="AF157" s="8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/stypes="app*4037*20170213*"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86" t="str">
        <f t="shared" si="10"/>
        <v>"%USERPROFILE%\Documents\GitHub\eaglep3\Utilities\RefineRTDCRunTimes.py" --tripid 242-12 --locoid 4037 --swversion DE.1.0.8.0 --startMP 204:233066 --initTime 2017-02-13T00:38:55 --startdatetime 2017-02-13T00:56:16 --delay 1 --endMP 204:144 --enddatetime 2017-02-13T01:36:57 --enforcementcount 0 &gt;&gt;C:\Users\stu\Documents\GitHub\eaglep3-reporting\EC\2017-02-12-refined-times.txt</v>
      </c>
      <c r="AI157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{"issue":{"subject":"","project_id":79,"tracker_id":40,"status_id":1,"priority_id":2,"assigned_to_id":23,"start_date":"2017-02-13","description":"","custom_fields":[{"id":1,"name":"Subdivision","value":"EC"},{"id":4,"name":"Milepost","value":"0.0144"},{"id":17,"name":"Train ID","value":"242-12"},{"id":16,"name":"Locomotive ID","value":"4037"},{"id":130,"name":"Impact","value":""},{"id":150,"name":"Time of Event (Mountain Time)","value":"01:36:57"},{"id":151,"name":"Denver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2"/>
        <v>start /low /b %USERPROFILE%\Documents\GitHub\eaglep3\Utilities\DownloadLogsFromS3.py --loco 4037 --day 2017-02-13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"%USERPROFILE%\AppData\Local\Temp\OnboardLogs"\RTDC4037\*4037*20170213* | grep -SE "(Enforcement Action)|(\[TIMEOUT)|(CHR.+\|PRM\|1\|D.+(SWITCH|SIGNAL).+UNKNOWN)" - &gt;&gt; 2017-02-12-UncaughtWiMAX.txt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721</v>
      </c>
      <c r="B158" s="7">
        <v>4029</v>
      </c>
      <c r="C158" s="21" t="s">
        <v>193</v>
      </c>
      <c r="D158" s="21" t="s">
        <v>280</v>
      </c>
      <c r="E158" s="13">
        <v>42779.006932870368</v>
      </c>
      <c r="F158" s="13">
        <v>42779.021087962959</v>
      </c>
      <c r="G158" s="7">
        <v>2</v>
      </c>
      <c r="H158" s="21" t="s">
        <v>344</v>
      </c>
      <c r="I158" s="13">
        <v>42779.046064814815</v>
      </c>
      <c r="J158" s="7">
        <v>0</v>
      </c>
      <c r="K158" s="98" t="str">
        <f>IF(ISEVEN(B158),(B158-1)&amp;"/"&amp;B158,B158&amp;"/"&amp;(B158+1))</f>
        <v>4029/4030</v>
      </c>
      <c r="L158" s="21" t="str">
        <f>VLOOKUP(A158,'Trips&amp;Operators'!$C$1:$G$99999,5,FALSE)</f>
        <v>STAMBAUGH JAMES</v>
      </c>
      <c r="M158" s="6">
        <f>I158-F158</f>
        <v>2.4976851855171844E-2</v>
      </c>
      <c r="N158" s="7">
        <f>24*60*SUM($M158:$M158)</f>
        <v>35.966666671447456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-02-12T23:09:59-0700',mode:absolute,to:'2017-02-13T02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88" t="str">
        <f>IF(AA158&lt;IF(AG158="EC",23,5.65),"Y","N")</f>
        <v>N</v>
      </c>
      <c r="X158" s="188">
        <f>VALUE(LEFT(AD158,4))-VALUE(LEFT(AD157,4))</f>
        <v>1</v>
      </c>
      <c r="Y158" s="62">
        <f>RIGHT(D158,LEN(D158)-4)/10000</f>
        <v>4.5499999999999999E-2</v>
      </c>
      <c r="Z158" s="62">
        <f>RIGHT(H158,LEN(H158)-4)/10000</f>
        <v>23.328700000000001</v>
      </c>
      <c r="AA158" s="62">
        <f>ABS(Z158-Y158)</f>
        <v>23.283200000000001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>IF(LEN(A158)=6,"0"&amp;A158,A158)</f>
        <v>0243-12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158" s="8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/stypes="app*4029*20170213*" /stext=" 08:.+((SYSTEM_STATE.+slice.+state.+changed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86" t="str">
        <f t="shared" si="10"/>
        <v>"%USERPROFILE%\Documents\GitHub\eaglep3\Utilities\RefineRTDCRunTimes.py" --tripid 243-12 --locoid 4029 --swversion DE.1.0.8.0 --startMP 204:455 --initTime 2017-02-13T00:09:59 --startdatetime 2017-02-13T00:30:22 --delay 2 --endMP 204:233287 --enddatetime 2017-02-13T01:06:20 --enforcementcount 0 &gt;&gt;C:\Users\stu\Documents\GitHub\eaglep3-reporting\EC\2017-02-12-refined-times.txt</v>
      </c>
      <c r="AI158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{"issue":{"subject":"","project_id":79,"tracker_id":40,"status_id":1,"priority_id":2,"assigned_to_id":23,"start_date":"2017-02-13","description":"","custom_fields":[{"id":1,"name":"Subdivision","value":"EC"},{"id":4,"name":"Milepost","value":"23.3287"},{"id":17,"name":"Train ID","value":"243-12"},{"id":16,"name":"Locomotive ID","value":"4029"},{"id":130,"name":"Impact","value":""},{"id":150,"name":"Time of Event (Mountain Time)","value":"01:06:20"},{"id":151,"name":"Denver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2"/>
        <v>start /low /b %USERPROFILE%\Documents\GitHub\eaglep3\Utilities\DownloadLogsFromS3.py --loco 4029 --day 2017-02-13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726</v>
      </c>
      <c r="B159" s="7">
        <v>4030</v>
      </c>
      <c r="C159" s="21" t="s">
        <v>193</v>
      </c>
      <c r="D159" s="21" t="s">
        <v>300</v>
      </c>
      <c r="E159" s="13">
        <v>42779.058842592596</v>
      </c>
      <c r="F159" s="13">
        <v>42779.060289351852</v>
      </c>
      <c r="G159" s="7">
        <v>0</v>
      </c>
      <c r="H159" s="21" t="s">
        <v>504</v>
      </c>
      <c r="I159" s="13">
        <v>42779.087569444448</v>
      </c>
      <c r="J159" s="7">
        <v>0</v>
      </c>
      <c r="K159" s="98" t="str">
        <f>IF(ISEVEN(B159),(B159-1)&amp;"/"&amp;B159,B159&amp;"/"&amp;(B159+1))</f>
        <v>4029/4030</v>
      </c>
      <c r="L159" s="21" t="str">
        <f>VLOOKUP(A159,'Trips&amp;Operators'!$C$1:$G$99999,5,FALSE)</f>
        <v>STAMBAUGH JAMES</v>
      </c>
      <c r="M159" s="6">
        <f>I159-F159</f>
        <v>2.7280092595901806E-2</v>
      </c>
      <c r="N159" s="7">
        <f>24*60*SUM($M159:$M159)</f>
        <v>39.283333338098601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7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-02-13T00:24:44-0700',mode:absolute,to:'2017-02-13T03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188" t="str">
        <f>IF(AA159&lt;IF(AG159="EC",23,5.65),"Y","N")</f>
        <v>N</v>
      </c>
      <c r="X159" s="188">
        <f>VALUE(LEFT(AD159,4))-VALUE(LEFT(AD158,4))</f>
        <v>1</v>
      </c>
      <c r="Y159" s="62">
        <f>RIGHT(D159,LEN(D159)-4)/10000</f>
        <v>23.299299999999999</v>
      </c>
      <c r="Z159" s="62">
        <f>RIGHT(H159,LEN(H159)-4)/10000</f>
        <v>1.47E-2</v>
      </c>
      <c r="AA159" s="62">
        <f>ABS(Z159-Y159)</f>
        <v>23.284599999999998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>IF(LEN(A159)=6,"0"&amp;A159,A159)</f>
        <v>0244-12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 &amp; aws s3 cp s3://rtdc.mdm.uploadarchive.raw/RTDC4030/ "%USERPROFILE%\AppData\Local\Temp\OnboardLogs"\RTDC4030\2017-02-14 --exclude "*" --recursive --include "*20170214*" &amp; "%USERPROFILE%\Documents\GitHub\mrs-test-scripts\Headless Mode &amp; Sideloading\WalkAndUnGZ.bat" "%USERPROFILE%\AppData\Local\Temp\OnboardLogs"\RTDC4030\2017-02-14</v>
      </c>
      <c r="AF159" s="8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/stypes="app*4030*20170213*" /stext=" 09:.+((SYSTEM_STATE.+slice.+state.+changed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86" t="str">
        <f t="shared" si="10"/>
        <v>"%USERPROFILE%\Documents\GitHub\eaglep3\Utilities\RefineRTDCRunTimes.py" --tripid 244-12 --locoid 4030 --swversion DE.1.0.8.0 --startMP 204:232993 --initTime 2017-02-13T01:24:44 --startdatetime 2017-02-13T01:26:49 --delay 0 --endMP 204:147 --enddatetime 2017-02-13T02:06:06 --enforcementcount 0 &gt;&gt;C:\Users\stu\Documents\GitHub\eaglep3-reporting\EC\2017-02-12-refined-times.txt</v>
      </c>
      <c r="AI159" s="108" t="str">
        <f t="shared" si="11"/>
        <v>echo {"issue":{"subject":"","project_id":79,"tracker_id":40,"status_id":1,"priority_id":2,"assigned_to_id":23,"start_date":"2017-02-13","description":"","custom_fields":[{"id":1,"name":"Subdivision","value":"EC"},{"id":4,"name":"Milepost","value":"0.0147"},{"id":17,"name":"Train ID","value":"244-12"},{"id":16,"name":"Locomotive ID","value":"4030"},{"id":130,"name":"Impact","value":""},{"id":150,"name":"Time of Event (Mountain Time)","value":"02:06:06"},{"id":151,"name":"Denver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2"/>
        <v>start /low /b %USERPROFILE%\Documents\GitHub\eaglep3\Utilities\DownloadLogsFromS3.py --loco 4030 --day 2017-02-13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"%USERPROFILE%\AppData\Local\Temp\OnboardLogs"\RTDC4030\*4030*20170213* | grep -SE "(Enforcement Action)|(\[TIMEOUT)|(CHR.+\|PRM\|1\|D.+(SWITCH|SIGNAL).+UNKNOWN)" - &gt;&gt; 2017-02-12-UncaughtWiMAX.txt</v>
      </c>
    </row>
    <row r="160" spans="1:91" x14ac:dyDescent="0.25">
      <c r="A160" s="33" t="s">
        <v>559</v>
      </c>
      <c r="B160" s="7">
        <v>4028</v>
      </c>
      <c r="C160" s="21" t="s">
        <v>193</v>
      </c>
      <c r="D160" s="21" t="s">
        <v>781</v>
      </c>
      <c r="E160" s="13">
        <v>42778.232812499999</v>
      </c>
      <c r="F160" s="13">
        <v>42778.234282407408</v>
      </c>
      <c r="G160" s="7">
        <v>1</v>
      </c>
      <c r="H160" s="21" t="s">
        <v>511</v>
      </c>
      <c r="I160" s="13">
        <v>42778.245810185188</v>
      </c>
      <c r="J160" s="7">
        <v>0</v>
      </c>
      <c r="K160" s="98" t="str">
        <f>IF(ISEVEN(B160),(B160-1)&amp;"/"&amp;B160,B160&amp;"/"&amp;(B160+1))</f>
        <v>4027/4028</v>
      </c>
      <c r="L160" s="21" t="str">
        <f>VLOOKUP(A160,'Trips&amp;Operators'!$C$1:$G$99999,5,FALSE)</f>
        <v>YORK EDGAR</v>
      </c>
      <c r="M160" s="6">
        <f>I160-F160</f>
        <v>1.152777778042946E-2</v>
      </c>
      <c r="N160" s="7">
        <f>24*60*SUM($M160:$M160)</f>
        <v>16.600000003818423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-02-12T04:35:15-0700',mode:absolute,to:'2017-02-12T06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88" t="str">
        <f>IF(AA160&lt;IF(AG160="EC",23,5.65),"Y","N")</f>
        <v>N</v>
      </c>
      <c r="X160" s="188">
        <f>VALUE(LEFT(AD160,4))-VALUE(LEFT(AD159,4))</f>
        <v>1556</v>
      </c>
      <c r="Y160" s="62">
        <f>RIGHT(D160,LEN(D160)-4)/10000</f>
        <v>5.8623000000000003</v>
      </c>
      <c r="Z160" s="62">
        <f>RIGHT(H160,LEN(H160)-4)/10000</f>
        <v>7.1499999999999994E-2</v>
      </c>
      <c r="AA160" s="62">
        <f>ABS(Z160-Y160)</f>
        <v>5.7907999999999999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>IF(LEN(A160)=6,"0"&amp;A160,A160)</f>
        <v>1800-12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60" s="8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/stypes="app*4028*20170212*" /stext=" 12:.+((SYSTEM_STATE.+slice.+state.+changed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6" t="str">
        <f t="shared" si="10"/>
        <v>"%USERPROFILE%\Documents\GitHub\eaglep3\Utilities\RefineRTDCRunTimes.py" --tripid 1800-12 --locoid 4028 --swversion DE.1.0.8.0 --startMP 300:58623 --initTime 2017-02-12T05:35:15 --startdatetime 2017-02-12T05:37:22 --delay 1 --endMP 204:715 --enddatetime 2017-02-12T05:53:58 --enforcementcount 0 &gt;&gt;C:\Users\stu\Documents\GitHub\eaglep3-reporting\EC\2017-02-12-refined-times.txt</v>
      </c>
      <c r="AI160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{"issue":{"subject":"","project_id":79,"tracker_id":40,"status_id":1,"priority_id":2,"assigned_to_id":23,"start_date":"2017-02-12","description":"","custom_fields":[{"id":1,"name":"Subdivision","value":"NW"},{"id":4,"name":"Milepost","value":"0.0715"},{"id":17,"name":"Train ID","value":"1800-12"},{"id":16,"name":"Locomotive ID","value":"4028"},{"id":130,"name":"Impact","value":""},{"id":150,"name":"Time of Event (Mountain Time)","value":"05:53:58"},{"id":151,"name":"Denver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2"/>
        <v>start /low /b %USERPROFILE%\Documents\GitHub\eaglep3\Utilities\DownloadLogsFromS3.py --loco 4028 --day 2017-02-12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61" spans="1:91" x14ac:dyDescent="0.25">
      <c r="A161" s="33" t="s">
        <v>561</v>
      </c>
      <c r="B161" s="7">
        <v>4027</v>
      </c>
      <c r="C161" s="21" t="s">
        <v>193</v>
      </c>
      <c r="D161" s="21" t="s">
        <v>782</v>
      </c>
      <c r="E161" s="13">
        <v>42778.24722222222</v>
      </c>
      <c r="F161" s="13">
        <v>42778.264826388891</v>
      </c>
      <c r="G161" s="7">
        <v>0</v>
      </c>
      <c r="H161" s="21" t="s">
        <v>783</v>
      </c>
      <c r="I161" s="13">
        <v>42778.273576388892</v>
      </c>
      <c r="J161" s="7">
        <v>0</v>
      </c>
      <c r="K161" s="98" t="str">
        <f>IF(ISEVEN(B161),(B161-1)&amp;"/"&amp;B161,B161&amp;"/"&amp;(B161+1))</f>
        <v>4027/4028</v>
      </c>
      <c r="L161" s="21" t="str">
        <f>VLOOKUP(A161,'Trips&amp;Operators'!$C$1:$G$99999,5,FALSE)</f>
        <v>YORK EDGAR</v>
      </c>
      <c r="M161" s="6">
        <f>I161-F161</f>
        <v>8.7500000008731149E-3</v>
      </c>
      <c r="N161" s="7">
        <f>24*60*SUM($M161:$M161)</f>
        <v>12.600000001257285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-02-12T04:56:00-0700',mode:absolute,to:'2017-02-12T07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88" t="str">
        <f>IF(AA161&lt;IF(AG161="EC",23,5.65),"Y","N")</f>
        <v>N</v>
      </c>
      <c r="X161" s="188">
        <f>VALUE(LEFT(AD161,4))-VALUE(LEFT(AD160,4))</f>
        <v>1</v>
      </c>
      <c r="Y161" s="62">
        <f>RIGHT(D161,LEN(D161)-4)/10000</f>
        <v>0.10299999999999999</v>
      </c>
      <c r="Z161" s="62">
        <f>RIGHT(H161,LEN(H161)-4)/10000</f>
        <v>5.8936999999999999</v>
      </c>
      <c r="AA161" s="62">
        <f>ABS(Z161-Y161)</f>
        <v>5.7907000000000002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>IF(LEN(A161)=6,"0"&amp;A161,A161)</f>
        <v>1801-12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61" s="8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/stypes="app*4027*20170212*"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6" t="str">
        <f t="shared" si="10"/>
        <v>"%USERPROFILE%\Documents\GitHub\eaglep3\Utilities\RefineRTDCRunTimes.py" --tripid 1801-12 --locoid 4027 --swversion DE.1.0.8.0 --startMP 204:1030 --initTime 2017-02-12T05:56:00 --startdatetime 2017-02-12T06:21:21 --delay 0 --endMP 300:58937 --enddatetime 2017-02-12T06:33:57 --enforcementcount 0 &gt;&gt;C:\Users\stu\Documents\GitHub\eaglep3-reporting\EC\2017-02-12-refined-times.txt</v>
      </c>
      <c r="AI161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{"issue":{"subject":"","project_id":79,"tracker_id":40,"status_id":1,"priority_id":2,"assigned_to_id":23,"start_date":"2017-02-12","description":"","custom_fields":[{"id":1,"name":"Subdivision","value":"NW"},{"id":4,"name":"Milepost","value":"5.8937"},{"id":17,"name":"Train ID","value":"1801-12"},{"id":16,"name":"Locomotive ID","value":"4027"},{"id":130,"name":"Impact","value":""},{"id":150,"name":"Time of Event (Mountain Time)","value":"06:33:57"},{"id":151,"name":"Denver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2"/>
        <v>start /low /b %USERPROFILE%\Documents\GitHub\eaglep3\Utilities\DownloadLogsFromS3.py --loco 4027 --day 2017-02-12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</row>
    <row r="162" spans="1:91" x14ac:dyDescent="0.25">
      <c r="A162" s="33" t="s">
        <v>570</v>
      </c>
      <c r="B162" s="7">
        <v>4028</v>
      </c>
      <c r="C162" s="21" t="s">
        <v>193</v>
      </c>
      <c r="D162" s="21" t="s">
        <v>784</v>
      </c>
      <c r="E162" s="13">
        <v>42778.276041666664</v>
      </c>
      <c r="F162" s="13">
        <v>42778.277557870373</v>
      </c>
      <c r="G162" s="7">
        <v>1</v>
      </c>
      <c r="H162" s="21" t="s">
        <v>785</v>
      </c>
      <c r="I162" s="13">
        <v>42778.287407407406</v>
      </c>
      <c r="J162" s="7">
        <v>0</v>
      </c>
      <c r="K162" s="98" t="str">
        <f>IF(ISEVEN(B162),(B162-1)&amp;"/"&amp;B162,B162&amp;"/"&amp;(B162+1))</f>
        <v>4027/4028</v>
      </c>
      <c r="L162" s="21" t="str">
        <f>VLOOKUP(A162,'Trips&amp;Operators'!$C$1:$G$99999,5,FALSE)</f>
        <v>YORK EDGAR</v>
      </c>
      <c r="M162" s="6">
        <f>I162-F162</f>
        <v>9.8495370330056176E-3</v>
      </c>
      <c r="N162" s="7">
        <f>24*60*SUM($M162:$M162)</f>
        <v>14.183333327528089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-02-12T05:37:30-0700',mode:absolute,to:'2017-02-12T07:53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188" t="str">
        <f>IF(AA162&lt;IF(AG162="EC",23,5.65),"Y","N")</f>
        <v>N</v>
      </c>
      <c r="X162" s="188">
        <f>VALUE(LEFT(AD162,4))-VALUE(LEFT(AD161,4))</f>
        <v>1</v>
      </c>
      <c r="Y162" s="62">
        <f>RIGHT(D162,LEN(D162)-4)/10000</f>
        <v>5.8619000000000003</v>
      </c>
      <c r="Z162" s="62">
        <f>RIGHT(H162,LEN(H162)-4)/10000</f>
        <v>7.3400000000000007E-2</v>
      </c>
      <c r="AA162" s="62">
        <f>ABS(Z162-Y162)</f>
        <v>5.7885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>IF(LEN(A162)=6,"0"&amp;A162,A162)</f>
        <v>1802-12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62" s="8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/stypes="app*4028*20170212*"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6" t="str">
        <f t="shared" si="10"/>
        <v>"%USERPROFILE%\Documents\GitHub\eaglep3\Utilities\RefineRTDCRunTimes.py" --tripid 1802-12 --locoid 4028 --swversion DE.1.0.8.0 --startMP 300:58619 --initTime 2017-02-12T06:37:30 --startdatetime 2017-02-12T06:39:41 --delay 1 --endMP 204:734 --enddatetime 2017-02-12T06:53:52 --enforcementcount 0 &gt;&gt;C:\Users\stu\Documents\GitHub\eaglep3-reporting\EC\2017-02-12-refined-times.txt</v>
      </c>
      <c r="AI162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{"issue":{"subject":"","project_id":79,"tracker_id":40,"status_id":1,"priority_id":2,"assigned_to_id":23,"start_date":"2017-02-12","description":"","custom_fields":[{"id":1,"name":"Subdivision","value":"NW"},{"id":4,"name":"Milepost","value":"0.0734"},{"id":17,"name":"Train ID","value":"1802-12"},{"id":16,"name":"Locomotive ID","value":"4028"},{"id":130,"name":"Impact","value":""},{"id":150,"name":"Time of Event (Mountain Time)","value":"06:53:52"},{"id":151,"name":"Denver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2"/>
        <v>start /low /b %USERPROFILE%\Documents\GitHub\eaglep3\Utilities\DownloadLogsFromS3.py --loco 4028 --day 2017-02-12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63" spans="1:91" s="20" customFormat="1" x14ac:dyDescent="0.25">
      <c r="A163" s="33" t="s">
        <v>574</v>
      </c>
      <c r="B163" s="7">
        <v>4027</v>
      </c>
      <c r="C163" s="21" t="s">
        <v>193</v>
      </c>
      <c r="D163" s="21" t="s">
        <v>786</v>
      </c>
      <c r="E163" s="13">
        <v>42778.288784722223</v>
      </c>
      <c r="F163" s="13">
        <v>42778.306527777779</v>
      </c>
      <c r="G163" s="7">
        <v>0</v>
      </c>
      <c r="H163" s="21" t="s">
        <v>783</v>
      </c>
      <c r="I163" s="13">
        <v>42778.315069444441</v>
      </c>
      <c r="J163" s="7">
        <v>0</v>
      </c>
      <c r="K163" s="98" t="str">
        <f>IF(ISEVEN(B163),(B163-1)&amp;"/"&amp;B163,B163&amp;"/"&amp;(B163+1))</f>
        <v>4027/4028</v>
      </c>
      <c r="L163" s="21" t="str">
        <f>VLOOKUP(A163,'Trips&amp;Operators'!$C$1:$G$99999,5,FALSE)</f>
        <v>YORK EDGAR</v>
      </c>
      <c r="M163" s="6">
        <f>I163-F163</f>
        <v>8.5416666624951176E-3</v>
      </c>
      <c r="N163" s="7">
        <f>24*60*SUM($M163:$M163)</f>
        <v>12.299999993992969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-02-12T05:55:51-0700',mode:absolute,to:'2017-02-12T08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188" t="str">
        <f>IF(AA163&lt;IF(AG163="EC",23,5.65),"Y","N")</f>
        <v>N</v>
      </c>
      <c r="X163" s="188">
        <f>VALUE(LEFT(AD163,4))-VALUE(LEFT(AD162,4))</f>
        <v>1</v>
      </c>
      <c r="Y163" s="62">
        <f>RIGHT(D163,LEN(D163)-4)/10000</f>
        <v>0.1028</v>
      </c>
      <c r="Z163" s="62">
        <f>RIGHT(H163,LEN(H163)-4)/10000</f>
        <v>5.8936999999999999</v>
      </c>
      <c r="AA163" s="62">
        <f>ABS(Z163-Y163)</f>
        <v>5.7908999999999997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>IF(LEN(A163)=6,"0"&amp;A163,A163)</f>
        <v>1803-12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63" s="8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/stypes="app*4027*20170212*" /stext=" 14:.+((SYSTEM_STATE.+slice.+state.+changed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6" t="str">
        <f t="shared" si="10"/>
        <v>"%USERPROFILE%\Documents\GitHub\eaglep3\Utilities\RefineRTDCRunTimes.py" --tripid 1803-12 --locoid 4027 --swversion DE.1.0.8.0 --startMP 204:1028 --initTime 2017-02-12T06:55:51 --startdatetime 2017-02-12T07:21:24 --delay 0 --endMP 300:58937 --enddatetime 2017-02-12T07:33:42 --enforcementcount 0 &gt;&gt;C:\Users\stu\Documents\GitHub\eaglep3-reporting\EC\2017-02-12-refined-times.txt</v>
      </c>
      <c r="AI163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{"issue":{"subject":"","project_id":79,"tracker_id":40,"status_id":1,"priority_id":2,"assigned_to_id":23,"start_date":"2017-02-12","description":"","custom_fields":[{"id":1,"name":"Subdivision","value":"NW"},{"id":4,"name":"Milepost","value":"5.8937"},{"id":17,"name":"Train ID","value":"1803-12"},{"id":16,"name":"Locomotive ID","value":"4027"},{"id":130,"name":"Impact","value":""},{"id":150,"name":"Time of Event (Mountain Time)","value":"07:33:42"},{"id":151,"name":"Denver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2"/>
        <v>start /low /b %USERPROFILE%\Documents\GitHub\eaglep3\Utilities\DownloadLogsFromS3.py --loco 4027 --day 2017-02-12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579</v>
      </c>
      <c r="B164" s="7">
        <v>4028</v>
      </c>
      <c r="C164" s="21" t="s">
        <v>193</v>
      </c>
      <c r="D164" s="21" t="s">
        <v>781</v>
      </c>
      <c r="E164" s="13">
        <v>42778.318124999998</v>
      </c>
      <c r="F164" s="13">
        <v>42778.319409722222</v>
      </c>
      <c r="G164" s="7">
        <v>1</v>
      </c>
      <c r="H164" s="21" t="s">
        <v>787</v>
      </c>
      <c r="I164" s="13">
        <v>42778.329201388886</v>
      </c>
      <c r="J164" s="7">
        <v>0</v>
      </c>
      <c r="K164" s="98" t="str">
        <f>IF(ISEVEN(B164),(B164-1)&amp;"/"&amp;B164,B164&amp;"/"&amp;(B164+1))</f>
        <v>4027/4028</v>
      </c>
      <c r="L164" s="21" t="str">
        <f>VLOOKUP(A164,'Trips&amp;Operators'!$C$1:$G$99999,5,FALSE)</f>
        <v>YORK EDGAR</v>
      </c>
      <c r="M164" s="6">
        <f>I164-F164</f>
        <v>9.7916666636592709E-3</v>
      </c>
      <c r="N164" s="7">
        <f>24*60*SUM($M164:$M164)</f>
        <v>14.09999999566935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-02-12T06:38:06-0700',mode:absolute,to:'2017-02-12T08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188" t="str">
        <f>IF(AA164&lt;IF(AG164="EC",23,5.65),"Y","N")</f>
        <v>N</v>
      </c>
      <c r="X164" s="188">
        <f>VALUE(LEFT(AD164,4))-VALUE(LEFT(AD163,4))</f>
        <v>1</v>
      </c>
      <c r="Y164" s="62">
        <f>RIGHT(D164,LEN(D164)-4)/10000</f>
        <v>5.8623000000000003</v>
      </c>
      <c r="Z164" s="62">
        <f>RIGHT(H164,LEN(H164)-4)/10000</f>
        <v>7.5899999999999995E-2</v>
      </c>
      <c r="AA164" s="62">
        <f>ABS(Z164-Y164)</f>
        <v>5.7864000000000004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>IF(LEN(A164)=6,"0"&amp;A164,A164)</f>
        <v>1804-12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64" s="8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/stypes="app*4028*20170212*"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6" t="str">
        <f t="shared" si="10"/>
        <v>"%USERPROFILE%\Documents\GitHub\eaglep3\Utilities\RefineRTDCRunTimes.py" --tripid 1804-12 --locoid 4028 --swversion DE.1.0.8.0 --startMP 300:58623 --initTime 2017-02-12T07:38:06 --startdatetime 2017-02-12T07:39:57 --delay 1 --endMP 204:759 --enddatetime 2017-02-12T07:54:03 --enforcementcount 0 &gt;&gt;C:\Users\stu\Documents\GitHub\eaglep3-reporting\EC\2017-02-12-refined-times.txt</v>
      </c>
      <c r="AI164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{"issue":{"subject":"","project_id":79,"tracker_id":40,"status_id":1,"priority_id":2,"assigned_to_id":23,"start_date":"2017-02-12","description":"","custom_fields":[{"id":1,"name":"Subdivision","value":"NW"},{"id":4,"name":"Milepost","value":"0.0759"},{"id":17,"name":"Train ID","value":"1804-12"},{"id":16,"name":"Locomotive ID","value":"4028"},{"id":130,"name":"Impact","value":""},{"id":150,"name":"Time of Event (Mountain Time)","value":"07:54:03"},{"id":151,"name":"Denver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2"/>
        <v>start /low /b %USERPROFILE%\Documents\GitHub\eaglep3\Utilities\DownloadLogsFromS3.py --loco 4028 --day 2017-02-12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65" spans="1:91" x14ac:dyDescent="0.25">
      <c r="A165" s="33" t="s">
        <v>582</v>
      </c>
      <c r="B165" s="7">
        <v>4027</v>
      </c>
      <c r="C165" s="21" t="s">
        <v>193</v>
      </c>
      <c r="D165" s="21" t="s">
        <v>788</v>
      </c>
      <c r="E165" s="13">
        <v>42778.330081018517</v>
      </c>
      <c r="F165" s="13">
        <v>42778.348101851851</v>
      </c>
      <c r="G165" s="7">
        <v>1</v>
      </c>
      <c r="H165" s="21" t="s">
        <v>512</v>
      </c>
      <c r="I165" s="13">
        <v>42778.356446759259</v>
      </c>
      <c r="J165" s="7">
        <v>0</v>
      </c>
      <c r="K165" s="98" t="str">
        <f>IF(ISEVEN(B165),(B165-1)&amp;"/"&amp;B165,B165&amp;"/"&amp;(B165+1))</f>
        <v>4027/4028</v>
      </c>
      <c r="L165" s="21" t="str">
        <f>VLOOKUP(A165,'Trips&amp;Operators'!$C$1:$G$99999,5,FALSE)</f>
        <v>YORK EDGAR</v>
      </c>
      <c r="M165" s="6">
        <f>I165-F165</f>
        <v>8.3449074081727304E-3</v>
      </c>
      <c r="N165" s="7">
        <f>24*60*SUM($M165:$M165)</f>
        <v>12.016666667768732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-02-12T06:55:19-0700',mode:absolute,to:'2017-02-12T09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188" t="str">
        <f>IF(AA165&lt;IF(AG165="EC",23,5.65),"Y","N")</f>
        <v>N</v>
      </c>
      <c r="X165" s="188">
        <f>VALUE(LEFT(AD165,4))-VALUE(LEFT(AD164,4))</f>
        <v>1</v>
      </c>
      <c r="Y165" s="62">
        <f>RIGHT(D165,LEN(D165)-4)/10000</f>
        <v>0.1037</v>
      </c>
      <c r="Z165" s="62">
        <f>RIGHT(H165,LEN(H165)-4)/10000</f>
        <v>5.8928000000000003</v>
      </c>
      <c r="AA165" s="62">
        <f>ABS(Z165-Y165)</f>
        <v>5.7891000000000004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>IF(LEN(A165)=6,"0"&amp;A165,A165)</f>
        <v>1805-12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65" s="8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/stypes="app*4027*20170212*" /stext=" 15:.+((SYSTEM_STATE.+slice.+state.+changed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6" t="str">
        <f t="shared" si="10"/>
        <v>"%USERPROFILE%\Documents\GitHub\eaglep3\Utilities\RefineRTDCRunTimes.py" --tripid 1805-12 --locoid 4027 --swversion DE.1.0.8.0 --startMP 204:1037 --initTime 2017-02-12T07:55:19 --startdatetime 2017-02-12T08:21:16 --delay 1 --endMP 300:58928 --enddatetime 2017-02-12T08:33:17 --enforcementcount 0 &gt;&gt;C:\Users\stu\Documents\GitHub\eaglep3-reporting\EC\2017-02-12-refined-times.txt</v>
      </c>
      <c r="AI165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{"issue":{"subject":"","project_id":79,"tracker_id":40,"status_id":1,"priority_id":2,"assigned_to_id":23,"start_date":"2017-02-12","description":"","custom_fields":[{"id":1,"name":"Subdivision","value":"NW"},{"id":4,"name":"Milepost","value":"5.8928"},{"id":17,"name":"Train ID","value":"1805-12"},{"id":16,"name":"Locomotive ID","value":"4027"},{"id":130,"name":"Impact","value":""},{"id":150,"name":"Time of Event (Mountain Time)","value":"08:33:17"},{"id":151,"name":"Denver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2"/>
        <v>start /low /b %USERPROFILE%\Documents\GitHub\eaglep3\Utilities\DownloadLogsFromS3.py --loco 4027 --day 2017-02-12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</row>
    <row r="166" spans="1:91" x14ac:dyDescent="0.25">
      <c r="A166" s="33" t="s">
        <v>588</v>
      </c>
      <c r="B166" s="7">
        <v>4028</v>
      </c>
      <c r="C166" s="21" t="s">
        <v>193</v>
      </c>
      <c r="D166" s="21" t="s">
        <v>789</v>
      </c>
      <c r="E166" s="13">
        <v>42778.357881944445</v>
      </c>
      <c r="F166" s="13">
        <v>42778.361909722225</v>
      </c>
      <c r="G166" s="7">
        <v>1</v>
      </c>
      <c r="H166" s="21" t="s">
        <v>790</v>
      </c>
      <c r="I166" s="13">
        <v>42778.370856481481</v>
      </c>
      <c r="J166" s="7">
        <v>0</v>
      </c>
      <c r="K166" s="98" t="str">
        <f>IF(ISEVEN(B166),(B166-1)&amp;"/"&amp;B166,B166&amp;"/"&amp;(B166+1))</f>
        <v>4027/4028</v>
      </c>
      <c r="L166" s="21" t="str">
        <f>VLOOKUP(A166,'Trips&amp;Operators'!$C$1:$G$99999,5,FALSE)</f>
        <v>YORK EDGAR</v>
      </c>
      <c r="M166" s="6">
        <f>I166-F166</f>
        <v>8.9467592551955022E-3</v>
      </c>
      <c r="N166" s="7">
        <f>24*60*SUM($M166:$M166)</f>
        <v>12.883333327481523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-02-12T07:35:21-0700',mode:absolute,to:'2017-02-12T09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188" t="str">
        <f>IF(AA166&lt;IF(AG166="EC",23,5.65),"Y","N")</f>
        <v>N</v>
      </c>
      <c r="X166" s="188">
        <f>VALUE(LEFT(AD166,4))-VALUE(LEFT(AD165,4))</f>
        <v>1</v>
      </c>
      <c r="Y166" s="62">
        <f>RIGHT(D166,LEN(D166)-4)/10000</f>
        <v>5.8613</v>
      </c>
      <c r="Z166" s="62">
        <v>7.0000000000000007E-2</v>
      </c>
      <c r="AA166" s="62">
        <f>ABS(Z166-Y166)</f>
        <v>5.7912999999999997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>IF(LEN(A166)=6,"0"&amp;A166,A166)</f>
        <v>1806-12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66" s="8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/stypes="app*4028*20170212*" /stext=" 15:.+((SYSTEM_STATE.+slice.+state.+changed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6" t="str">
        <f t="shared" si="10"/>
        <v>"%USERPROFILE%\Documents\GitHub\eaglep3\Utilities\RefineRTDCRunTimes.py" --tripid 1806-12 --locoid 4028 --swversion DE.1.0.8.0 --startMP 300:58613 --initTime 2017-02-12T08:35:21 --startdatetime 2017-02-12T08:41:09 --delay 1 --endMP 300:44444 --enddatetime 2017-02-12T08:54:02 --enforcementcount 0 &gt;&gt;C:\Users\stu\Documents\GitHub\eaglep3-reporting\EC\2017-02-12-refined-times.txt</v>
      </c>
      <c r="AI166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{"issue":{"subject":"","project_id":79,"tracker_id":40,"status_id":1,"priority_id":2,"assigned_to_id":23,"start_date":"2017-02-12","description":"","custom_fields":[{"id":1,"name":"Subdivision","value":"NW"},{"id":4,"name":"Milepost","value":"0.07"},{"id":17,"name":"Train ID","value":"1806-12"},{"id":16,"name":"Locomotive ID","value":"4028"},{"id":130,"name":"Impact","value":""},{"id":150,"name":"Time of Event (Mountain Time)","value":"08:54:02"},{"id":151,"name":"Denver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2"/>
        <v>start /low /b %USERPROFILE%\Documents\GitHub\eaglep3\Utilities\DownloadLogsFromS3.py --loco 4028 --day 2017-02-12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67" spans="1:91" x14ac:dyDescent="0.25">
      <c r="A167" s="33" t="s">
        <v>592</v>
      </c>
      <c r="B167" s="7">
        <v>4027</v>
      </c>
      <c r="C167" s="21" t="s">
        <v>193</v>
      </c>
      <c r="D167" s="21" t="s">
        <v>791</v>
      </c>
      <c r="E167" s="13">
        <v>42778.372187499997</v>
      </c>
      <c r="F167" s="13">
        <v>42778.389872685184</v>
      </c>
      <c r="G167" s="7">
        <v>0</v>
      </c>
      <c r="H167" s="21" t="s">
        <v>792</v>
      </c>
      <c r="I167" s="13">
        <v>42778.3983912037</v>
      </c>
      <c r="J167" s="7">
        <v>0</v>
      </c>
      <c r="K167" s="98" t="str">
        <f>IF(ISEVEN(B167),(B167-1)&amp;"/"&amp;B167,B167&amp;"/"&amp;(B167+1))</f>
        <v>4027/4028</v>
      </c>
      <c r="L167" s="21" t="str">
        <f>VLOOKUP(A167,'Trips&amp;Operators'!$C$1:$G$99999,5,FALSE)</f>
        <v>YORK EDGAR</v>
      </c>
      <c r="M167" s="6">
        <f>I167-F167</f>
        <v>8.5185185162117705E-3</v>
      </c>
      <c r="N167" s="7">
        <f>24*60*SUM($M167:$M167)</f>
        <v>12.266666663344949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-02-12T07:55:57-0700',mode:absolute,to:'2017-02-12T10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188" t="str">
        <f>IF(AA167&lt;IF(AG167="EC",23,5.65),"Y","N")</f>
        <v>N</v>
      </c>
      <c r="X167" s="188">
        <f>VALUE(LEFT(AD167,4))-VALUE(LEFT(AD166,4))</f>
        <v>1</v>
      </c>
      <c r="Y167" s="62">
        <f>RIGHT(D167,LEN(D167)-4)/10000</f>
        <v>0.10489999999999999</v>
      </c>
      <c r="Z167" s="62">
        <f>RIGHT(H167,LEN(H167)-4)/10000</f>
        <v>5.8924000000000003</v>
      </c>
      <c r="AA167" s="62">
        <f>ABS(Z167-Y167)</f>
        <v>5.7875000000000005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>IF(LEN(A167)=6,"0"&amp;A167,A167)</f>
        <v>1807-12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67" s="8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/stypes="app*4027*20170212*" /stext=" 16:.+((SYSTEM_STATE.+slice.+state.+changed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6" t="str">
        <f t="shared" si="10"/>
        <v>"%USERPROFILE%\Documents\GitHub\eaglep3\Utilities\RefineRTDCRunTimes.py" --tripid 1807-12 --locoid 4027 --swversion DE.1.0.8.0 --startMP 204:1049 --initTime 2017-02-12T08:55:57 --startdatetime 2017-02-12T09:21:25 --delay 0 --endMP 300:58924 --enddatetime 2017-02-12T09:33:41 --enforcementcount 0 &gt;&gt;C:\Users\stu\Documents\GitHub\eaglep3-reporting\EC\2017-02-12-refined-times.txt</v>
      </c>
      <c r="AI167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{"issue":{"subject":"","project_id":79,"tracker_id":40,"status_id":1,"priority_id":2,"assigned_to_id":23,"start_date":"2017-02-12","description":"","custom_fields":[{"id":1,"name":"Subdivision","value":"NW"},{"id":4,"name":"Milepost","value":"5.8924"},{"id":17,"name":"Train ID","value":"1807-12"},{"id":16,"name":"Locomotive ID","value":"4027"},{"id":130,"name":"Impact","value":""},{"id":150,"name":"Time of Event (Mountain Time)","value":"09:33:41"},{"id":151,"name":"Denver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2"/>
        <v>start /low /b %USERPROFILE%\Documents\GitHub\eaglep3\Utilities\DownloadLogsFromS3.py --loco 4027 --day 2017-02-12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</row>
    <row r="168" spans="1:91" x14ac:dyDescent="0.25">
      <c r="A168" s="33" t="s">
        <v>597</v>
      </c>
      <c r="B168" s="7">
        <v>4028</v>
      </c>
      <c r="C168" s="21" t="s">
        <v>193</v>
      </c>
      <c r="D168" s="21" t="s">
        <v>513</v>
      </c>
      <c r="E168" s="13">
        <v>42778.399363425924</v>
      </c>
      <c r="F168" s="13">
        <v>42778.401574074072</v>
      </c>
      <c r="G168" s="7">
        <v>1</v>
      </c>
      <c r="H168" s="21" t="s">
        <v>790</v>
      </c>
      <c r="I168" s="13">
        <v>42778.407395833332</v>
      </c>
      <c r="J168" s="7">
        <v>0</v>
      </c>
      <c r="K168" s="98" t="str">
        <f>IF(ISEVEN(B168),(B168-1)&amp;"/"&amp;B168,B168&amp;"/"&amp;(B168+1))</f>
        <v>4027/4028</v>
      </c>
      <c r="L168" s="21" t="str">
        <f>VLOOKUP(A168,'Trips&amp;Operators'!$C$1:$G$99999,5,FALSE)</f>
        <v>YORK EDGAR</v>
      </c>
      <c r="M168" s="6">
        <f>I168-F168</f>
        <v>5.8217592595610768E-3</v>
      </c>
      <c r="N168" s="7"/>
      <c r="O168" s="7"/>
      <c r="P168" s="7">
        <f>24*60*SUM($M168:$M168)</f>
        <v>8.3833333337679505</v>
      </c>
      <c r="Q168" s="22"/>
      <c r="R168" s="22" t="s">
        <v>901</v>
      </c>
      <c r="S168" s="31">
        <f>SUM(U168:U168)/IF(AG168="EC",12,1)</f>
        <v>0</v>
      </c>
      <c r="T168" s="46" t="str">
        <f>IF(ISEVEN(LEFT(AD168,4)),"Southbound","NorthBound")</f>
        <v>Southbound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87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-02-12T08:35:05-0700',mode:absolute,to:'2017-02-12T10:46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188" t="str">
        <f>IF(AA168&lt;IF(AG168="EC",23,5.65),"Y","N")</f>
        <v>Y</v>
      </c>
      <c r="X168" s="188">
        <f>VALUE(LEFT(AD168,4))-VALUE(LEFT(AD167,4))</f>
        <v>1</v>
      </c>
      <c r="Y168" s="62">
        <f>RIGHT(D168,LEN(D168)-4)/10000</f>
        <v>5.8611000000000004</v>
      </c>
      <c r="Z168" s="62">
        <f>RIGHT(H168,LEN(H168)-4)/10000</f>
        <v>4.4443999999999999</v>
      </c>
      <c r="AA168" s="62">
        <f>ABS(Z168-Y168)</f>
        <v>1.4167000000000005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>IF(LEN(A168)=6,"0"&amp;A168,A168)</f>
        <v>1808-12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68" s="8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/stypes="app*4028*20170212*" /stext=" 16:.+((SYSTEM_STATE.+slice.+state.+changed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6" t="str">
        <f t="shared" si="10"/>
        <v>"%USERPROFILE%\Documents\GitHub\eaglep3\Utilities\RefineRTDCRunTimes.py" --tripid 1808-12 --locoid 4028 --swversion DE.1.0.8.0 --startMP 300:58611 --initTime 2017-02-12T09:35:05 --startdatetime 2017-02-12T09:38:16 --delay 1 --endMP 300:44444 --enddatetime 2017-02-12T09:46:39 --enforcementcount 0 &gt;&gt;C:\Users\stu\Documents\GitHub\eaglep3-reporting\EC\2017-02-12-refined-times.txt</v>
      </c>
      <c r="AI168" s="108" t="str">
        <f t="shared" si="11"/>
        <v>echo {"issue":{"subject":"Networking equipment failure at NW0376RH","project_id":79,"tracker_id":40,"status_id":1,"priority_id":2,"assigned_to_id":23,"start_date":"2017-02-12","description":"","custom_fields":[{"id":1,"name":"Subdivision","value":"NW"},{"id":4,"name":"Milepost","value":"4.4444"},{"id":17,"name":"Train ID","value":"1808-12"},{"id":16,"name":"Locomotive ID","value":"4028"},{"id":130,"name":"Impact","value":""},{"id":150,"name":"Time of Event (Mountain Time)","value":"09:46:39"},{"id":151,"name":"Denver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2"/>
        <v>start /low /b %USERPROFILE%\Documents\GitHub\eaglep3\Utilities\DownloadLogsFromS3.py --loco 4028 --day 2017-02-12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69" spans="1:91" s="20" customFormat="1" x14ac:dyDescent="0.25">
      <c r="A169" s="33" t="s">
        <v>601</v>
      </c>
      <c r="B169" s="7">
        <v>4027</v>
      </c>
      <c r="C169" s="21" t="s">
        <v>193</v>
      </c>
      <c r="D169" s="21" t="s">
        <v>793</v>
      </c>
      <c r="E169" s="13">
        <v>42778.415069444447</v>
      </c>
      <c r="F169" s="13">
        <v>42778.431400462963</v>
      </c>
      <c r="G169" s="7">
        <v>1</v>
      </c>
      <c r="H169" s="21" t="s">
        <v>783</v>
      </c>
      <c r="I169" s="13">
        <v>42778.439895833333</v>
      </c>
      <c r="J169" s="7">
        <v>0</v>
      </c>
      <c r="K169" s="98" t="str">
        <f>IF(ISEVEN(B169),(B169-1)&amp;"/"&amp;B169,B169&amp;"/"&amp;(B169+1))</f>
        <v>4027/4028</v>
      </c>
      <c r="L169" s="21" t="str">
        <f>VLOOKUP(A169,'Trips&amp;Operators'!$C$1:$G$99999,5,FALSE)</f>
        <v>YORK EDGAR</v>
      </c>
      <c r="M169" s="6">
        <f>I169-F169</f>
        <v>8.4953703699284233E-3</v>
      </c>
      <c r="N169" s="7">
        <f>24*60*SUM($M169:$M169)</f>
        <v>12.23333333269693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-02-12T08:57:42-0700',mode:absolute,to:'2017-02-12T11:33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188" t="str">
        <f>IF(AA169&lt;IF(AG169="EC",23,5.65),"Y","N")</f>
        <v>N</v>
      </c>
      <c r="X169" s="188">
        <f>VALUE(LEFT(AD169,4))-VALUE(LEFT(AD168,4))</f>
        <v>1</v>
      </c>
      <c r="Y169" s="62">
        <f>RIGHT(D169,LEN(D169)-4)/10000</f>
        <v>0.10249999999999999</v>
      </c>
      <c r="Z169" s="62">
        <f>RIGHT(H169,LEN(H169)-4)/10000</f>
        <v>5.8936999999999999</v>
      </c>
      <c r="AA169" s="62">
        <f>ABS(Z169-Y169)</f>
        <v>5.7911999999999999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>IF(LEN(A169)=6,"0"&amp;A169,A169)</f>
        <v>1809-12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69" s="8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/stypes="app*4027*20170212*" /stext=" 17:.+((SYSTEM_STATE.+slice.+state.+changed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6" t="str">
        <f t="shared" si="10"/>
        <v>"%USERPROFILE%\Documents\GitHub\eaglep3\Utilities\RefineRTDCRunTimes.py" --tripid 1809-12 --locoid 4027 --swversion DE.1.0.8.0 --startMP 204:1025 --initTime 2017-02-12T09:57:42 --startdatetime 2017-02-12T10:21:13 --delay 1 --endMP 300:58937 --enddatetime 2017-02-12T10:33:27 --enforcementcount 0 &gt;&gt;C:\Users\stu\Documents\GitHub\eaglep3-reporting\EC\2017-02-12-refined-times.txt</v>
      </c>
      <c r="AI169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{"issue":{"subject":"","project_id":79,"tracker_id":40,"status_id":1,"priority_id":2,"assigned_to_id":23,"start_date":"2017-02-12","description":"","custom_fields":[{"id":1,"name":"Subdivision","value":"NW"},{"id":4,"name":"Milepost","value":"5.8937"},{"id":17,"name":"Train ID","value":"1809-12"},{"id":16,"name":"Locomotive ID","value":"4027"},{"id":130,"name":"Impact","value":""},{"id":150,"name":"Time of Event (Mountain Time)","value":"10:33:27"},{"id":151,"name":"Denver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2"/>
        <v>start /low /b %USERPROFILE%\Documents\GitHub\eaglep3\Utilities\DownloadLogsFromS3.py --loco 4027 --day 2017-02-12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605</v>
      </c>
      <c r="B170" s="7">
        <v>4028</v>
      </c>
      <c r="C170" s="21" t="s">
        <v>193</v>
      </c>
      <c r="D170" s="21" t="s">
        <v>784</v>
      </c>
      <c r="E170" s="13">
        <v>42778.441192129627</v>
      </c>
      <c r="F170" s="13">
        <v>42778.44290509259</v>
      </c>
      <c r="G170" s="7">
        <v>1</v>
      </c>
      <c r="H170" s="21" t="s">
        <v>795</v>
      </c>
      <c r="I170" s="13">
        <v>42778.454039351855</v>
      </c>
      <c r="J170" s="7">
        <v>0</v>
      </c>
      <c r="K170" s="98" t="str">
        <f>IF(ISEVEN(B170),(B170-1)&amp;"/"&amp;B170,B170&amp;"/"&amp;(B170+1))</f>
        <v>4027/4028</v>
      </c>
      <c r="L170" s="21" t="str">
        <f>VLOOKUP(A170,'Trips&amp;Operators'!$C$1:$G$99999,5,FALSE)</f>
        <v>YORK EDGAR</v>
      </c>
      <c r="M170" s="6">
        <f>I170-F170</f>
        <v>1.1134259264508728E-2</v>
      </c>
      <c r="N170" s="7">
        <f>24*60*SUM($M170:$M170)</f>
        <v>16.033333340892568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-02-12T09:35:19-0700',mode:absolute,to:'2017-02-12T11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188" t="str">
        <f>IF(AA170&lt;IF(AG170="EC",23,5.65),"Y","N")</f>
        <v>N</v>
      </c>
      <c r="X170" s="188">
        <f>VALUE(LEFT(AD170,4))-VALUE(LEFT(AD169,4))</f>
        <v>1</v>
      </c>
      <c r="Y170" s="62">
        <f>RIGHT(D170,LEN(D170)-4)/10000</f>
        <v>5.8619000000000003</v>
      </c>
      <c r="Z170" s="62">
        <f>RIGHT(H170,LEN(H170)-4)/10000</f>
        <v>7.4700000000000003E-2</v>
      </c>
      <c r="AA170" s="62">
        <f>ABS(Z170-Y170)</f>
        <v>5.7872000000000003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>IF(LEN(A170)=6,"0"&amp;A170,A170)</f>
        <v>1810-12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70" s="8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/stypes="app*4028*20170212*" /stext=" 17:.+((SYSTEM_STATE.+slice.+state.+changed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6" t="str">
        <f t="shared" si="10"/>
        <v>"%USERPROFILE%\Documents\GitHub\eaglep3\Utilities\RefineRTDCRunTimes.py" --tripid 1810-12 --locoid 4028 --swversion DE.1.0.8.0 --startMP 300:58619 --initTime 2017-02-12T10:35:19 --startdatetime 2017-02-12T10:37:47 --delay 1 --endMP 204:747 --enddatetime 2017-02-12T10:53:49 --enforcementcount 0 &gt;&gt;C:\Users\stu\Documents\GitHub\eaglep3-reporting\EC\2017-02-12-refined-times.txt</v>
      </c>
      <c r="AI170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{"issue":{"subject":"","project_id":79,"tracker_id":40,"status_id":1,"priority_id":2,"assigned_to_id":23,"start_date":"2017-02-12","description":"","custom_fields":[{"id":1,"name":"Subdivision","value":"NW"},{"id":4,"name":"Milepost","value":"0.0747"},{"id":17,"name":"Train ID","value":"1810-12"},{"id":16,"name":"Locomotive ID","value":"4028"},{"id":130,"name":"Impact","value":""},{"id":150,"name":"Time of Event (Mountain Time)","value":"10:53:49"},{"id":151,"name":"Denver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2"/>
        <v>start /low /b %USERPROFILE%\Documents\GitHub\eaglep3\Utilities\DownloadLogsFromS3.py --loco 4028 --day 2017-02-12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71" spans="1:91" x14ac:dyDescent="0.25">
      <c r="A171" s="33" t="s">
        <v>611</v>
      </c>
      <c r="B171" s="7">
        <v>4027</v>
      </c>
      <c r="C171" s="21" t="s">
        <v>193</v>
      </c>
      <c r="D171" s="21" t="s">
        <v>796</v>
      </c>
      <c r="E171" s="13">
        <v>42778.456076388888</v>
      </c>
      <c r="F171" s="13">
        <v>42778.473124999997</v>
      </c>
      <c r="G171" s="7">
        <v>1</v>
      </c>
      <c r="H171" s="21" t="s">
        <v>797</v>
      </c>
      <c r="I171" s="13">
        <v>42778.481805555559</v>
      </c>
      <c r="J171" s="7">
        <v>0</v>
      </c>
      <c r="K171" s="98" t="str">
        <f>IF(ISEVEN(B171),(B171-1)&amp;"/"&amp;B171,B171&amp;"/"&amp;(B171+1))</f>
        <v>4027/4028</v>
      </c>
      <c r="L171" s="21" t="str">
        <f>VLOOKUP(A171,'Trips&amp;Operators'!$C$1:$G$99999,5,FALSE)</f>
        <v>YORK EDGAR</v>
      </c>
      <c r="M171" s="6">
        <f>I171-F171</f>
        <v>8.6805555620230734E-3</v>
      </c>
      <c r="N171" s="7">
        <f>24*60*SUM($M171:$M171)</f>
        <v>12.500000009313226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-02-12T09:56:45-0700',mode:absolute,to:'2017-02-12T12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188" t="str">
        <f>IF(AA171&lt;IF(AG171="EC",23,5.65),"Y","N")</f>
        <v>N</v>
      </c>
      <c r="X171" s="188">
        <f>VALUE(LEFT(AD171,4))-VALUE(LEFT(AD170,4))</f>
        <v>1</v>
      </c>
      <c r="Y171" s="62">
        <f>RIGHT(D171,LEN(D171)-4)/10000</f>
        <v>0.10340000000000001</v>
      </c>
      <c r="Z171" s="62">
        <f>RIGHT(H171,LEN(H171)-4)/10000</f>
        <v>5.8933</v>
      </c>
      <c r="AA171" s="62">
        <f>ABS(Z171-Y171)</f>
        <v>5.7899000000000003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>IF(LEN(A171)=6,"0"&amp;A171,A171)</f>
        <v>1811-12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71" s="8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/stypes="app*4027*20170212*" /stext=" 18:.+((SYSTEM_STATE.+slice.+state.+changed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6" t="str">
        <f t="shared" si="10"/>
        <v>"%USERPROFILE%\Documents\GitHub\eaglep3\Utilities\RefineRTDCRunTimes.py" --tripid 1811-12 --locoid 4027 --swversion DE.1.0.8.0 --startMP 204:1034 --initTime 2017-02-12T10:56:45 --startdatetime 2017-02-12T11:21:18 --delay 1 --endMP 300:58933 --enddatetime 2017-02-12T11:33:48 --enforcementcount 0 &gt;&gt;C:\Users\stu\Documents\GitHub\eaglep3-reporting\EC\2017-02-12-refined-times.txt</v>
      </c>
      <c r="AI171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{"issue":{"subject":"","project_id":79,"tracker_id":40,"status_id":1,"priority_id":2,"assigned_to_id":23,"start_date":"2017-02-12","description":"","custom_fields":[{"id":1,"name":"Subdivision","value":"NW"},{"id":4,"name":"Milepost","value":"5.8933"},{"id":17,"name":"Train ID","value":"1811-12"},{"id":16,"name":"Locomotive ID","value":"4027"},{"id":130,"name":"Impact","value":""},{"id":150,"name":"Time of Event (Mountain Time)","value":"11:33:48"},{"id":151,"name":"Denver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2"/>
        <v>start /low /b %USERPROFILE%\Documents\GitHub\eaglep3\Utilities\DownloadLogsFromS3.py --loco 4027 --day 2017-02-12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</row>
    <row r="172" spans="1:91" x14ac:dyDescent="0.25">
      <c r="A172" s="33" t="s">
        <v>617</v>
      </c>
      <c r="B172" s="7">
        <v>4028</v>
      </c>
      <c r="C172" s="21" t="s">
        <v>193</v>
      </c>
      <c r="D172" s="21" t="s">
        <v>798</v>
      </c>
      <c r="E172" s="13">
        <v>42778.482557870368</v>
      </c>
      <c r="F172" s="13">
        <v>42778.486284722225</v>
      </c>
      <c r="G172" s="7">
        <v>3</v>
      </c>
      <c r="H172" s="21" t="s">
        <v>799</v>
      </c>
      <c r="I172" s="13">
        <v>42778.495798611111</v>
      </c>
      <c r="J172" s="7">
        <v>0</v>
      </c>
      <c r="K172" s="98" t="str">
        <f>IF(ISEVEN(B172),(B172-1)&amp;"/"&amp;B172,B172&amp;"/"&amp;(B172+1))</f>
        <v>4027/4028</v>
      </c>
      <c r="L172" s="21" t="str">
        <f>VLOOKUP(A172,'Trips&amp;Operators'!$C$1:$G$99999,5,FALSE)</f>
        <v>YORK EDGAR</v>
      </c>
      <c r="M172" s="6">
        <f>I172-F172</f>
        <v>9.5138888864312321E-3</v>
      </c>
      <c r="N172" s="7">
        <f>24*60*SUM($M172:$M172)</f>
        <v>13.699999996460974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-02-12T10:34:53-0700',mode:absolute,to:'2017-02-12T12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188" t="str">
        <f>IF(AA172&lt;IF(AG172="EC",23,5.65),"Y","N")</f>
        <v>N</v>
      </c>
      <c r="X172" s="188">
        <f>VALUE(LEFT(AD172,4))-VALUE(LEFT(AD171,4))</f>
        <v>1</v>
      </c>
      <c r="Y172" s="62">
        <f>RIGHT(D172,LEN(D172)-4)/10000</f>
        <v>5.8616999999999999</v>
      </c>
      <c r="Z172" s="62">
        <f>RIGHT(H172,LEN(H172)-4)/10000</f>
        <v>7.5200000000000003E-2</v>
      </c>
      <c r="AA172" s="62">
        <f>ABS(Z172-Y172)</f>
        <v>5.7865000000000002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>IF(LEN(A172)=6,"0"&amp;A172,A172)</f>
        <v>1812-12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72" s="8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/stypes="app*4028*20170212*" /stext=" 18:.+((SYSTEM_STATE.+slice.+state.+changed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6" t="str">
        <f t="shared" si="10"/>
        <v>"%USERPROFILE%\Documents\GitHub\eaglep3\Utilities\RefineRTDCRunTimes.py" --tripid 1812-12 --locoid 4028 --swversion DE.1.0.8.0 --startMP 300:58617 --initTime 2017-02-12T11:34:53 --startdatetime 2017-02-12T11:40:15 --delay 3 --endMP 204:752 --enddatetime 2017-02-12T11:53:57 --enforcementcount 0 &gt;&gt;C:\Users\stu\Documents\GitHub\eaglep3-reporting\EC\2017-02-12-refined-times.txt</v>
      </c>
      <c r="AI172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{"issue":{"subject":"","project_id":79,"tracker_id":40,"status_id":1,"priority_id":2,"assigned_to_id":23,"start_date":"2017-02-12","description":"","custom_fields":[{"id":1,"name":"Subdivision","value":"NW"},{"id":4,"name":"Milepost","value":"0.0752"},{"id":17,"name":"Train ID","value":"1812-12"},{"id":16,"name":"Locomotive ID","value":"4028"},{"id":130,"name":"Impact","value":""},{"id":150,"name":"Time of Event (Mountain Time)","value":"11:53:57"},{"id":151,"name":"Denver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2"/>
        <v>start /low /b %USERPROFILE%\Documents\GitHub\eaglep3\Utilities\DownloadLogsFromS3.py --loco 4028 --day 2017-02-12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73" spans="1:91" s="20" customFormat="1" x14ac:dyDescent="0.25">
      <c r="A173" s="33" t="s">
        <v>623</v>
      </c>
      <c r="B173" s="7">
        <v>4027</v>
      </c>
      <c r="C173" s="21" t="s">
        <v>193</v>
      </c>
      <c r="D173" s="21" t="s">
        <v>800</v>
      </c>
      <c r="E173" s="13">
        <v>42778.496770833335</v>
      </c>
      <c r="F173" s="13">
        <v>42778.514849537038</v>
      </c>
      <c r="G173" s="7">
        <v>0</v>
      </c>
      <c r="H173" s="21" t="s">
        <v>792</v>
      </c>
      <c r="I173" s="13">
        <v>42778.523622685185</v>
      </c>
      <c r="J173" s="7">
        <v>0</v>
      </c>
      <c r="K173" s="98" t="str">
        <f>IF(ISEVEN(B173),(B173-1)&amp;"/"&amp;B173,B173&amp;"/"&amp;(B173+1))</f>
        <v>4027/4028</v>
      </c>
      <c r="L173" s="21" t="str">
        <f>VLOOKUP(A173,'Trips&amp;Operators'!$C$1:$G$99999,5,FALSE)</f>
        <v>YORK EDGAR</v>
      </c>
      <c r="M173" s="6">
        <f>I173-F173</f>
        <v>8.7731481471564621E-3</v>
      </c>
      <c r="N173" s="7">
        <f>24*60*SUM($M173:$M173)</f>
        <v>12.633333331905305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-02-12T10:55:21-0700',mode:absolute,to:'2017-02-12T13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188" t="str">
        <f>IF(AA173&lt;IF(AG173="EC",23,5.65),"Y","N")</f>
        <v>N</v>
      </c>
      <c r="X173" s="188">
        <f>VALUE(LEFT(AD173,4))-VALUE(LEFT(AD172,4))</f>
        <v>1</v>
      </c>
      <c r="Y173" s="62">
        <f>RIGHT(D173,LEN(D173)-4)/10000</f>
        <v>0.10390000000000001</v>
      </c>
      <c r="Z173" s="62">
        <f>RIGHT(H173,LEN(H173)-4)/10000</f>
        <v>5.8924000000000003</v>
      </c>
      <c r="AA173" s="62">
        <f>ABS(Z173-Y173)</f>
        <v>5.7885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>IF(LEN(A173)=6,"0"&amp;A173,A173)</f>
        <v>1813-12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73" s="8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/stypes="app*4027*20170212*" /stext=" 19:.+((SYSTEM_STATE.+slice.+state.+changed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6" t="str">
        <f t="shared" si="10"/>
        <v>"%USERPROFILE%\Documents\GitHub\eaglep3\Utilities\RefineRTDCRunTimes.py" --tripid 1813-12 --locoid 4027 --swversion DE.1.0.8.0 --startMP 204:1039 --initTime 2017-02-12T11:55:21 --startdatetime 2017-02-12T12:21:23 --delay 0 --endMP 300:58924 --enddatetime 2017-02-12T12:34:01 --enforcementcount 0 &gt;&gt;C:\Users\stu\Documents\GitHub\eaglep3-reporting\EC\2017-02-12-refined-times.txt</v>
      </c>
      <c r="AI173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{"issue":{"subject":"","project_id":79,"tracker_id":40,"status_id":1,"priority_id":2,"assigned_to_id":23,"start_date":"2017-02-12","description":"","custom_fields":[{"id":1,"name":"Subdivision","value":"NW"},{"id":4,"name":"Milepost","value":"5.8924"},{"id":17,"name":"Train ID","value":"1813-12"},{"id":16,"name":"Locomotive ID","value":"4027"},{"id":130,"name":"Impact","value":""},{"id":150,"name":"Time of Event (Mountain Time)","value":"12:34:01"},{"id":151,"name":"Denver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2"/>
        <v>start /low /b %USERPROFILE%\Documents\GitHub\eaglep3\Utilities\DownloadLogsFromS3.py --loco 4027 --day 2017-02-12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631</v>
      </c>
      <c r="B174" s="7">
        <v>4028</v>
      </c>
      <c r="C174" s="21" t="s">
        <v>193</v>
      </c>
      <c r="D174" s="21" t="s">
        <v>334</v>
      </c>
      <c r="E174" s="13">
        <v>42778.524652777778</v>
      </c>
      <c r="F174" s="13">
        <v>42778.526493055557</v>
      </c>
      <c r="G174" s="7">
        <v>1</v>
      </c>
      <c r="H174" s="21" t="s">
        <v>785</v>
      </c>
      <c r="I174" s="13">
        <v>42778.537395833337</v>
      </c>
      <c r="J174" s="7">
        <v>0</v>
      </c>
      <c r="K174" s="98" t="str">
        <f>IF(ISEVEN(B174),(B174-1)&amp;"/"&amp;B174,B174&amp;"/"&amp;(B174+1))</f>
        <v>4027/4028</v>
      </c>
      <c r="L174" s="21" t="str">
        <f>VLOOKUP(A174,'Trips&amp;Operators'!$C$1:$G$99999,5,FALSE)</f>
        <v>YORK EDGAR</v>
      </c>
      <c r="M174" s="6">
        <f>I174-F174</f>
        <v>1.0902777779847383E-2</v>
      </c>
      <c r="N174" s="7">
        <f>24*60*SUM($M174:$M174)</f>
        <v>15.700000002980232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-02-12T11:35:30-0700',mode:absolute,to:'2017-02-12T13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188" t="str">
        <f>IF(AA174&lt;IF(AG174="EC",23,5.65),"Y","N")</f>
        <v>N</v>
      </c>
      <c r="X174" s="188">
        <f>VALUE(LEFT(AD174,4))-VALUE(LEFT(AD173,4))</f>
        <v>1</v>
      </c>
      <c r="Y174" s="62">
        <f>RIGHT(D174,LEN(D174)-4)/10000</f>
        <v>5.8615000000000004</v>
      </c>
      <c r="Z174" s="62">
        <f>RIGHT(H174,LEN(H174)-4)/10000</f>
        <v>7.3400000000000007E-2</v>
      </c>
      <c r="AA174" s="62">
        <f>ABS(Z174-Y174)</f>
        <v>5.7881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>IF(LEN(A174)=6,"0"&amp;A174,A174)</f>
        <v>1814-12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74" s="8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/stypes="app*4028*20170212*" /stext=" 19:.+((SYSTEM_STATE.+slice.+state.+changed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6" t="str">
        <f t="shared" si="10"/>
        <v>"%USERPROFILE%\Documents\GitHub\eaglep3\Utilities\RefineRTDCRunTimes.py" --tripid 1814-12 --locoid 4028 --swversion DE.1.0.8.0 --startMP 300:58615 --initTime 2017-02-12T12:35:30 --startdatetime 2017-02-12T12:38:09 --delay 1 --endMP 204:734 --enddatetime 2017-02-12T12:53:51 --enforcementcount 0 &gt;&gt;C:\Users\stu\Documents\GitHub\eaglep3-reporting\EC\2017-02-12-refined-times.txt</v>
      </c>
      <c r="AI174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{"issue":{"subject":"","project_id":79,"tracker_id":40,"status_id":1,"priority_id":2,"assigned_to_id":23,"start_date":"2017-02-12","description":"","custom_fields":[{"id":1,"name":"Subdivision","value":"NW"},{"id":4,"name":"Milepost","value":"0.0734"},{"id":17,"name":"Train ID","value":"1814-12"},{"id":16,"name":"Locomotive ID","value":"4028"},{"id":130,"name":"Impact","value":""},{"id":150,"name":"Time of Event (Mountain Time)","value":"12:53:51"},{"id":151,"name":"Denver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2"/>
        <v>start /low /b %USERPROFILE%\Documents\GitHub\eaglep3\Utilities\DownloadLogsFromS3.py --loco 4028 --day 2017-02-12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75" spans="1:91" x14ac:dyDescent="0.25">
      <c r="A175" s="33" t="s">
        <v>638</v>
      </c>
      <c r="B175" s="7">
        <v>4027</v>
      </c>
      <c r="C175" s="21" t="s">
        <v>193</v>
      </c>
      <c r="D175" s="21" t="s">
        <v>801</v>
      </c>
      <c r="E175" s="13">
        <v>42778.555046296293</v>
      </c>
      <c r="F175" s="13">
        <v>42778.556562500002</v>
      </c>
      <c r="G175" s="7">
        <v>0</v>
      </c>
      <c r="H175" s="21" t="s">
        <v>802</v>
      </c>
      <c r="I175" s="13">
        <v>42778.565081018518</v>
      </c>
      <c r="J175" s="7">
        <v>0</v>
      </c>
      <c r="K175" s="98" t="str">
        <f>IF(ISEVEN(B175),(B175-1)&amp;"/"&amp;B175,B175&amp;"/"&amp;(B175+1))</f>
        <v>4027/4028</v>
      </c>
      <c r="L175" s="21" t="str">
        <f>VLOOKUP(A175,'Trips&amp;Operators'!$C$1:$G$99999,5,FALSE)</f>
        <v>YORK EDGAR</v>
      </c>
      <c r="M175" s="6">
        <f>I175-F175</f>
        <v>8.5185185162117705E-3</v>
      </c>
      <c r="N175" s="7">
        <f>24*60*SUM($M175:$M175)</f>
        <v>12.266666663344949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-02-12T12:19:16-0700',mode:absolute,to:'2017-02-12T14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188" t="str">
        <f>IF(AA175&lt;IF(AG175="EC",23,5.65),"Y","N")</f>
        <v>N</v>
      </c>
      <c r="X175" s="188">
        <f>VALUE(LEFT(AD175,4))-VALUE(LEFT(AD174,4))</f>
        <v>1</v>
      </c>
      <c r="Y175" s="62">
        <f>RIGHT(D175,LEN(D175)-4)/10000</f>
        <v>0.1014</v>
      </c>
      <c r="Z175" s="62">
        <f>RIGHT(H175,LEN(H175)-4)/10000</f>
        <v>5.8921999999999999</v>
      </c>
      <c r="AA175" s="62">
        <f>ABS(Z175-Y175)</f>
        <v>5.7907999999999999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>IF(LEN(A175)=6,"0"&amp;A175,A175)</f>
        <v>1815-12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75" s="8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/stypes="app*4027*20170212*" /stext=" 20:.+((SYSTEM_STATE.+slice.+state.+changed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6" t="str">
        <f t="shared" si="10"/>
        <v>"%USERPROFILE%\Documents\GitHub\eaglep3\Utilities\RefineRTDCRunTimes.py" --tripid 1815-12 --locoid 4027 --swversion DE.1.0.8.0 --startMP 204:1014 --initTime 2017-02-12T13:19:16 --startdatetime 2017-02-12T13:21:27 --delay 0 --endMP 300:58922 --enddatetime 2017-02-12T13:33:43 --enforcementcount 0 &gt;&gt;C:\Users\stu\Documents\GitHub\eaglep3-reporting\EC\2017-02-12-refined-times.txt</v>
      </c>
      <c r="AI175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{"issue":{"subject":"","project_id":79,"tracker_id":40,"status_id":1,"priority_id":2,"assigned_to_id":23,"start_date":"2017-02-12","description":"","custom_fields":[{"id":1,"name":"Subdivision","value":"NW"},{"id":4,"name":"Milepost","value":"5.8922"},{"id":17,"name":"Train ID","value":"1815-12"},{"id":16,"name":"Locomotive ID","value":"4027"},{"id":130,"name":"Impact","value":""},{"id":150,"name":"Time of Event (Mountain Time)","value":"13:33:43"},{"id":151,"name":"Denver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2"/>
        <v>start /low /b %USERPROFILE%\Documents\GitHub\eaglep3\Utilities\DownloadLogsFromS3.py --loco 4027 --day 2017-02-12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</row>
    <row r="176" spans="1:91" x14ac:dyDescent="0.25">
      <c r="A176" s="33" t="s">
        <v>524</v>
      </c>
      <c r="B176" s="7">
        <v>4028</v>
      </c>
      <c r="C176" s="21" t="s">
        <v>193</v>
      </c>
      <c r="D176" s="21" t="s">
        <v>513</v>
      </c>
      <c r="E176" s="13">
        <v>42778.566041666665</v>
      </c>
      <c r="F176" s="13">
        <v>42778.569120370368</v>
      </c>
      <c r="G176" s="7">
        <v>1</v>
      </c>
      <c r="H176" s="21" t="s">
        <v>803</v>
      </c>
      <c r="I176" s="13">
        <v>42778.581736111111</v>
      </c>
      <c r="J176" s="7">
        <v>0</v>
      </c>
      <c r="K176" s="98" t="str">
        <f>IF(ISEVEN(B176),(B176-1)&amp;"/"&amp;B176,B176&amp;"/"&amp;(B176+1))</f>
        <v>4027/4028</v>
      </c>
      <c r="L176" s="21" t="str">
        <f>VLOOKUP(A176,'Trips&amp;Operators'!$C$1:$G$99999,5,FALSE)</f>
        <v>YORK EDGAR</v>
      </c>
      <c r="M176" s="6">
        <f>I176-F176</f>
        <v>1.2615740743058268E-2</v>
      </c>
      <c r="N176" s="7">
        <f>24*60*SUM($M176:$M176)</f>
        <v>18.166666670003906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-02-12T12:35:06-0700',mode:absolute,to:'2017-02-12T14:57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188" t="str">
        <f>IF(AA176&lt;IF(AG176="EC",23,5.65),"Y","N")</f>
        <v>N</v>
      </c>
      <c r="X176" s="188">
        <f>VALUE(LEFT(AD176,4))-VALUE(LEFT(AD175,4))</f>
        <v>1</v>
      </c>
      <c r="Y176" s="62">
        <f>RIGHT(D176,LEN(D176)-4)/10000</f>
        <v>5.8611000000000004</v>
      </c>
      <c r="Z176" s="62">
        <f>RIGHT(H176,LEN(H176)-4)/10000</f>
        <v>8.3599999999999994E-2</v>
      </c>
      <c r="AA176" s="62">
        <f>ABS(Z176-Y176)</f>
        <v>5.7775000000000007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>IF(LEN(A176)=6,"0"&amp;A176,A176)</f>
        <v>1816-12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76" s="8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/stypes="app*4028*20170212*" /stext=" 20:.+((SYSTEM_STATE.+slice.+state.+changed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6" t="str">
        <f t="shared" si="10"/>
        <v>"%USERPROFILE%\Documents\GitHub\eaglep3\Utilities\RefineRTDCRunTimes.py" --tripid 1816-12 --locoid 4028 --swversion DE.1.0.8.0 --startMP 300:58611 --initTime 2017-02-12T13:35:06 --startdatetime 2017-02-12T13:39:32 --delay 1 --endMP 204:836 --enddatetime 2017-02-12T13:57:42 --enforcementcount 0 &gt;&gt;C:\Users\stu\Documents\GitHub\eaglep3-reporting\EC\2017-02-12-refined-times.txt</v>
      </c>
      <c r="AI176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{"issue":{"subject":"","project_id":79,"tracker_id":40,"status_id":1,"priority_id":2,"assigned_to_id":23,"start_date":"2017-02-12","description":"","custom_fields":[{"id":1,"name":"Subdivision","value":"NW"},{"id":4,"name":"Milepost","value":"0.0836"},{"id":17,"name":"Train ID","value":"1816-12"},{"id":16,"name":"Locomotive ID","value":"4028"},{"id":130,"name":"Impact","value":""},{"id":150,"name":"Time of Event (Mountain Time)","value":"13:57:42"},{"id":151,"name":"Denver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2"/>
        <v>start /low /b %USERPROFILE%\Documents\GitHub\eaglep3\Utilities\DownloadLogsFromS3.py --loco 4028 --day 2017-02-12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77" spans="1:91" s="20" customFormat="1" x14ac:dyDescent="0.25">
      <c r="A177" s="33" t="s">
        <v>645</v>
      </c>
      <c r="B177" s="7">
        <v>4027</v>
      </c>
      <c r="C177" s="21" t="s">
        <v>193</v>
      </c>
      <c r="D177" s="21" t="s">
        <v>804</v>
      </c>
      <c r="E177" s="13">
        <v>42778.596145833333</v>
      </c>
      <c r="F177" s="13">
        <v>42778.598090277781</v>
      </c>
      <c r="G177" s="7">
        <v>1</v>
      </c>
      <c r="H177" s="21" t="s">
        <v>805</v>
      </c>
      <c r="I177" s="13">
        <v>42778.607870370368</v>
      </c>
      <c r="J177" s="7">
        <v>0</v>
      </c>
      <c r="K177" s="98" t="str">
        <f>IF(ISEVEN(B177),(B177-1)&amp;"/"&amp;B177,B177&amp;"/"&amp;(B177+1))</f>
        <v>4027/4028</v>
      </c>
      <c r="L177" s="21" t="str">
        <f>VLOOKUP(A177,'Trips&amp;Operators'!$C$1:$G$99999,5,FALSE)</f>
        <v>HELVIE ADAM</v>
      </c>
      <c r="M177" s="6">
        <f>I177-F177</f>
        <v>9.7800925868796185E-3</v>
      </c>
      <c r="N177" s="7">
        <f>24*60*SUM($M177:$M177)</f>
        <v>14.083333325106651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-02-12T13:18:27-0700',mode:absolute,to:'2017-02-12T15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188" t="str">
        <f>IF(AA177&lt;IF(AG177="EC",23,5.65),"Y","N")</f>
        <v>N</v>
      </c>
      <c r="X177" s="188">
        <f>VALUE(LEFT(AD177,4))-VALUE(LEFT(AD176,4))</f>
        <v>1</v>
      </c>
      <c r="Y177" s="62">
        <f>RIGHT(D177,LEN(D177)-4)/10000</f>
        <v>0.1123</v>
      </c>
      <c r="Z177" s="62">
        <f>RIGHT(H177,LEN(H177)-4)/10000</f>
        <v>5.8944000000000001</v>
      </c>
      <c r="AA177" s="62">
        <f>ABS(Z177-Y177)</f>
        <v>5.7820999999999998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>IF(LEN(A177)=6,"0"&amp;A177,A177)</f>
        <v>1817-12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77" s="8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/stypes="app*4027*20170212*" /stext=" 21:.+((SYSTEM_STATE.+slice.+state.+changed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6" t="str">
        <f t="shared" si="10"/>
        <v>"%USERPROFILE%\Documents\GitHub\eaglep3\Utilities\RefineRTDCRunTimes.py" --tripid 1817-12 --locoid 4027 --swversion DE.1.0.8.0 --startMP 204:1123 --initTime 2017-02-12T14:18:27 --startdatetime 2017-02-12T14:21:15 --delay 1 --endMP 300:58944 --enddatetime 2017-02-12T14:35:20 --enforcementcount 0 &gt;&gt;C:\Users\stu\Documents\GitHub\eaglep3-reporting\EC\2017-02-12-refined-times.txt</v>
      </c>
      <c r="AI177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{"issue":{"subject":"","project_id":79,"tracker_id":40,"status_id":1,"priority_id":2,"assigned_to_id":23,"start_date":"2017-02-12","description":"","custom_fields":[{"id":1,"name":"Subdivision","value":"NW"},{"id":4,"name":"Milepost","value":"5.8944"},{"id":17,"name":"Train ID","value":"1817-12"},{"id":16,"name":"Locomotive ID","value":"4027"},{"id":130,"name":"Impact","value":""},{"id":150,"name":"Time of Event (Mountain Time)","value":"14:35:20"},{"id":151,"name":"Denver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2"/>
        <v>start /low /b %USERPROFILE%\Documents\GitHub\eaglep3\Utilities\DownloadLogsFromS3.py --loco 4027 --day 2017-02-12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652</v>
      </c>
      <c r="B178" s="7">
        <v>4028</v>
      </c>
      <c r="C178" s="21" t="s">
        <v>193</v>
      </c>
      <c r="D178" s="21" t="s">
        <v>806</v>
      </c>
      <c r="E178" s="13">
        <v>42778.611041666663</v>
      </c>
      <c r="F178" s="13">
        <v>42778.612557870372</v>
      </c>
      <c r="G178" s="7">
        <v>1</v>
      </c>
      <c r="H178" s="21" t="s">
        <v>807</v>
      </c>
      <c r="I178" s="13">
        <v>42778.621539351851</v>
      </c>
      <c r="J178" s="7">
        <v>0</v>
      </c>
      <c r="K178" s="98" t="str">
        <f>IF(ISEVEN(B178),(B178-1)&amp;"/"&amp;B178,B178&amp;"/"&amp;(B178+1))</f>
        <v>4027/4028</v>
      </c>
      <c r="L178" s="21" t="str">
        <f>VLOOKUP(A178,'Trips&amp;Operators'!$C$1:$G$99999,5,FALSE)</f>
        <v>HELVIE ADAM</v>
      </c>
      <c r="M178" s="6">
        <f>I178-F178</f>
        <v>8.9814814782585017E-3</v>
      </c>
      <c r="N178" s="7">
        <f>24*60*SUM($M178:$M178)</f>
        <v>12.933333328692243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-02-12T13:39:54-0700',mode:absolute,to:'2017-02-12T15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188" t="str">
        <f>IF(AA178&lt;IF(AG178="EC",23,5.65),"Y","N")</f>
        <v>N</v>
      </c>
      <c r="X178" s="188">
        <f>VALUE(LEFT(AD178,4))-VALUE(LEFT(AD177,4))</f>
        <v>1</v>
      </c>
      <c r="Y178" s="62">
        <f>RIGHT(D178,LEN(D178)-4)/10000</f>
        <v>5.8624000000000001</v>
      </c>
      <c r="Z178" s="62">
        <f>RIGHT(H178,LEN(H178)-4)/10000</f>
        <v>7.4499999999999997E-2</v>
      </c>
      <c r="AA178" s="62">
        <f>ABS(Z178-Y178)</f>
        <v>5.7879000000000005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>IF(LEN(A178)=6,"0"&amp;A178,A178)</f>
        <v>1818-12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78" s="8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/stypes="app*4028*20170212*" /stext=" 21:.+((SYSTEM_STATE.+slice.+state.+changed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6" t="str">
        <f t="shared" si="10"/>
        <v>"%USERPROFILE%\Documents\GitHub\eaglep3\Utilities\RefineRTDCRunTimes.py" --tripid 1818-12 --locoid 4028 --swversion DE.1.0.8.0 --startMP 300:58624 --initTime 2017-02-12T14:39:54 --startdatetime 2017-02-12T14:42:05 --delay 1 --endMP 204:745 --enddatetime 2017-02-12T14:55:01 --enforcementcount 0 &gt;&gt;C:\Users\stu\Documents\GitHub\eaglep3-reporting\EC\2017-02-12-refined-times.txt</v>
      </c>
      <c r="AI178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{"issue":{"subject":"","project_id":79,"tracker_id":40,"status_id":1,"priority_id":2,"assigned_to_id":23,"start_date":"2017-02-12","description":"","custom_fields":[{"id":1,"name":"Subdivision","value":"NW"},{"id":4,"name":"Milepost","value":"0.0745"},{"id":17,"name":"Train ID","value":"1818-12"},{"id":16,"name":"Locomotive ID","value":"4028"},{"id":130,"name":"Impact","value":""},{"id":150,"name":"Time of Event (Mountain Time)","value":"14:55:01"},{"id":151,"name":"Denver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2"/>
        <v>start /low /b %USERPROFILE%\Documents\GitHub\eaglep3\Utilities\DownloadLogsFromS3.py --loco 4028 --day 2017-02-12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79" spans="1:91" s="20" customFormat="1" x14ac:dyDescent="0.25">
      <c r="A179" s="33" t="s">
        <v>529</v>
      </c>
      <c r="B179" s="7">
        <v>4027</v>
      </c>
      <c r="C179" s="21" t="s">
        <v>193</v>
      </c>
      <c r="D179" s="21" t="s">
        <v>808</v>
      </c>
      <c r="E179" s="13">
        <v>42778.63726851852</v>
      </c>
      <c r="F179" s="13">
        <v>42778.639861111114</v>
      </c>
      <c r="G179" s="7">
        <v>1</v>
      </c>
      <c r="H179" s="21" t="s">
        <v>809</v>
      </c>
      <c r="I179" s="13">
        <v>42778.648692129631</v>
      </c>
      <c r="J179" s="7">
        <v>0</v>
      </c>
      <c r="K179" s="98" t="str">
        <f>IF(ISEVEN(B179),(B179-1)&amp;"/"&amp;B179,B179&amp;"/"&amp;(B179+1))</f>
        <v>4027/4028</v>
      </c>
      <c r="L179" s="21" t="str">
        <f>VLOOKUP(A179,'Trips&amp;Operators'!$C$1:$G$99999,5,FALSE)</f>
        <v>HELVIE ADAM</v>
      </c>
      <c r="M179" s="6">
        <f>I179-F179</f>
        <v>8.8310185165028088E-3</v>
      </c>
      <c r="N179" s="7">
        <f>24*60*SUM($M179:$M179)</f>
        <v>12.716666663764045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-02-12T14:17:40-0700',mode:absolute,to:'2017-02-12T16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188" t="str">
        <f>IF(AA179&lt;IF(AG179="EC",23,5.65),"Y","N")</f>
        <v>N</v>
      </c>
      <c r="X179" s="188">
        <f>VALUE(LEFT(AD179,4))-VALUE(LEFT(AD178,4))</f>
        <v>1</v>
      </c>
      <c r="Y179" s="62">
        <f>RIGHT(D179,LEN(D179)-4)/10000</f>
        <v>0.1021</v>
      </c>
      <c r="Z179" s="62">
        <f>RIGHT(H179,LEN(H179)-4)/10000</f>
        <v>5.8940999999999999</v>
      </c>
      <c r="AA179" s="62">
        <f>ABS(Z179-Y179)</f>
        <v>5.7919999999999998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>IF(LEN(A179)=6,"0"&amp;A179,A179)</f>
        <v>1819-12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79" s="8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/stypes="app*4027*20170212*" /stext=" 22:.+((SYSTEM_STATE.+slice.+state.+changed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6" t="str">
        <f t="shared" si="10"/>
        <v>"%USERPROFILE%\Documents\GitHub\eaglep3\Utilities\RefineRTDCRunTimes.py" --tripid 1819-12 --locoid 4027 --swversion DE.1.0.8.0 --startMP 204:1021 --initTime 2017-02-12T15:17:40 --startdatetime 2017-02-12T15:21:24 --delay 1 --endMP 300:58941 --enddatetime 2017-02-12T15:34:07 --enforcementcount 0 &gt;&gt;C:\Users\stu\Documents\GitHub\eaglep3-reporting\EC\2017-02-12-refined-times.txt</v>
      </c>
      <c r="AI179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{"issue":{"subject":"","project_id":79,"tracker_id":40,"status_id":1,"priority_id":2,"assigned_to_id":23,"start_date":"2017-02-12","description":"","custom_fields":[{"id":1,"name":"Subdivision","value":"NW"},{"id":4,"name":"Milepost","value":"5.8941"},{"id":17,"name":"Train ID","value":"1819-12"},{"id":16,"name":"Locomotive ID","value":"4027"},{"id":130,"name":"Impact","value":""},{"id":150,"name":"Time of Event (Mountain Time)","value":"15:34:07"},{"id":151,"name":"Denver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2"/>
        <v>start /low /b %USERPROFILE%\Documents\GitHub\eaglep3\Utilities\DownloadLogsFromS3.py --loco 4027 --day 2017-02-12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656</v>
      </c>
      <c r="B180" s="7">
        <v>4028</v>
      </c>
      <c r="C180" s="21" t="s">
        <v>193</v>
      </c>
      <c r="D180" s="21" t="s">
        <v>810</v>
      </c>
      <c r="E180" s="13">
        <v>42778.649953703702</v>
      </c>
      <c r="F180" s="13">
        <v>42778.65116898148</v>
      </c>
      <c r="G180" s="7">
        <v>0</v>
      </c>
      <c r="H180" s="21" t="s">
        <v>491</v>
      </c>
      <c r="I180" s="13">
        <v>42778.663078703707</v>
      </c>
      <c r="J180" s="7">
        <v>0</v>
      </c>
      <c r="K180" s="98" t="str">
        <f>IF(ISEVEN(B180),(B180-1)&amp;"/"&amp;B180,B180&amp;"/"&amp;(B180+1))</f>
        <v>4027/4028</v>
      </c>
      <c r="L180" s="21" t="str">
        <f>VLOOKUP(A180,'Trips&amp;Operators'!$C$1:$G$99999,5,FALSE)</f>
        <v>HELVIE ADAM</v>
      </c>
      <c r="M180" s="6">
        <f>I180-F180</f>
        <v>1.1909722226846498E-2</v>
      </c>
      <c r="N180" s="7">
        <f>24*60*SUM($M180:$M180)</f>
        <v>17.150000006658956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-02-12T14:35:56-0700',mode:absolute,to:'2017-02-12T16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188" t="str">
        <f>IF(AA180&lt;IF(AG180="EC",23,5.65),"Y","N")</f>
        <v>N</v>
      </c>
      <c r="X180" s="188">
        <f>VALUE(LEFT(AD180,4))-VALUE(LEFT(AD179,4))</f>
        <v>1</v>
      </c>
      <c r="Y180" s="62">
        <f>RIGHT(D180,LEN(D180)-4)/10000</f>
        <v>5.8625999999999996</v>
      </c>
      <c r="Z180" s="62">
        <f>RIGHT(H180,LEN(H180)-4)/10000</f>
        <v>7.4800000000000005E-2</v>
      </c>
      <c r="AA180" s="62">
        <f>ABS(Z180-Y180)</f>
        <v>5.7877999999999998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>IF(LEN(A180)=6,"0"&amp;A180,A180)</f>
        <v>1820-12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80" s="8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/stypes="app*4028*20170212*" /stext=" 22:.+((SYSTEM_STATE.+slice.+state.+changed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6" t="str">
        <f t="shared" si="10"/>
        <v>"%USERPROFILE%\Documents\GitHub\eaglep3\Utilities\RefineRTDCRunTimes.py" --tripid 1820-12 --locoid 4028 --swversion DE.1.0.8.0 --startMP 300:58626 --initTime 2017-02-12T15:35:56 --startdatetime 2017-02-12T15:37:41 --delay 0 --endMP 204:748 --enddatetime 2017-02-12T15:54:50 --enforcementcount 0 &gt;&gt;C:\Users\stu\Documents\GitHub\eaglep3-reporting\EC\2017-02-12-refined-times.txt</v>
      </c>
      <c r="AI180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{"issue":{"subject":"","project_id":79,"tracker_id":40,"status_id":1,"priority_id":2,"assigned_to_id":23,"start_date":"2017-02-12","description":"","custom_fields":[{"id":1,"name":"Subdivision","value":"NW"},{"id":4,"name":"Milepost","value":"0.0748"},{"id":17,"name":"Train ID","value":"1820-12"},{"id":16,"name":"Locomotive ID","value":"4028"},{"id":130,"name":"Impact","value":""},{"id":150,"name":"Time of Event (Mountain Time)","value":"15:54:50"},{"id":151,"name":"Denver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2"/>
        <v>start /low /b %USERPROFILE%\Documents\GitHub\eaglep3\Utilities\DownloadLogsFromS3.py --loco 4028 --day 2017-02-12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</row>
    <row r="181" spans="1:91" x14ac:dyDescent="0.25">
      <c r="A181" s="33" t="s">
        <v>662</v>
      </c>
      <c r="B181" s="7">
        <v>4027</v>
      </c>
      <c r="C181" s="21" t="s">
        <v>193</v>
      </c>
      <c r="D181" s="21" t="s">
        <v>811</v>
      </c>
      <c r="E181" s="13">
        <v>42778.679444444446</v>
      </c>
      <c r="F181" s="13">
        <v>42778.681446759256</v>
      </c>
      <c r="G181" s="7">
        <v>1</v>
      </c>
      <c r="H181" s="21" t="s">
        <v>783</v>
      </c>
      <c r="I181" s="13">
        <v>42778.690567129626</v>
      </c>
      <c r="J181" s="7">
        <v>0</v>
      </c>
      <c r="K181" s="98" t="str">
        <f>IF(ISEVEN(B181),(B181-1)&amp;"/"&amp;B181,B181&amp;"/"&amp;(B181+1))</f>
        <v>4027/4028</v>
      </c>
      <c r="L181" s="21" t="str">
        <f>VLOOKUP(A181,'Trips&amp;Operators'!$C$1:$G$99999,5,FALSE)</f>
        <v>HELVIE ADAM</v>
      </c>
      <c r="M181" s="6">
        <f>I181-F181</f>
        <v>9.1203703705104999E-3</v>
      </c>
      <c r="N181" s="7">
        <f>24*60*SUM($M181:$M181)</f>
        <v>13.13333333353512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-02-12T15:18:24-0700',mode:absolute,to:'2017-02-12T17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188" t="str">
        <f>IF(AA181&lt;IF(AG181="EC",23,5.65),"Y","N")</f>
        <v>N</v>
      </c>
      <c r="X181" s="188">
        <f>VALUE(LEFT(AD181,4))-VALUE(LEFT(AD180,4))</f>
        <v>1</v>
      </c>
      <c r="Y181" s="62">
        <f>RIGHT(D181,LEN(D181)-4)/10000</f>
        <v>0.1041</v>
      </c>
      <c r="Z181" s="62">
        <f>RIGHT(H181,LEN(H181)-4)/10000</f>
        <v>5.8936999999999999</v>
      </c>
      <c r="AA181" s="62">
        <f>ABS(Z181-Y181)</f>
        <v>5.7896000000000001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>IF(LEN(A181)=6,"0"&amp;A181,A181)</f>
        <v>1821-12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81" s="8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/stypes="app*4027*20170212*" /stext=" 23:.+((SYSTEM_STATE.+slice.+state.+changed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6" t="str">
        <f t="shared" si="10"/>
        <v>"%USERPROFILE%\Documents\GitHub\eaglep3\Utilities\RefineRTDCRunTimes.py" --tripid 1821-12 --locoid 4027 --swversion DE.1.0.8.0 --startMP 204:1041 --initTime 2017-02-12T16:18:24 --startdatetime 2017-02-12T16:21:17 --delay 1 --endMP 300:58937 --enddatetime 2017-02-12T16:34:25 --enforcementcount 0 &gt;&gt;C:\Users\stu\Documents\GitHub\eaglep3-reporting\EC\2017-02-12-refined-times.txt</v>
      </c>
      <c r="AI181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{"issue":{"subject":"","project_id":79,"tracker_id":40,"status_id":1,"priority_id":2,"assigned_to_id":23,"start_date":"2017-02-12","description":"","custom_fields":[{"id":1,"name":"Subdivision","value":"NW"},{"id":4,"name":"Milepost","value":"5.8937"},{"id":17,"name":"Train ID","value":"1821-12"},{"id":16,"name":"Locomotive ID","value":"4027"},{"id":130,"name":"Impact","value":""},{"id":150,"name":"Time of Event (Mountain Time)","value":"16:34:25"},{"id":151,"name":"Denver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2"/>
        <v>start /low /b %USERPROFILE%\Documents\GitHub\eaglep3\Utilities\DownloadLogsFromS3.py --loco 4027 --day 2017-02-12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</row>
    <row r="182" spans="1:91" s="20" customFormat="1" x14ac:dyDescent="0.25">
      <c r="A182" s="33" t="s">
        <v>666</v>
      </c>
      <c r="B182" s="7">
        <v>4028</v>
      </c>
      <c r="C182" s="21" t="s">
        <v>193</v>
      </c>
      <c r="D182" s="21" t="s">
        <v>806</v>
      </c>
      <c r="E182" s="13">
        <v>42778.694687499999</v>
      </c>
      <c r="F182" s="13">
        <v>42778.696018518516</v>
      </c>
      <c r="G182" s="7">
        <v>1</v>
      </c>
      <c r="H182" s="21" t="s">
        <v>812</v>
      </c>
      <c r="I182" s="13">
        <v>42778.705937500003</v>
      </c>
      <c r="J182" s="7">
        <v>0</v>
      </c>
      <c r="K182" s="98" t="str">
        <f>IF(ISEVEN(B182),(B182-1)&amp;"/"&amp;B182,B182&amp;"/"&amp;(B182+1))</f>
        <v>4027/4028</v>
      </c>
      <c r="L182" s="21" t="str">
        <f>VLOOKUP(A182,'Trips&amp;Operators'!$C$1:$G$99999,5,FALSE)</f>
        <v>HELVIE ADAM</v>
      </c>
      <c r="M182" s="6">
        <f>I182-F182</f>
        <v>9.9189814864075743E-3</v>
      </c>
      <c r="N182" s="7">
        <f>24*60*SUM($M182:$M182)</f>
        <v>14.283333340426907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-02-12T15:40:21-0700',mode:absolute,to:'2017-02-12T17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188" t="str">
        <f>IF(AA182&lt;IF(AG182="EC",23,5.65),"Y","N")</f>
        <v>N</v>
      </c>
      <c r="X182" s="188">
        <f>VALUE(LEFT(AD182,4))-VALUE(LEFT(AD181,4))</f>
        <v>1</v>
      </c>
      <c r="Y182" s="62">
        <f>RIGHT(D182,LEN(D182)-4)/10000</f>
        <v>5.8624000000000001</v>
      </c>
      <c r="Z182" s="62">
        <f>RIGHT(H182,LEN(H182)-4)/10000</f>
        <v>7.2599999999999998E-2</v>
      </c>
      <c r="AA182" s="62">
        <f>ABS(Z182-Y182)</f>
        <v>5.7897999999999996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>IF(LEN(A182)=6,"0"&amp;A182,A182)</f>
        <v>1822-12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82" s="8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/stypes="app*4028*20170212*" /stext=" 23:.+((SYSTEM_STATE.+slice.+state.+changed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6" t="str">
        <f t="shared" si="10"/>
        <v>"%USERPROFILE%\Documents\GitHub\eaglep3\Utilities\RefineRTDCRunTimes.py" --tripid 1822-12 --locoid 4028 --swversion DE.1.0.8.0 --startMP 300:58624 --initTime 2017-02-12T16:40:21 --startdatetime 2017-02-12T16:42:16 --delay 1 --endMP 204:726 --enddatetime 2017-02-12T16:56:33 --enforcementcount 0 &gt;&gt;C:\Users\stu\Documents\GitHub\eaglep3-reporting\EC\2017-02-12-refined-times.txt</v>
      </c>
      <c r="AI182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{"issue":{"subject":"","project_id":79,"tracker_id":40,"status_id":1,"priority_id":2,"assigned_to_id":23,"start_date":"2017-02-12","description":"","custom_fields":[{"id":1,"name":"Subdivision","value":"NW"},{"id":4,"name":"Milepost","value":"0.0726"},{"id":17,"name":"Train ID","value":"1822-12"},{"id":16,"name":"Locomotive ID","value":"4028"},{"id":130,"name":"Impact","value":""},{"id":150,"name":"Time of Event (Mountain Time)","value":"16:56:33"},{"id":151,"name":"Denver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2"/>
        <v>start /low /b %USERPROFILE%\Documents\GitHub\eaglep3\Utilities\DownloadLogsFromS3.py --loco 4028 --day 2017-02-12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"%USERPROFILE%\AppData\Local\Temp\OnboardLogs"\RTDC4028\*4028*20170212* | grep -SE "(Enforcement Action)|(\[TIMEOUT)|(CHR.+\|PRM\|1\|D.+(SWITCH|SIGNAL).+UNKNOWN)" - &gt;&gt; 2017-02-12-UncaughtWiMAX.txt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672</v>
      </c>
      <c r="B183" s="7">
        <v>4027</v>
      </c>
      <c r="C183" s="21" t="s">
        <v>193</v>
      </c>
      <c r="D183" s="21" t="s">
        <v>813</v>
      </c>
      <c r="E183" s="13">
        <v>42778.721018518518</v>
      </c>
      <c r="F183" s="13">
        <v>42778.723090277781</v>
      </c>
      <c r="G183" s="7">
        <v>1</v>
      </c>
      <c r="H183" s="21" t="s">
        <v>814</v>
      </c>
      <c r="I183" s="13">
        <v>42778.732430555552</v>
      </c>
      <c r="J183" s="7">
        <v>0</v>
      </c>
      <c r="K183" s="98" t="str">
        <f>IF(ISEVEN(B183),(B183-1)&amp;"/"&amp;B183,B183&amp;"/"&amp;(B183+1))</f>
        <v>4027/4028</v>
      </c>
      <c r="L183" s="21" t="str">
        <f>VLOOKUP(A183,'Trips&amp;Operators'!$C$1:$G$99999,5,FALSE)</f>
        <v>HELVIE ADAM</v>
      </c>
      <c r="M183" s="6">
        <f>I183-F183</f>
        <v>9.3402777711162344E-3</v>
      </c>
      <c r="N183" s="7">
        <f>24*60*SUM($M183:$M183)</f>
        <v>13.449999990407377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-02-12T16:18:16-0700',mode:absolute,to:'2017-02-12T18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188" t="str">
        <f>IF(AA183&lt;IF(AG183="EC",23,5.65),"Y","N")</f>
        <v>N</v>
      </c>
      <c r="X183" s="188">
        <f>VALUE(LEFT(AD183,4))-VALUE(LEFT(AD182,4))</f>
        <v>1</v>
      </c>
      <c r="Y183" s="62">
        <f>RIGHT(D183,LEN(D183)-4)/10000</f>
        <v>0.1004</v>
      </c>
      <c r="Z183" s="62">
        <f>RIGHT(H183,LEN(H183)-4)/10000</f>
        <v>5.8935000000000004</v>
      </c>
      <c r="AA183" s="62">
        <f>ABS(Z183-Y183)</f>
        <v>5.7931000000000008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>IF(LEN(A183)=6,"0"&amp;A183,A183)</f>
        <v>1823-12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83" s="8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/stypes="app*4027*20170213*" /stext=" 00:.+((SYSTEM_STATE.+slice.+state.+changed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6" t="str">
        <f t="shared" si="10"/>
        <v>"%USERPROFILE%\Documents\GitHub\eaglep3\Utilities\RefineRTDCRunTimes.py" --tripid 1823-12 --locoid 4027 --swversion DE.1.0.8.0 --startMP 204:1004 --initTime 2017-02-12T17:18:16 --startdatetime 2017-02-12T17:21:15 --delay 1 --endMP 300:58935 --enddatetime 2017-02-12T17:34:42 --enforcementcount 0 &gt;&gt;C:\Users\stu\Documents\GitHub\eaglep3-reporting\EC\2017-02-12-refined-times.txt</v>
      </c>
      <c r="AI183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{"issue":{"subject":"","project_id":79,"tracker_id":40,"status_id":1,"priority_id":2,"assigned_to_id":23,"start_date":"2017-02-12","description":"","custom_fields":[{"id":1,"name":"Subdivision","value":"NW"},{"id":4,"name":"Milepost","value":"5.8935"},{"id":17,"name":"Train ID","value":"1823-12"},{"id":16,"name":"Locomotive ID","value":"4027"},{"id":130,"name":"Impact","value":""},{"id":150,"name":"Time of Event (Mountain Time)","value":"17:34:42"},{"id":151,"name":"Denver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2"/>
        <v>start /low /b %USERPROFILE%\Documents\GitHub\eaglep3\Utilities\DownloadLogsFromS3.py --loco 4027 --day 2017-02-12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2017-02-12-UncaughtWiMAX.txt</v>
      </c>
    </row>
    <row r="184" spans="1:91" s="20" customFormat="1" x14ac:dyDescent="0.25">
      <c r="A184" s="33" t="s">
        <v>677</v>
      </c>
      <c r="B184" s="7">
        <v>4028</v>
      </c>
      <c r="C184" s="21" t="s">
        <v>193</v>
      </c>
      <c r="D184" s="21" t="s">
        <v>798</v>
      </c>
      <c r="E184" s="13">
        <v>42778.735254629632</v>
      </c>
      <c r="F184" s="13">
        <v>42778.736539351848</v>
      </c>
      <c r="G184" s="7">
        <v>1</v>
      </c>
      <c r="H184" s="21" t="s">
        <v>815</v>
      </c>
      <c r="I184" s="13">
        <v>42778.746122685188</v>
      </c>
      <c r="J184" s="7">
        <v>0</v>
      </c>
      <c r="K184" s="98" t="str">
        <f>IF(ISEVEN(B184),(B184-1)&amp;"/"&amp;B184,B184&amp;"/"&amp;(B184+1))</f>
        <v>4027/4028</v>
      </c>
      <c r="L184" s="21" t="str">
        <f>VLOOKUP(A184,'Trips&amp;Operators'!$C$1:$G$99999,5,FALSE)</f>
        <v>HELVIE ADAM</v>
      </c>
      <c r="M184" s="6">
        <f>I184-F184</f>
        <v>9.5833333398331888E-3</v>
      </c>
      <c r="N184" s="7">
        <f>24*60*SUM($M184:$M184)</f>
        <v>13.800000009359792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-02-12T16:38:46-0700',mode:absolute,to:'2017-02-12T18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188" t="str">
        <f>IF(AA184&lt;IF(AG184="EC",23,5.65),"Y","N")</f>
        <v>N</v>
      </c>
      <c r="X184" s="188">
        <f>VALUE(LEFT(AD184,4))-VALUE(LEFT(AD183,4))</f>
        <v>1</v>
      </c>
      <c r="Y184" s="62">
        <f>RIGHT(D184,LEN(D184)-4)/10000</f>
        <v>5.8616999999999999</v>
      </c>
      <c r="Z184" s="62">
        <f>RIGHT(H184,LEN(H184)-4)/10000</f>
        <v>7.6399999999999996E-2</v>
      </c>
      <c r="AA184" s="62">
        <f>ABS(Z184-Y184)</f>
        <v>5.7853000000000003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>IF(LEN(A184)=6,"0"&amp;A184,A184)</f>
        <v>1824-12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84" s="8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/stypes="app*4028*20170213*" /stext=" 00:.+((SYSTEM_STATE.+slice.+state.+changed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6" t="str">
        <f t="shared" si="10"/>
        <v>"%USERPROFILE%\Documents\GitHub\eaglep3\Utilities\RefineRTDCRunTimes.py" --tripid 1824-12 --locoid 4028 --swversion DE.1.0.8.0 --startMP 300:58617 --initTime 2017-02-12T17:38:46 --startdatetime 2017-02-12T17:40:37 --delay 1 --endMP 204:764 --enddatetime 2017-02-12T17:54:25 --enforcementcount 0 &gt;&gt;C:\Users\stu\Documents\GitHub\eaglep3-reporting\EC\2017-02-12-refined-times.txt</v>
      </c>
      <c r="AI184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{"issue":{"subject":"","project_id":79,"tracker_id":40,"status_id":1,"priority_id":2,"assigned_to_id":23,"start_date":"2017-02-12","description":"","custom_fields":[{"id":1,"name":"Subdivision","value":"NW"},{"id":4,"name":"Milepost","value":"0.0764"},{"id":17,"name":"Train ID","value":"1824-12"},{"id":16,"name":"Locomotive ID","value":"4028"},{"id":130,"name":"Impact","value":""},{"id":150,"name":"Time of Event (Mountain Time)","value":"17:54:25"},{"id":151,"name":"Denver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2"/>
        <v>start /low /b %USERPROFILE%\Documents\GitHub\eaglep3\Utilities\DownloadLogsFromS3.py --loco 4028 --day 2017-02-12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2017-02-12-UncaughtWiMAX.txt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684</v>
      </c>
      <c r="B185" s="7">
        <v>4027</v>
      </c>
      <c r="C185" s="21" t="s">
        <v>193</v>
      </c>
      <c r="D185" s="21" t="s">
        <v>782</v>
      </c>
      <c r="E185" s="13">
        <v>42778.76121527778</v>
      </c>
      <c r="F185" s="13">
        <v>42778.764803240738</v>
      </c>
      <c r="G185" s="7">
        <v>2</v>
      </c>
      <c r="H185" s="21" t="s">
        <v>797</v>
      </c>
      <c r="I185" s="13">
        <v>42778.774386574078</v>
      </c>
      <c r="J185" s="7">
        <v>0</v>
      </c>
      <c r="K185" s="98" t="str">
        <f>IF(ISEVEN(B185),(B185-1)&amp;"/"&amp;B185,B185&amp;"/"&amp;(B185+1))</f>
        <v>4027/4028</v>
      </c>
      <c r="L185" s="21" t="str">
        <f>VLOOKUP(A185,'Trips&amp;Operators'!$C$1:$G$99999,5,FALSE)</f>
        <v>HELVIE ADAM</v>
      </c>
      <c r="M185" s="6">
        <f>I185-F185</f>
        <v>9.5833333398331888E-3</v>
      </c>
      <c r="N185" s="7">
        <f>24*60*SUM($M185:$M185)</f>
        <v>13.800000009359792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-02-12T17:16:09-0700',mode:absolute,to:'2017-02-12T19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188" t="str">
        <f>IF(AA185&lt;IF(AG185="EC",23,5.65),"Y","N")</f>
        <v>N</v>
      </c>
      <c r="X185" s="188">
        <f>VALUE(LEFT(AD185,4))-VALUE(LEFT(AD184,4))</f>
        <v>1</v>
      </c>
      <c r="Y185" s="62">
        <f>RIGHT(D185,LEN(D185)-4)/10000</f>
        <v>0.10299999999999999</v>
      </c>
      <c r="Z185" s="62">
        <f>RIGHT(H185,LEN(H185)-4)/10000</f>
        <v>5.8933</v>
      </c>
      <c r="AA185" s="62">
        <f>ABS(Z185-Y185)</f>
        <v>5.7903000000000002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>IF(LEN(A185)=6,"0"&amp;A185,A185)</f>
        <v>1825-12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85" s="8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/stypes="app*4027*20170213*" /stext=" 01:.+((SYSTEM_STATE.+slice.+state.+changed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6" t="str">
        <f t="shared" si="10"/>
        <v>"%USERPROFILE%\Documents\GitHub\eaglep3\Utilities\RefineRTDCRunTimes.py" --tripid 1825-12 --locoid 4027 --swversion DE.1.0.8.0 --startMP 204:1030 --initTime 2017-02-12T18:16:09 --startdatetime 2017-02-12T18:21:19 --delay 2 --endMP 300:58933 --enddatetime 2017-02-12T18:35:07 --enforcementcount 0 &gt;&gt;C:\Users\stu\Documents\GitHub\eaglep3-reporting\EC\2017-02-12-refined-times.txt</v>
      </c>
      <c r="AI185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{"issue":{"subject":"","project_id":79,"tracker_id":40,"status_id":1,"priority_id":2,"assigned_to_id":23,"start_date":"2017-02-12","description":"","custom_fields":[{"id":1,"name":"Subdivision","value":"NW"},{"id":4,"name":"Milepost","value":"5.8933"},{"id":17,"name":"Train ID","value":"1825-12"},{"id":16,"name":"Locomotive ID","value":"4027"},{"id":130,"name":"Impact","value":""},{"id":150,"name":"Time of Event (Mountain Time)","value":"18:35:07"},{"id":151,"name":"Denver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2"/>
        <v>start /low /b %USERPROFILE%\Documents\GitHub\eaglep3\Utilities\DownloadLogsFromS3.py --loco 4027 --day 2017-02-12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2017-02-12-UncaughtWiMAX.txt</v>
      </c>
    </row>
    <row r="186" spans="1:91" x14ac:dyDescent="0.25">
      <c r="A186" s="33" t="s">
        <v>688</v>
      </c>
      <c r="B186" s="7">
        <v>4028</v>
      </c>
      <c r="C186" s="21" t="s">
        <v>193</v>
      </c>
      <c r="D186" s="21" t="s">
        <v>781</v>
      </c>
      <c r="E186" s="13">
        <v>42778.77516203704</v>
      </c>
      <c r="F186" s="13">
        <v>42778.776342592595</v>
      </c>
      <c r="G186" s="7">
        <v>1</v>
      </c>
      <c r="H186" s="21" t="s">
        <v>816</v>
      </c>
      <c r="I186" s="13">
        <v>42778.787997685184</v>
      </c>
      <c r="J186" s="7">
        <v>0</v>
      </c>
      <c r="K186" s="98" t="str">
        <f>IF(ISEVEN(B186),(B186-1)&amp;"/"&amp;B186,B186&amp;"/"&amp;(B186+1))</f>
        <v>4027/4028</v>
      </c>
      <c r="L186" s="21" t="str">
        <f>VLOOKUP(A186,'Trips&amp;Operators'!$C$1:$G$99999,5,FALSE)</f>
        <v>HELVIE ADAM</v>
      </c>
      <c r="M186" s="6">
        <f>I186-F186</f>
        <v>1.1655092588625848E-2</v>
      </c>
      <c r="N186" s="7">
        <f>24*60*SUM($M186:$M186)</f>
        <v>16.783333327621222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-02-12T17:36:14-0700',mode:absolute,to:'2017-02-12T19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88" t="str">
        <f>IF(AA186&lt;IF(AG186="EC",23,5.65),"Y","N")</f>
        <v>N</v>
      </c>
      <c r="X186" s="188">
        <f>VALUE(LEFT(AD186,4))-VALUE(LEFT(AD185,4))</f>
        <v>1</v>
      </c>
      <c r="Y186" s="62">
        <f>RIGHT(D186,LEN(D186)-4)/10000</f>
        <v>5.8623000000000003</v>
      </c>
      <c r="Z186" s="62">
        <f>RIGHT(H186,LEN(H186)-4)/10000</f>
        <v>7.6200000000000004E-2</v>
      </c>
      <c r="AA186" s="62">
        <f>ABS(Z186-Y186)</f>
        <v>5.7861000000000002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>IF(LEN(A186)=6,"0"&amp;A186,A186)</f>
        <v>1826-12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86" s="8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/stypes="app*4028*20170213*" /stext=" 01:.+((SYSTEM_STATE.+slice.+state.+changed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6" t="str">
        <f t="shared" si="10"/>
        <v>"%USERPROFILE%\Documents\GitHub\eaglep3\Utilities\RefineRTDCRunTimes.py" --tripid 1826-12 --locoid 4028 --swversion DE.1.0.8.0 --startMP 300:58623 --initTime 2017-02-12T18:36:14 --startdatetime 2017-02-12T18:37:56 --delay 1 --endMP 204:762 --enddatetime 2017-02-12T18:54:43 --enforcementcount 0 &gt;&gt;C:\Users\stu\Documents\GitHub\eaglep3-reporting\EC\2017-02-12-refined-times.txt</v>
      </c>
      <c r="AI186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{"issue":{"subject":"","project_id":79,"tracker_id":40,"status_id":1,"priority_id":2,"assigned_to_id":23,"start_date":"2017-02-12","description":"","custom_fields":[{"id":1,"name":"Subdivision","value":"NW"},{"id":4,"name":"Milepost","value":"0.0762"},{"id":17,"name":"Train ID","value":"1826-12"},{"id":16,"name":"Locomotive ID","value":"4028"},{"id":130,"name":"Impact","value":""},{"id":150,"name":"Time of Event (Mountain Time)","value":"18:54:43"},{"id":151,"name":"Denver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2"/>
        <v>start /low /b %USERPROFILE%\Documents\GitHub\eaglep3\Utilities\DownloadLogsFromS3.py --loco 4028 --day 2017-02-12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2017-02-12-UncaughtWiMAX.txt</v>
      </c>
    </row>
    <row r="187" spans="1:91" x14ac:dyDescent="0.25">
      <c r="A187" s="33" t="s">
        <v>695</v>
      </c>
      <c r="B187" s="7">
        <v>4027</v>
      </c>
      <c r="C187" s="21" t="s">
        <v>193</v>
      </c>
      <c r="D187" s="21" t="s">
        <v>791</v>
      </c>
      <c r="E187" s="13">
        <v>42778.80395833333</v>
      </c>
      <c r="F187" s="13">
        <v>42778.806423611109</v>
      </c>
      <c r="G187" s="7">
        <v>1</v>
      </c>
      <c r="H187" s="21" t="s">
        <v>817</v>
      </c>
      <c r="I187" s="13">
        <v>42778.81622685185</v>
      </c>
      <c r="J187" s="7">
        <v>0</v>
      </c>
      <c r="K187" s="98" t="str">
        <f>IF(ISEVEN(B187),(B187-1)&amp;"/"&amp;B187,B187&amp;"/"&amp;(B187+1))</f>
        <v>4027/4028</v>
      </c>
      <c r="L187" s="21" t="str">
        <f>VLOOKUP(A187,'Trips&amp;Operators'!$C$1:$G$99999,5,FALSE)</f>
        <v>HELVIE ADAM</v>
      </c>
      <c r="M187" s="6">
        <f>I187-F187</f>
        <v>9.8032407404389232E-3</v>
      </c>
      <c r="N187" s="7">
        <f>24*60*SUM($M187:$M187)</f>
        <v>14.116666666232049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-02-12T18:17:42-0700',mode:absolute,to:'2017-02-12T20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188" t="str">
        <f>IF(AA187&lt;IF(AG187="EC",23,5.65),"Y","N")</f>
        <v>N</v>
      </c>
      <c r="X187" s="188">
        <f>VALUE(LEFT(AD187,4))-VALUE(LEFT(AD186,4))</f>
        <v>1</v>
      </c>
      <c r="Y187" s="62">
        <f>RIGHT(D187,LEN(D187)-4)/10000</f>
        <v>0.10489999999999999</v>
      </c>
      <c r="Z187" s="62">
        <f>RIGHT(H187,LEN(H187)-4)/10000</f>
        <v>5.8939000000000004</v>
      </c>
      <c r="AA187" s="62">
        <f>ABS(Z187-Y187)</f>
        <v>5.7890000000000006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>IF(LEN(A187)=6,"0"&amp;A187,A187)</f>
        <v>1827-12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87" s="8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/stypes="app*4027*20170213*" /stext=" 02:.+((SYSTEM_STATE.+slice.+state.+changed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6" t="str">
        <f t="shared" si="10"/>
        <v>"%USERPROFILE%\Documents\GitHub\eaglep3\Utilities\RefineRTDCRunTimes.py" --tripid 1827-12 --locoid 4027 --swversion DE.1.0.8.0 --startMP 204:1049 --initTime 2017-02-12T19:17:42 --startdatetime 2017-02-12T19:21:15 --delay 1 --endMP 300:58939 --enddatetime 2017-02-12T19:35:22 --enforcementcount 0 &gt;&gt;C:\Users\stu\Documents\GitHub\eaglep3-reporting\EC\2017-02-12-refined-times.txt</v>
      </c>
      <c r="AI187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{"issue":{"subject":"","project_id":79,"tracker_id":40,"status_id":1,"priority_id":2,"assigned_to_id":23,"start_date":"2017-02-12","description":"","custom_fields":[{"id":1,"name":"Subdivision","value":"NW"},{"id":4,"name":"Milepost","value":"5.8939"},{"id":17,"name":"Train ID","value":"1827-12"},{"id":16,"name":"Locomotive ID","value":"4027"},{"id":130,"name":"Impact","value":""},{"id":150,"name":"Time of Event (Mountain Time)","value":"19:35:22"},{"id":151,"name":"Denver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2"/>
        <v>start /low /b %USERPROFILE%\Documents\GitHub\eaglep3\Utilities\DownloadLogsFromS3.py --loco 4027 --day 2017-02-12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2017-02-12-UncaughtWiMAX.txt</v>
      </c>
    </row>
    <row r="188" spans="1:91" s="20" customFormat="1" x14ac:dyDescent="0.25">
      <c r="A188" s="33" t="s">
        <v>697</v>
      </c>
      <c r="B188" s="7">
        <v>4028</v>
      </c>
      <c r="C188" s="21" t="s">
        <v>193</v>
      </c>
      <c r="D188" s="21" t="s">
        <v>810</v>
      </c>
      <c r="E188" s="13">
        <v>42778.817245370374</v>
      </c>
      <c r="F188" s="13">
        <v>42778.818749999999</v>
      </c>
      <c r="G188" s="7">
        <v>1</v>
      </c>
      <c r="H188" s="21" t="s">
        <v>818</v>
      </c>
      <c r="I188" s="13">
        <v>42778.829467592594</v>
      </c>
      <c r="J188" s="7">
        <v>0</v>
      </c>
      <c r="K188" s="98" t="str">
        <f>IF(ISEVEN(B188),(B188-1)&amp;"/"&amp;B188,B188&amp;"/"&amp;(B188+1))</f>
        <v>4027/4028</v>
      </c>
      <c r="L188" s="21" t="str">
        <f>VLOOKUP(A188,'Trips&amp;Operators'!$C$1:$G$99999,5,FALSE)</f>
        <v>HELVIE ADAM</v>
      </c>
      <c r="M188" s="6">
        <f>I188-F188</f>
        <v>1.0717592595028691E-2</v>
      </c>
      <c r="N188" s="7">
        <f>24*60*SUM($M188:$M188)</f>
        <v>15.433333336841315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-02-12T18:36:50-0700',mode:absolute,to:'2017-02-12T20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188" t="str">
        <f>IF(AA188&lt;IF(AG188="EC",23,5.65),"Y","N")</f>
        <v>N</v>
      </c>
      <c r="X188" s="188">
        <f>VALUE(LEFT(AD188,4))-VALUE(LEFT(AD187,4))</f>
        <v>1</v>
      </c>
      <c r="Y188" s="62">
        <f>RIGHT(D188,LEN(D188)-4)/10000</f>
        <v>5.8625999999999996</v>
      </c>
      <c r="Z188" s="62">
        <f>RIGHT(H188,LEN(H188)-4)/10000</f>
        <v>7.6100000000000001E-2</v>
      </c>
      <c r="AA188" s="62">
        <f>ABS(Z188-Y188)</f>
        <v>5.7864999999999993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>IF(LEN(A188)=6,"0"&amp;A188,A188)</f>
        <v>1828-12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88" s="8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/stypes="app*4028*20170213*" /stext=" 02:.+((SYSTEM_STATE.+slice.+state.+changed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6" t="str">
        <f t="shared" si="10"/>
        <v>"%USERPROFILE%\Documents\GitHub\eaglep3\Utilities\RefineRTDCRunTimes.py" --tripid 1828-12 --locoid 4028 --swversion DE.1.0.8.0 --startMP 300:58626 --initTime 2017-02-12T19:36:50 --startdatetime 2017-02-12T19:39:00 --delay 1 --endMP 204:761 --enddatetime 2017-02-12T19:54:26 --enforcementcount 0 &gt;&gt;C:\Users\stu\Documents\GitHub\eaglep3-reporting\EC\2017-02-12-refined-times.txt</v>
      </c>
      <c r="AI188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{"issue":{"subject":"","project_id":79,"tracker_id":40,"status_id":1,"priority_id":2,"assigned_to_id":23,"start_date":"2017-02-12","description":"","custom_fields":[{"id":1,"name":"Subdivision","value":"NW"},{"id":4,"name":"Milepost","value":"0.0761"},{"id":17,"name":"Train ID","value":"1828-12"},{"id":16,"name":"Locomotive ID","value":"4028"},{"id":130,"name":"Impact","value":""},{"id":150,"name":"Time of Event (Mountain Time)","value":"19:54:26"},{"id":151,"name":"Denver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2"/>
        <v>start /low /b %USERPROFILE%\Documents\GitHub\eaglep3\Utilities\DownloadLogsFromS3.py --loco 4028 --day 2017-02-12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2017-02-12-UncaughtWiMAX.txt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702</v>
      </c>
      <c r="B189" s="7">
        <v>4027</v>
      </c>
      <c r="C189" s="21" t="s">
        <v>193</v>
      </c>
      <c r="D189" s="21" t="s">
        <v>819</v>
      </c>
      <c r="E189" s="13">
        <v>42778.845185185186</v>
      </c>
      <c r="F189" s="13">
        <v>42778.848136574074</v>
      </c>
      <c r="G189" s="7">
        <v>1</v>
      </c>
      <c r="H189" s="21" t="s">
        <v>817</v>
      </c>
      <c r="I189" s="13">
        <v>42778.857210648152</v>
      </c>
      <c r="J189" s="7">
        <v>0</v>
      </c>
      <c r="K189" s="98" t="str">
        <f>IF(ISEVEN(B189),(B189-1)&amp;"/"&amp;B189,B189&amp;"/"&amp;(B189+1))</f>
        <v>4027/4028</v>
      </c>
      <c r="L189" s="21" t="str">
        <f>VLOOKUP(A189,'Trips&amp;Operators'!$C$1:$G$99999,5,FALSE)</f>
        <v>HELVIE ADAM</v>
      </c>
      <c r="M189" s="6">
        <f>I189-F189</f>
        <v>9.0740740779438056E-3</v>
      </c>
      <c r="N189" s="7">
        <f>24*60*SUM($M189:$M189)</f>
        <v>13.06666667223908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-02-12T19:17:04-0700',mode:absolute,to:'2017-02-12T21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188" t="str">
        <f>IF(AA189&lt;IF(AG189="EC",23,5.65),"Y","N")</f>
        <v>N</v>
      </c>
      <c r="X189" s="188">
        <f>VALUE(LEFT(AD189,4))-VALUE(LEFT(AD188,4))</f>
        <v>1</v>
      </c>
      <c r="Y189" s="62">
        <f>RIGHT(D189,LEN(D189)-4)/10000</f>
        <v>0.1048</v>
      </c>
      <c r="Z189" s="62">
        <f>RIGHT(H189,LEN(H189)-4)/10000</f>
        <v>5.8939000000000004</v>
      </c>
      <c r="AA189" s="62">
        <f>ABS(Z189-Y189)</f>
        <v>5.7891000000000004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>IF(LEN(A189)=6,"0"&amp;A189,A189)</f>
        <v>1829-12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89" s="8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/stypes="app*4027*20170213*" /stext=" 03:.+((SYSTEM_STATE.+slice.+state.+changed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6" t="str">
        <f t="shared" si="10"/>
        <v>"%USERPROFILE%\Documents\GitHub\eaglep3\Utilities\RefineRTDCRunTimes.py" --tripid 1829-12 --locoid 4027 --swversion DE.1.0.8.0 --startMP 204:1048 --initTime 2017-02-12T20:17:04 --startdatetime 2017-02-12T20:21:19 --delay 1 --endMP 300:58939 --enddatetime 2017-02-12T20:34:23 --enforcementcount 0 &gt;&gt;C:\Users\stu\Documents\GitHub\eaglep3-reporting\EC\2017-02-12-refined-times.txt</v>
      </c>
      <c r="AI189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{"issue":{"subject":"","project_id":79,"tracker_id":40,"status_id":1,"priority_id":2,"assigned_to_id":23,"start_date":"2017-02-12","description":"","custom_fields":[{"id":1,"name":"Subdivision","value":"NW"},{"id":4,"name":"Milepost","value":"5.8939"},{"id":17,"name":"Train ID","value":"1829-12"},{"id":16,"name":"Locomotive ID","value":"4027"},{"id":130,"name":"Impact","value":""},{"id":150,"name":"Time of Event (Mountain Time)","value":"20:34:23"},{"id":151,"name":"Denver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2"/>
        <v>start /low /b %USERPROFILE%\Documents\GitHub\eaglep3\Utilities\DownloadLogsFromS3.py --loco 4027 --day 2017-02-12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2017-02-12-UncaughtWiMAX.txt</v>
      </c>
    </row>
    <row r="190" spans="1:91" s="20" customFormat="1" x14ac:dyDescent="0.25">
      <c r="A190" s="33" t="s">
        <v>534</v>
      </c>
      <c r="B190" s="7">
        <v>4028</v>
      </c>
      <c r="C190" s="21" t="s">
        <v>193</v>
      </c>
      <c r="D190" s="21" t="s">
        <v>820</v>
      </c>
      <c r="E190" s="13">
        <v>42778.858587962961</v>
      </c>
      <c r="F190" s="13">
        <v>42778.860439814816</v>
      </c>
      <c r="G190" s="7">
        <v>1</v>
      </c>
      <c r="H190" s="21" t="s">
        <v>739</v>
      </c>
      <c r="I190" s="13">
        <v>42778.871157407404</v>
      </c>
      <c r="J190" s="7">
        <v>0</v>
      </c>
      <c r="K190" s="98" t="str">
        <f>IF(ISEVEN(B190),(B190-1)&amp;"/"&amp;B190,B190&amp;"/"&amp;(B190+1))</f>
        <v>4027/4028</v>
      </c>
      <c r="L190" s="21" t="str">
        <f>VLOOKUP(A190,'Trips&amp;Operators'!$C$1:$G$99999,5,FALSE)</f>
        <v>HELVIE ADAM</v>
      </c>
      <c r="M190" s="6">
        <f>I190-F190</f>
        <v>1.0717592587752733E-2</v>
      </c>
      <c r="N190" s="7">
        <f>24*60*SUM($M190:$M190)</f>
        <v>15.433333326363936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-02-12T19:36:22-0700',mode:absolute,to:'2017-02-12T21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88" t="str">
        <f>IF(AA190&lt;IF(AG190="EC",23,5.65),"Y","N")</f>
        <v>N</v>
      </c>
      <c r="X190" s="188">
        <f>VALUE(LEFT(AD190,4))-VALUE(LEFT(AD189,4))</f>
        <v>1</v>
      </c>
      <c r="Y190" s="62">
        <f>RIGHT(D190,LEN(D190)-4)/10000</f>
        <v>5.8630000000000004</v>
      </c>
      <c r="Z190" s="62">
        <f>RIGHT(H190,LEN(H190)-4)/10000</f>
        <v>7.4099999999999999E-2</v>
      </c>
      <c r="AA190" s="62">
        <f>ABS(Z190-Y190)</f>
        <v>5.7889000000000008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>IF(LEN(A190)=6,"0"&amp;A190,A190)</f>
        <v>1830-12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90" s="8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/stypes="app*4028*20170213*" /stext=" 03:.+((SYSTEM_STATE.+slice.+state.+changed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6" t="str">
        <f t="shared" si="10"/>
        <v>"%USERPROFILE%\Documents\GitHub\eaglep3\Utilities\RefineRTDCRunTimes.py" --tripid 1830-12 --locoid 4028 --swversion DE.1.0.8.0 --startMP 300:58630 --initTime 2017-02-12T20:36:22 --startdatetime 2017-02-12T20:39:02 --delay 1 --endMP 204:741 --enddatetime 2017-02-12T20:54:28 --enforcementcount 0 &gt;&gt;C:\Users\stu\Documents\GitHub\eaglep3-reporting\EC\2017-02-12-refined-times.txt</v>
      </c>
      <c r="AI190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{"issue":{"subject":"","project_id":79,"tracker_id":40,"status_id":1,"priority_id":2,"assigned_to_id":23,"start_date":"2017-02-12","description":"","custom_fields":[{"id":1,"name":"Subdivision","value":"NW"},{"id":4,"name":"Milepost","value":"0.0741"},{"id":17,"name":"Train ID","value":"1830-12"},{"id":16,"name":"Locomotive ID","value":"4028"},{"id":130,"name":"Impact","value":""},{"id":150,"name":"Time of Event (Mountain Time)","value":"20:54:28"},{"id":151,"name":"Denver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2"/>
        <v>start /low /b %USERPROFILE%\Documents\GitHub\eaglep3\Utilities\DownloadLogsFromS3.py --loco 4028 --day 2017-02-12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2017-02-12-UncaughtWiMAX.txt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706</v>
      </c>
      <c r="B191" s="7">
        <v>4027</v>
      </c>
      <c r="C191" s="21" t="s">
        <v>193</v>
      </c>
      <c r="D191" s="21" t="s">
        <v>821</v>
      </c>
      <c r="E191" s="13">
        <v>42778.887881944444</v>
      </c>
      <c r="F191" s="13">
        <v>42778.889768518522</v>
      </c>
      <c r="G191" s="7">
        <v>1</v>
      </c>
      <c r="H191" s="21" t="s">
        <v>817</v>
      </c>
      <c r="I191" s="13">
        <v>42778.899386574078</v>
      </c>
      <c r="J191" s="7">
        <v>0</v>
      </c>
      <c r="K191" s="98" t="str">
        <f>IF(ISEVEN(B191),(B191-1)&amp;"/"&amp;B191,B191&amp;"/"&amp;(B191+1))</f>
        <v>4027/4028</v>
      </c>
      <c r="L191" s="21" t="str">
        <f>VLOOKUP(A191,'Trips&amp;Operators'!$C$1:$G$99999,5,FALSE)</f>
        <v>HELVIE ADAM</v>
      </c>
      <c r="M191" s="6">
        <f>I191-F191</f>
        <v>9.6180555556202307E-3</v>
      </c>
      <c r="N191" s="7">
        <f>24*60*SUM($M191:$M191)</f>
        <v>13.850000000093132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-02-12T20:18:33-0700',mode:absolute,to:'2017-02-12T22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188" t="str">
        <f>IF(AA191&lt;IF(AG191="EC",23,5.65),"Y","N")</f>
        <v>N</v>
      </c>
      <c r="X191" s="188">
        <f>VALUE(LEFT(AD191,4))-VALUE(LEFT(AD190,4))</f>
        <v>1</v>
      </c>
      <c r="Y191" s="62">
        <f>RIGHT(D191,LEN(D191)-4)/10000</f>
        <v>0.1032</v>
      </c>
      <c r="Z191" s="62">
        <f>RIGHT(H191,LEN(H191)-4)/10000</f>
        <v>5.8939000000000004</v>
      </c>
      <c r="AA191" s="62">
        <f>ABS(Z191-Y191)</f>
        <v>5.7907000000000002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>IF(LEN(A191)=6,"0"&amp;A191,A191)</f>
        <v>1831-12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91" s="8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/stypes="app*4027*20170213*" /stext=" 04:.+((SYSTEM_STATE.+slice.+state.+changed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6" t="str">
        <f t="shared" si="10"/>
        <v>"%USERPROFILE%\Documents\GitHub\eaglep3\Utilities\RefineRTDCRunTimes.py" --tripid 1831-12 --locoid 4027 --swversion DE.1.0.8.0 --startMP 204:1032 --initTime 2017-02-12T21:18:33 --startdatetime 2017-02-12T21:21:16 --delay 1 --endMP 300:58939 --enddatetime 2017-02-12T21:35:07 --enforcementcount 0 &gt;&gt;C:\Users\stu\Documents\GitHub\eaglep3-reporting\EC\2017-02-12-refined-times.txt</v>
      </c>
      <c r="AI191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{"issue":{"subject":"","project_id":79,"tracker_id":40,"status_id":1,"priority_id":2,"assigned_to_id":23,"start_date":"2017-02-12","description":"","custom_fields":[{"id":1,"name":"Subdivision","value":"NW"},{"id":4,"name":"Milepost","value":"5.8939"},{"id":17,"name":"Train ID","value":"1831-12"},{"id":16,"name":"Locomotive ID","value":"4027"},{"id":130,"name":"Impact","value":""},{"id":150,"name":"Time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2"/>
        <v>start /low /b %USERPROFILE%\Documents\GitHub\eaglep3\Utilities\DownloadLogsFromS3.py --loco 4027 --day 2017-02-12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2017-02-12-UncaughtWiMAX.txt</v>
      </c>
    </row>
    <row r="192" spans="1:91" x14ac:dyDescent="0.25">
      <c r="A192" s="33" t="s">
        <v>709</v>
      </c>
      <c r="B192" s="7">
        <v>4028</v>
      </c>
      <c r="C192" s="21" t="s">
        <v>193</v>
      </c>
      <c r="D192" s="21" t="s">
        <v>806</v>
      </c>
      <c r="E192" s="13">
        <v>42778.900381944448</v>
      </c>
      <c r="F192" s="13">
        <v>42778.90216435185</v>
      </c>
      <c r="G192" s="7">
        <v>1</v>
      </c>
      <c r="H192" s="21" t="s">
        <v>787</v>
      </c>
      <c r="I192" s="13">
        <v>42778.912800925929</v>
      </c>
      <c r="J192" s="7">
        <v>0</v>
      </c>
      <c r="K192" s="98" t="str">
        <f>IF(ISEVEN(B192),(B192-1)&amp;"/"&amp;B192,B192&amp;"/"&amp;(B192+1))</f>
        <v>4027/4028</v>
      </c>
      <c r="L192" s="21" t="str">
        <f>VLOOKUP(A192,'Trips&amp;Operators'!$C$1:$G$99999,5,FALSE)</f>
        <v>HELVIE ADAM</v>
      </c>
      <c r="M192" s="6">
        <f>I192-F192</f>
        <v>1.0636574079398997E-2</v>
      </c>
      <c r="N192" s="7">
        <f>24*60*SUM($M192:$M192)</f>
        <v>15.316666674334556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-02-12T20:36:33-0700',mode:absolute,to:'2017-02-12T22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188" t="str">
        <f>IF(AA192&lt;IF(AG192="EC",23,5.65),"Y","N")</f>
        <v>N</v>
      </c>
      <c r="X192" s="188">
        <f>VALUE(LEFT(AD192,4))-VALUE(LEFT(AD191,4))</f>
        <v>1</v>
      </c>
      <c r="Y192" s="62">
        <f>RIGHT(D192,LEN(D192)-4)/10000</f>
        <v>5.8624000000000001</v>
      </c>
      <c r="Z192" s="62">
        <f>RIGHT(H192,LEN(H192)-4)/10000</f>
        <v>7.5899999999999995E-2</v>
      </c>
      <c r="AA192" s="62">
        <f>ABS(Z192-Y192)</f>
        <v>5.7865000000000002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>IF(LEN(A192)=6,"0"&amp;A192,A192)</f>
        <v>1832-12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192" s="8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/stypes="app*4028*20170213*" /stext=" 04:.+((SYSTEM_STATE.+slice.+state.+changed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6" t="str">
        <f t="shared" si="10"/>
        <v>"%USERPROFILE%\Documents\GitHub\eaglep3\Utilities\RefineRTDCRunTimes.py" --tripid 1832-12 --locoid 4028 --swversion DE.1.0.8.0 --startMP 300:58624 --initTime 2017-02-12T21:36:33 --startdatetime 2017-02-12T21:39:07 --delay 1 --endMP 204:759 --enddatetime 2017-02-12T21:54:26 --enforcementcount 0 &gt;&gt;C:\Users\stu\Documents\GitHub\eaglep3-reporting\EC\2017-02-12-refined-times.txt</v>
      </c>
      <c r="AI192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{"issue":{"subject":"","project_id":79,"tracker_id":40,"status_id":1,"priority_id":2,"assigned_to_id":23,"start_date":"2017-02-12","description":"","custom_fields":[{"id":1,"name":"Subdivision","value":"NW"},{"id":4,"name":"Milepost","value":"0.0759"},{"id":17,"name":"Train ID","value":"1832-12"},{"id":16,"name":"Locomotive ID","value":"4028"},{"id":130,"name":"Impact","value":""},{"id":150,"name":"Time of Event (Mountain Time)","value":"21:54:26"},{"id":151,"name":"Denver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2"/>
        <v>start /low /b %USERPROFILE%\Documents\GitHub\eaglep3\Utilities\DownloadLogsFromS3.py --loco 4028 --day 2017-02-12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2017-02-12-UncaughtWiMAX.txt</v>
      </c>
    </row>
    <row r="193" spans="1:40" x14ac:dyDescent="0.25">
      <c r="A193" s="33" t="s">
        <v>712</v>
      </c>
      <c r="B193" s="7">
        <v>4027</v>
      </c>
      <c r="C193" s="21" t="s">
        <v>193</v>
      </c>
      <c r="D193" s="21" t="s">
        <v>800</v>
      </c>
      <c r="E193" s="13">
        <v>42778.928668981483</v>
      </c>
      <c r="F193" s="13">
        <v>42778.931481481479</v>
      </c>
      <c r="G193" s="7">
        <v>1</v>
      </c>
      <c r="H193" s="21" t="s">
        <v>809</v>
      </c>
      <c r="I193" s="13">
        <v>42778.940335648149</v>
      </c>
      <c r="J193" s="7">
        <v>0</v>
      </c>
      <c r="K193" s="98" t="str">
        <f>IF(ISEVEN(B193),(B193-1)&amp;"/"&amp;B193,B193&amp;"/"&amp;(B193+1))</f>
        <v>4027/4028</v>
      </c>
      <c r="L193" s="21" t="str">
        <f>VLOOKUP(A193,'Trips&amp;Operators'!$C$1:$G$99999,5,FALSE)</f>
        <v>HELVIE ADAM</v>
      </c>
      <c r="M193" s="6">
        <f>I193-F193</f>
        <v>8.8541666700621136E-3</v>
      </c>
      <c r="N193" s="7">
        <f>24*60*SUM($M193:$M193)</f>
        <v>12.750000004889444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-02-12T21:17:17-0700',mode:absolute,to:'2017-02-12T23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188" t="str">
        <f>IF(AA193&lt;IF(AG193="EC",23,5.65),"Y","N")</f>
        <v>N</v>
      </c>
      <c r="X193" s="188">
        <f>VALUE(LEFT(AD193,4))-VALUE(LEFT(AD192,4))</f>
        <v>1</v>
      </c>
      <c r="Y193" s="62">
        <f>RIGHT(D193,LEN(D193)-4)/10000</f>
        <v>0.10390000000000001</v>
      </c>
      <c r="Z193" s="62">
        <f>RIGHT(H193,LEN(H193)-4)/10000</f>
        <v>5.8940999999999999</v>
      </c>
      <c r="AA193" s="62">
        <f>ABS(Z193-Y193)</f>
        <v>5.7901999999999996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>IF(LEN(A193)=6,"0"&amp;A193,A193)</f>
        <v>1833-12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193" s="8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/stypes="app*4027*20170213*" /stext=" 05:.+((SYSTEM_STATE.+slice.+state.+changed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6" t="str">
        <f t="shared" si="10"/>
        <v>"%USERPROFILE%\Documents\GitHub\eaglep3\Utilities\RefineRTDCRunTimes.py" --tripid 1833-12 --locoid 4027 --swversion DE.1.0.8.0 --startMP 204:1039 --initTime 2017-02-12T22:17:17 --startdatetime 2017-02-12T22:21:20 --delay 1 --endMP 300:58941 --enddatetime 2017-02-12T22:34:05 --enforcementcount 0 &gt;&gt;C:\Users\stu\Documents\GitHub\eaglep3-reporting\EC\2017-02-12-refined-times.txt</v>
      </c>
      <c r="AI193" s="108" t="str">
        <f t="shared" si="11"/>
        <v>echo {"issue":{"subject":"","project_id":79,"tracker_id":40,"status_id":1,"priority_id":2,"assigned_to_id":23,"start_date":"2017-02-12","description":"","custom_fields":[{"id":1,"name":"Subdivision","value":"NW"},{"id":4,"name":"Milepost","value":"5.8941"},{"id":17,"name":"Train ID","value":"1833-12"},{"id":16,"name":"Locomotive ID","value":"4027"},{"id":130,"name":"Impact","value":""},{"id":150,"name":"Time of Event (Mountain Time)","value":"22:34:05"},{"id":151,"name":"Denver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2"/>
        <v>start /low /b %USERPROFILE%\Documents\GitHub\eaglep3\Utilities\DownloadLogsFromS3.py --loco 4027 --day 2017-02-12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"%USERPROFILE%\AppData\Local\Temp\OnboardLogs"\RTDC4027\*4027*20170213* | grep -SE "(Enforcement Action)|(\[TIMEOUT)|(CHR.+\|PRM\|1\|D.+(SWITCH|SIGNAL).+UNKNOWN)" - &gt;&gt; 2017-02-12-UncaughtWiMAX.txt</v>
      </c>
    </row>
    <row r="194" spans="1:40" x14ac:dyDescent="0.25">
      <c r="A194" s="33" t="s">
        <v>515</v>
      </c>
      <c r="B194" s="7">
        <v>4008</v>
      </c>
      <c r="C194" s="21" t="s">
        <v>193</v>
      </c>
      <c r="D194" s="21" t="s">
        <v>870</v>
      </c>
      <c r="E194" s="13">
        <v>42778.122627314813</v>
      </c>
      <c r="F194" s="13">
        <v>42778.125150462962</v>
      </c>
      <c r="G194" s="7">
        <v>3</v>
      </c>
      <c r="H194" s="21" t="s">
        <v>504</v>
      </c>
      <c r="I194" s="13">
        <v>42778.13140046296</v>
      </c>
      <c r="J194" s="7">
        <v>0</v>
      </c>
      <c r="K194" s="98" t="str">
        <f>IF(ISEVEN(B194),(B194-1)&amp;"/"&amp;B194,B194&amp;"/"&amp;(B194+1))</f>
        <v>4007/4008</v>
      </c>
      <c r="L194" s="21" t="str">
        <f>VLOOKUP(A194,'Trips&amp;Operators'!$C$1:$G$99999,5,FALSE)</f>
        <v>SWANSON BRYCE</v>
      </c>
      <c r="M194" s="6">
        <f>I194-F194</f>
        <v>6.2499999985448085E-3</v>
      </c>
      <c r="N194" s="7">
        <f>24*60*SUM($M194:$M194)</f>
        <v>8.9999999979045242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-02-12T01:56:35-0700',mode:absolute,to:'2017-02-12T04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188" t="str">
        <f>IF(AA194&lt;IF(AG194="EC",23,5.65),"Y","N")</f>
        <v>Y</v>
      </c>
      <c r="X194" s="188">
        <f>VALUE(LEFT(AD194,4))-VALUE(LEFT(AD193,4))</f>
        <v>-1531</v>
      </c>
      <c r="Y194" s="62">
        <f>RIGHT(D194,LEN(D194)-4)/10000</f>
        <v>2.2959000000000001</v>
      </c>
      <c r="Z194" s="62">
        <f>RIGHT(H194,LEN(H194)-4)/10000</f>
        <v>1.47E-2</v>
      </c>
      <c r="AA194" s="62">
        <f>ABS(Z194-Y194)</f>
        <v>2.2812000000000001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>IF(LEN(A194)=6,"0"&amp;A194,A194)</f>
        <v>0302-12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AF194" s="8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/stypes="app*4008*20170212*" /stext=" 10:.+((SYSTEM_STATE.+slice.+state.+changed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Other</v>
      </c>
      <c r="AH194" s="86" t="str">
        <f t="shared" si="10"/>
        <v>"%USERPROFILE%\Documents\GitHub\eaglep3\Utilities\RefineRTDCRunTimes.py" --tripid 302-12 --locoid 4008 --swversion DE.1.0.8.0 --startMP 300:22959 --initTime 2017-02-12T02:56:35 --startdatetime 2017-02-12T03:00:13 --delay 3 --endMP 204:147 --enddatetime 2017-02-12T03:09:13 --enforcementcount 0 &gt;&gt;C:\Users\stu\Documents\GitHub\eaglep3-reporting\EC\2017-02-12-refined-times.txt</v>
      </c>
      <c r="AI194" s="108" t="str">
        <f t="shared" si="11"/>
        <v>echo {"issue":{"subject":"","project_id":79,"tracker_id":40,"status_id":1,"priority_id":2,"assigned_to_id":23,"start_date":"2017-02-12","description":"","custom_fields":[{"id":1,"name":"Subdivision","value":"Other"},{"id":4,"name":"Milepost","value":"0.0147"},{"id":17,"name":"Train ID","value":"302-12"},{"id":16,"name":"Locomotive ID","value":"4008"},{"id":130,"name":"Impact","value":""},{"id":150,"name":"Time of Event (Mountain Time)","value":"03:09:13"},{"id":151,"name":"Denver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2"/>
        <v>start /low /b %USERPROFILE%\Documents\GitHub\eaglep3\Utilities\DownloadLogsFromS3.py --loco 4008 --day 2017-02-12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"%USERPROFILE%\AppData\Local\Temp\OnboardLogs"\RTDC4008\*4008*20170212* | grep -SE "(Enforcement Action)|(\[TIMEOUT)|(CHR.+\|PRM\|1\|D.+(SWITCH|SIGNAL).+UNKNOWN)" - &gt;&gt; 2017-02-12-UncaughtWiMAX.txt</v>
      </c>
    </row>
    <row r="195" spans="1:40" x14ac:dyDescent="0.25">
      <c r="A195" s="33" t="s">
        <v>539</v>
      </c>
      <c r="B195" s="7">
        <v>4015</v>
      </c>
      <c r="C195" s="21" t="s">
        <v>193</v>
      </c>
      <c r="D195" s="21" t="s">
        <v>871</v>
      </c>
      <c r="E195" s="13">
        <v>42778.140856481485</v>
      </c>
      <c r="F195" s="13">
        <v>42778.143449074072</v>
      </c>
      <c r="G195" s="7">
        <v>3</v>
      </c>
      <c r="H195" s="21" t="s">
        <v>872</v>
      </c>
      <c r="I195" s="13">
        <v>42778.148136574076</v>
      </c>
      <c r="J195" s="7">
        <v>0</v>
      </c>
      <c r="K195" s="98" t="str">
        <f>IF(ISEVEN(B195),(B195-1)&amp;"/"&amp;B195,B195&amp;"/"&amp;(B195+1))</f>
        <v>4015/4016</v>
      </c>
      <c r="L195" s="21" t="str">
        <f>VLOOKUP(A195,'Trips&amp;Operators'!$C$1:$G$99999,5,FALSE)</f>
        <v>MAELZER KURT</v>
      </c>
      <c r="M195" s="6">
        <f>I195-F195</f>
        <v>4.6875000043655746E-3</v>
      </c>
      <c r="N195" s="7">
        <f>24*60*SUM($M195:$M195)</f>
        <v>6.7500000062864274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-02-12T02:22:50-0700',mode:absolute,to:'2017-02-12T04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188" t="str">
        <f>IF(AA195&lt;IF(AG195="EC",23,5.65),"Y","N")</f>
        <v>Y</v>
      </c>
      <c r="X195" s="188">
        <f>VALUE(LEFT(AD195,4))-VALUE(LEFT(AD194,4))</f>
        <v>2</v>
      </c>
      <c r="Y195" s="62">
        <f>RIGHT(D195,LEN(D195)-4)/10000</f>
        <v>1.9699</v>
      </c>
      <c r="Z195" s="62">
        <f>RIGHT(H195,LEN(H195)-4)/10000</f>
        <v>1.34E-2</v>
      </c>
      <c r="AA195" s="62">
        <f>ABS(Z195-Y195)</f>
        <v>1.9564999999999999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>IF(LEN(A195)=6,"0"&amp;A195,A195)</f>
        <v>0304-12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s3://rtdc.mdm.uploadarchive.raw/RTDC4015/ "%USERPROFILE%\AppData\Local\Temp\OnboardLogs"\RTDC4015\2017-02-12 --exclude "*" --recursive --include "*20170212*" &amp; "%USERPROFILE%\Documents\GitHub\mrs-test-scripts\Headless Mode &amp; Sideloading\WalkAndUnGZ.bat" "%USERPROFILE%\AppData\Local\Temp\OnboardLogs"\RTDC4015\2017-02-12 &amp; aws s3 cp s3://rtdc.mdm.uploadarchive.raw/RTDC4015/ "%USERPROFILE%\AppData\Local\Temp\OnboardLogs"\RTDC4015\2017-02-13 --exclude "*" --recursive --include "*20170213*" &amp; "%USERPROFILE%\Documents\GitHub\mrs-test-scripts\Headless Mode &amp; Sideloading\WalkAndUnGZ.bat" "%USERPROFILE%\AppData\Local\Temp\OnboardLogs"\RTDC4015\2017-02-13</v>
      </c>
      <c r="AF195" s="8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/stypes="app*4015*20170212*" /stext=" 10:.+((SYSTEM_STATE.+slice.+state.+changed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Other</v>
      </c>
      <c r="AH195" s="86" t="str">
        <f t="shared" si="10"/>
        <v>"%USERPROFILE%\Documents\GitHub\eaglep3\Utilities\RefineRTDCRunTimes.py" --tripid 304-12 --locoid 4015 --swversion DE.1.0.8.0 --startMP 300:19699 --initTime 2017-02-12T03:22:50 --startdatetime 2017-02-12T03:26:34 --delay 3 --endMP 204:134 --enddatetime 2017-02-12T03:33:19 --enforcementcount 0 &gt;&gt;C:\Users\stu\Documents\GitHub\eaglep3-reporting\EC\2017-02-12-refined-times.txt</v>
      </c>
      <c r="AI195" s="108" t="str">
        <f t="shared" si="11"/>
        <v>echo {"issue":{"subject":"","project_id":79,"tracker_id":40,"status_id":1,"priority_id":2,"assigned_to_id":23,"start_date":"2017-02-12","description":"","custom_fields":[{"id":1,"name":"Subdivision","value":"Other"},{"id":4,"name":"Milepost","value":"0.0134"},{"id":17,"name":"Train ID","value":"304-12"},{"id":16,"name":"Locomotive ID","value":"4015"},{"id":130,"name":"Impact","value":""},{"id":150,"name":"Time of Event (Mountain Time)","value":"03:33:19"},{"id":151,"name":"Denver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2"/>
        <v>start /low /b %USERPROFILE%\Documents\GitHub\eaglep3\Utilities\DownloadLogsFromS3.py --loco 4015 --day 2017-02-12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"%USERPROFILE%\AppData\Local\Temp\OnboardLogs"\RTDC4015\*4015*20170212* | grep -SE "(Enforcement Action)|(\[TIMEOUT)|(CHR.+\|PRM\|1\|D.+(SWITCH|SIGNAL).+UNKNOWN)" - &gt;&gt; 2017-02-12-UncaughtWiMAX.txt</v>
      </c>
    </row>
    <row r="196" spans="1:40" x14ac:dyDescent="0.25">
      <c r="A196" s="33" t="s">
        <v>693</v>
      </c>
      <c r="B196" s="7">
        <v>4016</v>
      </c>
      <c r="C196" s="21" t="s">
        <v>193</v>
      </c>
      <c r="D196" s="21" t="s">
        <v>873</v>
      </c>
      <c r="E196" s="13">
        <v>42778.797523148147</v>
      </c>
      <c r="F196" s="13">
        <v>42778.798842592594</v>
      </c>
      <c r="G196" s="7">
        <v>1</v>
      </c>
      <c r="H196" s="21" t="s">
        <v>449</v>
      </c>
      <c r="I196" s="13">
        <v>25568.708333333332</v>
      </c>
      <c r="J196" s="7">
        <v>0</v>
      </c>
      <c r="K196" s="98" t="str">
        <f>IF(ISEVEN(B196),(B196-1)&amp;"/"&amp;B196,B196&amp;"/"&amp;(B196+1))</f>
        <v>4015/4016</v>
      </c>
      <c r="L196" s="21" t="str">
        <f>VLOOKUP(A196,'Trips&amp;Operators'!$C$1:$G$99999,5,FALSE)</f>
        <v>CRAYTON QUNTRELL</v>
      </c>
      <c r="M196" s="6">
        <f>I196-F196</f>
        <v>-17210.090509259262</v>
      </c>
      <c r="N196" s="7">
        <f>24*60*SUM($M196:$M196)</f>
        <v>-24782530.333333336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-02-12T18:08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88" t="str">
        <f>IF(AA196&lt;IF(AG196="EC",23,5.65),"Y","N")</f>
        <v>Y</v>
      </c>
      <c r="X196" s="188">
        <f>VALUE(LEFT(AD196,4))-VALUE(LEFT(AD195,4))</f>
        <v>1</v>
      </c>
      <c r="Y196" s="62">
        <f>RIGHT(D196,LEN(D196)-4)/10000</f>
        <v>0.1196</v>
      </c>
      <c r="Z196" s="62">
        <f>RIGHT(H196,LEN(H196)-4)/10000</f>
        <v>2.331</v>
      </c>
      <c r="AA196" s="62">
        <f>ABS(Z196-Y196)</f>
        <v>2.2113999999999998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>IF(LEN(A196)=6,"0"&amp;A196,A196)</f>
        <v>0305-12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AF196" s="8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Other</v>
      </c>
      <c r="AH196" s="86" t="str">
        <f t="shared" si="10"/>
        <v>"%USERPROFILE%\Documents\GitHub\eaglep3\Utilities\RefineRTDCRunTimes.py" --tripid 305-12 --locoid 4016 --swversion DE.1.0.8.0 --startMP 204:1196 --initTime 2017-02-12T19:08:26 --startdatetime 2017-02-12T19:10:20 --delay 1 --endMP 300:23310 --enddatetime 1969-12-31T17:00:00 --enforcementcount 0 &gt;&gt;C:\Users\stu\Documents\GitHub\eaglep3-reporting\EC\2017-02-12-refined-times.txt</v>
      </c>
      <c r="AI196" s="108" t="str">
        <f t="shared" si="11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ID","value":"305-12"},{"id":16,"name":"Locomotive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2"/>
        <v>start /low /b %USERPROFILE%\Documents\GitHub\eaglep3\Utilities\DownloadLogsFromS3.py --loco 4016 --day 2017-02-12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"%USERPROFILE%\AppData\Local\Temp\OnboardLogs"\RTDC4016\*4016*19930724* | grep -SE "(Enforcement Action)|(\[TIMEOUT)|(CHR.+\|PRM\|1\|D.+(SWITCH|SIGNAL).+UNKNOWN)" - &gt;&gt; 2017-02-12-UncaughtWiMAX.txt</v>
      </c>
    </row>
    <row r="197" spans="1:40" x14ac:dyDescent="0.25">
      <c r="A197" s="33" t="s">
        <v>543</v>
      </c>
      <c r="B197" s="7">
        <v>4039</v>
      </c>
      <c r="C197" s="21" t="s">
        <v>193</v>
      </c>
      <c r="D197" s="21" t="s">
        <v>874</v>
      </c>
      <c r="E197" s="13">
        <v>42778.159386574072</v>
      </c>
      <c r="F197" s="13">
        <v>42778.16138888889</v>
      </c>
      <c r="G197" s="7">
        <v>2</v>
      </c>
      <c r="H197" s="21" t="s">
        <v>341</v>
      </c>
      <c r="I197" s="13">
        <v>42778.166863425926</v>
      </c>
      <c r="J197" s="7">
        <v>0</v>
      </c>
      <c r="K197" s="98" t="str">
        <f>IF(ISEVEN(B197),(B197-1)&amp;"/"&amp;B197,B197&amp;"/"&amp;(B197+1))</f>
        <v>4039/4040</v>
      </c>
      <c r="L197" s="21" t="str">
        <f>VLOOKUP(A197,'Trips&amp;Operators'!$C$1:$G$99999,5,FALSE)</f>
        <v>BADERTSCHER DIANE</v>
      </c>
      <c r="M197" s="6">
        <f>I197-F197</f>
        <v>5.4745370362070389E-3</v>
      </c>
      <c r="N197" s="7">
        <f>24*60*SUM($M197:$M197)</f>
        <v>7.883333332138136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Southbound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-02-12T02:49:31-0700',mode:absolute,to:'2017-02-12T05:00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88" t="str">
        <f>IF(AA197&lt;IF(AG197="EC",23,5.65),"Y","N")</f>
        <v>Y</v>
      </c>
      <c r="X197" s="188">
        <f>VALUE(LEFT(AD197,4))-VALUE(LEFT(AD196,4))</f>
        <v>1</v>
      </c>
      <c r="Y197" s="62">
        <f>RIGHT(D197,LEN(D197)-4)/10000</f>
        <v>2.2357</v>
      </c>
      <c r="Z197" s="62">
        <f>RIGHT(H197,LEN(H197)-4)/10000</f>
        <v>1.41E-2</v>
      </c>
      <c r="AA197" s="62">
        <f>ABS(Z197-Y197)</f>
        <v>2.2216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>IF(LEN(A197)=6,"0"&amp;A197,A197)</f>
        <v>0306-12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s3://rtdc.mdm.uploadarchive.raw/RTDC4039/ "%USERPROFILE%\AppData\Local\Temp\OnboardLogs"\RTDC4039\2017-02-12 --exclude "*" --recursive --include "*20170212*" &amp; "%USERPROFILE%\Documents\GitHub\mrs-test-scripts\Headless Mode &amp; Sideloading\WalkAndUnGZ.bat" "%USERPROFILE%\AppData\Local\Temp\OnboardLogs"\RTDC4039\2017-02-12 &amp; aws s3 cp s3://rtdc.mdm.uploadarchive.raw/RTDC4039/ "%USERPROFILE%\AppData\Local\Temp\OnboardLogs"\RTDC4039\2017-02-13 --exclude "*" --recursive --include "*20170213*" &amp; "%USERPROFILE%\Documents\GitHub\mrs-test-scripts\Headless Mode &amp; Sideloading\WalkAndUnGZ.bat" "%USERPROFILE%\AppData\Local\Temp\OnboardLogs"\RTDC4039\2017-02-13</v>
      </c>
      <c r="AF197" s="8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/stypes="app*4039*20170212*" /stext=" 11:.+((SYSTEM_STATE.+slice.+state.+changed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Other</v>
      </c>
      <c r="AH197" s="86" t="str">
        <f t="shared" si="10"/>
        <v>"%USERPROFILE%\Documents\GitHub\eaglep3\Utilities\RefineRTDCRunTimes.py" --tripid 306-12 --locoid 4039 --swversion DE.1.0.8.0 --startMP 300:22357 --initTime 2017-02-12T03:49:31 --startdatetime 2017-02-12T03:52:24 --delay 2 --endMP 204:141 --enddatetime 2017-02-12T04:00:17 --enforcementcount 0 &gt;&gt;C:\Users\stu\Documents\GitHub\eaglep3-reporting\EC\2017-02-12-refined-times.txt</v>
      </c>
      <c r="AI197" s="108" t="str">
        <f t="shared" si="11"/>
        <v>echo {"issue":{"subject":"","project_id":79,"tracker_id":40,"status_id":1,"priority_id":2,"assigned_to_id":23,"start_date":"2017-02-12","description":"","custom_fields":[{"id":1,"name":"Subdivision","value":"Other"},{"id":4,"name":"Milepost","value":"0.0141"},{"id":17,"name":"Train ID","value":"306-12"},{"id":16,"name":"Locomotive ID","value":"4039"},{"id":130,"name":"Impact","value":""},{"id":150,"name":"Time of Event (Mountain Time)","value":"04:00:17"},{"id":151,"name":"Denver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2"/>
        <v>start /low /b %USERPROFILE%\Documents\GitHub\eaglep3\Utilities\DownloadLogsFromS3.py --loco 4039 --day 2017-02-12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"%USERPROFILE%\AppData\Local\Temp\OnboardLogs"\RTDC4039\*4039*20170212* | grep -SE "(Enforcement Action)|(\[TIMEOUT)|(CHR.+\|PRM\|1\|D.+(SWITCH|SIGNAL).+UNKNOWN)" - &gt;&gt; 2017-02-12-UncaughtWiMAX.txt</v>
      </c>
    </row>
    <row r="198" spans="1:40" x14ac:dyDescent="0.25">
      <c r="A198" s="33" t="s">
        <v>698</v>
      </c>
      <c r="B198" s="7">
        <v>4018</v>
      </c>
      <c r="C198" s="21" t="s">
        <v>193</v>
      </c>
      <c r="D198" s="21" t="s">
        <v>325</v>
      </c>
      <c r="E198" s="13">
        <v>42778.820023148146</v>
      </c>
      <c r="F198" s="13">
        <v>42778.829664351855</v>
      </c>
      <c r="G198" s="7">
        <v>1</v>
      </c>
      <c r="H198" s="21" t="s">
        <v>509</v>
      </c>
      <c r="I198" s="13">
        <v>42778.837152777778</v>
      </c>
      <c r="J198" s="7">
        <v>0</v>
      </c>
      <c r="K198" s="98" t="str">
        <f>IF(ISEVEN(B198),(B198-1)&amp;"/"&amp;B198,B198&amp;"/"&amp;(B198+1))</f>
        <v>4017/4018</v>
      </c>
      <c r="L198" s="21" t="str">
        <f>VLOOKUP(A198,'Trips&amp;Operators'!$C$1:$G$99999,5,FALSE)</f>
        <v>KILLION DAVID</v>
      </c>
      <c r="M198" s="6">
        <f>I198-F198</f>
        <v>7.4884259229293093E-3</v>
      </c>
      <c r="N198" s="7">
        <f>24*60*SUM($M198:$M198)</f>
        <v>10.783333329018205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-02-12T18:40:50-0700',mode:absolute,to:'2017-02-12T21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88" t="str">
        <f>IF(AA198&lt;IF(AG198="EC",23,5.65),"Y","N")</f>
        <v>Y</v>
      </c>
      <c r="X198" s="188">
        <f>VALUE(LEFT(AD198,4))-VALUE(LEFT(AD197,4))</f>
        <v>1</v>
      </c>
      <c r="Y198" s="62">
        <f>RIGHT(D198,LEN(D198)-4)/10000</f>
        <v>4.6399999999999997E-2</v>
      </c>
      <c r="Z198" s="62">
        <f>RIGHT(H198,LEN(H198)-4)/10000</f>
        <v>2.3346</v>
      </c>
      <c r="AA198" s="62">
        <f>ABS(Z198-Y198)</f>
        <v>2.2881999999999998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>IF(LEN(A198)=6,"0"&amp;A198,A198)</f>
        <v>0307-12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 &amp; aws s3 cp s3://rtdc.mdm.uploadarchive.raw/RTDC4018/ "%USERPROFILE%\AppData\Local\Temp\OnboardLogs"\RTDC4018\2017-02-13 --exclude "*" --recursive --include "*20170213*" &amp; "%USERPROFILE%\Documents\GitHub\mrs-test-scripts\Headless Mode &amp; Sideloading\WalkAndUnGZ.bat" "%USERPROFILE%\AppData\Local\Temp\OnboardLogs"\RTDC4018\2017-02-13</v>
      </c>
      <c r="AF198" s="8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/stypes="app*4018*20170213*" /stext=" 03:.+((SYSTEM_STATE.+slice.+state.+changed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Other</v>
      </c>
      <c r="AH198" s="86" t="str">
        <f t="shared" si="10"/>
        <v>"%USERPROFILE%\Documents\GitHub\eaglep3\Utilities\RefineRTDCRunTimes.py" --tripid 307-12 --locoid 4018 --swversion DE.1.0.8.0 --startMP 204:464 --initTime 2017-02-12T19:40:50 --startdatetime 2017-02-12T19:54:43 --delay 1 --endMP 300:23346 --enddatetime 2017-02-12T20:05:30 --enforcementcount 0 &gt;&gt;C:\Users\stu\Documents\GitHub\eaglep3-reporting\EC\2017-02-12-refined-times.txt</v>
      </c>
      <c r="AI198" s="108" t="str">
        <f t="shared" si="11"/>
        <v>echo {"issue":{"subject":"","project_id":79,"tracker_id":40,"status_id":1,"priority_id":2,"assigned_to_id":23,"start_date":"2017-02-12","description":"","custom_fields":[{"id":1,"name":"Subdivision","value":"Other"},{"id":4,"name":"Milepost","value":"2.3346"},{"id":17,"name":"Train ID","value":"307-12"},{"id":16,"name":"Locomotive ID","value":"4018"},{"id":130,"name":"Impact","value":""},{"id":150,"name":"Time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2"/>
        <v>start /low /b %USERPROFILE%\Documents\GitHub\eaglep3\Utilities\DownloadLogsFromS3.py --loco 4018 --day 2017-02-12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"%USERPROFILE%\AppData\Local\Temp\OnboardLogs"\RTDC4018\*4018*20170213* | grep -SE "(Enforcement Action)|(\[TIMEOUT)|(CHR.+\|PRM\|1\|D.+(SWITCH|SIGNAL).+UNKNOWN)" - &gt;&gt; 2017-02-12-UncaughtWiMAX.txt</v>
      </c>
    </row>
    <row r="199" spans="1:40" x14ac:dyDescent="0.25">
      <c r="A199" s="33" t="s">
        <v>546</v>
      </c>
      <c r="B199" s="7">
        <v>4030</v>
      </c>
      <c r="C199" s="21" t="s">
        <v>193</v>
      </c>
      <c r="D199" s="21" t="s">
        <v>875</v>
      </c>
      <c r="E199" s="13">
        <v>42778.178912037038</v>
      </c>
      <c r="F199" s="13">
        <v>42778.180104166669</v>
      </c>
      <c r="G199" s="7">
        <v>1</v>
      </c>
      <c r="H199" s="21" t="s">
        <v>209</v>
      </c>
      <c r="I199" s="13">
        <v>42778.185891203706</v>
      </c>
      <c r="J199" s="7">
        <v>0</v>
      </c>
      <c r="K199" s="98" t="str">
        <f>IF(ISEVEN(B199),(B199-1)&amp;"/"&amp;B199,B199&amp;"/"&amp;(B199+1))</f>
        <v>4029/4030</v>
      </c>
      <c r="L199" s="21" t="str">
        <f>VLOOKUP(A199,'Trips&amp;Operators'!$C$1:$G$99999,5,FALSE)</f>
        <v>DAVIS WENDY</v>
      </c>
      <c r="M199" s="6">
        <f>I199-F199</f>
        <v>5.7870370364980772E-3</v>
      </c>
      <c r="N199" s="7">
        <f>24*60*SUM($M199:$M199)</f>
        <v>8.3333333325572312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-02-12T03:17:38-0700',mode:absolute,to:'2017-02-12T05:27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188" t="str">
        <f>IF(AA199&lt;IF(AG199="EC",23,5.65),"Y","N")</f>
        <v>Y</v>
      </c>
      <c r="X199" s="188">
        <f>VALUE(LEFT(AD199,4))-VALUE(LEFT(AD198,4))</f>
        <v>1</v>
      </c>
      <c r="Y199" s="62">
        <f>RIGHT(D199,LEN(D199)-4)/10000</f>
        <v>2.3357000000000001</v>
      </c>
      <c r="Z199" s="62">
        <f>RIGHT(H199,LEN(H199)-4)/10000</f>
        <v>1.52E-2</v>
      </c>
      <c r="AA199" s="62">
        <f>ABS(Z199-Y199)</f>
        <v>2.3205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>IF(LEN(A199)=6,"0"&amp;A199,A199)</f>
        <v>0308-12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s3://rtdc.mdm.uploadarchive.raw/RTDC4030/ "%USERPROFILE%\AppData\Local\Temp\OnboardLogs"\RTDC4030\2017-02-12 --exclude "*" --recursive --include "*20170212*" &amp; "%USERPROFILE%\Documents\GitHub\mrs-test-scripts\Headless Mode &amp; Sideloading\WalkAndUnGZ.bat" "%USERPROFILE%\AppData\Local\Temp\OnboardLogs"\RTDC4030\2017-02-12 &amp; aws s3 cp s3://rtdc.mdm.uploadarchive.raw/RTDC4030/ "%USERPROFILE%\AppData\Local\Temp\OnboardLogs"\RTDC4030\2017-02-13 --exclude "*" --recursive --include "*20170213*" &amp; "%USERPROFILE%\Documents\GitHub\mrs-test-scripts\Headless Mode &amp; Sideloading\WalkAndUnGZ.bat" "%USERPROFILE%\AppData\Local\Temp\OnboardLogs"\RTDC4030\2017-02-13</v>
      </c>
      <c r="AF199" s="8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/stypes="app*4030*20170212*" /stext=" 11:.+((SYSTEM_STATE.+slice.+state.+changed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Other</v>
      </c>
      <c r="AH199" s="86" t="str">
        <f t="shared" si="10"/>
        <v>"%USERPROFILE%\Documents\GitHub\eaglep3\Utilities\RefineRTDCRunTimes.py" --tripid 308-12 --locoid 4030 --swversion DE.1.0.8.0 --startMP 300:23357 --initTime 2017-02-12T04:17:38 --startdatetime 2017-02-12T04:19:21 --delay 1 --endMP 204:152 --enddatetime 2017-02-12T04:27:41 --enforcementcount 0 &gt;&gt;C:\Users\stu\Documents\GitHub\eaglep3-reporting\EC\2017-02-12-refined-times.txt</v>
      </c>
      <c r="AI199" s="108" t="str">
        <f t="shared" si="11"/>
        <v>echo {"issue":{"subject":"","project_id":79,"tracker_id":40,"status_id":1,"priority_id":2,"assigned_to_id":23,"start_date":"2017-02-12","description":"","custom_fields":[{"id":1,"name":"Subdivision","value":"Other"},{"id":4,"name":"Milepost","value":"0.0152"},{"id":17,"name":"Train ID","value":"308-12"},{"id":16,"name":"Locomotive ID","value":"4030"},{"id":130,"name":"Impact","value":""},{"id":150,"name":"Time of Event (Mountain Time)","value":"04:27:41"},{"id":151,"name":"Denver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2"/>
        <v>start /low /b %USERPROFILE%\Documents\GitHub\eaglep3\Utilities\DownloadLogsFromS3.py --loco 4030 --day 2017-02-12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"%USERPROFILE%\AppData\Local\Temp\OnboardLogs"\RTDC4030\*4030*20170212* | grep -SE "(Enforcement Action)|(\[TIMEOUT)|(CHR.+\|PRM\|1\|D.+(SWITCH|SIGNAL).+UNKNOWN)" - &gt;&gt; 2017-02-12-UncaughtWiMAX.txt</v>
      </c>
    </row>
    <row r="200" spans="1:40" x14ac:dyDescent="0.25">
      <c r="A200" s="33" t="s">
        <v>725</v>
      </c>
      <c r="B200" s="7">
        <v>4007</v>
      </c>
      <c r="C200" s="21" t="s">
        <v>193</v>
      </c>
      <c r="D200" s="21" t="s">
        <v>876</v>
      </c>
      <c r="E200" s="13">
        <v>42779.047766203701</v>
      </c>
      <c r="F200" s="13">
        <v>42779.050011574072</v>
      </c>
      <c r="G200" s="7">
        <v>2</v>
      </c>
      <c r="H200" s="21" t="s">
        <v>877</v>
      </c>
      <c r="I200" s="13">
        <v>42779.059745370374</v>
      </c>
      <c r="J200" s="7">
        <v>0</v>
      </c>
      <c r="K200" s="98" t="str">
        <f>IF(ISEVEN(B200),(B200-1)&amp;"/"&amp;B200,B200&amp;"/"&amp;(B200+1))</f>
        <v>4007/4008</v>
      </c>
      <c r="L200" s="21" t="str">
        <f>VLOOKUP(A200,'Trips&amp;Operators'!$C$1:$G$99999,5,FALSE)</f>
        <v>SAFIEF AEIMEN</v>
      </c>
      <c r="M200" s="6">
        <f>I200-F200</f>
        <v>9.7337963015888818E-3</v>
      </c>
      <c r="N200" s="7">
        <f>24*60*SUM($M200:$M200)</f>
        <v>14.01666667428799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-02-13T00:08:47-0700',mode:absolute,to:'2017-02-13T02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188" t="str">
        <f>IF(AA200&lt;IF(AG200="EC",23,5.65),"Y","N")</f>
        <v>Y</v>
      </c>
      <c r="X200" s="188">
        <f>VALUE(LEFT(AD200,4))-VALUE(LEFT(AD199,4))</f>
        <v>1</v>
      </c>
      <c r="Y200" s="62">
        <f>RIGHT(D200,LEN(D200)-4)/10000</f>
        <v>4.41E-2</v>
      </c>
      <c r="Z200" s="62">
        <f>RIGHT(H200,LEN(H200)-4)/10000</f>
        <v>2.3304</v>
      </c>
      <c r="AA200" s="62">
        <f>ABS(Z200-Y200)</f>
        <v>2.2863000000000002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>IF(LEN(A200)=6,"0"&amp;A200,A200)</f>
        <v>0309-12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s3://rtdc.mdm.uploadarchive.raw/RTDC4007/ "%USERPROFILE%\AppData\Local\Temp\OnboardLogs"\RTDC4007\2017-02-13 --exclude "*" --recursive --include "*20170213*" &amp; "%USERPROFILE%\Documents\GitHub\mrs-test-scripts\Headless Mode &amp; Sideloading\WalkAndUnGZ.bat" "%USERPROFILE%\AppData\Local\Temp\OnboardLogs"\RTDC4007\2017-02-13 &amp; aws s3 cp s3://rtdc.mdm.uploadarchive.raw/RTDC4007/ "%USERPROFILE%\AppData\Local\Temp\OnboardLogs"\RTDC4007\2017-02-14 --exclude "*" --recursive --include "*20170214*" &amp; "%USERPROFILE%\Documents\GitHub\mrs-test-scripts\Headless Mode &amp; Sideloading\WalkAndUnGZ.bat" "%USERPROFILE%\AppData\Local\Temp\OnboardLogs"\RTDC4007\2017-02-14</v>
      </c>
      <c r="AF200" s="8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/stypes="app*4007*20170213*" /stext=" 08:.+((SYSTEM_STATE.+slice.+state.+changed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Other</v>
      </c>
      <c r="AH200" s="86" t="str">
        <f t="shared" si="10"/>
        <v>"%USERPROFILE%\Documents\GitHub\eaglep3\Utilities\RefineRTDCRunTimes.py" --tripid 309-12 --locoid 4007 --swversion DE.1.0.8.0 --startMP 204:441 --initTime 2017-02-13T01:08:47 --startdatetime 2017-02-13T01:12:01 --delay 2 --endMP 300:23304 --enddatetime 2017-02-13T01:26:02 --enforcementcount 0 &gt;&gt;C:\Users\stu\Documents\GitHub\eaglep3-reporting\EC\2017-02-12-refined-times.txt</v>
      </c>
      <c r="AI200" s="108" t="str">
        <f t="shared" si="11"/>
        <v>echo {"issue":{"subject":"","project_id":79,"tracker_id":40,"status_id":1,"priority_id":2,"assigned_to_id":23,"start_date":"2017-02-13","description":"","custom_fields":[{"id":1,"name":"Subdivision","value":"Other"},{"id":4,"name":"Milepost","value":"2.3304"},{"id":17,"name":"Train ID","value":"309-12"},{"id":16,"name":"Locomotive ID","value":"4007"},{"id":130,"name":"Impact","value":""},{"id":150,"name":"Time of Event (Mountain Time)","value":"01:26:02"},{"id":151,"name":"Denver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2"/>
        <v>start /low /b %USERPROFILE%\Documents\GitHub\eaglep3\Utilities\DownloadLogsFromS3.py --loco 4007 --day 2017-02-13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"%USERPROFILE%\AppData\Local\Temp\OnboardLogs"\RTDC4007\*4007*20170213* | grep -SE "(Enforcement Action)|(\[TIMEOUT)|(CHR.+\|PRM\|1\|D.+(SWITCH|SIGNAL).+UNKNOWN)" - &gt;&gt; 2017-02-12-UncaughtWiMAX.txt</v>
      </c>
    </row>
    <row r="201" spans="1:40" x14ac:dyDescent="0.25">
      <c r="A201" s="33" t="s">
        <v>516</v>
      </c>
      <c r="B201" s="7">
        <v>4032</v>
      </c>
      <c r="C201" s="21" t="s">
        <v>193</v>
      </c>
      <c r="D201" s="21" t="s">
        <v>878</v>
      </c>
      <c r="E201" s="13">
        <v>42778.180509259262</v>
      </c>
      <c r="F201" s="13">
        <v>42778.183518518519</v>
      </c>
      <c r="G201" s="7">
        <v>4</v>
      </c>
      <c r="H201" s="21" t="s">
        <v>879</v>
      </c>
      <c r="I201" s="13">
        <v>42778.19158564815</v>
      </c>
      <c r="J201" s="7">
        <v>0</v>
      </c>
      <c r="K201" s="98" t="str">
        <f>IF(ISEVEN(B201),(B201-1)&amp;"/"&amp;B201,B201&amp;"/"&amp;(B201+1))</f>
        <v>4031/4032</v>
      </c>
      <c r="L201" s="21" t="str">
        <f>VLOOKUP(A201,'Trips&amp;Operators'!$C$1:$G$99999,5,FALSE)</f>
        <v>ROBINSON KADDIBA</v>
      </c>
      <c r="M201" s="6">
        <f>I201-F201</f>
        <v>8.0671296309446916E-3</v>
      </c>
      <c r="N201" s="7">
        <f>24*60*SUM($M201:$M201)</f>
        <v>11.616666668560356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-02-12T03:19:56-0700',mode:absolute,to:'2017-02-12T05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1" s="188" t="str">
        <f>IF(AA201&lt;IF(AG201="EC",23,5.65),"Y","N")</f>
        <v>Y</v>
      </c>
      <c r="X201" s="188">
        <f>VALUE(LEFT(AD201,4))-VALUE(LEFT(AD200,4))</f>
        <v>1</v>
      </c>
      <c r="Y201" s="62">
        <f>RIGHT(D201,LEN(D201)-4)/10000</f>
        <v>2.3235000000000001</v>
      </c>
      <c r="Z201" s="62">
        <f>RIGHT(H201,LEN(H201)-4)/10000</f>
        <v>0.43240000000000001</v>
      </c>
      <c r="AA201" s="62">
        <f>ABS(Z201-Y201)</f>
        <v>1.8911000000000002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>IF(LEN(A201)=6,"0"&amp;A201,A201)</f>
        <v>0310-12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AF201" s="8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/stypes="app*4032*20170212*" /stext=" 11:.+((SYSTEM_STATE.+slice.+state.+changed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Other</v>
      </c>
      <c r="AH201" s="86" t="str">
        <f t="shared" si="10"/>
        <v>"%USERPROFILE%\Documents\GitHub\eaglep3\Utilities\RefineRTDCRunTimes.py" --tripid 310-12 --locoid 4032 --swversion DE.1.0.8.0 --startMP 300:23235 --initTime 2017-02-12T04:19:56 --startdatetime 2017-02-12T04:24:16 --delay 4 --endMP 204:4324 --enddatetime 2017-02-12T04:35:53 --enforcementcount 0 &gt;&gt;C:\Users\stu\Documents\GitHub\eaglep3-reporting\EC\2017-02-12-refined-times.txt</v>
      </c>
      <c r="AI201" s="108" t="str">
        <f t="shared" si="11"/>
        <v>echo {"issue":{"subject":"","project_id":79,"tracker_id":40,"status_id":1,"priority_id":2,"assigned_to_id":23,"start_date":"2017-02-12","description":"","custom_fields":[{"id":1,"name":"Subdivision","value":"Other"},{"id":4,"name":"Milepost","value":"0.4324"},{"id":17,"name":"Train ID","value":"310-12"},{"id":16,"name":"Locomotive ID","value":"4032"},{"id":130,"name":"Impact","value":""},{"id":150,"name":"Time of Event (Mountain Time)","value":"04:35:53"},{"id":151,"name":"Denver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2"/>
        <v>start /low /b %USERPROFILE%\Documents\GitHub\eaglep3\Utilities\DownloadLogsFromS3.py --loco 4032 --day 2017-02-12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"%USERPROFILE%\AppData\Local\Temp\OnboardLogs"\RTDC4032\*4032*20170212* | grep -SE "(Enforcement Action)|(\[TIMEOUT)|(CHR.+\|PRM\|1\|D.+(SWITCH|SIGNAL).+UNKNOWN)" - &gt;&gt; 2017-02-12-UncaughtWiMAX.txt</v>
      </c>
    </row>
    <row r="202" spans="1:40" x14ac:dyDescent="0.25">
      <c r="A202" s="33" t="s">
        <v>727</v>
      </c>
      <c r="B202" s="7">
        <v>4038</v>
      </c>
      <c r="C202" s="21" t="s">
        <v>193</v>
      </c>
      <c r="D202" s="21" t="s">
        <v>280</v>
      </c>
      <c r="E202" s="13">
        <v>42779.069710648146</v>
      </c>
      <c r="F202" s="13">
        <v>42779.071504629632</v>
      </c>
      <c r="G202" s="7">
        <v>1</v>
      </c>
      <c r="H202" s="21" t="s">
        <v>877</v>
      </c>
      <c r="I202" s="13">
        <v>42779.077986111108</v>
      </c>
      <c r="J202" s="7">
        <v>0</v>
      </c>
      <c r="K202" s="98" t="str">
        <f>IF(ISEVEN(B202),(B202-1)&amp;"/"&amp;B202,B202&amp;"/"&amp;(B202+1))</f>
        <v>4037/4038</v>
      </c>
      <c r="L202" s="21" t="str">
        <f>VLOOKUP(A202,'Trips&amp;Operators'!$C$1:$G$99999,5,FALSE)</f>
        <v>SMITH MICHAEL</v>
      </c>
      <c r="M202" s="6">
        <f>I202-F202</f>
        <v>6.4814814759301953E-3</v>
      </c>
      <c r="N202" s="7">
        <f>24*60*SUM($M202:$M202)</f>
        <v>9.3333333253394812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-02-13T00:40:23-0700',mode:absolute,to:'2017-02-13T02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2" s="188" t="str">
        <f>IF(AA202&lt;IF(AG202="EC",23,5.65),"Y","N")</f>
        <v>Y</v>
      </c>
      <c r="X202" s="188">
        <f>VALUE(LEFT(AD202,4))-VALUE(LEFT(AD201,4))</f>
        <v>1</v>
      </c>
      <c r="Y202" s="62">
        <f>RIGHT(D202,LEN(D202)-4)/10000</f>
        <v>4.5499999999999999E-2</v>
      </c>
      <c r="Z202" s="62">
        <f>RIGHT(H202,LEN(H202)-4)/10000</f>
        <v>2.3304</v>
      </c>
      <c r="AA202" s="62">
        <f>ABS(Z202-Y202)</f>
        <v>2.2848999999999999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>IF(LEN(A202)=6,"0"&amp;A202,A202)</f>
        <v>0311-12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 &amp; aws s3 cp s3://rtdc.mdm.uploadarchive.raw/RTDC4038/ "%USERPROFILE%\AppData\Local\Temp\OnboardLogs"\RTDC4038\2017-02-14 --exclude "*" --recursive --include "*20170214*" &amp; "%USERPROFILE%\Documents\GitHub\mrs-test-scripts\Headless Mode &amp; Sideloading\WalkAndUnGZ.bat" "%USERPROFILE%\AppData\Local\Temp\OnboardLogs"\RTDC4038\2017-02-14</v>
      </c>
      <c r="AF202" s="8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/stypes="app*4038*20170213*" /stext=" 08:.+((SYSTEM_STATE.+slice.+state.+changed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Other</v>
      </c>
      <c r="AH202" s="86" t="str">
        <f t="shared" si="10"/>
        <v>"%USERPROFILE%\Documents\GitHub\eaglep3\Utilities\RefineRTDCRunTimes.py" --tripid 311-12 --locoid 4038 --swversion DE.1.0.8.0 --startMP 204:455 --initTime 2017-02-13T01:40:23 --startdatetime 2017-02-13T01:42:58 --delay 1 --endMP 300:23304 --enddatetime 2017-02-13T01:52:18 --enforcementcount 0 &gt;&gt;C:\Users\stu\Documents\GitHub\eaglep3-reporting\EC\2017-02-12-refined-times.txt</v>
      </c>
      <c r="AI202" s="108" t="str">
        <f t="shared" si="11"/>
        <v>echo {"issue":{"subject":"","project_id":79,"tracker_id":40,"status_id":1,"priority_id":2,"assigned_to_id":23,"start_date":"2017-02-13","description":"","custom_fields":[{"id":1,"name":"Subdivision","value":"Other"},{"id":4,"name":"Milepost","value":"2.3304"},{"id":17,"name":"Train ID","value":"311-12"},{"id":16,"name":"Locomotive ID","value":"4038"},{"id":130,"name":"Impact","value":""},{"id":150,"name":"Time of Event (Mountain Time)","value":"01:52:18"},{"id":151,"name":"Denver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2"/>
        <v>start /low /b %USERPROFILE%\Documents\GitHub\eaglep3\Utilities\DownloadLogsFromS3.py --loco 4038 --day 2017-02-13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"%USERPROFILE%\AppData\Local\Temp\OnboardLogs"\RTDC4038\*4038*20170213* | grep -SE "(Enforcement Action)|(\[TIMEOUT)|(CHR.+\|PRM\|1\|D.+(SWITCH|SIGNAL).+UNKNOWN)" - &gt;&gt; 2017-02-12-UncaughtWiMAX.txt</v>
      </c>
    </row>
    <row r="203" spans="1:40" x14ac:dyDescent="0.25">
      <c r="A203" s="33" t="s">
        <v>728</v>
      </c>
      <c r="B203" s="7">
        <v>4029</v>
      </c>
      <c r="C203" s="21" t="s">
        <v>193</v>
      </c>
      <c r="D203" s="21" t="s">
        <v>222</v>
      </c>
      <c r="E203" s="13">
        <v>42779.089166666665</v>
      </c>
      <c r="F203" s="13">
        <v>42779.090821759259</v>
      </c>
      <c r="G203" s="7">
        <v>1</v>
      </c>
      <c r="H203" s="21" t="s">
        <v>510</v>
      </c>
      <c r="I203" s="13">
        <v>42779.097916666666</v>
      </c>
      <c r="J203" s="7">
        <v>0</v>
      </c>
      <c r="K203" s="98" t="str">
        <f>IF(ISEVEN(B203),(B203-1)&amp;"/"&amp;B203,B203&amp;"/"&amp;(B203+1))</f>
        <v>4029/4030</v>
      </c>
      <c r="L203" s="21" t="str">
        <f>VLOOKUP(A203,'Trips&amp;Operators'!$C$1:$G$99999,5,FALSE)</f>
        <v>STAMBAUGH JAMES</v>
      </c>
      <c r="M203" s="6">
        <f>I203-F203</f>
        <v>7.0949074070085771E-3</v>
      </c>
      <c r="N203" s="7">
        <f>24*60*SUM($M203:$M203)</f>
        <v>10.216666666092351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-02-13T01:08:24-0700',mode:absolute,to:'2017-02-13T03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188" t="str">
        <f>IF(AA203&lt;IF(AG203="EC",23,5.65),"Y","N")</f>
        <v>Y</v>
      </c>
      <c r="X203" s="188">
        <f>VALUE(LEFT(AD203,4))-VALUE(LEFT(AD202,4))</f>
        <v>2</v>
      </c>
      <c r="Y203" s="62">
        <f>RIGHT(D203,LEN(D203)-4)/10000</f>
        <v>4.58E-2</v>
      </c>
      <c r="Z203" s="62">
        <f>RIGHT(H203,LEN(H203)-4)/10000</f>
        <v>2.3306</v>
      </c>
      <c r="AA203" s="62">
        <f>ABS(Z203-Y203)</f>
        <v>2.2848000000000002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>IF(LEN(A203)=6,"0"&amp;A203,A203)</f>
        <v>0313-12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 &amp; aws s3 cp s3://rtdc.mdm.uploadarchive.raw/RTDC4029/ "%USERPROFILE%\AppData\Local\Temp\OnboardLogs"\RTDC4029\2017-02-14 --exclude "*" --recursive --include "*20170214*" &amp; "%USERPROFILE%\Documents\GitHub\mrs-test-scripts\Headless Mode &amp; Sideloading\WalkAndUnGZ.bat" "%USERPROFILE%\AppData\Local\Temp\OnboardLogs"\RTDC4029\2017-02-14</v>
      </c>
      <c r="AF203" s="8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/stypes="app*4029*20170213*" /stext=" 09:.+((SYSTEM_STATE.+slice.+state.+changed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Other</v>
      </c>
      <c r="AH203" s="86" t="str">
        <f t="shared" si="10"/>
        <v>"%USERPROFILE%\Documents\GitHub\eaglep3\Utilities\RefineRTDCRunTimes.py" --tripid 313-12 --locoid 4029 --swversion DE.1.0.8.0 --startMP 204:458 --initTime 2017-02-13T02:08:24 --startdatetime 2017-02-13T02:10:47 --delay 1 --endMP 300:23306 --enddatetime 2017-02-13T02:21:00 --enforcementcount 0 &gt;&gt;C:\Users\stu\Documents\GitHub\eaglep3-reporting\EC\2017-02-12-refined-times.txt</v>
      </c>
      <c r="AI203" s="108" t="str">
        <f t="shared" si="11"/>
        <v>echo {"issue":{"subject":"","project_id":79,"tracker_id":40,"status_id":1,"priority_id":2,"assigned_to_id":23,"start_date":"2017-02-13","description":"","custom_fields":[{"id":1,"name":"Subdivision","value":"Other"},{"id":4,"name":"Milepost","value":"2.3306"},{"id":17,"name":"Train ID","value":"313-12"},{"id":16,"name":"Locomotive ID","value":"4029"},{"id":130,"name":"Impact","value":""},{"id":150,"name":"Time of Event (Mountain Time)","value":"02:21:00"},{"id":151,"name":"Denver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2"/>
        <v>start /low /b %USERPROFILE%\Documents\GitHub\eaglep3\Utilities\DownloadLogsFromS3.py --loco 4029 --day 2017-02-13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"%USERPROFILE%\AppData\Local\Temp\OnboardLogs"\RTDC4029\*4029*20170213* | grep -SE "(Enforcement Action)|(\[TIMEOUT)|(CHR.+\|PRM\|1\|D.+(SWITCH|SIGNAL).+UNKNOWN)" - &gt;&gt; 2017-02-12-UncaughtWiMAX.txt</v>
      </c>
    </row>
    <row r="204" spans="1:40" x14ac:dyDescent="0.25">
      <c r="A204" s="33" t="s">
        <v>724</v>
      </c>
      <c r="B204" s="7">
        <v>4009</v>
      </c>
      <c r="C204" s="21" t="s">
        <v>193</v>
      </c>
      <c r="D204" s="21" t="s">
        <v>239</v>
      </c>
      <c r="E204" s="13">
        <v>42779.027951388889</v>
      </c>
      <c r="F204" s="13">
        <v>42779.029629629629</v>
      </c>
      <c r="G204" s="7">
        <v>1</v>
      </c>
      <c r="H204" s="21" t="s">
        <v>880</v>
      </c>
      <c r="I204" s="13">
        <v>42779.036400462966</v>
      </c>
      <c r="J204" s="7">
        <v>0</v>
      </c>
      <c r="K204" s="98" t="str">
        <f>IF(ISEVEN(B204),(B204-1)&amp;"/"&amp;B204,B204&amp;"/"&amp;(B204+1))</f>
        <v>4009/4010</v>
      </c>
      <c r="L204" s="21" t="str">
        <f>VLOOKUP(A204,'Trips&amp;Operators'!$C$1:$G$99999,5,FALSE)</f>
        <v>CHANDLER KELVIN</v>
      </c>
      <c r="M204" s="6">
        <f>I204-F204</f>
        <v>6.7708333372138441E-3</v>
      </c>
      <c r="N204" s="7">
        <f>24*60*SUM($M204:$M204)</f>
        <v>9.7500000055879354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7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-02-12T23:40:15-0700',mode:absolute,to:'2017-02-13T01:52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4" s="188" t="str">
        <f>IF(AA204&lt;IF(AG204="EC",23,5.65),"Y","N")</f>
        <v>Y</v>
      </c>
      <c r="X204" s="188">
        <f>VALUE(LEFT(AD204,4))-VALUE(LEFT(AD203,4))</f>
        <v>2</v>
      </c>
      <c r="Y204" s="62">
        <f>RIGHT(D204,LEN(D204)-4)/10000</f>
        <v>4.5999999999999999E-2</v>
      </c>
      <c r="Z204" s="62">
        <f>RIGHT(H204,LEN(H204)-4)/10000</f>
        <v>2.3302</v>
      </c>
      <c r="AA204" s="62">
        <f>ABS(Z204-Y204)</f>
        <v>2.2842000000000002</v>
      </c>
      <c r="AB204" s="59" t="e">
        <f>VLOOKUP(A204,Enforcements!$C$7:$K$14,8,0)</f>
        <v>#N/A</v>
      </c>
      <c r="AC204" s="55" t="e">
        <f>VLOOKUP(A204,Enforcements!$C$7:$E$14,3,0)</f>
        <v>#N/A</v>
      </c>
      <c r="AD204" s="56" t="str">
        <f>IF(LEN(A204)=6,"0"&amp;A204,A204)</f>
        <v>0315-12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 &amp; aws s3 cp s3://rtdc.mdm.uploadarchive.raw/RTDC4009/ "%USERPROFILE%\AppData\Local\Temp\OnboardLogs"\RTDC4009\2017-02-14 --exclude "*" --recursive --include "*20170214*" &amp; "%USERPROFILE%\Documents\GitHub\mrs-test-scripts\Headless Mode &amp; Sideloading\WalkAndUnGZ.bat" "%USERPROFILE%\AppData\Local\Temp\OnboardLogs"\RTDC4009\2017-02-14</v>
      </c>
      <c r="AF204" s="8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/stypes="app*4009*20170213*" /stext=" 07:.+((SYSTEM_STATE.+slice.+state.+changed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Other</v>
      </c>
      <c r="AH204" s="86" t="str">
        <f t="shared" si="10"/>
        <v>"%USERPROFILE%\Documents\GitHub\eaglep3\Utilities\RefineRTDCRunTimes.py" --tripid 315-12 --locoid 4009 --swversion DE.1.0.8.0 --startMP 204:460 --initTime 2017-02-13T00:40:15 --startdatetime 2017-02-13T00:42:40 --delay 1 --endMP 300:23302 --enddatetime 2017-02-13T00:52:25 --enforcementcount 0 &gt;&gt;C:\Users\stu\Documents\GitHub\eaglep3-reporting\EC\2017-02-12-refined-times.txt</v>
      </c>
      <c r="AI204" s="108" t="str">
        <f t="shared" si="11"/>
        <v>echo {"issue":{"subject":"","project_id":79,"tracker_id":40,"status_id":1,"priority_id":2,"assigned_to_id":23,"start_date":"2017-02-13","description":"","custom_fields":[{"id":1,"name":"Subdivision","value":"Other"},{"id":4,"name":"Milepost","value":"2.3302"},{"id":17,"name":"Train ID","value":"315-12"},{"id":16,"name":"Locomotive ID","value":"4009"},{"id":130,"name":"Impact","value":""},{"id":150,"name":"Time of Event (Mountain Time)","value":"00:52:25"},{"id":151,"name":"Denver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2"/>
        <v>start /low /b %USERPROFILE%\Documents\GitHub\eaglep3\Utilities\DownloadLogsFromS3.py --loco 4009 --day 2017-02-13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"%USERPROFILE%\AppData\Local\Temp\OnboardLogs"\RTDC4009\*4009*20170213* | grep -SE "(Enforcement Action)|(\[TIMEOUT)|(CHR.+\|PRM\|1\|D.+(SWITCH|SIGNAL).+UNKNOWN)" - &gt;&gt; 2017-02-12-UncaughtWiMAX.txt</v>
      </c>
    </row>
    <row r="205" spans="1:40" x14ac:dyDescent="0.25">
      <c r="A205" s="33" t="s">
        <v>555</v>
      </c>
      <c r="B205" s="7">
        <v>4027</v>
      </c>
      <c r="C205" s="21" t="s">
        <v>193</v>
      </c>
      <c r="D205" s="21" t="s">
        <v>830</v>
      </c>
      <c r="E205" s="13">
        <v>42778.224652777775</v>
      </c>
      <c r="F205" s="13">
        <v>42778.225659722222</v>
      </c>
      <c r="G205" s="7">
        <v>1</v>
      </c>
      <c r="H205" s="21" t="s">
        <v>831</v>
      </c>
      <c r="I205" s="13">
        <v>42778.230798611112</v>
      </c>
      <c r="J205" s="7">
        <v>0</v>
      </c>
      <c r="K205" s="98" t="str">
        <f>IF(ISEVEN(B205),(B205-1)&amp;"/"&amp;B205,B205&amp;"/"&amp;(B205+1))</f>
        <v>4027/4028</v>
      </c>
      <c r="L205" s="21" t="str">
        <f>VLOOKUP(A205,'Trips&amp;Operators'!$C$1:$G$99999,5,FALSE)</f>
        <v>YORK EDGAR</v>
      </c>
      <c r="M205" s="6">
        <f>I205-F205</f>
        <v>5.1388888896326534E-3</v>
      </c>
      <c r="N205" s="7">
        <f>24*60*SUM($M205:$M205)</f>
        <v>7.400000001071021</v>
      </c>
      <c r="O205" s="7"/>
      <c r="P205" s="7"/>
      <c r="Q205" s="22"/>
      <c r="R205" s="22"/>
      <c r="S205" s="31">
        <f>SUM(U205:U205)/IF(AG205="EC",12,1)</f>
        <v>0</v>
      </c>
      <c r="T205" s="46" t="str">
        <f>IF(ISEVEN(LEFT(AD205,4)),"Southbound","NorthBound")</f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7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-12T04:23:30-0700',mode:absolute,to:'2017-02-12T06:32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188" t="str">
        <f>IF(AA205&lt;IF(AG205="EC",23,5.65),"Y","N")</f>
        <v>Y</v>
      </c>
      <c r="X205" s="188">
        <f>VALUE(LEFT(AD205,4))-VALUE(LEFT(AD204,4))</f>
        <v>1586</v>
      </c>
      <c r="Y205" s="62">
        <f>RIGHT(D205,LEN(D205)-4)/10000</f>
        <v>3.0116000000000001</v>
      </c>
      <c r="Z205" s="62">
        <f>RIGHT(H205,LEN(H205)-4)/10000</f>
        <v>5.8930999999999996</v>
      </c>
      <c r="AA205" s="62">
        <f>ABS(Z205-Y205)</f>
        <v>2.8814999999999995</v>
      </c>
      <c r="AB205" s="59" t="e">
        <f>VLOOKUP(A205,Enforcements!$C$7:$K$14,8,0)</f>
        <v>#N/A</v>
      </c>
      <c r="AC205" s="55" t="e">
        <f>VLOOKUP(A205,Enforcements!$C$7:$E$14,3,0)</f>
        <v>#N/A</v>
      </c>
      <c r="AD205" s="56" t="str">
        <f>IF(LEN(A205)=6,"0"&amp;A205,A205)</f>
        <v>1901-12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AF205" s="8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/stypes="app*4027*20170212*" /stext=" 12:.+((SYSTEM_STATE.+slice.+state.+changed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86" t="str">
        <f t="shared" ref="AH205:AH211" si="1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1901-12 --locoid 4027 --swversion DE.1.0.8.0 --startMP 300:30116 --initTime 2017-02-12T05:23:30 --startdatetime 2017-02-12T05:24:57 --delay 1 --endMP 300:58931 --enddatetime 2017-02-12T05:32:21 --enforcementcount 0 &gt;&gt;C:\Users\stu\Documents\GitHub\eaglep3-reporting\EC\2017-02-12-refined-times.txt</v>
      </c>
      <c r="AI205" s="108" t="str">
        <f t="shared" ref="AI205:AI211" si="1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{"issue":{"subject":"","project_id":79,"tracker_id":40,"status_id":1,"priority_id":2,"assigned_to_id":23,"start_date":"2017-02-12","description":"","custom_fields":[{"id":1,"name":"Subdivision","value":"Other"},{"id":4,"name":"Milepost","value":"5.8931"},{"id":17,"name":"Train ID","value":"1901-12"},{"id":16,"name":"Locomotive ID","value":"4027"},{"id":130,"name":"Impact","value":""},{"id":150,"name":"Time of Event (Mountain Time)","value":"05:32:21"},{"id":151,"name":"Denver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11" si="15">"start /low /b "&amp;dls3logs&amp;" --loco "&amp;B205&amp;" --day "&amp;TEXT(F205,"YYYY-MM-DD")</f>
        <v>start /low /b %USERPROFILE%\Documents\GitHub\eaglep3\Utilities\DownloadLogsFromS3.py --loco 4027 --day 2017-02-12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"%USERPROFILE%\AppData\Local\Temp\OnboardLogs"\RTDC4027\*4027*20170212* | grep -SE "(Enforcement Action)|(\[TIMEOUT)|(CHR.+\|PRM\|1\|D.+(SWITCH|SIGNAL).+UNKNOWN)" - &gt;&gt; 2017-02-12-UncaughtWiMAX.txt</v>
      </c>
    </row>
    <row r="206" spans="1:40" x14ac:dyDescent="0.25">
      <c r="A206" s="33" t="s">
        <v>714</v>
      </c>
      <c r="B206" s="7">
        <v>4028</v>
      </c>
      <c r="C206" s="21" t="s">
        <v>193</v>
      </c>
      <c r="D206" s="21" t="s">
        <v>450</v>
      </c>
      <c r="E206" s="13">
        <v>42778.941238425927</v>
      </c>
      <c r="F206" s="13">
        <v>42778.942372685182</v>
      </c>
      <c r="G206" s="7">
        <v>1</v>
      </c>
      <c r="H206" s="21" t="s">
        <v>832</v>
      </c>
      <c r="I206" s="13">
        <v>42778.946643518517</v>
      </c>
      <c r="J206" s="7">
        <v>0</v>
      </c>
      <c r="K206" s="98" t="str">
        <f>IF(ISEVEN(B206),(B206-1)&amp;"/"&amp;B206,B206&amp;"/"&amp;(B206+1))</f>
        <v>4027/4028</v>
      </c>
      <c r="L206" s="21" t="str">
        <f>VLOOKUP(A206,'Trips&amp;Operators'!$C$1:$G$99999,5,FALSE)</f>
        <v>HELVIE ADAM</v>
      </c>
      <c r="M206" s="6">
        <f>I206-F206</f>
        <v>4.2708333348855376E-3</v>
      </c>
      <c r="N206" s="7">
        <f>24*60*SUM($M206:$M206)</f>
        <v>6.1500000022351742</v>
      </c>
      <c r="O206" s="7"/>
      <c r="P206" s="7"/>
      <c r="Q206" s="22"/>
      <c r="R206" s="22"/>
      <c r="S206" s="31">
        <f>SUM(U206:U206)/IF(AG206="EC",12,1)</f>
        <v>0</v>
      </c>
      <c r="T206" s="46" t="str">
        <f>IF(ISEVEN(LEFT(AD206,4)),"Southbound","NorthBound")</f>
        <v>Southbound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7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-02-12T21:35:23-0700',mode:absolute,to:'2017-02-12T23:43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188" t="str">
        <f>IF(AA206&lt;IF(AG206="EC",23,5.65),"Y","N")</f>
        <v>Y</v>
      </c>
      <c r="X206" s="188">
        <f>VALUE(LEFT(AD206,4))-VALUE(LEFT(AD205,4))</f>
        <v>1</v>
      </c>
      <c r="Y206" s="62">
        <f>RIGHT(D206,LEN(D206)-4)/10000</f>
        <v>5.8628</v>
      </c>
      <c r="Z206" s="62">
        <f>RIGHT(H206,LEN(H206)-4)/10000</f>
        <v>2.1739999999999999</v>
      </c>
      <c r="AA206" s="62">
        <f>ABS(Z206-Y206)</f>
        <v>3.6888000000000001</v>
      </c>
      <c r="AB206" s="59" t="e">
        <f>VLOOKUP(A206,Enforcements!$C$7:$K$14,8,0)</f>
        <v>#N/A</v>
      </c>
      <c r="AC206" s="55" t="e">
        <f>VLOOKUP(A206,Enforcements!$C$7:$E$14,3,0)</f>
        <v>#N/A</v>
      </c>
      <c r="AD206" s="56" t="str">
        <f>IF(LEN(A206)=6,"0"&amp;A206,A206)</f>
        <v>1902-12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AF206" s="8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/stypes="app*4028*20170213*" /stext=" 05:.+((SYSTEM_STATE.+slice.+state.+changed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6" t="str">
        <f t="shared" si="13"/>
        <v>"%USERPROFILE%\Documents\GitHub\eaglep3\Utilities\RefineRTDCRunTimes.py" --tripid 1902-12 --locoid 4028 --swversion DE.1.0.8.0 --startMP 300:58628 --initTime 2017-02-12T22:35:23 --startdatetime 2017-02-12T22:37:01 --delay 1 --endMP 300:21740 --enddatetime 2017-02-12T22:43:10 --enforcementcount 0 &gt;&gt;C:\Users\stu\Documents\GitHub\eaglep3-reporting\EC\2017-02-12-refined-times.txt</v>
      </c>
      <c r="AI206" s="108" t="str">
        <f t="shared" si="14"/>
        <v>echo {"issue":{"subject":"","project_id":79,"tracker_id":40,"status_id":1,"priority_id":2,"assigned_to_id":23,"start_date":"2017-02-12","description":"","custom_fields":[{"id":1,"name":"Subdivision","value":"Other"},{"id":4,"name":"Milepost","value":"2.174"},{"id":17,"name":"Train ID","value":"1902-12"},{"id":16,"name":"Locomotive ID","value":"4028"},{"id":130,"name":"Impact","value":""},{"id":150,"name":"Time of Event (Mountain Time)","value":"22:43:10"},{"id":151,"name":"Denver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5"/>
        <v>start /low /b %USERPROFILE%\Documents\GitHub\eaglep3\Utilities\DownloadLogsFromS3.py --loco 4028 --day 2017-02-12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"%USERPROFILE%\AppData\Local\Temp\OnboardLogs"\RTDC4028\*4028*20170213* | grep -SE "(Enforcement Action)|(\[TIMEOUT)|(CHR.+\|PRM\|1\|D.+(SWITCH|SIGNAL).+UNKNOWN)" - &gt;&gt; 2017-02-12-UncaughtWiMAX.txt</v>
      </c>
    </row>
    <row r="207" spans="1:40" x14ac:dyDescent="0.25">
      <c r="A207" s="33" t="s">
        <v>681</v>
      </c>
      <c r="B207" s="7">
        <v>4012</v>
      </c>
      <c r="C207" s="21" t="s">
        <v>193</v>
      </c>
      <c r="D207" s="21" t="s">
        <v>881</v>
      </c>
      <c r="E207" s="13">
        <v>42778.745127314818</v>
      </c>
      <c r="F207" s="13">
        <v>42778.746331018519</v>
      </c>
      <c r="G207" s="7">
        <v>1</v>
      </c>
      <c r="H207" s="21" t="s">
        <v>775</v>
      </c>
      <c r="I207" s="13">
        <v>42778.75167824074</v>
      </c>
      <c r="J207" s="7">
        <v>0</v>
      </c>
      <c r="K207" s="98" t="str">
        <f>IF(ISEVEN(B207),(B207-1)&amp;"/"&amp;B207,B207&amp;"/"&amp;(B207+1))</f>
        <v>4011/4012</v>
      </c>
      <c r="L207" s="21" t="str">
        <f>VLOOKUP(A207,'Trips&amp;Operators'!$C$1:$G$99999,5,FALSE)</f>
        <v>COMELLA JUSTIN</v>
      </c>
      <c r="M207" s="6">
        <f>I207-F207</f>
        <v>5.3472222207346931E-3</v>
      </c>
      <c r="N207" s="7">
        <f>24*60*SUM($M207:$M207)</f>
        <v>7.6999999978579581</v>
      </c>
      <c r="O207" s="7"/>
      <c r="P207" s="7"/>
      <c r="Q207" s="22"/>
      <c r="R207" s="22"/>
      <c r="S207" s="31">
        <f>SUM(U207:U207)/IF(AG207="EC",12,1)</f>
        <v>0</v>
      </c>
      <c r="T207" s="46" t="e">
        <f>IF(ISEVEN(LEFT(AD207,4)),"Southbound","NorthBound")</f>
        <v>#VALUE!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7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-02-12T16:52:59-0700',mode:absolute,to:'2017-02-12T19:02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88" t="str">
        <f>IF(AA207&lt;IF(AG207="EC",23,5.65),"Y","N")</f>
        <v>Y</v>
      </c>
      <c r="X207" s="188" t="e">
        <f>VALUE(LEFT(AD207,4))-VALUE(LEFT(AD206,4))</f>
        <v>#VALUE!</v>
      </c>
      <c r="Y207" s="62">
        <f>RIGHT(D207,LEN(D207)-4)/10000</f>
        <v>2.1880000000000002</v>
      </c>
      <c r="Z207" s="62">
        <f>RIGHT(H207,LEN(H207)-4)/10000</f>
        <v>1.7600000000000001E-2</v>
      </c>
      <c r="AA207" s="62">
        <f>ABS(Z207-Y207)</f>
        <v>2.1704000000000003</v>
      </c>
      <c r="AB207" s="59" t="e">
        <f>VLOOKUP(A207,Enforcements!$C$7:$K$14,8,0)</f>
        <v>#N/A</v>
      </c>
      <c r="AC207" s="55" t="e">
        <f>VLOOKUP(A207,Enforcements!$C$7:$E$14,3,0)</f>
        <v>#N/A</v>
      </c>
      <c r="AD207" s="56" t="str">
        <f>IF(LEN(A207)=6,"0"&amp;A207,A207)</f>
        <v>50-12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s3://rtdc.mdm.uploadarchive.raw/RTDC4012/ "%USERPROFILE%\AppData\Local\Temp\OnboardLogs"\RTDC4012\2017-02-12 --exclude "*" --recursive --include "*20170212*" &amp; "%USERPROFILE%\Documents\GitHub\mrs-test-scripts\Headless Mode &amp; Sideloading\WalkAndUnGZ.bat" "%USERPROFILE%\AppData\Local\Temp\OnboardLogs"\RTDC4012\2017-02-12 &amp; aws s3 cp s3://rtdc.mdm.uploadarchive.raw/RTDC4012/ "%USERPROFILE%\AppData\Local\Temp\OnboardLogs"\RTDC4012\2017-02-13 --exclude "*" --recursive --include "*20170213*" &amp; "%USERPROFILE%\Documents\GitHub\mrs-test-scripts\Headless Mode &amp; Sideloading\WalkAndUnGZ.bat" "%USERPROFILE%\AppData\Local\Temp\OnboardLogs"\RTDC4012\2017-02-13</v>
      </c>
      <c r="AF207" s="8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/stypes="app*4012*20170213*" /stext=" 01:.+((SYSTEM_STATE.+slice.+state.+changed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3"/>
        <v>"%USERPROFILE%\Documents\GitHub\eaglep3\Utilities\RefineRTDCRunTimes.py" --tripid 50-12 --locoid 4012 --swversion DE.1.0.8.0 --startMP 300:21880 --initTime 2017-02-12T17:52:59 --startdatetime 2017-02-12T17:54:43 --delay 1 --endMP 204:176 --enddatetime 2017-02-12T18:02:25 --enforcementcount 0 &gt;&gt;C:\Users\stu\Documents\GitHub\eaglep3-reporting\EC\2017-02-12-refined-times.txt</v>
      </c>
      <c r="AI207" s="108" t="str">
        <f t="shared" si="14"/>
        <v>echo {"issue":{"subject":"","project_id":79,"tracker_id":40,"status_id":1,"priority_id":2,"assigned_to_id":23,"start_date":"2017-02-12","description":"","custom_fields":[{"id":1,"name":"Subdivision","value":"Other"},{"id":4,"name":"Milepost","value":"0.0176"},{"id":17,"name":"Train ID","value":"50-12"},{"id":16,"name":"Locomotive ID","value":"4012"},{"id":130,"name":"Impact","value":""},{"id":150,"name":"Time of Event (Mountain Time)","value":"18:02:25"},{"id":151,"name":"Denver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5"/>
        <v>start /low /b %USERPROFILE%\Documents\GitHub\eaglep3\Utilities\DownloadLogsFromS3.py --loco 4012 --day 2017-02-12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"%USERPROFILE%\AppData\Local\Temp\OnboardLogs"\RTDC4012\*4012*20170213* | grep -SE "(Enforcement Action)|(\[TIMEOUT)|(CHR.+\|PRM\|1\|D.+(SWITCH|SIGNAL).+UNKNOWN)" - &gt;&gt; 2017-02-12-UncaughtWiMAX.txt</v>
      </c>
    </row>
    <row r="208" spans="1:40" x14ac:dyDescent="0.25">
      <c r="A208" s="33" t="s">
        <v>532</v>
      </c>
      <c r="B208" s="7">
        <v>4019</v>
      </c>
      <c r="C208" s="21" t="s">
        <v>193</v>
      </c>
      <c r="D208" s="21" t="s">
        <v>882</v>
      </c>
      <c r="E208" s="13">
        <v>42778.697453703702</v>
      </c>
      <c r="F208" s="13">
        <v>42778.698680555557</v>
      </c>
      <c r="G208" s="7">
        <v>1</v>
      </c>
      <c r="H208" s="21" t="s">
        <v>883</v>
      </c>
      <c r="I208" s="13">
        <v>42778.704375000001</v>
      </c>
      <c r="J208" s="7">
        <v>0</v>
      </c>
      <c r="K208" s="98" t="str">
        <f>IF(ISEVEN(B208),(B208-1)&amp;"/"&amp;B208,B208&amp;"/"&amp;(B208+1))</f>
        <v>4019/4020</v>
      </c>
      <c r="L208" s="21" t="str">
        <f>VLOOKUP(A208,'Trips&amp;Operators'!$C$1:$G$99999,5,FALSE)</f>
        <v>CHANDLER KELVIN</v>
      </c>
      <c r="M208" s="6">
        <f>I208-F208</f>
        <v>5.694444444088731E-3</v>
      </c>
      <c r="N208" s="7">
        <f>24*60*SUM($M208:$M208)</f>
        <v>8.1999999994877726</v>
      </c>
      <c r="O208" s="7"/>
      <c r="P208" s="7"/>
      <c r="Q208" s="22"/>
      <c r="R208" s="22"/>
      <c r="S208" s="31">
        <f>SUM(U208:U208)/IF(AG208="EC",12,1)</f>
        <v>0</v>
      </c>
      <c r="T208" s="46" t="e">
        <f>IF(ISEVEN(LEFT(AD208,4)),"Southbound","NorthBound")</f>
        <v>#VALUE!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7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-02-12T15:44:20-0700',mode:absolute,to:'2017-02-12T17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8" s="188" t="str">
        <f>IF(AA208&lt;IF(AG208="EC",23,5.65),"Y","N")</f>
        <v>Y</v>
      </c>
      <c r="X208" s="188" t="e">
        <f>VALUE(LEFT(AD208,4))-VALUE(LEFT(AD207,4))</f>
        <v>#VALUE!</v>
      </c>
      <c r="Y208" s="62">
        <f>RIGHT(D208,LEN(D208)-4)/10000</f>
        <v>2.1846000000000001</v>
      </c>
      <c r="Z208" s="62">
        <f>RIGHT(H208,LEN(H208)-4)/10000</f>
        <v>3.1600000000000003E-2</v>
      </c>
      <c r="AA208" s="62">
        <f>ABS(Z208-Y208)</f>
        <v>2.153</v>
      </c>
      <c r="AB208" s="59" t="e">
        <f>VLOOKUP(A208,Enforcements!$C$7:$K$14,8,0)</f>
        <v>#N/A</v>
      </c>
      <c r="AC208" s="55" t="e">
        <f>VLOOKUP(A208,Enforcements!$C$7:$E$14,3,0)</f>
        <v>#N/A</v>
      </c>
      <c r="AD208" s="56" t="str">
        <f>IF(LEN(A208)=6,"0"&amp;A208,A208)</f>
        <v>70-12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 &amp; 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</v>
      </c>
      <c r="AF208" s="8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/stypes="app*4019*20170212*" /stext=" 23:.+((SYSTEM_STATE.+slice.+state.+changed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3"/>
        <v>"%USERPROFILE%\Documents\GitHub\eaglep3\Utilities\RefineRTDCRunTimes.py" --tripid 70-12 --locoid 4019 --swversion DE.1.0.8.0 --startMP 300:21846 --initTime 2017-02-12T16:44:20 --startdatetime 2017-02-12T16:46:06 --delay 1 --endMP 204:316 --enddatetime 2017-02-12T16:54:18 --enforcementcount 0 &gt;&gt;C:\Users\stu\Documents\GitHub\eaglep3-reporting\EC\2017-02-12-refined-times.txt</v>
      </c>
      <c r="AI208" s="108" t="str">
        <f t="shared" si="14"/>
        <v>echo {"issue":{"subject":"","project_id":79,"tracker_id":40,"status_id":1,"priority_id":2,"assigned_to_id":23,"start_date":"2017-02-12","description":"","custom_fields":[{"id":1,"name":"Subdivision","value":"Other"},{"id":4,"name":"Milepost","value":"0.0316"},{"id":17,"name":"Train ID","value":"70-12"},{"id":16,"name":"Locomotive ID","value":"4019"},{"id":130,"name":"Impact","value":""},{"id":150,"name":"Time of Event (Mountain Time)","value":"16:54:18"},{"id":151,"name":"Denver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5"/>
        <v>start /low /b %USERPROFILE%\Documents\GitHub\eaglep3\Utilities\DownloadLogsFromS3.py --loco 4019 --day 2017-02-12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"%USERPROFILE%\AppData\Local\Temp\OnboardLogs"\RTDC4019\*4019*20170212* | grep -SE "(Enforcement Action)|(\[TIMEOUT)|(CHR.+\|PRM\|1\|D.+(SWITCH|SIGNAL).+UNKNOWN)" - &gt;&gt; 2017-02-12-UncaughtWiMAX.txt</v>
      </c>
    </row>
    <row r="209" spans="1:40" x14ac:dyDescent="0.25">
      <c r="A209" s="33" t="s">
        <v>671</v>
      </c>
      <c r="B209" s="7">
        <v>4020</v>
      </c>
      <c r="C209" s="21" t="s">
        <v>193</v>
      </c>
      <c r="D209" s="21" t="s">
        <v>884</v>
      </c>
      <c r="E209" s="13">
        <v>42778.717129629629</v>
      </c>
      <c r="F209" s="13">
        <v>42778.7184375</v>
      </c>
      <c r="G209" s="7">
        <v>1</v>
      </c>
      <c r="H209" s="21" t="s">
        <v>880</v>
      </c>
      <c r="I209" s="13">
        <v>42778.729953703703</v>
      </c>
      <c r="J209" s="7">
        <v>0</v>
      </c>
      <c r="K209" s="98" t="str">
        <f>IF(ISEVEN(B209),(B209-1)&amp;"/"&amp;B209,B209&amp;"/"&amp;(B209+1))</f>
        <v>4019/4020</v>
      </c>
      <c r="L209" s="21" t="str">
        <f>VLOOKUP(A209,'Trips&amp;Operators'!$C$1:$G$99999,5,FALSE)</f>
        <v>HOLCOMB KAMDEN</v>
      </c>
      <c r="M209" s="6">
        <f>I209-F209</f>
        <v>1.1516203703649808E-2</v>
      </c>
      <c r="N209" s="7">
        <f>24*60*SUM($M209:$M209)</f>
        <v>16.583333333255723</v>
      </c>
      <c r="O209" s="7"/>
      <c r="P209" s="7"/>
      <c r="Q209" s="22"/>
      <c r="R209" s="22"/>
      <c r="S209" s="31">
        <f>SUM(U209:U209)/IF(AG209="EC",12,1)</f>
        <v>0</v>
      </c>
      <c r="T209" s="46" t="e">
        <f>IF(ISEVEN(LEFT(AD209,4)),"Southbound","NorthBound")</f>
        <v>#VALUE!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7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-02-12T16:12:40-0700',mode:absolute,to:'2017-02-12T18:31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9" s="188" t="str">
        <f>IF(AA209&lt;IF(AG209="EC",23,5.65),"Y","N")</f>
        <v>Y</v>
      </c>
      <c r="X209" s="188" t="e">
        <f>VALUE(LEFT(AD209,4))-VALUE(LEFT(AD208,4))</f>
        <v>#VALUE!</v>
      </c>
      <c r="Y209" s="62">
        <f>RIGHT(D209,LEN(D209)-4)/10000</f>
        <v>3.32E-2</v>
      </c>
      <c r="Z209" s="62">
        <f>RIGHT(H209,LEN(H209)-4)/10000</f>
        <v>2.3302</v>
      </c>
      <c r="AA209" s="62">
        <f>ABS(Z209-Y209)</f>
        <v>2.2970000000000002</v>
      </c>
      <c r="AB209" s="59" t="e">
        <f>VLOOKUP(A209,Enforcements!$C$7:$K$14,8,0)</f>
        <v>#N/A</v>
      </c>
      <c r="AC209" s="55" t="e">
        <f>VLOOKUP(A209,Enforcements!$C$7:$E$14,3,0)</f>
        <v>#N/A</v>
      </c>
      <c r="AD209" s="56" t="str">
        <f>IF(LEN(A209)=6,"0"&amp;A209,A209)</f>
        <v>71-12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s3://rtdc.mdm.uploadarchive.raw/RTDC4020/ "%USERPROFILE%\AppData\Local\Temp\OnboardLogs"\RTDC4020\2017-02-12 --exclude "*" --recursive --include "*20170212*" &amp; "%USERPROFILE%\Documents\GitHub\mrs-test-scripts\Headless Mode &amp; Sideloading\WalkAndUnGZ.bat" "%USERPROFILE%\AppData\Local\Temp\OnboardLogs"\RTDC4020\2017-02-12 &amp; aws s3 cp s3://rtdc.mdm.uploadarchive.raw/RTDC4020/ "%USERPROFILE%\AppData\Local\Temp\OnboardLogs"\RTDC4020\2017-02-13 --exclude "*" --recursive --include "*20170213*" &amp; "%USERPROFILE%\Documents\GitHub\mrs-test-scripts\Headless Mode &amp; Sideloading\WalkAndUnGZ.bat" "%USERPROFILE%\AppData\Local\Temp\OnboardLogs"\RTDC4020\2017-02-13</v>
      </c>
      <c r="AF209" s="8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/stypes="app*4020*20170213*" /stext=" 00:.+((SYSTEM_STATE.+slice.+state.+changed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3"/>
        <v>"%USERPROFILE%\Documents\GitHub\eaglep3\Utilities\RefineRTDCRunTimes.py" --tripid 71-12 --locoid 4020 --swversion DE.1.0.8.0 --startMP 204:332 --initTime 2017-02-12T17:12:40 --startdatetime 2017-02-12T17:14:33 --delay 1 --endMP 300:23302 --enddatetime 2017-02-12T17:31:08 --enforcementcount 0 &gt;&gt;C:\Users\stu\Documents\GitHub\eaglep3-reporting\EC\2017-02-12-refined-times.txt</v>
      </c>
      <c r="AI209" s="108" t="str">
        <f t="shared" si="14"/>
        <v>echo {"issue":{"subject":"","project_id":79,"tracker_id":40,"status_id":1,"priority_id":2,"assigned_to_id":23,"start_date":"2017-02-12","description":"","custom_fields":[{"id":1,"name":"Subdivision","value":"Other"},{"id":4,"name":"Milepost","value":"2.3302"},{"id":17,"name":"Train ID","value":"71-12"},{"id":16,"name":"Locomotive ID","value":"4020"},{"id":130,"name":"Impact","value":""},{"id":150,"name":"Time of Event (Mountain Time)","value":"17:31:08"},{"id":151,"name":"Denver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5"/>
        <v>start /low /b %USERPROFILE%\Documents\GitHub\eaglep3\Utilities\DownloadLogsFromS3.py --loco 4020 --day 2017-02-12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"%USERPROFILE%\AppData\Local\Temp\OnboardLogs"\RTDC4020\*4020*20170213* | grep -SE "(Enforcement Action)|(\[TIMEOUT)|(CHR.+\|PRM\|1\|D.+(SWITCH|SIGNAL).+UNKNOWN)" - &gt;&gt; 2017-02-12-UncaughtWiMAX.txt</v>
      </c>
    </row>
    <row r="210" spans="1:40" x14ac:dyDescent="0.25">
      <c r="A210" s="33" t="s">
        <v>675</v>
      </c>
      <c r="B210" s="7">
        <v>4046</v>
      </c>
      <c r="C210" s="21" t="s">
        <v>193</v>
      </c>
      <c r="D210" s="21" t="s">
        <v>885</v>
      </c>
      <c r="E210" s="13">
        <v>42778.725624999999</v>
      </c>
      <c r="F210" s="13">
        <v>42778.735092592593</v>
      </c>
      <c r="G210" s="7">
        <v>1</v>
      </c>
      <c r="H210" s="21" t="s">
        <v>449</v>
      </c>
      <c r="I210" s="13">
        <v>42778.74318287037</v>
      </c>
      <c r="J210" s="7">
        <v>0</v>
      </c>
      <c r="K210" s="98" t="str">
        <f>IF(ISEVEN(B210),(B210-1)&amp;"/"&amp;B210,B210&amp;"/"&amp;(B210+1))</f>
        <v>4045/4046</v>
      </c>
      <c r="L210" s="21" t="str">
        <f>VLOOKUP(A210,'Trips&amp;Operators'!$C$1:$G$99999,5,FALSE)</f>
        <v>LALONDE GREGORY</v>
      </c>
      <c r="M210" s="6">
        <f>I210-F210</f>
        <v>8.0902777772280388E-3</v>
      </c>
      <c r="N210" s="7">
        <f>24*60*SUM($M210:$M210)</f>
        <v>11.649999999208376</v>
      </c>
      <c r="O210" s="7"/>
      <c r="P210" s="7"/>
      <c r="Q210" s="22"/>
      <c r="R210" s="22"/>
      <c r="S210" s="31">
        <f>SUM(U210:U210)/IF(AG210="EC",12,1)</f>
        <v>0</v>
      </c>
      <c r="T210" s="46" t="e">
        <f>IF(ISEVEN(LEFT(AD210,4)),"Southbound","NorthBound")</f>
        <v>#VALUE!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7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-02-12T16:24:54-0700',mode:absolute,to:'2017-02-12T18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188" t="str">
        <f>IF(AA210&lt;IF(AG210="EC",23,5.65),"Y","N")</f>
        <v>Y</v>
      </c>
      <c r="X210" s="188" t="e">
        <f>VALUE(LEFT(AD210,4))-VALUE(LEFT(AD209,4))</f>
        <v>#VALUE!</v>
      </c>
      <c r="Y210" s="62">
        <f>RIGHT(D210,LEN(D210)-4)/10000</f>
        <v>0.14899999999999999</v>
      </c>
      <c r="Z210" s="62">
        <f>RIGHT(H210,LEN(H210)-4)/10000</f>
        <v>2.331</v>
      </c>
      <c r="AA210" s="62">
        <f>ABS(Z210-Y210)</f>
        <v>2.1819999999999999</v>
      </c>
      <c r="AB210" s="59" t="e">
        <f>VLOOKUP(A210,Enforcements!$C$7:$K$14,8,0)</f>
        <v>#N/A</v>
      </c>
      <c r="AC210" s="55" t="e">
        <f>VLOOKUP(A210,Enforcements!$C$7:$E$14,3,0)</f>
        <v>#N/A</v>
      </c>
      <c r="AD210" s="56" t="str">
        <f>IF(LEN(A210)=6,"0"&amp;A210,A210)</f>
        <v>75-12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 &amp; aws s3 cp s3://rtdc.mdm.uploadarchive.raw/RTDC4046/ "%USERPROFILE%\AppData\Local\Temp\OnboardLogs"\RTDC4046\2017-02-13 --exclude "*" --recursive --include "*20170213*" &amp; "%USERPROFILE%\Documents\GitHub\mrs-test-scripts\Headless Mode &amp; Sideloading\WalkAndUnGZ.bat" "%USERPROFILE%\AppData\Local\Temp\OnboardLogs"\RTDC4046\2017-02-13</v>
      </c>
      <c r="AF210" s="8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/stypes="app*4046*20170213*" /stext=" 00:.+((SYSTEM_STATE.+slice.+state.+changed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3"/>
        <v>"%USERPROFILE%\Documents\GitHub\eaglep3\Utilities\RefineRTDCRunTimes.py" --tripid 75-12 --locoid 4046 --swversion DE.1.0.8.0 --startMP 204:1490 --initTime 2017-02-12T17:24:54 --startdatetime 2017-02-12T17:38:32 --delay 1 --endMP 300:23310 --enddatetime 2017-02-12T17:50:11 --enforcementcount 0 &gt;&gt;C:\Users\stu\Documents\GitHub\eaglep3-reporting\EC\2017-02-12-refined-times.txt</v>
      </c>
      <c r="AI210" s="108" t="str">
        <f t="shared" si="14"/>
        <v>echo {"issue":{"subject":"","project_id":79,"tracker_id":40,"status_id":1,"priority_id":2,"assigned_to_id":23,"start_date":"2017-02-12","description":"","custom_fields":[{"id":1,"name":"Subdivision","value":"Other"},{"id":4,"name":"Milepost","value":"2.331"},{"id":17,"name":"Train ID","value":"75-12"},{"id":16,"name":"Locomotive ID","value":"4046"},{"id":130,"name":"Impact","value":""},{"id":150,"name":"Time of Event (Mountain Time)","value":"17:50:11"},{"id":151,"name":"Denver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5"/>
        <v>start /low /b %USERPROFILE%\Documents\GitHub\eaglep3\Utilities\DownloadLogsFromS3.py --loco 4046 --day 2017-02-12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"%USERPROFILE%\AppData\Local\Temp\OnboardLogs"\RTDC4046\*4046*20170213* | grep -SE "(Enforcement Action)|(\[TIMEOUT)|(CHR.+\|PRM\|1\|D.+(SWITCH|SIGNAL).+UNKNOWN)" - &gt;&gt; 2017-02-12-UncaughtWiMAX.txt</v>
      </c>
    </row>
    <row r="211" spans="1:40" x14ac:dyDescent="0.25">
      <c r="A211" s="33" t="s">
        <v>690</v>
      </c>
      <c r="B211" s="7">
        <v>4011</v>
      </c>
      <c r="C211" s="21" t="s">
        <v>193</v>
      </c>
      <c r="D211" s="21" t="s">
        <v>447</v>
      </c>
      <c r="E211" s="13">
        <v>42778.782604166663</v>
      </c>
      <c r="F211" s="13">
        <v>42778.786851851852</v>
      </c>
      <c r="G211" s="7">
        <v>2</v>
      </c>
      <c r="H211" s="21" t="s">
        <v>877</v>
      </c>
      <c r="I211" s="13">
        <v>42778.795949074076</v>
      </c>
      <c r="J211" s="7">
        <v>0</v>
      </c>
      <c r="K211" s="98" t="str">
        <f>IF(ISEVEN(B211),(B211-1)&amp;"/"&amp;B211,B211&amp;"/"&amp;(B211+1))</f>
        <v>4011/4012</v>
      </c>
      <c r="L211" s="21" t="str">
        <f>VLOOKUP(A211,'Trips&amp;Operators'!$C$1:$G$99999,5,FALSE)</f>
        <v>BRUDER RICHARD</v>
      </c>
      <c r="M211" s="6">
        <f>I211-F211</f>
        <v>9.0972222242271528E-3</v>
      </c>
      <c r="N211" s="7">
        <f>24*60*SUM($M211:$M211)</f>
        <v>13.1000000028871</v>
      </c>
      <c r="O211" s="7"/>
      <c r="P211" s="7"/>
      <c r="Q211" s="22"/>
      <c r="R211" s="22"/>
      <c r="S211" s="31">
        <f>SUM(U211:U211)/IF(AG211="EC",12,1)</f>
        <v>0</v>
      </c>
      <c r="T211" s="46" t="e">
        <f>IF(ISEVEN(LEFT(AD211,4)),"Southbound","NorthBound")</f>
        <v>#VALUE!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7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-02-12T17:46:57-0700',mode:absolute,to:'2017-02-12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188" t="str">
        <f>IF(AA211&lt;IF(AG211="EC",23,5.65),"Y","N")</f>
        <v>Y</v>
      </c>
      <c r="X211" s="188" t="e">
        <f>VALUE(LEFT(AD211,4))-VALUE(LEFT(AD210,4))</f>
        <v>#VALUE!</v>
      </c>
      <c r="Y211" s="62">
        <f>RIGHT(D211,LEN(D211)-4)/10000</f>
        <v>4.7500000000000001E-2</v>
      </c>
      <c r="Z211" s="62">
        <f>RIGHT(H211,LEN(H211)-4)/10000</f>
        <v>2.3304</v>
      </c>
      <c r="AA211" s="62">
        <f>ABS(Z211-Y211)</f>
        <v>2.2829000000000002</v>
      </c>
      <c r="AB211" s="59" t="e">
        <f>VLOOKUP(A211,Enforcements!$C$7:$K$14,8,0)</f>
        <v>#N/A</v>
      </c>
      <c r="AC211" s="55" t="e">
        <f>VLOOKUP(A211,Enforcements!$C$7:$E$14,3,0)</f>
        <v>#N/A</v>
      </c>
      <c r="AD211" s="56" t="str">
        <f>IF(LEN(A211)=6,"0"&amp;A211,A211)</f>
        <v>77-12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s3://rtdc.mdm.uploadarchive.raw/RTDC4011/ "%USERPROFILE%\AppData\Local\Temp\OnboardLogs"\RTDC4011\2017-02-12 --exclude "*" --recursive --include "*20170212*" &amp; "%USERPROFILE%\Documents\GitHub\mrs-test-scripts\Headless Mode &amp; Sideloading\WalkAndUnGZ.bat" "%USERPROFILE%\AppData\Local\Temp\OnboardLogs"\RTDC4011\2017-02-12 &amp; aws s3 cp s3://rtdc.mdm.uploadarchive.raw/RTDC4011/ "%USERPROFILE%\AppData\Local\Temp\OnboardLogs"\RTDC4011\2017-02-13 --exclude "*" --recursive --include "*20170213*" &amp; "%USERPROFILE%\Documents\GitHub\mrs-test-scripts\Headless Mode &amp; Sideloading\WalkAndUnGZ.bat" "%USERPROFILE%\AppData\Local\Temp\OnboardLogs"\RTDC4011\2017-02-13</v>
      </c>
      <c r="AF211" s="8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/stypes="app*4011*20170213*" /stext=" 02:.+((SYSTEM_STATE.+slice.+state.+changed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3"/>
        <v>"%USERPROFILE%\Documents\GitHub\eaglep3\Utilities\RefineRTDCRunTimes.py" --tripid 77-12 --locoid 4011 --swversion DE.1.0.8.0 --startMP 204:475 --initTime 2017-02-12T18:46:57 --startdatetime 2017-02-12T18:53:04 --delay 2 --endMP 300:23304 --enddatetime 2017-02-12T19:06:10 --enforcementcount 0 &gt;&gt;C:\Users\stu\Documents\GitHub\eaglep3-reporting\EC\2017-02-12-refined-times.txt</v>
      </c>
      <c r="AI211" s="108" t="str">
        <f t="shared" si="14"/>
        <v>echo {"issue":{"subject":"","project_id":79,"tracker_id":40,"status_id":1,"priority_id":2,"assigned_to_id":23,"start_date":"2017-02-12","description":"","custom_fields":[{"id":1,"name":"Subdivision","value":"Other"},{"id":4,"name":"Milepost","value":"2.3304"},{"id":17,"name":"Train ID","value":"77-12"},{"id":16,"name":"Locomotive ID","value":"4011"},{"id":130,"name":"Impact","value":""},{"id":150,"name":"Time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5"/>
        <v>start /low /b %USERPROFILE%\Documents\GitHub\eaglep3\Utilities\DownloadLogsFromS3.py --loco 4011 --day 2017-02-12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"%USERPROFILE%\AppData\Local\Temp\OnboardLogs"\RTDC4011\*4011*20170213* | grep -SE "(Enforcement Action)|(\[TIMEOUT)|(CHR.+\|PRM\|1\|D.+(SWITCH|SIGNAL).+UNKNOWN)" - &gt;&gt; 2017-02-12-UncaughtWiMAX.txt</v>
      </c>
    </row>
    <row r="212" spans="1:40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  <c r="AM212"/>
    </row>
    <row r="213" spans="1:40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  <c r="AM213"/>
    </row>
    <row r="214" spans="1:40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  <c r="AM214"/>
    </row>
    <row r="215" spans="1:4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</sheetData>
  <autoFilter ref="A12:AG228"/>
  <sortState ref="A13:AH200">
    <sortCondition ref="AG13:AG200"/>
    <sortCondition ref="AD13:AD200"/>
  </sortState>
  <mergeCells count="1">
    <mergeCell ref="A11:P11"/>
  </mergeCells>
  <conditionalFormatting sqref="W11:W12 W252:X1048576 W13:X211">
    <cfRule type="cellIs" dxfId="10" priority="356" operator="equal">
      <formula>"Y"</formula>
    </cfRule>
  </conditionalFormatting>
  <conditionalFormatting sqref="X252:X1048576 X13:X211">
    <cfRule type="cellIs" dxfId="9" priority="339" operator="greaterThan">
      <formula>1</formula>
    </cfRule>
  </conditionalFormatting>
  <conditionalFormatting sqref="X252:X1048576 X12:X211">
    <cfRule type="cellIs" dxfId="8" priority="336" operator="equal">
      <formula>0</formula>
    </cfRule>
  </conditionalFormatting>
  <conditionalFormatting sqref="A13:S21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AK13:AK211</xm:sqref>
        </x14:dataValidation>
        <x14:dataValidation type="list" allowBlank="1" showInputMessage="1" showErrorMessage="1">
          <x14:formula1>
            <xm:f>'Redmine List Values'!$C$2:$C$15</xm:f>
          </x14:formula1>
          <xm:sqref>AL13:AL211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8"/>
  <sheetViews>
    <sheetView topLeftCell="A2" zoomScaleNormal="100" workbookViewId="0">
      <selection activeCell="P14" sqref="P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COUNTIF($O$7:$O$317,"=Y")</f>
        <v>5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COUNTA($O$7:$O$317)-O2</f>
        <v>18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- 2017-02-12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197</v>
      </c>
      <c r="AE6" s="155" t="s">
        <v>212</v>
      </c>
    </row>
    <row r="7" spans="1:32" s="1" customFormat="1" x14ac:dyDescent="0.25">
      <c r="A7" s="32">
        <v>42778.278298611112</v>
      </c>
      <c r="B7" s="30" t="s">
        <v>425</v>
      </c>
      <c r="C7" s="30" t="s">
        <v>518</v>
      </c>
      <c r="D7" s="30" t="s">
        <v>49</v>
      </c>
      <c r="E7" s="30" t="s">
        <v>199</v>
      </c>
      <c r="F7" s="43">
        <v>230</v>
      </c>
      <c r="G7" s="43">
        <v>365</v>
      </c>
      <c r="H7" s="43">
        <v>35545</v>
      </c>
      <c r="I7" s="43">
        <v>34488</v>
      </c>
      <c r="J7" s="30" t="s">
        <v>200</v>
      </c>
      <c r="K7" s="43">
        <v>33257</v>
      </c>
      <c r="L7" s="143" t="s">
        <v>51</v>
      </c>
      <c r="M7" s="144">
        <f>CONVERT((I7-K7)/10000,"mi","ft")*IF(L7="Increasing Mileposts (1)",-1,1)</f>
        <v>649.96799999999996</v>
      </c>
      <c r="N7" s="145" t="str">
        <f>VLOOKUP(C7,'Trips&amp;Operators'!$C$1:$G$99999,5,FALSE)</f>
        <v>MOSES BRADLEY</v>
      </c>
      <c r="O7" s="194" t="s">
        <v>185</v>
      </c>
      <c r="P7" s="146" t="s">
        <v>346</v>
      </c>
      <c r="Q7" s="30"/>
      <c r="R7" s="89" t="str">
        <f>VLOOKUP(C7,'Train Runs'!$A$13:$AE$9956,31,0)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S7" s="92" t="str">
        <f>VLOOKUP(C7,'Train Runs'!$A$13:$AE$9956,22,0)</f>
        <v>https://d0f6bd738d7f1b3e5a7ca70fe4ff75f0.us-east-1.aws.found.io/app/kibana#/discover/Steve-Slow-Train-Analysis-(2080s-and-2083s)?_g=(refreshInterval:(display:Off,pause:!f,section:0,value:0),time:(from:'2017-02-12T05:06:32-0700',mode:absolute,to:'2017-02-12T07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7" s="94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/stypes="*4008*201702121*" /stext=" 13:.+((SYSTEM_STATE.+slice.+state.+changed )|(ment ac)|(multiple cpu faults)|(system.+state.+changed )|(\[timeout)|(PRM\|1\|D)|(kpr)|(kdp)|(\|lc)|(penalty))" /e /r /s</v>
      </c>
      <c r="U7" s="9" t="str">
        <f>MID(B7,13,4)</f>
        <v>4008</v>
      </c>
      <c r="V7" s="32">
        <f>A7-utc_offset/24</f>
        <v>42778.569965277777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arrival","project_id":79,"tracker_id":40,"status_id":1,"priority_id":2,"assigned_to_id":23,"start_date":"2017-02-12","description":"","custom_fields":[{"id":1,"name":"Subdivision","value":"EC"},{"id":4,"name":"Milepost","value":"3.3257"},{"id":17,"name":"Train ID","value":"114-12"},{"id":16,"name":"Locomotive ID","value":"4008"},{"id":130,"name":"Impact","value":""},{"id":150,"name":"Time of Event (Mountain Time)","value":"06:40:45"},{"id":151,"name":"Denver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"%USERPROFILE%\AppData\Local\Temp\OnboardLogs"\RTDC4008\*4008*201702121*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"%USERPROFILE%\AppData\Local\Temp\OnboardLogs"\RTDC4008\*4008*201702121* &gt;&gt; 2017-02-12-SliceDisagreementCheck.txt</v>
      </c>
      <c r="AE7" s="157" t="str">
        <f t="shared" ref="AE7" si="0">"start /low /b "&amp;dls3logs&amp;" --loco "&amp;U7&amp;" --day "&amp;TEXT(V7,"YYYY-MM-DD")</f>
        <v>start /low /b %USERPROFILE%\Documents\GitHub\eaglep3\Utilities\DownloadLogsFromS3.py --loco 4008 --day 2017-02-12</v>
      </c>
    </row>
    <row r="8" spans="1:32" s="1" customFormat="1" x14ac:dyDescent="0.25">
      <c r="A8" s="32">
        <v>42778.637719907405</v>
      </c>
      <c r="B8" s="30" t="s">
        <v>425</v>
      </c>
      <c r="C8" s="30" t="s">
        <v>527</v>
      </c>
      <c r="D8" s="30" t="s">
        <v>49</v>
      </c>
      <c r="E8" s="30" t="s">
        <v>199</v>
      </c>
      <c r="F8" s="43">
        <v>150</v>
      </c>
      <c r="G8" s="43">
        <v>647</v>
      </c>
      <c r="H8" s="43">
        <v>68556</v>
      </c>
      <c r="I8" s="43">
        <v>65688</v>
      </c>
      <c r="J8" s="30" t="s">
        <v>200</v>
      </c>
      <c r="K8" s="43">
        <v>63309</v>
      </c>
      <c r="L8" s="143" t="s">
        <v>51</v>
      </c>
      <c r="M8" s="144">
        <f>CONVERT((I8-K8)/10000,"mi","ft")*IF(L8="Increasing Mileposts (1)",-1,1)</f>
        <v>1256.1120000000001</v>
      </c>
      <c r="N8" s="145" t="str">
        <f>VLOOKUP(C8,'Trips&amp;Operators'!$C$1:$G$99999,5,FALSE)</f>
        <v>ROMERO CHAD</v>
      </c>
      <c r="O8" s="194" t="s">
        <v>185</v>
      </c>
      <c r="P8" s="146" t="s">
        <v>346</v>
      </c>
      <c r="Q8" s="30"/>
      <c r="R8" s="89" t="str">
        <f>VLOOKUP(C8,'Train Runs'!$A$13:$AE$9956,31,0)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S8" s="92" t="str">
        <f>VLOOKUP(C8,'Train Runs'!$A$13:$AE$9956,22,0)</f>
        <v>https://d0f6bd738d7f1b3e5a7ca70fe4ff75f0.us-east-1.aws.found.io/app/kibana#/discover/Steve-Slow-Train-Analysis-(2080s-and-2083s)?_g=(refreshInterval:(display:Off,pause:!f,section:0,value:0),time:(from:'2017-02-12T13:44:26-0700',mode:absolute,to:'2017-02-12T16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8" s="94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/stypes="*4008*201702122*" /stext=" 22:.+((SYSTEM_STATE.+slice.+state.+changed )|(ment ac)|(multiple cpu faults)|(system.+state.+changed )|(\[timeout)|(PRM\|1\|D)|(kpr)|(kdp)|(\|lc)|(penalty))" /e /r /s</v>
      </c>
      <c r="U8" s="9" t="str">
        <f>MID(B8,13,4)</f>
        <v>4008</v>
      </c>
      <c r="V8" s="32">
        <f>A8-utc_offset/24</f>
        <v>42778.929386574069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arrival","project_id":79,"tracker_id":40,"status_id":1,"priority_id":2,"assigned_to_id":23,"start_date":"2017-02-12","description":"","custom_fields":[{"id":1,"name":"Subdivision","value":"EC"},{"id":4,"name":"Milepost","value":"6.3309"},{"id":17,"name":"Train ID","value":"184-12"},{"id":16,"name":"Locomotive ID","value":"4008"},{"id":130,"name":"Impact","value":""},{"id":150,"name":"Time of Event (Mountain Time)","value":"15:18:19"},{"id":151,"name":"Denver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"%USERPROFILE%\AppData\Local\Temp\OnboardLogs"\RTDC4008\*4008*201702122*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"%USERPROFILE%\AppData\Local\Temp\OnboardLogs"\RTDC4008\*4008*201702122* &gt;&gt; 2017-02-12-SliceDisagreementCheck.txt</v>
      </c>
      <c r="AE8" s="157" t="str">
        <f t="shared" ref="AE8:AE29" si="1">"start /low /b "&amp;dls3logs&amp;" --loco "&amp;U8&amp;" --day "&amp;TEXT(V8,"YYYY-MM-DD")</f>
        <v>start /low /b %USERPROFILE%\Documents\GitHub\eaglep3\Utilities\DownloadLogsFromS3.py --loco 4008 --day 2017-02-12</v>
      </c>
    </row>
    <row r="9" spans="1:32" s="1" customFormat="1" x14ac:dyDescent="0.25">
      <c r="A9" s="32">
        <v>42778.656909722224</v>
      </c>
      <c r="B9" s="30" t="s">
        <v>298</v>
      </c>
      <c r="C9" s="30" t="s">
        <v>530</v>
      </c>
      <c r="D9" s="30" t="s">
        <v>98</v>
      </c>
      <c r="E9" s="30" t="s">
        <v>186</v>
      </c>
      <c r="F9" s="43">
        <v>0</v>
      </c>
      <c r="G9" s="43">
        <v>79</v>
      </c>
      <c r="H9" s="43">
        <v>1736</v>
      </c>
      <c r="I9" s="43">
        <v>1858</v>
      </c>
      <c r="J9" s="30" t="s">
        <v>187</v>
      </c>
      <c r="K9" s="43">
        <v>1692</v>
      </c>
      <c r="L9" s="143" t="s">
        <v>50</v>
      </c>
      <c r="M9" s="144">
        <f>CONVERT((I9-K9)/10000,"mi","ft")*IF(L9="Increasing Mileposts (1)",-1,1)</f>
        <v>-87.647999999999996</v>
      </c>
      <c r="N9" s="145" t="str">
        <f>VLOOKUP(C9,'Trips&amp;Operators'!$C$1:$G$99999,5,FALSE)</f>
        <v>LOPES KIMBERLY</v>
      </c>
      <c r="O9" s="194" t="s">
        <v>185</v>
      </c>
      <c r="P9" s="146" t="s">
        <v>902</v>
      </c>
      <c r="Q9" s="30"/>
      <c r="R9" s="89" t="str">
        <f>VLOOKUP(C9,'Train Runs'!$A$13:$AE$9956,31,0)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S9" s="92" t="str">
        <f>VLOOKUP(C9,'Train Runs'!$A$13:$AE$9956,22,0)</f>
        <v>https://d0f6bd738d7f1b3e5a7ca70fe4ff75f0.us-east-1.aws.found.io/app/kibana#/discover/Steve-Slow-Train-Analysis-(2080s-and-2083s)?_g=(refreshInterval:(display:Off,pause:!f,section:0,value:0),time:(from:'2017-02-12T14:34:38-0700',mode:absolute,to:'2017-02-12T16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9" s="94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/stypes="*4016*201702122*" /stext=" 22:.+((SYSTEM_STATE.+slice.+state.+changed )|(ment ac)|(multiple cpu faults)|(system.+state.+changed )|(\[timeout)|(PRM\|1\|D)|(kpr)|(kdp)|(\|lc)|(penalty))" /e /r /s</v>
      </c>
      <c r="U9" s="9" t="str">
        <f>MID(B9,13,4)</f>
        <v>4016</v>
      </c>
      <c r="V9" s="32">
        <f>A9-utc_offset/24</f>
        <v>42778.948576388888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{"issue":{"subject":"Main 3 departure","project_id":79,"tracker_id":40,"status_id":1,"priority_id":2,"assigned_to_id":23,"start_date":"2017-02-12","description":"","custom_fields":[{"id":1,"name":"Subdivision","value":"EC"},{"id":4,"name":"Milepost","value":"0.1692"},{"id":17,"name":"Train ID","value":"197-12"},{"id":16,"name":"Locomotive ID","value":"4016"},{"id":130,"name":"Impact","value":""},{"id":150,"name":"Time of Event (Mountain Time)","value":"15:45:57"},{"id":151,"name":"Denver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"%USERPROFILE%\AppData\Local\Temp\OnboardLogs"\RTDC4016\*4016*201702122*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"%USERPROFILE%\AppData\Local\Temp\OnboardLogs"\RTDC4016\*4016*201702122* &gt;&gt; 2017-02-12-SliceDisagreementCheck.txt</v>
      </c>
      <c r="AE9" s="157" t="str">
        <f t="shared" si="1"/>
        <v>start /low /b %USERPROFILE%\Documents\GitHub\eaglep3\Utilities\DownloadLogsFromS3.py --loco 4016 --day 2017-02-12</v>
      </c>
    </row>
    <row r="10" spans="1:32" s="1" customFormat="1" x14ac:dyDescent="0.25">
      <c r="A10" s="32">
        <v>42778.643587962964</v>
      </c>
      <c r="B10" s="30" t="s">
        <v>326</v>
      </c>
      <c r="C10" s="30" t="s">
        <v>528</v>
      </c>
      <c r="D10" s="30" t="s">
        <v>49</v>
      </c>
      <c r="E10" s="30" t="s">
        <v>186</v>
      </c>
      <c r="F10" s="43">
        <v>0</v>
      </c>
      <c r="G10" s="43">
        <v>155</v>
      </c>
      <c r="H10" s="43">
        <v>43529</v>
      </c>
      <c r="I10" s="43">
        <v>43832</v>
      </c>
      <c r="J10" s="30" t="s">
        <v>187</v>
      </c>
      <c r="K10" s="43">
        <v>43651</v>
      </c>
      <c r="L10" s="143" t="s">
        <v>50</v>
      </c>
      <c r="M10" s="144">
        <f>CONVERT((I10-K10)/10000,"mi","ft")*IF(L10="Increasing Mileposts (1)",-1,1)</f>
        <v>-95.567999999999998</v>
      </c>
      <c r="N10" s="145" t="str">
        <f>VLOOKUP(C10,'Trips&amp;Operators'!$C$1:$G$99999,5,FALSE)</f>
        <v>LALONDE GREGORY</v>
      </c>
      <c r="O10" s="194" t="s">
        <v>218</v>
      </c>
      <c r="P10" s="146" t="s">
        <v>900</v>
      </c>
      <c r="Q10" s="30"/>
      <c r="R10" s="89" t="str">
        <f>VLOOKUP(C10,'Train Runs'!$A$13:$AE$9956,31,0)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S10" s="92" t="str">
        <f>VLOOKUP(C10,'Train Runs'!$A$13:$AE$9956,22,0)</f>
        <v>https://d0f6bd738d7f1b3e5a7ca70fe4ff75f0.us-east-1.aws.found.io/app/kibana#/discover/Steve-Slow-Train-Analysis-(2080s-and-2083s)?_g=(refreshInterval:(display:Off,pause:!f,section:0,value:0),time:(from:'2017-02-12T14:07:28-0700',mode:absolute,to:'2017-02-12T17:01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94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/stypes="*4031*201702122*" /stext=" 22:.+((SYSTEM_STATE.+slice.+state.+changed )|(ment ac)|(multiple cpu faults)|(system.+state.+changed )|(\[timeout)|(PRM\|1\|D)|(kpr)|(kdp)|(\|lc)|(penalty))" /e /r /s</v>
      </c>
      <c r="U10" s="9" t="str">
        <f>MID(B10,13,4)</f>
        <v>4031</v>
      </c>
      <c r="V10" s="32">
        <f>A10-utc_offset/24</f>
        <v>42778.935254629629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failure","project_id":79,"tracker_id":40,"status_id":1,"priority_id":2,"assigned_to_id":23,"start_date":"2017-02-12","description":"","custom_fields":[{"id":1,"name":"Subdivision","value":"EC"},{"id":4,"name":"Milepost","value":"4.3651"},{"id":17,"name":"Train ID","value":"193-12"},{"id":16,"name":"Locomotive ID","value":"4031"},{"id":130,"name":"Impact","value":""},{"id":150,"name":"Time of Event (Mountain Time)","value":"15:26:46"},{"id":151,"name":"Denver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"%USERPROFILE%\AppData\Local\Temp\OnboardLogs"\RTDC4031\*4031*201702122*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"%USERPROFILE%\AppData\Local\Temp\OnboardLogs"\RTDC4031\*4031*201702122* &gt;&gt; 2017-02-12-SliceDisagreementCheck.txt</v>
      </c>
      <c r="AE10" s="157" t="str">
        <f t="shared" si="1"/>
        <v>start /low /b %USERPROFILE%\Documents\GitHub\eaglep3\Utilities\DownloadLogsFromS3.py --loco 4031 --day 2017-02-12</v>
      </c>
    </row>
    <row r="11" spans="1:32" s="1" customFormat="1" x14ac:dyDescent="0.25">
      <c r="A11" s="32">
        <v>42778.64167824074</v>
      </c>
      <c r="B11" s="30" t="s">
        <v>425</v>
      </c>
      <c r="C11" s="30" t="s">
        <v>527</v>
      </c>
      <c r="D11" s="30" t="s">
        <v>49</v>
      </c>
      <c r="E11" s="30" t="s">
        <v>186</v>
      </c>
      <c r="F11" s="43">
        <v>0</v>
      </c>
      <c r="G11" s="43">
        <v>60</v>
      </c>
      <c r="H11" s="43">
        <v>58160</v>
      </c>
      <c r="I11" s="43">
        <v>58123</v>
      </c>
      <c r="J11" s="30" t="s">
        <v>187</v>
      </c>
      <c r="K11" s="43">
        <v>57897</v>
      </c>
      <c r="L11" s="143" t="s">
        <v>51</v>
      </c>
      <c r="M11" s="144">
        <f>CONVERT((I11-K11)/10000,"mi","ft")*IF(L11="Increasing Mileposts (1)",-1,1)</f>
        <v>119.328</v>
      </c>
      <c r="N11" s="145" t="str">
        <f>VLOOKUP(C11,'Trips&amp;Operators'!$C$1:$G$99999,5,FALSE)</f>
        <v>ROMERO CHAD</v>
      </c>
      <c r="O11" s="194" t="s">
        <v>218</v>
      </c>
      <c r="P11" s="146" t="s">
        <v>900</v>
      </c>
      <c r="Q11" s="30"/>
      <c r="R11" s="89" t="str">
        <f>VLOOKUP(C11,'Train Runs'!$A$13:$AE$9956,31,0)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S11" s="92" t="str">
        <f>VLOOKUP(C11,'Train Runs'!$A$13:$AE$9956,22,0)</f>
        <v>https://d0f6bd738d7f1b3e5a7ca70fe4ff75f0.us-east-1.aws.found.io/app/kibana#/discover/Steve-Slow-Train-Analysis-(2080s-and-2083s)?_g=(refreshInterval:(display:Off,pause:!f,section:0,value:0),time:(from:'2017-02-12T13:44:26-0700',mode:absolute,to:'2017-02-12T16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1" s="94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/stypes="*4008*201702122*" /stext=" 22:.+((SYSTEM_STATE.+slice.+state.+changed )|(ment ac)|(multiple cpu faults)|(system.+state.+changed )|(\[timeout)|(PRM\|1\|D)|(kpr)|(kdp)|(\|lc)|(penalty))" /e /r /s</v>
      </c>
      <c r="U11" s="9" t="str">
        <f>MID(B11,13,4)</f>
        <v>4008</v>
      </c>
      <c r="V11" s="32">
        <f>A11-utc_offset/24</f>
        <v>42778.933344907404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{"issue":{"subject":"EC0508RH ELXS failure","project_id":79,"tracker_id":40,"status_id":1,"priority_id":2,"assigned_to_id":23,"start_date":"2017-02-12","description":"","custom_fields":[{"id":1,"name":"Subdivision","value":"EC"},{"id":4,"name":"Milepost","value":"5.7897"},{"id":17,"name":"Train ID","value":"184-12"},{"id":16,"name":"Locomotive ID","value":"4008"},{"id":130,"name":"Impact","value":""},{"id":150,"name":"Time of Event (Mountain Time)","value":"15:24:01"},{"id":151,"name":"Denver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"%USERPROFILE%\AppData\Local\Temp\OnboardLogs"\RTDC4008\*4008*201702122*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"%USERPROFILE%\AppData\Local\Temp\OnboardLogs"\RTDC4008\*4008*201702122* &gt;&gt; 2017-02-12-SliceDisagreementCheck.txt</v>
      </c>
      <c r="AE11" s="157" t="str">
        <f t="shared" si="1"/>
        <v>start /low /b %USERPROFILE%\Documents\GitHub\eaglep3\Utilities\DownloadLogsFromS3.py --loco 4008 --day 2017-02-12</v>
      </c>
    </row>
    <row r="12" spans="1:32" s="1" customFormat="1" x14ac:dyDescent="0.25">
      <c r="A12" s="32">
        <v>42778.928032407406</v>
      </c>
      <c r="B12" s="30" t="s">
        <v>196</v>
      </c>
      <c r="C12" s="30" t="s">
        <v>535</v>
      </c>
      <c r="D12" s="30" t="s">
        <v>49</v>
      </c>
      <c r="E12" s="30" t="s">
        <v>186</v>
      </c>
      <c r="F12" s="43">
        <v>0</v>
      </c>
      <c r="G12" s="43">
        <v>780</v>
      </c>
      <c r="H12" s="43">
        <v>82045</v>
      </c>
      <c r="I12" s="43">
        <v>85182</v>
      </c>
      <c r="J12" s="30" t="s">
        <v>187</v>
      </c>
      <c r="K12" s="43">
        <v>87889</v>
      </c>
      <c r="L12" s="143" t="s">
        <v>50</v>
      </c>
      <c r="M12" s="144">
        <f>CONVERT((I12-K12)/10000,"mi","ft")*IF(L12="Increasing Mileposts (1)",-1,1)</f>
        <v>1429.296</v>
      </c>
      <c r="N12" s="145" t="str">
        <f>VLOOKUP(C12,'Trips&amp;Operators'!$C$1:$G$99999,5,FALSE)</f>
        <v>SMITH MICHAEL</v>
      </c>
      <c r="O12" s="194" t="s">
        <v>218</v>
      </c>
      <c r="P12" s="146" t="s">
        <v>451</v>
      </c>
      <c r="Q12" s="30"/>
      <c r="R12" s="89" t="str">
        <f>VLOOKUP(C12,'Train Runs'!$A$13:$AE$9956,31,0)</f>
        <v>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 &amp; aws s3 cp s3://rtdc.mdm.uploadarchive.raw/RTDC4038/ "%USERPROFILE%\AppData\Local\Temp\OnboardLogs"\RTDC4038\2017-02-13 --exclude "*" --recursive --include "*20170213*" &amp; "%USERPROFILE%\Documents\GitHub\mrs-test-scripts\Headless Mode &amp; Sideloading\WalkAndUnGZ.bat" "%USERPROFILE%\AppData\Local\Temp\OnboardLogs"\RTDC4038\2017-02-13</v>
      </c>
      <c r="S12" s="92" t="str">
        <f>VLOOKUP(C12,'Train Runs'!$A$13:$AE$9956,22,0)</f>
        <v>https://d0f6bd738d7f1b3e5a7ca70fe4ff75f0.us-east-1.aws.found.io/app/kibana#/discover/Steve-Slow-Train-Analysis-(2080s-and-2083s)?_g=(refreshInterval:(display:Off,pause:!f,section:0,value:0),time:(from:'2017-02-12T20:45:05-0700',mode:absolute,to:'2017-02-12T23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12" s="94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/stypes="*4038*201702130*" /stext=" 05:.+((SYSTEM_STATE.+slice.+state.+changed )|(ment ac)|(multiple cpu faults)|(system.+state.+changed )|(\[timeout)|(PRM\|1\|D)|(kpr)|(kdp)|(\|lc)|(penalty))" /e /r /s</v>
      </c>
      <c r="U12" s="9" t="str">
        <f>MID(B12,13,4)</f>
        <v>4038</v>
      </c>
      <c r="V12" s="32">
        <f>A12-utc_offset/24</f>
        <v>42779.21969907407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drop","project_id":79,"tracker_id":40,"status_id":1,"priority_id":2,"assigned_to_id":23,"start_date":"2017-02-12","description":"","custom_fields":[{"id":1,"name":"Subdivision","value":"EC"},{"id":4,"name":"Milepost","value":"8.7889"},{"id":17,"name":"Train ID","value":"233-12"},{"id":16,"name":"Locomotive ID","value":"4038"},{"id":130,"name":"Impact","value":""},{"id":150,"name":"Time of Event (Mountain Time)","value":"22:16:22"},{"id":151,"name":"Denver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"%USERPROFILE%\AppData\Local\Temp\OnboardLogs"\RTDC4038\*4038*201702130*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"%USERPROFILE%\AppData\Local\Temp\OnboardLogs"\RTDC4038\*4038*201702130* &gt;&gt; 2017-02-12-SliceDisagreementCheck.txt</v>
      </c>
      <c r="AE12" s="157" t="str">
        <f t="shared" si="1"/>
        <v>start /low /b %USERPROFILE%\Documents\GitHub\eaglep3\Utilities\DownloadLogsFromS3.py --loco 4038 --day 2017-02-13</v>
      </c>
    </row>
    <row r="13" spans="1:32" s="1" customFormat="1" x14ac:dyDescent="0.25">
      <c r="A13" s="32">
        <v>42778.44363425926</v>
      </c>
      <c r="B13" s="30" t="s">
        <v>302</v>
      </c>
      <c r="C13" s="30" t="s">
        <v>522</v>
      </c>
      <c r="D13" s="30" t="s">
        <v>49</v>
      </c>
      <c r="E13" s="30" t="s">
        <v>186</v>
      </c>
      <c r="F13" s="43">
        <v>0</v>
      </c>
      <c r="G13" s="43">
        <v>751</v>
      </c>
      <c r="H13" s="43">
        <v>139215</v>
      </c>
      <c r="I13" s="43">
        <v>142951</v>
      </c>
      <c r="J13" s="30" t="s">
        <v>187</v>
      </c>
      <c r="K13" s="43">
        <v>144300</v>
      </c>
      <c r="L13" s="143" t="s">
        <v>50</v>
      </c>
      <c r="M13" s="144">
        <f>CONVERT((I13-K13)/10000,"mi","ft")*IF(L13="Increasing Mileposts (1)",-1,1)</f>
        <v>712.27199999999993</v>
      </c>
      <c r="N13" s="145" t="str">
        <f>VLOOKUP(C13,'Trips&amp;Operators'!$C$1:$G$99999,5,FALSE)</f>
        <v>GEBRETEKLE DAGNEW</v>
      </c>
      <c r="O13" s="194" t="s">
        <v>218</v>
      </c>
      <c r="P13" s="146" t="s">
        <v>907</v>
      </c>
      <c r="Q13" s="30"/>
      <c r="R13" s="89" t="str">
        <f>VLOOKUP(C13,'Train Runs'!$A$13:$AE$9956,31,0)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S13" s="92" t="str">
        <f>VLOOKUP(C13,'Train Runs'!$A$13:$AE$9956,22,0)</f>
        <v>https://d0f6bd738d7f1b3e5a7ca70fe4ff75f0.us-east-1.aws.found.io/app/kibana#/discover/Steve-Slow-Train-Analysis-(2080s-and-2083s)?_g=(refreshInterval:(display:Off,pause:!f,section:0,value:0),time:(from:'2017-02-12T09:08:13-0700',mode:absolute,to:'2017-02-12T11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3" s="94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/stypes="*4009*201702121*" /stext=" 17:.+((SYSTEM_STATE.+slice.+state.+changed )|(ment ac)|(multiple cpu faults)|(system.+state.+changed )|(\[timeout)|(PRM\|1\|D)|(kpr)|(kdp)|(\|lc)|(penalty))" /e /r /s</v>
      </c>
      <c r="U13" s="9" t="str">
        <f>MID(B13,13,4)</f>
        <v>4009</v>
      </c>
      <c r="V13" s="32">
        <f>A13-utc_offset/24</f>
        <v>42778.735300925924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{"issue":{"subject":"Wi-MAX data drop (4009 CCU failed)","project_id":79,"tracker_id":40,"status_id":1,"priority_id":2,"assigned_to_id":23,"start_date":"2017-02-12","description":"","custom_fields":[{"id":1,"name":"Subdivision","value":"EC"},{"id":4,"name":"Milepost","value":"14.43"},{"id":17,"name":"Train ID","value":"153-12"},{"id":16,"name":"Locomotive ID","value":"4009"},{"id":130,"name":"Impact","value":""},{"id":150,"name":"Time of Event (Mountain Time)","value":"10:38:50"},{"id":151,"name":"Denver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"%USERPROFILE%\AppData\Local\Temp\OnboardLogs"\RTDC4009\*4009*201702121*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"%USERPROFILE%\AppData\Local\Temp\OnboardLogs"\RTDC4009\*4009*201702121* &gt;&gt; 2017-02-12-SliceDisagreementCheck.txt</v>
      </c>
      <c r="AE13" s="157" t="str">
        <f t="shared" si="1"/>
        <v>start /low /b %USERPROFILE%\Documents\GitHub\eaglep3\Utilities\DownloadLogsFromS3.py --loco 4009 --day 2017-02-12</v>
      </c>
    </row>
    <row r="14" spans="1:32" s="1" customFormat="1" x14ac:dyDescent="0.25">
      <c r="A14" s="32">
        <v>42778.675104166665</v>
      </c>
      <c r="B14" s="30" t="s">
        <v>302</v>
      </c>
      <c r="C14" s="30" t="s">
        <v>531</v>
      </c>
      <c r="D14" s="30" t="s">
        <v>49</v>
      </c>
      <c r="E14" s="30" t="s">
        <v>186</v>
      </c>
      <c r="F14" s="43">
        <v>0</v>
      </c>
      <c r="G14" s="43">
        <v>704</v>
      </c>
      <c r="H14" s="43">
        <v>196767</v>
      </c>
      <c r="I14" s="43">
        <v>199845</v>
      </c>
      <c r="J14" s="30" t="s">
        <v>187</v>
      </c>
      <c r="K14" s="43">
        <v>198242</v>
      </c>
      <c r="L14" s="143" t="s">
        <v>50</v>
      </c>
      <c r="M14" s="144">
        <f>CONVERT((I14-K14)/10000,"mi","ft")*IF(L14="Increasing Mileposts (1)",-1,1)</f>
        <v>-846.38400000000001</v>
      </c>
      <c r="N14" s="145" t="str">
        <f>VLOOKUP(C14,'Trips&amp;Operators'!$C$1:$G$99999,5,FALSE)</f>
        <v>CRAYTON QUNTRELL</v>
      </c>
      <c r="O14" s="194" t="s">
        <v>218</v>
      </c>
      <c r="P14" s="146" t="s">
        <v>907</v>
      </c>
      <c r="Q14" s="30"/>
      <c r="R14" s="89" t="str">
        <f>VLOOKUP(C14,'Train Runs'!$A$13:$AE$9956,31,0)</f>
        <v>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 &amp; aws s3 cp s3://rtdc.mdm.uploadarchive.raw/RTDC4009/ "%USERPROFILE%\AppData\Local\Temp\OnboardLogs"\RTDC4009\2017-02-13 --exclude "*" --recursive --include "*20170213*" &amp; "%USERPROFILE%\Documents\GitHub\mrs-test-scripts\Headless Mode &amp; Sideloading\WalkAndUnGZ.bat" "%USERPROFILE%\AppData\Local\Temp\OnboardLogs"\RTDC4009\2017-02-13</v>
      </c>
      <c r="S14" s="92" t="str">
        <f>VLOOKUP(C14,'Train Runs'!$A$13:$AE$9956,22,0)</f>
        <v>https://d0f6bd738d7f1b3e5a7ca70fe4ff75f0.us-east-1.aws.found.io/app/kibana#/discover/Steve-Slow-Train-Analysis-(2080s-and-2083s)?_g=(refreshInterval:(display:Off,pause:!f,section:0,value:0),time:(from:'2017-02-12T14:23:46-0700',mode:absolute,to:'2017-02-12T17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94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/stypes="*4009*201702122*" /stext=" 23:.+((SYSTEM_STATE.+slice.+state.+changed )|(ment ac)|(multiple cpu faults)|(system.+state.+changed )|(\[timeout)|(PRM\|1\|D)|(kpr)|(kdp)|(\|lc)|(penalty))" /e /r /s</v>
      </c>
      <c r="U14" s="9" t="str">
        <f>MID(B14,13,4)</f>
        <v>4009</v>
      </c>
      <c r="V14" s="32">
        <f>A14-utc_offset/24</f>
        <v>42778.966770833329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{"issue":{"subject":"Wi-MAX data drop (4009 CCU failed)","project_id":79,"tracker_id":40,"status_id":1,"priority_id":2,"assigned_to_id":23,"start_date":"2017-02-12","description":"","custom_fields":[{"id":1,"name":"Subdivision","value":"EC"},{"id":4,"name":"Milepost","value":"19.8242"},{"id":17,"name":"Train ID","value":"195-12"},{"id":16,"name":"Locomotive ID","value":"4009"},{"id":130,"name":"Impact","value":""},{"id":150,"name":"Time of Event (Mountain Time)","value":"16:12:09"},{"id":151,"name":"Denver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"%USERPROFILE%\AppData\Local\Temp\OnboardLogs"\RTDC4009\*4009*201702122*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"%USERPROFILE%\AppData\Local\Temp\OnboardLogs"\RTDC4009\*4009*201702122* &gt;&gt; 2017-02-12-SliceDisagreementCheck.txt</v>
      </c>
      <c r="AE14" s="157" t="str">
        <f t="shared" si="1"/>
        <v>start /low /b %USERPROFILE%\Documents\GitHub\eaglep3\Utilities\DownloadLogsFromS3.py --loco 4009 --day 2017-02-12</v>
      </c>
    </row>
    <row r="15" spans="1:32" x14ac:dyDescent="0.25">
      <c r="A15" s="32">
        <v>42778.357164351852</v>
      </c>
      <c r="B15" s="30" t="s">
        <v>425</v>
      </c>
      <c r="C15" s="30" t="s">
        <v>520</v>
      </c>
      <c r="D15" s="30" t="s">
        <v>49</v>
      </c>
      <c r="E15" s="30" t="s">
        <v>188</v>
      </c>
      <c r="F15" s="43">
        <v>0</v>
      </c>
      <c r="G15" s="43">
        <v>66</v>
      </c>
      <c r="H15" s="43">
        <v>251</v>
      </c>
      <c r="I15" s="43">
        <v>183</v>
      </c>
      <c r="J15" s="30" t="s">
        <v>189</v>
      </c>
      <c r="K15" s="43">
        <v>1</v>
      </c>
      <c r="L15" s="143" t="s">
        <v>51</v>
      </c>
      <c r="M15" s="144">
        <f>CONVERT((I15-K15)/10000,"mi","ft")*IF(L15="Increasing Mileposts (1)",-1,1)</f>
        <v>96.096000000000004</v>
      </c>
      <c r="N15" s="145" t="str">
        <f>VLOOKUP(C15,'Trips&amp;Operators'!$C$1:$G$99999,5,FALSE)</f>
        <v>MOSES BRADLEY</v>
      </c>
      <c r="O15" s="194" t="s">
        <v>185</v>
      </c>
      <c r="P15" s="146"/>
      <c r="Q15" s="30"/>
      <c r="R15" s="89" t="str">
        <f>VLOOKUP(C15,'Train Runs'!$A$13:$AE$9956,31,0)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S15" s="92" t="str">
        <f>VLOOKUP(C15,'Train Runs'!$A$13:$AE$9956,22,0)</f>
        <v>https://d0f6bd738d7f1b3e5a7ca70fe4ff75f0.us-east-1.aws.found.io/app/kibana#/discover/Steve-Slow-Train-Analysis-(2080s-and-2083s)?_g=(refreshInterval:(display:Off,pause:!f,section:0,value:0),time:(from:'2017-02-12T06:51:50-0700',mode:absolute,to:'2017-02-12T09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5" s="94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/stypes="*4008*201702121*" /stext=" 15:.+((SYSTEM_STATE.+slice.+state.+changed )|(ment ac)|(multiple cpu faults)|(system.+state.+changed )|(\[timeout)|(PRM\|1\|D)|(kpr)|(kdp)|(\|lc)|(penalty))" /e /r /s</v>
      </c>
      <c r="U15" s="9" t="str">
        <f>MID(B15,13,4)</f>
        <v>4008</v>
      </c>
      <c r="V15" s="32">
        <f>A15-utc_offset/24</f>
        <v>42778.648831018516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{"issue":{"subject":"","project_id":79,"tracker_id":40,"status_id":1,"priority_id":2,"assigned_to_id":23,"start_date":"2017-02-12","description":"","custom_fields":[{"id":1,"name":"Subdivision","value":"EC"},{"id":4,"name":"Milepost","value":"0.0001"},{"id":17,"name":"Train ID","value":"128-12"},{"id":16,"name":"Locomotive ID","value":"4008"},{"id":130,"name":"Impact","value":""},{"id":150,"name":"Time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"%USERPROFILE%\AppData\Local\Temp\OnboardLogs"\RTDC4008\*4008*201702121*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"%USERPROFILE%\AppData\Local\Temp\OnboardLogs"\RTDC4008\*4008*201702121* &gt;&gt; 2017-02-12-SliceDisagreementCheck.txt</v>
      </c>
      <c r="AE15" s="157" t="str">
        <f t="shared" si="1"/>
        <v>start /low /b %USERPROFILE%\Documents\GitHub\eaglep3\Utilities\DownloadLogsFromS3.py --loco 4008 --day 2017-02-12</v>
      </c>
      <c r="AF15" s="1"/>
    </row>
    <row r="16" spans="1:32" x14ac:dyDescent="0.25">
      <c r="A16" s="32">
        <v>42778.430891203701</v>
      </c>
      <c r="B16" s="30" t="s">
        <v>425</v>
      </c>
      <c r="C16" s="30" t="s">
        <v>521</v>
      </c>
      <c r="D16" s="30" t="s">
        <v>49</v>
      </c>
      <c r="E16" s="30" t="s">
        <v>188</v>
      </c>
      <c r="F16" s="43">
        <v>0</v>
      </c>
      <c r="G16" s="43">
        <v>70</v>
      </c>
      <c r="H16" s="43">
        <v>251</v>
      </c>
      <c r="I16" s="43">
        <v>181</v>
      </c>
      <c r="J16" s="30" t="s">
        <v>189</v>
      </c>
      <c r="K16" s="43">
        <v>1</v>
      </c>
      <c r="L16" s="143" t="s">
        <v>51</v>
      </c>
      <c r="M16" s="144">
        <f>CONVERT((I16-K16)/10000,"mi","ft")*IF(L16="Increasing Mileposts (1)",-1,1)</f>
        <v>95.04</v>
      </c>
      <c r="N16" s="145" t="str">
        <f>VLOOKUP(C16,'Trips&amp;Operators'!$C$1:$G$99999,5,FALSE)</f>
        <v>MOSES BRADLEY</v>
      </c>
      <c r="O16" s="194" t="s">
        <v>185</v>
      </c>
      <c r="P16" s="146"/>
      <c r="Q16" s="30"/>
      <c r="R16" s="89" t="str">
        <f>VLOOKUP(C16,'Train Runs'!$A$13:$AE$9956,31,0)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S16" s="92" t="str">
        <f>VLOOKUP(C16,'Train Runs'!$A$13:$AE$9956,22,0)</f>
        <v>https://d0f6bd738d7f1b3e5a7ca70fe4ff75f0.us-east-1.aws.found.io/app/kibana#/discover/Steve-Slow-Train-Analysis-(2080s-and-2083s)?_g=(refreshInterval:(display:Off,pause:!f,section:0,value:0),time:(from:'2017-02-12T08:35:25-0700',mode:absolute,to:'2017-02-12T11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6" s="94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/stypes="*4008*201702121*" /stext=" 17:.+((SYSTEM_STATE.+slice.+state.+changed )|(ment ac)|(multiple cpu faults)|(system.+state.+changed )|(\[timeout)|(PRM\|1\|D)|(kpr)|(kdp)|(\|lc)|(penalty))" /e /r /s</v>
      </c>
      <c r="U16" s="9" t="str">
        <f>MID(B16,13,4)</f>
        <v>4008</v>
      </c>
      <c r="V16" s="32">
        <f>A16-utc_offset/24</f>
        <v>42778.722557870366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{"issue":{"subject":"","project_id":79,"tracker_id":40,"status_id":1,"priority_id":2,"assigned_to_id":23,"start_date":"2017-02-12","description":"","custom_fields":[{"id":1,"name":"Subdivision","value":"EC"},{"id":4,"name":"Milepost","value":"0.0001"},{"id":17,"name":"Train ID","value":"142-12"},{"id":16,"name":"Locomotive ID","value":"4008"},{"id":130,"name":"Impact","value":""},{"id":150,"name":"Time of Event (Mountain Time)","value":"10:20:29"},{"id":151,"name":"Denver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"%USERPROFILE%\AppData\Local\Temp\OnboardLogs"\RTDC4008\*4008*201702121*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"%USERPROFILE%\AppData\Local\Temp\OnboardLogs"\RTDC4008\*4008*201702121* &gt;&gt; 2017-02-12-SliceDisagreementCheck.txt</v>
      </c>
      <c r="AE16" s="157" t="str">
        <f t="shared" si="1"/>
        <v>start /low /b %USERPROFILE%\Documents\GitHub\eaglep3\Utilities\DownloadLogsFromS3.py --loco 4008 --day 2017-02-12</v>
      </c>
      <c r="AF16" s="1"/>
    </row>
    <row r="17" spans="1:32" x14ac:dyDescent="0.25">
      <c r="A17" s="32">
        <v>42778.56559027778</v>
      </c>
      <c r="B17" s="30" t="s">
        <v>432</v>
      </c>
      <c r="C17" s="30" t="s">
        <v>523</v>
      </c>
      <c r="D17" s="30" t="s">
        <v>49</v>
      </c>
      <c r="E17" s="30" t="s">
        <v>188</v>
      </c>
      <c r="F17" s="43">
        <v>0</v>
      </c>
      <c r="G17" s="43">
        <v>49</v>
      </c>
      <c r="H17" s="43">
        <v>178</v>
      </c>
      <c r="I17" s="43">
        <v>149</v>
      </c>
      <c r="J17" s="30" t="s">
        <v>189</v>
      </c>
      <c r="K17" s="43">
        <v>1</v>
      </c>
      <c r="L17" s="143" t="s">
        <v>51</v>
      </c>
      <c r="M17" s="144">
        <f>CONVERT((I17-K17)/10000,"mi","ft")*IF(L17="Increasing Mileposts (1)",-1,1)</f>
        <v>78.144000000000005</v>
      </c>
      <c r="N17" s="145" t="str">
        <f>VLOOKUP(C17,'Trips&amp;Operators'!$C$1:$G$99999,5,FALSE)</f>
        <v>CRAYTON QUNTRELL</v>
      </c>
      <c r="O17" s="194" t="s">
        <v>185</v>
      </c>
      <c r="P17" s="146"/>
      <c r="Q17" s="30"/>
      <c r="R17" s="89" t="str">
        <f>VLOOKUP(C17,'Train Runs'!$A$13:$AE$9956,31,0)</f>
        <v>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 &amp; aws s3 cp s3://rtdc.mdm.uploadarchive.raw/RTDC4010/ "%USERPROFILE%\AppData\Local\Temp\OnboardLogs"\RTDC4010\2017-02-13 --exclude "*" --recursive --include "*20170213*" &amp; "%USERPROFILE%\Documents\GitHub\mrs-test-scripts\Headless Mode &amp; Sideloading\WalkAndUnGZ.bat" "%USERPROFILE%\AppData\Local\Temp\OnboardLogs"\RTDC4010\2017-02-13</v>
      </c>
      <c r="S17" s="92" t="str">
        <f>VLOOKUP(C17,'Train Runs'!$A$13:$AE$9956,22,0)</f>
        <v>https://d0f6bd738d7f1b3e5a7ca70fe4ff75f0.us-east-1.aws.found.io/app/kibana#/discover/Steve-Slow-Train-Analysis-(2080s-and-2083s)?_g=(refreshInterval:(display:Off,pause:!f,section:0,value:0),time:(from:'2017-02-12T11:41:53-0700',mode:absolute,to:'2017-02-12T14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94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/stypes="*4010*201702122*" /stext=" 20:.+((SYSTEM_STATE.+slice.+state.+changed )|(ment ac)|(multiple cpu faults)|(system.+state.+changed )|(\[timeout)|(PRM\|1\|D)|(kpr)|(kdp)|(\|lc)|(penalty))" /e /r /s</v>
      </c>
      <c r="U17" s="9" t="str">
        <f>MID(B17,13,4)</f>
        <v>4010</v>
      </c>
      <c r="V17" s="32">
        <f>A17-utc_offset/24</f>
        <v>42778.857256944444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{"issue":{"subject":"","project_id":79,"tracker_id":40,"status_id":1,"priority_id":2,"assigned_to_id":23,"start_date":"2017-02-12","description":"","custom_fields":[{"id":1,"name":"Subdivision","value":"EC"},{"id":4,"name":"Milepost","value":"0.0001"},{"id":17,"name":"Train ID","value":"168-12"},{"id":16,"name":"Locomotive ID","value":"4010"},{"id":130,"name":"Impact","value":""},{"id":150,"name":"Time of Event (Mountain Time)","value":"13:34:27"},{"id":151,"name":"Denver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"%USERPROFILE%\AppData\Local\Temp\OnboardLogs"\RTDC4010\*4010*201702122*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"%USERPROFILE%\AppData\Local\Temp\OnboardLogs"\RTDC4010\*4010*201702122* &gt;&gt; 2017-02-12-SliceDisagreementCheck.txt</v>
      </c>
      <c r="AE17" s="157" t="str">
        <f t="shared" si="1"/>
        <v>start /low /b %USERPROFILE%\Documents\GitHub\eaglep3\Utilities\DownloadLogsFromS3.py --loco 4010 --day 2017-02-12</v>
      </c>
      <c r="AF17" s="1"/>
    </row>
    <row r="18" spans="1:32" x14ac:dyDescent="0.25">
      <c r="A18" s="32">
        <v>42778.586574074077</v>
      </c>
      <c r="B18" s="30" t="s">
        <v>427</v>
      </c>
      <c r="C18" s="30" t="s">
        <v>525</v>
      </c>
      <c r="D18" s="30" t="s">
        <v>49</v>
      </c>
      <c r="E18" s="30" t="s">
        <v>188</v>
      </c>
      <c r="F18" s="43">
        <v>0</v>
      </c>
      <c r="G18" s="43">
        <v>145</v>
      </c>
      <c r="H18" s="43">
        <v>637</v>
      </c>
      <c r="I18" s="43">
        <v>511</v>
      </c>
      <c r="J18" s="30" t="s">
        <v>189</v>
      </c>
      <c r="K18" s="43">
        <v>1</v>
      </c>
      <c r="L18" s="143" t="s">
        <v>51</v>
      </c>
      <c r="M18" s="144">
        <f>CONVERT((I18-K18)/10000,"mi","ft")*IF(L18="Increasing Mileposts (1)",-1,1)</f>
        <v>269.27999999999997</v>
      </c>
      <c r="N18" s="145" t="str">
        <f>VLOOKUP(C18,'Trips&amp;Operators'!$C$1:$G$99999,5,FALSE)</f>
        <v>KILLION DAVID</v>
      </c>
      <c r="O18" s="194" t="s">
        <v>185</v>
      </c>
      <c r="P18" s="146"/>
      <c r="Q18" s="30"/>
      <c r="R18" s="89" t="str">
        <f>VLOOKUP(C18,'Train Runs'!$A$13:$AE$9956,31,0)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S18" s="92" t="str">
        <f>VLOOKUP(C18,'Train Runs'!$A$13:$AE$9956,22,0)</f>
        <v>https://d0f6bd738d7f1b3e5a7ca70fe4ff75f0.us-east-1.aws.found.io/app/kibana#/discover/Steve-Slow-Train-Analysis-(2080s-and-2083s)?_g=(refreshInterval:(display:Off,pause:!f,section:0,value:0),time:(from:'2017-02-12T12:16:26-0700',mode:absolute,to:'2017-02-12T15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8" s="94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/stypes="*4017*201702122*" /stext=" 21:.+((SYSTEM_STATE.+slice.+state.+changed )|(ment ac)|(multiple cpu faults)|(system.+state.+changed )|(\[timeout)|(PRM\|1\|D)|(kpr)|(kdp)|(\|lc)|(penalty))" /e /r /s</v>
      </c>
      <c r="U18" s="9" t="str">
        <f>MID(B18,13,4)</f>
        <v>4017</v>
      </c>
      <c r="V18" s="32">
        <f>A18-utc_offset/24</f>
        <v>42778.878240740742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{"issue":{"subject":"","project_id":79,"tracker_id":40,"status_id":1,"priority_id":2,"assigned_to_id":23,"start_date":"2017-02-12","description":"","custom_fields":[{"id":1,"name":"Subdivision","value":"EC"},{"id":4,"name":"Milepost","value":"0.0001"},{"id":17,"name":"Train ID","value":"172-12"},{"id":16,"name":"Locomotive ID","value":"4017"},{"id":130,"name":"Impact","value":""},{"id":150,"name":"Time of Event (Mountain Time)","value":"14:04:40"},{"id":151,"name":"Denver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"%USERPROFILE%\AppData\Local\Temp\OnboardLogs"\RTDC4017\*4017*201702122*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"%USERPROFILE%\AppData\Local\Temp\OnboardLogs"\RTDC4017\*4017*201702122* &gt;&gt; 2017-02-12-SliceDisagreementCheck.txt</v>
      </c>
      <c r="AE18" s="157" t="str">
        <f t="shared" si="1"/>
        <v>start /low /b %USERPROFILE%\Documents\GitHub\eaglep3\Utilities\DownloadLogsFromS3.py --loco 4017 --day 2017-02-12</v>
      </c>
      <c r="AF18" s="1"/>
    </row>
    <row r="19" spans="1:32" ht="15" customHeight="1" x14ac:dyDescent="0.25">
      <c r="A19" s="32">
        <v>42778.587060185186</v>
      </c>
      <c r="B19" s="30" t="s">
        <v>427</v>
      </c>
      <c r="C19" s="30" t="s">
        <v>525</v>
      </c>
      <c r="D19" s="30" t="s">
        <v>49</v>
      </c>
      <c r="E19" s="30" t="s">
        <v>188</v>
      </c>
      <c r="F19" s="43">
        <v>0</v>
      </c>
      <c r="G19" s="43">
        <v>86</v>
      </c>
      <c r="H19" s="43">
        <v>240</v>
      </c>
      <c r="I19" s="43">
        <v>187</v>
      </c>
      <c r="J19" s="30" t="s">
        <v>189</v>
      </c>
      <c r="K19" s="43">
        <v>1</v>
      </c>
      <c r="L19" s="143" t="s">
        <v>51</v>
      </c>
      <c r="M19" s="144">
        <f>CONVERT((I19-K19)/10000,"mi","ft")*IF(L19="Increasing Mileposts (1)",-1,1)</f>
        <v>98.207999999999998</v>
      </c>
      <c r="N19" s="145" t="str">
        <f>VLOOKUP(C19,'Trips&amp;Operators'!$C$1:$G$99999,5,FALSE)</f>
        <v>KILLION DAVID</v>
      </c>
      <c r="O19" s="194" t="s">
        <v>185</v>
      </c>
      <c r="P19" s="146"/>
      <c r="Q19" s="30"/>
      <c r="R19" s="89" t="str">
        <f>VLOOKUP(C19,'Train Runs'!$A$13:$AE$9956,31,0)</f>
        <v>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 &amp; aws s3 cp s3://rtdc.mdm.uploadarchive.raw/RTDC4017/ "%USERPROFILE%\AppData\Local\Temp\OnboardLogs"\RTDC4017\2017-02-13 --exclude "*" --recursive --include "*20170213*" &amp; "%USERPROFILE%\Documents\GitHub\mrs-test-scripts\Headless Mode &amp; Sideloading\WalkAndUnGZ.bat" "%USERPROFILE%\AppData\Local\Temp\OnboardLogs"\RTDC4017\2017-02-13</v>
      </c>
      <c r="S19" s="92" t="str">
        <f>VLOOKUP(C19,'Train Runs'!$A$13:$AE$9956,22,0)</f>
        <v>https://d0f6bd738d7f1b3e5a7ca70fe4ff75f0.us-east-1.aws.found.io/app/kibana#/discover/Steve-Slow-Train-Analysis-(2080s-and-2083s)?_g=(refreshInterval:(display:Off,pause:!f,section:0,value:0),time:(from:'2017-02-12T12:16:26-0700',mode:absolute,to:'2017-02-12T15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94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/stypes="*4017*201702122*" /stext=" 21:.+((SYSTEM_STATE.+slice.+state.+changed )|(ment ac)|(multiple cpu faults)|(system.+state.+changed )|(\[timeout)|(PRM\|1\|D)|(kpr)|(kdp)|(\|lc)|(penalty))" /e /r /s</v>
      </c>
      <c r="U19" s="9" t="str">
        <f>MID(B19,13,4)</f>
        <v>4017</v>
      </c>
      <c r="V19" s="32">
        <f>A19-utc_offset/24</f>
        <v>42778.87872685185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{"issue":{"subject":"","project_id":79,"tracker_id":40,"status_id":1,"priority_id":2,"assigned_to_id":23,"start_date":"2017-02-12","description":"","custom_fields":[{"id":1,"name":"Subdivision","value":"EC"},{"id":4,"name":"Milepost","value":"0.0001"},{"id":17,"name":"Train ID","value":"172-12"},{"id":16,"name":"Locomotive ID","value":"4017"},{"id":130,"name":"Impact","value":""},{"id":150,"name":"Time of Event (Mountain Time)","value":"14:05:22"},{"id":151,"name":"Denver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"%USERPROFILE%\AppData\Local\Temp\OnboardLogs"\RTDC4017\*4017*201702122*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"%USERPROFILE%\AppData\Local\Temp\OnboardLogs"\RTDC4017\*4017*201702122* &gt;&gt; 2017-02-12-SliceDisagreementCheck.txt</v>
      </c>
      <c r="AE19" s="157" t="str">
        <f t="shared" si="1"/>
        <v>start /low /b %USERPROFILE%\Documents\GitHub\eaglep3\Utilities\DownloadLogsFromS3.py --loco 4017 --day 2017-02-12</v>
      </c>
      <c r="AF19" s="1"/>
    </row>
    <row r="20" spans="1:32" x14ac:dyDescent="0.25">
      <c r="A20" s="32">
        <v>42778.609340277777</v>
      </c>
      <c r="B20" s="30" t="s">
        <v>329</v>
      </c>
      <c r="C20" s="30" t="s">
        <v>526</v>
      </c>
      <c r="D20" s="30" t="s">
        <v>49</v>
      </c>
      <c r="E20" s="30" t="s">
        <v>188</v>
      </c>
      <c r="F20" s="43">
        <v>0</v>
      </c>
      <c r="G20" s="43">
        <v>57</v>
      </c>
      <c r="H20" s="43">
        <v>221</v>
      </c>
      <c r="I20" s="43">
        <v>174</v>
      </c>
      <c r="J20" s="30" t="s">
        <v>189</v>
      </c>
      <c r="K20" s="43">
        <v>1</v>
      </c>
      <c r="L20" s="143" t="s">
        <v>51</v>
      </c>
      <c r="M20" s="144">
        <f>CONVERT((I20-K20)/10000,"mi","ft")*IF(L20="Increasing Mileposts (1)",-1,1)</f>
        <v>91.343999999999994</v>
      </c>
      <c r="N20" s="145" t="str">
        <f>VLOOKUP(C20,'Trips&amp;Operators'!$C$1:$G$99999,5,FALSE)</f>
        <v>DAVIS MICHAEL</v>
      </c>
      <c r="O20" s="194" t="s">
        <v>185</v>
      </c>
      <c r="P20" s="146"/>
      <c r="Q20" s="30"/>
      <c r="R20" s="89" t="str">
        <f>VLOOKUP(C20,'Train Runs'!$A$13:$AE$9956,31,0)</f>
        <v>aws s3 cp s3://rtdc.mdm.uploadarchive.raw/RTDC4037/ "%USERPROFILE%\AppData\Local\Temp\OnboardLogs"\RTDC4037\2017-02-12 --exclude "*" --recursive --include "*20170212*" &amp; "%USERPROFILE%\Documents\GitHub\mrs-test-scripts\Headless Mode &amp; Sideloading\WalkAndUnGZ.bat" "%USERPROFILE%\AppData\Local\Temp\OnboardLogs"\RTDC4037\2017-02-12 &amp; aws s3 cp s3://rtdc.mdm.uploadarchive.raw/RTDC4037/ "%USERPROFILE%\AppData\Local\Temp\OnboardLogs"\RTDC4037\2017-02-13 --exclude "*" --recursive --include "*20170213*" &amp; "%USERPROFILE%\Documents\GitHub\mrs-test-scripts\Headless Mode &amp; Sideloading\WalkAndUnGZ.bat" "%USERPROFILE%\AppData\Local\Temp\OnboardLogs"\RTDC4037\2017-02-13</v>
      </c>
      <c r="S20" s="92" t="str">
        <f>VLOOKUP(C20,'Train Runs'!$A$13:$AE$9956,22,0)</f>
        <v>https://d0f6bd738d7f1b3e5a7ca70fe4ff75f0.us-east-1.aws.found.io/app/kibana#/discover/Steve-Slow-Train-Analysis-(2080s-and-2083s)?_g=(refreshInterval:(display:Off,pause:!f,section:0,value:0),time:(from:'2017-02-12T12:52:29-0700',mode:absolute,to:'2017-02-12T15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20" s="94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/stypes="*4037*201702122*" /stext=" 21:.+((SYSTEM_STATE.+slice.+state.+changed )|(ment ac)|(multiple cpu faults)|(system.+state.+changed )|(\[timeout)|(PRM\|1\|D)|(kpr)|(kdp)|(\|lc)|(penalty))" /e /r /s</v>
      </c>
      <c r="U20" s="9" t="str">
        <f>MID(B20,13,4)</f>
        <v>4037</v>
      </c>
      <c r="V20" s="32">
        <f>A20-utc_offset/24</f>
        <v>42778.901006944441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{"issue":{"subject":"","project_id":79,"tracker_id":40,"status_id":1,"priority_id":2,"assigned_to_id":23,"start_date":"2017-02-12","description":"","custom_fields":[{"id":1,"name":"Subdivision","value":"EC"},{"id":4,"name":"Milepost","value":"0.0001"},{"id":17,"name":"Train ID","value":"176-12"},{"id":16,"name":"Locomotive ID","value":"4037"},{"id":130,"name":"Impact","value":""},{"id":150,"name":"Time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"%USERPROFILE%\AppData\Local\Temp\OnboardLogs"\RTDC4037\*4037*201702122*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"%USERPROFILE%\AppData\Local\Temp\OnboardLogs"\RTDC4037\*4037*201702122* &gt;&gt; 2017-02-12-SliceDisagreementCheck.txt</v>
      </c>
      <c r="AE20" s="157" t="str">
        <f t="shared" si="1"/>
        <v>start /low /b %USERPROFILE%\Documents\GitHub\eaglep3\Utilities\DownloadLogsFromS3.py --loco 4037 --day 2017-02-12</v>
      </c>
      <c r="AF20" s="1"/>
    </row>
    <row r="21" spans="1:32" x14ac:dyDescent="0.25">
      <c r="A21" s="32">
        <v>42778.223935185182</v>
      </c>
      <c r="B21" s="30" t="s">
        <v>326</v>
      </c>
      <c r="C21" s="30" t="s">
        <v>517</v>
      </c>
      <c r="D21" s="30" t="s">
        <v>49</v>
      </c>
      <c r="E21" s="30" t="s">
        <v>188</v>
      </c>
      <c r="F21" s="43">
        <v>0</v>
      </c>
      <c r="G21" s="43">
        <v>38</v>
      </c>
      <c r="H21" s="43">
        <v>233344</v>
      </c>
      <c r="I21" s="43">
        <v>233363</v>
      </c>
      <c r="J21" s="30" t="s">
        <v>189</v>
      </c>
      <c r="K21" s="43">
        <v>233491</v>
      </c>
      <c r="L21" s="143" t="s">
        <v>50</v>
      </c>
      <c r="M21" s="144">
        <f>CONVERT((I21-K21)/10000,"mi","ft")*IF(L21="Increasing Mileposts (1)",-1,1)</f>
        <v>67.584000000000003</v>
      </c>
      <c r="N21" s="145" t="str">
        <f>VLOOKUP(C21,'Trips&amp;Operators'!$C$1:$G$99999,5,FALSE)</f>
        <v>ROBINSON KADDIBA</v>
      </c>
      <c r="O21" s="194" t="s">
        <v>185</v>
      </c>
      <c r="P21" s="146"/>
      <c r="Q21" s="30"/>
      <c r="R21" s="89" t="str">
        <f>VLOOKUP(C21,'Train Runs'!$A$13:$AE$9956,31,0)</f>
        <v>aws s3 cp s3://rtdc.mdm.uploadarchive.raw/RTDC4031/ "%USERPROFILE%\AppData\Local\Temp\OnboardLogs"\RTDC4031\2017-02-12 --exclude "*" --recursive --include "*20170212*" &amp; "%USERPROFILE%\Documents\GitHub\mrs-test-scripts\Headless Mode &amp; Sideloading\WalkAndUnGZ.bat" "%USERPROFILE%\AppData\Local\Temp\OnboardLogs"\RTDC4031\2017-02-12 &amp; aws s3 cp s3://rtdc.mdm.uploadarchive.raw/RTDC4031/ "%USERPROFILE%\AppData\Local\Temp\OnboardLogs"\RTDC4031\2017-02-13 --exclude "*" --recursive --include "*20170213*" &amp; "%USERPROFILE%\Documents\GitHub\mrs-test-scripts\Headless Mode &amp; Sideloading\WalkAndUnGZ.bat" "%USERPROFILE%\AppData\Local\Temp\OnboardLogs"\RTDC4031\2017-02-13</v>
      </c>
      <c r="S21" s="92" t="str">
        <f>VLOOKUP(C21,'Train Runs'!$A$13:$AE$9956,22,0)</f>
        <v>https://d0f6bd738d7f1b3e5a7ca70fe4ff75f0.us-east-1.aws.found.io/app/kibana#/discover/Steve-Slow-Train-Analysis-(2080s-and-2083s)?_g=(refreshInterval:(display:Off,pause:!f,section:0,value:0),time:(from:'2017-02-12T03:43:40-0700',mode:absolute,to:'2017-02-12T06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94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/stypes="*4031*201702121*" /stext=" 12:.+((SYSTEM_STATE.+slice.+state.+changed )|(ment ac)|(multiple cpu faults)|(system.+state.+changed )|(\[timeout)|(PRM\|1\|D)|(kpr)|(kdp)|(\|lc)|(penalty))" /e /r /s</v>
      </c>
      <c r="U21" s="9" t="str">
        <f>MID(B21,13,4)</f>
        <v>4031</v>
      </c>
      <c r="V21" s="32">
        <f>A21-utc_offset/24</f>
        <v>42778.515601851846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{"issue":{"subject":"","project_id":79,"tracker_id":40,"status_id":1,"priority_id":2,"assigned_to_id":23,"start_date":"2017-02-12","description":"","custom_fields":[{"id":1,"name":"Subdivision","value":"EC"},{"id":4,"name":"Milepost","value":"23.3491"},{"id":17,"name":"Train ID","value":"109-12"},{"id":16,"name":"Locomotive ID","value":"4031"},{"id":130,"name":"Impact","value":""},{"id":150,"name":"Time of Event (Mountain Time)","value":"05:22:28"},{"id":151,"name":"Denver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"%USERPROFILE%\AppData\Local\Temp\OnboardLogs"\RTDC4031\*4031*201702121*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"%USERPROFILE%\AppData\Local\Temp\OnboardLogs"\RTDC4031\*4031*201702121* &gt;&gt; 2017-02-12-SliceDisagreementCheck.txt</v>
      </c>
      <c r="AE21" s="157" t="str">
        <f t="shared" si="1"/>
        <v>start /low /b %USERPROFILE%\Documents\GitHub\eaglep3\Utilities\DownloadLogsFromS3.py --loco 4031 --day 2017-02-12</v>
      </c>
      <c r="AF21" s="1"/>
    </row>
    <row r="22" spans="1:32" x14ac:dyDescent="0.25">
      <c r="A22" s="32">
        <v>42778.337256944447</v>
      </c>
      <c r="B22" s="30" t="s">
        <v>298</v>
      </c>
      <c r="C22" s="30" t="s">
        <v>519</v>
      </c>
      <c r="D22" s="30" t="s">
        <v>49</v>
      </c>
      <c r="E22" s="30" t="s">
        <v>188</v>
      </c>
      <c r="F22" s="43">
        <v>0</v>
      </c>
      <c r="G22" s="43">
        <v>161</v>
      </c>
      <c r="H22" s="43">
        <v>232742</v>
      </c>
      <c r="I22" s="43">
        <v>232967</v>
      </c>
      <c r="J22" s="30" t="s">
        <v>189</v>
      </c>
      <c r="K22" s="43">
        <v>233491</v>
      </c>
      <c r="L22" s="143" t="s">
        <v>50</v>
      </c>
      <c r="M22" s="144">
        <f>CONVERT((I22-K22)/10000,"mi","ft")*IF(L22="Increasing Mileposts (1)",-1,1)</f>
        <v>276.67200000000003</v>
      </c>
      <c r="N22" s="145" t="str">
        <f>VLOOKUP(C22,'Trips&amp;Operators'!$C$1:$G$99999,5,FALSE)</f>
        <v>MAELZER KURT</v>
      </c>
      <c r="O22" s="194" t="s">
        <v>185</v>
      </c>
      <c r="P22" s="146"/>
      <c r="Q22" s="30"/>
      <c r="R22" s="89" t="str">
        <f>VLOOKUP(C22,'Train Runs'!$A$13:$AE$9956,31,0)</f>
        <v>aws s3 cp s3://rtdc.mdm.uploadarchive.raw/RTDC4016/ "%USERPROFILE%\AppData\Local\Temp\OnboardLogs"\RTDC4016\2017-02-12 --exclude "*" --recursive --include "*20170212*" &amp; "%USERPROFILE%\Documents\GitHub\mrs-test-scripts\Headless Mode &amp; Sideloading\WalkAndUnGZ.bat" "%USERPROFILE%\AppData\Local\Temp\OnboardLogs"\RTDC4016\2017-02-12 &amp; aws s3 cp s3://rtdc.mdm.uploadarchive.raw/RTDC4016/ "%USERPROFILE%\AppData\Local\Temp\OnboardLogs"\RTDC4016\2017-02-13 --exclude "*" --recursive --include "*20170213*" &amp; "%USERPROFILE%\Documents\GitHub\mrs-test-scripts\Headless Mode &amp; Sideloading\WalkAndUnGZ.bat" "%USERPROFILE%\AppData\Local\Temp\OnboardLogs"\RTDC4016\2017-02-13</v>
      </c>
      <c r="S22" s="92" t="str">
        <f>VLOOKUP(C22,'Train Runs'!$A$13:$AE$9956,22,0)</f>
        <v>https://d0f6bd738d7f1b3e5a7ca70fe4ff75f0.us-east-1.aws.found.io/app/kibana#/discover/Steve-Slow-Train-Analysis-(2080s-and-2083s)?_g=(refreshInterval:(display:Off,pause:!f,section:0,value:0),time:(from:'2017-02-12T06:22:51-0700',mode:absolute,to:'2017-02-12T09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94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/stypes="*4016*201702121*" /stext=" 15:.+((SYSTEM_STATE.+slice.+state.+changed )|(ment ac)|(multiple cpu faults)|(system.+state.+changed )|(\[timeout)|(PRM\|1\|D)|(kpr)|(kdp)|(\|lc)|(penalty))" /e /r /s</v>
      </c>
      <c r="U22" s="9" t="str">
        <f>MID(B22,13,4)</f>
        <v>4016</v>
      </c>
      <c r="V22" s="32">
        <f>A22-utc_offset/24</f>
        <v>42778.628923611112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{"issue":{"subject":"","project_id":79,"tracker_id":40,"status_id":1,"priority_id":2,"assigned_to_id":23,"start_date":"2017-02-12","description":"","custom_fields":[{"id":1,"name":"Subdivision","value":"EC"},{"id":4,"name":"Milepost","value":"23.3491"},{"id":17,"name":"Train ID","value":"131-12"},{"id":16,"name":"Locomotive ID","value":"4016"},{"id":130,"name":"Impact","value":""},{"id":150,"name":"Time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"%USERPROFILE%\AppData\Local\Temp\OnboardLogs"\RTDC4016\*4016*201702121*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"%USERPROFILE%\AppData\Local\Temp\OnboardLogs"\RTDC4016\*4016*201702121* &gt;&gt; 2017-02-12-SliceDisagreementCheck.txt</v>
      </c>
      <c r="AE22" s="157" t="str">
        <f t="shared" si="1"/>
        <v>start /low /b %USERPROFILE%\Documents\GitHub\eaglep3\Utilities\DownloadLogsFromS3.py --loco 4016 --day 2017-02-12</v>
      </c>
      <c r="AF22" s="1"/>
    </row>
    <row r="23" spans="1:32" x14ac:dyDescent="0.25">
      <c r="A23" s="32">
        <v>42778.722905092596</v>
      </c>
      <c r="B23" s="30" t="s">
        <v>234</v>
      </c>
      <c r="C23" s="30" t="s">
        <v>533</v>
      </c>
      <c r="D23" s="30" t="s">
        <v>49</v>
      </c>
      <c r="E23" s="30" t="s">
        <v>188</v>
      </c>
      <c r="F23" s="43">
        <v>0</v>
      </c>
      <c r="G23" s="43">
        <v>58</v>
      </c>
      <c r="H23" s="43">
        <v>233255</v>
      </c>
      <c r="I23" s="43">
        <v>233308</v>
      </c>
      <c r="J23" s="30" t="s">
        <v>189</v>
      </c>
      <c r="K23" s="43">
        <v>233491</v>
      </c>
      <c r="L23" s="143" t="s">
        <v>50</v>
      </c>
      <c r="M23" s="144">
        <f>CONVERT((I23-K23)/10000,"mi","ft")*IF(L23="Increasing Mileposts (1)",-1,1)</f>
        <v>96.623999999999995</v>
      </c>
      <c r="N23" s="145" t="str">
        <f>VLOOKUP(C23,'Trips&amp;Operators'!$C$1:$G$99999,5,FALSE)</f>
        <v>LEVIN SCOTT</v>
      </c>
      <c r="O23" s="194" t="s">
        <v>185</v>
      </c>
      <c r="P23" s="146"/>
      <c r="Q23" s="30"/>
      <c r="R23" s="89" t="str">
        <f>VLOOKUP(C23,'Train Runs'!$A$13:$AE$9956,31,0)</f>
        <v>aws s3 cp s3://rtdc.mdm.uploadarchive.raw/RTDC4029/ "%USERPROFILE%\AppData\Local\Temp\OnboardLogs"\RTDC4029\2017-02-12 --exclude "*" --recursive --include "*20170212*" &amp; "%USERPROFILE%\Documents\GitHub\mrs-test-scripts\Headless Mode &amp; Sideloading\WalkAndUnGZ.bat" "%USERPROFILE%\AppData\Local\Temp\OnboardLogs"\RTDC4029\2017-02-12 &amp; aws s3 cp s3://rtdc.mdm.uploadarchive.raw/RTDC4029/ "%USERPROFILE%\AppData\Local\Temp\OnboardLogs"\RTDC4029\2017-02-13 --exclude "*" --recursive --include "*20170213*" &amp; "%USERPROFILE%\Documents\GitHub\mrs-test-scripts\Headless Mode &amp; Sideloading\WalkAndUnGZ.bat" "%USERPROFILE%\AppData\Local\Temp\OnboardLogs"\RTDC4029\2017-02-13</v>
      </c>
      <c r="S23" s="92" t="str">
        <f>VLOOKUP(C23,'Train Runs'!$A$13:$AE$9956,22,0)</f>
        <v>https://d0f6bd738d7f1b3e5a7ca70fe4ff75f0.us-east-1.aws.found.io/app/kibana#/discover/Steve-Slow-Train-Analysis-(2080s-and-2083s)?_g=(refreshInterval:(display:Off,pause:!f,section:0,value:0),time:(from:'2017-02-12T15:39:14-0700',mode:absolute,to:'2017-02-12T18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3" s="94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/stypes="*4029*201702130*" /stext=" 00:.+((SYSTEM_STATE.+slice.+state.+changed )|(ment ac)|(multiple cpu faults)|(system.+state.+changed )|(\[timeout)|(PRM\|1\|D)|(kpr)|(kdp)|(\|lc)|(penalty))" /e /r /s</v>
      </c>
      <c r="U23" s="9" t="str">
        <f>MID(B23,13,4)</f>
        <v>4029</v>
      </c>
      <c r="V23" s="32">
        <f>A23-utc_offset/24</f>
        <v>42779.01457175926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{"issue":{"subject":"","project_id":79,"tracker_id":40,"status_id":1,"priority_id":2,"assigned_to_id":23,"start_date":"2017-02-12","description":"","custom_fields":[{"id":1,"name":"Subdivision","value":"EC"},{"id":4,"name":"Milepost","value":"23.3491"},{"id":17,"name":"Train ID","value":"205-12"},{"id":16,"name":"Locomotive ID","value":"4029"},{"id":130,"name":"Impact","value":""},{"id":150,"name":"Time of Event (Mountain Time)","value":"17:20:59"},{"id":151,"name":"Denver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"%USERPROFILE%\AppData\Local\Temp\OnboardLogs"\RTDC4029\*4029*201702130*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"%USERPROFILE%\AppData\Local\Temp\OnboardLogs"\RTDC4029\*4029*201702130* &gt;&gt; 2017-02-12-SliceDisagreementCheck.txt</v>
      </c>
      <c r="AE23" s="157" t="str">
        <f t="shared" si="1"/>
        <v>start /low /b %USERPROFILE%\Documents\GitHub\eaglep3\Utilities\DownloadLogsFromS3.py --loco 4029 --day 2017-02-13</v>
      </c>
      <c r="AF23" s="1"/>
    </row>
    <row r="24" spans="1:32" x14ac:dyDescent="0.25">
      <c r="A24" s="32">
        <v>42778.572500000002</v>
      </c>
      <c r="B24" s="30" t="s">
        <v>228</v>
      </c>
      <c r="C24" s="30" t="s">
        <v>524</v>
      </c>
      <c r="D24" s="30" t="s">
        <v>49</v>
      </c>
      <c r="E24" s="30" t="s">
        <v>216</v>
      </c>
      <c r="F24" s="43">
        <v>400</v>
      </c>
      <c r="G24" s="43">
        <v>537</v>
      </c>
      <c r="H24" s="43">
        <v>52017</v>
      </c>
      <c r="I24" s="43">
        <v>50256</v>
      </c>
      <c r="J24" s="30" t="s">
        <v>217</v>
      </c>
      <c r="K24" s="43">
        <v>49775</v>
      </c>
      <c r="L24" s="143" t="s">
        <v>51</v>
      </c>
      <c r="M24" s="144">
        <f>CONVERT((I24-K24)/10000,"mi","ft")*IF(L24="Increasing Mileposts (1)",-1,1)</f>
        <v>253.96799999999999</v>
      </c>
      <c r="N24" s="145" t="str">
        <f>VLOOKUP(C24,'Trips&amp;Operators'!$C$1:$G$99999,5,FALSE)</f>
        <v>YORK EDGAR</v>
      </c>
      <c r="O24" s="194" t="s">
        <v>185</v>
      </c>
      <c r="P24" s="146"/>
      <c r="Q24" s="30"/>
      <c r="R24" s="89" t="str">
        <f>VLOOKUP(C24,'Train Runs'!$A$13:$AE$9956,31,0)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S24" s="92" t="str">
        <f>VLOOKUP(C24,'Train Runs'!$A$13:$AE$9956,22,0)</f>
        <v>https://d0f6bd738d7f1b3e5a7ca70fe4ff75f0.us-east-1.aws.found.io/app/kibana#/discover/Steve-Slow-Train-Analysis-(2080s-and-2083s)?_g=(refreshInterval:(display:Off,pause:!f,section:0,value:0),time:(from:'2017-02-12T12:35:06-0700',mode:absolute,to:'2017-02-12T14:57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94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/stypes="*4028*201702122*" /stext=" 20:.+((SYSTEM_STATE.+slice.+state.+changed )|(ment ac)|(multiple cpu faults)|(system.+state.+changed )|(\[timeout)|(PRM\|1\|D)|(kpr)|(kdp)|(\|lc)|(penalty))" /e /r /s</v>
      </c>
      <c r="U24" s="9" t="str">
        <f>MID(B24,13,4)</f>
        <v>4028</v>
      </c>
      <c r="V24" s="32">
        <f>A24-utc_offset/24</f>
        <v>42778.864166666666</v>
      </c>
      <c r="W24" s="46" t="str">
        <f>IFERROR(IF(VALUE(LEFT(IF(LEN(C24)=6,"0"&amp;C24,C24),2))&lt;=2,"EC",IF(OR(VALUE(LEFT(IF(LEN(C24)=6,"0"&amp;C24,C24),2))=8,VALUE(LEFT(IF(LEN(C24)=6,"0"&amp;C24,C24),2))=18),"NW","Other")),"Other")</f>
        <v>NW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{"issue":{"subject":"","project_id":79,"tracker_id":40,"status_id":1,"priority_id":2,"assigned_to_id":23,"start_date":"2017-02-12","description":"","custom_fields":[{"id":1,"name":"Subdivision","value":"NW"},{"id":4,"name":"Milepost","value":"4.9775"},{"id":17,"name":"Train ID","value":"1816-12"},{"id":16,"name":"Locomotive ID","value":"4028"},{"id":130,"name":"Impact","value":""},{"id":150,"name":"Time of Event (Mountain Time)","value":"13:44:24"},{"id":151,"name":"Denver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"%USERPROFILE%\AppData\Local\Temp\OnboardLogs"\RTDC4028\*4028*201702122*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"%USERPROFILE%\AppData\Local\Temp\OnboardLogs"\RTDC4028\*4028*201702122* &gt;&gt; 2017-02-12-SliceDisagreementCheck.txt</v>
      </c>
      <c r="AE24" s="157" t="str">
        <f t="shared" si="1"/>
        <v>start /low /b %USERPROFILE%\Documents\GitHub\eaglep3\Utilities\DownloadLogsFromS3.py --loco 4028 --day 2017-02-12</v>
      </c>
      <c r="AF24" s="1"/>
    </row>
    <row r="25" spans="1:32" x14ac:dyDescent="0.25">
      <c r="A25" s="32">
        <v>42778.871157407404</v>
      </c>
      <c r="B25" s="30" t="s">
        <v>228</v>
      </c>
      <c r="C25" s="30" t="s">
        <v>534</v>
      </c>
      <c r="D25" s="30" t="s">
        <v>49</v>
      </c>
      <c r="E25" s="30" t="s">
        <v>188</v>
      </c>
      <c r="F25" s="43">
        <v>0</v>
      </c>
      <c r="G25" s="43">
        <v>42</v>
      </c>
      <c r="H25" s="43">
        <v>724</v>
      </c>
      <c r="I25" s="43">
        <v>706</v>
      </c>
      <c r="J25" s="30" t="s">
        <v>189</v>
      </c>
      <c r="K25" s="43">
        <v>575</v>
      </c>
      <c r="L25" s="143" t="s">
        <v>51</v>
      </c>
      <c r="M25" s="144">
        <f>CONVERT((I25-K25)/10000,"mi","ft")*IF(L25="Increasing Mileposts (1)",-1,1)</f>
        <v>69.168000000000006</v>
      </c>
      <c r="N25" s="145" t="str">
        <f>VLOOKUP(C25,'Trips&amp;Operators'!$C$1:$G$99999,5,FALSE)</f>
        <v>HELVIE ADAM</v>
      </c>
      <c r="O25" s="194" t="s">
        <v>185</v>
      </c>
      <c r="P25" s="146"/>
      <c r="Q25" s="30"/>
      <c r="R25" s="89" t="str">
        <f>VLOOKUP(C25,'Train Runs'!$A$13:$AE$9956,31,0)</f>
        <v>aws s3 cp s3://rtdc.mdm.uploadarchive.raw/RTDC4028/ "%USERPROFILE%\AppData\Local\Temp\OnboardLogs"\RTDC4028\2017-02-12 --exclude "*" --recursive --include "*20170212*" &amp; "%USERPROFILE%\Documents\GitHub\mrs-test-scripts\Headless Mode &amp; Sideloading\WalkAndUnGZ.bat" "%USERPROFILE%\AppData\Local\Temp\OnboardLogs"\RTDC4028\2017-02-12 &amp; aws s3 cp s3://rtdc.mdm.uploadarchive.raw/RTDC4028/ "%USERPROFILE%\AppData\Local\Temp\OnboardLogs"\RTDC4028\2017-02-13 --exclude "*" --recursive --include "*20170213*" &amp; "%USERPROFILE%\Documents\GitHub\mrs-test-scripts\Headless Mode &amp; Sideloading\WalkAndUnGZ.bat" "%USERPROFILE%\AppData\Local\Temp\OnboardLogs"\RTDC4028\2017-02-13</v>
      </c>
      <c r="S25" s="92" t="str">
        <f>VLOOKUP(C25,'Train Runs'!$A$13:$AE$9956,22,0)</f>
        <v>https://d0f6bd738d7f1b3e5a7ca70fe4ff75f0.us-east-1.aws.found.io/app/kibana#/discover/Steve-Slow-Train-Analysis-(2080s-and-2083s)?_g=(refreshInterval:(display:Off,pause:!f,section:0,value:0),time:(from:'2017-02-12T19:36:22-0700',mode:absolute,to:'2017-02-12T21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/stypes="*4028*201702130*" /stext=" 03:.+((SYSTEM_STATE.+slice.+state.+changed )|(ment ac)|(multiple cpu faults)|(system.+state.+changed )|(\[timeout)|(PRM\|1\|D)|(kpr)|(kdp)|(\|lc)|(penalty))" /e /r /s</v>
      </c>
      <c r="U25" s="9" t="str">
        <f>MID(B25,13,4)</f>
        <v>4028</v>
      </c>
      <c r="V25" s="32">
        <f>A25-utc_offset/24</f>
        <v>42779.162824074068</v>
      </c>
      <c r="W25" s="46" t="str">
        <f>IFERROR(IF(VALUE(LEFT(IF(LEN(C25)=6,"0"&amp;C25,C25),2))&lt;=2,"EC",IF(OR(VALUE(LEFT(IF(LEN(C25)=6,"0"&amp;C25,C25),2))=8,VALUE(LEFT(IF(LEN(C25)=6,"0"&amp;C25,C25),2))=18),"NW","Other")),"Other")</f>
        <v>NW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{"issue":{"subject":"","project_id":79,"tracker_id":40,"status_id":1,"priority_id":2,"assigned_to_id":23,"start_date":"2017-02-12","description":"","custom_fields":[{"id":1,"name":"Subdivision","value":"NW"},{"id":4,"name":"Milepost","value":"0.0575"},{"id":17,"name":"Train ID","value":"1830-12"},{"id":16,"name":"Locomotive ID","value":"4028"},{"id":130,"name":"Impact","value":""},{"id":150,"name":"Time of Event (Mountain Time)","value":"20:54:28"},{"id":151,"name":"Denver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"%USERPROFILE%\AppData\Local\Temp\OnboardLogs"\RTDC4028\*4028*201702130*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"%USERPROFILE%\AppData\Local\Temp\OnboardLogs"\RTDC4028\*4028*201702130* &gt;&gt; 2017-02-12-SliceDisagreementCheck.txt</v>
      </c>
      <c r="AE25" s="157" t="str">
        <f t="shared" si="1"/>
        <v>start /low /b %USERPROFILE%\Documents\GitHub\eaglep3\Utilities\DownloadLogsFromS3.py --loco 4028 --day 2017-02-13</v>
      </c>
      <c r="AF25" s="1"/>
    </row>
    <row r="26" spans="1:32" x14ac:dyDescent="0.25">
      <c r="A26" s="32">
        <v>42778.648692129631</v>
      </c>
      <c r="B26" s="30" t="s">
        <v>229</v>
      </c>
      <c r="C26" s="30" t="s">
        <v>529</v>
      </c>
      <c r="D26" s="30" t="s">
        <v>49</v>
      </c>
      <c r="E26" s="30" t="s">
        <v>188</v>
      </c>
      <c r="F26" s="43">
        <v>0</v>
      </c>
      <c r="G26" s="43">
        <v>46</v>
      </c>
      <c r="H26" s="43">
        <v>58933</v>
      </c>
      <c r="I26" s="43">
        <v>58973</v>
      </c>
      <c r="J26" s="30" t="s">
        <v>189</v>
      </c>
      <c r="K26" s="43">
        <v>59048</v>
      </c>
      <c r="L26" s="143" t="s">
        <v>50</v>
      </c>
      <c r="M26" s="144">
        <f>CONVERT((I26-K26)/10000,"mi","ft")*IF(L26="Increasing Mileposts (1)",-1,1)</f>
        <v>39.6</v>
      </c>
      <c r="N26" s="145" t="str">
        <f>VLOOKUP(C26,'Trips&amp;Operators'!$C$1:$G$99999,5,FALSE)</f>
        <v>HELVIE ADAM</v>
      </c>
      <c r="O26" s="194" t="s">
        <v>185</v>
      </c>
      <c r="P26" s="146"/>
      <c r="Q26" s="30"/>
      <c r="R26" s="89" t="str">
        <f>VLOOKUP(C26,'Train Runs'!$A$13:$AE$9956,31,0)</f>
        <v>aws s3 cp s3://rtdc.mdm.uploadarchive.raw/RTDC4027/ "%USERPROFILE%\AppData\Local\Temp\OnboardLogs"\RTDC4027\2017-02-12 --exclude "*" --recursive --include "*20170212*" &amp; "%USERPROFILE%\Documents\GitHub\mrs-test-scripts\Headless Mode &amp; Sideloading\WalkAndUnGZ.bat" "%USERPROFILE%\AppData\Local\Temp\OnboardLogs"\RTDC4027\2017-02-12 &amp; aws s3 cp s3://rtdc.mdm.uploadarchive.raw/RTDC4027/ "%USERPROFILE%\AppData\Local\Temp\OnboardLogs"\RTDC4027\2017-02-13 --exclude "*" --recursive --include "*20170213*" &amp; "%USERPROFILE%\Documents\GitHub\mrs-test-scripts\Headless Mode &amp; Sideloading\WalkAndUnGZ.bat" "%USERPROFILE%\AppData\Local\Temp\OnboardLogs"\RTDC4027\2017-02-13</v>
      </c>
      <c r="S26" s="92" t="str">
        <f>VLOOKUP(C26,'Train Runs'!$A$13:$AE$9956,22,0)</f>
        <v>https://d0f6bd738d7f1b3e5a7ca70fe4ff75f0.us-east-1.aws.found.io/app/kibana#/discover/Steve-Slow-Train-Analysis-(2080s-and-2083s)?_g=(refreshInterval:(display:Off,pause:!f,section:0,value:0),time:(from:'2017-02-12T14:17:40-0700',mode:absolute,to:'2017-02-12T16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94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/stypes="*4027*201702122*" /stext=" 22:.+((SYSTEM_STATE.+slice.+state.+changed )|(ment ac)|(multiple cpu faults)|(system.+state.+changed )|(\[timeout)|(PRM\|1\|D)|(kpr)|(kdp)|(\|lc)|(penalty))" /e /r /s</v>
      </c>
      <c r="U26" s="9" t="str">
        <f>MID(B26,13,4)</f>
        <v>4027</v>
      </c>
      <c r="V26" s="32">
        <f>A26-utc_offset/24</f>
        <v>42778.940358796295</v>
      </c>
      <c r="W26" s="46" t="str">
        <f>IFERROR(IF(VALUE(LEFT(IF(LEN(C26)=6,"0"&amp;C26,C26),2))&lt;=2,"EC",IF(OR(VALUE(LEFT(IF(LEN(C26)=6,"0"&amp;C26,C26),2))=8,VALUE(LEFT(IF(LEN(C26)=6,"0"&amp;C26,C26),2))=18),"NW","Other")),"Other")</f>
        <v>NW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{"issue":{"subject":"","project_id":79,"tracker_id":40,"status_id":1,"priority_id":2,"assigned_to_id":23,"start_date":"2017-02-12","description":"","custom_fields":[{"id":1,"name":"Subdivision","value":"NW"},{"id":4,"name":"Milepost","value":"5.9048"},{"id":17,"name":"Train ID","value":"1819-12"},{"id":16,"name":"Locomotive ID","value":"4027"},{"id":130,"name":"Impact","value":""},{"id":150,"name":"Time of Event (Mountain Time)","value":"15:34:07"},{"id":151,"name":"Denver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"%USERPROFILE%\AppData\Local\Temp\OnboardLogs"\RTDC4027\*4027*201702122*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"%USERPROFILE%\AppData\Local\Temp\OnboardLogs"\RTDC4027\*4027*201702122* &gt;&gt; 2017-02-12-SliceDisagreementCheck.txt</v>
      </c>
      <c r="AE26" s="157" t="str">
        <f t="shared" si="1"/>
        <v>start /low /b %USERPROFILE%\Documents\GitHub\eaglep3\Utilities\DownloadLogsFromS3.py --loco 4027 --day 2017-02-12</v>
      </c>
      <c r="AF26" s="1"/>
    </row>
    <row r="27" spans="1:32" x14ac:dyDescent="0.25">
      <c r="A27" s="32">
        <v>42778.126840277779</v>
      </c>
      <c r="B27" s="30" t="s">
        <v>425</v>
      </c>
      <c r="C27" s="30" t="s">
        <v>515</v>
      </c>
      <c r="D27" s="30" t="s">
        <v>49</v>
      </c>
      <c r="E27" s="30" t="s">
        <v>216</v>
      </c>
      <c r="F27" s="43">
        <v>450</v>
      </c>
      <c r="G27" s="43">
        <v>500</v>
      </c>
      <c r="H27" s="43">
        <v>16607</v>
      </c>
      <c r="I27" s="43">
        <v>14865</v>
      </c>
      <c r="J27" s="30" t="s">
        <v>217</v>
      </c>
      <c r="K27" s="43">
        <v>14402</v>
      </c>
      <c r="L27" s="143" t="s">
        <v>51</v>
      </c>
      <c r="M27" s="144">
        <f>CONVERT((I27-K27)/10000,"mi","ft")*IF(L27="Increasing Mileposts (1)",-1,1)</f>
        <v>244.464</v>
      </c>
      <c r="N27" s="145" t="str">
        <f>VLOOKUP(C27,'Trips&amp;Operators'!$C$1:$G$99999,5,FALSE)</f>
        <v>SWANSON BRYCE</v>
      </c>
      <c r="O27" s="194" t="s">
        <v>185</v>
      </c>
      <c r="P27" s="146"/>
      <c r="Q27" s="30"/>
      <c r="R27" s="89" t="str">
        <f>VLOOKUP(C27,'Train Runs'!$A$13:$AE$9956,31,0)</f>
        <v>aws s3 cp s3://rtdc.mdm.uploadarchive.raw/RTDC4008/ "%USERPROFILE%\AppData\Local\Temp\OnboardLogs"\RTDC4008\2017-02-12 --exclude "*" --recursive --include "*20170212*" &amp; "%USERPROFILE%\Documents\GitHub\mrs-test-scripts\Headless Mode &amp; Sideloading\WalkAndUnGZ.bat" "%USERPROFILE%\AppData\Local\Temp\OnboardLogs"\RTDC4008\2017-02-12 &amp; aws s3 cp s3://rtdc.mdm.uploadarchive.raw/RTDC4008/ "%USERPROFILE%\AppData\Local\Temp\OnboardLogs"\RTDC4008\2017-02-13 --exclude "*" --recursive --include "*20170213*" &amp; "%USERPROFILE%\Documents\GitHub\mrs-test-scripts\Headless Mode &amp; Sideloading\WalkAndUnGZ.bat" "%USERPROFILE%\AppData\Local\Temp\OnboardLogs"\RTDC4008\2017-02-13</v>
      </c>
      <c r="S27" s="92" t="str">
        <f>VLOOKUP(C27,'Train Runs'!$A$13:$AE$9956,22,0)</f>
        <v>https://d0f6bd738d7f1b3e5a7ca70fe4ff75f0.us-east-1.aws.found.io/app/kibana#/discover/Steve-Slow-Train-Analysis-(2080s-and-2083s)?_g=(refreshInterval:(display:Off,pause:!f,section:0,value:0),time:(from:'2017-02-12T01:56:35-0700',mode:absolute,to:'2017-02-12T04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94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/stypes="*4008*201702121*" /stext=" 10:.+((SYSTEM_STATE.+slice.+state.+changed )|(ment ac)|(multiple cpu faults)|(system.+state.+changed )|(\[timeout)|(PRM\|1\|D)|(kpr)|(kdp)|(\|lc)|(penalty))" /e /r /s</v>
      </c>
      <c r="U27" s="9" t="str">
        <f>MID(B27,13,4)</f>
        <v>4008</v>
      </c>
      <c r="V27" s="32">
        <f>A27-utc_offset/24</f>
        <v>42778.418506944443</v>
      </c>
      <c r="W27" s="46" t="str">
        <f>IFERROR(IF(VALUE(LEFT(IF(LEN(C27)=6,"0"&amp;C27,C27),2))&lt;=2,"EC",IF(OR(VALUE(LEFT(IF(LEN(C27)=6,"0"&amp;C27,C27),2))=8,VALUE(LEFT(IF(LEN(C27)=6,"0"&amp;C27,C27),2))=18),"NW","Other")),"Other")</f>
        <v>Other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{"issue":{"subject":"","project_id":79,"tracker_id":40,"status_id":1,"priority_id":2,"assigned_to_id":23,"start_date":"2017-02-12","description":"","custom_fields":[{"id":1,"name":"Subdivision","value":"Other"},{"id":4,"name":"Milepost","value":"1.4402"},{"id":17,"name":"Train ID","value":"302-12"},{"id":16,"name":"Locomotive ID","value":"4008"},{"id":130,"name":"Impact","value":""},{"id":150,"name":"Time of Event (Mountain Time)","value":"03:02:39"},{"id":151,"name":"Denver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"%USERPROFILE%\AppData\Local\Temp\OnboardLogs"\RTDC4008\*4008*201702121*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"%USERPROFILE%\AppData\Local\Temp\OnboardLogs"\RTDC4008\*4008*201702121* &gt;&gt; 2017-02-12-SliceDisagreementCheck.txt</v>
      </c>
      <c r="AE27" s="157" t="str">
        <f t="shared" si="1"/>
        <v>start /low /b %USERPROFILE%\Documents\GitHub\eaglep3\Utilities\DownloadLogsFromS3.py --loco 4008 --day 2017-02-12</v>
      </c>
      <c r="AF27" s="1"/>
    </row>
    <row r="28" spans="1:32" x14ac:dyDescent="0.25">
      <c r="A28" s="32">
        <v>42778.19159722222</v>
      </c>
      <c r="B28" s="30" t="s">
        <v>330</v>
      </c>
      <c r="C28" s="30" t="s">
        <v>516</v>
      </c>
      <c r="D28" s="30" t="s">
        <v>98</v>
      </c>
      <c r="E28" s="30" t="s">
        <v>186</v>
      </c>
      <c r="F28" s="43">
        <v>0</v>
      </c>
      <c r="G28" s="43">
        <v>150</v>
      </c>
      <c r="H28" s="43">
        <v>4786</v>
      </c>
      <c r="I28" s="43">
        <v>4560</v>
      </c>
      <c r="J28" s="30" t="s">
        <v>187</v>
      </c>
      <c r="K28" s="43">
        <v>4790</v>
      </c>
      <c r="L28" s="143" t="s">
        <v>51</v>
      </c>
      <c r="M28" s="144">
        <f>CONVERT((I28-K28)/10000,"mi","ft")*IF(L28="Increasing Mileposts (1)",-1,1)</f>
        <v>-121.44</v>
      </c>
      <c r="N28" s="145" t="str">
        <f>VLOOKUP(C28,'Trips&amp;Operators'!$C$1:$G$99999,5,FALSE)</f>
        <v>ROBINSON KADDIBA</v>
      </c>
      <c r="O28" s="194" t="s">
        <v>185</v>
      </c>
      <c r="P28" s="146"/>
      <c r="Q28" s="30"/>
      <c r="R28" s="89" t="str">
        <f>VLOOKUP(C28,'Train Runs'!$A$13:$AE$9956,31,0)</f>
        <v>aws s3 cp s3://rtdc.mdm.uploadarchive.raw/RTDC4032/ "%USERPROFILE%\AppData\Local\Temp\OnboardLogs"\RTDC4032\2017-02-12 --exclude "*" --recursive --include "*20170212*" &amp; "%USERPROFILE%\Documents\GitHub\mrs-test-scripts\Headless Mode &amp; Sideloading\WalkAndUnGZ.bat" "%USERPROFILE%\AppData\Local\Temp\OnboardLogs"\RTDC4032\2017-02-12 &amp; aws s3 cp s3://rtdc.mdm.uploadarchive.raw/RTDC4032/ "%USERPROFILE%\AppData\Local\Temp\OnboardLogs"\RTDC4032\2017-02-13 --exclude "*" --recursive --include "*20170213*" &amp; "%USERPROFILE%\Documents\GitHub\mrs-test-scripts\Headless Mode &amp; Sideloading\WalkAndUnGZ.bat" "%USERPROFILE%\AppData\Local\Temp\OnboardLogs"\RTDC4032\2017-02-13</v>
      </c>
      <c r="S28" s="92" t="str">
        <f>VLOOKUP(C28,'Train Runs'!$A$13:$AE$9956,22,0)</f>
        <v>https://d0f6bd738d7f1b3e5a7ca70fe4ff75f0.us-east-1.aws.found.io/app/kibana#/discover/Steve-Slow-Train-Analysis-(2080s-and-2083s)?_g=(refreshInterval:(display:Off,pause:!f,section:0,value:0),time:(from:'2017-02-12T03:19:56-0700',mode:absolute,to:'2017-02-12T05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/stypes="*4032*201702121*" /stext=" 11:.+((SYSTEM_STATE.+slice.+state.+changed )|(ment ac)|(multiple cpu faults)|(system.+state.+changed )|(\[timeout)|(PRM\|1\|D)|(kpr)|(kdp)|(\|lc)|(penalty))" /e /r /s</v>
      </c>
      <c r="U28" s="9" t="str">
        <f>MID(B28,13,4)</f>
        <v>4032</v>
      </c>
      <c r="V28" s="32">
        <f>A28-utc_offset/24</f>
        <v>42778.483263888884</v>
      </c>
      <c r="W28" s="46" t="str">
        <f>IFERROR(IF(VALUE(LEFT(IF(LEN(C28)=6,"0"&amp;C28,C28),2))&lt;=2,"EC",IF(OR(VALUE(LEFT(IF(LEN(C28)=6,"0"&amp;C28,C28),2))=8,VALUE(LEFT(IF(LEN(C28)=6,"0"&amp;C28,C28),2))=18),"NW","Other")),"Other")</f>
        <v>Other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{"issue":{"subject":"","project_id":79,"tracker_id":40,"status_id":1,"priority_id":2,"assigned_to_id":23,"start_date":"2017-02-12","description":"","custom_fields":[{"id":1,"name":"Subdivision","value":"Other"},{"id":4,"name":"Milepost","value":"0.479"},{"id":17,"name":"Train ID","value":"310-12"},{"id":16,"name":"Locomotive ID","value":"4032"},{"id":130,"name":"Impact","value":""},{"id":150,"name":"Time of Event (Mountain Time)","value":"04:35:54"},{"id":151,"name":"Denver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"%USERPROFILE%\AppData\Local\Temp\OnboardLogs"\RTDC4032\*4032*201702121*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"%USERPROFILE%\AppData\Local\Temp\OnboardLogs"\RTDC4032\*4032*201702121* &gt;&gt; 2017-02-12-SliceDisagreementCheck.txt</v>
      </c>
      <c r="AE28" s="157" t="str">
        <f t="shared" si="1"/>
        <v>start /low /b %USERPROFILE%\Documents\GitHub\eaglep3\Utilities\DownloadLogsFromS3.py --loco 4032 --day 2017-02-12</v>
      </c>
      <c r="AF28" s="1"/>
    </row>
    <row r="29" spans="1:32" x14ac:dyDescent="0.25">
      <c r="A29" s="32">
        <v>42778.704375000001</v>
      </c>
      <c r="B29" s="30" t="s">
        <v>314</v>
      </c>
      <c r="C29" s="30" t="s">
        <v>532</v>
      </c>
      <c r="D29" s="30" t="s">
        <v>49</v>
      </c>
      <c r="E29" s="30" t="s">
        <v>188</v>
      </c>
      <c r="F29" s="43">
        <v>0</v>
      </c>
      <c r="G29" s="43">
        <v>10</v>
      </c>
      <c r="H29" s="43">
        <v>3</v>
      </c>
      <c r="I29" s="43">
        <v>0</v>
      </c>
      <c r="J29" s="30" t="s">
        <v>189</v>
      </c>
      <c r="K29" s="43">
        <v>1</v>
      </c>
      <c r="L29" s="143" t="s">
        <v>51</v>
      </c>
      <c r="M29" s="144">
        <f>CONVERT((I29-K29)/10000,"mi","ft")*IF(L29="Increasing Mileposts (1)",-1,1)</f>
        <v>-0.52800000000000002</v>
      </c>
      <c r="N29" s="145" t="str">
        <f>VLOOKUP(C29,'Trips&amp;Operators'!$C$1:$G$99999,5,FALSE)</f>
        <v>CHANDLER KELVIN</v>
      </c>
      <c r="O29" s="194" t="s">
        <v>185</v>
      </c>
      <c r="P29" s="146"/>
      <c r="Q29" s="30"/>
      <c r="R29" s="89" t="str">
        <f>VLOOKUP(C29,'Train Runs'!$A$13:$AE$9956,31,0)</f>
        <v>aws s3 cp s3://rtdc.mdm.uploadarchive.raw/RTDC4019/ "%USERPROFILE%\AppData\Local\Temp\OnboardLogs"\RTDC4019\2017-02-12 --exclude "*" --recursive --include "*20170212*" &amp; "%USERPROFILE%\Documents\GitHub\mrs-test-scripts\Headless Mode &amp; Sideloading\WalkAndUnGZ.bat" "%USERPROFILE%\AppData\Local\Temp\OnboardLogs"\RTDC4019\2017-02-12 &amp; aws s3 cp s3://rtdc.mdm.uploadarchive.raw/RTDC4019/ "%USERPROFILE%\AppData\Local\Temp\OnboardLogs"\RTDC4019\2017-02-13 --exclude "*" --recursive --include "*20170213*" &amp; "%USERPROFILE%\Documents\GitHub\mrs-test-scripts\Headless Mode &amp; Sideloading\WalkAndUnGZ.bat" "%USERPROFILE%\AppData\Local\Temp\OnboardLogs"\RTDC4019\2017-02-13</v>
      </c>
      <c r="S29" s="92" t="str">
        <f>VLOOKUP(C29,'Train Runs'!$A$13:$AE$9956,22,0)</f>
        <v>https://d0f6bd738d7f1b3e5a7ca70fe4ff75f0.us-east-1.aws.found.io/app/kibana#/discover/Steve-Slow-Train-Analysis-(2080s-and-2083s)?_g=(refreshInterval:(display:Off,pause:!f,section:0,value:0),time:(from:'2017-02-12T15:44:20-0700',mode:absolute,to:'2017-02-12T17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94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/stypes="*4019*201702122*" /stext=" 23:.+((SYSTEM_STATE.+slice.+state.+changed )|(ment ac)|(multiple cpu faults)|(system.+state.+changed )|(\[timeout)|(PRM\|1\|D)|(kpr)|(kdp)|(\|lc)|(penalty))" /e /r /s</v>
      </c>
      <c r="U29" s="9" t="str">
        <f>MID(B29,13,4)</f>
        <v>4019</v>
      </c>
      <c r="V29" s="32">
        <f>A29-utc_offset/24</f>
        <v>42778.996041666665</v>
      </c>
      <c r="W29" s="46" t="str">
        <f>IFERROR(IF(VALUE(LEFT(IF(LEN(C29)=6,"0"&amp;C29,C29),2))&lt;=2,"EC",IF(OR(VALUE(LEFT(IF(LEN(C29)=6,"0"&amp;C29,C29),2))=8,VALUE(LEFT(IF(LEN(C29)=6,"0"&amp;C29,C29),2))=18),"NW","Other")),"Other")</f>
        <v>Other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{"issue":{"subject":"","project_id":79,"tracker_id":40,"status_id":1,"priority_id":2,"assigned_to_id":23,"start_date":"2017-02-12","description":"","custom_fields":[{"id":1,"name":"Subdivision","value":"Other"},{"id":4,"name":"Milepost","value":"0.0001"},{"id":17,"name":"Train ID","value":"70-12"},{"id":16,"name":"Locomotive ID","value":"4019"},{"id":130,"name":"Impact","value":""},{"id":150,"name":"Time of Event (Mountain Time)","value":"16:54:18"},{"id":151,"name":"Denver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"%USERPROFILE%\AppData\Local\Temp\OnboardLogs"\RTDC4019\*4019*201702122*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"%USERPROFILE%\AppData\Local\Temp\OnboardLogs"\RTDC4019\*4019*201702122* &gt;&gt; 2017-02-12-SliceDisagreementCheck.txt</v>
      </c>
      <c r="AE29" s="157" t="str">
        <f t="shared" si="1"/>
        <v>start /low /b %USERPROFILE%\Documents\GitHub\eaglep3\Utilities\DownloadLogsFromS3.py --loco 4019 --day 2017-02-12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</sheetData>
  <autoFilter ref="A6:AC50">
    <sortState ref="A7:AC51">
      <sortCondition ref="W7:W30"/>
      <sortCondition ref="E7:E30"/>
      <sortCondition ref="K7:K30"/>
      <sortCondition ref="F7:F30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9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1"/>
  <sheetViews>
    <sheetView workbookViewId="0">
      <selection activeCell="E3" sqref="E3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2017-02-12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>
        <v>803</v>
      </c>
      <c r="B3" s="43" t="str">
        <f>A3&amp;"-"&amp;IF(DAY(Variables!$A$2)&lt;10,0,"")&amp;DAY(Variables!$A$2)</f>
        <v>803-12</v>
      </c>
      <c r="C3" s="147"/>
      <c r="D3" s="165"/>
      <c r="E3" s="30" t="s">
        <v>514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5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22803-12%22)),sort:!(Time.ISO8601,asc))</v>
      </c>
      <c r="J3" s="30" t="e">
        <f>VLOOKUP(B3,'Train Runs'!$A$13:$A$99953,1,FALSE)</f>
        <v>#N/A</v>
      </c>
    </row>
    <row r="4" spans="1:10" x14ac:dyDescent="0.25">
      <c r="A4" s="186"/>
      <c r="B4" s="43" t="str">
        <f>A4&amp;"-"&amp;IF(DAY(Variables!$A$2)&lt;10,0,"")&amp;DAY(Variables!$A$2)</f>
        <v>-12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Runs'!$A$13:$A$99953,1,FALSE)</f>
        <v>#N/A</v>
      </c>
    </row>
    <row r="5" spans="1:10" s="20" customFormat="1" x14ac:dyDescent="0.25">
      <c r="A5" s="186"/>
      <c r="B5" s="43" t="str">
        <f>A5&amp;"-"&amp;IF(DAY(Variables!$A$2)&lt;10,0,"")&amp;DAY(Variables!$A$2)</f>
        <v>-12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Runs'!$A$13:$A$99953,1,FALSE)</f>
        <v>#N/A</v>
      </c>
    </row>
    <row r="6" spans="1:10" x14ac:dyDescent="0.25">
      <c r="A6" s="186"/>
      <c r="B6" s="43" t="str">
        <f>A6&amp;"-"&amp;IF(DAY(Variables!$A$2)&lt;10,0,"")&amp;DAY(Variables!$A$2)</f>
        <v>-12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Runs'!$A$13:$A$99953,1,FALSE)</f>
        <v>#N/A</v>
      </c>
    </row>
    <row r="7" spans="1:10" x14ac:dyDescent="0.25">
      <c r="A7" s="186"/>
      <c r="B7" s="43" t="str">
        <f>A7&amp;"-"&amp;IF(DAY(Variables!$A$2)&lt;10,0,"")&amp;DAY(Variables!$A$2)</f>
        <v>-12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Runs'!$A$13:$A$99953,1,FALSE)</f>
        <v>#N/A</v>
      </c>
    </row>
    <row r="8" spans="1:10" x14ac:dyDescent="0.25">
      <c r="A8" s="186"/>
      <c r="B8" s="43" t="str">
        <f>A8&amp;"-"&amp;IF(DAY(Variables!$A$2)&lt;10,0,"")&amp;DAY(Variables!$A$2)</f>
        <v>-12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Runs'!$A$13:$A$99953,1,FALSE)</f>
        <v>#N/A</v>
      </c>
    </row>
    <row r="9" spans="1:10" x14ac:dyDescent="0.25">
      <c r="A9" s="186"/>
      <c r="B9" s="43" t="str">
        <f>A9&amp;"-"&amp;IF(DAY(Variables!$A$2)&lt;10,0,"")&amp;DAY(Variables!$A$2)</f>
        <v>-12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Runs'!$A$13:$A$99953,1,FALSE)</f>
        <v>#N/A</v>
      </c>
    </row>
    <row r="10" spans="1:10" x14ac:dyDescent="0.25">
      <c r="A10" s="186"/>
      <c r="B10" s="43" t="str">
        <f>A10&amp;"-"&amp;IF(DAY(Variables!$A$2)&lt;10,0,"")&amp;DAY(Variables!$A$2)</f>
        <v>-12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Runs'!$A$13:$A$99953,1,FALSE)</f>
        <v>#N/A</v>
      </c>
    </row>
    <row r="11" spans="1:10" x14ac:dyDescent="0.25">
      <c r="A11" s="186"/>
      <c r="B11" s="43" t="str">
        <f>A11&amp;"-"&amp;IF(DAY(Variables!$A$2)&lt;10,0,"")&amp;DAY(Variables!$A$2)</f>
        <v>-12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Runs'!$A$13:$A$99953,1,FALSE)</f>
        <v>#N/A</v>
      </c>
    </row>
    <row r="12" spans="1:10" x14ac:dyDescent="0.25">
      <c r="A12" s="186"/>
      <c r="B12" s="43" t="str">
        <f>A12&amp;"-"&amp;IF(DAY(Variables!$A$2)&lt;10,0,"")&amp;DAY(Variables!$A$2)</f>
        <v>-12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Runs'!$A$13:$A$99953,1,FALSE)</f>
        <v>#N/A</v>
      </c>
    </row>
    <row r="13" spans="1:10" x14ac:dyDescent="0.25">
      <c r="A13" s="186"/>
      <c r="B13" s="43" t="str">
        <f>A13&amp;"-"&amp;IF(DAY(Variables!$A$2)&lt;10,0,"")&amp;DAY(Variables!$A$2)</f>
        <v>-12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Runs'!$A$13:$A$99953,1,FALSE)</f>
        <v>#N/A</v>
      </c>
    </row>
    <row r="14" spans="1:10" x14ac:dyDescent="0.25">
      <c r="A14" s="186"/>
      <c r="B14" s="43" t="str">
        <f>A14&amp;"-"&amp;IF(DAY(Variables!$A$2)&lt;10,0,"")&amp;DAY(Variables!$A$2)</f>
        <v>-12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Runs'!$A$13:$A$99953,1,FALSE)</f>
        <v>#N/A</v>
      </c>
    </row>
    <row r="15" spans="1:10" x14ac:dyDescent="0.25">
      <c r="A15" s="186"/>
      <c r="B15" s="43" t="str">
        <f>A15&amp;"-"&amp;IF(DAY(Variables!$A$2)&lt;10,0,"")&amp;DAY(Variables!$A$2)</f>
        <v>-12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Runs'!$A$13:$A$99953,1,FALSE)</f>
        <v>#N/A</v>
      </c>
    </row>
    <row r="16" spans="1:10" x14ac:dyDescent="0.25">
      <c r="A16" s="186"/>
      <c r="B16" s="43" t="str">
        <f>A16&amp;"-"&amp;IF(DAY(Variables!$A$2)&lt;10,0,"")&amp;DAY(Variables!$A$2)</f>
        <v>-12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Runs'!$A$13:$A$99953,1,FALSE)</f>
        <v>#N/A</v>
      </c>
    </row>
    <row r="17" spans="1:10" x14ac:dyDescent="0.25">
      <c r="A17" s="186"/>
      <c r="B17" s="43" t="str">
        <f>A17&amp;"-"&amp;IF(DAY(Variables!$A$2)&lt;10,0,"")&amp;DAY(Variables!$A$2)</f>
        <v>-12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Runs'!$A$13:$A$99953,1,FALSE)</f>
        <v>#N/A</v>
      </c>
    </row>
    <row r="18" spans="1:10" x14ac:dyDescent="0.25">
      <c r="A18" s="186"/>
      <c r="B18" s="43" t="str">
        <f>A18&amp;"-"&amp;IF(DAY(Variables!$A$2)&lt;10,0,"")&amp;DAY(Variables!$A$2)</f>
        <v>-12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Runs'!$A$13:$A$99953,1,FALSE)</f>
        <v>#N/A</v>
      </c>
    </row>
    <row r="19" spans="1:10" x14ac:dyDescent="0.25">
      <c r="A19" s="186"/>
      <c r="B19" s="43" t="str">
        <f>A19&amp;"-"&amp;IF(DAY(Variables!$A$2)&lt;10,0,"")&amp;DAY(Variables!$A$2)</f>
        <v>-12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9" s="30" t="e">
        <f>VLOOKUP(B19,'Train Runs'!$A$13:$A$99953,1,FALSE)</f>
        <v>#N/A</v>
      </c>
    </row>
    <row r="20" spans="1:10" x14ac:dyDescent="0.25">
      <c r="A20" s="186"/>
      <c r="B20" s="43" t="str">
        <f>A20&amp;"-"&amp;IF(DAY(Variables!$A$2)&lt;10,0,"")&amp;DAY(Variables!$A$2)</f>
        <v>-12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0" s="30" t="e">
        <f>VLOOKUP(B20,'Train Runs'!$A$13:$A$99953,1,FALSE)</f>
        <v>#N/A</v>
      </c>
    </row>
    <row r="21" spans="1:10" x14ac:dyDescent="0.25">
      <c r="A21" s="186"/>
      <c r="B21" s="43" t="str">
        <f>A21&amp;"-"&amp;IF(DAY(Variables!$A$2)&lt;10,0,"")&amp;DAY(Variables!$A$2)</f>
        <v>-12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1" s="30" t="e">
        <f>VLOOKUP(B21,'Train Runs'!$A$13:$A$99953,1,FALSE)</f>
        <v>#N/A</v>
      </c>
    </row>
    <row r="22" spans="1:10" x14ac:dyDescent="0.25">
      <c r="A22" s="186"/>
      <c r="B22" s="43" t="str">
        <f>A22&amp;"-"&amp;IF(DAY(Variables!$A$2)&lt;10,0,"")&amp;DAY(Variables!$A$2)</f>
        <v>-12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2" s="30" t="e">
        <f>VLOOKUP(B22,'Train Runs'!$A$13:$A$99953,1,FALSE)</f>
        <v>#N/A</v>
      </c>
    </row>
    <row r="23" spans="1:10" x14ac:dyDescent="0.25">
      <c r="A23" s="186"/>
      <c r="B23" s="43" t="str">
        <f>A23&amp;"-"&amp;IF(DAY(Variables!$A$2)&lt;10,0,"")&amp;DAY(Variables!$A$2)</f>
        <v>-12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3" s="30" t="e">
        <f>VLOOKUP(B23,'Train Runs'!$A$13:$A$99953,1,FALSE)</f>
        <v>#N/A</v>
      </c>
    </row>
    <row r="24" spans="1:10" x14ac:dyDescent="0.25">
      <c r="A24" s="186"/>
      <c r="B24" s="43" t="str">
        <f>A24&amp;"-"&amp;IF(DAY(Variables!$A$2)&lt;10,0,"")&amp;DAY(Variables!$A$2)</f>
        <v>-12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4" s="30" t="e">
        <f>VLOOKUP(B24,'Train Runs'!$A$13:$A$99953,1,FALSE)</f>
        <v>#N/A</v>
      </c>
    </row>
    <row r="25" spans="1:10" x14ac:dyDescent="0.25">
      <c r="A25" s="186"/>
      <c r="B25" s="43" t="str">
        <f>A25&amp;"-"&amp;IF(DAY(Variables!$A$2)&lt;10,0,"")&amp;DAY(Variables!$A$2)</f>
        <v>-12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5" s="30" t="e">
        <f>VLOOKUP(B25,'Train Runs'!$A$13:$A$99953,1,FALSE)</f>
        <v>#N/A</v>
      </c>
    </row>
    <row r="26" spans="1:10" x14ac:dyDescent="0.25">
      <c r="A26" s="186"/>
      <c r="B26" s="43" t="str">
        <f>A26&amp;"-"&amp;IF(DAY(Variables!$A$2)&lt;10,0,"")&amp;DAY(Variables!$A$2)</f>
        <v>-12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6" s="30" t="e">
        <f>VLOOKUP(B26,'Train Runs'!$A$13:$A$99953,1,FALSE)</f>
        <v>#N/A</v>
      </c>
    </row>
    <row r="27" spans="1:10" x14ac:dyDescent="0.25">
      <c r="A27" s="186"/>
      <c r="B27" s="43" t="str">
        <f>A27&amp;"-"&amp;IF(DAY(Variables!$A$2)&lt;10,0,"")&amp;DAY(Variables!$A$2)</f>
        <v>-12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7" s="30" t="e">
        <f>VLOOKUP(B27,'Train Runs'!$A$13:$A$99953,1,FALSE)</f>
        <v>#N/A</v>
      </c>
    </row>
    <row r="28" spans="1:10" x14ac:dyDescent="0.25">
      <c r="A28" s="186"/>
      <c r="B28" s="43" t="str">
        <f>A28&amp;"-"&amp;IF(DAY(Variables!$A$2)&lt;10,0,"")&amp;DAY(Variables!$A$2)</f>
        <v>-12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8" s="30" t="e">
        <f>VLOOKUP(B28,'Train Runs'!$A$13:$A$99953,1,FALSE)</f>
        <v>#N/A</v>
      </c>
    </row>
    <row r="29" spans="1:10" x14ac:dyDescent="0.25">
      <c r="A29" s="186"/>
      <c r="B29" s="43" t="str">
        <f>A29&amp;"-"&amp;IF(DAY(Variables!$A$2)&lt;10,0,"")&amp;DAY(Variables!$A$2)</f>
        <v>-12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9" s="30" t="e">
        <f>VLOOKUP(B29,'Train Runs'!$A$13:$A$99953,1,FALSE)</f>
        <v>#N/A</v>
      </c>
    </row>
    <row r="30" spans="1:10" x14ac:dyDescent="0.25">
      <c r="A30" s="186"/>
      <c r="B30" s="43" t="str">
        <f>A30&amp;"-"&amp;IF(DAY(Variables!$A$2)&lt;10,0,"")&amp;DAY(Variables!$A$2)</f>
        <v>-12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0" s="30" t="e">
        <f>VLOOKUP(B30,'Train Runs'!$A$13:$A$99953,1,FALSE)</f>
        <v>#N/A</v>
      </c>
    </row>
    <row r="31" spans="1:10" x14ac:dyDescent="0.25">
      <c r="A31" s="186"/>
      <c r="B31" s="43" t="str">
        <f>A31&amp;"-"&amp;IF(DAY(Variables!$A$2)&lt;10,0,"")&amp;DAY(Variables!$A$2)</f>
        <v>-12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1" s="30" t="e">
        <f>VLOOKUP(B31,'Train Runs'!$A$13:$A$99953,1,FALSE)</f>
        <v>#N/A</v>
      </c>
    </row>
    <row r="32" spans="1:10" x14ac:dyDescent="0.25">
      <c r="A32" s="186"/>
      <c r="B32" s="43" t="str">
        <f>A32&amp;"-"&amp;IF(DAY(Variables!$A$2)&lt;10,0,"")&amp;DAY(Variables!$A$2)</f>
        <v>-12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2" s="30" t="e">
        <f>VLOOKUP(B32,'Train Runs'!$A$13:$A$99953,1,FALSE)</f>
        <v>#N/A</v>
      </c>
    </row>
    <row r="33" spans="1:10" x14ac:dyDescent="0.25">
      <c r="A33" s="186"/>
      <c r="B33" s="43" t="str">
        <f>A33&amp;"-"&amp;IF(DAY(Variables!$A$2)&lt;10,0,"")&amp;DAY(Variables!$A$2)</f>
        <v>-12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3" s="30" t="e">
        <f>VLOOKUP(B33,'Train Runs'!$A$13:$A$99953,1,FALSE)</f>
        <v>#N/A</v>
      </c>
    </row>
    <row r="34" spans="1:10" x14ac:dyDescent="0.25">
      <c r="A34" s="186"/>
      <c r="B34" s="43" t="str">
        <f>A34&amp;"-"&amp;IF(DAY(Variables!$A$2)&lt;10,0,"")&amp;DAY(Variables!$A$2)</f>
        <v>-12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4" s="30" t="e">
        <f>VLOOKUP(B34,'Train Runs'!$A$13:$A$99953,1,FALSE)</f>
        <v>#N/A</v>
      </c>
    </row>
    <row r="35" spans="1:10" x14ac:dyDescent="0.25">
      <c r="A35" s="186"/>
      <c r="B35" s="43" t="str">
        <f>A35&amp;"-"&amp;IF(DAY(Variables!$A$2)&lt;10,0,"")&amp;DAY(Variables!$A$2)</f>
        <v>-12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5" s="30" t="e">
        <f>VLOOKUP(B35,'Train Runs'!$A$13:$A$99953,1,FALSE)</f>
        <v>#N/A</v>
      </c>
    </row>
    <row r="36" spans="1:10" x14ac:dyDescent="0.25">
      <c r="A36" s="186"/>
      <c r="B36" s="43" t="str">
        <f>A36&amp;"-"&amp;IF(DAY(Variables!$A$2)&lt;10,0,"")&amp;DAY(Variables!$A$2)</f>
        <v>-12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6" s="30" t="e">
        <f>VLOOKUP(B36,'Train Runs'!$A$13:$A$99953,1,FALSE)</f>
        <v>#N/A</v>
      </c>
    </row>
    <row r="37" spans="1:10" x14ac:dyDescent="0.25">
      <c r="A37" s="186"/>
      <c r="B37" s="43" t="str">
        <f>A37&amp;"-"&amp;IF(DAY(Variables!$A$2)&lt;10,0,"")&amp;DAY(Variables!$A$2)</f>
        <v>-12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7" s="30" t="e">
        <f>VLOOKUP(B37,'Train Runs'!$A$13:$A$99953,1,FALSE)</f>
        <v>#N/A</v>
      </c>
    </row>
    <row r="38" spans="1:10" x14ac:dyDescent="0.25">
      <c r="A38" s="186"/>
      <c r="B38" s="43" t="str">
        <f>A38&amp;"-"&amp;IF(DAY(Variables!$A$2)&lt;10,0,"")&amp;DAY(Variables!$A$2)</f>
        <v>-12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8" s="30" t="e">
        <f>VLOOKUP(B38,'Train Runs'!$A$13:$A$99953,1,FALSE)</f>
        <v>#N/A</v>
      </c>
    </row>
    <row r="39" spans="1:10" x14ac:dyDescent="0.25">
      <c r="A39" s="186"/>
      <c r="B39" s="43" t="str">
        <f>A39&amp;"-"&amp;IF(DAY(Variables!$A$2)&lt;10,0,"")&amp;DAY(Variables!$A$2)</f>
        <v>-12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9" s="30" t="e">
        <f>VLOOKUP(B39,'Train Runs'!$A$13:$A$99953,1,FALSE)</f>
        <v>#N/A</v>
      </c>
    </row>
    <row r="40" spans="1:10" x14ac:dyDescent="0.25">
      <c r="A40" s="186"/>
      <c r="B40" s="43" t="str">
        <f>A40&amp;"-"&amp;IF(DAY(Variables!$A$2)&lt;10,0,"")&amp;DAY(Variables!$A$2)</f>
        <v>-12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0" s="30" t="e">
        <f>VLOOKUP(B40,'Train Runs'!$A$13:$A$99953,1,FALSE)</f>
        <v>#N/A</v>
      </c>
    </row>
    <row r="41" spans="1:10" x14ac:dyDescent="0.25">
      <c r="A41" s="186"/>
      <c r="B41" s="43" t="str">
        <f>A41&amp;"-"&amp;IF(DAY(Variables!$A$2)&lt;10,0,"")&amp;DAY(Variables!$A$2)</f>
        <v>-12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1" s="30" t="e">
        <f>VLOOKUP(B41,'Train Runs'!$A$13:$A$99953,1,FALSE)</f>
        <v>#N/A</v>
      </c>
    </row>
    <row r="42" spans="1:10" x14ac:dyDescent="0.25">
      <c r="A42" s="186"/>
      <c r="B42" s="43" t="str">
        <f>A42&amp;"-"&amp;IF(DAY(Variables!$A$2)&lt;10,0,"")&amp;DAY(Variables!$A$2)</f>
        <v>-12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2" s="30" t="e">
        <f>VLOOKUP(B42,'Train Runs'!$A$13:$A$99953,1,FALSE)</f>
        <v>#N/A</v>
      </c>
    </row>
    <row r="43" spans="1:10" x14ac:dyDescent="0.25">
      <c r="A43" s="186"/>
      <c r="B43" s="43" t="str">
        <f>A43&amp;"-"&amp;IF(DAY(Variables!$A$2)&lt;10,0,"")&amp;DAY(Variables!$A$2)</f>
        <v>-12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3" s="30" t="e">
        <f>VLOOKUP(B43,'Train Runs'!$A$13:$A$99953,1,FALSE)</f>
        <v>#N/A</v>
      </c>
    </row>
    <row r="44" spans="1:10" x14ac:dyDescent="0.25">
      <c r="A44" s="186"/>
      <c r="B44" s="43" t="str">
        <f>A44&amp;"-"&amp;IF(DAY(Variables!$A$2)&lt;10,0,"")&amp;DAY(Variables!$A$2)</f>
        <v>-12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4" s="30" t="e">
        <f>VLOOKUP(B44,'Train Runs'!$A$13:$A$99953,1,FALSE)</f>
        <v>#N/A</v>
      </c>
    </row>
    <row r="45" spans="1:10" x14ac:dyDescent="0.25">
      <c r="A45" s="186"/>
      <c r="B45" s="43" t="str">
        <f>A45&amp;"-"&amp;IF(DAY(Variables!$A$2)&lt;10,0,"")&amp;DAY(Variables!$A$2)</f>
        <v>-12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5" s="30" t="e">
        <f>VLOOKUP(B45,'Train Runs'!$A$13:$A$99953,1,FALSE)</f>
        <v>#N/A</v>
      </c>
    </row>
    <row r="46" spans="1:10" x14ac:dyDescent="0.25">
      <c r="A46" s="186"/>
      <c r="B46" s="43" t="str">
        <f>A46&amp;"-"&amp;IF(DAY(Variables!$A$2)&lt;10,0,"")&amp;DAY(Variables!$A$2)</f>
        <v>-12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6" s="30" t="e">
        <f>VLOOKUP(B46,'Train Runs'!$A$13:$A$99953,1,FALSE)</f>
        <v>#N/A</v>
      </c>
    </row>
    <row r="47" spans="1:10" x14ac:dyDescent="0.25">
      <c r="A47" s="186"/>
      <c r="B47" s="43" t="str">
        <f>A47&amp;"-"&amp;IF(DAY(Variables!$A$2)&lt;10,0,"")&amp;DAY(Variables!$A$2)</f>
        <v>-12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7" s="30" t="e">
        <f>VLOOKUP(B47,'Train Runs'!$A$13:$A$99953,1,FALSE)</f>
        <v>#N/A</v>
      </c>
    </row>
    <row r="48" spans="1:10" x14ac:dyDescent="0.25">
      <c r="A48" s="186"/>
      <c r="B48" s="43" t="str">
        <f>A48&amp;"-"&amp;IF(DAY(Variables!$A$2)&lt;10,0,"")&amp;DAY(Variables!$A$2)</f>
        <v>-12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8" s="30" t="e">
        <f>VLOOKUP(B48,'Train Runs'!$A$13:$A$99953,1,FALSE)</f>
        <v>#N/A</v>
      </c>
    </row>
    <row r="49" spans="1:10" x14ac:dyDescent="0.25">
      <c r="A49" s="186"/>
      <c r="B49" s="43" t="str">
        <f>A49&amp;"-"&amp;IF(DAY(Variables!$A$2)&lt;10,0,"")&amp;DAY(Variables!$A$2)</f>
        <v>-12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9" s="30" t="e">
        <f>VLOOKUP(B49,'Train Runs'!$A$13:$A$99953,1,FALSE)</f>
        <v>#N/A</v>
      </c>
    </row>
    <row r="50" spans="1:10" x14ac:dyDescent="0.25">
      <c r="A50" s="186"/>
      <c r="B50" s="43" t="str">
        <f>A50&amp;"-"&amp;IF(DAY(Variables!$A$2)&lt;10,0,"")&amp;DAY(Variables!$A$2)</f>
        <v>-12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0" s="30" t="e">
        <f>VLOOKUP(B50,'Train Runs'!$A$13:$A$99953,1,FALSE)</f>
        <v>#N/A</v>
      </c>
    </row>
    <row r="51" spans="1:10" x14ac:dyDescent="0.25">
      <c r="A51" s="186"/>
      <c r="B51" s="43" t="str">
        <f>A51&amp;"-"&amp;IF(DAY(Variables!$A$2)&lt;10,0,"")&amp;DAY(Variables!$A$2)</f>
        <v>-12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ref="I51:I11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1" s="30" t="e">
        <f>VLOOKUP(B51,'Train Runs'!$A$13:$A$99953,1,FALSE)</f>
        <v>#N/A</v>
      </c>
    </row>
    <row r="52" spans="1:10" x14ac:dyDescent="0.25">
      <c r="A52" s="186"/>
      <c r="B52" s="43" t="str">
        <f>A52&amp;"-"&amp;IF(DAY(Variables!$A$2)&lt;10,0,"")&amp;DAY(Variables!$A$2)</f>
        <v>-12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2" s="30" t="e">
        <f>VLOOKUP(B52,'Train Runs'!$A$13:$A$99953,1,FALSE)</f>
        <v>#N/A</v>
      </c>
    </row>
    <row r="53" spans="1:10" x14ac:dyDescent="0.25">
      <c r="A53" s="186"/>
      <c r="B53" s="43" t="str">
        <f>A53&amp;"-"&amp;IF(DAY(Variables!$A$2)&lt;10,0,"")&amp;DAY(Variables!$A$2)</f>
        <v>-12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3" s="30" t="e">
        <f>VLOOKUP(B53,'Train Runs'!$A$13:$A$99953,1,FALSE)</f>
        <v>#N/A</v>
      </c>
    </row>
    <row r="54" spans="1:10" x14ac:dyDescent="0.25">
      <c r="A54" s="186"/>
      <c r="B54" s="43" t="str">
        <f>A54&amp;"-"&amp;IF(DAY(Variables!$A$2)&lt;10,0,"")&amp;DAY(Variables!$A$2)</f>
        <v>-12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4" s="30" t="e">
        <f>VLOOKUP(B54,'Train Runs'!$A$13:$A$99953,1,FALSE)</f>
        <v>#N/A</v>
      </c>
    </row>
    <row r="55" spans="1:10" x14ac:dyDescent="0.25">
      <c r="A55" s="186"/>
      <c r="B55" s="43" t="str">
        <f>A55&amp;"-"&amp;IF(DAY(Variables!$A$2)&lt;10,0,"")&amp;DAY(Variables!$A$2)</f>
        <v>-12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5" s="30" t="e">
        <f>VLOOKUP(B55,'Train Runs'!$A$13:$A$99953,1,FALSE)</f>
        <v>#N/A</v>
      </c>
    </row>
    <row r="56" spans="1:10" x14ac:dyDescent="0.25">
      <c r="A56" s="186"/>
      <c r="B56" s="43" t="str">
        <f>A56&amp;"-"&amp;IF(DAY(Variables!$A$2)&lt;10,0,"")&amp;DAY(Variables!$A$2)</f>
        <v>-12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6" s="30" t="e">
        <f>VLOOKUP(B56,'Train Runs'!$A$13:$A$99953,1,FALSE)</f>
        <v>#N/A</v>
      </c>
    </row>
    <row r="57" spans="1:10" x14ac:dyDescent="0.25">
      <c r="A57" s="186"/>
      <c r="B57" s="43" t="str">
        <f>A57&amp;"-"&amp;IF(DAY(Variables!$A$2)&lt;10,0,"")&amp;DAY(Variables!$A$2)</f>
        <v>-12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7" s="30" t="e">
        <f>VLOOKUP(B57,'Train Runs'!$A$13:$A$99953,1,FALSE)</f>
        <v>#N/A</v>
      </c>
    </row>
    <row r="58" spans="1:10" x14ac:dyDescent="0.25">
      <c r="A58" s="186"/>
      <c r="B58" s="43" t="str">
        <f>A58&amp;"-"&amp;IF(DAY(Variables!$A$2)&lt;10,0,"")&amp;DAY(Variables!$A$2)</f>
        <v>-12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8" s="30" t="e">
        <f>VLOOKUP(B58,'Train Runs'!$A$13:$A$99953,1,FALSE)</f>
        <v>#N/A</v>
      </c>
    </row>
    <row r="59" spans="1:10" x14ac:dyDescent="0.25">
      <c r="A59" s="186"/>
      <c r="B59" s="43" t="str">
        <f>A59&amp;"-"&amp;IF(DAY(Variables!$A$2)&lt;10,0,"")&amp;DAY(Variables!$A$2)</f>
        <v>-12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9" s="30" t="e">
        <f>VLOOKUP(B59,'Train Runs'!$A$13:$A$99953,1,FALSE)</f>
        <v>#N/A</v>
      </c>
    </row>
    <row r="60" spans="1:10" x14ac:dyDescent="0.25">
      <c r="A60" s="186"/>
      <c r="B60" s="43" t="str">
        <f>A60&amp;"-"&amp;IF(DAY(Variables!$A$2)&lt;10,0,"")&amp;DAY(Variables!$A$2)</f>
        <v>-12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0" s="30" t="e">
        <f>VLOOKUP(B60,'Train Runs'!$A$13:$A$99953,1,FALSE)</f>
        <v>#N/A</v>
      </c>
    </row>
    <row r="61" spans="1:10" x14ac:dyDescent="0.25">
      <c r="A61" s="186"/>
      <c r="B61" s="43" t="str">
        <f>A61&amp;"-"&amp;IF(DAY(Variables!$A$2)&lt;10,0,"")&amp;DAY(Variables!$A$2)</f>
        <v>-12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1" s="30" t="e">
        <f>VLOOKUP(B61,'Train Runs'!$A$13:$A$99953,1,FALSE)</f>
        <v>#N/A</v>
      </c>
    </row>
    <row r="62" spans="1:10" x14ac:dyDescent="0.25">
      <c r="A62" s="186"/>
      <c r="B62" s="43" t="str">
        <f>A62&amp;"-"&amp;IF(DAY(Variables!$A$2)&lt;10,0,"")&amp;DAY(Variables!$A$2)</f>
        <v>-12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2" s="30" t="e">
        <f>VLOOKUP(B62,'Train Runs'!$A$13:$A$99953,1,FALSE)</f>
        <v>#N/A</v>
      </c>
    </row>
    <row r="63" spans="1:10" x14ac:dyDescent="0.25">
      <c r="A63" s="186"/>
      <c r="B63" s="43" t="str">
        <f>A63&amp;"-"&amp;IF(DAY(Variables!$A$2)&lt;10,0,"")&amp;DAY(Variables!$A$2)</f>
        <v>-12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3" s="30" t="e">
        <f>VLOOKUP(B63,'Train Runs'!$A$13:$A$99953,1,FALSE)</f>
        <v>#N/A</v>
      </c>
    </row>
    <row r="64" spans="1:10" x14ac:dyDescent="0.25">
      <c r="A64" s="186"/>
      <c r="B64" s="43" t="str">
        <f>A64&amp;"-"&amp;IF(DAY(Variables!$A$2)&lt;10,0,"")&amp;DAY(Variables!$A$2)</f>
        <v>-12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4" s="30" t="e">
        <f>VLOOKUP(B64,'Train Runs'!$A$13:$A$99953,1,FALSE)</f>
        <v>#N/A</v>
      </c>
    </row>
    <row r="65" spans="1:10" x14ac:dyDescent="0.25">
      <c r="A65" s="186"/>
      <c r="B65" s="43" t="str">
        <f>A65&amp;"-"&amp;IF(DAY(Variables!$A$2)&lt;10,0,"")&amp;DAY(Variables!$A$2)</f>
        <v>-12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5" s="30" t="e">
        <f>VLOOKUP(B65,'Train Runs'!$A$13:$A$99953,1,FALSE)</f>
        <v>#N/A</v>
      </c>
    </row>
    <row r="66" spans="1:10" x14ac:dyDescent="0.25">
      <c r="A66" s="186"/>
      <c r="B66" s="43" t="str">
        <f>A66&amp;"-"&amp;IF(DAY(Variables!$A$2)&lt;10,0,"")&amp;DAY(Variables!$A$2)</f>
        <v>-12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6" s="30" t="e">
        <f>VLOOKUP(B66,'Train Runs'!$A$13:$A$99953,1,FALSE)</f>
        <v>#N/A</v>
      </c>
    </row>
    <row r="67" spans="1:10" x14ac:dyDescent="0.25">
      <c r="A67" s="186"/>
      <c r="B67" s="43" t="str">
        <f>A67&amp;"-"&amp;IF(DAY(Variables!$A$2)&lt;10,0,"")&amp;DAY(Variables!$A$2)</f>
        <v>-12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7" s="30" t="e">
        <f>VLOOKUP(B67,'Train Runs'!$A$13:$A$99953,1,FALSE)</f>
        <v>#N/A</v>
      </c>
    </row>
    <row r="68" spans="1:10" x14ac:dyDescent="0.25">
      <c r="A68" s="186"/>
      <c r="B68" s="43" t="str">
        <f>A68&amp;"-"&amp;IF(DAY(Variables!$A$2)&lt;10,0,"")&amp;DAY(Variables!$A$2)</f>
        <v>-12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8" s="30" t="e">
        <f>VLOOKUP(B68,'Train Runs'!$A$13:$A$99953,1,FALSE)</f>
        <v>#N/A</v>
      </c>
    </row>
    <row r="69" spans="1:10" x14ac:dyDescent="0.25">
      <c r="A69" s="186"/>
      <c r="B69" s="43" t="str">
        <f>A69&amp;"-"&amp;IF(DAY(Variables!$A$2)&lt;10,0,"")&amp;DAY(Variables!$A$2)</f>
        <v>-12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9" s="30" t="e">
        <f>VLOOKUP(B69,'Train Runs'!$A$13:$A$99953,1,FALSE)</f>
        <v>#N/A</v>
      </c>
    </row>
    <row r="70" spans="1:10" x14ac:dyDescent="0.25">
      <c r="A70" s="186"/>
      <c r="B70" s="43" t="str">
        <f>A70&amp;"-"&amp;IF(DAY(Variables!$A$2)&lt;10,0,"")&amp;DAY(Variables!$A$2)</f>
        <v>-12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0" s="30" t="e">
        <f>VLOOKUP(B70,'Train Runs'!$A$13:$A$99953,1,FALSE)</f>
        <v>#N/A</v>
      </c>
    </row>
    <row r="71" spans="1:10" x14ac:dyDescent="0.25">
      <c r="A71" s="186"/>
      <c r="B71" s="43" t="str">
        <f>A71&amp;"-"&amp;IF(DAY(Variables!$A$2)&lt;10,0,"")&amp;DAY(Variables!$A$2)</f>
        <v>-12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1" s="30" t="e">
        <f>VLOOKUP(B71,'Train Runs'!$A$13:$A$99953,1,FALSE)</f>
        <v>#N/A</v>
      </c>
    </row>
    <row r="72" spans="1:10" x14ac:dyDescent="0.25">
      <c r="A72" s="186"/>
      <c r="B72" s="43" t="str">
        <f>A72&amp;"-"&amp;IF(DAY(Variables!$A$2)&lt;10,0,"")&amp;DAY(Variables!$A$2)</f>
        <v>-12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2" s="30" t="e">
        <f>VLOOKUP(B72,'Train Runs'!$A$13:$A$99953,1,FALSE)</f>
        <v>#N/A</v>
      </c>
    </row>
    <row r="73" spans="1:10" x14ac:dyDescent="0.25">
      <c r="A73" s="186"/>
      <c r="B73" s="43" t="str">
        <f>A73&amp;"-"&amp;IF(DAY(Variables!$A$2)&lt;10,0,"")&amp;DAY(Variables!$A$2)</f>
        <v>-12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3" s="30" t="e">
        <f>VLOOKUP(B73,'Train Runs'!$A$13:$A$99953,1,FALSE)</f>
        <v>#N/A</v>
      </c>
    </row>
    <row r="74" spans="1:10" x14ac:dyDescent="0.25">
      <c r="A74" s="186"/>
      <c r="B74" s="43" t="str">
        <f>A74&amp;"-"&amp;IF(DAY(Variables!$A$2)&lt;10,0,"")&amp;DAY(Variables!$A$2)</f>
        <v>-12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4" s="30" t="e">
        <f>VLOOKUP(B74,'Train Runs'!$A$13:$A$99953,1,FALSE)</f>
        <v>#N/A</v>
      </c>
    </row>
    <row r="75" spans="1:10" x14ac:dyDescent="0.25">
      <c r="A75" s="186"/>
      <c r="B75" s="43" t="str">
        <f>A75&amp;"-"&amp;IF(DAY(Variables!$A$2)&lt;10,0,"")&amp;DAY(Variables!$A$2)</f>
        <v>-12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5" s="30" t="e">
        <f>VLOOKUP(B75,'Train Runs'!$A$13:$A$99953,1,FALSE)</f>
        <v>#N/A</v>
      </c>
    </row>
    <row r="76" spans="1:10" x14ac:dyDescent="0.25">
      <c r="A76" s="186"/>
      <c r="B76" s="43" t="str">
        <f>A76&amp;"-"&amp;IF(DAY(Variables!$A$2)&lt;10,0,"")&amp;DAY(Variables!$A$2)</f>
        <v>-12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6" s="30" t="e">
        <f>VLOOKUP(B76,'Train Runs'!$A$13:$A$99953,1,FALSE)</f>
        <v>#N/A</v>
      </c>
    </row>
    <row r="77" spans="1:10" x14ac:dyDescent="0.25">
      <c r="A77" s="186"/>
      <c r="B77" s="43" t="str">
        <f>A77&amp;"-"&amp;IF(DAY(Variables!$A$2)&lt;10,0,"")&amp;DAY(Variables!$A$2)</f>
        <v>-12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7" s="30" t="e">
        <f>VLOOKUP(B77,'Train Runs'!$A$13:$A$99953,1,FALSE)</f>
        <v>#N/A</v>
      </c>
    </row>
    <row r="78" spans="1:10" x14ac:dyDescent="0.25">
      <c r="A78" s="186"/>
      <c r="B78" s="43" t="str">
        <f>A78&amp;"-"&amp;IF(DAY(Variables!$A$2)&lt;10,0,"")&amp;DAY(Variables!$A$2)</f>
        <v>-12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8" s="30" t="e">
        <f>VLOOKUP(B78,'Train Runs'!$A$13:$A$99953,1,FALSE)</f>
        <v>#N/A</v>
      </c>
    </row>
    <row r="79" spans="1:10" x14ac:dyDescent="0.25">
      <c r="A79" s="186"/>
      <c r="B79" s="43" t="str">
        <f>A79&amp;"-"&amp;IF(DAY(Variables!$A$2)&lt;10,0,"")&amp;DAY(Variables!$A$2)</f>
        <v>-12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9" s="30" t="e">
        <f>VLOOKUP(B79,'Train Runs'!$A$13:$A$99953,1,FALSE)</f>
        <v>#N/A</v>
      </c>
    </row>
    <row r="80" spans="1:10" x14ac:dyDescent="0.25">
      <c r="A80" s="186"/>
      <c r="B80" s="43" t="str">
        <f>A80&amp;"-"&amp;IF(DAY(Variables!$A$2)&lt;10,0,"")&amp;DAY(Variables!$A$2)</f>
        <v>-12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0" s="30" t="e">
        <f>VLOOKUP(B80,'Train Runs'!$A$13:$A$99953,1,FALSE)</f>
        <v>#N/A</v>
      </c>
    </row>
    <row r="81" spans="1:10" x14ac:dyDescent="0.25">
      <c r="A81" s="186"/>
      <c r="B81" s="43" t="str">
        <f>A81&amp;"-"&amp;IF(DAY(Variables!$A$2)&lt;10,0,"")&amp;DAY(Variables!$A$2)</f>
        <v>-12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1" s="30" t="e">
        <f>VLOOKUP(B81,'Train Runs'!$A$13:$A$99953,1,FALSE)</f>
        <v>#N/A</v>
      </c>
    </row>
    <row r="82" spans="1:10" x14ac:dyDescent="0.25">
      <c r="A82" s="186"/>
      <c r="B82" s="43" t="str">
        <f>A82&amp;"-"&amp;IF(DAY(Variables!$A$2)&lt;10,0,"")&amp;DAY(Variables!$A$2)</f>
        <v>-12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2" s="30" t="e">
        <f>VLOOKUP(B82,'Train Runs'!$A$13:$A$99953,1,FALSE)</f>
        <v>#N/A</v>
      </c>
    </row>
    <row r="83" spans="1:10" x14ac:dyDescent="0.25">
      <c r="A83" s="186"/>
      <c r="B83" s="43" t="str">
        <f>A83&amp;"-"&amp;IF(DAY(Variables!$A$2)&lt;10,0,"")&amp;DAY(Variables!$A$2)</f>
        <v>-12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3" s="30" t="e">
        <f>VLOOKUP(B83,'Train Runs'!$A$13:$A$99953,1,FALSE)</f>
        <v>#N/A</v>
      </c>
    </row>
    <row r="84" spans="1:10" x14ac:dyDescent="0.25">
      <c r="A84" s="186"/>
      <c r="B84" s="43" t="str">
        <f>A84&amp;"-"&amp;IF(DAY(Variables!$A$2)&lt;10,0,"")&amp;DAY(Variables!$A$2)</f>
        <v>-12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4" s="30" t="e">
        <f>VLOOKUP(B84,'Train Runs'!$A$13:$A$99953,1,FALSE)</f>
        <v>#N/A</v>
      </c>
    </row>
    <row r="85" spans="1:10" x14ac:dyDescent="0.25">
      <c r="A85" s="186"/>
      <c r="B85" s="43" t="str">
        <f>A85&amp;"-"&amp;IF(DAY(Variables!$A$2)&lt;10,0,"")&amp;DAY(Variables!$A$2)</f>
        <v>-12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5" s="30" t="e">
        <f>VLOOKUP(B85,'Train Runs'!$A$13:$A$99953,1,FALSE)</f>
        <v>#N/A</v>
      </c>
    </row>
    <row r="86" spans="1:10" x14ac:dyDescent="0.25">
      <c r="A86" s="186"/>
      <c r="B86" s="43" t="str">
        <f>A86&amp;"-"&amp;IF(DAY(Variables!$A$2)&lt;10,0,"")&amp;DAY(Variables!$A$2)</f>
        <v>-12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6" s="30" t="e">
        <f>VLOOKUP(B86,'Train Runs'!$A$13:$A$99953,1,FALSE)</f>
        <v>#N/A</v>
      </c>
    </row>
    <row r="87" spans="1:10" x14ac:dyDescent="0.25">
      <c r="A87" s="186"/>
      <c r="B87" s="43" t="str">
        <f>A87&amp;"-"&amp;IF(DAY(Variables!$A$2)&lt;10,0,"")&amp;DAY(Variables!$A$2)</f>
        <v>-12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7" s="30" t="e">
        <f>VLOOKUP(B87,'Train Runs'!$A$13:$A$99953,1,FALSE)</f>
        <v>#N/A</v>
      </c>
    </row>
    <row r="88" spans="1:10" x14ac:dyDescent="0.25">
      <c r="A88" s="186"/>
      <c r="B88" s="43" t="str">
        <f>A88&amp;"-"&amp;IF(DAY(Variables!$A$2)&lt;10,0,"")&amp;DAY(Variables!$A$2)</f>
        <v>-12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8" s="30" t="e">
        <f>VLOOKUP(B88,'Train Runs'!$A$13:$A$99953,1,FALSE)</f>
        <v>#N/A</v>
      </c>
    </row>
    <row r="89" spans="1:10" x14ac:dyDescent="0.25">
      <c r="A89" s="186"/>
      <c r="B89" s="43" t="str">
        <f>A89&amp;"-"&amp;IF(DAY(Variables!$A$2)&lt;10,0,"")&amp;DAY(Variables!$A$2)</f>
        <v>-12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9" s="30" t="e">
        <f>VLOOKUP(B89,'Train Runs'!$A$13:$A$99953,1,FALSE)</f>
        <v>#N/A</v>
      </c>
    </row>
    <row r="90" spans="1:10" x14ac:dyDescent="0.25">
      <c r="A90" s="186"/>
      <c r="B90" s="43" t="str">
        <f>A90&amp;"-"&amp;IF(DAY(Variables!$A$2)&lt;10,0,"")&amp;DAY(Variables!$A$2)</f>
        <v>-12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0" s="30" t="e">
        <f>VLOOKUP(B90,'Train Runs'!$A$13:$A$99953,1,FALSE)</f>
        <v>#N/A</v>
      </c>
    </row>
    <row r="91" spans="1:10" x14ac:dyDescent="0.25">
      <c r="A91" s="186"/>
      <c r="B91" s="43" t="str">
        <f>A91&amp;"-"&amp;IF(DAY(Variables!$A$2)&lt;10,0,"")&amp;DAY(Variables!$A$2)</f>
        <v>-12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1" s="30" t="e">
        <f>VLOOKUP(B91,'Train Runs'!$A$13:$A$99953,1,FALSE)</f>
        <v>#N/A</v>
      </c>
    </row>
    <row r="92" spans="1:10" x14ac:dyDescent="0.25">
      <c r="A92" s="186"/>
      <c r="B92" s="43" t="str">
        <f>A92&amp;"-"&amp;IF(DAY(Variables!$A$2)&lt;10,0,"")&amp;DAY(Variables!$A$2)</f>
        <v>-12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2" s="30" t="e">
        <f>VLOOKUP(B92,'Train Runs'!$A$13:$A$99953,1,FALSE)</f>
        <v>#N/A</v>
      </c>
    </row>
    <row r="93" spans="1:10" x14ac:dyDescent="0.25">
      <c r="A93" s="186"/>
      <c r="B93" s="43" t="str">
        <f>A93&amp;"-"&amp;IF(DAY(Variables!$A$2)&lt;10,0,"")&amp;DAY(Variables!$A$2)</f>
        <v>-12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3" s="30" t="e">
        <f>VLOOKUP(B93,'Train Runs'!$A$13:$A$99953,1,FALSE)</f>
        <v>#N/A</v>
      </c>
    </row>
    <row r="94" spans="1:10" x14ac:dyDescent="0.25">
      <c r="A94" s="186"/>
      <c r="B94" s="43" t="str">
        <f>A94&amp;"-"&amp;IF(DAY(Variables!$A$2)&lt;10,0,"")&amp;DAY(Variables!$A$2)</f>
        <v>-12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4" s="30" t="e">
        <f>VLOOKUP(B94,'Train Runs'!$A$13:$A$99953,1,FALSE)</f>
        <v>#N/A</v>
      </c>
    </row>
    <row r="95" spans="1:10" x14ac:dyDescent="0.25">
      <c r="A95" s="186"/>
      <c r="B95" s="43" t="str">
        <f>A95&amp;"-"&amp;IF(DAY(Variables!$A$2)&lt;10,0,"")&amp;DAY(Variables!$A$2)</f>
        <v>-12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5" s="30" t="e">
        <f>VLOOKUP(B95,'Train Runs'!$A$13:$A$99953,1,FALSE)</f>
        <v>#N/A</v>
      </c>
    </row>
    <row r="96" spans="1:10" x14ac:dyDescent="0.25">
      <c r="A96" s="186"/>
      <c r="B96" s="43" t="str">
        <f>A96&amp;"-"&amp;IF(DAY(Variables!$A$2)&lt;10,0,"")&amp;DAY(Variables!$A$2)</f>
        <v>-12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6" s="30" t="e">
        <f>VLOOKUP(B96,'Train Runs'!$A$13:$A$99953,1,FALSE)</f>
        <v>#N/A</v>
      </c>
    </row>
    <row r="97" spans="1:10" x14ac:dyDescent="0.25">
      <c r="A97" s="186"/>
      <c r="B97" s="43" t="str">
        <f>A97&amp;"-"&amp;IF(DAY(Variables!$A$2)&lt;10,0,"")&amp;DAY(Variables!$A$2)</f>
        <v>-12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7" s="30" t="e">
        <f>VLOOKUP(B97,'Train Runs'!$A$13:$A$99953,1,FALSE)</f>
        <v>#N/A</v>
      </c>
    </row>
    <row r="98" spans="1:10" x14ac:dyDescent="0.25">
      <c r="A98" s="186"/>
      <c r="B98" s="43" t="str">
        <f>A98&amp;"-"&amp;IF(DAY(Variables!$A$2)&lt;10,0,"")&amp;DAY(Variables!$A$2)</f>
        <v>-12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8" s="30" t="e">
        <f>VLOOKUP(B98,'Train Runs'!$A$13:$A$99953,1,FALSE)</f>
        <v>#N/A</v>
      </c>
    </row>
    <row r="99" spans="1:10" x14ac:dyDescent="0.25">
      <c r="A99" s="186"/>
      <c r="B99" s="43" t="str">
        <f>A99&amp;"-"&amp;IF(DAY(Variables!$A$2)&lt;10,0,"")&amp;DAY(Variables!$A$2)</f>
        <v>-12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9" s="30" t="e">
        <f>VLOOKUP(B99,'Train Runs'!$A$13:$A$99953,1,FALSE)</f>
        <v>#N/A</v>
      </c>
    </row>
    <row r="100" spans="1:10" x14ac:dyDescent="0.25">
      <c r="A100" s="186"/>
      <c r="B100" s="43" t="str">
        <f>A100&amp;"-"&amp;IF(DAY(Variables!$A$2)&lt;10,0,"")&amp;DAY(Variables!$A$2)</f>
        <v>-12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0" s="30" t="e">
        <f>VLOOKUP(B100,'Train Runs'!$A$13:$A$99953,1,FALSE)</f>
        <v>#N/A</v>
      </c>
    </row>
    <row r="101" spans="1:10" x14ac:dyDescent="0.25">
      <c r="A101" s="186"/>
      <c r="B101" s="43" t="str">
        <f>A101&amp;"-"&amp;IF(DAY(Variables!$A$2)&lt;10,0,"")&amp;DAY(Variables!$A$2)</f>
        <v>-12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1" s="30" t="e">
        <f>VLOOKUP(B101,'Train Runs'!$A$13:$A$99953,1,FALSE)</f>
        <v>#N/A</v>
      </c>
    </row>
    <row r="102" spans="1:10" x14ac:dyDescent="0.25">
      <c r="A102" s="186"/>
      <c r="B102" s="43" t="str">
        <f>A102&amp;"-"&amp;IF(DAY(Variables!$A$2)&lt;10,0,"")&amp;DAY(Variables!$A$2)</f>
        <v>-12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2" s="30" t="e">
        <f>VLOOKUP(B102,'Train Runs'!$A$13:$A$99953,1,FALSE)</f>
        <v>#N/A</v>
      </c>
    </row>
    <row r="103" spans="1:10" x14ac:dyDescent="0.25">
      <c r="A103" s="186"/>
      <c r="B103" s="43" t="str">
        <f>A103&amp;"-"&amp;IF(DAY(Variables!$A$2)&lt;10,0,"")&amp;DAY(Variables!$A$2)</f>
        <v>-12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3" s="30" t="e">
        <f>VLOOKUP(B103,'Train Runs'!$A$13:$A$99953,1,FALSE)</f>
        <v>#N/A</v>
      </c>
    </row>
    <row r="104" spans="1:10" x14ac:dyDescent="0.25">
      <c r="A104" s="186"/>
      <c r="B104" s="43" t="str">
        <f>A104&amp;"-"&amp;IF(DAY(Variables!$A$2)&lt;10,0,"")&amp;DAY(Variables!$A$2)</f>
        <v>-12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4" s="30" t="e">
        <f>VLOOKUP(B104,'Train Runs'!$A$13:$A$99953,1,FALSE)</f>
        <v>#N/A</v>
      </c>
    </row>
    <row r="105" spans="1:10" x14ac:dyDescent="0.25">
      <c r="A105" s="186"/>
      <c r="B105" s="43" t="str">
        <f>A105&amp;"-"&amp;IF(DAY(Variables!$A$2)&lt;10,0,"")&amp;DAY(Variables!$A$2)</f>
        <v>-12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5" s="30" t="e">
        <f>VLOOKUP(B105,'Train Runs'!$A$13:$A$99953,1,FALSE)</f>
        <v>#N/A</v>
      </c>
    </row>
    <row r="106" spans="1:10" x14ac:dyDescent="0.25">
      <c r="A106" s="186"/>
      <c r="B106" s="43" t="str">
        <f>A106&amp;"-"&amp;IF(DAY(Variables!$A$2)&lt;10,0,"")&amp;DAY(Variables!$A$2)</f>
        <v>-12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6" s="30" t="e">
        <f>VLOOKUP(B106,'Train Runs'!$A$13:$A$99953,1,FALSE)</f>
        <v>#N/A</v>
      </c>
    </row>
    <row r="107" spans="1:10" x14ac:dyDescent="0.25">
      <c r="A107" s="186"/>
      <c r="B107" s="43" t="str">
        <f>A107&amp;"-"&amp;IF(DAY(Variables!$A$2)&lt;10,0,"")&amp;DAY(Variables!$A$2)</f>
        <v>-12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7" s="30" t="e">
        <f>VLOOKUP(B107,'Train Runs'!$A$13:$A$99953,1,FALSE)</f>
        <v>#N/A</v>
      </c>
    </row>
    <row r="108" spans="1:10" x14ac:dyDescent="0.25">
      <c r="A108" s="186"/>
      <c r="B108" s="43" t="str">
        <f>A108&amp;"-"&amp;IF(DAY(Variables!$A$2)&lt;10,0,"")&amp;DAY(Variables!$A$2)</f>
        <v>-12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8" s="30" t="e">
        <f>VLOOKUP(B108,'Train Runs'!$A$13:$A$99953,1,FALSE)</f>
        <v>#N/A</v>
      </c>
    </row>
    <row r="109" spans="1:10" x14ac:dyDescent="0.25">
      <c r="A109" s="186"/>
      <c r="B109" s="43" t="str">
        <f>A109&amp;"-"&amp;IF(DAY(Variables!$A$2)&lt;10,0,"")&amp;DAY(Variables!$A$2)</f>
        <v>-12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9" s="30" t="e">
        <f>VLOOKUP(B109,'Train Runs'!$A$13:$A$99953,1,FALSE)</f>
        <v>#N/A</v>
      </c>
    </row>
    <row r="110" spans="1:10" x14ac:dyDescent="0.25">
      <c r="A110" s="186"/>
      <c r="B110" s="43" t="str">
        <f>A110&amp;"-"&amp;IF(DAY(Variables!$A$2)&lt;10,0,"")&amp;DAY(Variables!$A$2)</f>
        <v>-12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0" s="30" t="e">
        <f>VLOOKUP(B110,'Train Runs'!$A$13:$A$99953,1,FALSE)</f>
        <v>#N/A</v>
      </c>
    </row>
    <row r="111" spans="1:10" x14ac:dyDescent="0.25">
      <c r="A111" s="186"/>
      <c r="B111" s="43" t="str">
        <f>A111&amp;"-"&amp;IF(DAY(Variables!$A$2)&lt;10,0,"")&amp;DAY(Variables!$A$2)</f>
        <v>-12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1" s="30" t="e">
        <f>VLOOKUP(B111,'Train Runs'!$A$13:$A$99953,1,FALSE)</f>
        <v>#N/A</v>
      </c>
    </row>
    <row r="112" spans="1:10" x14ac:dyDescent="0.25">
      <c r="A112" s="186"/>
      <c r="B112" s="43" t="str">
        <f>A112&amp;"-"&amp;IF(DAY(Variables!$A$2)&lt;10,0,"")&amp;DAY(Variables!$A$2)</f>
        <v>-12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2" s="30" t="e">
        <f>VLOOKUP(B112,'Train Runs'!$A$13:$A$99953,1,FALSE)</f>
        <v>#N/A</v>
      </c>
    </row>
    <row r="113" spans="1:10" x14ac:dyDescent="0.25">
      <c r="A113" s="186"/>
      <c r="B113" s="43" t="str">
        <f>A113&amp;"-"&amp;IF(DAY(Variables!$A$2)&lt;10,0,"")&amp;DAY(Variables!$A$2)</f>
        <v>-12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3" s="30" t="e">
        <f>VLOOKUP(B113,'Train Runs'!$A$13:$A$99953,1,FALSE)</f>
        <v>#N/A</v>
      </c>
    </row>
    <row r="114" spans="1:10" x14ac:dyDescent="0.25">
      <c r="A114" s="186"/>
      <c r="B114" s="43" t="str">
        <f>A114&amp;"-"&amp;IF(DAY(Variables!$A$2)&lt;10,0,"")&amp;DAY(Variables!$A$2)</f>
        <v>-12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4" s="30" t="e">
        <f>VLOOKUP(B114,'Train Runs'!$A$13:$A$99953,1,FALSE)</f>
        <v>#N/A</v>
      </c>
    </row>
    <row r="115" spans="1:10" x14ac:dyDescent="0.25">
      <c r="A115" s="186"/>
      <c r="B115" s="43" t="str">
        <f>A115&amp;"-"&amp;IF(DAY(Variables!$A$2)&lt;10,0,"")&amp;DAY(Variables!$A$2)</f>
        <v>-12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ref="I115:I12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5" s="30" t="e">
        <f>VLOOKUP(B115,'Train Runs'!$A$13:$A$99953,1,FALSE)</f>
        <v>#N/A</v>
      </c>
    </row>
    <row r="116" spans="1:10" x14ac:dyDescent="0.25">
      <c r="A116" s="186"/>
      <c r="B116" s="43" t="str">
        <f>A116&amp;"-"&amp;IF(DAY(Variables!$A$2)&lt;10,0,"")&amp;DAY(Variables!$A$2)</f>
        <v>-12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6" s="30" t="e">
        <f>VLOOKUP(B116,'Train Runs'!$A$13:$A$99953,1,FALSE)</f>
        <v>#N/A</v>
      </c>
    </row>
    <row r="117" spans="1:10" x14ac:dyDescent="0.25">
      <c r="A117" s="186"/>
      <c r="B117" s="43" t="str">
        <f>A117&amp;"-"&amp;IF(DAY(Variables!$A$2)&lt;10,0,"")&amp;DAY(Variables!$A$2)</f>
        <v>-12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7" s="30" t="e">
        <f>VLOOKUP(B117,'Train Runs'!$A$13:$A$99953,1,FALSE)</f>
        <v>#N/A</v>
      </c>
    </row>
    <row r="118" spans="1:10" x14ac:dyDescent="0.25">
      <c r="A118" s="186"/>
      <c r="B118" s="43" t="str">
        <f>A118&amp;"-"&amp;IF(DAY(Variables!$A$2)&lt;10,0,"")&amp;DAY(Variables!$A$2)</f>
        <v>-12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8" s="30" t="e">
        <f>VLOOKUP(B118,'Train Runs'!$A$13:$A$99953,1,FALSE)</f>
        <v>#N/A</v>
      </c>
    </row>
    <row r="119" spans="1:10" x14ac:dyDescent="0.25">
      <c r="A119" s="186"/>
      <c r="B119" s="43" t="str">
        <f>A119&amp;"-"&amp;IF(DAY(Variables!$A$2)&lt;10,0,"")&amp;DAY(Variables!$A$2)</f>
        <v>-12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9" s="30" t="e">
        <f>VLOOKUP(B119,'Train Runs'!$A$13:$A$99953,1,FALSE)</f>
        <v>#N/A</v>
      </c>
    </row>
    <row r="120" spans="1:10" x14ac:dyDescent="0.25">
      <c r="A120" s="186"/>
      <c r="B120" s="43" t="str">
        <f>A120&amp;"-"&amp;IF(DAY(Variables!$A$2)&lt;10,0,"")&amp;DAY(Variables!$A$2)</f>
        <v>-12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0" s="30" t="e">
        <f>VLOOKUP(B120,'Train Runs'!$A$13:$A$99953,1,FALSE)</f>
        <v>#N/A</v>
      </c>
    </row>
    <row r="121" spans="1:10" x14ac:dyDescent="0.25">
      <c r="A121" s="186"/>
      <c r="B121" s="43" t="str">
        <f>A121&amp;"-"&amp;IF(DAY(Variables!$A$2)&lt;10,0,"")&amp;DAY(Variables!$A$2)</f>
        <v>-12</v>
      </c>
      <c r="C121" s="147"/>
      <c r="D121" s="165"/>
      <c r="E121" s="30"/>
      <c r="F121" s="21" t="e">
        <f>VLOOKUP(B121,'Trips&amp;Operators'!$C$2:$E$10000,3,FALSE)</f>
        <v>#N/A</v>
      </c>
      <c r="G121" s="21" t="e">
        <f>VLOOKUP(B121,'Trips&amp;Operators'!$C$1:$F$10000,4,FALSE)</f>
        <v>#N/A</v>
      </c>
      <c r="H121" s="29" t="e">
        <f>VLOOKUP(B121,'Trips&amp;Operators'!$C$1:$H$10000,5,FALSE)</f>
        <v>#N/A</v>
      </c>
      <c r="I12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1" s="30" t="e">
        <f>VLOOKUP(B121,'Train Runs'!$A$13:$A$99953,1,FALSE)</f>
        <v>#N/A</v>
      </c>
    </row>
  </sheetData>
  <autoFilter ref="A2:J121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0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203</v>
      </c>
      <c r="G1" s="8" t="s">
        <v>202</v>
      </c>
    </row>
    <row r="2" spans="1:7" x14ac:dyDescent="0.25">
      <c r="A2" s="8">
        <v>42778.124305555553</v>
      </c>
      <c r="B2" s="20" t="s">
        <v>425</v>
      </c>
      <c r="C2" s="20" t="s">
        <v>515</v>
      </c>
      <c r="D2" s="150">
        <v>2150000</v>
      </c>
      <c r="E2" s="20" t="s">
        <v>536</v>
      </c>
      <c r="F2" s="20" t="s">
        <v>537</v>
      </c>
      <c r="G2" s="8" t="str">
        <f>E2&amp;" "&amp;F2</f>
        <v>SWANSON BRYCE</v>
      </c>
    </row>
    <row r="3" spans="1:7" x14ac:dyDescent="0.25">
      <c r="A3" s="8">
        <v>42778.13386574074</v>
      </c>
      <c r="B3" s="20" t="s">
        <v>225</v>
      </c>
      <c r="C3" s="20" t="s">
        <v>538</v>
      </c>
      <c r="D3" s="150">
        <v>2150000</v>
      </c>
      <c r="E3" s="20" t="s">
        <v>536</v>
      </c>
      <c r="F3" s="20" t="s">
        <v>537</v>
      </c>
      <c r="G3" s="8" t="str">
        <f t="shared" ref="G3:G66" si="0">E3&amp;" "&amp;F3</f>
        <v>SWANSON BRYCE</v>
      </c>
    </row>
    <row r="4" spans="1:7" x14ac:dyDescent="0.25">
      <c r="A4" s="8">
        <v>42778.141238425924</v>
      </c>
      <c r="B4" s="20" t="s">
        <v>233</v>
      </c>
      <c r="C4" s="20" t="s">
        <v>539</v>
      </c>
      <c r="D4" s="150">
        <v>2010000</v>
      </c>
      <c r="E4" s="20" t="s">
        <v>540</v>
      </c>
      <c r="F4" s="20" t="s">
        <v>541</v>
      </c>
      <c r="G4" s="8" t="str">
        <f t="shared" si="0"/>
        <v>MAELZER KURT</v>
      </c>
    </row>
    <row r="5" spans="1:7" x14ac:dyDescent="0.25">
      <c r="A5" s="8">
        <v>42778.151666666665</v>
      </c>
      <c r="B5" s="20" t="s">
        <v>426</v>
      </c>
      <c r="C5" s="20" t="s">
        <v>542</v>
      </c>
      <c r="D5" s="150">
        <v>2010000</v>
      </c>
      <c r="E5" s="20" t="s">
        <v>540</v>
      </c>
      <c r="F5" s="20" t="s">
        <v>541</v>
      </c>
      <c r="G5" s="8" t="str">
        <f t="shared" si="0"/>
        <v>MAELZER KURT</v>
      </c>
    </row>
    <row r="6" spans="1:7" x14ac:dyDescent="0.25">
      <c r="A6" s="8">
        <v>42778.158715277779</v>
      </c>
      <c r="B6" s="20" t="s">
        <v>331</v>
      </c>
      <c r="C6" s="20" t="s">
        <v>543</v>
      </c>
      <c r="D6" s="150">
        <v>2550000</v>
      </c>
      <c r="E6" s="20" t="s">
        <v>428</v>
      </c>
      <c r="F6" s="20" t="s">
        <v>429</v>
      </c>
      <c r="G6" s="8" t="str">
        <f t="shared" si="0"/>
        <v>BADERTSCHER DIANE</v>
      </c>
    </row>
    <row r="7" spans="1:7" x14ac:dyDescent="0.25">
      <c r="A7" s="8">
        <v>42778.159756944442</v>
      </c>
      <c r="B7" s="20" t="s">
        <v>331</v>
      </c>
      <c r="C7" s="20" t="s">
        <v>543</v>
      </c>
      <c r="D7" s="150">
        <v>2550000</v>
      </c>
      <c r="E7" s="20" t="s">
        <v>428</v>
      </c>
      <c r="F7" s="20" t="s">
        <v>429</v>
      </c>
      <c r="G7" s="8" t="str">
        <f t="shared" si="0"/>
        <v>BADERTSCHER DIANE</v>
      </c>
    </row>
    <row r="8" spans="1:7" x14ac:dyDescent="0.25">
      <c r="A8" s="8">
        <v>42778.164236111108</v>
      </c>
      <c r="B8" s="20" t="s">
        <v>425</v>
      </c>
      <c r="C8" s="20" t="s">
        <v>544</v>
      </c>
      <c r="D8" s="150">
        <v>2150000</v>
      </c>
      <c r="E8" s="20" t="s">
        <v>536</v>
      </c>
      <c r="F8" s="20" t="s">
        <v>537</v>
      </c>
      <c r="G8" s="8" t="str">
        <f t="shared" si="0"/>
        <v>SWANSON BRYCE</v>
      </c>
    </row>
    <row r="9" spans="1:7" ht="15.75" thickBot="1" x14ac:dyDescent="0.3">
      <c r="A9" s="24">
        <v>42778.169675925928</v>
      </c>
      <c r="B9" s="20" t="s">
        <v>196</v>
      </c>
      <c r="C9" s="20" t="s">
        <v>545</v>
      </c>
      <c r="D9" s="150">
        <v>2550000</v>
      </c>
      <c r="E9" s="20" t="s">
        <v>428</v>
      </c>
      <c r="F9" s="20" t="s">
        <v>429</v>
      </c>
      <c r="G9" s="8" t="str">
        <f t="shared" si="0"/>
        <v>BADERTSCHER DIANE</v>
      </c>
    </row>
    <row r="10" spans="1:7" x14ac:dyDescent="0.25">
      <c r="A10" s="8">
        <v>42778.177731481483</v>
      </c>
      <c r="B10" s="20" t="s">
        <v>211</v>
      </c>
      <c r="C10" s="20" t="s">
        <v>546</v>
      </c>
      <c r="D10" s="150">
        <v>1990000</v>
      </c>
      <c r="E10" s="20" t="s">
        <v>547</v>
      </c>
      <c r="F10" s="20" t="s">
        <v>548</v>
      </c>
      <c r="G10" s="8" t="str">
        <f t="shared" si="0"/>
        <v>DAVIS WENDY</v>
      </c>
    </row>
    <row r="11" spans="1:7" x14ac:dyDescent="0.25">
      <c r="A11" s="8">
        <v>42778.178333333337</v>
      </c>
      <c r="B11" s="20" t="s">
        <v>211</v>
      </c>
      <c r="C11" s="20" t="s">
        <v>546</v>
      </c>
      <c r="D11" s="150">
        <v>1990000</v>
      </c>
      <c r="E11" s="20" t="s">
        <v>547</v>
      </c>
      <c r="F11" s="20" t="s">
        <v>548</v>
      </c>
      <c r="G11" s="8" t="str">
        <f t="shared" si="0"/>
        <v>DAVIS WENDY</v>
      </c>
    </row>
    <row r="12" spans="1:7" x14ac:dyDescent="0.25">
      <c r="A12" s="8">
        <v>42778.179201388892</v>
      </c>
      <c r="B12" s="20" t="s">
        <v>211</v>
      </c>
      <c r="C12" s="20" t="s">
        <v>546</v>
      </c>
      <c r="D12" s="150">
        <v>1990000</v>
      </c>
      <c r="E12" s="20" t="s">
        <v>547</v>
      </c>
      <c r="F12" s="20" t="s">
        <v>548</v>
      </c>
      <c r="G12" s="8" t="str">
        <f t="shared" si="0"/>
        <v>DAVIS WENDY</v>
      </c>
    </row>
    <row r="13" spans="1:7" x14ac:dyDescent="0.25">
      <c r="A13" s="8">
        <v>42778.182905092595</v>
      </c>
      <c r="B13" s="20" t="s">
        <v>330</v>
      </c>
      <c r="C13" s="20" t="s">
        <v>516</v>
      </c>
      <c r="D13" s="150">
        <v>2140000</v>
      </c>
      <c r="E13" s="20" t="s">
        <v>455</v>
      </c>
      <c r="F13" s="20" t="s">
        <v>456</v>
      </c>
      <c r="G13" s="8" t="str">
        <f t="shared" si="0"/>
        <v>ROBINSON KADDIBA</v>
      </c>
    </row>
    <row r="14" spans="1:7" x14ac:dyDescent="0.25">
      <c r="A14" s="8">
        <v>42778.187523148146</v>
      </c>
      <c r="B14" s="20" t="s">
        <v>234</v>
      </c>
      <c r="C14" s="20" t="s">
        <v>549</v>
      </c>
      <c r="D14" s="150">
        <v>1990000</v>
      </c>
      <c r="E14" s="20" t="s">
        <v>547</v>
      </c>
      <c r="F14" s="20" t="s">
        <v>548</v>
      </c>
      <c r="G14" s="8" t="str">
        <f t="shared" si="0"/>
        <v>DAVIS WENDY</v>
      </c>
    </row>
    <row r="15" spans="1:7" x14ac:dyDescent="0.25">
      <c r="A15" s="8">
        <v>42778.188113425924</v>
      </c>
      <c r="B15" s="20" t="s">
        <v>233</v>
      </c>
      <c r="C15" s="20" t="s">
        <v>550</v>
      </c>
      <c r="D15" s="150">
        <v>2010000</v>
      </c>
      <c r="E15" s="20" t="s">
        <v>540</v>
      </c>
      <c r="F15" s="20" t="s">
        <v>541</v>
      </c>
      <c r="G15" s="8" t="str">
        <f t="shared" si="0"/>
        <v>MAELZER KURT</v>
      </c>
    </row>
    <row r="16" spans="1:7" x14ac:dyDescent="0.25">
      <c r="A16" s="8">
        <v>42778.188449074078</v>
      </c>
      <c r="B16" s="20" t="s">
        <v>234</v>
      </c>
      <c r="C16" s="20" t="s">
        <v>549</v>
      </c>
      <c r="D16" s="150">
        <v>1990000</v>
      </c>
      <c r="E16" s="20" t="s">
        <v>547</v>
      </c>
      <c r="F16" s="20" t="s">
        <v>548</v>
      </c>
      <c r="G16" s="8" t="str">
        <f t="shared" si="0"/>
        <v>DAVIS WENDY</v>
      </c>
    </row>
    <row r="17" spans="1:7" x14ac:dyDescent="0.25">
      <c r="A17" s="8">
        <v>42778.197581018518</v>
      </c>
      <c r="B17" s="20" t="s">
        <v>326</v>
      </c>
      <c r="C17" s="20" t="s">
        <v>517</v>
      </c>
      <c r="D17" s="150">
        <v>2140000</v>
      </c>
      <c r="E17" s="20" t="s">
        <v>455</v>
      </c>
      <c r="F17" s="20" t="s">
        <v>456</v>
      </c>
      <c r="G17" s="8" t="str">
        <f t="shared" si="0"/>
        <v>ROBINSON KADDIBA</v>
      </c>
    </row>
    <row r="18" spans="1:7" x14ac:dyDescent="0.25">
      <c r="A18" s="8">
        <v>42778.206655092596</v>
      </c>
      <c r="B18" s="20" t="s">
        <v>225</v>
      </c>
      <c r="C18" s="20" t="s">
        <v>551</v>
      </c>
      <c r="D18" s="150">
        <v>1100000</v>
      </c>
      <c r="E18" s="20" t="s">
        <v>430</v>
      </c>
      <c r="F18" s="20" t="s">
        <v>431</v>
      </c>
      <c r="G18" s="8" t="str">
        <f t="shared" si="0"/>
        <v>GEBRETEKLE DAGNEW</v>
      </c>
    </row>
    <row r="19" spans="1:7" x14ac:dyDescent="0.25">
      <c r="A19" s="8">
        <v>42778.210393518515</v>
      </c>
      <c r="B19" s="20" t="s">
        <v>331</v>
      </c>
      <c r="C19" s="20" t="s">
        <v>552</v>
      </c>
      <c r="D19" s="150">
        <v>2550000</v>
      </c>
      <c r="E19" s="20" t="s">
        <v>428</v>
      </c>
      <c r="F19" s="20" t="s">
        <v>429</v>
      </c>
      <c r="G19" s="8" t="str">
        <f t="shared" si="0"/>
        <v>BADERTSCHER DIANE</v>
      </c>
    </row>
    <row r="20" spans="1:7" x14ac:dyDescent="0.25">
      <c r="A20" s="8">
        <v>42778.211284722223</v>
      </c>
      <c r="B20" s="20" t="s">
        <v>240</v>
      </c>
      <c r="C20" s="20" t="s">
        <v>553</v>
      </c>
      <c r="D20" s="150">
        <v>2040000</v>
      </c>
      <c r="E20" s="20" t="s">
        <v>338</v>
      </c>
      <c r="F20" s="20" t="s">
        <v>339</v>
      </c>
      <c r="G20" s="8" t="str">
        <f t="shared" si="0"/>
        <v>MOSES BRADLEY</v>
      </c>
    </row>
    <row r="21" spans="1:7" x14ac:dyDescent="0.25">
      <c r="A21" s="8">
        <v>42778.223692129628</v>
      </c>
      <c r="B21" s="20" t="s">
        <v>211</v>
      </c>
      <c r="C21" s="20" t="s">
        <v>554</v>
      </c>
      <c r="D21" s="150">
        <v>1990000</v>
      </c>
      <c r="E21" s="20" t="s">
        <v>547</v>
      </c>
      <c r="F21" s="20" t="s">
        <v>548</v>
      </c>
      <c r="G21" s="8" t="str">
        <f t="shared" si="0"/>
        <v>DAVIS WENDY</v>
      </c>
    </row>
    <row r="22" spans="1:7" x14ac:dyDescent="0.25">
      <c r="A22" s="26">
        <v>42778.225057870368</v>
      </c>
      <c r="B22" s="20" t="s">
        <v>229</v>
      </c>
      <c r="C22" s="20" t="s">
        <v>555</v>
      </c>
      <c r="D22" s="150">
        <v>1830000</v>
      </c>
      <c r="E22" s="20" t="s">
        <v>459</v>
      </c>
      <c r="F22" s="20" t="s">
        <v>460</v>
      </c>
      <c r="G22" s="8" t="str">
        <f t="shared" si="0"/>
        <v>YORK EDGAR</v>
      </c>
    </row>
    <row r="23" spans="1:7" x14ac:dyDescent="0.25">
      <c r="A23" s="8">
        <v>42778.229583333334</v>
      </c>
      <c r="B23" s="20" t="s">
        <v>426</v>
      </c>
      <c r="C23" s="20" t="s">
        <v>556</v>
      </c>
      <c r="D23" s="150">
        <v>2020000</v>
      </c>
      <c r="E23" s="20" t="s">
        <v>457</v>
      </c>
      <c r="F23" s="20" t="s">
        <v>458</v>
      </c>
      <c r="G23" s="8" t="str">
        <f t="shared" si="0"/>
        <v>SHOOK JOHN</v>
      </c>
    </row>
    <row r="24" spans="1:7" x14ac:dyDescent="0.25">
      <c r="A24" s="8">
        <v>42778.230532407404</v>
      </c>
      <c r="B24" s="20" t="s">
        <v>298</v>
      </c>
      <c r="C24" s="20" t="s">
        <v>557</v>
      </c>
      <c r="D24" s="150">
        <v>2010000</v>
      </c>
      <c r="E24" s="20" t="s">
        <v>540</v>
      </c>
      <c r="F24" s="20" t="s">
        <v>541</v>
      </c>
      <c r="G24" s="8" t="str">
        <f t="shared" si="0"/>
        <v>MAELZER KURT</v>
      </c>
    </row>
    <row r="25" spans="1:7" x14ac:dyDescent="0.25">
      <c r="A25" s="8">
        <v>42778.232349537036</v>
      </c>
      <c r="B25" s="20" t="s">
        <v>330</v>
      </c>
      <c r="C25" s="20" t="s">
        <v>558</v>
      </c>
      <c r="D25" s="150">
        <v>2140000</v>
      </c>
      <c r="E25" s="20" t="s">
        <v>455</v>
      </c>
      <c r="F25" s="20" t="s">
        <v>456</v>
      </c>
      <c r="G25" s="8" t="str">
        <f t="shared" si="0"/>
        <v>ROBINSON KADDIBA</v>
      </c>
    </row>
    <row r="26" spans="1:7" x14ac:dyDescent="0.25">
      <c r="A26" s="8">
        <v>42778.233240740738</v>
      </c>
      <c r="B26" s="20" t="s">
        <v>228</v>
      </c>
      <c r="C26" s="20" t="s">
        <v>559</v>
      </c>
      <c r="D26" s="150">
        <v>1830000</v>
      </c>
      <c r="E26" s="20" t="s">
        <v>459</v>
      </c>
      <c r="F26" s="20" t="s">
        <v>460</v>
      </c>
      <c r="G26" s="8" t="str">
        <f t="shared" si="0"/>
        <v>YORK EDGAR</v>
      </c>
    </row>
    <row r="27" spans="1:7" x14ac:dyDescent="0.25">
      <c r="A27" s="8">
        <v>42778.242962962962</v>
      </c>
      <c r="B27" s="20" t="s">
        <v>226</v>
      </c>
      <c r="C27" s="20" t="s">
        <v>560</v>
      </c>
      <c r="D27" s="150">
        <v>1100000</v>
      </c>
      <c r="E27" s="20" t="s">
        <v>430</v>
      </c>
      <c r="F27" s="20" t="s">
        <v>431</v>
      </c>
      <c r="G27" s="8" t="str">
        <f t="shared" si="0"/>
        <v>GEBRETEKLE DAGNEW</v>
      </c>
    </row>
    <row r="28" spans="1:7" x14ac:dyDescent="0.25">
      <c r="A28" s="8">
        <v>42778.247476851851</v>
      </c>
      <c r="B28" s="20" t="s">
        <v>229</v>
      </c>
      <c r="C28" s="20" t="s">
        <v>561</v>
      </c>
      <c r="D28" s="150">
        <v>1830000</v>
      </c>
      <c r="E28" s="20" t="s">
        <v>459</v>
      </c>
      <c r="F28" s="20" t="s">
        <v>460</v>
      </c>
      <c r="G28" s="8" t="str">
        <f t="shared" si="0"/>
        <v>YORK EDGAR</v>
      </c>
    </row>
    <row r="29" spans="1:7" x14ac:dyDescent="0.25">
      <c r="A29" s="8">
        <v>42778.248645833337</v>
      </c>
      <c r="B29" s="20" t="s">
        <v>196</v>
      </c>
      <c r="C29" s="20" t="s">
        <v>562</v>
      </c>
      <c r="D29" s="150">
        <v>2550000</v>
      </c>
      <c r="E29" s="20" t="s">
        <v>428</v>
      </c>
      <c r="F29" s="20" t="s">
        <v>429</v>
      </c>
      <c r="G29" s="8" t="str">
        <f t="shared" si="0"/>
        <v>BADERTSCHER DIANE</v>
      </c>
    </row>
    <row r="30" spans="1:7" x14ac:dyDescent="0.25">
      <c r="A30" s="8">
        <v>42778.251203703701</v>
      </c>
      <c r="B30" s="20" t="s">
        <v>348</v>
      </c>
      <c r="C30" s="20" t="s">
        <v>563</v>
      </c>
      <c r="D30" s="150">
        <v>2260000</v>
      </c>
      <c r="E30" s="20" t="s">
        <v>564</v>
      </c>
      <c r="F30" s="20" t="s">
        <v>565</v>
      </c>
      <c r="G30" s="8" t="str">
        <f t="shared" si="0"/>
        <v>ARVIDSON DANIEL</v>
      </c>
    </row>
    <row r="31" spans="1:7" x14ac:dyDescent="0.25">
      <c r="A31" s="8">
        <v>42778.25545138889</v>
      </c>
      <c r="B31" s="20" t="s">
        <v>425</v>
      </c>
      <c r="C31" s="20" t="s">
        <v>518</v>
      </c>
      <c r="D31" s="150">
        <v>2040000</v>
      </c>
      <c r="E31" s="20" t="s">
        <v>338</v>
      </c>
      <c r="F31" s="20" t="s">
        <v>339</v>
      </c>
      <c r="G31" s="8" t="str">
        <f t="shared" si="0"/>
        <v>MOSES BRADLEY</v>
      </c>
    </row>
    <row r="32" spans="1:7" x14ac:dyDescent="0.25">
      <c r="A32" s="8">
        <v>42778.258553240739</v>
      </c>
      <c r="B32" s="20" t="s">
        <v>348</v>
      </c>
      <c r="C32" s="20" t="s">
        <v>563</v>
      </c>
      <c r="D32" s="150">
        <v>2260000</v>
      </c>
      <c r="E32" s="20" t="s">
        <v>564</v>
      </c>
      <c r="F32" s="20" t="s">
        <v>565</v>
      </c>
      <c r="G32" s="8" t="str">
        <f t="shared" si="0"/>
        <v>ARVIDSON DANIEL</v>
      </c>
    </row>
    <row r="33" spans="1:7" x14ac:dyDescent="0.25">
      <c r="A33" s="8">
        <v>42778.259756944448</v>
      </c>
      <c r="B33" s="20" t="s">
        <v>234</v>
      </c>
      <c r="C33" s="20" t="s">
        <v>566</v>
      </c>
      <c r="D33" s="150">
        <v>1990000</v>
      </c>
      <c r="E33" s="20" t="s">
        <v>547</v>
      </c>
      <c r="F33" s="20" t="s">
        <v>548</v>
      </c>
      <c r="G33" s="8" t="str">
        <f t="shared" si="0"/>
        <v>DAVIS WENDY</v>
      </c>
    </row>
    <row r="34" spans="1:7" x14ac:dyDescent="0.25">
      <c r="A34" s="8">
        <v>42778.259953703702</v>
      </c>
      <c r="B34" s="20" t="s">
        <v>427</v>
      </c>
      <c r="C34" s="20" t="s">
        <v>567</v>
      </c>
      <c r="D34" s="150">
        <v>2020000</v>
      </c>
      <c r="E34" s="20" t="s">
        <v>457</v>
      </c>
      <c r="F34" s="20" t="s">
        <v>458</v>
      </c>
      <c r="G34" s="8" t="str">
        <f t="shared" si="0"/>
        <v>SHOOK JOHN</v>
      </c>
    </row>
    <row r="35" spans="1:7" x14ac:dyDescent="0.25">
      <c r="A35" s="8">
        <v>42778.268807870372</v>
      </c>
      <c r="B35" s="20" t="s">
        <v>326</v>
      </c>
      <c r="C35" s="20" t="s">
        <v>568</v>
      </c>
      <c r="D35" s="150">
        <v>2140000</v>
      </c>
      <c r="E35" s="20" t="s">
        <v>455</v>
      </c>
      <c r="F35" s="20" t="s">
        <v>456</v>
      </c>
      <c r="G35" s="8" t="str">
        <f t="shared" si="0"/>
        <v>ROBINSON KADDIBA</v>
      </c>
    </row>
    <row r="36" spans="1:7" x14ac:dyDescent="0.25">
      <c r="A36" s="8">
        <v>42778.271828703706</v>
      </c>
      <c r="B36" s="20" t="s">
        <v>233</v>
      </c>
      <c r="C36" s="20" t="s">
        <v>569</v>
      </c>
      <c r="D36" s="150">
        <v>2010000</v>
      </c>
      <c r="E36" s="20" t="s">
        <v>540</v>
      </c>
      <c r="F36" s="20" t="s">
        <v>541</v>
      </c>
      <c r="G36" s="8" t="str">
        <f t="shared" si="0"/>
        <v>MAELZER KURT</v>
      </c>
    </row>
    <row r="37" spans="1:7" x14ac:dyDescent="0.25">
      <c r="A37" s="8">
        <v>42778.276412037034</v>
      </c>
      <c r="B37" s="20" t="s">
        <v>228</v>
      </c>
      <c r="C37" s="20" t="s">
        <v>570</v>
      </c>
      <c r="D37" s="150">
        <v>1830000</v>
      </c>
      <c r="E37" s="20" t="s">
        <v>459</v>
      </c>
      <c r="F37" s="20" t="s">
        <v>460</v>
      </c>
      <c r="G37" s="8" t="str">
        <f t="shared" si="0"/>
        <v>YORK EDGAR</v>
      </c>
    </row>
    <row r="38" spans="1:7" x14ac:dyDescent="0.25">
      <c r="A38" s="8">
        <v>42778.278738425928</v>
      </c>
      <c r="B38" s="20" t="s">
        <v>225</v>
      </c>
      <c r="C38" s="20" t="s">
        <v>571</v>
      </c>
      <c r="D38" s="150">
        <v>1100000</v>
      </c>
      <c r="E38" s="20" t="s">
        <v>430</v>
      </c>
      <c r="F38" s="20" t="s">
        <v>431</v>
      </c>
      <c r="G38" s="8" t="str">
        <f t="shared" si="0"/>
        <v>GEBRETEKLE DAGNEW</v>
      </c>
    </row>
    <row r="39" spans="1:7" x14ac:dyDescent="0.25">
      <c r="A39" s="8">
        <v>42778.279270833336</v>
      </c>
      <c r="B39" s="20" t="s">
        <v>329</v>
      </c>
      <c r="C39" s="20" t="s">
        <v>572</v>
      </c>
      <c r="D39" s="150">
        <v>2550000</v>
      </c>
      <c r="E39" s="20" t="s">
        <v>428</v>
      </c>
      <c r="F39" s="20" t="s">
        <v>429</v>
      </c>
      <c r="G39" s="8" t="str">
        <f t="shared" si="0"/>
        <v>BADERTSCHER DIANE</v>
      </c>
    </row>
    <row r="40" spans="1:7" x14ac:dyDescent="0.25">
      <c r="A40" s="8">
        <v>42778.288807870369</v>
      </c>
      <c r="B40" s="25" t="s">
        <v>240</v>
      </c>
      <c r="C40" s="20" t="s">
        <v>573</v>
      </c>
      <c r="D40" s="150">
        <v>2040000</v>
      </c>
      <c r="E40" s="20" t="s">
        <v>338</v>
      </c>
      <c r="F40" s="20" t="s">
        <v>339</v>
      </c>
      <c r="G40" s="8" t="str">
        <f t="shared" si="0"/>
        <v>MOSES BRADLEY</v>
      </c>
    </row>
    <row r="41" spans="1:7" x14ac:dyDescent="0.25">
      <c r="A41" s="8">
        <v>42778.289074074077</v>
      </c>
      <c r="B41" s="20" t="s">
        <v>229</v>
      </c>
      <c r="C41" s="20" t="s">
        <v>574</v>
      </c>
      <c r="D41" s="150">
        <v>1830000</v>
      </c>
      <c r="E41" s="20" t="s">
        <v>459</v>
      </c>
      <c r="F41" s="20" t="s">
        <v>460</v>
      </c>
      <c r="G41" s="8" t="str">
        <f t="shared" si="0"/>
        <v>YORK EDGAR</v>
      </c>
    </row>
    <row r="42" spans="1:7" x14ac:dyDescent="0.25">
      <c r="A42" s="8">
        <v>42778.296666666669</v>
      </c>
      <c r="B42" s="20" t="s">
        <v>211</v>
      </c>
      <c r="C42" s="20" t="s">
        <v>575</v>
      </c>
      <c r="D42" s="150">
        <v>1990000</v>
      </c>
      <c r="E42" s="20" t="s">
        <v>547</v>
      </c>
      <c r="F42" s="20" t="s">
        <v>548</v>
      </c>
      <c r="G42" s="8" t="str">
        <f t="shared" si="0"/>
        <v>DAVIS WENDY</v>
      </c>
    </row>
    <row r="43" spans="1:7" x14ac:dyDescent="0.25">
      <c r="A43" s="8">
        <v>42778.298935185187</v>
      </c>
      <c r="B43" s="20" t="s">
        <v>426</v>
      </c>
      <c r="C43" s="20" t="s">
        <v>576</v>
      </c>
      <c r="D43" s="150">
        <v>2020000</v>
      </c>
      <c r="E43" s="20" t="s">
        <v>457</v>
      </c>
      <c r="F43" s="20" t="s">
        <v>458</v>
      </c>
      <c r="G43" s="8" t="str">
        <f t="shared" si="0"/>
        <v>SHOOK JOHN</v>
      </c>
    </row>
    <row r="44" spans="1:7" x14ac:dyDescent="0.25">
      <c r="A44" s="8">
        <v>42778.302685185183</v>
      </c>
      <c r="B44" s="20" t="s">
        <v>330</v>
      </c>
      <c r="C44" s="20" t="s">
        <v>577</v>
      </c>
      <c r="D44" s="150">
        <v>2140000</v>
      </c>
      <c r="E44" s="20" t="s">
        <v>455</v>
      </c>
      <c r="F44" s="20" t="s">
        <v>456</v>
      </c>
      <c r="G44" s="8" t="str">
        <f t="shared" si="0"/>
        <v>ROBINSON KADDIBA</v>
      </c>
    </row>
    <row r="45" spans="1:7" x14ac:dyDescent="0.25">
      <c r="A45" s="8">
        <v>42778.307824074072</v>
      </c>
      <c r="B45" s="20" t="s">
        <v>298</v>
      </c>
      <c r="C45" s="20" t="s">
        <v>519</v>
      </c>
      <c r="D45" s="150">
        <v>2010000</v>
      </c>
      <c r="E45" s="20" t="s">
        <v>540</v>
      </c>
      <c r="F45" s="20" t="s">
        <v>541</v>
      </c>
      <c r="G45" s="8" t="str">
        <f t="shared" si="0"/>
        <v>MAELZER KURT</v>
      </c>
    </row>
    <row r="46" spans="1:7" x14ac:dyDescent="0.25">
      <c r="A46" s="8">
        <v>42778.317858796298</v>
      </c>
      <c r="B46" s="20" t="s">
        <v>226</v>
      </c>
      <c r="C46" s="20" t="s">
        <v>578</v>
      </c>
      <c r="D46" s="150">
        <v>1100000</v>
      </c>
      <c r="E46" s="20" t="s">
        <v>430</v>
      </c>
      <c r="F46" s="20" t="s">
        <v>431</v>
      </c>
      <c r="G46" s="8" t="str">
        <f t="shared" si="0"/>
        <v>GEBRETEKLE DAGNEW</v>
      </c>
    </row>
    <row r="47" spans="1:7" x14ac:dyDescent="0.25">
      <c r="A47" s="8">
        <v>42778.318483796298</v>
      </c>
      <c r="B47" s="20" t="s">
        <v>228</v>
      </c>
      <c r="C47" s="20" t="s">
        <v>579</v>
      </c>
      <c r="D47" s="150">
        <v>1830000</v>
      </c>
      <c r="E47" s="20" t="s">
        <v>459</v>
      </c>
      <c r="F47" s="20" t="s">
        <v>460</v>
      </c>
      <c r="G47" s="8" t="str">
        <f t="shared" si="0"/>
        <v>YORK EDGAR</v>
      </c>
    </row>
    <row r="48" spans="1:7" x14ac:dyDescent="0.25">
      <c r="A48" s="8">
        <v>42778.319525462961</v>
      </c>
      <c r="B48" s="20" t="s">
        <v>196</v>
      </c>
      <c r="C48" s="20" t="s">
        <v>580</v>
      </c>
      <c r="D48" s="150">
        <v>2550000</v>
      </c>
      <c r="E48" s="20" t="s">
        <v>428</v>
      </c>
      <c r="F48" s="20" t="s">
        <v>429</v>
      </c>
      <c r="G48" s="8" t="str">
        <f t="shared" si="0"/>
        <v>BADERTSCHER DIANE</v>
      </c>
    </row>
    <row r="49" spans="1:7" x14ac:dyDescent="0.25">
      <c r="A49" s="8">
        <v>42778.328229166669</v>
      </c>
      <c r="B49" s="20" t="s">
        <v>425</v>
      </c>
      <c r="C49" s="20" t="s">
        <v>520</v>
      </c>
      <c r="D49" s="150">
        <v>2040000</v>
      </c>
      <c r="E49" s="20" t="s">
        <v>338</v>
      </c>
      <c r="F49" s="20" t="s">
        <v>339</v>
      </c>
      <c r="G49" s="8" t="str">
        <f t="shared" si="0"/>
        <v>MOSES BRADLEY</v>
      </c>
    </row>
    <row r="50" spans="1:7" x14ac:dyDescent="0.25">
      <c r="A50" s="8">
        <v>42778.330034722225</v>
      </c>
      <c r="B50" s="20" t="s">
        <v>234</v>
      </c>
      <c r="C50" s="20" t="s">
        <v>581</v>
      </c>
      <c r="D50" s="150">
        <v>1990000</v>
      </c>
      <c r="E50" s="20" t="s">
        <v>547</v>
      </c>
      <c r="F50" s="20" t="s">
        <v>548</v>
      </c>
      <c r="G50" s="8" t="str">
        <f t="shared" si="0"/>
        <v>DAVIS WENDY</v>
      </c>
    </row>
    <row r="51" spans="1:7" x14ac:dyDescent="0.25">
      <c r="A51" s="8">
        <v>42778.330416666664</v>
      </c>
      <c r="B51" s="20" t="s">
        <v>229</v>
      </c>
      <c r="C51" s="20" t="s">
        <v>582</v>
      </c>
      <c r="D51" s="150">
        <v>1830000</v>
      </c>
      <c r="E51" s="20" t="s">
        <v>459</v>
      </c>
      <c r="F51" s="20" t="s">
        <v>460</v>
      </c>
      <c r="G51" s="8" t="str">
        <f t="shared" si="0"/>
        <v>YORK EDGAR</v>
      </c>
    </row>
    <row r="52" spans="1:7" x14ac:dyDescent="0.25">
      <c r="A52" s="8">
        <v>42778.331990740742</v>
      </c>
      <c r="B52" s="20" t="s">
        <v>427</v>
      </c>
      <c r="C52" s="20" t="s">
        <v>583</v>
      </c>
      <c r="D52" s="150">
        <v>2020000</v>
      </c>
      <c r="E52" s="20" t="s">
        <v>457</v>
      </c>
      <c r="F52" s="20" t="s">
        <v>458</v>
      </c>
      <c r="G52" s="8" t="str">
        <f t="shared" si="0"/>
        <v>SHOOK JOHN</v>
      </c>
    </row>
    <row r="53" spans="1:7" x14ac:dyDescent="0.25">
      <c r="A53" s="8">
        <v>42778.33965277778</v>
      </c>
      <c r="B53" s="20" t="s">
        <v>326</v>
      </c>
      <c r="C53" s="20" t="s">
        <v>584</v>
      </c>
      <c r="D53" s="150">
        <v>2140000</v>
      </c>
      <c r="E53" s="20" t="s">
        <v>455</v>
      </c>
      <c r="F53" s="20" t="s">
        <v>456</v>
      </c>
      <c r="G53" s="8" t="str">
        <f t="shared" si="0"/>
        <v>ROBINSON KADDIBA</v>
      </c>
    </row>
    <row r="54" spans="1:7" x14ac:dyDescent="0.25">
      <c r="A54" s="8">
        <v>42778.350381944445</v>
      </c>
      <c r="B54" s="20" t="s">
        <v>302</v>
      </c>
      <c r="C54" s="20" t="s">
        <v>585</v>
      </c>
      <c r="D54" s="150">
        <v>1100000</v>
      </c>
      <c r="E54" s="20" t="s">
        <v>430</v>
      </c>
      <c r="F54" s="20" t="s">
        <v>431</v>
      </c>
      <c r="G54" s="8" t="str">
        <f t="shared" si="0"/>
        <v>GEBRETEKLE DAGNEW</v>
      </c>
    </row>
    <row r="55" spans="1:7" x14ac:dyDescent="0.25">
      <c r="A55" s="8">
        <v>42778.350729166668</v>
      </c>
      <c r="B55" s="20" t="s">
        <v>233</v>
      </c>
      <c r="C55" s="20" t="s">
        <v>586</v>
      </c>
      <c r="D55" s="150">
        <v>2010000</v>
      </c>
      <c r="E55" s="20" t="s">
        <v>540</v>
      </c>
      <c r="F55" s="20" t="s">
        <v>541</v>
      </c>
      <c r="G55" s="8" t="str">
        <f t="shared" si="0"/>
        <v>MAELZER KURT</v>
      </c>
    </row>
    <row r="56" spans="1:7" x14ac:dyDescent="0.25">
      <c r="A56" s="8">
        <v>42778.35765046296</v>
      </c>
      <c r="B56" s="20" t="s">
        <v>329</v>
      </c>
      <c r="C56" s="20" t="s">
        <v>587</v>
      </c>
      <c r="D56" s="150">
        <v>2550000</v>
      </c>
      <c r="E56" s="20" t="s">
        <v>428</v>
      </c>
      <c r="F56" s="20" t="s">
        <v>429</v>
      </c>
      <c r="G56" s="8" t="str">
        <f t="shared" si="0"/>
        <v>BADERTSCHER DIANE</v>
      </c>
    </row>
    <row r="57" spans="1:7" x14ac:dyDescent="0.25">
      <c r="A57" s="8">
        <v>42778.35837962963</v>
      </c>
      <c r="B57" s="20" t="s">
        <v>228</v>
      </c>
      <c r="C57" s="20" t="s">
        <v>588</v>
      </c>
      <c r="D57" s="150">
        <v>1830000</v>
      </c>
      <c r="E57" s="20" t="s">
        <v>459</v>
      </c>
      <c r="F57" s="20" t="s">
        <v>460</v>
      </c>
      <c r="G57" s="8" t="str">
        <f t="shared" si="0"/>
        <v>YORK EDGAR</v>
      </c>
    </row>
    <row r="58" spans="1:7" x14ac:dyDescent="0.25">
      <c r="A58" s="8">
        <v>42778.362407407411</v>
      </c>
      <c r="B58" s="20" t="s">
        <v>240</v>
      </c>
      <c r="C58" s="20" t="s">
        <v>589</v>
      </c>
      <c r="D58" s="150">
        <v>2040000</v>
      </c>
      <c r="E58" s="20" t="s">
        <v>338</v>
      </c>
      <c r="F58" s="20" t="s">
        <v>339</v>
      </c>
      <c r="G58" s="8" t="str">
        <f t="shared" si="0"/>
        <v>MOSES BRADLEY</v>
      </c>
    </row>
    <row r="59" spans="1:7" x14ac:dyDescent="0.25">
      <c r="A59" s="8">
        <v>42778.371099537035</v>
      </c>
      <c r="B59" s="20" t="s">
        <v>426</v>
      </c>
      <c r="C59" s="20" t="s">
        <v>590</v>
      </c>
      <c r="D59" s="150">
        <v>2020000</v>
      </c>
      <c r="E59" s="20" t="s">
        <v>457</v>
      </c>
      <c r="F59" s="20" t="s">
        <v>458</v>
      </c>
      <c r="G59" s="8" t="str">
        <f t="shared" si="0"/>
        <v>SHOOK JOHN</v>
      </c>
    </row>
    <row r="60" spans="1:7" x14ac:dyDescent="0.25">
      <c r="A60" s="8">
        <v>42778.371493055558</v>
      </c>
      <c r="B60" s="20" t="s">
        <v>211</v>
      </c>
      <c r="C60" s="20" t="s">
        <v>591</v>
      </c>
      <c r="D60" s="150">
        <v>1990000</v>
      </c>
      <c r="E60" s="20" t="s">
        <v>547</v>
      </c>
      <c r="F60" s="20" t="s">
        <v>548</v>
      </c>
      <c r="G60" s="8" t="str">
        <f t="shared" si="0"/>
        <v>DAVIS WENDY</v>
      </c>
    </row>
    <row r="61" spans="1:7" x14ac:dyDescent="0.25">
      <c r="A61" s="8">
        <v>42778.372465277775</v>
      </c>
      <c r="B61" s="20" t="s">
        <v>229</v>
      </c>
      <c r="C61" s="20" t="s">
        <v>592</v>
      </c>
      <c r="D61" s="150">
        <v>1830000</v>
      </c>
      <c r="E61" s="20" t="s">
        <v>459</v>
      </c>
      <c r="F61" s="20" t="s">
        <v>460</v>
      </c>
      <c r="G61" s="8" t="str">
        <f t="shared" si="0"/>
        <v>YORK EDGAR</v>
      </c>
    </row>
    <row r="62" spans="1:7" x14ac:dyDescent="0.25">
      <c r="A62" s="8">
        <v>42778.380219907405</v>
      </c>
      <c r="B62" s="20" t="s">
        <v>298</v>
      </c>
      <c r="C62" s="20" t="s">
        <v>593</v>
      </c>
      <c r="D62" s="150">
        <v>2010000</v>
      </c>
      <c r="E62" s="20" t="s">
        <v>540</v>
      </c>
      <c r="F62" s="20" t="s">
        <v>541</v>
      </c>
      <c r="G62" s="8" t="str">
        <f t="shared" si="0"/>
        <v>MAELZER KURT</v>
      </c>
    </row>
    <row r="63" spans="1:7" x14ac:dyDescent="0.25">
      <c r="A63" s="8">
        <v>42778.380567129629</v>
      </c>
      <c r="B63" s="20" t="s">
        <v>330</v>
      </c>
      <c r="C63" s="20" t="s">
        <v>594</v>
      </c>
      <c r="D63" s="150">
        <v>2140000</v>
      </c>
      <c r="E63" s="20" t="s">
        <v>455</v>
      </c>
      <c r="F63" s="20" t="s">
        <v>456</v>
      </c>
      <c r="G63" s="8" t="str">
        <f t="shared" si="0"/>
        <v>ROBINSON KADDIBA</v>
      </c>
    </row>
    <row r="64" spans="1:7" x14ac:dyDescent="0.25">
      <c r="A64" s="26">
        <v>42778.387361111112</v>
      </c>
      <c r="B64" s="20" t="s">
        <v>432</v>
      </c>
      <c r="C64" s="20" t="s">
        <v>595</v>
      </c>
      <c r="D64" s="150">
        <v>1100000</v>
      </c>
      <c r="E64" s="20" t="s">
        <v>430</v>
      </c>
      <c r="F64" s="20" t="s">
        <v>431</v>
      </c>
      <c r="G64" s="8" t="str">
        <f t="shared" si="0"/>
        <v>GEBRETEKLE DAGNEW</v>
      </c>
    </row>
    <row r="65" spans="1:7" x14ac:dyDescent="0.25">
      <c r="A65" s="8">
        <v>42778.391076388885</v>
      </c>
      <c r="B65" s="20" t="s">
        <v>196</v>
      </c>
      <c r="C65" s="20" t="s">
        <v>596</v>
      </c>
      <c r="D65" s="150">
        <v>2550000</v>
      </c>
      <c r="E65" s="20" t="s">
        <v>428</v>
      </c>
      <c r="F65" s="20" t="s">
        <v>429</v>
      </c>
      <c r="G65" s="8" t="str">
        <f t="shared" si="0"/>
        <v>BADERTSCHER DIANE</v>
      </c>
    </row>
    <row r="66" spans="1:7" x14ac:dyDescent="0.25">
      <c r="A66" s="8">
        <v>42778.399918981479</v>
      </c>
      <c r="B66" s="20" t="s">
        <v>228</v>
      </c>
      <c r="C66" s="20" t="s">
        <v>597</v>
      </c>
      <c r="D66" s="150">
        <v>1830000</v>
      </c>
      <c r="E66" s="20" t="s">
        <v>459</v>
      </c>
      <c r="F66" s="20" t="s">
        <v>460</v>
      </c>
      <c r="G66" s="8" t="str">
        <f t="shared" si="0"/>
        <v>YORK EDGAR</v>
      </c>
    </row>
    <row r="67" spans="1:7" x14ac:dyDescent="0.25">
      <c r="A67" s="8">
        <v>42778.400034722225</v>
      </c>
      <c r="B67" s="20" t="s">
        <v>425</v>
      </c>
      <c r="C67" s="20" t="s">
        <v>521</v>
      </c>
      <c r="D67" s="150">
        <v>2040000</v>
      </c>
      <c r="E67" s="20" t="s">
        <v>338</v>
      </c>
      <c r="F67" s="20" t="s">
        <v>339</v>
      </c>
      <c r="G67" s="8" t="str">
        <f t="shared" ref="G67:G130" si="1">E67&amp;" "&amp;F67</f>
        <v>MOSES BRADLEY</v>
      </c>
    </row>
    <row r="68" spans="1:7" x14ac:dyDescent="0.25">
      <c r="A68" s="8">
        <v>42778.402743055558</v>
      </c>
      <c r="B68" s="20" t="s">
        <v>234</v>
      </c>
      <c r="C68" s="20" t="s">
        <v>598</v>
      </c>
      <c r="D68" s="150">
        <v>1990000</v>
      </c>
      <c r="E68" s="20" t="s">
        <v>547</v>
      </c>
      <c r="F68" s="20" t="s">
        <v>548</v>
      </c>
      <c r="G68" s="8" t="str">
        <f t="shared" si="1"/>
        <v>DAVIS WENDY</v>
      </c>
    </row>
    <row r="69" spans="1:7" x14ac:dyDescent="0.25">
      <c r="A69" s="8">
        <v>42778.402789351851</v>
      </c>
      <c r="B69" s="20" t="s">
        <v>427</v>
      </c>
      <c r="C69" s="20" t="s">
        <v>599</v>
      </c>
      <c r="D69" s="150">
        <v>2020000</v>
      </c>
      <c r="E69" s="20" t="s">
        <v>457</v>
      </c>
      <c r="F69" s="20" t="s">
        <v>458</v>
      </c>
      <c r="G69" s="8" t="str">
        <f t="shared" si="1"/>
        <v>SHOOK JOHN</v>
      </c>
    </row>
    <row r="70" spans="1:7" x14ac:dyDescent="0.25">
      <c r="A70" s="8">
        <v>42778.412604166668</v>
      </c>
      <c r="B70" s="20" t="s">
        <v>326</v>
      </c>
      <c r="C70" s="20" t="s">
        <v>600</v>
      </c>
      <c r="D70" s="150">
        <v>2140000</v>
      </c>
      <c r="E70" s="20" t="s">
        <v>455</v>
      </c>
      <c r="F70" s="20" t="s">
        <v>456</v>
      </c>
      <c r="G70" s="8" t="str">
        <f t="shared" si="1"/>
        <v>ROBINSON KADDIBA</v>
      </c>
    </row>
    <row r="71" spans="1:7" x14ac:dyDescent="0.25">
      <c r="A71" s="8">
        <v>42778.41542824074</v>
      </c>
      <c r="B71" s="20" t="s">
        <v>229</v>
      </c>
      <c r="C71" s="20" t="s">
        <v>601</v>
      </c>
      <c r="D71" s="150">
        <v>1830000</v>
      </c>
      <c r="E71" s="20" t="s">
        <v>459</v>
      </c>
      <c r="F71" s="20" t="s">
        <v>460</v>
      </c>
      <c r="G71" s="8" t="str">
        <f t="shared" si="1"/>
        <v>YORK EDGAR</v>
      </c>
    </row>
    <row r="72" spans="1:7" x14ac:dyDescent="0.25">
      <c r="A72" s="8">
        <v>42778.421122685184</v>
      </c>
      <c r="B72" s="20" t="s">
        <v>233</v>
      </c>
      <c r="C72" s="20" t="s">
        <v>602</v>
      </c>
      <c r="D72" s="150">
        <v>2010000</v>
      </c>
      <c r="E72" s="20" t="s">
        <v>540</v>
      </c>
      <c r="F72" s="20" t="s">
        <v>541</v>
      </c>
      <c r="G72" s="8" t="str">
        <f t="shared" si="1"/>
        <v>MAELZER KURT</v>
      </c>
    </row>
    <row r="73" spans="1:7" x14ac:dyDescent="0.25">
      <c r="A73" s="8">
        <v>42778.423043981478</v>
      </c>
      <c r="B73" s="20" t="s">
        <v>302</v>
      </c>
      <c r="C73" s="20" t="s">
        <v>522</v>
      </c>
      <c r="D73" s="150">
        <v>1100000</v>
      </c>
      <c r="E73" s="20" t="s">
        <v>430</v>
      </c>
      <c r="F73" s="20" t="s">
        <v>431</v>
      </c>
      <c r="G73" s="8" t="str">
        <f t="shared" si="1"/>
        <v>GEBRETEKLE DAGNEW</v>
      </c>
    </row>
    <row r="74" spans="1:7" x14ac:dyDescent="0.25">
      <c r="A74" s="8">
        <v>42778.429884259262</v>
      </c>
      <c r="B74" s="20" t="s">
        <v>329</v>
      </c>
      <c r="C74" s="20" t="s">
        <v>603</v>
      </c>
      <c r="D74" s="150">
        <v>2550000</v>
      </c>
      <c r="E74" s="20" t="s">
        <v>428</v>
      </c>
      <c r="F74" s="20" t="s">
        <v>429</v>
      </c>
      <c r="G74" s="8" t="str">
        <f t="shared" si="1"/>
        <v>BADERTSCHER DIANE</v>
      </c>
    </row>
    <row r="75" spans="1:7" x14ac:dyDescent="0.25">
      <c r="A75" s="8">
        <v>42778.433935185189</v>
      </c>
      <c r="B75" s="20" t="s">
        <v>240</v>
      </c>
      <c r="C75" s="20" t="s">
        <v>604</v>
      </c>
      <c r="D75" s="150">
        <v>2370000</v>
      </c>
      <c r="E75" s="20" t="s">
        <v>437</v>
      </c>
      <c r="F75" s="20" t="s">
        <v>438</v>
      </c>
      <c r="G75" s="8" t="str">
        <f t="shared" si="1"/>
        <v>DELGADO DIANAH</v>
      </c>
    </row>
    <row r="76" spans="1:7" x14ac:dyDescent="0.25">
      <c r="A76" s="8">
        <v>42778.441550925927</v>
      </c>
      <c r="B76" s="20" t="s">
        <v>228</v>
      </c>
      <c r="C76" s="20" t="s">
        <v>605</v>
      </c>
      <c r="D76" s="150">
        <v>1830000</v>
      </c>
      <c r="E76" s="20" t="s">
        <v>459</v>
      </c>
      <c r="F76" s="20" t="s">
        <v>460</v>
      </c>
      <c r="G76" s="8" t="str">
        <f t="shared" si="1"/>
        <v>YORK EDGAR</v>
      </c>
    </row>
    <row r="77" spans="1:7" x14ac:dyDescent="0.25">
      <c r="A77" s="8">
        <v>42778.444212962961</v>
      </c>
      <c r="B77" s="20" t="s">
        <v>426</v>
      </c>
      <c r="C77" s="20" t="s">
        <v>606</v>
      </c>
      <c r="D77" s="150">
        <v>2020000</v>
      </c>
      <c r="E77" s="20" t="s">
        <v>457</v>
      </c>
      <c r="F77" s="20" t="s">
        <v>458</v>
      </c>
      <c r="G77" s="8" t="str">
        <f t="shared" si="1"/>
        <v>SHOOK JOHN</v>
      </c>
    </row>
    <row r="78" spans="1:7" x14ac:dyDescent="0.25">
      <c r="A78" s="8">
        <v>42778.44425925926</v>
      </c>
      <c r="B78" s="20" t="s">
        <v>211</v>
      </c>
      <c r="C78" s="20" t="s">
        <v>607</v>
      </c>
      <c r="D78" s="150">
        <v>1990000</v>
      </c>
      <c r="E78" s="20" t="s">
        <v>547</v>
      </c>
      <c r="F78" s="20" t="s">
        <v>548</v>
      </c>
      <c r="G78" s="8" t="str">
        <f t="shared" si="1"/>
        <v>DAVIS WENDY</v>
      </c>
    </row>
    <row r="79" spans="1:7" x14ac:dyDescent="0.25">
      <c r="A79" s="8">
        <v>42778.451724537037</v>
      </c>
      <c r="B79" s="20" t="s">
        <v>225</v>
      </c>
      <c r="C79" s="20" t="s">
        <v>608</v>
      </c>
      <c r="D79" s="150">
        <v>880000</v>
      </c>
      <c r="E79" s="20" t="s">
        <v>609</v>
      </c>
      <c r="F79" s="20" t="s">
        <v>204</v>
      </c>
      <c r="G79" s="8" t="str">
        <f t="shared" si="1"/>
        <v>STEWART MICHAEL</v>
      </c>
    </row>
    <row r="80" spans="1:7" x14ac:dyDescent="0.25">
      <c r="A80" s="8">
        <v>42778.453715277778</v>
      </c>
      <c r="B80" s="20" t="s">
        <v>330</v>
      </c>
      <c r="C80" s="20" t="s">
        <v>610</v>
      </c>
      <c r="D80" s="150">
        <v>2140000</v>
      </c>
      <c r="E80" s="20" t="s">
        <v>455</v>
      </c>
      <c r="F80" s="20" t="s">
        <v>456</v>
      </c>
      <c r="G80" s="8" t="str">
        <f t="shared" si="1"/>
        <v>ROBINSON KADDIBA</v>
      </c>
    </row>
    <row r="81" spans="1:7" x14ac:dyDescent="0.25">
      <c r="A81" s="8">
        <v>42778.456446759257</v>
      </c>
      <c r="B81" s="20" t="s">
        <v>229</v>
      </c>
      <c r="C81" s="20" t="s">
        <v>611</v>
      </c>
      <c r="D81" s="150">
        <v>1830000</v>
      </c>
      <c r="E81" s="20" t="s">
        <v>459</v>
      </c>
      <c r="F81" s="20" t="s">
        <v>460</v>
      </c>
      <c r="G81" s="8" t="str">
        <f t="shared" si="1"/>
        <v>YORK EDGAR</v>
      </c>
    </row>
    <row r="82" spans="1:7" x14ac:dyDescent="0.25">
      <c r="A82" s="8">
        <v>42778.461122685185</v>
      </c>
      <c r="B82" s="20" t="s">
        <v>432</v>
      </c>
      <c r="C82" s="20" t="s">
        <v>612</v>
      </c>
      <c r="D82" s="150">
        <v>1100000</v>
      </c>
      <c r="E82" s="20" t="s">
        <v>430</v>
      </c>
      <c r="F82" s="20" t="s">
        <v>431</v>
      </c>
      <c r="G82" s="8" t="str">
        <f t="shared" si="1"/>
        <v>GEBRETEKLE DAGNEW</v>
      </c>
    </row>
    <row r="83" spans="1:7" x14ac:dyDescent="0.25">
      <c r="A83" s="8">
        <v>42778.468275462961</v>
      </c>
      <c r="B83" s="20" t="s">
        <v>425</v>
      </c>
      <c r="C83" s="20" t="s">
        <v>613</v>
      </c>
      <c r="D83" s="150">
        <v>2370000</v>
      </c>
      <c r="E83" s="20" t="s">
        <v>437</v>
      </c>
      <c r="F83" s="20" t="s">
        <v>438</v>
      </c>
      <c r="G83" s="8" t="str">
        <f t="shared" si="1"/>
        <v>DELGADO DIANAH</v>
      </c>
    </row>
    <row r="84" spans="1:7" x14ac:dyDescent="0.25">
      <c r="A84" s="8">
        <v>42778.469375000001</v>
      </c>
      <c r="B84" s="20" t="s">
        <v>196</v>
      </c>
      <c r="C84" s="20" t="s">
        <v>614</v>
      </c>
      <c r="D84" s="150">
        <v>920000</v>
      </c>
      <c r="E84" s="20" t="s">
        <v>547</v>
      </c>
      <c r="F84" s="20" t="s">
        <v>204</v>
      </c>
      <c r="G84" s="8" t="str">
        <f t="shared" si="1"/>
        <v>DAVIS MICHAEL</v>
      </c>
    </row>
    <row r="85" spans="1:7" x14ac:dyDescent="0.25">
      <c r="A85" s="8">
        <v>42778.476122685184</v>
      </c>
      <c r="B85" s="20" t="s">
        <v>234</v>
      </c>
      <c r="C85" s="20" t="s">
        <v>615</v>
      </c>
      <c r="D85" s="150">
        <v>2480000</v>
      </c>
      <c r="E85" s="20" t="s">
        <v>472</v>
      </c>
      <c r="F85" s="20" t="s">
        <v>224</v>
      </c>
      <c r="G85" s="8" t="str">
        <f t="shared" si="1"/>
        <v>WHITED DUSTIN</v>
      </c>
    </row>
    <row r="86" spans="1:7" x14ac:dyDescent="0.25">
      <c r="A86" s="8">
        <v>42778.4765625</v>
      </c>
      <c r="B86" s="20" t="s">
        <v>427</v>
      </c>
      <c r="C86" s="20" t="s">
        <v>616</v>
      </c>
      <c r="D86" s="150">
        <v>2020000</v>
      </c>
      <c r="E86" s="20" t="s">
        <v>457</v>
      </c>
      <c r="F86" s="20" t="s">
        <v>458</v>
      </c>
      <c r="G86" s="8" t="str">
        <f t="shared" si="1"/>
        <v>SHOOK JOHN</v>
      </c>
    </row>
    <row r="87" spans="1:7" x14ac:dyDescent="0.25">
      <c r="A87" s="8">
        <v>42778.48300925926</v>
      </c>
      <c r="B87" s="20" t="s">
        <v>228</v>
      </c>
      <c r="C87" s="20" t="s">
        <v>617</v>
      </c>
      <c r="D87" s="150">
        <v>1830000</v>
      </c>
      <c r="E87" s="20" t="s">
        <v>459</v>
      </c>
      <c r="F87" s="20" t="s">
        <v>460</v>
      </c>
      <c r="G87" s="8" t="str">
        <f t="shared" si="1"/>
        <v>YORK EDGAR</v>
      </c>
    </row>
    <row r="88" spans="1:7" x14ac:dyDescent="0.25">
      <c r="A88" s="8">
        <v>42778.486342592594</v>
      </c>
      <c r="B88" s="20" t="s">
        <v>326</v>
      </c>
      <c r="C88" s="20" t="s">
        <v>618</v>
      </c>
      <c r="D88" s="150">
        <v>2530000</v>
      </c>
      <c r="E88" s="20" t="s">
        <v>619</v>
      </c>
      <c r="F88" s="20" t="s">
        <v>620</v>
      </c>
      <c r="G88" s="8" t="str">
        <f t="shared" si="1"/>
        <v>LALONDE GREGORY</v>
      </c>
    </row>
    <row r="89" spans="1:7" x14ac:dyDescent="0.25">
      <c r="A89" s="8">
        <v>42778.494004629632</v>
      </c>
      <c r="B89" s="20" t="s">
        <v>226</v>
      </c>
      <c r="C89" s="20" t="s">
        <v>621</v>
      </c>
      <c r="D89" s="150">
        <v>880000</v>
      </c>
      <c r="E89" s="20" t="s">
        <v>609</v>
      </c>
      <c r="F89" s="20" t="s">
        <v>204</v>
      </c>
      <c r="G89" s="8" t="str">
        <f t="shared" si="1"/>
        <v>STEWART MICHAEL</v>
      </c>
    </row>
    <row r="90" spans="1:7" x14ac:dyDescent="0.25">
      <c r="A90" s="8">
        <v>42778.494421296295</v>
      </c>
      <c r="B90" s="20" t="s">
        <v>302</v>
      </c>
      <c r="C90" s="20" t="s">
        <v>622</v>
      </c>
      <c r="D90" s="150">
        <v>2250000</v>
      </c>
      <c r="E90" s="20" t="s">
        <v>464</v>
      </c>
      <c r="F90" s="20" t="s">
        <v>465</v>
      </c>
      <c r="G90" s="8" t="str">
        <f t="shared" si="1"/>
        <v>CRAYTON QUNTRELL</v>
      </c>
    </row>
    <row r="91" spans="1:7" x14ac:dyDescent="0.25">
      <c r="A91" s="8">
        <v>42778.497037037036</v>
      </c>
      <c r="B91" s="20" t="s">
        <v>229</v>
      </c>
      <c r="C91" s="20" t="s">
        <v>623</v>
      </c>
      <c r="D91" s="150">
        <v>1830000</v>
      </c>
      <c r="E91" s="20" t="s">
        <v>459</v>
      </c>
      <c r="F91" s="20" t="s">
        <v>460</v>
      </c>
      <c r="G91" s="8" t="str">
        <f t="shared" si="1"/>
        <v>YORK EDGAR</v>
      </c>
    </row>
    <row r="92" spans="1:7" x14ac:dyDescent="0.25">
      <c r="A92" s="8">
        <v>42778.506099537037</v>
      </c>
      <c r="B92" s="20" t="s">
        <v>329</v>
      </c>
      <c r="C92" s="20" t="s">
        <v>624</v>
      </c>
      <c r="D92" s="150">
        <v>920000</v>
      </c>
      <c r="E92" s="20" t="s">
        <v>547</v>
      </c>
      <c r="F92" s="20" t="s">
        <v>204</v>
      </c>
      <c r="G92" s="8" t="str">
        <f t="shared" si="1"/>
        <v>DAVIS MICHAEL</v>
      </c>
    </row>
    <row r="93" spans="1:7" x14ac:dyDescent="0.25">
      <c r="A93" s="8">
        <v>42778.507106481484</v>
      </c>
      <c r="B93" s="20" t="s">
        <v>240</v>
      </c>
      <c r="C93" s="20" t="s">
        <v>625</v>
      </c>
      <c r="D93" s="150">
        <v>2470000</v>
      </c>
      <c r="E93" s="20" t="s">
        <v>626</v>
      </c>
      <c r="F93" s="20" t="s">
        <v>627</v>
      </c>
      <c r="G93" s="8" t="str">
        <f t="shared" si="1"/>
        <v>ROMERO CHAD</v>
      </c>
    </row>
    <row r="94" spans="1:7" x14ac:dyDescent="0.25">
      <c r="A94" s="8">
        <v>42778.511608796296</v>
      </c>
      <c r="B94" s="20" t="s">
        <v>211</v>
      </c>
      <c r="C94" s="20" t="s">
        <v>628</v>
      </c>
      <c r="D94" s="150">
        <v>2480000</v>
      </c>
      <c r="E94" s="20" t="s">
        <v>472</v>
      </c>
      <c r="F94" s="20" t="s">
        <v>224</v>
      </c>
      <c r="G94" s="8" t="str">
        <f t="shared" si="1"/>
        <v>WHITED DUSTIN</v>
      </c>
    </row>
    <row r="95" spans="1:7" x14ac:dyDescent="0.25">
      <c r="A95" s="8">
        <v>42778.518877314818</v>
      </c>
      <c r="B95" s="20" t="s">
        <v>426</v>
      </c>
      <c r="C95" s="20" t="s">
        <v>629</v>
      </c>
      <c r="D95" s="150">
        <v>2030000</v>
      </c>
      <c r="E95" s="20" t="s">
        <v>461</v>
      </c>
      <c r="F95" s="20" t="s">
        <v>462</v>
      </c>
      <c r="G95" s="8" t="str">
        <f t="shared" si="1"/>
        <v>KILLION DAVID</v>
      </c>
    </row>
    <row r="96" spans="1:7" x14ac:dyDescent="0.25">
      <c r="A96" s="8">
        <v>42778.522175925929</v>
      </c>
      <c r="B96" s="20" t="s">
        <v>330</v>
      </c>
      <c r="C96" s="20" t="s">
        <v>630</v>
      </c>
      <c r="D96" s="150">
        <v>2530000</v>
      </c>
      <c r="E96" s="20" t="s">
        <v>619</v>
      </c>
      <c r="F96" s="20" t="s">
        <v>620</v>
      </c>
      <c r="G96" s="8" t="str">
        <f t="shared" si="1"/>
        <v>LALONDE GREGORY</v>
      </c>
    </row>
    <row r="97" spans="1:7" x14ac:dyDescent="0.25">
      <c r="A97" s="8">
        <v>42778.52516203704</v>
      </c>
      <c r="B97" s="20" t="s">
        <v>228</v>
      </c>
      <c r="C97" s="20" t="s">
        <v>631</v>
      </c>
      <c r="D97" s="150">
        <v>1830000</v>
      </c>
      <c r="E97" s="20" t="s">
        <v>459</v>
      </c>
      <c r="F97" s="20" t="s">
        <v>460</v>
      </c>
      <c r="G97" s="8" t="str">
        <f t="shared" si="1"/>
        <v>YORK EDGAR</v>
      </c>
    </row>
    <row r="98" spans="1:7" x14ac:dyDescent="0.25">
      <c r="A98" s="8">
        <v>42778.527812499997</v>
      </c>
      <c r="B98" s="20" t="s">
        <v>225</v>
      </c>
      <c r="C98" s="20" t="s">
        <v>632</v>
      </c>
      <c r="D98" s="150">
        <v>880000</v>
      </c>
      <c r="E98" s="20" t="s">
        <v>609</v>
      </c>
      <c r="F98" s="20" t="s">
        <v>204</v>
      </c>
      <c r="G98" s="8" t="str">
        <f t="shared" si="1"/>
        <v>STEWART MICHAEL</v>
      </c>
    </row>
    <row r="99" spans="1:7" x14ac:dyDescent="0.25">
      <c r="A99" s="8">
        <v>42778.529537037037</v>
      </c>
      <c r="B99" s="20" t="s">
        <v>432</v>
      </c>
      <c r="C99" s="20" t="s">
        <v>523</v>
      </c>
      <c r="D99" s="150">
        <v>2250000</v>
      </c>
      <c r="E99" s="20" t="s">
        <v>464</v>
      </c>
      <c r="F99" s="20" t="s">
        <v>465</v>
      </c>
      <c r="G99" s="8" t="str">
        <f t="shared" si="1"/>
        <v>CRAYTON QUNTRELL</v>
      </c>
    </row>
    <row r="100" spans="1:7" x14ac:dyDescent="0.25">
      <c r="A100" s="8">
        <v>42778.539074074077</v>
      </c>
      <c r="B100" s="20" t="s">
        <v>425</v>
      </c>
      <c r="C100" s="20" t="s">
        <v>633</v>
      </c>
      <c r="D100" s="150">
        <v>2470000</v>
      </c>
      <c r="E100" s="20" t="s">
        <v>626</v>
      </c>
      <c r="F100" s="20" t="s">
        <v>627</v>
      </c>
      <c r="G100" s="8" t="str">
        <f t="shared" si="1"/>
        <v>ROMERO CHAD</v>
      </c>
    </row>
    <row r="101" spans="1:7" x14ac:dyDescent="0.25">
      <c r="A101" s="8">
        <v>42778.539409722223</v>
      </c>
      <c r="B101" s="20" t="s">
        <v>196</v>
      </c>
      <c r="C101" s="20" t="s">
        <v>634</v>
      </c>
      <c r="D101" s="150">
        <v>920000</v>
      </c>
      <c r="E101" s="20" t="s">
        <v>547</v>
      </c>
      <c r="F101" s="20" t="s">
        <v>204</v>
      </c>
      <c r="G101" s="8" t="str">
        <f t="shared" si="1"/>
        <v>DAVIS MICHAEL</v>
      </c>
    </row>
    <row r="102" spans="1:7" x14ac:dyDescent="0.25">
      <c r="A102" s="8">
        <v>42778.55028935185</v>
      </c>
      <c r="B102" s="20" t="s">
        <v>234</v>
      </c>
      <c r="C102" s="20" t="s">
        <v>635</v>
      </c>
      <c r="D102" s="150">
        <v>1300000</v>
      </c>
      <c r="E102" s="20" t="s">
        <v>636</v>
      </c>
      <c r="F102" s="20" t="s">
        <v>637</v>
      </c>
      <c r="G102" s="8" t="str">
        <f t="shared" si="1"/>
        <v>LEVIN SCOTT</v>
      </c>
    </row>
    <row r="103" spans="1:7" x14ac:dyDescent="0.25">
      <c r="A103" s="8">
        <v>42778.553935185184</v>
      </c>
      <c r="B103" s="20" t="s">
        <v>427</v>
      </c>
      <c r="C103" s="20" t="s">
        <v>525</v>
      </c>
      <c r="D103" s="150">
        <v>2030000</v>
      </c>
      <c r="E103" s="20" t="s">
        <v>461</v>
      </c>
      <c r="F103" s="20" t="s">
        <v>462</v>
      </c>
      <c r="G103" s="8" t="str">
        <f t="shared" si="1"/>
        <v>KILLION DAVID</v>
      </c>
    </row>
    <row r="104" spans="1:7" x14ac:dyDescent="0.25">
      <c r="A104" s="8">
        <v>42778.555324074077</v>
      </c>
      <c r="B104" s="20" t="s">
        <v>229</v>
      </c>
      <c r="C104" s="20" t="s">
        <v>638</v>
      </c>
      <c r="D104" s="150">
        <v>1830000</v>
      </c>
      <c r="E104" s="20" t="s">
        <v>459</v>
      </c>
      <c r="F104" s="20" t="s">
        <v>460</v>
      </c>
      <c r="G104" s="8" t="str">
        <f t="shared" si="1"/>
        <v>YORK EDGAR</v>
      </c>
    </row>
    <row r="105" spans="1:7" x14ac:dyDescent="0.25">
      <c r="A105" s="8">
        <v>42778.559027777781</v>
      </c>
      <c r="B105" s="20" t="s">
        <v>326</v>
      </c>
      <c r="C105" s="20" t="s">
        <v>639</v>
      </c>
      <c r="D105" s="150">
        <v>1770000</v>
      </c>
      <c r="E105" s="20" t="s">
        <v>435</v>
      </c>
      <c r="F105" s="20" t="s">
        <v>436</v>
      </c>
      <c r="G105" s="8" t="str">
        <f t="shared" si="1"/>
        <v>BRUDER RICHARD</v>
      </c>
    </row>
    <row r="106" spans="1:7" x14ac:dyDescent="0.25">
      <c r="A106" s="8">
        <v>42778.566365740742</v>
      </c>
      <c r="B106" s="20" t="s">
        <v>228</v>
      </c>
      <c r="C106" s="20" t="s">
        <v>524</v>
      </c>
      <c r="D106" s="150">
        <v>1830000</v>
      </c>
      <c r="E106" s="20" t="s">
        <v>459</v>
      </c>
      <c r="F106" s="20" t="s">
        <v>460</v>
      </c>
      <c r="G106" s="8" t="str">
        <f t="shared" si="1"/>
        <v>YORK EDGAR</v>
      </c>
    </row>
    <row r="107" spans="1:7" x14ac:dyDescent="0.25">
      <c r="A107" s="8">
        <v>42778.566678240742</v>
      </c>
      <c r="B107" s="20" t="s">
        <v>226</v>
      </c>
      <c r="C107" s="20" t="s">
        <v>640</v>
      </c>
      <c r="D107" s="150">
        <v>880000</v>
      </c>
      <c r="E107" s="20" t="s">
        <v>609</v>
      </c>
      <c r="F107" s="20" t="s">
        <v>204</v>
      </c>
      <c r="G107" s="8" t="str">
        <f t="shared" si="1"/>
        <v>STEWART MICHAEL</v>
      </c>
    </row>
    <row r="108" spans="1:7" x14ac:dyDescent="0.25">
      <c r="A108" s="8">
        <v>42778.568402777775</v>
      </c>
      <c r="B108" s="20" t="s">
        <v>302</v>
      </c>
      <c r="C108" s="20" t="s">
        <v>641</v>
      </c>
      <c r="D108" s="150">
        <v>2540000</v>
      </c>
      <c r="E108" s="20" t="s">
        <v>230</v>
      </c>
      <c r="F108" s="20" t="s">
        <v>231</v>
      </c>
      <c r="G108" s="8" t="str">
        <f t="shared" si="1"/>
        <v>MCREYNOLDS KYLE</v>
      </c>
    </row>
    <row r="109" spans="1:7" x14ac:dyDescent="0.25">
      <c r="A109" s="8">
        <v>42778.578402777777</v>
      </c>
      <c r="B109" s="20" t="s">
        <v>240</v>
      </c>
      <c r="C109" s="20" t="s">
        <v>642</v>
      </c>
      <c r="D109" s="150">
        <v>2470000</v>
      </c>
      <c r="E109" s="20" t="s">
        <v>626</v>
      </c>
      <c r="F109" s="20" t="s">
        <v>627</v>
      </c>
      <c r="G109" s="8" t="str">
        <f t="shared" si="1"/>
        <v>ROMERO CHAD</v>
      </c>
    </row>
    <row r="110" spans="1:7" x14ac:dyDescent="0.25">
      <c r="A110" s="8">
        <v>42778.578530092593</v>
      </c>
      <c r="B110" s="20" t="s">
        <v>329</v>
      </c>
      <c r="C110" s="20" t="s">
        <v>526</v>
      </c>
      <c r="D110" s="150">
        <v>920000</v>
      </c>
      <c r="E110" s="20" t="s">
        <v>547</v>
      </c>
      <c r="F110" s="20" t="s">
        <v>204</v>
      </c>
      <c r="G110" s="8" t="str">
        <f t="shared" si="1"/>
        <v>DAVIS MICHAEL</v>
      </c>
    </row>
    <row r="111" spans="1:7" x14ac:dyDescent="0.25">
      <c r="A111" s="8">
        <v>42778.587650462963</v>
      </c>
      <c r="B111" s="20" t="s">
        <v>211</v>
      </c>
      <c r="C111" s="20" t="s">
        <v>643</v>
      </c>
      <c r="D111" s="150">
        <v>1300000</v>
      </c>
      <c r="E111" s="20" t="s">
        <v>636</v>
      </c>
      <c r="F111" s="20" t="s">
        <v>637</v>
      </c>
      <c r="G111" s="8" t="str">
        <f t="shared" si="1"/>
        <v>LEVIN SCOTT</v>
      </c>
    </row>
    <row r="112" spans="1:7" x14ac:dyDescent="0.25">
      <c r="A112" s="8">
        <v>42778.590740740743</v>
      </c>
      <c r="B112" s="20" t="s">
        <v>426</v>
      </c>
      <c r="C112" s="20" t="s">
        <v>644</v>
      </c>
      <c r="D112" s="150">
        <v>2030000</v>
      </c>
      <c r="E112" s="20" t="s">
        <v>461</v>
      </c>
      <c r="F112" s="20" t="s">
        <v>462</v>
      </c>
      <c r="G112" s="8" t="str">
        <f t="shared" si="1"/>
        <v>KILLION DAVID</v>
      </c>
    </row>
    <row r="113" spans="1:7" x14ac:dyDescent="0.25">
      <c r="A113" s="8">
        <v>42778.596643518518</v>
      </c>
      <c r="B113" s="20" t="s">
        <v>229</v>
      </c>
      <c r="C113" s="20" t="s">
        <v>645</v>
      </c>
      <c r="D113" s="150">
        <v>1540000</v>
      </c>
      <c r="E113" s="20" t="s">
        <v>433</v>
      </c>
      <c r="F113" s="20" t="s">
        <v>434</v>
      </c>
      <c r="G113" s="8" t="str">
        <f t="shared" si="1"/>
        <v>HELVIE ADAM</v>
      </c>
    </row>
    <row r="114" spans="1:7" x14ac:dyDescent="0.25">
      <c r="A114" s="8">
        <v>42778.597627314812</v>
      </c>
      <c r="B114" s="20" t="s">
        <v>330</v>
      </c>
      <c r="C114" s="20" t="s">
        <v>646</v>
      </c>
      <c r="D114" s="150">
        <v>1770000</v>
      </c>
      <c r="E114" s="20" t="s">
        <v>435</v>
      </c>
      <c r="F114" s="20" t="s">
        <v>436</v>
      </c>
      <c r="G114" s="8" t="str">
        <f t="shared" si="1"/>
        <v>BRUDER RICHARD</v>
      </c>
    </row>
    <row r="115" spans="1:7" x14ac:dyDescent="0.25">
      <c r="A115" s="8">
        <v>42778.600798611114</v>
      </c>
      <c r="B115" s="20" t="s">
        <v>225</v>
      </c>
      <c r="C115" s="20" t="s">
        <v>647</v>
      </c>
      <c r="D115" s="150">
        <v>880000</v>
      </c>
      <c r="E115" s="20" t="s">
        <v>609</v>
      </c>
      <c r="F115" s="20" t="s">
        <v>204</v>
      </c>
      <c r="G115" s="8" t="str">
        <f t="shared" si="1"/>
        <v>STEWART MICHAEL</v>
      </c>
    </row>
    <row r="116" spans="1:7" x14ac:dyDescent="0.25">
      <c r="A116" s="8">
        <v>42778.604097222225</v>
      </c>
      <c r="B116" s="20" t="s">
        <v>432</v>
      </c>
      <c r="C116" s="20" t="s">
        <v>648</v>
      </c>
      <c r="D116" s="150">
        <v>2540000</v>
      </c>
      <c r="E116" s="20" t="s">
        <v>230</v>
      </c>
      <c r="F116" s="20" t="s">
        <v>231</v>
      </c>
      <c r="G116" s="8" t="str">
        <f t="shared" si="1"/>
        <v>MCREYNOLDS KYLE</v>
      </c>
    </row>
    <row r="117" spans="1:7" x14ac:dyDescent="0.25">
      <c r="A117" s="8">
        <v>42778.611319444448</v>
      </c>
      <c r="B117" s="20" t="s">
        <v>196</v>
      </c>
      <c r="C117" s="20" t="s">
        <v>649</v>
      </c>
      <c r="D117" s="150">
        <v>2420000</v>
      </c>
      <c r="E117" s="20" t="s">
        <v>650</v>
      </c>
      <c r="F117" s="20" t="s">
        <v>651</v>
      </c>
      <c r="G117" s="8" t="str">
        <f t="shared" si="1"/>
        <v>HOLCOMB KAMDEN</v>
      </c>
    </row>
    <row r="118" spans="1:7" x14ac:dyDescent="0.25">
      <c r="A118" s="8">
        <v>42778.611712962964</v>
      </c>
      <c r="B118" s="20" t="s">
        <v>228</v>
      </c>
      <c r="C118" s="20" t="s">
        <v>652</v>
      </c>
      <c r="D118" s="150">
        <v>1540000</v>
      </c>
      <c r="E118" s="20" t="s">
        <v>433</v>
      </c>
      <c r="F118" s="20" t="s">
        <v>434</v>
      </c>
      <c r="G118" s="8" t="str">
        <f t="shared" si="1"/>
        <v>HELVIE ADAM</v>
      </c>
    </row>
    <row r="119" spans="1:7" x14ac:dyDescent="0.25">
      <c r="A119" s="8">
        <v>42778.614710648151</v>
      </c>
      <c r="B119" s="20" t="s">
        <v>425</v>
      </c>
      <c r="C119" s="20" t="s">
        <v>527</v>
      </c>
      <c r="D119" s="150">
        <v>2470000</v>
      </c>
      <c r="E119" s="20" t="s">
        <v>626</v>
      </c>
      <c r="F119" s="20" t="s">
        <v>627</v>
      </c>
      <c r="G119" s="8" t="str">
        <f t="shared" si="1"/>
        <v>ROMERO CHAD</v>
      </c>
    </row>
    <row r="120" spans="1:7" x14ac:dyDescent="0.25">
      <c r="A120" s="8">
        <v>42778.622858796298</v>
      </c>
      <c r="B120" s="20" t="s">
        <v>234</v>
      </c>
      <c r="C120" s="20" t="s">
        <v>653</v>
      </c>
      <c r="D120" s="150">
        <v>1300000</v>
      </c>
      <c r="E120" s="20" t="s">
        <v>636</v>
      </c>
      <c r="F120" s="20" t="s">
        <v>637</v>
      </c>
      <c r="G120" s="8" t="str">
        <f t="shared" si="1"/>
        <v>LEVIN SCOTT</v>
      </c>
    </row>
    <row r="121" spans="1:7" x14ac:dyDescent="0.25">
      <c r="A121" s="8">
        <v>42778.626828703702</v>
      </c>
      <c r="B121" s="20" t="s">
        <v>427</v>
      </c>
      <c r="C121" s="20" t="s">
        <v>654</v>
      </c>
      <c r="D121" s="150">
        <v>2030000</v>
      </c>
      <c r="E121" s="20" t="s">
        <v>461</v>
      </c>
      <c r="F121" s="20" t="s">
        <v>462</v>
      </c>
      <c r="G121" s="8" t="str">
        <f t="shared" si="1"/>
        <v>KILLION DAVID</v>
      </c>
    </row>
    <row r="122" spans="1:7" x14ac:dyDescent="0.25">
      <c r="A122" s="8">
        <v>42778.63071759259</v>
      </c>
      <c r="B122" s="25" t="s">
        <v>326</v>
      </c>
      <c r="C122" s="20" t="s">
        <v>528</v>
      </c>
      <c r="D122" s="150">
        <v>2530000</v>
      </c>
      <c r="E122" s="20" t="s">
        <v>619</v>
      </c>
      <c r="F122" s="20" t="s">
        <v>620</v>
      </c>
      <c r="G122" s="8" t="str">
        <f t="shared" si="1"/>
        <v>LALONDE GREGORY</v>
      </c>
    </row>
    <row r="123" spans="1:7" x14ac:dyDescent="0.25">
      <c r="A123" s="8">
        <v>42778.637557870374</v>
      </c>
      <c r="B123" s="20" t="s">
        <v>229</v>
      </c>
      <c r="C123" s="20" t="s">
        <v>529</v>
      </c>
      <c r="D123" s="150">
        <v>1540000</v>
      </c>
      <c r="E123" s="20" t="s">
        <v>433</v>
      </c>
      <c r="F123" s="20" t="s">
        <v>434</v>
      </c>
      <c r="G123" s="8" t="str">
        <f t="shared" si="1"/>
        <v>HELVIE ADAM</v>
      </c>
    </row>
    <row r="124" spans="1:7" x14ac:dyDescent="0.25">
      <c r="A124" s="8">
        <v>42778.63957175926</v>
      </c>
      <c r="B124" s="20" t="s">
        <v>226</v>
      </c>
      <c r="C124" s="20" t="s">
        <v>655</v>
      </c>
      <c r="D124" s="150">
        <v>880000</v>
      </c>
      <c r="E124" s="20" t="s">
        <v>609</v>
      </c>
      <c r="F124" s="20" t="s">
        <v>204</v>
      </c>
      <c r="G124" s="8" t="str">
        <f t="shared" si="1"/>
        <v>STEWART MICHAEL</v>
      </c>
    </row>
    <row r="125" spans="1:7" x14ac:dyDescent="0.25">
      <c r="A125" s="8">
        <v>42778.641979166663</v>
      </c>
      <c r="B125" s="20" t="s">
        <v>302</v>
      </c>
      <c r="C125" s="20" t="s">
        <v>531</v>
      </c>
      <c r="D125" s="150">
        <v>2250000</v>
      </c>
      <c r="E125" s="20" t="s">
        <v>464</v>
      </c>
      <c r="F125" s="20" t="s">
        <v>465</v>
      </c>
      <c r="G125" s="8" t="str">
        <f t="shared" si="1"/>
        <v>CRAYTON QUNTRELL</v>
      </c>
    </row>
    <row r="126" spans="1:7" x14ac:dyDescent="0.25">
      <c r="A126" s="8">
        <v>42778.649548611109</v>
      </c>
      <c r="B126" s="20" t="s">
        <v>298</v>
      </c>
      <c r="C126" s="20" t="s">
        <v>530</v>
      </c>
      <c r="D126" s="150">
        <v>2440000</v>
      </c>
      <c r="E126" s="20" t="s">
        <v>439</v>
      </c>
      <c r="F126" s="20" t="s">
        <v>440</v>
      </c>
      <c r="G126" s="8" t="str">
        <f t="shared" si="1"/>
        <v>LOPES KIMBERLY</v>
      </c>
    </row>
    <row r="127" spans="1:7" x14ac:dyDescent="0.25">
      <c r="A127" s="8">
        <v>42778.650289351855</v>
      </c>
      <c r="B127" s="20" t="s">
        <v>228</v>
      </c>
      <c r="C127" s="20" t="s">
        <v>656</v>
      </c>
      <c r="D127" s="150">
        <v>1540000</v>
      </c>
      <c r="E127" s="20" t="s">
        <v>433</v>
      </c>
      <c r="F127" s="20" t="s">
        <v>434</v>
      </c>
      <c r="G127" s="8" t="str">
        <f t="shared" si="1"/>
        <v>HELVIE ADAM</v>
      </c>
    </row>
    <row r="128" spans="1:7" x14ac:dyDescent="0.25">
      <c r="A128" s="8">
        <v>42778.650324074071</v>
      </c>
      <c r="B128" s="20" t="s">
        <v>329</v>
      </c>
      <c r="C128" s="20" t="s">
        <v>657</v>
      </c>
      <c r="D128" s="150">
        <v>2420000</v>
      </c>
      <c r="E128" s="20" t="s">
        <v>650</v>
      </c>
      <c r="F128" s="20" t="s">
        <v>651</v>
      </c>
      <c r="G128" s="8" t="str">
        <f t="shared" si="1"/>
        <v>HOLCOMB KAMDEN</v>
      </c>
    </row>
    <row r="129" spans="1:7" x14ac:dyDescent="0.25">
      <c r="A129" s="8">
        <v>42778.659687500003</v>
      </c>
      <c r="B129" s="20" t="s">
        <v>302</v>
      </c>
      <c r="C129" s="20" t="s">
        <v>531</v>
      </c>
      <c r="D129" s="150">
        <v>2250000</v>
      </c>
      <c r="E129" s="20" t="s">
        <v>464</v>
      </c>
      <c r="F129" s="20" t="s">
        <v>465</v>
      </c>
      <c r="G129" s="8" t="str">
        <f t="shared" si="1"/>
        <v>CRAYTON QUNTRELL</v>
      </c>
    </row>
    <row r="130" spans="1:7" x14ac:dyDescent="0.25">
      <c r="A130" s="8">
        <v>42778.660208333335</v>
      </c>
      <c r="B130" s="20" t="s">
        <v>211</v>
      </c>
      <c r="C130" s="20" t="s">
        <v>658</v>
      </c>
      <c r="D130" s="150">
        <v>1300000</v>
      </c>
      <c r="E130" s="20" t="s">
        <v>636</v>
      </c>
      <c r="F130" s="20" t="s">
        <v>637</v>
      </c>
      <c r="G130" s="8" t="str">
        <f t="shared" si="1"/>
        <v>LEVIN SCOTT</v>
      </c>
    </row>
    <row r="131" spans="1:7" x14ac:dyDescent="0.25">
      <c r="A131" s="8">
        <v>42778.660833333335</v>
      </c>
      <c r="B131" s="20" t="s">
        <v>298</v>
      </c>
      <c r="C131" s="20" t="s">
        <v>530</v>
      </c>
      <c r="D131" s="150">
        <v>2440000</v>
      </c>
      <c r="E131" s="20" t="s">
        <v>439</v>
      </c>
      <c r="F131" s="20" t="s">
        <v>440</v>
      </c>
      <c r="G131" s="8" t="str">
        <f t="shared" ref="G131:G194" si="2">E131&amp;" "&amp;F131</f>
        <v>LOPES KIMBERLY</v>
      </c>
    </row>
    <row r="132" spans="1:7" x14ac:dyDescent="0.25">
      <c r="A132" s="8">
        <v>42778.663391203707</v>
      </c>
      <c r="B132" s="20" t="s">
        <v>240</v>
      </c>
      <c r="C132" s="20" t="s">
        <v>659</v>
      </c>
      <c r="D132" s="150">
        <v>2480000</v>
      </c>
      <c r="E132" s="20" t="s">
        <v>472</v>
      </c>
      <c r="F132" s="20" t="s">
        <v>224</v>
      </c>
      <c r="G132" s="8" t="str">
        <f t="shared" si="2"/>
        <v>WHITED DUSTIN</v>
      </c>
    </row>
    <row r="133" spans="1:7" x14ac:dyDescent="0.25">
      <c r="A133" s="8">
        <v>42778.669363425928</v>
      </c>
      <c r="B133" s="20" t="s">
        <v>426</v>
      </c>
      <c r="C133" s="20" t="s">
        <v>660</v>
      </c>
      <c r="D133" s="150">
        <v>2560000</v>
      </c>
      <c r="E133" s="20" t="s">
        <v>316</v>
      </c>
      <c r="F133" s="20" t="s">
        <v>317</v>
      </c>
      <c r="G133" s="8" t="str">
        <f t="shared" si="2"/>
        <v>MACDONALD THOMAS</v>
      </c>
    </row>
    <row r="134" spans="1:7" x14ac:dyDescent="0.25">
      <c r="A134" s="8">
        <v>42778.669976851852</v>
      </c>
      <c r="B134" s="20" t="s">
        <v>426</v>
      </c>
      <c r="C134" s="20" t="s">
        <v>660</v>
      </c>
      <c r="D134" s="150">
        <v>2560000</v>
      </c>
      <c r="E134" s="20" t="s">
        <v>316</v>
      </c>
      <c r="F134" s="20" t="s">
        <v>317</v>
      </c>
      <c r="G134" s="8" t="str">
        <f t="shared" si="2"/>
        <v>MACDONALD THOMAS</v>
      </c>
    </row>
    <row r="135" spans="1:7" x14ac:dyDescent="0.25">
      <c r="A135" s="8">
        <v>42778.670358796298</v>
      </c>
      <c r="B135" s="20" t="s">
        <v>330</v>
      </c>
      <c r="C135" s="20" t="s">
        <v>661</v>
      </c>
      <c r="D135" s="150">
        <v>2530000</v>
      </c>
      <c r="E135" s="20" t="s">
        <v>619</v>
      </c>
      <c r="F135" s="20" t="s">
        <v>620</v>
      </c>
      <c r="G135" s="8" t="str">
        <f t="shared" si="2"/>
        <v>LALONDE GREGORY</v>
      </c>
    </row>
    <row r="136" spans="1:7" x14ac:dyDescent="0.25">
      <c r="A136" s="8">
        <v>42778.670752314814</v>
      </c>
      <c r="B136" s="20" t="s">
        <v>298</v>
      </c>
      <c r="C136" s="20" t="s">
        <v>530</v>
      </c>
      <c r="D136" s="150">
        <v>2440000</v>
      </c>
      <c r="E136" s="20" t="s">
        <v>439</v>
      </c>
      <c r="F136" s="20" t="s">
        <v>440</v>
      </c>
      <c r="G136" s="8" t="str">
        <f t="shared" si="2"/>
        <v>LOPES KIMBERLY</v>
      </c>
    </row>
    <row r="137" spans="1:7" x14ac:dyDescent="0.25">
      <c r="A137" s="8">
        <v>42778.679814814815</v>
      </c>
      <c r="B137" s="20" t="s">
        <v>229</v>
      </c>
      <c r="C137" s="20" t="s">
        <v>662</v>
      </c>
      <c r="D137" s="150">
        <v>1540000</v>
      </c>
      <c r="E137" s="20" t="s">
        <v>433</v>
      </c>
      <c r="F137" s="20" t="s">
        <v>434</v>
      </c>
      <c r="G137" s="8" t="str">
        <f t="shared" si="2"/>
        <v>HELVIE ADAM</v>
      </c>
    </row>
    <row r="138" spans="1:7" x14ac:dyDescent="0.25">
      <c r="A138" s="8">
        <v>42778.682557870372</v>
      </c>
      <c r="B138" s="20" t="s">
        <v>432</v>
      </c>
      <c r="C138" s="20" t="s">
        <v>663</v>
      </c>
      <c r="D138" s="150">
        <v>2250000</v>
      </c>
      <c r="E138" s="20" t="s">
        <v>464</v>
      </c>
      <c r="F138" s="20" t="s">
        <v>465</v>
      </c>
      <c r="G138" s="8" t="str">
        <f t="shared" si="2"/>
        <v>CRAYTON QUNTRELL</v>
      </c>
    </row>
    <row r="139" spans="1:7" x14ac:dyDescent="0.25">
      <c r="A139" s="8">
        <v>42778.685381944444</v>
      </c>
      <c r="B139" s="20" t="s">
        <v>196</v>
      </c>
      <c r="C139" s="20" t="s">
        <v>664</v>
      </c>
      <c r="D139" s="150">
        <v>920000</v>
      </c>
      <c r="E139" s="20" t="s">
        <v>547</v>
      </c>
      <c r="F139" s="20" t="s">
        <v>204</v>
      </c>
      <c r="G139" s="8" t="str">
        <f t="shared" si="2"/>
        <v>DAVIS MICHAEL</v>
      </c>
    </row>
    <row r="140" spans="1:7" x14ac:dyDescent="0.25">
      <c r="A140" s="8">
        <v>42778.692546296297</v>
      </c>
      <c r="B140" s="20" t="s">
        <v>233</v>
      </c>
      <c r="C140" s="20" t="s">
        <v>665</v>
      </c>
      <c r="D140" s="150">
        <v>2440000</v>
      </c>
      <c r="E140" s="20" t="s">
        <v>439</v>
      </c>
      <c r="F140" s="20" t="s">
        <v>440</v>
      </c>
      <c r="G140" s="8" t="str">
        <f t="shared" si="2"/>
        <v>LOPES KIMBERLY</v>
      </c>
    </row>
    <row r="141" spans="1:7" x14ac:dyDescent="0.25">
      <c r="A141" s="8">
        <v>42778.694421296299</v>
      </c>
      <c r="B141" s="20" t="s">
        <v>234</v>
      </c>
      <c r="C141" s="20" t="s">
        <v>533</v>
      </c>
      <c r="D141" s="150">
        <v>1300000</v>
      </c>
      <c r="E141" s="20" t="s">
        <v>636</v>
      </c>
      <c r="F141" s="20" t="s">
        <v>637</v>
      </c>
      <c r="G141" s="8" t="str">
        <f t="shared" si="2"/>
        <v>LEVIN SCOTT</v>
      </c>
    </row>
    <row r="142" spans="1:7" x14ac:dyDescent="0.25">
      <c r="A142" s="8">
        <v>42778.695185185185</v>
      </c>
      <c r="B142" s="20" t="s">
        <v>228</v>
      </c>
      <c r="C142" s="20" t="s">
        <v>666</v>
      </c>
      <c r="D142" s="150">
        <v>1540000</v>
      </c>
      <c r="E142" s="20" t="s">
        <v>433</v>
      </c>
      <c r="F142" s="20" t="s">
        <v>434</v>
      </c>
      <c r="G142" s="8" t="str">
        <f t="shared" si="2"/>
        <v>HELVIE ADAM</v>
      </c>
    </row>
    <row r="143" spans="1:7" x14ac:dyDescent="0.25">
      <c r="A143" s="8">
        <v>42778.697835648149</v>
      </c>
      <c r="B143" s="20" t="s">
        <v>314</v>
      </c>
      <c r="C143" s="20" t="s">
        <v>532</v>
      </c>
      <c r="D143" s="150">
        <v>1800000</v>
      </c>
      <c r="E143" s="20" t="s">
        <v>273</v>
      </c>
      <c r="F143" s="20" t="s">
        <v>274</v>
      </c>
      <c r="G143" s="8" t="str">
        <f t="shared" si="2"/>
        <v>CHANDLER KELVIN</v>
      </c>
    </row>
    <row r="144" spans="1:7" x14ac:dyDescent="0.25">
      <c r="A144" s="8">
        <v>42778.701898148145</v>
      </c>
      <c r="B144" s="20" t="s">
        <v>425</v>
      </c>
      <c r="C144" s="20" t="s">
        <v>667</v>
      </c>
      <c r="D144" s="150">
        <v>2480000</v>
      </c>
      <c r="E144" s="20" t="s">
        <v>472</v>
      </c>
      <c r="F144" s="20" t="s">
        <v>224</v>
      </c>
      <c r="G144" s="8" t="str">
        <f t="shared" si="2"/>
        <v>WHITED DUSTIN</v>
      </c>
    </row>
    <row r="145" spans="1:7" x14ac:dyDescent="0.25">
      <c r="A145" s="8">
        <v>42778.704328703701</v>
      </c>
      <c r="B145" s="20" t="s">
        <v>326</v>
      </c>
      <c r="C145" s="20" t="s">
        <v>668</v>
      </c>
      <c r="D145" s="150">
        <v>1770000</v>
      </c>
      <c r="E145" s="20" t="s">
        <v>435</v>
      </c>
      <c r="F145" s="20" t="s">
        <v>436</v>
      </c>
      <c r="G145" s="8" t="str">
        <f t="shared" si="2"/>
        <v>BRUDER RICHARD</v>
      </c>
    </row>
    <row r="146" spans="1:7" x14ac:dyDescent="0.25">
      <c r="A146" s="8">
        <v>42778.713148148148</v>
      </c>
      <c r="B146" s="20" t="s">
        <v>427</v>
      </c>
      <c r="C146" s="20" t="s">
        <v>669</v>
      </c>
      <c r="D146" s="150">
        <v>2560000</v>
      </c>
      <c r="E146" s="20" t="s">
        <v>316</v>
      </c>
      <c r="F146" s="20" t="s">
        <v>317</v>
      </c>
      <c r="G146" s="8" t="str">
        <f t="shared" si="2"/>
        <v>MACDONALD THOMAS</v>
      </c>
    </row>
    <row r="147" spans="1:7" x14ac:dyDescent="0.25">
      <c r="A147" s="8">
        <v>42778.716527777775</v>
      </c>
      <c r="B147" s="20" t="s">
        <v>302</v>
      </c>
      <c r="C147" s="20" t="s">
        <v>670</v>
      </c>
      <c r="D147" s="150">
        <v>1800000</v>
      </c>
      <c r="E147" s="20" t="s">
        <v>273</v>
      </c>
      <c r="F147" s="20" t="s">
        <v>274</v>
      </c>
      <c r="G147" s="8" t="str">
        <f t="shared" si="2"/>
        <v>CHANDLER KELVIN</v>
      </c>
    </row>
    <row r="148" spans="1:7" x14ac:dyDescent="0.25">
      <c r="A148" s="8">
        <v>42778.717569444445</v>
      </c>
      <c r="B148" s="20" t="s">
        <v>337</v>
      </c>
      <c r="C148" s="20" t="s">
        <v>671</v>
      </c>
      <c r="D148" s="150">
        <v>2420000</v>
      </c>
      <c r="E148" s="20" t="s">
        <v>650</v>
      </c>
      <c r="F148" s="20" t="s">
        <v>651</v>
      </c>
      <c r="G148" s="8" t="str">
        <f t="shared" si="2"/>
        <v>HOLCOMB KAMDEN</v>
      </c>
    </row>
    <row r="149" spans="1:7" x14ac:dyDescent="0.25">
      <c r="A149" s="8">
        <v>42778.72152777778</v>
      </c>
      <c r="B149" s="20" t="s">
        <v>229</v>
      </c>
      <c r="C149" s="20" t="s">
        <v>672</v>
      </c>
      <c r="D149" s="150">
        <v>1540000</v>
      </c>
      <c r="E149" s="20" t="s">
        <v>433</v>
      </c>
      <c r="F149" s="20" t="s">
        <v>434</v>
      </c>
      <c r="G149" s="8" t="str">
        <f t="shared" si="2"/>
        <v>HELVIE ADAM</v>
      </c>
    </row>
    <row r="150" spans="1:7" x14ac:dyDescent="0.25">
      <c r="A150" s="8">
        <v>42778.724374999998</v>
      </c>
      <c r="B150" s="20" t="s">
        <v>298</v>
      </c>
      <c r="C150" s="20" t="s">
        <v>673</v>
      </c>
      <c r="D150" s="150">
        <v>2250000</v>
      </c>
      <c r="E150" s="20" t="s">
        <v>464</v>
      </c>
      <c r="F150" s="20" t="s">
        <v>465</v>
      </c>
      <c r="G150" s="8" t="str">
        <f t="shared" si="2"/>
        <v>CRAYTON QUNTRELL</v>
      </c>
    </row>
    <row r="151" spans="1:7" x14ac:dyDescent="0.25">
      <c r="A151" s="8">
        <v>42778.725474537037</v>
      </c>
      <c r="B151" s="20" t="s">
        <v>329</v>
      </c>
      <c r="C151" s="20" t="s">
        <v>674</v>
      </c>
      <c r="D151" s="150">
        <v>920000</v>
      </c>
      <c r="E151" s="20" t="s">
        <v>547</v>
      </c>
      <c r="F151" s="20" t="s">
        <v>204</v>
      </c>
      <c r="G151" s="8" t="str">
        <f t="shared" si="2"/>
        <v>DAVIS MICHAEL</v>
      </c>
    </row>
    <row r="152" spans="1:7" x14ac:dyDescent="0.25">
      <c r="A152" s="8">
        <v>42778.726076388892</v>
      </c>
      <c r="B152" s="20" t="s">
        <v>225</v>
      </c>
      <c r="C152" s="20" t="s">
        <v>675</v>
      </c>
      <c r="D152" s="150">
        <v>2530000</v>
      </c>
      <c r="E152" s="20" t="s">
        <v>619</v>
      </c>
      <c r="F152" s="20" t="s">
        <v>620</v>
      </c>
      <c r="G152" s="8" t="str">
        <f t="shared" si="2"/>
        <v>LALONDE GREGORY</v>
      </c>
    </row>
    <row r="153" spans="1:7" x14ac:dyDescent="0.25">
      <c r="A153" s="8">
        <v>42778.73332175926</v>
      </c>
      <c r="B153" s="20" t="s">
        <v>211</v>
      </c>
      <c r="C153" s="20" t="s">
        <v>676</v>
      </c>
      <c r="D153" s="150">
        <v>1300000</v>
      </c>
      <c r="E153" s="20" t="s">
        <v>636</v>
      </c>
      <c r="F153" s="20" t="s">
        <v>637</v>
      </c>
      <c r="G153" s="8" t="str">
        <f t="shared" si="2"/>
        <v>LEVIN SCOTT</v>
      </c>
    </row>
    <row r="154" spans="1:7" x14ac:dyDescent="0.25">
      <c r="A154" s="8">
        <v>42778.735682870371</v>
      </c>
      <c r="B154" s="20" t="s">
        <v>228</v>
      </c>
      <c r="C154" s="20" t="s">
        <v>677</v>
      </c>
      <c r="D154" s="150">
        <v>1540000</v>
      </c>
      <c r="E154" s="20" t="s">
        <v>433</v>
      </c>
      <c r="F154" s="20" t="s">
        <v>434</v>
      </c>
      <c r="G154" s="8" t="str">
        <f t="shared" si="2"/>
        <v>HELVIE ADAM</v>
      </c>
    </row>
    <row r="155" spans="1:7" x14ac:dyDescent="0.25">
      <c r="A155" s="8">
        <v>42778.736701388887</v>
      </c>
      <c r="B155" s="20" t="s">
        <v>240</v>
      </c>
      <c r="C155" s="20" t="s">
        <v>678</v>
      </c>
      <c r="D155" s="150">
        <v>2630000</v>
      </c>
      <c r="E155" s="20" t="s">
        <v>327</v>
      </c>
      <c r="F155" s="20" t="s">
        <v>328</v>
      </c>
      <c r="G155" s="8" t="str">
        <f t="shared" si="2"/>
        <v>SAFIEF AEIMEN</v>
      </c>
    </row>
    <row r="156" spans="1:7" x14ac:dyDescent="0.25">
      <c r="A156" s="8">
        <v>42778.742638888885</v>
      </c>
      <c r="B156" s="20" t="s">
        <v>330</v>
      </c>
      <c r="C156" s="20" t="s">
        <v>679</v>
      </c>
      <c r="D156" s="150">
        <v>1770000</v>
      </c>
      <c r="E156" s="20" t="s">
        <v>435</v>
      </c>
      <c r="F156" s="20" t="s">
        <v>436</v>
      </c>
      <c r="G156" s="8" t="str">
        <f t="shared" si="2"/>
        <v>BRUDER RICHARD</v>
      </c>
    </row>
    <row r="157" spans="1:7" x14ac:dyDescent="0.25">
      <c r="A157" s="8">
        <v>42778.745023148149</v>
      </c>
      <c r="B157" s="20" t="s">
        <v>426</v>
      </c>
      <c r="C157" s="20" t="s">
        <v>680</v>
      </c>
      <c r="D157" s="150">
        <v>2030000</v>
      </c>
      <c r="E157" s="20" t="s">
        <v>461</v>
      </c>
      <c r="F157" s="20" t="s">
        <v>462</v>
      </c>
      <c r="G157" s="8" t="str">
        <f t="shared" si="2"/>
        <v>KILLION DAVID</v>
      </c>
    </row>
    <row r="158" spans="1:7" x14ac:dyDescent="0.25">
      <c r="A158" s="8">
        <v>42778.745555555557</v>
      </c>
      <c r="B158" s="20" t="s">
        <v>452</v>
      </c>
      <c r="C158" s="20" t="s">
        <v>681</v>
      </c>
      <c r="D158" s="150">
        <v>2670000</v>
      </c>
      <c r="E158" s="20" t="s">
        <v>252</v>
      </c>
      <c r="F158" s="20" t="s">
        <v>253</v>
      </c>
      <c r="G158" s="8" t="str">
        <f t="shared" si="2"/>
        <v>COMELLA JUSTIN</v>
      </c>
    </row>
    <row r="159" spans="1:7" x14ac:dyDescent="0.25">
      <c r="A159" s="8">
        <v>42778.75513888889</v>
      </c>
      <c r="B159" s="20" t="s">
        <v>432</v>
      </c>
      <c r="C159" s="20" t="s">
        <v>682</v>
      </c>
      <c r="D159" s="150">
        <v>1800000</v>
      </c>
      <c r="E159" s="20" t="s">
        <v>273</v>
      </c>
      <c r="F159" s="20" t="s">
        <v>274</v>
      </c>
      <c r="G159" s="8" t="str">
        <f t="shared" si="2"/>
        <v>CHANDLER KELVIN</v>
      </c>
    </row>
    <row r="160" spans="1:7" x14ac:dyDescent="0.25">
      <c r="A160" s="8">
        <v>42778.757962962962</v>
      </c>
      <c r="B160" s="20" t="s">
        <v>196</v>
      </c>
      <c r="C160" s="20" t="s">
        <v>683</v>
      </c>
      <c r="D160" s="150">
        <v>2230000</v>
      </c>
      <c r="E160" s="20" t="s">
        <v>463</v>
      </c>
      <c r="F160" s="20" t="s">
        <v>204</v>
      </c>
      <c r="G160" s="8" t="str">
        <f t="shared" si="2"/>
        <v>SMITH MICHAEL</v>
      </c>
    </row>
    <row r="161" spans="1:7" x14ac:dyDescent="0.25">
      <c r="A161" s="8">
        <v>42778.761863425927</v>
      </c>
      <c r="B161" s="20" t="s">
        <v>229</v>
      </c>
      <c r="C161" s="20" t="s">
        <v>684</v>
      </c>
      <c r="D161" s="150">
        <v>1540000</v>
      </c>
      <c r="E161" s="20" t="s">
        <v>433</v>
      </c>
      <c r="F161" s="20" t="s">
        <v>434</v>
      </c>
      <c r="G161" s="8" t="str">
        <f t="shared" si="2"/>
        <v>HELVIE ADAM</v>
      </c>
    </row>
    <row r="162" spans="1:7" x14ac:dyDescent="0.25">
      <c r="A162" s="8">
        <v>42778.762407407405</v>
      </c>
      <c r="B162" s="20" t="s">
        <v>233</v>
      </c>
      <c r="C162" s="20" t="s">
        <v>685</v>
      </c>
      <c r="D162" s="150">
        <v>2250000</v>
      </c>
      <c r="E162" s="20" t="s">
        <v>464</v>
      </c>
      <c r="F162" s="20" t="s">
        <v>465</v>
      </c>
      <c r="G162" s="8" t="str">
        <f t="shared" si="2"/>
        <v>CRAYTON QUNTRELL</v>
      </c>
    </row>
    <row r="163" spans="1:7" x14ac:dyDescent="0.25">
      <c r="A163" s="8">
        <v>42778.765324074076</v>
      </c>
      <c r="B163" s="20" t="s">
        <v>234</v>
      </c>
      <c r="C163" s="20" t="s">
        <v>686</v>
      </c>
      <c r="D163" s="150">
        <v>2000000</v>
      </c>
      <c r="E163" s="20" t="s">
        <v>260</v>
      </c>
      <c r="F163" s="20" t="s">
        <v>201</v>
      </c>
      <c r="G163" s="8" t="str">
        <f t="shared" si="2"/>
        <v>STAMBAUGH JAMES</v>
      </c>
    </row>
    <row r="164" spans="1:7" x14ac:dyDescent="0.25">
      <c r="A164" s="8">
        <v>42778.773368055554</v>
      </c>
      <c r="B164" s="20" t="s">
        <v>425</v>
      </c>
      <c r="C164" s="20" t="s">
        <v>687</v>
      </c>
      <c r="D164" s="150">
        <v>2630000</v>
      </c>
      <c r="E164" s="20" t="s">
        <v>327</v>
      </c>
      <c r="F164" s="20" t="s">
        <v>328</v>
      </c>
      <c r="G164" s="8" t="str">
        <f t="shared" si="2"/>
        <v>SAFIEF AEIMEN</v>
      </c>
    </row>
    <row r="165" spans="1:7" x14ac:dyDescent="0.25">
      <c r="A165" s="8">
        <v>42778.77547453704</v>
      </c>
      <c r="B165" s="20" t="s">
        <v>228</v>
      </c>
      <c r="C165" s="20" t="s">
        <v>688</v>
      </c>
      <c r="D165" s="150">
        <v>1540000</v>
      </c>
      <c r="E165" s="20" t="s">
        <v>433</v>
      </c>
      <c r="F165" s="20" t="s">
        <v>434</v>
      </c>
      <c r="G165" s="8" t="str">
        <f t="shared" si="2"/>
        <v>HELVIE ADAM</v>
      </c>
    </row>
    <row r="166" spans="1:7" x14ac:dyDescent="0.25">
      <c r="A166" s="8">
        <v>42778.783194444448</v>
      </c>
      <c r="B166" s="20" t="s">
        <v>427</v>
      </c>
      <c r="C166" s="20" t="s">
        <v>689</v>
      </c>
      <c r="D166" s="150">
        <v>2030000</v>
      </c>
      <c r="E166" s="20" t="s">
        <v>461</v>
      </c>
      <c r="F166" s="20" t="s">
        <v>462</v>
      </c>
      <c r="G166" s="8" t="str">
        <f t="shared" si="2"/>
        <v>KILLION DAVID</v>
      </c>
    </row>
    <row r="167" spans="1:7" x14ac:dyDescent="0.25">
      <c r="A167" s="8">
        <v>42778.783668981479</v>
      </c>
      <c r="B167" s="20" t="s">
        <v>192</v>
      </c>
      <c r="C167" s="20" t="s">
        <v>690</v>
      </c>
      <c r="D167" s="150">
        <v>1770000</v>
      </c>
      <c r="E167" s="20" t="s">
        <v>435</v>
      </c>
      <c r="F167" s="20" t="s">
        <v>436</v>
      </c>
      <c r="G167" s="8" t="str">
        <f t="shared" si="2"/>
        <v>BRUDER RICHARD</v>
      </c>
    </row>
    <row r="168" spans="1:7" x14ac:dyDescent="0.25">
      <c r="A168" s="8">
        <v>42778.790543981479</v>
      </c>
      <c r="B168" s="20" t="s">
        <v>302</v>
      </c>
      <c r="C168" s="20" t="s">
        <v>691</v>
      </c>
      <c r="D168" s="150">
        <v>1800000</v>
      </c>
      <c r="E168" s="20" t="s">
        <v>273</v>
      </c>
      <c r="F168" s="20" t="s">
        <v>274</v>
      </c>
      <c r="G168" s="8" t="str">
        <f t="shared" si="2"/>
        <v>CHANDLER KELVIN</v>
      </c>
    </row>
    <row r="169" spans="1:7" x14ac:dyDescent="0.25">
      <c r="A169" s="8">
        <v>42778.794386574074</v>
      </c>
      <c r="B169" s="20" t="s">
        <v>329</v>
      </c>
      <c r="C169" s="20" t="s">
        <v>692</v>
      </c>
      <c r="D169" s="150">
        <v>2230000</v>
      </c>
      <c r="E169" s="20" t="s">
        <v>463</v>
      </c>
      <c r="F169" s="20" t="s">
        <v>204</v>
      </c>
      <c r="G169" s="8" t="str">
        <f t="shared" si="2"/>
        <v>SMITH MICHAEL</v>
      </c>
    </row>
    <row r="170" spans="1:7" x14ac:dyDescent="0.25">
      <c r="A170" s="8">
        <v>42778.79792824074</v>
      </c>
      <c r="B170" s="20" t="s">
        <v>298</v>
      </c>
      <c r="C170" s="20" t="s">
        <v>693</v>
      </c>
      <c r="D170" s="150">
        <v>2250000</v>
      </c>
      <c r="E170" s="20" t="s">
        <v>464</v>
      </c>
      <c r="F170" s="20" t="s">
        <v>465</v>
      </c>
      <c r="G170" s="8" t="str">
        <f t="shared" si="2"/>
        <v>CRAYTON QUNTRELL</v>
      </c>
    </row>
    <row r="171" spans="1:7" x14ac:dyDescent="0.25">
      <c r="A171" s="8">
        <v>42778.80196759259</v>
      </c>
      <c r="B171" s="20" t="s">
        <v>211</v>
      </c>
      <c r="C171" s="20" t="s">
        <v>694</v>
      </c>
      <c r="D171" s="150">
        <v>2000000</v>
      </c>
      <c r="E171" s="20" t="s">
        <v>260</v>
      </c>
      <c r="F171" s="20" t="s">
        <v>201</v>
      </c>
      <c r="G171" s="8" t="str">
        <f t="shared" si="2"/>
        <v>STAMBAUGH JAMES</v>
      </c>
    </row>
    <row r="172" spans="1:7" x14ac:dyDescent="0.25">
      <c r="A172" s="8">
        <v>42778.80431712963</v>
      </c>
      <c r="B172" s="20" t="s">
        <v>229</v>
      </c>
      <c r="C172" s="20" t="s">
        <v>695</v>
      </c>
      <c r="D172" s="150">
        <v>1540000</v>
      </c>
      <c r="E172" s="20" t="s">
        <v>433</v>
      </c>
      <c r="F172" s="20" t="s">
        <v>434</v>
      </c>
      <c r="G172" s="8" t="str">
        <f t="shared" si="2"/>
        <v>HELVIE ADAM</v>
      </c>
    </row>
    <row r="173" spans="1:7" x14ac:dyDescent="0.25">
      <c r="A173" s="8">
        <v>42778.810497685183</v>
      </c>
      <c r="B173" s="20" t="s">
        <v>240</v>
      </c>
      <c r="C173" s="20" t="s">
        <v>696</v>
      </c>
      <c r="D173" s="150">
        <v>2630000</v>
      </c>
      <c r="E173" s="20" t="s">
        <v>327</v>
      </c>
      <c r="F173" s="20" t="s">
        <v>328</v>
      </c>
      <c r="G173" s="8" t="str">
        <f t="shared" si="2"/>
        <v>SAFIEF AEIMEN</v>
      </c>
    </row>
    <row r="174" spans="1:7" x14ac:dyDescent="0.25">
      <c r="A174" s="8">
        <v>42778.81758101852</v>
      </c>
      <c r="B174" s="20" t="s">
        <v>228</v>
      </c>
      <c r="C174" s="20" t="s">
        <v>697</v>
      </c>
      <c r="D174" s="150">
        <v>1540000</v>
      </c>
      <c r="E174" s="20" t="s">
        <v>433</v>
      </c>
      <c r="F174" s="20" t="s">
        <v>434</v>
      </c>
      <c r="G174" s="8" t="str">
        <f t="shared" si="2"/>
        <v>HELVIE ADAM</v>
      </c>
    </row>
    <row r="175" spans="1:7" x14ac:dyDescent="0.25">
      <c r="A175" s="8">
        <v>42778.820405092592</v>
      </c>
      <c r="B175" s="20" t="s">
        <v>426</v>
      </c>
      <c r="C175" s="20" t="s">
        <v>698</v>
      </c>
      <c r="D175" s="150">
        <v>2030000</v>
      </c>
      <c r="E175" s="20" t="s">
        <v>461</v>
      </c>
      <c r="F175" s="20" t="s">
        <v>462</v>
      </c>
      <c r="G175" s="8" t="str">
        <f t="shared" si="2"/>
        <v>KILLION DAVID</v>
      </c>
    </row>
    <row r="176" spans="1:7" x14ac:dyDescent="0.25">
      <c r="A176" s="8">
        <v>42778.8278125</v>
      </c>
      <c r="B176" s="20" t="s">
        <v>432</v>
      </c>
      <c r="C176" s="20" t="s">
        <v>699</v>
      </c>
      <c r="D176" s="150">
        <v>1800000</v>
      </c>
      <c r="E176" s="20" t="s">
        <v>273</v>
      </c>
      <c r="F176" s="20" t="s">
        <v>274</v>
      </c>
      <c r="G176" s="8" t="str">
        <f t="shared" si="2"/>
        <v>CHANDLER KELVIN</v>
      </c>
    </row>
    <row r="177" spans="1:7" x14ac:dyDescent="0.25">
      <c r="A177" s="8">
        <v>42778.829571759263</v>
      </c>
      <c r="B177" s="20" t="s">
        <v>196</v>
      </c>
      <c r="C177" s="20" t="s">
        <v>700</v>
      </c>
      <c r="D177" s="150">
        <v>2230000</v>
      </c>
      <c r="E177" s="20" t="s">
        <v>463</v>
      </c>
      <c r="F177" s="20" t="s">
        <v>204</v>
      </c>
      <c r="G177" s="8" t="str">
        <f t="shared" si="2"/>
        <v>SMITH MICHAEL</v>
      </c>
    </row>
    <row r="178" spans="1:7" x14ac:dyDescent="0.25">
      <c r="A178" s="8">
        <v>42778.838807870372</v>
      </c>
      <c r="B178" s="20" t="s">
        <v>234</v>
      </c>
      <c r="C178" s="20" t="s">
        <v>701</v>
      </c>
      <c r="D178" s="150">
        <v>2000000</v>
      </c>
      <c r="E178" s="20" t="s">
        <v>260</v>
      </c>
      <c r="F178" s="20" t="s">
        <v>201</v>
      </c>
      <c r="G178" s="8" t="str">
        <f t="shared" si="2"/>
        <v>STAMBAUGH JAMES</v>
      </c>
    </row>
    <row r="179" spans="1:7" x14ac:dyDescent="0.25">
      <c r="A179" s="8">
        <v>42778.845532407409</v>
      </c>
      <c r="B179" s="20" t="s">
        <v>229</v>
      </c>
      <c r="C179" s="20" t="s">
        <v>702</v>
      </c>
      <c r="D179" s="150">
        <v>1540000</v>
      </c>
      <c r="E179" s="20" t="s">
        <v>433</v>
      </c>
      <c r="F179" s="20" t="s">
        <v>434</v>
      </c>
      <c r="G179" s="8" t="str">
        <f t="shared" si="2"/>
        <v>HELVIE ADAM</v>
      </c>
    </row>
    <row r="180" spans="1:7" x14ac:dyDescent="0.25">
      <c r="A180" s="8">
        <v>42778.850138888891</v>
      </c>
      <c r="B180" s="20" t="s">
        <v>425</v>
      </c>
      <c r="C180" s="20" t="s">
        <v>703</v>
      </c>
      <c r="D180" s="150">
        <v>2630000</v>
      </c>
      <c r="E180" s="20" t="s">
        <v>327</v>
      </c>
      <c r="F180" s="20" t="s">
        <v>328</v>
      </c>
      <c r="G180" s="8" t="str">
        <f t="shared" si="2"/>
        <v>SAFIEF AEIMEN</v>
      </c>
    </row>
    <row r="181" spans="1:7" x14ac:dyDescent="0.25">
      <c r="A181" s="8">
        <v>42778.858981481484</v>
      </c>
      <c r="B181" s="20" t="s">
        <v>228</v>
      </c>
      <c r="C181" s="20" t="s">
        <v>534</v>
      </c>
      <c r="D181" s="150">
        <v>1540000</v>
      </c>
      <c r="E181" s="20" t="s">
        <v>433</v>
      </c>
      <c r="F181" s="20" t="s">
        <v>434</v>
      </c>
      <c r="G181" s="8" t="str">
        <f t="shared" si="2"/>
        <v>HELVIE ADAM</v>
      </c>
    </row>
    <row r="182" spans="1:7" x14ac:dyDescent="0.25">
      <c r="A182" s="8">
        <v>42778.861539351848</v>
      </c>
      <c r="B182" s="20" t="s">
        <v>329</v>
      </c>
      <c r="C182" s="20" t="s">
        <v>704</v>
      </c>
      <c r="D182" s="150">
        <v>2230000</v>
      </c>
      <c r="E182" s="20" t="s">
        <v>463</v>
      </c>
      <c r="F182" s="20" t="s">
        <v>204</v>
      </c>
      <c r="G182" s="8" t="str">
        <f t="shared" si="2"/>
        <v>SMITH MICHAEL</v>
      </c>
    </row>
    <row r="183" spans="1:7" x14ac:dyDescent="0.25">
      <c r="A183" s="8">
        <v>42778.870798611111</v>
      </c>
      <c r="B183" s="20" t="s">
        <v>302</v>
      </c>
      <c r="C183" s="20" t="s">
        <v>705</v>
      </c>
      <c r="D183" s="150">
        <v>1800000</v>
      </c>
      <c r="E183" s="20" t="s">
        <v>273</v>
      </c>
      <c r="F183" s="20" t="s">
        <v>274</v>
      </c>
      <c r="G183" s="8" t="str">
        <f t="shared" si="2"/>
        <v>CHANDLER KELVIN</v>
      </c>
    </row>
    <row r="184" spans="1:7" x14ac:dyDescent="0.25">
      <c r="A184" s="8">
        <v>42778.888229166667</v>
      </c>
      <c r="B184" s="20" t="s">
        <v>229</v>
      </c>
      <c r="C184" s="20" t="s">
        <v>706</v>
      </c>
      <c r="D184" s="150">
        <v>1540000</v>
      </c>
      <c r="E184" s="20" t="s">
        <v>433</v>
      </c>
      <c r="F184" s="20" t="s">
        <v>434</v>
      </c>
      <c r="G184" s="8" t="str">
        <f t="shared" si="2"/>
        <v>HELVIE ADAM</v>
      </c>
    </row>
    <row r="185" spans="1:7" x14ac:dyDescent="0.25">
      <c r="A185" s="8">
        <v>42778.892013888886</v>
      </c>
      <c r="B185" s="20" t="s">
        <v>240</v>
      </c>
      <c r="C185" s="20" t="s">
        <v>707</v>
      </c>
      <c r="D185" s="150">
        <v>2630000</v>
      </c>
      <c r="E185" s="20" t="s">
        <v>327</v>
      </c>
      <c r="F185" s="20" t="s">
        <v>328</v>
      </c>
      <c r="G185" s="8" t="str">
        <f t="shared" si="2"/>
        <v>SAFIEF AEIMEN</v>
      </c>
    </row>
    <row r="186" spans="1:7" x14ac:dyDescent="0.25">
      <c r="A186" s="8">
        <v>42778.892407407409</v>
      </c>
      <c r="B186" s="20" t="s">
        <v>211</v>
      </c>
      <c r="C186" s="20" t="s">
        <v>708</v>
      </c>
      <c r="D186" s="150">
        <v>2000000</v>
      </c>
      <c r="E186" s="20" t="s">
        <v>260</v>
      </c>
      <c r="F186" s="20" t="s">
        <v>201</v>
      </c>
      <c r="G186" s="8" t="str">
        <f t="shared" si="2"/>
        <v>STAMBAUGH JAMES</v>
      </c>
    </row>
    <row r="187" spans="1:7" x14ac:dyDescent="0.25">
      <c r="A187" s="8">
        <v>42778.901076388887</v>
      </c>
      <c r="B187" s="20" t="s">
        <v>228</v>
      </c>
      <c r="C187" s="20" t="s">
        <v>709</v>
      </c>
      <c r="D187" s="150">
        <v>1540000</v>
      </c>
      <c r="E187" s="20" t="s">
        <v>433</v>
      </c>
      <c r="F187" s="20" t="s">
        <v>434</v>
      </c>
      <c r="G187" s="8" t="str">
        <f t="shared" si="2"/>
        <v>HELVIE ADAM</v>
      </c>
    </row>
    <row r="188" spans="1:7" x14ac:dyDescent="0.25">
      <c r="A188" s="8">
        <v>42778.906817129631</v>
      </c>
      <c r="B188" s="20" t="s">
        <v>196</v>
      </c>
      <c r="C188" s="20" t="s">
        <v>535</v>
      </c>
      <c r="D188" s="150">
        <v>2230000</v>
      </c>
      <c r="E188" s="20" t="s">
        <v>463</v>
      </c>
      <c r="F188" s="20" t="s">
        <v>204</v>
      </c>
      <c r="G188" s="8" t="str">
        <f t="shared" si="2"/>
        <v>SMITH MICHAEL</v>
      </c>
    </row>
    <row r="189" spans="1:7" x14ac:dyDescent="0.25">
      <c r="A189" s="8">
        <v>42778.913541666669</v>
      </c>
      <c r="B189" s="20" t="s">
        <v>432</v>
      </c>
      <c r="C189" s="20" t="s">
        <v>710</v>
      </c>
      <c r="D189" s="150">
        <v>1800000</v>
      </c>
      <c r="E189" s="20" t="s">
        <v>273</v>
      </c>
      <c r="F189" s="20" t="s">
        <v>274</v>
      </c>
      <c r="G189" s="8" t="str">
        <f t="shared" si="2"/>
        <v>CHANDLER KELVIN</v>
      </c>
    </row>
    <row r="190" spans="1:7" x14ac:dyDescent="0.25">
      <c r="A190" s="8">
        <v>42778.923645833333</v>
      </c>
      <c r="B190" s="20" t="s">
        <v>234</v>
      </c>
      <c r="C190" s="20" t="s">
        <v>711</v>
      </c>
      <c r="D190" s="150">
        <v>2000000</v>
      </c>
      <c r="E190" s="20" t="s">
        <v>260</v>
      </c>
      <c r="F190" s="20" t="s">
        <v>201</v>
      </c>
      <c r="G190" s="8" t="str">
        <f t="shared" si="2"/>
        <v>STAMBAUGH JAMES</v>
      </c>
    </row>
    <row r="191" spans="1:7" x14ac:dyDescent="0.25">
      <c r="A191" s="8">
        <v>42778.928981481484</v>
      </c>
      <c r="B191" s="20" t="s">
        <v>229</v>
      </c>
      <c r="C191" s="20" t="s">
        <v>712</v>
      </c>
      <c r="D191" s="150">
        <v>1540000</v>
      </c>
      <c r="E191" s="20" t="s">
        <v>433</v>
      </c>
      <c r="F191" s="20" t="s">
        <v>434</v>
      </c>
      <c r="G191" s="8" t="str">
        <f t="shared" si="2"/>
        <v>HELVIE ADAM</v>
      </c>
    </row>
    <row r="192" spans="1:7" x14ac:dyDescent="0.25">
      <c r="A192" s="8">
        <v>42778.929710648146</v>
      </c>
      <c r="B192" s="20" t="s">
        <v>425</v>
      </c>
      <c r="C192" s="20" t="s">
        <v>713</v>
      </c>
      <c r="D192" s="150">
        <v>2630000</v>
      </c>
      <c r="E192" s="20" t="s">
        <v>327</v>
      </c>
      <c r="F192" s="20" t="s">
        <v>328</v>
      </c>
      <c r="G192" s="8" t="str">
        <f t="shared" si="2"/>
        <v>SAFIEF AEIMEN</v>
      </c>
    </row>
    <row r="193" spans="1:7" x14ac:dyDescent="0.25">
      <c r="A193" s="8">
        <v>42778.941504629627</v>
      </c>
      <c r="B193" s="20" t="s">
        <v>228</v>
      </c>
      <c r="C193" s="20" t="s">
        <v>714</v>
      </c>
      <c r="D193" s="150">
        <v>1540000</v>
      </c>
      <c r="E193" s="20" t="s">
        <v>433</v>
      </c>
      <c r="F193" s="20" t="s">
        <v>434</v>
      </c>
      <c r="G193" s="8" t="str">
        <f t="shared" si="2"/>
        <v>HELVIE ADAM</v>
      </c>
    </row>
    <row r="194" spans="1:7" x14ac:dyDescent="0.25">
      <c r="A194" s="8">
        <v>42778.945150462961</v>
      </c>
      <c r="B194" s="20" t="s">
        <v>329</v>
      </c>
      <c r="C194" s="20" t="s">
        <v>715</v>
      </c>
      <c r="D194" s="150">
        <v>2230000</v>
      </c>
      <c r="E194" s="20" t="s">
        <v>463</v>
      </c>
      <c r="F194" s="20" t="s">
        <v>204</v>
      </c>
      <c r="G194" s="8" t="str">
        <f t="shared" si="2"/>
        <v>SMITH MICHAEL</v>
      </c>
    </row>
    <row r="195" spans="1:7" x14ac:dyDescent="0.25">
      <c r="A195" s="8">
        <v>42778.956574074073</v>
      </c>
      <c r="B195" s="20" t="s">
        <v>302</v>
      </c>
      <c r="C195" s="20" t="s">
        <v>716</v>
      </c>
      <c r="D195" s="150">
        <v>1800000</v>
      </c>
      <c r="E195" s="20" t="s">
        <v>273</v>
      </c>
      <c r="F195" s="20" t="s">
        <v>274</v>
      </c>
      <c r="G195" s="8" t="str">
        <f t="shared" ref="G195:G258" si="3">E195&amp;" "&amp;F195</f>
        <v>CHANDLER KELVIN</v>
      </c>
    </row>
    <row r="196" spans="1:7" x14ac:dyDescent="0.25">
      <c r="A196" s="8">
        <v>42778.971099537041</v>
      </c>
      <c r="B196" s="20" t="s">
        <v>240</v>
      </c>
      <c r="C196" s="20" t="s">
        <v>717</v>
      </c>
      <c r="D196" s="150">
        <v>2630000</v>
      </c>
      <c r="E196" s="20" t="s">
        <v>327</v>
      </c>
      <c r="F196" s="20" t="s">
        <v>328</v>
      </c>
      <c r="G196" s="8" t="str">
        <f t="shared" si="3"/>
        <v>SAFIEF AEIMEN</v>
      </c>
    </row>
    <row r="197" spans="1:7" x14ac:dyDescent="0.25">
      <c r="A197" s="8">
        <v>42778.975659722222</v>
      </c>
      <c r="B197" s="20" t="s">
        <v>211</v>
      </c>
      <c r="C197" s="20" t="s">
        <v>718</v>
      </c>
      <c r="D197" s="150">
        <v>2000000</v>
      </c>
      <c r="E197" s="20" t="s">
        <v>260</v>
      </c>
      <c r="F197" s="20" t="s">
        <v>201</v>
      </c>
      <c r="G197" s="8" t="str">
        <f t="shared" si="3"/>
        <v>STAMBAUGH JAMES</v>
      </c>
    </row>
    <row r="198" spans="1:7" x14ac:dyDescent="0.25">
      <c r="A198" s="8">
        <v>42778.99077546296</v>
      </c>
      <c r="B198" s="20" t="s">
        <v>196</v>
      </c>
      <c r="C198" s="20" t="s">
        <v>719</v>
      </c>
      <c r="D198" s="150">
        <v>2230000</v>
      </c>
      <c r="E198" s="20" t="s">
        <v>463</v>
      </c>
      <c r="F198" s="20" t="s">
        <v>204</v>
      </c>
      <c r="G198" s="8" t="str">
        <f t="shared" si="3"/>
        <v>SMITH MICHAEL</v>
      </c>
    </row>
    <row r="199" spans="1:7" x14ac:dyDescent="0.25">
      <c r="A199" s="8">
        <v>42778.996006944442</v>
      </c>
      <c r="B199" s="20" t="s">
        <v>432</v>
      </c>
      <c r="C199" s="20" t="s">
        <v>720</v>
      </c>
      <c r="D199" s="150">
        <v>1800000</v>
      </c>
      <c r="E199" s="20" t="s">
        <v>273</v>
      </c>
      <c r="F199" s="20" t="s">
        <v>274</v>
      </c>
      <c r="G199" s="8" t="str">
        <f t="shared" si="3"/>
        <v>CHANDLER KELVIN</v>
      </c>
    </row>
    <row r="200" spans="1:7" x14ac:dyDescent="0.25">
      <c r="A200" s="8">
        <v>42779.007719907408</v>
      </c>
      <c r="B200" s="20" t="s">
        <v>234</v>
      </c>
      <c r="C200" s="20" t="s">
        <v>721</v>
      </c>
      <c r="D200" s="150">
        <v>2000000</v>
      </c>
      <c r="E200" s="20" t="s">
        <v>260</v>
      </c>
      <c r="F200" s="20" t="s">
        <v>201</v>
      </c>
      <c r="G200" s="8" t="str">
        <f t="shared" si="3"/>
        <v>STAMBAUGH JAMES</v>
      </c>
    </row>
    <row r="201" spans="1:7" x14ac:dyDescent="0.25">
      <c r="A201" s="8">
        <v>42779.007731481484</v>
      </c>
      <c r="B201" s="20" t="s">
        <v>425</v>
      </c>
      <c r="C201" s="20" t="s">
        <v>722</v>
      </c>
      <c r="D201" s="150">
        <v>2630000</v>
      </c>
      <c r="E201" s="20" t="s">
        <v>327</v>
      </c>
      <c r="F201" s="20" t="s">
        <v>328</v>
      </c>
      <c r="G201" s="8" t="str">
        <f t="shared" si="3"/>
        <v>SAFIEF AEIMEN</v>
      </c>
    </row>
    <row r="202" spans="1:7" x14ac:dyDescent="0.25">
      <c r="A202" s="26">
        <v>42779.02752314815</v>
      </c>
      <c r="B202" s="20" t="s">
        <v>329</v>
      </c>
      <c r="C202" s="20" t="s">
        <v>723</v>
      </c>
      <c r="D202" s="150">
        <v>2230000</v>
      </c>
      <c r="E202" s="20" t="s">
        <v>463</v>
      </c>
      <c r="F202" s="20" t="s">
        <v>204</v>
      </c>
      <c r="G202" s="8" t="str">
        <f t="shared" si="3"/>
        <v>SMITH MICHAEL</v>
      </c>
    </row>
    <row r="203" spans="1:7" x14ac:dyDescent="0.25">
      <c r="A203" s="8">
        <v>42779.028391203705</v>
      </c>
      <c r="B203" s="20" t="s">
        <v>302</v>
      </c>
      <c r="C203" s="20" t="s">
        <v>724</v>
      </c>
      <c r="D203" s="150">
        <v>1800000</v>
      </c>
      <c r="E203" s="20" t="s">
        <v>273</v>
      </c>
      <c r="F203" s="20" t="s">
        <v>274</v>
      </c>
      <c r="G203" s="8" t="str">
        <f t="shared" si="3"/>
        <v>CHANDLER KELVIN</v>
      </c>
    </row>
    <row r="204" spans="1:7" x14ac:dyDescent="0.25">
      <c r="A204" s="8">
        <v>42779.04886574074</v>
      </c>
      <c r="B204" s="20" t="s">
        <v>240</v>
      </c>
      <c r="C204" s="20" t="s">
        <v>725</v>
      </c>
      <c r="D204" s="150">
        <v>2630000</v>
      </c>
      <c r="E204" s="20" t="s">
        <v>327</v>
      </c>
      <c r="F204" s="20" t="s">
        <v>328</v>
      </c>
      <c r="G204" s="8" t="str">
        <f t="shared" si="3"/>
        <v>SAFIEF AEIMEN</v>
      </c>
    </row>
    <row r="205" spans="1:7" x14ac:dyDescent="0.25">
      <c r="A205" s="8">
        <v>42779.059178240743</v>
      </c>
      <c r="B205" s="20" t="s">
        <v>211</v>
      </c>
      <c r="C205" s="20" t="s">
        <v>726</v>
      </c>
      <c r="D205" s="150">
        <v>2000000</v>
      </c>
      <c r="E205" s="20" t="s">
        <v>260</v>
      </c>
      <c r="F205" s="20" t="s">
        <v>201</v>
      </c>
      <c r="G205" s="8" t="str">
        <f t="shared" si="3"/>
        <v>STAMBAUGH JAMES</v>
      </c>
    </row>
    <row r="206" spans="1:7" x14ac:dyDescent="0.25">
      <c r="A206" s="8">
        <v>42779.070347222223</v>
      </c>
      <c r="B206" s="20" t="s">
        <v>196</v>
      </c>
      <c r="C206" s="20" t="s">
        <v>727</v>
      </c>
      <c r="D206" s="150">
        <v>2230000</v>
      </c>
      <c r="E206" s="20" t="s">
        <v>463</v>
      </c>
      <c r="F206" s="20" t="s">
        <v>204</v>
      </c>
      <c r="G206" s="8" t="str">
        <f t="shared" si="3"/>
        <v>SMITH MICHAEL</v>
      </c>
    </row>
    <row r="207" spans="1:7" x14ac:dyDescent="0.25">
      <c r="A207" s="8">
        <v>42779.089942129627</v>
      </c>
      <c r="B207" s="20" t="s">
        <v>234</v>
      </c>
      <c r="C207" s="20" t="s">
        <v>728</v>
      </c>
      <c r="D207" s="150">
        <v>2000000</v>
      </c>
      <c r="E207" s="20" t="s">
        <v>260</v>
      </c>
      <c r="F207" s="20" t="s">
        <v>201</v>
      </c>
      <c r="G207" s="8" t="str">
        <f t="shared" si="3"/>
        <v>STAMBAUGH JAMES</v>
      </c>
    </row>
    <row r="208" spans="1:7" x14ac:dyDescent="0.25">
      <c r="A208" s="8">
        <v>42775.904849537037</v>
      </c>
      <c r="B208" s="20" t="s">
        <v>326</v>
      </c>
      <c r="C208" s="20" t="s">
        <v>466</v>
      </c>
      <c r="D208" s="150">
        <v>2360000</v>
      </c>
      <c r="E208" s="20" t="s">
        <v>467</v>
      </c>
      <c r="F208" s="20" t="s">
        <v>468</v>
      </c>
      <c r="G208" s="8" t="str">
        <f t="shared" si="3"/>
        <v>BRANDNER MELINDA</v>
      </c>
    </row>
    <row r="209" spans="1:7" x14ac:dyDescent="0.25">
      <c r="A209" s="8">
        <v>42775.910428240742</v>
      </c>
      <c r="B209" s="20" t="s">
        <v>314</v>
      </c>
      <c r="C209" s="20" t="s">
        <v>469</v>
      </c>
      <c r="D209" s="150">
        <v>1800000</v>
      </c>
      <c r="E209" s="20" t="s">
        <v>273</v>
      </c>
      <c r="F209" s="20" t="s">
        <v>274</v>
      </c>
      <c r="G209" s="8" t="str">
        <f t="shared" si="3"/>
        <v>CHANDLER KELVIN</v>
      </c>
    </row>
    <row r="210" spans="1:7" x14ac:dyDescent="0.25">
      <c r="A210" s="8">
        <v>42775.92082175926</v>
      </c>
      <c r="B210" s="20" t="s">
        <v>340</v>
      </c>
      <c r="C210" s="20" t="s">
        <v>470</v>
      </c>
      <c r="D210" s="150">
        <v>2220000</v>
      </c>
      <c r="E210" s="20" t="s">
        <v>223</v>
      </c>
      <c r="F210" s="20" t="s">
        <v>224</v>
      </c>
      <c r="G210" s="8" t="str">
        <f t="shared" si="3"/>
        <v>HILLS DUSTIN</v>
      </c>
    </row>
    <row r="211" spans="1:7" x14ac:dyDescent="0.25">
      <c r="A211" s="8">
        <v>42775.926493055558</v>
      </c>
      <c r="B211" s="20" t="s">
        <v>302</v>
      </c>
      <c r="C211" s="20" t="s">
        <v>471</v>
      </c>
      <c r="D211" s="150">
        <v>1740000</v>
      </c>
      <c r="E211" s="20" t="s">
        <v>237</v>
      </c>
      <c r="F211" s="20" t="s">
        <v>238</v>
      </c>
      <c r="G211" s="8" t="str">
        <f t="shared" si="3"/>
        <v>STORY SAMANTHA</v>
      </c>
    </row>
    <row r="212" spans="1:7" x14ac:dyDescent="0.25">
      <c r="A212" s="8">
        <v>42775.928217592591</v>
      </c>
      <c r="B212" s="20" t="s">
        <v>211</v>
      </c>
      <c r="C212" s="20" t="s">
        <v>453</v>
      </c>
      <c r="D212" s="150">
        <v>2480000</v>
      </c>
      <c r="E212" s="20" t="s">
        <v>472</v>
      </c>
      <c r="F212" s="20" t="s">
        <v>224</v>
      </c>
      <c r="G212" s="8" t="str">
        <f t="shared" si="3"/>
        <v>WHITED DUSTIN</v>
      </c>
    </row>
    <row r="213" spans="1:7" x14ac:dyDescent="0.25">
      <c r="A213" s="8">
        <v>42775.942928240744</v>
      </c>
      <c r="B213" s="20" t="s">
        <v>432</v>
      </c>
      <c r="C213" s="20" t="s">
        <v>473</v>
      </c>
      <c r="D213" s="150">
        <v>1740000</v>
      </c>
      <c r="E213" s="20" t="s">
        <v>237</v>
      </c>
      <c r="F213" s="20" t="s">
        <v>238</v>
      </c>
      <c r="G213" s="8" t="str">
        <f t="shared" si="3"/>
        <v>STORY SAMANTHA</v>
      </c>
    </row>
    <row r="214" spans="1:7" x14ac:dyDescent="0.25">
      <c r="A214" s="8">
        <v>42775.949166666665</v>
      </c>
      <c r="B214" s="20" t="s">
        <v>330</v>
      </c>
      <c r="C214" s="20" t="s">
        <v>474</v>
      </c>
      <c r="D214" s="150">
        <v>2360000</v>
      </c>
      <c r="E214" s="20" t="s">
        <v>467</v>
      </c>
      <c r="F214" s="20" t="s">
        <v>468</v>
      </c>
      <c r="G214" s="8" t="str">
        <f t="shared" si="3"/>
        <v>BRANDNER MELINDA</v>
      </c>
    </row>
    <row r="215" spans="1:7" x14ac:dyDescent="0.25">
      <c r="A215" s="8">
        <v>42775.956921296296</v>
      </c>
      <c r="B215" s="20" t="s">
        <v>337</v>
      </c>
      <c r="C215" s="20" t="s">
        <v>475</v>
      </c>
      <c r="D215" s="150">
        <v>1800000</v>
      </c>
      <c r="E215" s="20" t="s">
        <v>273</v>
      </c>
      <c r="F215" s="20" t="s">
        <v>274</v>
      </c>
      <c r="G215" s="8" t="str">
        <f t="shared" si="3"/>
        <v>CHANDLER KELVIN</v>
      </c>
    </row>
    <row r="216" spans="1:7" x14ac:dyDescent="0.25">
      <c r="A216" s="8">
        <v>42775.964097222219</v>
      </c>
      <c r="B216" s="20" t="s">
        <v>259</v>
      </c>
      <c r="C216" s="20" t="s">
        <v>476</v>
      </c>
      <c r="D216" s="150">
        <v>2220000</v>
      </c>
      <c r="E216" s="20" t="s">
        <v>223</v>
      </c>
      <c r="F216" s="20" t="s">
        <v>224</v>
      </c>
      <c r="G216" s="8" t="str">
        <f t="shared" si="3"/>
        <v>HILLS DUSTIN</v>
      </c>
    </row>
    <row r="217" spans="1:7" x14ac:dyDescent="0.25">
      <c r="A217" s="8">
        <v>42775.975462962961</v>
      </c>
      <c r="B217" s="20" t="s">
        <v>234</v>
      </c>
      <c r="C217" s="20" t="s">
        <v>477</v>
      </c>
      <c r="D217" s="150">
        <v>2370000</v>
      </c>
      <c r="E217" s="20" t="s">
        <v>437</v>
      </c>
      <c r="F217" s="20" t="s">
        <v>438</v>
      </c>
      <c r="G217" s="8" t="str">
        <f t="shared" si="3"/>
        <v>DELGADO DIANAH</v>
      </c>
    </row>
    <row r="218" spans="1:7" x14ac:dyDescent="0.25">
      <c r="A218" s="8">
        <v>42775.995509259257</v>
      </c>
      <c r="B218" s="20" t="s">
        <v>314</v>
      </c>
      <c r="C218" s="20" t="s">
        <v>478</v>
      </c>
      <c r="D218" s="150">
        <v>1800000</v>
      </c>
      <c r="E218" s="20" t="s">
        <v>273</v>
      </c>
      <c r="F218" s="20" t="s">
        <v>274</v>
      </c>
      <c r="G218" s="8" t="str">
        <f t="shared" si="3"/>
        <v>CHANDLER KELVIN</v>
      </c>
    </row>
    <row r="219" spans="1:7" x14ac:dyDescent="0.25">
      <c r="A219" s="8">
        <v>42775.996261574073</v>
      </c>
      <c r="B219" s="20" t="s">
        <v>326</v>
      </c>
      <c r="C219" s="20" t="s">
        <v>479</v>
      </c>
      <c r="D219" s="150">
        <v>2270000</v>
      </c>
      <c r="E219" s="20" t="s">
        <v>241</v>
      </c>
      <c r="F219" s="20" t="s">
        <v>242</v>
      </c>
      <c r="G219" s="8" t="str">
        <f t="shared" si="3"/>
        <v>BROWN JACOB</v>
      </c>
    </row>
    <row r="220" spans="1:7" x14ac:dyDescent="0.25">
      <c r="A220" s="8">
        <v>42776.006631944445</v>
      </c>
      <c r="B220" s="20" t="s">
        <v>340</v>
      </c>
      <c r="C220" s="20" t="s">
        <v>480</v>
      </c>
      <c r="D220" s="150">
        <v>2220000</v>
      </c>
      <c r="E220" s="20" t="s">
        <v>223</v>
      </c>
      <c r="F220" s="20" t="s">
        <v>224</v>
      </c>
      <c r="G220" s="8" t="str">
        <f t="shared" si="3"/>
        <v>HILLS DUSTIN</v>
      </c>
    </row>
    <row r="221" spans="1:7" x14ac:dyDescent="0.25">
      <c r="A221" s="8">
        <v>42776.01</v>
      </c>
      <c r="B221" s="20" t="s">
        <v>211</v>
      </c>
      <c r="C221" s="20" t="s">
        <v>481</v>
      </c>
      <c r="D221" s="150">
        <v>2370000</v>
      </c>
      <c r="E221" s="20" t="s">
        <v>437</v>
      </c>
      <c r="F221" s="20" t="s">
        <v>438</v>
      </c>
      <c r="G221" s="8" t="str">
        <f t="shared" si="3"/>
        <v>DELGADO DIANAH</v>
      </c>
    </row>
    <row r="222" spans="1:7" x14ac:dyDescent="0.25">
      <c r="A222" s="8">
        <v>42776.012083333335</v>
      </c>
      <c r="B222" s="20" t="s">
        <v>326</v>
      </c>
      <c r="C222" s="20" t="s">
        <v>479</v>
      </c>
      <c r="D222" s="150">
        <v>2270000</v>
      </c>
      <c r="E222" s="20" t="s">
        <v>241</v>
      </c>
      <c r="F222" s="20" t="s">
        <v>242</v>
      </c>
      <c r="G222" s="8" t="str">
        <f t="shared" si="3"/>
        <v>BROWN JACOB</v>
      </c>
    </row>
    <row r="223" spans="1:7" x14ac:dyDescent="0.25">
      <c r="A223" s="8">
        <v>42776.029780092591</v>
      </c>
      <c r="B223" s="20" t="s">
        <v>337</v>
      </c>
      <c r="C223" s="20" t="s">
        <v>482</v>
      </c>
      <c r="D223" s="150">
        <v>1800000</v>
      </c>
      <c r="E223" s="20" t="s">
        <v>273</v>
      </c>
      <c r="F223" s="20" t="s">
        <v>274</v>
      </c>
      <c r="G223" s="8" t="str">
        <f t="shared" si="3"/>
        <v>CHANDLER KELVIN</v>
      </c>
    </row>
    <row r="224" spans="1:7" x14ac:dyDescent="0.25">
      <c r="A224" s="8">
        <v>42776.033425925925</v>
      </c>
      <c r="B224" t="s">
        <v>330</v>
      </c>
      <c r="C224" t="s">
        <v>454</v>
      </c>
      <c r="D224" s="150">
        <v>2270000</v>
      </c>
      <c r="E224" t="s">
        <v>241</v>
      </c>
      <c r="F224" s="20" t="s">
        <v>242</v>
      </c>
      <c r="G224" s="8" t="str">
        <f t="shared" si="3"/>
        <v>BROWN JACOB</v>
      </c>
    </row>
    <row r="225" spans="1:7" x14ac:dyDescent="0.25">
      <c r="A225" s="8">
        <v>42776.040891203702</v>
      </c>
      <c r="B225" t="s">
        <v>337</v>
      </c>
      <c r="C225" t="s">
        <v>482</v>
      </c>
      <c r="D225" s="150">
        <v>1800000</v>
      </c>
      <c r="E225" t="s">
        <v>273</v>
      </c>
      <c r="F225" s="20" t="s">
        <v>274</v>
      </c>
      <c r="G225" s="8" t="str">
        <f t="shared" si="3"/>
        <v>CHANDLER KELVIN</v>
      </c>
    </row>
    <row r="226" spans="1:7" x14ac:dyDescent="0.25">
      <c r="A226" s="8">
        <v>42776.046770833331</v>
      </c>
      <c r="B226" t="s">
        <v>234</v>
      </c>
      <c r="C226" t="s">
        <v>483</v>
      </c>
      <c r="D226" s="150">
        <v>2370000</v>
      </c>
      <c r="E226" t="s">
        <v>437</v>
      </c>
      <c r="F226" s="20" t="s">
        <v>438</v>
      </c>
      <c r="G226" s="8" t="str">
        <f t="shared" si="3"/>
        <v>DELGADO DIANAH</v>
      </c>
    </row>
    <row r="227" spans="1:7" x14ac:dyDescent="0.25">
      <c r="A227" s="8">
        <v>42776.047465277778</v>
      </c>
      <c r="B227" t="s">
        <v>259</v>
      </c>
      <c r="C227" t="s">
        <v>484</v>
      </c>
      <c r="D227" s="150">
        <v>2220000</v>
      </c>
      <c r="E227" t="s">
        <v>223</v>
      </c>
      <c r="F227" s="20" t="s">
        <v>224</v>
      </c>
      <c r="G227" s="8" t="str">
        <f t="shared" si="3"/>
        <v>HILLS DUSTIN</v>
      </c>
    </row>
    <row r="228" spans="1:7" x14ac:dyDescent="0.25">
      <c r="A228" s="8">
        <v>42776.069826388892</v>
      </c>
      <c r="B228" t="s">
        <v>326</v>
      </c>
      <c r="C228" t="s">
        <v>485</v>
      </c>
      <c r="D228" s="150">
        <v>2270000</v>
      </c>
      <c r="E228" t="s">
        <v>241</v>
      </c>
      <c r="F228" s="20" t="s">
        <v>242</v>
      </c>
      <c r="G228" s="8" t="str">
        <f t="shared" si="3"/>
        <v>BROWN JACOB</v>
      </c>
    </row>
    <row r="229" spans="1:7" x14ac:dyDescent="0.25">
      <c r="A229" s="8">
        <v>42776.087337962963</v>
      </c>
      <c r="B229" t="s">
        <v>340</v>
      </c>
      <c r="C229" t="s">
        <v>486</v>
      </c>
      <c r="D229" s="150">
        <v>2220000</v>
      </c>
      <c r="E229" t="s">
        <v>223</v>
      </c>
      <c r="F229" s="20" t="s">
        <v>224</v>
      </c>
      <c r="G229" s="8" t="str">
        <f t="shared" si="3"/>
        <v>HILLS DUSTIN</v>
      </c>
    </row>
    <row r="230" spans="1:7" x14ac:dyDescent="0.25">
      <c r="A230" s="8">
        <v>42774.010520833333</v>
      </c>
      <c r="B230" t="s">
        <v>330</v>
      </c>
      <c r="C230" t="s">
        <v>349</v>
      </c>
      <c r="D230" s="150">
        <v>2630000</v>
      </c>
      <c r="E230" t="s">
        <v>327</v>
      </c>
      <c r="F230" s="20" t="s">
        <v>328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226</v>
      </c>
      <c r="C231" t="s">
        <v>350</v>
      </c>
      <c r="D231" s="150">
        <v>1740000</v>
      </c>
      <c r="E231" t="s">
        <v>237</v>
      </c>
      <c r="F231" s="20" t="s">
        <v>238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348</v>
      </c>
      <c r="C232" t="s">
        <v>351</v>
      </c>
      <c r="D232" s="150">
        <v>1800000</v>
      </c>
      <c r="E232" t="s">
        <v>273</v>
      </c>
      <c r="F232" s="20" t="s">
        <v>274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326</v>
      </c>
      <c r="C233" t="s">
        <v>352</v>
      </c>
      <c r="D233" s="150">
        <v>2630000</v>
      </c>
      <c r="E233" t="s">
        <v>327</v>
      </c>
      <c r="F233" s="20" t="s">
        <v>328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331</v>
      </c>
      <c r="C234" t="s">
        <v>347</v>
      </c>
      <c r="D234" s="150">
        <v>2000000</v>
      </c>
      <c r="E234" t="s">
        <v>260</v>
      </c>
      <c r="F234" s="20" t="s">
        <v>201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298</v>
      </c>
      <c r="C235" t="s">
        <v>321</v>
      </c>
      <c r="D235" s="150">
        <v>1810000</v>
      </c>
      <c r="E235" t="s">
        <v>207</v>
      </c>
      <c r="F235" s="20" t="s">
        <v>201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282</v>
      </c>
      <c r="C236" t="s">
        <v>322</v>
      </c>
      <c r="D236" s="150">
        <v>2220000</v>
      </c>
      <c r="E236" t="s">
        <v>223</v>
      </c>
      <c r="F236" s="20" t="s">
        <v>224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306</v>
      </c>
      <c r="C237" t="s">
        <v>320</v>
      </c>
      <c r="D237" s="150">
        <v>2710000</v>
      </c>
      <c r="E237" t="s">
        <v>318</v>
      </c>
      <c r="F237" s="20" t="s">
        <v>319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323</v>
      </c>
      <c r="D238" s="150">
        <v>2560000</v>
      </c>
      <c r="E238" t="s">
        <v>316</v>
      </c>
      <c r="F238" s="20" t="s">
        <v>317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281</v>
      </c>
      <c r="C239" t="s">
        <v>324</v>
      </c>
      <c r="D239" s="150">
        <v>2220000</v>
      </c>
      <c r="E239" t="s">
        <v>223</v>
      </c>
      <c r="F239" s="20" t="s">
        <v>224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307</v>
      </c>
      <c r="C240" t="s">
        <v>315</v>
      </c>
      <c r="D240" s="150">
        <v>2710000</v>
      </c>
      <c r="E240" t="s">
        <v>318</v>
      </c>
      <c r="F240" s="20" t="s">
        <v>319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196</v>
      </c>
      <c r="C241" t="s">
        <v>308</v>
      </c>
      <c r="D241" s="150">
        <v>1740000</v>
      </c>
      <c r="E241" t="s">
        <v>237</v>
      </c>
      <c r="F241" s="20" t="s">
        <v>238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276</v>
      </c>
      <c r="C242" t="s">
        <v>309</v>
      </c>
      <c r="D242" s="150">
        <v>2270000</v>
      </c>
      <c r="E242" t="s">
        <v>241</v>
      </c>
      <c r="F242" s="20" t="s">
        <v>242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225</v>
      </c>
      <c r="C243" t="s">
        <v>310</v>
      </c>
      <c r="D243" s="150">
        <v>2540000</v>
      </c>
      <c r="E243" t="s">
        <v>230</v>
      </c>
      <c r="F243" s="20" t="s">
        <v>231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281</v>
      </c>
      <c r="C244" t="s">
        <v>285</v>
      </c>
      <c r="D244" s="150">
        <v>1810000</v>
      </c>
      <c r="E244" t="s">
        <v>207</v>
      </c>
      <c r="F244" s="20" t="s">
        <v>201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271</v>
      </c>
      <c r="C245" t="s">
        <v>283</v>
      </c>
      <c r="D245" s="150">
        <v>2270000</v>
      </c>
      <c r="E245" t="s">
        <v>241</v>
      </c>
      <c r="F245" s="20" t="s">
        <v>242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226</v>
      </c>
      <c r="C246" t="s">
        <v>286</v>
      </c>
      <c r="D246" s="150">
        <v>1800000</v>
      </c>
      <c r="E246" t="s">
        <v>273</v>
      </c>
      <c r="F246" s="20" t="s">
        <v>274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276</v>
      </c>
      <c r="C247" t="s">
        <v>287</v>
      </c>
      <c r="D247" s="150">
        <v>2220000</v>
      </c>
      <c r="E247" t="s">
        <v>223</v>
      </c>
      <c r="F247" s="20" t="s">
        <v>224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282</v>
      </c>
      <c r="C248" t="s">
        <v>288</v>
      </c>
      <c r="D248" s="150">
        <v>1810000</v>
      </c>
      <c r="E248" t="s">
        <v>207</v>
      </c>
      <c r="F248" s="20" t="s">
        <v>201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225</v>
      </c>
      <c r="C249" t="s">
        <v>289</v>
      </c>
      <c r="D249" s="150">
        <v>1800000</v>
      </c>
      <c r="E249" t="s">
        <v>273</v>
      </c>
      <c r="F249" s="20" t="s">
        <v>274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272</v>
      </c>
      <c r="C250" t="s">
        <v>284</v>
      </c>
      <c r="D250" s="150">
        <v>2270000</v>
      </c>
      <c r="E250" t="s">
        <v>241</v>
      </c>
      <c r="F250" s="20" t="s">
        <v>242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281</v>
      </c>
      <c r="C251" t="s">
        <v>290</v>
      </c>
      <c r="D251" s="150">
        <v>1810000</v>
      </c>
      <c r="E251" t="s">
        <v>207</v>
      </c>
      <c r="F251" s="20" t="s">
        <v>201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275</v>
      </c>
      <c r="C252" t="s">
        <v>291</v>
      </c>
      <c r="D252" s="150">
        <v>2220000</v>
      </c>
      <c r="E252" t="s">
        <v>223</v>
      </c>
      <c r="F252" s="20" t="s">
        <v>224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275</v>
      </c>
      <c r="C253" t="s">
        <v>291</v>
      </c>
      <c r="D253" s="150">
        <v>2220000</v>
      </c>
      <c r="E253" t="s">
        <v>223</v>
      </c>
      <c r="F253" s="20" t="s">
        <v>224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271</v>
      </c>
      <c r="C254" t="s">
        <v>292</v>
      </c>
      <c r="D254" s="150">
        <v>2270000</v>
      </c>
      <c r="E254" t="s">
        <v>241</v>
      </c>
      <c r="F254" s="20" t="s">
        <v>242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276</v>
      </c>
      <c r="C255" t="s">
        <v>293</v>
      </c>
      <c r="D255" s="150">
        <v>2220000</v>
      </c>
      <c r="E255" t="s">
        <v>223</v>
      </c>
      <c r="F255" s="20" t="s">
        <v>224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211</v>
      </c>
      <c r="C256" t="s">
        <v>261</v>
      </c>
      <c r="D256" s="150">
        <v>2220000</v>
      </c>
      <c r="E256" t="s">
        <v>223</v>
      </c>
      <c r="F256" s="20" t="s">
        <v>224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196</v>
      </c>
      <c r="C257" t="s">
        <v>262</v>
      </c>
      <c r="D257" s="150">
        <v>2000000</v>
      </c>
      <c r="E257" t="s">
        <v>260</v>
      </c>
      <c r="F257" s="20" t="s">
        <v>201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234</v>
      </c>
      <c r="C258" t="s">
        <v>263</v>
      </c>
      <c r="D258" s="150">
        <v>2220000</v>
      </c>
      <c r="E258" t="s">
        <v>223</v>
      </c>
      <c r="F258" s="20" t="s">
        <v>224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259</v>
      </c>
      <c r="C259" t="s">
        <v>264</v>
      </c>
      <c r="D259" s="150">
        <v>1360000</v>
      </c>
      <c r="E259" t="s">
        <v>265</v>
      </c>
      <c r="F259" s="20" t="s">
        <v>266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243</v>
      </c>
      <c r="C260" t="s">
        <v>249</v>
      </c>
      <c r="D260" s="150">
        <v>2450000</v>
      </c>
      <c r="E260" t="s">
        <v>245</v>
      </c>
      <c r="F260" s="20" t="s">
        <v>246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228</v>
      </c>
      <c r="C261" t="s">
        <v>256</v>
      </c>
      <c r="D261" s="150">
        <v>1810000</v>
      </c>
      <c r="E261" t="s">
        <v>207</v>
      </c>
      <c r="F261" s="20" t="s">
        <v>201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250</v>
      </c>
      <c r="C262" t="s">
        <v>254</v>
      </c>
      <c r="D262" s="150">
        <v>2670000</v>
      </c>
      <c r="E262" t="s">
        <v>252</v>
      </c>
      <c r="F262" s="20" t="s">
        <v>253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225</v>
      </c>
      <c r="C263" t="s">
        <v>248</v>
      </c>
      <c r="D263" s="150">
        <v>2540000</v>
      </c>
      <c r="E263" t="s">
        <v>230</v>
      </c>
      <c r="F263" s="20" t="s">
        <v>231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220</v>
      </c>
      <c r="C264" t="s">
        <v>244</v>
      </c>
      <c r="D264" s="150">
        <v>2450000</v>
      </c>
      <c r="E264" t="s">
        <v>245</v>
      </c>
      <c r="F264" s="20" t="s">
        <v>246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240</v>
      </c>
      <c r="C265" t="s">
        <v>257</v>
      </c>
      <c r="D265" s="150">
        <v>2270000</v>
      </c>
      <c r="E265" t="s">
        <v>241</v>
      </c>
      <c r="F265" s="20" t="s">
        <v>242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226</v>
      </c>
      <c r="C266" t="s">
        <v>247</v>
      </c>
      <c r="D266" s="150">
        <v>2540000</v>
      </c>
      <c r="E266" t="s">
        <v>230</v>
      </c>
      <c r="F266" s="20" t="s">
        <v>231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243</v>
      </c>
      <c r="C267" t="s">
        <v>249</v>
      </c>
      <c r="D267" s="150">
        <v>2450000</v>
      </c>
      <c r="E267" t="s">
        <v>245</v>
      </c>
      <c r="F267" s="20" t="s">
        <v>246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240</v>
      </c>
      <c r="C268" t="s">
        <v>257</v>
      </c>
      <c r="D268" s="150">
        <v>2270000</v>
      </c>
      <c r="E268" t="s">
        <v>241</v>
      </c>
      <c r="F268" s="20" t="s">
        <v>242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225</v>
      </c>
      <c r="C269" t="s">
        <v>248</v>
      </c>
      <c r="D269" s="150">
        <v>2540000</v>
      </c>
      <c r="E269" t="s">
        <v>230</v>
      </c>
      <c r="F269" s="20" t="s">
        <v>231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229</v>
      </c>
      <c r="C270" t="s">
        <v>258</v>
      </c>
      <c r="D270" s="150">
        <v>1810000</v>
      </c>
      <c r="E270" t="s">
        <v>207</v>
      </c>
      <c r="F270" s="20" t="s">
        <v>201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255</v>
      </c>
      <c r="C271" t="s">
        <v>251</v>
      </c>
      <c r="D271" s="150">
        <v>2670000</v>
      </c>
      <c r="E271" t="s">
        <v>252</v>
      </c>
      <c r="F271" s="20" t="s">
        <v>253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220</v>
      </c>
      <c r="C272" t="s">
        <v>244</v>
      </c>
      <c r="D272" s="150">
        <v>2450000</v>
      </c>
      <c r="E272" t="s">
        <v>245</v>
      </c>
      <c r="F272" s="20" t="s">
        <v>246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226</v>
      </c>
      <c r="C273" t="s">
        <v>247</v>
      </c>
      <c r="D273" s="150">
        <v>2540000</v>
      </c>
      <c r="E273" t="s">
        <v>230</v>
      </c>
      <c r="F273" s="20" t="s">
        <v>231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729</v>
      </c>
      <c r="I1" s="166" t="s">
        <v>168</v>
      </c>
      <c r="J1" s="166" t="s">
        <v>169</v>
      </c>
      <c r="K1" s="166" t="s">
        <v>730</v>
      </c>
      <c r="L1" s="166" t="s">
        <v>163</v>
      </c>
      <c r="M1" s="166" t="s">
        <v>161</v>
      </c>
      <c r="N1" s="166" t="s">
        <v>156</v>
      </c>
      <c r="O1" s="166" t="s">
        <v>166</v>
      </c>
      <c r="P1" s="166" t="s">
        <v>160</v>
      </c>
      <c r="Q1" s="166" t="s">
        <v>167</v>
      </c>
      <c r="R1" s="166" t="s">
        <v>164</v>
      </c>
    </row>
    <row r="2" spans="1:18" x14ac:dyDescent="0.25">
      <c r="A2" s="167">
        <v>32.520000000000003</v>
      </c>
      <c r="B2" s="167">
        <v>0.78</v>
      </c>
      <c r="C2" s="167">
        <v>20.74</v>
      </c>
      <c r="D2" s="8">
        <v>42778</v>
      </c>
      <c r="E2" s="167">
        <v>0.5</v>
      </c>
      <c r="F2" s="167" t="s">
        <v>267</v>
      </c>
      <c r="G2" s="167">
        <v>280.27</v>
      </c>
      <c r="H2" s="167"/>
      <c r="I2" s="167">
        <v>2.3E-3</v>
      </c>
      <c r="J2" s="167">
        <v>7.0000000000000007E-2</v>
      </c>
      <c r="K2" s="167" t="s">
        <v>731</v>
      </c>
      <c r="L2" s="167">
        <v>1029.6300000000001</v>
      </c>
      <c r="M2" s="167" t="s">
        <v>487</v>
      </c>
      <c r="N2" s="167">
        <v>37.64</v>
      </c>
      <c r="O2" s="167">
        <v>1486882800</v>
      </c>
      <c r="P2" s="167">
        <v>6.55</v>
      </c>
      <c r="Q2" s="167">
        <v>51</v>
      </c>
      <c r="R2" s="167">
        <v>6.64</v>
      </c>
    </row>
    <row r="3" spans="1:18" x14ac:dyDescent="0.25">
      <c r="A3" s="167">
        <v>31.22</v>
      </c>
      <c r="B3" s="167">
        <v>0.73</v>
      </c>
      <c r="C3" s="167">
        <v>22.62</v>
      </c>
      <c r="D3" s="8">
        <v>42778.041666666664</v>
      </c>
      <c r="E3" s="167">
        <v>0.57999999999999996</v>
      </c>
      <c r="F3" s="167" t="s">
        <v>267</v>
      </c>
      <c r="G3" s="167">
        <v>281.18</v>
      </c>
      <c r="H3" s="167"/>
      <c r="I3" s="167">
        <v>1.9E-3</v>
      </c>
      <c r="J3" s="167">
        <v>0.05</v>
      </c>
      <c r="K3" s="167" t="s">
        <v>731</v>
      </c>
      <c r="L3" s="167">
        <v>1031.3</v>
      </c>
      <c r="M3" s="167" t="s">
        <v>487</v>
      </c>
      <c r="N3" s="167">
        <v>35.979999999999997</v>
      </c>
      <c r="O3" s="167">
        <v>1486886400</v>
      </c>
      <c r="P3" s="167">
        <v>6.42</v>
      </c>
      <c r="Q3" s="167">
        <v>61</v>
      </c>
      <c r="R3" s="167">
        <v>5.67</v>
      </c>
    </row>
    <row r="4" spans="1:18" x14ac:dyDescent="0.25">
      <c r="A4" s="167">
        <v>30.7</v>
      </c>
      <c r="B4" s="167">
        <v>0.7</v>
      </c>
      <c r="C4" s="167">
        <v>23.01</v>
      </c>
      <c r="D4" s="8">
        <v>42778.083333333336</v>
      </c>
      <c r="E4" s="167">
        <v>0.63</v>
      </c>
      <c r="F4" s="167" t="s">
        <v>267</v>
      </c>
      <c r="G4" s="167">
        <v>282.10000000000002</v>
      </c>
      <c r="H4" s="167">
        <v>1.0999999999999999E-2</v>
      </c>
      <c r="I4" s="167">
        <v>1.4E-3</v>
      </c>
      <c r="J4" s="167">
        <v>0.03</v>
      </c>
      <c r="K4" s="167" t="s">
        <v>732</v>
      </c>
      <c r="L4" s="167">
        <v>1032.92</v>
      </c>
      <c r="M4" s="167" t="s">
        <v>487</v>
      </c>
      <c r="N4" s="167">
        <v>34.31</v>
      </c>
      <c r="O4" s="167">
        <v>1486890000</v>
      </c>
      <c r="P4" s="167">
        <v>6.04</v>
      </c>
      <c r="Q4" s="167">
        <v>84</v>
      </c>
      <c r="R4" s="167">
        <v>4.05</v>
      </c>
    </row>
    <row r="5" spans="1:18" x14ac:dyDescent="0.25">
      <c r="A5" s="167">
        <v>29.92</v>
      </c>
      <c r="B5" s="167">
        <v>0.74</v>
      </c>
      <c r="C5" s="167">
        <v>21.59</v>
      </c>
      <c r="D5" s="8">
        <v>42778.125</v>
      </c>
      <c r="E5" s="167">
        <v>0.63</v>
      </c>
      <c r="F5" s="167" t="s">
        <v>267</v>
      </c>
      <c r="G5" s="167">
        <v>283.01</v>
      </c>
      <c r="H5" s="167">
        <v>0.01</v>
      </c>
      <c r="I5" s="167">
        <v>1.2999999999999999E-3</v>
      </c>
      <c r="J5" s="167">
        <v>0.02</v>
      </c>
      <c r="K5" s="167" t="s">
        <v>732</v>
      </c>
      <c r="L5" s="167">
        <v>1033.8499999999999</v>
      </c>
      <c r="M5" s="167" t="s">
        <v>487</v>
      </c>
      <c r="N5" s="167">
        <v>32.979999999999997</v>
      </c>
      <c r="O5" s="167">
        <v>1486893600</v>
      </c>
      <c r="P5" s="167">
        <v>5.74</v>
      </c>
      <c r="Q5" s="167">
        <v>104</v>
      </c>
      <c r="R5" s="167">
        <v>3.39</v>
      </c>
    </row>
    <row r="6" spans="1:18" x14ac:dyDescent="0.25">
      <c r="A6" s="167">
        <v>29.2</v>
      </c>
      <c r="B6" s="167">
        <v>0.89</v>
      </c>
      <c r="C6" s="167">
        <v>20.9</v>
      </c>
      <c r="D6" s="8">
        <v>42778.166666666664</v>
      </c>
      <c r="E6" s="167">
        <v>0.61</v>
      </c>
      <c r="F6" s="167" t="s">
        <v>732</v>
      </c>
      <c r="G6" s="167">
        <v>283.94</v>
      </c>
      <c r="H6" s="167">
        <v>1.6E-2</v>
      </c>
      <c r="I6" s="167">
        <v>2.2000000000000001E-3</v>
      </c>
      <c r="J6" s="167">
        <v>0.06</v>
      </c>
      <c r="K6" s="167" t="s">
        <v>732</v>
      </c>
      <c r="L6" s="167">
        <v>1034.43</v>
      </c>
      <c r="M6" s="167" t="s">
        <v>733</v>
      </c>
      <c r="N6" s="167">
        <v>32.659999999999997</v>
      </c>
      <c r="O6" s="167">
        <v>1486897200</v>
      </c>
      <c r="P6" s="167">
        <v>5.93</v>
      </c>
      <c r="Q6" s="167">
        <v>114</v>
      </c>
      <c r="R6" s="167">
        <v>3.68</v>
      </c>
    </row>
    <row r="7" spans="1:18" x14ac:dyDescent="0.25">
      <c r="A7" s="167">
        <v>32.21</v>
      </c>
      <c r="B7" s="167">
        <v>0.97</v>
      </c>
      <c r="C7" s="167">
        <v>20.85</v>
      </c>
      <c r="D7" s="8">
        <v>42778.208333333336</v>
      </c>
      <c r="E7" s="167">
        <v>0.62</v>
      </c>
      <c r="F7" s="167" t="s">
        <v>732</v>
      </c>
      <c r="G7" s="167">
        <v>284.95999999999998</v>
      </c>
      <c r="H7" s="167">
        <v>1.7999999999999999E-2</v>
      </c>
      <c r="I7" s="167">
        <v>2.3999999999999998E-3</v>
      </c>
      <c r="J7" s="167">
        <v>7.0000000000000007E-2</v>
      </c>
      <c r="K7" s="167" t="s">
        <v>732</v>
      </c>
      <c r="L7" s="167">
        <v>1034.8900000000001</v>
      </c>
      <c r="M7" s="167" t="s">
        <v>733</v>
      </c>
      <c r="N7" s="167">
        <v>32.21</v>
      </c>
      <c r="O7" s="167">
        <v>1486900800</v>
      </c>
      <c r="P7" s="167">
        <v>6.45</v>
      </c>
      <c r="Q7" s="167">
        <v>123</v>
      </c>
      <c r="R7" s="167">
        <v>2.31</v>
      </c>
    </row>
    <row r="8" spans="1:18" x14ac:dyDescent="0.25">
      <c r="A8" s="167">
        <v>29.33</v>
      </c>
      <c r="B8" s="167">
        <v>0.91</v>
      </c>
      <c r="C8" s="167">
        <v>20.71</v>
      </c>
      <c r="D8" s="8">
        <v>42778.25</v>
      </c>
      <c r="E8" s="167">
        <v>0.62</v>
      </c>
      <c r="F8" s="167" t="s">
        <v>732</v>
      </c>
      <c r="G8" s="167">
        <v>286.11</v>
      </c>
      <c r="H8" s="167">
        <v>1.9E-2</v>
      </c>
      <c r="I8" s="167">
        <v>2.5000000000000001E-3</v>
      </c>
      <c r="J8" s="167">
        <v>7.0000000000000007E-2</v>
      </c>
      <c r="K8" s="167" t="s">
        <v>732</v>
      </c>
      <c r="L8" s="167">
        <v>1035.3399999999999</v>
      </c>
      <c r="M8" s="167" t="s">
        <v>733</v>
      </c>
      <c r="N8" s="167">
        <v>32.11</v>
      </c>
      <c r="O8" s="167">
        <v>1486904400</v>
      </c>
      <c r="P8" s="167">
        <v>6.57</v>
      </c>
      <c r="Q8" s="167">
        <v>136</v>
      </c>
      <c r="R8" s="167">
        <v>3.07</v>
      </c>
    </row>
    <row r="9" spans="1:18" x14ac:dyDescent="0.25">
      <c r="A9" s="167">
        <v>28.41</v>
      </c>
      <c r="B9" s="167">
        <v>0.83</v>
      </c>
      <c r="C9" s="167">
        <v>19.21</v>
      </c>
      <c r="D9" s="8">
        <v>42778.291666666664</v>
      </c>
      <c r="E9" s="167">
        <v>0.57999999999999996</v>
      </c>
      <c r="F9" s="167" t="s">
        <v>732</v>
      </c>
      <c r="G9" s="167">
        <v>287.36</v>
      </c>
      <c r="H9" s="167">
        <v>2.3E-2</v>
      </c>
      <c r="I9" s="167">
        <v>3.0999999999999999E-3</v>
      </c>
      <c r="J9" s="167">
        <v>0.1</v>
      </c>
      <c r="K9" s="167" t="s">
        <v>732</v>
      </c>
      <c r="L9" s="167">
        <v>1035.6300000000001</v>
      </c>
      <c r="M9" s="167" t="s">
        <v>733</v>
      </c>
      <c r="N9" s="167">
        <v>32.33</v>
      </c>
      <c r="O9" s="167">
        <v>1486908000</v>
      </c>
      <c r="P9" s="167">
        <v>9.7899999999999991</v>
      </c>
      <c r="Q9" s="167">
        <v>139</v>
      </c>
      <c r="R9" s="167">
        <v>4.04</v>
      </c>
    </row>
    <row r="10" spans="1:18" x14ac:dyDescent="0.25">
      <c r="A10" s="167">
        <v>29.43</v>
      </c>
      <c r="B10" s="167">
        <v>0.78</v>
      </c>
      <c r="C10" s="167">
        <v>20.07</v>
      </c>
      <c r="D10" s="8">
        <v>42778.333333333336</v>
      </c>
      <c r="E10" s="167">
        <v>0.6</v>
      </c>
      <c r="F10" s="167" t="s">
        <v>732</v>
      </c>
      <c r="G10" s="167">
        <v>288.72000000000003</v>
      </c>
      <c r="H10" s="167">
        <v>4.1000000000000002E-2</v>
      </c>
      <c r="I10" s="167">
        <v>5.4999999999999997E-3</v>
      </c>
      <c r="J10" s="167">
        <v>0.24</v>
      </c>
      <c r="K10" s="167" t="s">
        <v>732</v>
      </c>
      <c r="L10" s="167">
        <v>1035.3900000000001</v>
      </c>
      <c r="M10" s="167" t="s">
        <v>734</v>
      </c>
      <c r="N10" s="167">
        <v>32.32</v>
      </c>
      <c r="O10" s="167">
        <v>1486911600</v>
      </c>
      <c r="P10" s="167">
        <v>9.1999999999999993</v>
      </c>
      <c r="Q10" s="167">
        <v>173</v>
      </c>
      <c r="R10" s="167">
        <v>3.18</v>
      </c>
    </row>
    <row r="11" spans="1:18" x14ac:dyDescent="0.25">
      <c r="A11" s="167">
        <v>30.47</v>
      </c>
      <c r="B11" s="167">
        <v>0.79</v>
      </c>
      <c r="C11" s="167">
        <v>22.56</v>
      </c>
      <c r="D11" s="8">
        <v>42778.375</v>
      </c>
      <c r="E11" s="167">
        <v>0.63</v>
      </c>
      <c r="F11" s="167" t="s">
        <v>731</v>
      </c>
      <c r="G11" s="167">
        <v>290.2</v>
      </c>
      <c r="H11" s="167"/>
      <c r="I11" s="167">
        <v>6.6E-3</v>
      </c>
      <c r="J11" s="167">
        <v>0.32</v>
      </c>
      <c r="K11" s="167" t="s">
        <v>731</v>
      </c>
      <c r="L11" s="167">
        <v>1034.33</v>
      </c>
      <c r="M11" s="167" t="s">
        <v>735</v>
      </c>
      <c r="N11" s="167">
        <v>33.619999999999997</v>
      </c>
      <c r="O11" s="167">
        <v>1486915200</v>
      </c>
      <c r="P11" s="167">
        <v>4.2</v>
      </c>
      <c r="Q11" s="167">
        <v>181</v>
      </c>
      <c r="R11" s="167">
        <v>3.53</v>
      </c>
    </row>
    <row r="12" spans="1:18" x14ac:dyDescent="0.25">
      <c r="A12" s="167">
        <v>34.56</v>
      </c>
      <c r="B12" s="167">
        <v>0.79</v>
      </c>
      <c r="C12" s="167">
        <v>24.24</v>
      </c>
      <c r="D12" s="8">
        <v>42778.416666666664</v>
      </c>
      <c r="E12" s="167">
        <v>0.6</v>
      </c>
      <c r="F12" s="167" t="s">
        <v>268</v>
      </c>
      <c r="G12" s="167">
        <v>291.77999999999997</v>
      </c>
      <c r="H12" s="167"/>
      <c r="I12" s="167">
        <v>1.4E-3</v>
      </c>
      <c r="J12" s="167">
        <v>0.03</v>
      </c>
      <c r="K12" s="167" t="s">
        <v>731</v>
      </c>
      <c r="L12" s="167">
        <v>1032.55</v>
      </c>
      <c r="M12" s="167" t="s">
        <v>487</v>
      </c>
      <c r="N12" s="167">
        <v>36.96</v>
      </c>
      <c r="O12" s="167">
        <v>1486918800</v>
      </c>
      <c r="P12" s="167">
        <v>5.18</v>
      </c>
      <c r="Q12" s="167">
        <v>155</v>
      </c>
      <c r="R12" s="167">
        <v>3.3</v>
      </c>
    </row>
    <row r="13" spans="1:18" x14ac:dyDescent="0.25">
      <c r="A13" s="167">
        <v>38.020000000000003</v>
      </c>
      <c r="B13" s="167">
        <v>0.78</v>
      </c>
      <c r="C13" s="167">
        <v>25.57</v>
      </c>
      <c r="D13" s="8">
        <v>42778.458333333336</v>
      </c>
      <c r="E13" s="167">
        <v>0.56000000000000005</v>
      </c>
      <c r="F13" s="167" t="s">
        <v>268</v>
      </c>
      <c r="G13" s="167">
        <v>293.48</v>
      </c>
      <c r="H13" s="167"/>
      <c r="I13" s="167">
        <v>0</v>
      </c>
      <c r="J13" s="167">
        <v>0</v>
      </c>
      <c r="K13" s="167"/>
      <c r="L13" s="167">
        <v>1030.5999999999999</v>
      </c>
      <c r="M13" s="167" t="s">
        <v>487</v>
      </c>
      <c r="N13" s="167">
        <v>40.049999999999997</v>
      </c>
      <c r="O13" s="167">
        <v>1486922400</v>
      </c>
      <c r="P13" s="167">
        <v>5.28</v>
      </c>
      <c r="Q13" s="167">
        <v>155</v>
      </c>
      <c r="R13" s="167">
        <v>3.36</v>
      </c>
    </row>
    <row r="14" spans="1:18" x14ac:dyDescent="0.25">
      <c r="A14" s="167">
        <v>43.1</v>
      </c>
      <c r="B14" s="167">
        <v>0.79</v>
      </c>
      <c r="C14" s="167">
        <v>27.5</v>
      </c>
      <c r="D14" s="8">
        <v>42778.5</v>
      </c>
      <c r="E14" s="167">
        <v>0.54</v>
      </c>
      <c r="F14" s="167" t="s">
        <v>268</v>
      </c>
      <c r="G14" s="167">
        <v>295.35000000000002</v>
      </c>
      <c r="H14" s="167"/>
      <c r="I14" s="167">
        <v>0</v>
      </c>
      <c r="J14" s="167">
        <v>0</v>
      </c>
      <c r="K14" s="167"/>
      <c r="L14" s="167">
        <v>1028.95</v>
      </c>
      <c r="M14" s="167" t="s">
        <v>487</v>
      </c>
      <c r="N14" s="167">
        <v>43.1</v>
      </c>
      <c r="O14" s="167">
        <v>1486926000</v>
      </c>
      <c r="P14" s="167">
        <v>5.24</v>
      </c>
      <c r="Q14" s="167">
        <v>119</v>
      </c>
      <c r="R14" s="167">
        <v>1.71</v>
      </c>
    </row>
    <row r="15" spans="1:18" x14ac:dyDescent="0.25">
      <c r="A15" s="167">
        <v>46.1</v>
      </c>
      <c r="B15" s="167">
        <v>0.72</v>
      </c>
      <c r="C15" s="167">
        <v>28.04</v>
      </c>
      <c r="D15" s="8">
        <v>42778.541666666664</v>
      </c>
      <c r="E15" s="167">
        <v>0.49</v>
      </c>
      <c r="F15" s="167" t="s">
        <v>268</v>
      </c>
      <c r="G15" s="167">
        <v>297.33</v>
      </c>
      <c r="H15" s="167"/>
      <c r="I15" s="167">
        <v>0</v>
      </c>
      <c r="J15" s="167">
        <v>0</v>
      </c>
      <c r="K15" s="167"/>
      <c r="L15" s="167">
        <v>1027.48</v>
      </c>
      <c r="M15" s="167" t="s">
        <v>487</v>
      </c>
      <c r="N15" s="167">
        <v>46.1</v>
      </c>
      <c r="O15" s="167">
        <v>1486929600</v>
      </c>
      <c r="P15" s="167">
        <v>5.23</v>
      </c>
      <c r="Q15" s="167">
        <v>92</v>
      </c>
      <c r="R15" s="167">
        <v>1.1299999999999999</v>
      </c>
    </row>
    <row r="16" spans="1:18" x14ac:dyDescent="0.25">
      <c r="A16" s="167">
        <v>47.08</v>
      </c>
      <c r="B16" s="167">
        <v>0.66</v>
      </c>
      <c r="C16" s="167">
        <v>27.68</v>
      </c>
      <c r="D16" s="8">
        <v>42778.583333333336</v>
      </c>
      <c r="E16" s="167">
        <v>0.47</v>
      </c>
      <c r="F16" s="167" t="s">
        <v>268</v>
      </c>
      <c r="G16" s="167">
        <v>299.27</v>
      </c>
      <c r="H16" s="167"/>
      <c r="I16" s="167">
        <v>0</v>
      </c>
      <c r="J16" s="167">
        <v>0</v>
      </c>
      <c r="K16" s="167"/>
      <c r="L16" s="167">
        <v>1026.27</v>
      </c>
      <c r="M16" s="167" t="s">
        <v>487</v>
      </c>
      <c r="N16" s="167">
        <v>47.08</v>
      </c>
      <c r="O16" s="167">
        <v>1486933200</v>
      </c>
      <c r="P16" s="167">
        <v>5.24</v>
      </c>
      <c r="Q16" s="167">
        <v>52</v>
      </c>
      <c r="R16" s="167">
        <v>0.9</v>
      </c>
    </row>
    <row r="17" spans="1:18" x14ac:dyDescent="0.25">
      <c r="A17" s="167">
        <v>48.4</v>
      </c>
      <c r="B17" s="167">
        <v>0.56999999999999995</v>
      </c>
      <c r="C17" s="167">
        <v>28.46</v>
      </c>
      <c r="D17" s="8">
        <v>42778.625</v>
      </c>
      <c r="E17" s="167">
        <v>0.46</v>
      </c>
      <c r="F17" s="167" t="s">
        <v>268</v>
      </c>
      <c r="G17" s="167">
        <v>301.20999999999998</v>
      </c>
      <c r="H17" s="167"/>
      <c r="I17" s="167">
        <v>0</v>
      </c>
      <c r="J17" s="167">
        <v>0</v>
      </c>
      <c r="K17" s="167"/>
      <c r="L17" s="167">
        <v>1025.3900000000001</v>
      </c>
      <c r="M17" s="167" t="s">
        <v>269</v>
      </c>
      <c r="N17" s="167">
        <v>48.4</v>
      </c>
      <c r="O17" s="167">
        <v>1486936800</v>
      </c>
      <c r="P17" s="167">
        <v>5.32</v>
      </c>
      <c r="Q17" s="167">
        <v>357</v>
      </c>
      <c r="R17" s="167">
        <v>1.48</v>
      </c>
    </row>
    <row r="18" spans="1:18" x14ac:dyDescent="0.25">
      <c r="A18" s="167">
        <v>48.49</v>
      </c>
      <c r="B18" s="167">
        <v>0.45</v>
      </c>
      <c r="C18" s="167">
        <v>28.33</v>
      </c>
      <c r="D18" s="8">
        <v>42778.666666666664</v>
      </c>
      <c r="E18" s="167">
        <v>0.45</v>
      </c>
      <c r="F18" s="167" t="s">
        <v>268</v>
      </c>
      <c r="G18" s="167">
        <v>303.11</v>
      </c>
      <c r="H18" s="167"/>
      <c r="I18" s="167">
        <v>0</v>
      </c>
      <c r="J18" s="167">
        <v>0</v>
      </c>
      <c r="K18" s="167"/>
      <c r="L18" s="167">
        <v>1024.79</v>
      </c>
      <c r="M18" s="167" t="s">
        <v>269</v>
      </c>
      <c r="N18" s="167">
        <v>48.49</v>
      </c>
      <c r="O18" s="167">
        <v>1486940400</v>
      </c>
      <c r="P18" s="167">
        <v>5.54</v>
      </c>
      <c r="Q18" s="167">
        <v>355</v>
      </c>
      <c r="R18" s="167">
        <v>2.1800000000000002</v>
      </c>
    </row>
    <row r="19" spans="1:18" x14ac:dyDescent="0.25">
      <c r="A19" s="167">
        <v>47.66</v>
      </c>
      <c r="B19" s="167">
        <v>0.27</v>
      </c>
      <c r="C19" s="167">
        <v>27.06</v>
      </c>
      <c r="D19" s="8">
        <v>42778.708333333336</v>
      </c>
      <c r="E19" s="167">
        <v>0.44</v>
      </c>
      <c r="F19" s="167" t="s">
        <v>268</v>
      </c>
      <c r="G19" s="167">
        <v>304.64999999999998</v>
      </c>
      <c r="H19" s="167"/>
      <c r="I19" s="167">
        <v>0</v>
      </c>
      <c r="J19" s="167">
        <v>0</v>
      </c>
      <c r="K19" s="167"/>
      <c r="L19" s="167">
        <v>1024.48</v>
      </c>
      <c r="M19" s="167" t="s">
        <v>269</v>
      </c>
      <c r="N19" s="167">
        <v>47.66</v>
      </c>
      <c r="O19" s="167">
        <v>1486944000</v>
      </c>
      <c r="P19" s="167">
        <v>6.05</v>
      </c>
      <c r="Q19" s="167">
        <v>356</v>
      </c>
      <c r="R19" s="167">
        <v>2.61</v>
      </c>
    </row>
    <row r="20" spans="1:18" x14ac:dyDescent="0.25">
      <c r="A20" s="167">
        <v>44.66</v>
      </c>
      <c r="B20" s="167">
        <v>0.28999999999999998</v>
      </c>
      <c r="C20" s="167">
        <v>26.25</v>
      </c>
      <c r="D20" s="8">
        <v>42778.75</v>
      </c>
      <c r="E20" s="167">
        <v>0.48</v>
      </c>
      <c r="F20" s="167" t="s">
        <v>267</v>
      </c>
      <c r="G20" s="167">
        <v>305.67</v>
      </c>
      <c r="H20" s="167"/>
      <c r="I20" s="167">
        <v>0</v>
      </c>
      <c r="J20" s="167">
        <v>0</v>
      </c>
      <c r="K20" s="167"/>
      <c r="L20" s="167">
        <v>1024.3699999999999</v>
      </c>
      <c r="M20" s="167" t="s">
        <v>269</v>
      </c>
      <c r="N20" s="167">
        <v>44.66</v>
      </c>
      <c r="O20" s="167">
        <v>1486947600</v>
      </c>
      <c r="P20" s="167">
        <v>6.77</v>
      </c>
      <c r="Q20" s="167">
        <v>1</v>
      </c>
      <c r="R20" s="167">
        <v>1.95</v>
      </c>
    </row>
    <row r="21" spans="1:18" x14ac:dyDescent="0.25">
      <c r="A21" s="167">
        <v>41.64</v>
      </c>
      <c r="B21" s="167">
        <v>0.27</v>
      </c>
      <c r="C21" s="167">
        <v>25.51</v>
      </c>
      <c r="D21" s="8">
        <v>42778.791666666664</v>
      </c>
      <c r="E21" s="167">
        <v>0.52</v>
      </c>
      <c r="F21" s="167" t="s">
        <v>267</v>
      </c>
      <c r="G21" s="167">
        <v>306.33</v>
      </c>
      <c r="H21" s="167"/>
      <c r="I21" s="167">
        <v>0</v>
      </c>
      <c r="J21" s="167">
        <v>0</v>
      </c>
      <c r="K21" s="167"/>
      <c r="L21" s="167">
        <v>1024.77</v>
      </c>
      <c r="M21" s="167" t="s">
        <v>269</v>
      </c>
      <c r="N21" s="167">
        <v>41.64</v>
      </c>
      <c r="O21" s="167">
        <v>1486951200</v>
      </c>
      <c r="P21" s="167">
        <v>7.35</v>
      </c>
      <c r="Q21" s="167">
        <v>302</v>
      </c>
      <c r="R21" s="167">
        <v>1.48</v>
      </c>
    </row>
    <row r="22" spans="1:18" x14ac:dyDescent="0.25">
      <c r="A22" s="167">
        <v>41.15</v>
      </c>
      <c r="B22" s="167">
        <v>0.28999999999999998</v>
      </c>
      <c r="C22" s="167">
        <v>26.11</v>
      </c>
      <c r="D22" s="8">
        <v>42778.833333333336</v>
      </c>
      <c r="E22" s="167">
        <v>0.55000000000000004</v>
      </c>
      <c r="F22" s="167" t="s">
        <v>267</v>
      </c>
      <c r="G22" s="167">
        <v>306.77999999999997</v>
      </c>
      <c r="H22" s="167"/>
      <c r="I22" s="167">
        <v>0</v>
      </c>
      <c r="J22" s="167">
        <v>0</v>
      </c>
      <c r="K22" s="167"/>
      <c r="L22" s="167">
        <v>1025.0899999999999</v>
      </c>
      <c r="M22" s="167" t="s">
        <v>269</v>
      </c>
      <c r="N22" s="167">
        <v>41.15</v>
      </c>
      <c r="O22" s="167">
        <v>1486954800</v>
      </c>
      <c r="P22" s="167">
        <v>6.23</v>
      </c>
      <c r="Q22" s="167">
        <v>269</v>
      </c>
      <c r="R22" s="167">
        <v>1.47</v>
      </c>
    </row>
    <row r="23" spans="1:18" x14ac:dyDescent="0.25">
      <c r="A23" s="167">
        <v>39.4</v>
      </c>
      <c r="B23" s="167">
        <v>0.37</v>
      </c>
      <c r="C23" s="167">
        <v>25.61</v>
      </c>
      <c r="D23" s="8">
        <v>42778.875</v>
      </c>
      <c r="E23" s="167">
        <v>0.56999999999999995</v>
      </c>
      <c r="F23" s="167" t="s">
        <v>267</v>
      </c>
      <c r="G23" s="167">
        <v>307.05</v>
      </c>
      <c r="H23" s="167"/>
      <c r="I23" s="167">
        <v>0</v>
      </c>
      <c r="J23" s="167">
        <v>0</v>
      </c>
      <c r="K23" s="167"/>
      <c r="L23" s="167">
        <v>1024.94</v>
      </c>
      <c r="M23" s="167" t="s">
        <v>269</v>
      </c>
      <c r="N23" s="167">
        <v>39.4</v>
      </c>
      <c r="O23" s="167">
        <v>1486958400</v>
      </c>
      <c r="P23" s="167">
        <v>5.39</v>
      </c>
      <c r="Q23" s="167">
        <v>220</v>
      </c>
      <c r="R23" s="167">
        <v>1.32</v>
      </c>
    </row>
    <row r="24" spans="1:18" x14ac:dyDescent="0.25">
      <c r="A24" s="167">
        <v>37.659999999999997</v>
      </c>
      <c r="B24" s="167">
        <v>0.42</v>
      </c>
      <c r="C24" s="167">
        <v>25.73</v>
      </c>
      <c r="D24" s="8">
        <v>42778.916666666664</v>
      </c>
      <c r="E24" s="167">
        <v>0.62</v>
      </c>
      <c r="F24" s="167" t="s">
        <v>267</v>
      </c>
      <c r="G24" s="167">
        <v>307.11</v>
      </c>
      <c r="H24" s="167"/>
      <c r="I24" s="167">
        <v>0</v>
      </c>
      <c r="J24" s="167">
        <v>0</v>
      </c>
      <c r="K24" s="167"/>
      <c r="L24" s="167">
        <v>1024.6099999999999</v>
      </c>
      <c r="M24" s="167" t="s">
        <v>269</v>
      </c>
      <c r="N24" s="167">
        <v>37.659999999999997</v>
      </c>
      <c r="O24" s="167">
        <v>1486962000</v>
      </c>
      <c r="P24" s="167">
        <v>5.38</v>
      </c>
      <c r="Q24" s="167">
        <v>226</v>
      </c>
      <c r="R24" s="167">
        <v>1.78</v>
      </c>
    </row>
    <row r="25" spans="1:18" x14ac:dyDescent="0.25">
      <c r="A25" s="167">
        <v>36.36</v>
      </c>
      <c r="B25" s="167">
        <v>0.44</v>
      </c>
      <c r="C25" s="167">
        <v>25.17</v>
      </c>
      <c r="D25" s="8">
        <v>42778.958333333336</v>
      </c>
      <c r="E25" s="167">
        <v>0.63</v>
      </c>
      <c r="F25" s="167" t="s">
        <v>267</v>
      </c>
      <c r="G25" s="167">
        <v>307.05</v>
      </c>
      <c r="H25" s="167"/>
      <c r="I25" s="167">
        <v>0</v>
      </c>
      <c r="J25" s="167">
        <v>0</v>
      </c>
      <c r="K25" s="167"/>
      <c r="L25" s="167">
        <v>1024.29</v>
      </c>
      <c r="M25" s="167" t="s">
        <v>269</v>
      </c>
      <c r="N25" s="167">
        <v>36.36</v>
      </c>
      <c r="O25" s="167">
        <v>1486965600</v>
      </c>
      <c r="P25" s="167">
        <v>5.77</v>
      </c>
      <c r="Q25" s="167">
        <v>251</v>
      </c>
      <c r="R25" s="167">
        <v>2.0699999999999998</v>
      </c>
    </row>
    <row r="26" spans="1:18" x14ac:dyDescent="0.25">
      <c r="A26" s="167">
        <v>35.24</v>
      </c>
      <c r="B26" s="167">
        <v>0.53</v>
      </c>
      <c r="C26" s="167">
        <v>26.29</v>
      </c>
      <c r="D26" s="8">
        <v>42779</v>
      </c>
      <c r="E26" s="167">
        <v>0.7</v>
      </c>
      <c r="F26" s="167" t="s">
        <v>267</v>
      </c>
      <c r="G26" s="167">
        <v>306.77</v>
      </c>
      <c r="H26" s="167"/>
      <c r="I26" s="167">
        <v>0</v>
      </c>
      <c r="J26" s="167">
        <v>0</v>
      </c>
      <c r="K26" s="167"/>
      <c r="L26" s="167">
        <v>1024.1300000000001</v>
      </c>
      <c r="M26" s="167" t="s">
        <v>269</v>
      </c>
      <c r="N26" s="167">
        <v>35.24</v>
      </c>
      <c r="O26" s="167">
        <v>1486969200</v>
      </c>
      <c r="P26" s="167">
        <v>6.1</v>
      </c>
      <c r="Q26" s="167">
        <v>190</v>
      </c>
      <c r="R26" s="167">
        <v>2.34</v>
      </c>
    </row>
    <row r="27" spans="1:18" x14ac:dyDescent="0.25">
      <c r="A27" s="167">
        <v>34.25</v>
      </c>
      <c r="B27" s="167">
        <v>0.57999999999999996</v>
      </c>
      <c r="C27" s="167">
        <v>26.08</v>
      </c>
      <c r="D27" s="8">
        <v>42779.041666666664</v>
      </c>
      <c r="E27" s="167">
        <v>0.72</v>
      </c>
      <c r="F27" s="167" t="s">
        <v>267</v>
      </c>
      <c r="G27" s="167">
        <v>306.49</v>
      </c>
      <c r="H27" s="167"/>
      <c r="I27" s="167">
        <v>0</v>
      </c>
      <c r="J27" s="167">
        <v>0</v>
      </c>
      <c r="K27" s="167"/>
      <c r="L27" s="167">
        <v>1023.95</v>
      </c>
      <c r="M27" s="167" t="s">
        <v>269</v>
      </c>
      <c r="N27" s="167">
        <v>34.25</v>
      </c>
      <c r="O27" s="167">
        <v>1486972800</v>
      </c>
      <c r="P27" s="167">
        <v>5.79</v>
      </c>
      <c r="Q27" s="167">
        <v>191</v>
      </c>
      <c r="R27" s="167">
        <v>1.44</v>
      </c>
    </row>
    <row r="28" spans="1:18" x14ac:dyDescent="0.25">
      <c r="A28" s="167">
        <v>33.49</v>
      </c>
      <c r="B28" s="167">
        <v>0.66</v>
      </c>
      <c r="C28" s="167">
        <v>25.56</v>
      </c>
      <c r="D28" s="8">
        <v>42779.083333333336</v>
      </c>
      <c r="E28" s="167">
        <v>0.72</v>
      </c>
      <c r="F28" s="167" t="s">
        <v>267</v>
      </c>
      <c r="G28" s="167">
        <v>306.20999999999998</v>
      </c>
      <c r="H28" s="167"/>
      <c r="I28" s="167">
        <v>0</v>
      </c>
      <c r="J28" s="167">
        <v>0</v>
      </c>
      <c r="K28" s="167"/>
      <c r="L28" s="167">
        <v>1023.75</v>
      </c>
      <c r="M28" s="167" t="s">
        <v>487</v>
      </c>
      <c r="N28" s="167">
        <v>33.49</v>
      </c>
      <c r="O28" s="167">
        <v>1486976400</v>
      </c>
      <c r="P28" s="167">
        <v>3.97</v>
      </c>
      <c r="Q28" s="167">
        <v>225</v>
      </c>
      <c r="R28" s="167">
        <v>1.1499999999999999</v>
      </c>
    </row>
    <row r="29" spans="1:18" x14ac:dyDescent="0.25">
      <c r="A29" s="167">
        <v>31.37</v>
      </c>
      <c r="B29" s="167">
        <v>0.7</v>
      </c>
      <c r="C29" s="167">
        <v>23.56</v>
      </c>
      <c r="D29" s="8">
        <v>42779.125</v>
      </c>
      <c r="E29" s="167">
        <v>0.72</v>
      </c>
      <c r="F29" s="167" t="s">
        <v>267</v>
      </c>
      <c r="G29" s="167">
        <v>305.77</v>
      </c>
      <c r="H29" s="167"/>
      <c r="I29" s="167">
        <v>0</v>
      </c>
      <c r="J29" s="167">
        <v>0</v>
      </c>
      <c r="K29" s="167"/>
      <c r="L29" s="167">
        <v>1023.45</v>
      </c>
      <c r="M29" s="167" t="s">
        <v>487</v>
      </c>
      <c r="N29" s="167">
        <v>31.37</v>
      </c>
      <c r="O29" s="167">
        <v>1486980000</v>
      </c>
      <c r="P29" s="167">
        <v>6.48</v>
      </c>
      <c r="Q29" s="167">
        <v>220</v>
      </c>
      <c r="R29" s="167">
        <v>1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42778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886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887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888</v>
      </c>
      <c r="J20" s="152" t="s">
        <v>87</v>
      </c>
      <c r="M20" s="152" t="s">
        <v>215</v>
      </c>
    </row>
    <row r="21" spans="3:13" x14ac:dyDescent="0.25">
      <c r="C21" t="s">
        <v>889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890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891</v>
      </c>
      <c r="J23" s="162" t="s">
        <v>95</v>
      </c>
      <c r="M23" s="152" t="str">
        <f>"-07"</f>
        <v>-07</v>
      </c>
    </row>
    <row r="24" spans="3:13" x14ac:dyDescent="0.25">
      <c r="C24" t="s">
        <v>892</v>
      </c>
      <c r="J24" s="152" t="s">
        <v>108</v>
      </c>
      <c r="M24" s="152" t="s">
        <v>110</v>
      </c>
    </row>
    <row r="25" spans="3:13" x14ac:dyDescent="0.25">
      <c r="C25" t="s">
        <v>893</v>
      </c>
      <c r="J25" s="152" t="s">
        <v>150</v>
      </c>
      <c r="M25" s="152" t="b">
        <v>1</v>
      </c>
    </row>
    <row r="26" spans="3:13" x14ac:dyDescent="0.25">
      <c r="C26" t="s">
        <v>894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C:\Users\stu\Documents\GitHub\eaglep3-reporting\EC\2017-02-12-refined-times.txt</v>
      </c>
    </row>
    <row r="27" spans="3:13" x14ac:dyDescent="0.25">
      <c r="C27" t="s">
        <v>895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C:\Users\stu\Documents\GitHub\eaglep3-reporting\EC\2017-02-12-Enforcements.txt</v>
      </c>
    </row>
    <row r="28" spans="3:13" x14ac:dyDescent="0.25">
      <c r="C28" t="s">
        <v>896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C:\Users\stu\Documents\GitHub\eaglep3-reporting\EC\2017-02-12-Runs-refined.txt</v>
      </c>
    </row>
    <row r="29" spans="3:13" x14ac:dyDescent="0.25">
      <c r="C29" t="s">
        <v>897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C:\Users\stu\Documents\GitHub\eaglep3-reporting\EC\2017-02-12-Trips.txt</v>
      </c>
    </row>
    <row r="30" spans="3:13" x14ac:dyDescent="0.25">
      <c r="C30" t="s">
        <v>898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C:\Users\stu\Documents\GitHub\eaglep3-reporting\EC\2017-02-12-Weather.txt</v>
      </c>
    </row>
    <row r="31" spans="3:13" x14ac:dyDescent="0.25">
      <c r="C31" t="s">
        <v>899</v>
      </c>
      <c r="J31" s="152" t="s">
        <v>213</v>
      </c>
      <c r="M31" s="152" t="s">
        <v>214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363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364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365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366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367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368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369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370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371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372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373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374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375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376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377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378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379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380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381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382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383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384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385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386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387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388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389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390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391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392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393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394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395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396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397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398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399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400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401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402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403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404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405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406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407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408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409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410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411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412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413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414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415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416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417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418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419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420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421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422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423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424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2017-02-13T20:38:43Z</dcterms:modified>
</cp:coreProperties>
</file>