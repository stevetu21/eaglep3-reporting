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Trips'!$A$2:$J$30</definedName>
    <definedName name="_xlnm._FilterDatabase" localSheetId="0" hidden="1">'Train Runs'!$A$12:$AG$259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4" i="1" l="1"/>
  <c r="X25" i="1"/>
  <c r="X26" i="1"/>
  <c r="P24" i="1"/>
  <c r="K24" i="1"/>
  <c r="M24" i="1"/>
  <c r="T24" i="1"/>
  <c r="V24" i="1"/>
  <c r="Y24" i="1"/>
  <c r="Z24" i="1"/>
  <c r="AA24" i="1" s="1"/>
  <c r="AB24" i="1"/>
  <c r="AC24" i="1"/>
  <c r="AD24" i="1"/>
  <c r="AE24" i="1"/>
  <c r="AF24" i="1"/>
  <c r="AH24" i="1"/>
  <c r="AM24" i="1"/>
  <c r="AN24" i="1"/>
  <c r="P14" i="1"/>
  <c r="X15" i="1"/>
  <c r="K14" i="1"/>
  <c r="M14" i="1"/>
  <c r="V14" i="1"/>
  <c r="Y14" i="1"/>
  <c r="Z14" i="1"/>
  <c r="AA14" i="1"/>
  <c r="AB14" i="1"/>
  <c r="AC14" i="1"/>
  <c r="AD14" i="1"/>
  <c r="T14" i="1" s="1"/>
  <c r="AE14" i="1"/>
  <c r="AF14" i="1"/>
  <c r="AH14" i="1"/>
  <c r="AM14" i="1"/>
  <c r="AN14" i="1"/>
  <c r="X186" i="1"/>
  <c r="K185" i="1"/>
  <c r="L185" i="1"/>
  <c r="M185" i="1"/>
  <c r="N185" i="1"/>
  <c r="V185" i="1"/>
  <c r="AA185" i="1"/>
  <c r="AB185" i="1"/>
  <c r="AC185" i="1"/>
  <c r="AD185" i="1"/>
  <c r="T185" i="1" s="1"/>
  <c r="AE185" i="1"/>
  <c r="AF185" i="1"/>
  <c r="AH185" i="1"/>
  <c r="AM185" i="1"/>
  <c r="AN185" i="1"/>
  <c r="X184" i="1"/>
  <c r="K183" i="1"/>
  <c r="L183" i="1"/>
  <c r="M183" i="1"/>
  <c r="N183" i="1" s="1"/>
  <c r="V183" i="1"/>
  <c r="AA183" i="1"/>
  <c r="AB183" i="1"/>
  <c r="AC183" i="1"/>
  <c r="AD183" i="1"/>
  <c r="T183" i="1" s="1"/>
  <c r="AE183" i="1"/>
  <c r="AF183" i="1"/>
  <c r="AH183" i="1"/>
  <c r="AM183" i="1"/>
  <c r="AN183" i="1"/>
  <c r="X180" i="1"/>
  <c r="K179" i="1"/>
  <c r="L179" i="1"/>
  <c r="M179" i="1"/>
  <c r="N179" i="1" s="1"/>
  <c r="V179" i="1"/>
  <c r="AA179" i="1"/>
  <c r="AB179" i="1"/>
  <c r="AC179" i="1"/>
  <c r="AD179" i="1"/>
  <c r="T179" i="1" s="1"/>
  <c r="AE179" i="1"/>
  <c r="AF179" i="1"/>
  <c r="AH179" i="1"/>
  <c r="AM179" i="1"/>
  <c r="AN179" i="1"/>
  <c r="X159" i="1"/>
  <c r="K158" i="1"/>
  <c r="M158" i="1"/>
  <c r="N158" i="1" s="1"/>
  <c r="V158" i="1"/>
  <c r="AA158" i="1"/>
  <c r="AB158" i="1"/>
  <c r="AC158" i="1"/>
  <c r="AD158" i="1"/>
  <c r="T158" i="1" s="1"/>
  <c r="AE158" i="1"/>
  <c r="AF158" i="1"/>
  <c r="AH158" i="1"/>
  <c r="AM158" i="1"/>
  <c r="AN158" i="1"/>
  <c r="P49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A17" i="1" s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T18" i="1"/>
  <c r="V18" i="1"/>
  <c r="S20" i="3" s="1"/>
  <c r="X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T22" i="1"/>
  <c r="V22" i="1"/>
  <c r="X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5" i="1"/>
  <c r="L25" i="1"/>
  <c r="M25" i="1"/>
  <c r="N25" i="1" s="1"/>
  <c r="V25" i="1"/>
  <c r="Y25" i="1"/>
  <c r="Z25" i="1"/>
  <c r="AA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T31" i="1"/>
  <c r="V31" i="1"/>
  <c r="S27" i="3" s="1"/>
  <c r="X31" i="1"/>
  <c r="Y31" i="1"/>
  <c r="Z31" i="1"/>
  <c r="AB31" i="1"/>
  <c r="AC31" i="1"/>
  <c r="AD31" i="1"/>
  <c r="AE31" i="1"/>
  <c r="R27" i="3" s="1"/>
  <c r="AF31" i="1"/>
  <c r="AH31" i="1"/>
  <c r="AM31" i="1"/>
  <c r="AN31" i="1"/>
  <c r="K32" i="1"/>
  <c r="L32" i="1"/>
  <c r="M32" i="1"/>
  <c r="N32" i="1"/>
  <c r="V32" i="1"/>
  <c r="S21" i="3" s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AA33" i="1" s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AA37" i="1"/>
  <c r="AB37" i="1"/>
  <c r="AC37" i="1"/>
  <c r="AD37" i="1"/>
  <c r="X37" i="1" s="1"/>
  <c r="AE37" i="1"/>
  <c r="R16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T39" i="1"/>
  <c r="V39" i="1"/>
  <c r="X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AA41" i="1" s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AA43" i="1" s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X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V49" i="1"/>
  <c r="Y49" i="1"/>
  <c r="Z49" i="1"/>
  <c r="AA49" i="1" s="1"/>
  <c r="AB49" i="1"/>
  <c r="AC49" i="1"/>
  <c r="AD49" i="1"/>
  <c r="T49" i="1" s="1"/>
  <c r="AE49" i="1"/>
  <c r="R28" i="3" s="1"/>
  <c r="AF49" i="1"/>
  <c r="AH49" i="1"/>
  <c r="AM49" i="1"/>
  <c r="AN49" i="1"/>
  <c r="K50" i="1"/>
  <c r="L50" i="1"/>
  <c r="M50" i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AA54" i="1" s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T55" i="1"/>
  <c r="V55" i="1"/>
  <c r="X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S22" i="3" s="1"/>
  <c r="Y57" i="1"/>
  <c r="Z57" i="1"/>
  <c r="AB57" i="1"/>
  <c r="AC57" i="1"/>
  <c r="AD57" i="1"/>
  <c r="T57" i="1" s="1"/>
  <c r="AE57" i="1"/>
  <c r="R22" i="3" s="1"/>
  <c r="AF57" i="1"/>
  <c r="AH57" i="1"/>
  <c r="AM57" i="1"/>
  <c r="AN57" i="1"/>
  <c r="K58" i="1"/>
  <c r="L58" i="1"/>
  <c r="M58" i="1"/>
  <c r="N58" i="1" s="1"/>
  <c r="V58" i="1"/>
  <c r="Y58" i="1"/>
  <c r="AA58" i="1" s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T59" i="1"/>
  <c r="V59" i="1"/>
  <c r="X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/>
  <c r="V60" i="1"/>
  <c r="Y60" i="1"/>
  <c r="Z60" i="1"/>
  <c r="AB60" i="1"/>
  <c r="AC60" i="1"/>
  <c r="AD60" i="1"/>
  <c r="T60" i="1" s="1"/>
  <c r="AE60" i="1"/>
  <c r="R29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T63" i="1"/>
  <c r="V63" i="1"/>
  <c r="X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AA65" i="1" s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AA66" i="1" s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T67" i="1"/>
  <c r="V67" i="1"/>
  <c r="X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AA69" i="1" s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AA70" i="1" s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T71" i="1"/>
  <c r="V71" i="1"/>
  <c r="X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AA75" i="1" s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T76" i="1"/>
  <c r="V76" i="1"/>
  <c r="X76" i="1"/>
  <c r="Y76" i="1"/>
  <c r="Z76" i="1"/>
  <c r="AA76" i="1" s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R12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T83" i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T84" i="1"/>
  <c r="V84" i="1"/>
  <c r="X84" i="1"/>
  <c r="Y84" i="1"/>
  <c r="Z84" i="1"/>
  <c r="AA84" i="1" s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R23" i="3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R10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S15" i="3" s="1"/>
  <c r="Y95" i="1"/>
  <c r="Z95" i="1"/>
  <c r="AA95" i="1" s="1"/>
  <c r="AB95" i="1"/>
  <c r="AC95" i="1"/>
  <c r="AD95" i="1"/>
  <c r="T95" i="1" s="1"/>
  <c r="AE95" i="1"/>
  <c r="R15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R24" i="3" s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X100" i="1"/>
  <c r="Y100" i="1"/>
  <c r="AA100" i="1" s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T101" i="1"/>
  <c r="V101" i="1"/>
  <c r="X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/>
  <c r="V103" i="1"/>
  <c r="S7" i="3" s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AA105" i="1" s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 s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R8" i="3" s="1"/>
  <c r="AF115" i="1"/>
  <c r="AH115" i="1"/>
  <c r="AM115" i="1"/>
  <c r="AN115" i="1"/>
  <c r="K116" i="1"/>
  <c r="L116" i="1"/>
  <c r="M116" i="1"/>
  <c r="N116" i="1" s="1"/>
  <c r="T116" i="1"/>
  <c r="V116" i="1"/>
  <c r="Y116" i="1"/>
  <c r="AA116" i="1" s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T117" i="1"/>
  <c r="V117" i="1"/>
  <c r="X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AA121" i="1" s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S30" i="3" s="1"/>
  <c r="Y122" i="1"/>
  <c r="Z122" i="1"/>
  <c r="AB122" i="1"/>
  <c r="AC122" i="1"/>
  <c r="AD122" i="1"/>
  <c r="T122" i="1" s="1"/>
  <c r="AE122" i="1"/>
  <c r="R30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R25" i="3" s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R14" i="3" s="1"/>
  <c r="AF131" i="1"/>
  <c r="AH131" i="1"/>
  <c r="AM131" i="1"/>
  <c r="AN131" i="1"/>
  <c r="K132" i="1"/>
  <c r="L132" i="1"/>
  <c r="M132" i="1"/>
  <c r="N132" i="1" s="1"/>
  <c r="T132" i="1"/>
  <c r="V132" i="1"/>
  <c r="Y132" i="1"/>
  <c r="AA132" i="1" s="1"/>
  <c r="Z132" i="1"/>
  <c r="AB132" i="1"/>
  <c r="AC132" i="1"/>
  <c r="AD132" i="1"/>
  <c r="AE132" i="1"/>
  <c r="R9" i="3" s="1"/>
  <c r="AF132" i="1"/>
  <c r="AH132" i="1"/>
  <c r="AM132" i="1"/>
  <c r="AN132" i="1"/>
  <c r="K133" i="1"/>
  <c r="L133" i="1"/>
  <c r="M133" i="1"/>
  <c r="N133" i="1" s="1"/>
  <c r="T133" i="1"/>
  <c r="V133" i="1"/>
  <c r="X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/>
  <c r="V135" i="1"/>
  <c r="Y135" i="1"/>
  <c r="Z135" i="1"/>
  <c r="AB135" i="1"/>
  <c r="AC135" i="1"/>
  <c r="AD135" i="1"/>
  <c r="X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AA136" i="1" s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AA139" i="1" s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T140" i="1"/>
  <c r="V140" i="1"/>
  <c r="X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/>
  <c r="V141" i="1"/>
  <c r="Y141" i="1"/>
  <c r="Z141" i="1"/>
  <c r="AB141" i="1"/>
  <c r="AC141" i="1"/>
  <c r="AD141" i="1"/>
  <c r="T141" i="1" s="1"/>
  <c r="AE141" i="1"/>
  <c r="R26" i="3" s="1"/>
  <c r="AF141" i="1"/>
  <c r="AH141" i="1"/>
  <c r="AM141" i="1"/>
  <c r="AN141" i="1"/>
  <c r="K142" i="1"/>
  <c r="L142" i="1"/>
  <c r="M142" i="1"/>
  <c r="N142" i="1" s="1"/>
  <c r="V142" i="1"/>
  <c r="Y142" i="1"/>
  <c r="Z142" i="1"/>
  <c r="AA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T143" i="1"/>
  <c r="V143" i="1"/>
  <c r="X143" i="1"/>
  <c r="Y143" i="1"/>
  <c r="Z143" i="1"/>
  <c r="AA143" i="1" s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R18" i="3" s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AA148" i="1" s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X151" i="1"/>
  <c r="Y151" i="1"/>
  <c r="Z151" i="1"/>
  <c r="AA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T152" i="1"/>
  <c r="V152" i="1"/>
  <c r="Y152" i="1"/>
  <c r="Z152" i="1"/>
  <c r="AB152" i="1"/>
  <c r="AC152" i="1"/>
  <c r="AD152" i="1"/>
  <c r="X152" i="1" s="1"/>
  <c r="AE152" i="1"/>
  <c r="AF152" i="1"/>
  <c r="AH152" i="1"/>
  <c r="AM152" i="1"/>
  <c r="AN152" i="1"/>
  <c r="K153" i="1"/>
  <c r="L153" i="1"/>
  <c r="M153" i="1"/>
  <c r="N153" i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S13" i="3" s="1"/>
  <c r="Y155" i="1"/>
  <c r="Z155" i="1"/>
  <c r="AA155" i="1" s="1"/>
  <c r="AB155" i="1"/>
  <c r="AC155" i="1"/>
  <c r="AD155" i="1"/>
  <c r="T155" i="1" s="1"/>
  <c r="AE155" i="1"/>
  <c r="R13" i="3" s="1"/>
  <c r="AF155" i="1"/>
  <c r="AH155" i="1"/>
  <c r="AM155" i="1"/>
  <c r="AN155" i="1"/>
  <c r="K156" i="1"/>
  <c r="L156" i="1"/>
  <c r="M156" i="1"/>
  <c r="N156" i="1" s="1"/>
  <c r="V156" i="1"/>
  <c r="X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T208" i="1"/>
  <c r="V208" i="1"/>
  <c r="X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X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T211" i="1"/>
  <c r="V211" i="1"/>
  <c r="X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X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T219" i="1"/>
  <c r="V219" i="1"/>
  <c r="X219" i="1"/>
  <c r="Y219" i="1"/>
  <c r="Z219" i="1"/>
  <c r="AB219" i="1"/>
  <c r="AC219" i="1"/>
  <c r="AD219" i="1"/>
  <c r="AE219" i="1"/>
  <c r="AF219" i="1"/>
  <c r="AH172" i="1"/>
  <c r="AM172" i="1"/>
  <c r="AN172" i="1"/>
  <c r="K220" i="1"/>
  <c r="L220" i="1"/>
  <c r="M220" i="1"/>
  <c r="N220" i="1"/>
  <c r="V220" i="1"/>
  <c r="Y220" i="1"/>
  <c r="Z220" i="1"/>
  <c r="AB220" i="1"/>
  <c r="AC220" i="1"/>
  <c r="AD220" i="1"/>
  <c r="T220" i="1" s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7" i="1"/>
  <c r="L227" i="1"/>
  <c r="M227" i="1"/>
  <c r="N227" i="1" s="1"/>
  <c r="V227" i="1"/>
  <c r="Y227" i="1"/>
  <c r="AA227" i="1" s="1"/>
  <c r="Z227" i="1"/>
  <c r="AB227" i="1"/>
  <c r="AC227" i="1"/>
  <c r="AD227" i="1"/>
  <c r="T227" i="1" s="1"/>
  <c r="AE227" i="1"/>
  <c r="AF227" i="1"/>
  <c r="AH175" i="1"/>
  <c r="AM175" i="1"/>
  <c r="AN175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6" i="1"/>
  <c r="AM176" i="1"/>
  <c r="AN176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7" i="1"/>
  <c r="AM177" i="1"/>
  <c r="AN177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8" i="1"/>
  <c r="AM178" i="1"/>
  <c r="AN178" i="1"/>
  <c r="K231" i="1"/>
  <c r="L231" i="1"/>
  <c r="M231" i="1"/>
  <c r="N231" i="1" s="1"/>
  <c r="V231" i="1"/>
  <c r="Y231" i="1"/>
  <c r="Z231" i="1"/>
  <c r="AB231" i="1"/>
  <c r="AC231" i="1"/>
  <c r="AD231" i="1"/>
  <c r="X231" i="1" s="1"/>
  <c r="AE231" i="1"/>
  <c r="AF231" i="1"/>
  <c r="AH180" i="1"/>
  <c r="AM180" i="1"/>
  <c r="AN180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1" i="1"/>
  <c r="AM181" i="1"/>
  <c r="AN181" i="1"/>
  <c r="K233" i="1"/>
  <c r="L233" i="1"/>
  <c r="M233" i="1"/>
  <c r="N233" i="1"/>
  <c r="V233" i="1"/>
  <c r="Y233" i="1"/>
  <c r="Z233" i="1"/>
  <c r="AA233" i="1"/>
  <c r="AB233" i="1"/>
  <c r="AC233" i="1"/>
  <c r="AD233" i="1"/>
  <c r="T233" i="1" s="1"/>
  <c r="AE233" i="1"/>
  <c r="AF233" i="1"/>
  <c r="AH182" i="1"/>
  <c r="AM182" i="1"/>
  <c r="AN182" i="1"/>
  <c r="K234" i="1"/>
  <c r="L234" i="1"/>
  <c r="M234" i="1"/>
  <c r="N234" i="1" s="1"/>
  <c r="V234" i="1"/>
  <c r="Y234" i="1"/>
  <c r="Z234" i="1"/>
  <c r="AB234" i="1"/>
  <c r="AC234" i="1"/>
  <c r="AD234" i="1"/>
  <c r="X234" i="1" s="1"/>
  <c r="AE234" i="1"/>
  <c r="AF234" i="1"/>
  <c r="AH184" i="1"/>
  <c r="AM184" i="1"/>
  <c r="AN184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6" i="1"/>
  <c r="AM186" i="1"/>
  <c r="AN186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7" i="1"/>
  <c r="AM187" i="1"/>
  <c r="AN187" i="1"/>
  <c r="K237" i="1"/>
  <c r="L237" i="1"/>
  <c r="M237" i="1"/>
  <c r="N237" i="1" s="1"/>
  <c r="V237" i="1"/>
  <c r="Y237" i="1"/>
  <c r="Z237" i="1"/>
  <c r="AA237" i="1" s="1"/>
  <c r="AB237" i="1"/>
  <c r="AC237" i="1"/>
  <c r="AD237" i="1"/>
  <c r="T237" i="1" s="1"/>
  <c r="AE237" i="1"/>
  <c r="AF237" i="1"/>
  <c r="AH188" i="1"/>
  <c r="AM188" i="1"/>
  <c r="AN188" i="1"/>
  <c r="K238" i="1"/>
  <c r="L238" i="1"/>
  <c r="M238" i="1"/>
  <c r="N238" i="1" s="1"/>
  <c r="V238" i="1"/>
  <c r="Y238" i="1"/>
  <c r="Z238" i="1"/>
  <c r="AA238" i="1" s="1"/>
  <c r="AB238" i="1"/>
  <c r="AC238" i="1"/>
  <c r="AD238" i="1"/>
  <c r="AE238" i="1"/>
  <c r="AF238" i="1"/>
  <c r="AH189" i="1"/>
  <c r="AM189" i="1"/>
  <c r="AN189" i="1"/>
  <c r="K239" i="1"/>
  <c r="L239" i="1"/>
  <c r="M239" i="1"/>
  <c r="N239" i="1" s="1"/>
  <c r="V239" i="1"/>
  <c r="Y239" i="1"/>
  <c r="Z239" i="1"/>
  <c r="AB239" i="1"/>
  <c r="AC239" i="1"/>
  <c r="AD239" i="1"/>
  <c r="X239" i="1" s="1"/>
  <c r="AE239" i="1"/>
  <c r="AF239" i="1"/>
  <c r="AH190" i="1"/>
  <c r="AM190" i="1"/>
  <c r="AN190" i="1"/>
  <c r="K240" i="1"/>
  <c r="L240" i="1"/>
  <c r="M240" i="1"/>
  <c r="N240" i="1" s="1"/>
  <c r="V240" i="1"/>
  <c r="Y240" i="1"/>
  <c r="Z240" i="1"/>
  <c r="AA240" i="1" s="1"/>
  <c r="AB240" i="1"/>
  <c r="AC240" i="1"/>
  <c r="AD240" i="1"/>
  <c r="T240" i="1" s="1"/>
  <c r="AE240" i="1"/>
  <c r="AF240" i="1"/>
  <c r="AH191" i="1"/>
  <c r="AM191" i="1"/>
  <c r="AN191" i="1"/>
  <c r="K241" i="1"/>
  <c r="L241" i="1"/>
  <c r="M241" i="1"/>
  <c r="N241" i="1"/>
  <c r="V241" i="1"/>
  <c r="Y241" i="1"/>
  <c r="Z241" i="1"/>
  <c r="AA241" i="1"/>
  <c r="AB241" i="1"/>
  <c r="AC241" i="1"/>
  <c r="AD241" i="1"/>
  <c r="T241" i="1" s="1"/>
  <c r="AE241" i="1"/>
  <c r="AF241" i="1"/>
  <c r="AH192" i="1"/>
  <c r="AM192" i="1"/>
  <c r="AN192" i="1"/>
  <c r="K160" i="1"/>
  <c r="L160" i="1"/>
  <c r="M160" i="1"/>
  <c r="N160" i="1" s="1"/>
  <c r="V160" i="1"/>
  <c r="Y160" i="1"/>
  <c r="Z160" i="1"/>
  <c r="AA160" i="1" s="1"/>
  <c r="AB160" i="1"/>
  <c r="AC160" i="1"/>
  <c r="AD160" i="1"/>
  <c r="X160" i="1" s="1"/>
  <c r="AE160" i="1"/>
  <c r="AF160" i="1"/>
  <c r="AH193" i="1"/>
  <c r="AM193" i="1"/>
  <c r="AN193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4" i="1"/>
  <c r="AM194" i="1"/>
  <c r="AN194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195" i="1"/>
  <c r="AM195" i="1"/>
  <c r="AN195" i="1"/>
  <c r="K163" i="1"/>
  <c r="L163" i="1"/>
  <c r="M163" i="1"/>
  <c r="N163" i="1"/>
  <c r="V163" i="1"/>
  <c r="Y163" i="1"/>
  <c r="AA163" i="1" s="1"/>
  <c r="Z163" i="1"/>
  <c r="AB163" i="1"/>
  <c r="AC163" i="1"/>
  <c r="AD163" i="1"/>
  <c r="T163" i="1" s="1"/>
  <c r="AE163" i="1"/>
  <c r="AF163" i="1"/>
  <c r="AH196" i="1"/>
  <c r="AM196" i="1"/>
  <c r="AN196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197" i="1"/>
  <c r="AM197" i="1"/>
  <c r="AN197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198" i="1"/>
  <c r="AM198" i="1"/>
  <c r="AN198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99" i="1"/>
  <c r="AM199" i="1"/>
  <c r="AN199" i="1"/>
  <c r="K167" i="1"/>
  <c r="L167" i="1"/>
  <c r="M167" i="1"/>
  <c r="N167" i="1"/>
  <c r="V167" i="1"/>
  <c r="S32" i="3" s="1"/>
  <c r="Y167" i="1"/>
  <c r="Z167" i="1"/>
  <c r="AA167" i="1"/>
  <c r="AB167" i="1"/>
  <c r="AC167" i="1"/>
  <c r="AD167" i="1"/>
  <c r="T167" i="1" s="1"/>
  <c r="AE167" i="1"/>
  <c r="R41" i="3" s="1"/>
  <c r="AF167" i="1"/>
  <c r="AH200" i="1"/>
  <c r="AM200" i="1"/>
  <c r="AN200" i="1"/>
  <c r="K168" i="1"/>
  <c r="L168" i="1"/>
  <c r="M168" i="1"/>
  <c r="N168" i="1" s="1"/>
  <c r="V168" i="1"/>
  <c r="S38" i="3" s="1"/>
  <c r="Y168" i="1"/>
  <c r="Z168" i="1"/>
  <c r="AA168" i="1" s="1"/>
  <c r="AB168" i="1"/>
  <c r="AC168" i="1"/>
  <c r="AD168" i="1"/>
  <c r="X168" i="1" s="1"/>
  <c r="AE168" i="1"/>
  <c r="AF168" i="1"/>
  <c r="AH201" i="1"/>
  <c r="AM201" i="1"/>
  <c r="AN201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2" i="1"/>
  <c r="AM202" i="1"/>
  <c r="AN202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203" i="1"/>
  <c r="AM203" i="1"/>
  <c r="AN203" i="1"/>
  <c r="K171" i="1"/>
  <c r="L171" i="1"/>
  <c r="M171" i="1"/>
  <c r="N171" i="1"/>
  <c r="V171" i="1"/>
  <c r="S42" i="3" s="1"/>
  <c r="Y171" i="1"/>
  <c r="AA171" i="1" s="1"/>
  <c r="Z171" i="1"/>
  <c r="AB171" i="1"/>
  <c r="AC171" i="1"/>
  <c r="AD171" i="1"/>
  <c r="T171" i="1" s="1"/>
  <c r="AE171" i="1"/>
  <c r="R42" i="3" s="1"/>
  <c r="AF171" i="1"/>
  <c r="AH204" i="1"/>
  <c r="AM204" i="1"/>
  <c r="AN20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5" i="1"/>
  <c r="AM205" i="1"/>
  <c r="AN205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R43" i="3" s="1"/>
  <c r="AF173" i="1"/>
  <c r="AH206" i="1"/>
  <c r="AM206" i="1"/>
  <c r="AN20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7" i="1"/>
  <c r="AM207" i="1"/>
  <c r="AN207" i="1"/>
  <c r="K175" i="1"/>
  <c r="L175" i="1"/>
  <c r="M175" i="1"/>
  <c r="N175" i="1" s="1"/>
  <c r="V175" i="1"/>
  <c r="S35" i="3" s="1"/>
  <c r="Y175" i="1"/>
  <c r="Z175" i="1"/>
  <c r="AB175" i="1"/>
  <c r="AC175" i="1"/>
  <c r="AD175" i="1"/>
  <c r="T175" i="1" s="1"/>
  <c r="AE175" i="1"/>
  <c r="R35" i="3" s="1"/>
  <c r="AF175" i="1"/>
  <c r="AH208" i="1"/>
  <c r="AM208" i="1"/>
  <c r="AN208" i="1"/>
  <c r="K176" i="1"/>
  <c r="L176" i="1"/>
  <c r="M176" i="1"/>
  <c r="N176" i="1" s="1"/>
  <c r="V176" i="1"/>
  <c r="S39" i="3" s="1"/>
  <c r="Y176" i="1"/>
  <c r="Z176" i="1"/>
  <c r="AB176" i="1"/>
  <c r="AC176" i="1"/>
  <c r="AD176" i="1"/>
  <c r="T176" i="1" s="1"/>
  <c r="AE176" i="1"/>
  <c r="R39" i="3" s="1"/>
  <c r="AF176" i="1"/>
  <c r="AH209" i="1"/>
  <c r="AM209" i="1"/>
  <c r="AN209" i="1"/>
  <c r="K177" i="1"/>
  <c r="L177" i="1"/>
  <c r="M177" i="1"/>
  <c r="N177" i="1" s="1"/>
  <c r="V177" i="1"/>
  <c r="S44" i="3" s="1"/>
  <c r="Y177" i="1"/>
  <c r="Z177" i="1"/>
  <c r="AB177" i="1"/>
  <c r="AC177" i="1"/>
  <c r="AD177" i="1"/>
  <c r="AE177" i="1"/>
  <c r="R44" i="3" s="1"/>
  <c r="AF177" i="1"/>
  <c r="AH210" i="1"/>
  <c r="AM210" i="1"/>
  <c r="AN21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1" i="1"/>
  <c r="AM211" i="1"/>
  <c r="AN21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2" i="1"/>
  <c r="AM212" i="1"/>
  <c r="AN212" i="1"/>
  <c r="K181" i="1"/>
  <c r="L181" i="1"/>
  <c r="M181" i="1"/>
  <c r="N181" i="1" s="1"/>
  <c r="V181" i="1"/>
  <c r="S33" i="3" s="1"/>
  <c r="Y181" i="1"/>
  <c r="Z181" i="1"/>
  <c r="AB181" i="1"/>
  <c r="AC181" i="1"/>
  <c r="AD181" i="1"/>
  <c r="T181" i="1" s="1"/>
  <c r="AE181" i="1"/>
  <c r="R33" i="3" s="1"/>
  <c r="AF181" i="1"/>
  <c r="AH213" i="1"/>
  <c r="AM213" i="1"/>
  <c r="AN213" i="1"/>
  <c r="K182" i="1"/>
  <c r="L182" i="1"/>
  <c r="M182" i="1"/>
  <c r="N182" i="1" s="1"/>
  <c r="V182" i="1"/>
  <c r="Y182" i="1"/>
  <c r="Z182" i="1"/>
  <c r="AB182" i="1"/>
  <c r="AC182" i="1"/>
  <c r="AD182" i="1"/>
  <c r="X182" i="1" s="1"/>
  <c r="AE182" i="1"/>
  <c r="AF182" i="1"/>
  <c r="AH214" i="1"/>
  <c r="AM214" i="1"/>
  <c r="AN214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15" i="1"/>
  <c r="AM215" i="1"/>
  <c r="AN215" i="1"/>
  <c r="K186" i="1"/>
  <c r="L186" i="1"/>
  <c r="M186" i="1"/>
  <c r="N186" i="1"/>
  <c r="V186" i="1"/>
  <c r="Y186" i="1"/>
  <c r="AA186" i="1" s="1"/>
  <c r="Z186" i="1"/>
  <c r="AB186" i="1"/>
  <c r="AC186" i="1"/>
  <c r="AD186" i="1"/>
  <c r="T186" i="1" s="1"/>
  <c r="AE186" i="1"/>
  <c r="AF186" i="1"/>
  <c r="AH216" i="1"/>
  <c r="AM216" i="1"/>
  <c r="AN216" i="1"/>
  <c r="K187" i="1"/>
  <c r="L187" i="1"/>
  <c r="M187" i="1"/>
  <c r="N187" i="1" s="1"/>
  <c r="V187" i="1"/>
  <c r="X187" i="1"/>
  <c r="Y187" i="1"/>
  <c r="Z187" i="1"/>
  <c r="AA187" i="1" s="1"/>
  <c r="AB187" i="1"/>
  <c r="AC187" i="1"/>
  <c r="AD187" i="1"/>
  <c r="T187" i="1" s="1"/>
  <c r="AE187" i="1"/>
  <c r="AF187" i="1"/>
  <c r="AH217" i="1"/>
  <c r="AM217" i="1"/>
  <c r="AN217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18" i="1"/>
  <c r="AM218" i="1"/>
  <c r="AN218" i="1"/>
  <c r="K189" i="1"/>
  <c r="L189" i="1"/>
  <c r="M189" i="1"/>
  <c r="N189" i="1"/>
  <c r="V189" i="1"/>
  <c r="Y189" i="1"/>
  <c r="Z189" i="1"/>
  <c r="AB189" i="1"/>
  <c r="AC189" i="1"/>
  <c r="AD189" i="1"/>
  <c r="T189" i="1" s="1"/>
  <c r="AE189" i="1"/>
  <c r="AF189" i="1"/>
  <c r="AH219" i="1"/>
  <c r="AM219" i="1"/>
  <c r="AN21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0" i="1"/>
  <c r="AM220" i="1"/>
  <c r="AN220" i="1"/>
  <c r="K191" i="1"/>
  <c r="L191" i="1"/>
  <c r="M191" i="1"/>
  <c r="N191" i="1" s="1"/>
  <c r="V191" i="1"/>
  <c r="X191" i="1"/>
  <c r="Y191" i="1"/>
  <c r="Z191" i="1"/>
  <c r="AA191" i="1"/>
  <c r="AB191" i="1"/>
  <c r="AC191" i="1"/>
  <c r="AD191" i="1"/>
  <c r="T191" i="1" s="1"/>
  <c r="AE191" i="1"/>
  <c r="AF191" i="1"/>
  <c r="AH221" i="1"/>
  <c r="AM221" i="1"/>
  <c r="AN221" i="1"/>
  <c r="K192" i="1"/>
  <c r="L192" i="1"/>
  <c r="M192" i="1"/>
  <c r="N192" i="1" s="1"/>
  <c r="T192" i="1"/>
  <c r="V192" i="1"/>
  <c r="Y192" i="1"/>
  <c r="Z192" i="1"/>
  <c r="AB192" i="1"/>
  <c r="AC192" i="1"/>
  <c r="AD192" i="1"/>
  <c r="X192" i="1" s="1"/>
  <c r="AE192" i="1"/>
  <c r="AF192" i="1"/>
  <c r="AH222" i="1"/>
  <c r="AM222" i="1"/>
  <c r="AN222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23" i="1"/>
  <c r="AM223" i="1"/>
  <c r="AN223" i="1"/>
  <c r="K194" i="1"/>
  <c r="L194" i="1"/>
  <c r="M194" i="1"/>
  <c r="N194" i="1"/>
  <c r="V194" i="1"/>
  <c r="Y194" i="1"/>
  <c r="AA194" i="1" s="1"/>
  <c r="Z194" i="1"/>
  <c r="AB194" i="1"/>
  <c r="AC194" i="1"/>
  <c r="AD194" i="1"/>
  <c r="T194" i="1" s="1"/>
  <c r="AE194" i="1"/>
  <c r="R40" i="3" s="1"/>
  <c r="AF194" i="1"/>
  <c r="AH224" i="1"/>
  <c r="AM224" i="1"/>
  <c r="AN224" i="1"/>
  <c r="K195" i="1"/>
  <c r="L195" i="1"/>
  <c r="M195" i="1"/>
  <c r="N195" i="1" s="1"/>
  <c r="V195" i="1"/>
  <c r="S45" i="3" s="1"/>
  <c r="Y195" i="1"/>
  <c r="Z195" i="1"/>
  <c r="AA195" i="1"/>
  <c r="AB195" i="1"/>
  <c r="AC195" i="1"/>
  <c r="AD195" i="1"/>
  <c r="AE195" i="1"/>
  <c r="R45" i="3" s="1"/>
  <c r="AF195" i="1"/>
  <c r="AH225" i="1"/>
  <c r="AM225" i="1"/>
  <c r="AN225" i="1"/>
  <c r="K196" i="1"/>
  <c r="L196" i="1"/>
  <c r="M196" i="1"/>
  <c r="N196" i="1" s="1"/>
  <c r="T196" i="1"/>
  <c r="V196" i="1"/>
  <c r="Y196" i="1"/>
  <c r="Z196" i="1"/>
  <c r="AB196" i="1"/>
  <c r="AC196" i="1"/>
  <c r="AD196" i="1"/>
  <c r="X196" i="1" s="1"/>
  <c r="AE196" i="1"/>
  <c r="AF196" i="1"/>
  <c r="AH226" i="1"/>
  <c r="AM226" i="1"/>
  <c r="AN226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27" i="1"/>
  <c r="AM227" i="1"/>
  <c r="AN227" i="1"/>
  <c r="K198" i="1"/>
  <c r="L198" i="1"/>
  <c r="M198" i="1"/>
  <c r="N198" i="1"/>
  <c r="V198" i="1"/>
  <c r="S36" i="3" s="1"/>
  <c r="Y198" i="1"/>
  <c r="AA198" i="1" s="1"/>
  <c r="Z198" i="1"/>
  <c r="AB198" i="1"/>
  <c r="AC198" i="1"/>
  <c r="AD198" i="1"/>
  <c r="T198" i="1" s="1"/>
  <c r="AE198" i="1"/>
  <c r="R36" i="3" s="1"/>
  <c r="AF198" i="1"/>
  <c r="AH228" i="1"/>
  <c r="AM228" i="1"/>
  <c r="AN228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29" i="1"/>
  <c r="AM229" i="1"/>
  <c r="AN229" i="1"/>
  <c r="K200" i="1"/>
  <c r="L200" i="1"/>
  <c r="M200" i="1"/>
  <c r="N200" i="1" s="1"/>
  <c r="T200" i="1"/>
  <c r="V200" i="1"/>
  <c r="Y200" i="1"/>
  <c r="Z200" i="1"/>
  <c r="AA200" i="1" s="1"/>
  <c r="AB200" i="1"/>
  <c r="AC200" i="1"/>
  <c r="AD200" i="1"/>
  <c r="AE200" i="1"/>
  <c r="AF200" i="1"/>
  <c r="AH230" i="1"/>
  <c r="AM230" i="1"/>
  <c r="AN230" i="1"/>
  <c r="K201" i="1"/>
  <c r="L201" i="1"/>
  <c r="M201" i="1"/>
  <c r="N201" i="1"/>
  <c r="V201" i="1"/>
  <c r="S46" i="3" s="1"/>
  <c r="Y201" i="1"/>
  <c r="Z201" i="1"/>
  <c r="AB201" i="1"/>
  <c r="AC201" i="1"/>
  <c r="AD201" i="1"/>
  <c r="T201" i="1" s="1"/>
  <c r="AE201" i="1"/>
  <c r="R46" i="3" s="1"/>
  <c r="AF201" i="1"/>
  <c r="AH231" i="1"/>
  <c r="AM231" i="1"/>
  <c r="AN23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2" i="1"/>
  <c r="AM232" i="1"/>
  <c r="AN232" i="1"/>
  <c r="K203" i="1"/>
  <c r="L203" i="1"/>
  <c r="M203" i="1"/>
  <c r="N203" i="1" s="1"/>
  <c r="V203" i="1"/>
  <c r="Y203" i="1"/>
  <c r="AA203" i="1" s="1"/>
  <c r="Z203" i="1"/>
  <c r="AB203" i="1"/>
  <c r="AC203" i="1"/>
  <c r="AD203" i="1"/>
  <c r="T203" i="1" s="1"/>
  <c r="AE203" i="1"/>
  <c r="AF203" i="1"/>
  <c r="AH233" i="1"/>
  <c r="AM233" i="1"/>
  <c r="AN233" i="1"/>
  <c r="K204" i="1"/>
  <c r="L204" i="1"/>
  <c r="M204" i="1"/>
  <c r="N204" i="1" s="1"/>
  <c r="T204" i="1"/>
  <c r="V204" i="1"/>
  <c r="Y204" i="1"/>
  <c r="Z204" i="1"/>
  <c r="AB204" i="1"/>
  <c r="AC204" i="1"/>
  <c r="AD204" i="1"/>
  <c r="X204" i="1" s="1"/>
  <c r="AE204" i="1"/>
  <c r="AF204" i="1"/>
  <c r="AH234" i="1"/>
  <c r="AM234" i="1"/>
  <c r="AN234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35" i="1"/>
  <c r="AM235" i="1"/>
  <c r="AN235" i="1"/>
  <c r="K206" i="1"/>
  <c r="L206" i="1"/>
  <c r="M206" i="1"/>
  <c r="N206" i="1"/>
  <c r="V206" i="1"/>
  <c r="S47" i="3" s="1"/>
  <c r="Y206" i="1"/>
  <c r="AA206" i="1" s="1"/>
  <c r="Z206" i="1"/>
  <c r="AB206" i="1"/>
  <c r="AC206" i="1"/>
  <c r="AD206" i="1"/>
  <c r="T206" i="1" s="1"/>
  <c r="AE206" i="1"/>
  <c r="R47" i="3" s="1"/>
  <c r="AF206" i="1"/>
  <c r="AH236" i="1"/>
  <c r="AM236" i="1"/>
  <c r="AN236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37" i="1"/>
  <c r="AM237" i="1"/>
  <c r="AN237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38" i="1"/>
  <c r="AM238" i="1"/>
  <c r="AN238" i="1"/>
  <c r="K224" i="1"/>
  <c r="L224" i="1"/>
  <c r="M224" i="1"/>
  <c r="N224" i="1"/>
  <c r="V224" i="1"/>
  <c r="Y224" i="1"/>
  <c r="Z224" i="1"/>
  <c r="AB224" i="1"/>
  <c r="AC224" i="1"/>
  <c r="AD224" i="1"/>
  <c r="T224" i="1" s="1"/>
  <c r="AE224" i="1"/>
  <c r="AF224" i="1"/>
  <c r="AH239" i="1"/>
  <c r="AM239" i="1"/>
  <c r="AN239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0" i="1"/>
  <c r="AM240" i="1"/>
  <c r="AN240" i="1"/>
  <c r="K226" i="1"/>
  <c r="L226" i="1"/>
  <c r="M226" i="1"/>
  <c r="N226" i="1" s="1"/>
  <c r="V226" i="1"/>
  <c r="X226" i="1"/>
  <c r="Y226" i="1"/>
  <c r="AA226" i="1" s="1"/>
  <c r="Z226" i="1"/>
  <c r="AB226" i="1"/>
  <c r="AC226" i="1"/>
  <c r="AD226" i="1"/>
  <c r="X227" i="1" s="1"/>
  <c r="AE226" i="1"/>
  <c r="AF226" i="1"/>
  <c r="AH241" i="1"/>
  <c r="AM241" i="1"/>
  <c r="AN241" i="1"/>
  <c r="M20" i="3"/>
  <c r="R20" i="3"/>
  <c r="U20" i="3"/>
  <c r="T20" i="3" s="1"/>
  <c r="V20" i="3"/>
  <c r="X20" i="3"/>
  <c r="M27" i="3"/>
  <c r="U27" i="3"/>
  <c r="AD27" i="3" s="1"/>
  <c r="V27" i="3"/>
  <c r="X27" i="3"/>
  <c r="M16" i="3"/>
  <c r="S16" i="3"/>
  <c r="U16" i="3"/>
  <c r="AC16" i="3" s="1"/>
  <c r="V16" i="3"/>
  <c r="X16" i="3"/>
  <c r="M32" i="3"/>
  <c r="T32" i="3"/>
  <c r="U32" i="3"/>
  <c r="AC32" i="3" s="1"/>
  <c r="V32" i="3"/>
  <c r="X32" i="3"/>
  <c r="M41" i="3"/>
  <c r="U41" i="3"/>
  <c r="T41" i="3" s="1"/>
  <c r="V41" i="3"/>
  <c r="X41" i="3"/>
  <c r="M21" i="3"/>
  <c r="R21" i="3"/>
  <c r="U21" i="3"/>
  <c r="AC21" i="3" s="1"/>
  <c r="V21" i="3"/>
  <c r="X21" i="3"/>
  <c r="M31" i="3"/>
  <c r="R31" i="3"/>
  <c r="U31" i="3"/>
  <c r="AC31" i="3" s="1"/>
  <c r="V31" i="3"/>
  <c r="X31" i="3"/>
  <c r="M11" i="3"/>
  <c r="R11" i="3"/>
  <c r="S11" i="3"/>
  <c r="U11" i="3"/>
  <c r="AC11" i="3" s="1"/>
  <c r="V11" i="3"/>
  <c r="X11" i="3"/>
  <c r="M37" i="3"/>
  <c r="R37" i="3"/>
  <c r="U37" i="3"/>
  <c r="T37" i="3" s="1"/>
  <c r="V37" i="3"/>
  <c r="X37" i="3"/>
  <c r="M38" i="3"/>
  <c r="R38" i="3"/>
  <c r="U38" i="3"/>
  <c r="V38" i="3"/>
  <c r="X38" i="3"/>
  <c r="M42" i="3"/>
  <c r="U42" i="3"/>
  <c r="AC42" i="3" s="1"/>
  <c r="V42" i="3"/>
  <c r="X42" i="3"/>
  <c r="M28" i="3"/>
  <c r="S28" i="3"/>
  <c r="U28" i="3"/>
  <c r="AC28" i="3" s="1"/>
  <c r="V28" i="3"/>
  <c r="X28" i="3"/>
  <c r="M43" i="3"/>
  <c r="S43" i="3"/>
  <c r="U43" i="3"/>
  <c r="T43" i="3" s="1"/>
  <c r="V43" i="3"/>
  <c r="AE43" i="3" s="1"/>
  <c r="X43" i="3"/>
  <c r="AC43" i="3"/>
  <c r="M29" i="3"/>
  <c r="S29" i="3"/>
  <c r="U29" i="3"/>
  <c r="AC29" i="3" s="1"/>
  <c r="V29" i="3"/>
  <c r="X29" i="3"/>
  <c r="M35" i="3"/>
  <c r="U35" i="3"/>
  <c r="AC35" i="3" s="1"/>
  <c r="V35" i="3"/>
  <c r="X35" i="3"/>
  <c r="M22" i="3"/>
  <c r="U22" i="3"/>
  <c r="AC22" i="3" s="1"/>
  <c r="V22" i="3"/>
  <c r="X22" i="3"/>
  <c r="M34" i="3"/>
  <c r="S34" i="3"/>
  <c r="U34" i="3"/>
  <c r="T34" i="3" s="1"/>
  <c r="V34" i="3"/>
  <c r="X34" i="3"/>
  <c r="M39" i="3"/>
  <c r="U39" i="3"/>
  <c r="AD39" i="3" s="1"/>
  <c r="V39" i="3"/>
  <c r="X39" i="3"/>
  <c r="AC39" i="3"/>
  <c r="M44" i="3"/>
  <c r="U44" i="3"/>
  <c r="AC44" i="3" s="1"/>
  <c r="V44" i="3"/>
  <c r="X44" i="3"/>
  <c r="M12" i="3"/>
  <c r="S12" i="3"/>
  <c r="T12" i="3"/>
  <c r="U12" i="3"/>
  <c r="AD12" i="3" s="1"/>
  <c r="V12" i="3"/>
  <c r="X12" i="3"/>
  <c r="AC12" i="3"/>
  <c r="M33" i="3"/>
  <c r="U33" i="3"/>
  <c r="T33" i="3" s="1"/>
  <c r="V33" i="3"/>
  <c r="X33" i="3"/>
  <c r="M17" i="3"/>
  <c r="R17" i="3"/>
  <c r="S17" i="3"/>
  <c r="U17" i="3"/>
  <c r="V17" i="3"/>
  <c r="X17" i="3"/>
  <c r="M23" i="3"/>
  <c r="S23" i="3"/>
  <c r="U23" i="3"/>
  <c r="AC23" i="3" s="1"/>
  <c r="V23" i="3"/>
  <c r="X23" i="3"/>
  <c r="M10" i="3"/>
  <c r="S10" i="3"/>
  <c r="U10" i="3"/>
  <c r="V10" i="3"/>
  <c r="X10" i="3"/>
  <c r="M15" i="3"/>
  <c r="U15" i="3"/>
  <c r="T15" i="3" s="1"/>
  <c r="V15" i="3"/>
  <c r="X15" i="3"/>
  <c r="M24" i="3"/>
  <c r="S24" i="3"/>
  <c r="U24" i="3"/>
  <c r="V24" i="3"/>
  <c r="X24" i="3"/>
  <c r="AC24" i="3"/>
  <c r="M7" i="3"/>
  <c r="R7" i="3"/>
  <c r="U7" i="3"/>
  <c r="AC7" i="3" s="1"/>
  <c r="V7" i="3"/>
  <c r="X7" i="3"/>
  <c r="M8" i="3"/>
  <c r="S8" i="3"/>
  <c r="T8" i="3"/>
  <c r="U8" i="3"/>
  <c r="AD8" i="3" s="1"/>
  <c r="V8" i="3"/>
  <c r="X8" i="3"/>
  <c r="AC8" i="3"/>
  <c r="M30" i="3"/>
  <c r="U30" i="3"/>
  <c r="T30" i="3" s="1"/>
  <c r="V30" i="3"/>
  <c r="X30" i="3"/>
  <c r="M40" i="3"/>
  <c r="S40" i="3"/>
  <c r="U40" i="3"/>
  <c r="V40" i="3"/>
  <c r="X40" i="3"/>
  <c r="M45" i="3"/>
  <c r="U45" i="3"/>
  <c r="AC45" i="3" s="1"/>
  <c r="V45" i="3"/>
  <c r="X45" i="3"/>
  <c r="M9" i="3"/>
  <c r="S9" i="3"/>
  <c r="U9" i="3"/>
  <c r="T9" i="3" s="1"/>
  <c r="V9" i="3"/>
  <c r="X9" i="3"/>
  <c r="M36" i="3"/>
  <c r="U36" i="3"/>
  <c r="T36" i="3" s="1"/>
  <c r="V36" i="3"/>
  <c r="X36" i="3"/>
  <c r="M14" i="3"/>
  <c r="S14" i="3"/>
  <c r="U14" i="3"/>
  <c r="AD41" i="3" s="1"/>
  <c r="V14" i="3"/>
  <c r="X14" i="3"/>
  <c r="M46" i="3"/>
  <c r="U46" i="3"/>
  <c r="AC46" i="3" s="1"/>
  <c r="V46" i="3"/>
  <c r="X46" i="3"/>
  <c r="M25" i="3"/>
  <c r="S25" i="3"/>
  <c r="U25" i="3"/>
  <c r="T25" i="3" s="1"/>
  <c r="V25" i="3"/>
  <c r="X25" i="3"/>
  <c r="AD43" i="3"/>
  <c r="M18" i="3"/>
  <c r="S18" i="3"/>
  <c r="U18" i="3"/>
  <c r="T18" i="3" s="1"/>
  <c r="V18" i="3"/>
  <c r="X18" i="3"/>
  <c r="M26" i="3"/>
  <c r="S26" i="3"/>
  <c r="U26" i="3"/>
  <c r="V26" i="3"/>
  <c r="X26" i="3"/>
  <c r="M47" i="3"/>
  <c r="U47" i="3"/>
  <c r="AC47" i="3" s="1"/>
  <c r="V47" i="3"/>
  <c r="X47" i="3"/>
  <c r="M13" i="3"/>
  <c r="U13" i="3"/>
  <c r="V13" i="3"/>
  <c r="X13" i="3"/>
  <c r="AG24" i="1"/>
  <c r="AG14" i="1"/>
  <c r="AG185" i="1"/>
  <c r="AG183" i="1"/>
  <c r="AG179" i="1"/>
  <c r="AG158" i="1"/>
  <c r="AG190" i="1"/>
  <c r="AG26" i="1"/>
  <c r="AG42" i="1"/>
  <c r="AG16" i="1"/>
  <c r="AG33" i="1"/>
  <c r="AG49" i="1"/>
  <c r="AG23" i="1"/>
  <c r="AG40" i="1"/>
  <c r="AG18" i="1"/>
  <c r="AG35" i="1"/>
  <c r="AG51" i="1"/>
  <c r="AG67" i="1"/>
  <c r="AG83" i="1"/>
  <c r="AG58" i="1"/>
  <c r="AG74" i="1"/>
  <c r="AG90" i="1"/>
  <c r="AG61" i="1"/>
  <c r="AG77" i="1"/>
  <c r="AG93" i="1"/>
  <c r="AG68" i="1"/>
  <c r="AG84" i="1"/>
  <c r="AG99" i="1"/>
  <c r="AG115" i="1"/>
  <c r="AG131" i="1"/>
  <c r="AG110" i="1"/>
  <c r="AG126" i="1"/>
  <c r="AG109" i="1"/>
  <c r="AG125" i="1"/>
  <c r="AG100" i="1"/>
  <c r="AG116" i="1"/>
  <c r="AG132" i="1"/>
  <c r="AG149" i="1"/>
  <c r="AG213" i="1"/>
  <c r="AG140" i="1"/>
  <c r="AG156" i="1"/>
  <c r="AG220" i="1"/>
  <c r="AG147" i="1"/>
  <c r="AG211" i="1"/>
  <c r="AG142" i="1"/>
  <c r="AG159" i="1"/>
  <c r="AG227" i="1"/>
  <c r="AG241" i="1"/>
  <c r="AG175" i="1"/>
  <c r="AG194" i="1"/>
  <c r="AG225" i="1"/>
  <c r="AG240" i="1"/>
  <c r="AG174" i="1"/>
  <c r="AG193" i="1"/>
  <c r="AG224" i="1"/>
  <c r="AG161" i="1"/>
  <c r="AG177" i="1"/>
  <c r="AG196" i="1"/>
  <c r="AG230" i="1"/>
  <c r="AG164" i="1"/>
  <c r="AG181" i="1"/>
  <c r="AG199" i="1"/>
  <c r="AG30" i="1"/>
  <c r="AG46" i="1"/>
  <c r="AG20" i="1"/>
  <c r="AG37" i="1"/>
  <c r="AG53" i="1"/>
  <c r="AG28" i="1"/>
  <c r="AG44" i="1"/>
  <c r="AG22" i="1"/>
  <c r="AG39" i="1"/>
  <c r="AG55" i="1"/>
  <c r="AG71" i="1"/>
  <c r="AG87" i="1"/>
  <c r="AG62" i="1"/>
  <c r="AG94" i="1"/>
  <c r="AG65" i="1"/>
  <c r="AG81" i="1"/>
  <c r="AG56" i="1"/>
  <c r="AG72" i="1"/>
  <c r="AG88" i="1"/>
  <c r="AG103" i="1"/>
  <c r="AG135" i="1"/>
  <c r="AG114" i="1"/>
  <c r="AG130" i="1"/>
  <c r="AG129" i="1"/>
  <c r="AG104" i="1"/>
  <c r="AG120" i="1"/>
  <c r="AG153" i="1"/>
  <c r="AG144" i="1"/>
  <c r="AG208" i="1"/>
  <c r="AG151" i="1"/>
  <c r="AG215" i="1"/>
  <c r="AG210" i="1"/>
  <c r="AG163" i="1"/>
  <c r="AG198" i="1"/>
  <c r="AG162" i="1"/>
  <c r="AG197" i="1"/>
  <c r="AG165" i="1"/>
  <c r="AG200" i="1"/>
  <c r="AG168" i="1"/>
  <c r="AG187" i="1"/>
  <c r="AG17" i="1"/>
  <c r="AG34" i="1"/>
  <c r="AG25" i="1"/>
  <c r="AG41" i="1"/>
  <c r="AG15" i="1"/>
  <c r="AG48" i="1"/>
  <c r="AG43" i="1"/>
  <c r="AG75" i="1"/>
  <c r="AG66" i="1"/>
  <c r="AG98" i="1"/>
  <c r="AG85" i="1"/>
  <c r="AG76" i="1"/>
  <c r="AG107" i="1"/>
  <c r="AG102" i="1"/>
  <c r="AG101" i="1"/>
  <c r="AG133" i="1"/>
  <c r="AG108" i="1"/>
  <c r="AG141" i="1"/>
  <c r="AG221" i="1"/>
  <c r="AG212" i="1"/>
  <c r="AG155" i="1"/>
  <c r="AG150" i="1"/>
  <c r="AG167" i="1"/>
  <c r="AG202" i="1"/>
  <c r="AG184" i="1"/>
  <c r="AG188" i="1"/>
  <c r="AG172" i="1"/>
  <c r="AG222" i="1"/>
  <c r="AG38" i="1"/>
  <c r="AG29" i="1"/>
  <c r="AG36" i="1"/>
  <c r="AG47" i="1"/>
  <c r="AG79" i="1"/>
  <c r="AG70" i="1"/>
  <c r="AG86" i="1"/>
  <c r="AG73" i="1"/>
  <c r="AG64" i="1"/>
  <c r="AG111" i="1"/>
  <c r="AG122" i="1"/>
  <c r="AG97" i="1"/>
  <c r="AG145" i="1"/>
  <c r="AG152" i="1"/>
  <c r="AG143" i="1"/>
  <c r="AG154" i="1"/>
  <c r="AG171" i="1"/>
  <c r="AG236" i="1"/>
  <c r="AG205" i="1"/>
  <c r="AG192" i="1"/>
  <c r="AG160" i="1"/>
  <c r="AG226" i="1"/>
  <c r="AG78" i="1"/>
  <c r="AG119" i="1"/>
  <c r="AG113" i="1"/>
  <c r="AG137" i="1"/>
  <c r="AG217" i="1"/>
  <c r="AG134" i="1"/>
  <c r="AG146" i="1"/>
  <c r="AG229" i="1"/>
  <c r="AG180" i="1"/>
  <c r="AG228" i="1"/>
  <c r="AG178" i="1"/>
  <c r="AG231" i="1"/>
  <c r="AG182" i="1"/>
  <c r="AG234" i="1"/>
  <c r="AG203" i="1"/>
  <c r="AG50" i="1"/>
  <c r="AG32" i="1"/>
  <c r="AG27" i="1"/>
  <c r="AG59" i="1"/>
  <c r="AG91" i="1"/>
  <c r="AG82" i="1"/>
  <c r="AG69" i="1"/>
  <c r="AG60" i="1"/>
  <c r="AG92" i="1"/>
  <c r="AG123" i="1"/>
  <c r="AG118" i="1"/>
  <c r="AG117" i="1"/>
  <c r="AG124" i="1"/>
  <c r="AG148" i="1"/>
  <c r="AG139" i="1"/>
  <c r="AG219" i="1"/>
  <c r="AG214" i="1"/>
  <c r="AG186" i="1"/>
  <c r="AG166" i="1"/>
  <c r="AG169" i="1"/>
  <c r="AG238" i="1"/>
  <c r="AG21" i="1"/>
  <c r="AG54" i="1"/>
  <c r="AG45" i="1"/>
  <c r="AG19" i="1"/>
  <c r="AG31" i="1"/>
  <c r="AG63" i="1"/>
  <c r="AG95" i="1"/>
  <c r="AG57" i="1"/>
  <c r="AG89" i="1"/>
  <c r="AG96" i="1"/>
  <c r="AG127" i="1"/>
  <c r="AG105" i="1"/>
  <c r="AG112" i="1"/>
  <c r="AG136" i="1"/>
  <c r="AG207" i="1"/>
  <c r="AG237" i="1"/>
  <c r="AG170" i="1"/>
  <c r="AG173" i="1"/>
  <c r="AG176" i="1"/>
  <c r="AG157" i="1"/>
  <c r="AG233" i="1"/>
  <c r="AG232" i="1"/>
  <c r="AG201" i="1"/>
  <c r="AG235" i="1"/>
  <c r="AG204" i="1"/>
  <c r="AG191" i="1"/>
  <c r="AG52" i="1"/>
  <c r="AG80" i="1"/>
  <c r="AG106" i="1"/>
  <c r="AG121" i="1"/>
  <c r="AG128" i="1"/>
  <c r="AG209" i="1"/>
  <c r="AG216" i="1"/>
  <c r="AG138" i="1"/>
  <c r="AG218" i="1"/>
  <c r="AG206" i="1"/>
  <c r="AG189" i="1"/>
  <c r="AG239" i="1"/>
  <c r="AG223" i="1"/>
  <c r="AG195" i="1"/>
  <c r="W27" i="3"/>
  <c r="W39" i="3"/>
  <c r="W14" i="3"/>
  <c r="W8" i="3"/>
  <c r="W42" i="3"/>
  <c r="W7" i="3"/>
  <c r="W33" i="3"/>
  <c r="W32" i="3"/>
  <c r="W12" i="3"/>
  <c r="W41" i="3"/>
  <c r="W21" i="3"/>
  <c r="W17" i="3"/>
  <c r="W26" i="3"/>
  <c r="W13" i="3"/>
  <c r="W35" i="3"/>
  <c r="W45" i="3"/>
  <c r="W15" i="3"/>
  <c r="W11" i="3"/>
  <c r="W9" i="3"/>
  <c r="W37" i="3"/>
  <c r="W38" i="3"/>
  <c r="W24" i="3"/>
  <c r="W46" i="3"/>
  <c r="W16" i="3"/>
  <c r="W44" i="3"/>
  <c r="W10" i="3"/>
  <c r="W30" i="3"/>
  <c r="W28" i="3"/>
  <c r="W36" i="3"/>
  <c r="W43" i="3"/>
  <c r="W29" i="3"/>
  <c r="W40" i="3"/>
  <c r="W47" i="3"/>
  <c r="W31" i="3"/>
  <c r="W23" i="3"/>
  <c r="W25" i="3"/>
  <c r="W18" i="3"/>
  <c r="W22" i="3"/>
  <c r="W20" i="3"/>
  <c r="W34" i="3"/>
  <c r="AI24" i="1" l="1"/>
  <c r="U24" i="1"/>
  <c r="S24" i="1" s="1"/>
  <c r="W24" i="1"/>
  <c r="AD31" i="3"/>
  <c r="U14" i="1"/>
  <c r="S14" i="1" s="1"/>
  <c r="AI14" i="1"/>
  <c r="W14" i="1"/>
  <c r="X14" i="1"/>
  <c r="AI185" i="1"/>
  <c r="U185" i="1"/>
  <c r="S185" i="1" s="1"/>
  <c r="W185" i="1"/>
  <c r="X185" i="1"/>
  <c r="AD29" i="3"/>
  <c r="T22" i="3"/>
  <c r="S37" i="3"/>
  <c r="S31" i="3"/>
  <c r="R32" i="3"/>
  <c r="AC27" i="3"/>
  <c r="AD32" i="3"/>
  <c r="AE27" i="3"/>
  <c r="AC41" i="3"/>
  <c r="S41" i="3"/>
  <c r="U183" i="1"/>
  <c r="S183" i="1" s="1"/>
  <c r="AI183" i="1"/>
  <c r="W183" i="1"/>
  <c r="X183" i="1"/>
  <c r="AI179" i="1"/>
  <c r="U179" i="1"/>
  <c r="S179" i="1" s="1"/>
  <c r="W179" i="1"/>
  <c r="X179" i="1"/>
  <c r="AD45" i="3"/>
  <c r="AD44" i="3"/>
  <c r="AC14" i="3"/>
  <c r="AD33" i="3"/>
  <c r="R34" i="3"/>
  <c r="AD16" i="3"/>
  <c r="AE35" i="3"/>
  <c r="AD37" i="3"/>
  <c r="AC30" i="3"/>
  <c r="AD35" i="3"/>
  <c r="AE31" i="3"/>
  <c r="AD28" i="3"/>
  <c r="AD21" i="3"/>
  <c r="AD20" i="3"/>
  <c r="T11" i="3"/>
  <c r="AC20" i="3"/>
  <c r="AI158" i="1"/>
  <c r="U158" i="1"/>
  <c r="S158" i="1" s="1"/>
  <c r="W158" i="1"/>
  <c r="X158" i="1"/>
  <c r="X222" i="1"/>
  <c r="AA225" i="1"/>
  <c r="X203" i="1"/>
  <c r="AA201" i="1"/>
  <c r="X200" i="1"/>
  <c r="AA196" i="1"/>
  <c r="X195" i="1"/>
  <c r="AA192" i="1"/>
  <c r="AA190" i="1"/>
  <c r="AA181" i="1"/>
  <c r="AA180" i="1"/>
  <c r="X176" i="1"/>
  <c r="AA174" i="1"/>
  <c r="AA172" i="1"/>
  <c r="X169" i="1"/>
  <c r="X164" i="1"/>
  <c r="X161" i="1"/>
  <c r="X238" i="1"/>
  <c r="X235" i="1"/>
  <c r="X230" i="1"/>
  <c r="X148" i="1"/>
  <c r="X199" i="1"/>
  <c r="X177" i="1"/>
  <c r="X172" i="1"/>
  <c r="AA236" i="1"/>
  <c r="AA234" i="1"/>
  <c r="AA229" i="1"/>
  <c r="AA218" i="1"/>
  <c r="X215" i="1"/>
  <c r="AA215" i="1"/>
  <c r="AA210" i="1"/>
  <c r="AA156" i="1"/>
  <c r="X155" i="1"/>
  <c r="AA149" i="1"/>
  <c r="AA147" i="1"/>
  <c r="AA144" i="1"/>
  <c r="AA137" i="1"/>
  <c r="AA126" i="1"/>
  <c r="X125" i="1"/>
  <c r="AA110" i="1"/>
  <c r="X109" i="1"/>
  <c r="AA92" i="1"/>
  <c r="T92" i="1"/>
  <c r="AA90" i="1"/>
  <c r="AA82" i="1"/>
  <c r="AA74" i="1"/>
  <c r="X66" i="1"/>
  <c r="AA61" i="1"/>
  <c r="X58" i="1"/>
  <c r="T51" i="1"/>
  <c r="T47" i="1"/>
  <c r="AA35" i="1"/>
  <c r="AA29" i="1"/>
  <c r="AA21" i="1"/>
  <c r="AA224" i="1"/>
  <c r="X223" i="1"/>
  <c r="AA204" i="1"/>
  <c r="AA202" i="1"/>
  <c r="AA189" i="1"/>
  <c r="X188" i="1"/>
  <c r="X181" i="1"/>
  <c r="AA178" i="1"/>
  <c r="AA176" i="1"/>
  <c r="AA175" i="1"/>
  <c r="X121" i="1"/>
  <c r="X105" i="1"/>
  <c r="X80" i="1"/>
  <c r="AA232" i="1"/>
  <c r="AA230" i="1"/>
  <c r="AA221" i="1"/>
  <c r="AA150" i="1"/>
  <c r="AA138" i="1"/>
  <c r="AA129" i="1"/>
  <c r="AA124" i="1"/>
  <c r="AA120" i="1"/>
  <c r="AA113" i="1"/>
  <c r="AA108" i="1"/>
  <c r="AA104" i="1"/>
  <c r="AA99" i="1"/>
  <c r="AA93" i="1"/>
  <c r="AA87" i="1"/>
  <c r="AA83" i="1"/>
  <c r="AA79" i="1"/>
  <c r="X74" i="1"/>
  <c r="X70" i="1"/>
  <c r="X62" i="1"/>
  <c r="AA57" i="1"/>
  <c r="X54" i="1"/>
  <c r="AA44" i="1"/>
  <c r="AA42" i="1"/>
  <c r="X38" i="1"/>
  <c r="AA38" i="1"/>
  <c r="X34" i="1"/>
  <c r="X29" i="1"/>
  <c r="AA27" i="1"/>
  <c r="X20" i="1"/>
  <c r="AA182" i="1"/>
  <c r="T182" i="1"/>
  <c r="AA177" i="1"/>
  <c r="T177" i="1"/>
  <c r="AA173" i="1"/>
  <c r="T173" i="1"/>
  <c r="AA169" i="1"/>
  <c r="T169" i="1"/>
  <c r="AA165" i="1"/>
  <c r="T165" i="1"/>
  <c r="AA161" i="1"/>
  <c r="T161" i="1"/>
  <c r="AA239" i="1"/>
  <c r="T239" i="1"/>
  <c r="AA235" i="1"/>
  <c r="T235" i="1"/>
  <c r="AA231" i="1"/>
  <c r="T231" i="1"/>
  <c r="AA220" i="1"/>
  <c r="AA219" i="1"/>
  <c r="AA217" i="1"/>
  <c r="X214" i="1"/>
  <c r="AA211" i="1"/>
  <c r="AA209" i="1"/>
  <c r="AA208" i="1"/>
  <c r="AA157" i="1"/>
  <c r="X147" i="1"/>
  <c r="X136" i="1"/>
  <c r="T136" i="1"/>
  <c r="T195" i="1"/>
  <c r="T172" i="1"/>
  <c r="U172" i="1" s="1"/>
  <c r="S172" i="1" s="1"/>
  <c r="T168" i="1"/>
  <c r="T164" i="1"/>
  <c r="T160" i="1"/>
  <c r="T238" i="1"/>
  <c r="U238" i="1" s="1"/>
  <c r="S238" i="1" s="1"/>
  <c r="T234" i="1"/>
  <c r="T230" i="1"/>
  <c r="AA228" i="1"/>
  <c r="T215" i="1"/>
  <c r="AA212" i="1"/>
  <c r="T148" i="1"/>
  <c r="AA145" i="1"/>
  <c r="X144" i="1"/>
  <c r="T226" i="1"/>
  <c r="X207" i="1"/>
  <c r="AA153" i="1"/>
  <c r="AA152" i="1"/>
  <c r="X139" i="1"/>
  <c r="AA135" i="1"/>
  <c r="AA130" i="1"/>
  <c r="X129" i="1"/>
  <c r="AA125" i="1"/>
  <c r="X124" i="1"/>
  <c r="T121" i="1"/>
  <c r="AA119" i="1"/>
  <c r="AA114" i="1"/>
  <c r="X113" i="1"/>
  <c r="AA109" i="1"/>
  <c r="X108" i="1"/>
  <c r="T105" i="1"/>
  <c r="AA103" i="1"/>
  <c r="X99" i="1"/>
  <c r="AA96" i="1"/>
  <c r="T96" i="1"/>
  <c r="AA94" i="1"/>
  <c r="AA89" i="1"/>
  <c r="X88" i="1"/>
  <c r="AA80" i="1"/>
  <c r="T80" i="1"/>
  <c r="AA78" i="1"/>
  <c r="X75" i="1"/>
  <c r="X50" i="1"/>
  <c r="X46" i="1"/>
  <c r="X43" i="1"/>
  <c r="T41" i="1"/>
  <c r="AA40" i="1"/>
  <c r="AA39" i="1"/>
  <c r="T38" i="1"/>
  <c r="T35" i="1"/>
  <c r="X33" i="1"/>
  <c r="X30" i="1"/>
  <c r="X27" i="1"/>
  <c r="T25" i="1"/>
  <c r="AA23" i="1"/>
  <c r="AA22" i="1"/>
  <c r="T21" i="1"/>
  <c r="T17" i="1"/>
  <c r="X120" i="1"/>
  <c r="X104" i="1"/>
  <c r="X42" i="1"/>
  <c r="T37" i="1"/>
  <c r="T34" i="1"/>
  <c r="T20" i="1"/>
  <c r="T16" i="1"/>
  <c r="AA141" i="1"/>
  <c r="AA140" i="1"/>
  <c r="AA133" i="1"/>
  <c r="X132" i="1"/>
  <c r="AA127" i="1"/>
  <c r="AA122" i="1"/>
  <c r="AA117" i="1"/>
  <c r="X116" i="1"/>
  <c r="AA111" i="1"/>
  <c r="AA106" i="1"/>
  <c r="AA101" i="1"/>
  <c r="AA97" i="1"/>
  <c r="AA88" i="1"/>
  <c r="AA86" i="1"/>
  <c r="AA81" i="1"/>
  <c r="AA71" i="1"/>
  <c r="AA68" i="1"/>
  <c r="AA67" i="1"/>
  <c r="AA64" i="1"/>
  <c r="AA63" i="1"/>
  <c r="AA60" i="1"/>
  <c r="AA59" i="1"/>
  <c r="AA56" i="1"/>
  <c r="AA55" i="1"/>
  <c r="AA52" i="1"/>
  <c r="AA51" i="1"/>
  <c r="AA48" i="1"/>
  <c r="AA47" i="1"/>
  <c r="AA32" i="1"/>
  <c r="AA31" i="1"/>
  <c r="X128" i="1"/>
  <c r="AA123" i="1"/>
  <c r="AA118" i="1"/>
  <c r="X112" i="1"/>
  <c r="AA107" i="1"/>
  <c r="X53" i="1"/>
  <c r="X49" i="1"/>
  <c r="AI241" i="1"/>
  <c r="U226" i="1"/>
  <c r="S226" i="1" s="1"/>
  <c r="AI237" i="1"/>
  <c r="U222" i="1"/>
  <c r="S222" i="1" s="1"/>
  <c r="AI233" i="1"/>
  <c r="U203" i="1"/>
  <c r="S203" i="1" s="1"/>
  <c r="AI229" i="1"/>
  <c r="U199" i="1"/>
  <c r="S199" i="1" s="1"/>
  <c r="AI225" i="1"/>
  <c r="U195" i="1"/>
  <c r="S195" i="1" s="1"/>
  <c r="AI221" i="1"/>
  <c r="U191" i="1"/>
  <c r="S191" i="1" s="1"/>
  <c r="AI217" i="1"/>
  <c r="U187" i="1"/>
  <c r="S187" i="1" s="1"/>
  <c r="AI213" i="1"/>
  <c r="U181" i="1"/>
  <c r="S181" i="1" s="1"/>
  <c r="AI209" i="1"/>
  <c r="U176" i="1"/>
  <c r="S176" i="1" s="1"/>
  <c r="AI205" i="1"/>
  <c r="AI201" i="1"/>
  <c r="U168" i="1"/>
  <c r="S168" i="1" s="1"/>
  <c r="AI197" i="1"/>
  <c r="U164" i="1"/>
  <c r="S164" i="1" s="1"/>
  <c r="AI193" i="1"/>
  <c r="U160" i="1"/>
  <c r="S160" i="1" s="1"/>
  <c r="AI189" i="1"/>
  <c r="AI184" i="1"/>
  <c r="U234" i="1"/>
  <c r="S234" i="1" s="1"/>
  <c r="AI178" i="1"/>
  <c r="U230" i="1"/>
  <c r="S230" i="1" s="1"/>
  <c r="AI238" i="1"/>
  <c r="U223" i="1"/>
  <c r="S223" i="1" s="1"/>
  <c r="AI234" i="1"/>
  <c r="U204" i="1"/>
  <c r="S204" i="1" s="1"/>
  <c r="AI230" i="1"/>
  <c r="U200" i="1"/>
  <c r="S200" i="1" s="1"/>
  <c r="AI226" i="1"/>
  <c r="U196" i="1"/>
  <c r="S196" i="1" s="1"/>
  <c r="AI222" i="1"/>
  <c r="U192" i="1"/>
  <c r="S192" i="1" s="1"/>
  <c r="AI218" i="1"/>
  <c r="U188" i="1"/>
  <c r="S188" i="1" s="1"/>
  <c r="AI214" i="1"/>
  <c r="U182" i="1"/>
  <c r="S182" i="1" s="1"/>
  <c r="AI210" i="1"/>
  <c r="U177" i="1"/>
  <c r="S177" i="1" s="1"/>
  <c r="AI206" i="1"/>
  <c r="U173" i="1"/>
  <c r="S173" i="1" s="1"/>
  <c r="AI202" i="1"/>
  <c r="U169" i="1"/>
  <c r="S169" i="1" s="1"/>
  <c r="AI198" i="1"/>
  <c r="U165" i="1"/>
  <c r="S165" i="1" s="1"/>
  <c r="AI194" i="1"/>
  <c r="U161" i="1"/>
  <c r="S161" i="1" s="1"/>
  <c r="AI190" i="1"/>
  <c r="U239" i="1"/>
  <c r="S239" i="1" s="1"/>
  <c r="AI186" i="1"/>
  <c r="U235" i="1"/>
  <c r="S235" i="1" s="1"/>
  <c r="AI180" i="1"/>
  <c r="U231" i="1"/>
  <c r="S231" i="1" s="1"/>
  <c r="U224" i="1"/>
  <c r="S224" i="1" s="1"/>
  <c r="AI239" i="1"/>
  <c r="U205" i="1"/>
  <c r="S205" i="1" s="1"/>
  <c r="AI235" i="1"/>
  <c r="U201" i="1"/>
  <c r="S201" i="1" s="1"/>
  <c r="AI231" i="1"/>
  <c r="U197" i="1"/>
  <c r="S197" i="1" s="1"/>
  <c r="AI227" i="1"/>
  <c r="U193" i="1"/>
  <c r="S193" i="1" s="1"/>
  <c r="AI223" i="1"/>
  <c r="U189" i="1"/>
  <c r="S189" i="1" s="1"/>
  <c r="AI219" i="1"/>
  <c r="U184" i="1"/>
  <c r="S184" i="1" s="1"/>
  <c r="AI215" i="1"/>
  <c r="U178" i="1"/>
  <c r="S178" i="1" s="1"/>
  <c r="AI211" i="1"/>
  <c r="U174" i="1"/>
  <c r="S174" i="1" s="1"/>
  <c r="AI207" i="1"/>
  <c r="U170" i="1"/>
  <c r="S170" i="1" s="1"/>
  <c r="AI203" i="1"/>
  <c r="U166" i="1"/>
  <c r="S166" i="1" s="1"/>
  <c r="AI199" i="1"/>
  <c r="U162" i="1"/>
  <c r="S162" i="1" s="1"/>
  <c r="AI195" i="1"/>
  <c r="U240" i="1"/>
  <c r="S240" i="1" s="1"/>
  <c r="AI191" i="1"/>
  <c r="U236" i="1"/>
  <c r="S236" i="1" s="1"/>
  <c r="AI187" i="1"/>
  <c r="U232" i="1"/>
  <c r="S232" i="1" s="1"/>
  <c r="AI181" i="1"/>
  <c r="U228" i="1"/>
  <c r="S228" i="1" s="1"/>
  <c r="AI176" i="1"/>
  <c r="U225" i="1"/>
  <c r="S225" i="1" s="1"/>
  <c r="AI240" i="1"/>
  <c r="U206" i="1"/>
  <c r="S206" i="1" s="1"/>
  <c r="AI236" i="1"/>
  <c r="U202" i="1"/>
  <c r="S202" i="1" s="1"/>
  <c r="AI232" i="1"/>
  <c r="U198" i="1"/>
  <c r="S198" i="1" s="1"/>
  <c r="AI228" i="1"/>
  <c r="U194" i="1"/>
  <c r="S194" i="1" s="1"/>
  <c r="AI224" i="1"/>
  <c r="U190" i="1"/>
  <c r="S190" i="1" s="1"/>
  <c r="AI220" i="1"/>
  <c r="U186" i="1"/>
  <c r="S186" i="1" s="1"/>
  <c r="AI216" i="1"/>
  <c r="U180" i="1"/>
  <c r="S180" i="1" s="1"/>
  <c r="AI212" i="1"/>
  <c r="U175" i="1"/>
  <c r="S175" i="1" s="1"/>
  <c r="AI208" i="1"/>
  <c r="U171" i="1"/>
  <c r="S171" i="1" s="1"/>
  <c r="AI204" i="1"/>
  <c r="U167" i="1"/>
  <c r="S167" i="1" s="1"/>
  <c r="AI200" i="1"/>
  <c r="U163" i="1"/>
  <c r="S163" i="1" s="1"/>
  <c r="AI196" i="1"/>
  <c r="U241" i="1"/>
  <c r="S241" i="1" s="1"/>
  <c r="AI192" i="1"/>
  <c r="U237" i="1"/>
  <c r="S237" i="1" s="1"/>
  <c r="AI188" i="1"/>
  <c r="U233" i="1"/>
  <c r="S233" i="1" s="1"/>
  <c r="AI182" i="1"/>
  <c r="U229" i="1"/>
  <c r="S229" i="1" s="1"/>
  <c r="AI177" i="1"/>
  <c r="U227" i="1"/>
  <c r="S227" i="1" s="1"/>
  <c r="AI175" i="1"/>
  <c r="AI171" i="1"/>
  <c r="U218" i="1"/>
  <c r="S218" i="1" s="1"/>
  <c r="AI167" i="1"/>
  <c r="U214" i="1"/>
  <c r="S214" i="1" s="1"/>
  <c r="AI163" i="1"/>
  <c r="U210" i="1"/>
  <c r="S210" i="1" s="1"/>
  <c r="AI159" i="1"/>
  <c r="U159" i="1"/>
  <c r="S159" i="1" s="1"/>
  <c r="AI154" i="1"/>
  <c r="U154" i="1"/>
  <c r="S154" i="1" s="1"/>
  <c r="AI150" i="1"/>
  <c r="U150" i="1"/>
  <c r="S150" i="1" s="1"/>
  <c r="AI146" i="1"/>
  <c r="U146" i="1"/>
  <c r="S146" i="1" s="1"/>
  <c r="AI142" i="1"/>
  <c r="U142" i="1"/>
  <c r="S142" i="1" s="1"/>
  <c r="AI138" i="1"/>
  <c r="U138" i="1"/>
  <c r="S138" i="1" s="1"/>
  <c r="AI172" i="1"/>
  <c r="U219" i="1"/>
  <c r="S219" i="1" s="1"/>
  <c r="AI168" i="1"/>
  <c r="U215" i="1"/>
  <c r="S215" i="1" s="1"/>
  <c r="AI164" i="1"/>
  <c r="U211" i="1"/>
  <c r="S211" i="1" s="1"/>
  <c r="AI160" i="1"/>
  <c r="U207" i="1"/>
  <c r="S207" i="1" s="1"/>
  <c r="AI155" i="1"/>
  <c r="U155" i="1"/>
  <c r="S155" i="1" s="1"/>
  <c r="AI151" i="1"/>
  <c r="U151" i="1"/>
  <c r="S151" i="1" s="1"/>
  <c r="AI147" i="1"/>
  <c r="U147" i="1"/>
  <c r="S147" i="1" s="1"/>
  <c r="AI143" i="1"/>
  <c r="U143" i="1"/>
  <c r="S143" i="1" s="1"/>
  <c r="AI139" i="1"/>
  <c r="U139" i="1"/>
  <c r="S139" i="1" s="1"/>
  <c r="AI134" i="1"/>
  <c r="U134" i="1"/>
  <c r="S134" i="1" s="1"/>
  <c r="U220" i="1"/>
  <c r="S220" i="1" s="1"/>
  <c r="AI173" i="1"/>
  <c r="U216" i="1"/>
  <c r="S216" i="1" s="1"/>
  <c r="AI169" i="1"/>
  <c r="U212" i="1"/>
  <c r="S212" i="1" s="1"/>
  <c r="AI165" i="1"/>
  <c r="U208" i="1"/>
  <c r="S208" i="1" s="1"/>
  <c r="AI161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6" i="1"/>
  <c r="S136" i="1" s="1"/>
  <c r="AI136" i="1"/>
  <c r="U221" i="1"/>
  <c r="S221" i="1" s="1"/>
  <c r="AI174" i="1"/>
  <c r="U217" i="1"/>
  <c r="S217" i="1" s="1"/>
  <c r="AI170" i="1"/>
  <c r="U213" i="1"/>
  <c r="S213" i="1" s="1"/>
  <c r="AI166" i="1"/>
  <c r="U209" i="1"/>
  <c r="S209" i="1" s="1"/>
  <c r="AI162" i="1"/>
  <c r="U157" i="1"/>
  <c r="S157" i="1" s="1"/>
  <c r="AI157" i="1"/>
  <c r="U153" i="1"/>
  <c r="S153" i="1" s="1"/>
  <c r="AI153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U132" i="1"/>
  <c r="S132" i="1" s="1"/>
  <c r="AI132" i="1"/>
  <c r="AI128" i="1"/>
  <c r="U128" i="1"/>
  <c r="S128" i="1" s="1"/>
  <c r="AI124" i="1"/>
  <c r="U124" i="1"/>
  <c r="S124" i="1" s="1"/>
  <c r="AI120" i="1"/>
  <c r="U120" i="1"/>
  <c r="S120" i="1" s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7" i="1"/>
  <c r="U97" i="1"/>
  <c r="S97" i="1" s="1"/>
  <c r="AI133" i="1"/>
  <c r="U133" i="1"/>
  <c r="S133" i="1" s="1"/>
  <c r="AI129" i="1"/>
  <c r="U129" i="1"/>
  <c r="S129" i="1" s="1"/>
  <c r="AI125" i="1"/>
  <c r="U125" i="1"/>
  <c r="S125" i="1" s="1"/>
  <c r="AI121" i="1"/>
  <c r="U121" i="1"/>
  <c r="S121" i="1" s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U130" i="1"/>
  <c r="S130" i="1" s="1"/>
  <c r="AI130" i="1"/>
  <c r="U126" i="1"/>
  <c r="S126" i="1" s="1"/>
  <c r="AI126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AI135" i="1"/>
  <c r="AI131" i="1"/>
  <c r="AI127" i="1"/>
  <c r="AI123" i="1"/>
  <c r="AI119" i="1"/>
  <c r="AI115" i="1"/>
  <c r="AI111" i="1"/>
  <c r="AI107" i="1"/>
  <c r="AI103" i="1"/>
  <c r="U99" i="1"/>
  <c r="S99" i="1" s="1"/>
  <c r="AI99" i="1"/>
  <c r="AI96" i="1"/>
  <c r="U96" i="1"/>
  <c r="S96" i="1" s="1"/>
  <c r="AI92" i="1"/>
  <c r="U92" i="1"/>
  <c r="S92" i="1" s="1"/>
  <c r="AI88" i="1"/>
  <c r="U88" i="1"/>
  <c r="S88" i="1" s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AI93" i="1"/>
  <c r="U93" i="1"/>
  <c r="S93" i="1" s="1"/>
  <c r="AI89" i="1"/>
  <c r="U89" i="1"/>
  <c r="S89" i="1" s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U98" i="1"/>
  <c r="S98" i="1" s="1"/>
  <c r="AI98" i="1"/>
  <c r="U94" i="1"/>
  <c r="S94" i="1" s="1"/>
  <c r="AI94" i="1"/>
  <c r="U90" i="1"/>
  <c r="S90" i="1" s="1"/>
  <c r="AI90" i="1"/>
  <c r="U86" i="1"/>
  <c r="S86" i="1" s="1"/>
  <c r="AI86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95" i="1"/>
  <c r="S95" i="1" s="1"/>
  <c r="AI95" i="1"/>
  <c r="U91" i="1"/>
  <c r="S91" i="1" s="1"/>
  <c r="AI91" i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51" i="1"/>
  <c r="U51" i="1"/>
  <c r="S51" i="1" s="1"/>
  <c r="AI47" i="1"/>
  <c r="U47" i="1"/>
  <c r="S47" i="1" s="1"/>
  <c r="AI43" i="1"/>
  <c r="U43" i="1"/>
  <c r="S43" i="1" s="1"/>
  <c r="AI39" i="1"/>
  <c r="U39" i="1"/>
  <c r="S39" i="1" s="1"/>
  <c r="AI35" i="1"/>
  <c r="U35" i="1"/>
  <c r="S35" i="1" s="1"/>
  <c r="AI31" i="1"/>
  <c r="U31" i="1"/>
  <c r="S31" i="1" s="1"/>
  <c r="AI27" i="1"/>
  <c r="U27" i="1"/>
  <c r="S27" i="1" s="1"/>
  <c r="AI22" i="1"/>
  <c r="U22" i="1"/>
  <c r="S22" i="1" s="1"/>
  <c r="AI18" i="1"/>
  <c r="U18" i="1"/>
  <c r="S18" i="1" s="1"/>
  <c r="AI52" i="1"/>
  <c r="AI48" i="1"/>
  <c r="AI44" i="1"/>
  <c r="U44" i="1"/>
  <c r="S44" i="1" s="1"/>
  <c r="AI40" i="1"/>
  <c r="U40" i="1"/>
  <c r="S40" i="1" s="1"/>
  <c r="AI36" i="1"/>
  <c r="U36" i="1"/>
  <c r="S36" i="1" s="1"/>
  <c r="AI32" i="1"/>
  <c r="U32" i="1"/>
  <c r="S32" i="1" s="1"/>
  <c r="AI28" i="1"/>
  <c r="U28" i="1"/>
  <c r="S28" i="1" s="1"/>
  <c r="AI23" i="1"/>
  <c r="U23" i="1"/>
  <c r="S23" i="1" s="1"/>
  <c r="AI19" i="1"/>
  <c r="U19" i="1"/>
  <c r="S19" i="1" s="1"/>
  <c r="AI15" i="1"/>
  <c r="U15" i="1"/>
  <c r="S15" i="1" s="1"/>
  <c r="U53" i="1"/>
  <c r="S53" i="1" s="1"/>
  <c r="AI53" i="1"/>
  <c r="U49" i="1"/>
  <c r="S49" i="1" s="1"/>
  <c r="AI49" i="1"/>
  <c r="U45" i="1"/>
  <c r="S45" i="1" s="1"/>
  <c r="AI45" i="1"/>
  <c r="U41" i="1"/>
  <c r="S41" i="1" s="1"/>
  <c r="AI41" i="1"/>
  <c r="U37" i="1"/>
  <c r="S37" i="1" s="1"/>
  <c r="AI37" i="1"/>
  <c r="U33" i="1"/>
  <c r="S33" i="1" s="1"/>
  <c r="AI33" i="1"/>
  <c r="U29" i="1"/>
  <c r="S29" i="1" s="1"/>
  <c r="AI29" i="1"/>
  <c r="U25" i="1"/>
  <c r="S25" i="1" s="1"/>
  <c r="AI25" i="1"/>
  <c r="U20" i="1"/>
  <c r="S20" i="1" s="1"/>
  <c r="AI20" i="1"/>
  <c r="U16" i="1"/>
  <c r="S16" i="1" s="1"/>
  <c r="AI16" i="1"/>
  <c r="U54" i="1"/>
  <c r="S54" i="1" s="1"/>
  <c r="AI54" i="1"/>
  <c r="U50" i="1"/>
  <c r="AI50" i="1"/>
  <c r="U46" i="1"/>
  <c r="S46" i="1" s="1"/>
  <c r="AI46" i="1"/>
  <c r="U42" i="1"/>
  <c r="S42" i="1" s="1"/>
  <c r="AI42" i="1"/>
  <c r="U38" i="1"/>
  <c r="S38" i="1" s="1"/>
  <c r="AI38" i="1"/>
  <c r="U34" i="1"/>
  <c r="S34" i="1" s="1"/>
  <c r="AI34" i="1"/>
  <c r="U30" i="1"/>
  <c r="S30" i="1" s="1"/>
  <c r="AI30" i="1"/>
  <c r="U26" i="1"/>
  <c r="S26" i="1" s="1"/>
  <c r="AI26" i="1"/>
  <c r="U21" i="1"/>
  <c r="S21" i="1" s="1"/>
  <c r="AI21" i="1"/>
  <c r="U17" i="1"/>
  <c r="S17" i="1" s="1"/>
  <c r="AI17" i="1"/>
  <c r="W227" i="1"/>
  <c r="W226" i="1"/>
  <c r="W223" i="1"/>
  <c r="W222" i="1"/>
  <c r="W204" i="1"/>
  <c r="W203" i="1"/>
  <c r="W200" i="1"/>
  <c r="W199" i="1"/>
  <c r="W196" i="1"/>
  <c r="W195" i="1"/>
  <c r="W192" i="1"/>
  <c r="W191" i="1"/>
  <c r="W188" i="1"/>
  <c r="W187" i="1"/>
  <c r="W182" i="1"/>
  <c r="W181" i="1"/>
  <c r="W177" i="1"/>
  <c r="W176" i="1"/>
  <c r="W173" i="1"/>
  <c r="W172" i="1"/>
  <c r="W169" i="1"/>
  <c r="W168" i="1"/>
  <c r="W165" i="1"/>
  <c r="W164" i="1"/>
  <c r="W161" i="1"/>
  <c r="W160" i="1"/>
  <c r="W239" i="1"/>
  <c r="W238" i="1"/>
  <c r="W235" i="1"/>
  <c r="W234" i="1"/>
  <c r="W231" i="1"/>
  <c r="W230" i="1"/>
  <c r="W221" i="1"/>
  <c r="W225" i="1"/>
  <c r="W224" i="1"/>
  <c r="W206" i="1"/>
  <c r="W205" i="1"/>
  <c r="W202" i="1"/>
  <c r="W201" i="1"/>
  <c r="W198" i="1"/>
  <c r="W197" i="1"/>
  <c r="W194" i="1"/>
  <c r="W193" i="1"/>
  <c r="W190" i="1"/>
  <c r="W189" i="1"/>
  <c r="W186" i="1"/>
  <c r="W184" i="1"/>
  <c r="W180" i="1"/>
  <c r="W178" i="1"/>
  <c r="W175" i="1"/>
  <c r="W174" i="1"/>
  <c r="W171" i="1"/>
  <c r="W170" i="1"/>
  <c r="W167" i="1"/>
  <c r="W166" i="1"/>
  <c r="W163" i="1"/>
  <c r="W162" i="1"/>
  <c r="W241" i="1"/>
  <c r="W240" i="1"/>
  <c r="W237" i="1"/>
  <c r="W236" i="1"/>
  <c r="W233" i="1"/>
  <c r="W232" i="1"/>
  <c r="W229" i="1"/>
  <c r="W228" i="1"/>
  <c r="X225" i="1"/>
  <c r="X206" i="1"/>
  <c r="X202" i="1"/>
  <c r="X198" i="1"/>
  <c r="X194" i="1"/>
  <c r="X190" i="1"/>
  <c r="X175" i="1"/>
  <c r="X171" i="1"/>
  <c r="X167" i="1"/>
  <c r="X163" i="1"/>
  <c r="X241" i="1"/>
  <c r="X237" i="1"/>
  <c r="X233" i="1"/>
  <c r="X229" i="1"/>
  <c r="W215" i="1"/>
  <c r="W213" i="1"/>
  <c r="W151" i="1"/>
  <c r="W149" i="1"/>
  <c r="W148" i="1"/>
  <c r="W146" i="1"/>
  <c r="W135" i="1"/>
  <c r="W218" i="1"/>
  <c r="W216" i="1"/>
  <c r="W210" i="1"/>
  <c r="W207" i="1"/>
  <c r="W155" i="1"/>
  <c r="W153" i="1"/>
  <c r="W152" i="1"/>
  <c r="W150" i="1"/>
  <c r="W139" i="1"/>
  <c r="W137" i="1"/>
  <c r="W136" i="1"/>
  <c r="W132" i="1"/>
  <c r="W220" i="1"/>
  <c r="W219" i="1"/>
  <c r="W217" i="1"/>
  <c r="W211" i="1"/>
  <c r="W209" i="1"/>
  <c r="W208" i="1"/>
  <c r="W157" i="1"/>
  <c r="W156" i="1"/>
  <c r="W154" i="1"/>
  <c r="W143" i="1"/>
  <c r="W141" i="1"/>
  <c r="W140" i="1"/>
  <c r="W138" i="1"/>
  <c r="X224" i="1"/>
  <c r="X205" i="1"/>
  <c r="X201" i="1"/>
  <c r="X197" i="1"/>
  <c r="X193" i="1"/>
  <c r="X189" i="1"/>
  <c r="X178" i="1"/>
  <c r="X174" i="1"/>
  <c r="X170" i="1"/>
  <c r="X166" i="1"/>
  <c r="X162" i="1"/>
  <c r="X240" i="1"/>
  <c r="X236" i="1"/>
  <c r="X232" i="1"/>
  <c r="X228" i="1"/>
  <c r="W214" i="1"/>
  <c r="W212" i="1"/>
  <c r="W159" i="1"/>
  <c r="W147" i="1"/>
  <c r="W145" i="1"/>
  <c r="W144" i="1"/>
  <c r="W142" i="1"/>
  <c r="X221" i="1"/>
  <c r="X217" i="1"/>
  <c r="X213" i="1"/>
  <c r="X209" i="1"/>
  <c r="X157" i="1"/>
  <c r="X153" i="1"/>
  <c r="X149" i="1"/>
  <c r="X145" i="1"/>
  <c r="X141" i="1"/>
  <c r="X137" i="1"/>
  <c r="T135" i="1"/>
  <c r="U135" i="1" s="1"/>
  <c r="S135" i="1" s="1"/>
  <c r="W130" i="1"/>
  <c r="W125" i="1"/>
  <c r="W120" i="1"/>
  <c r="W119" i="1"/>
  <c r="W114" i="1"/>
  <c r="W109" i="1"/>
  <c r="W104" i="1"/>
  <c r="W103" i="1"/>
  <c r="W95" i="1"/>
  <c r="X154" i="1"/>
  <c r="X150" i="1"/>
  <c r="X146" i="1"/>
  <c r="X142" i="1"/>
  <c r="X138" i="1"/>
  <c r="W131" i="1"/>
  <c r="W126" i="1"/>
  <c r="W121" i="1"/>
  <c r="W116" i="1"/>
  <c r="W115" i="1"/>
  <c r="W110" i="1"/>
  <c r="W105" i="1"/>
  <c r="W100" i="1"/>
  <c r="W128" i="1"/>
  <c r="W127" i="1"/>
  <c r="W122" i="1"/>
  <c r="W117" i="1"/>
  <c r="W112" i="1"/>
  <c r="W111" i="1"/>
  <c r="W106" i="1"/>
  <c r="W101" i="1"/>
  <c r="W98" i="1"/>
  <c r="X220" i="1"/>
  <c r="X216" i="1"/>
  <c r="X212" i="1"/>
  <c r="W134" i="1"/>
  <c r="W133" i="1"/>
  <c r="W129" i="1"/>
  <c r="W124" i="1"/>
  <c r="W123" i="1"/>
  <c r="W118" i="1"/>
  <c r="W113" i="1"/>
  <c r="W108" i="1"/>
  <c r="W107" i="1"/>
  <c r="W102" i="1"/>
  <c r="W99" i="1"/>
  <c r="X131" i="1"/>
  <c r="T131" i="1"/>
  <c r="U131" i="1" s="1"/>
  <c r="S131" i="1" s="1"/>
  <c r="X127" i="1"/>
  <c r="T127" i="1"/>
  <c r="U127" i="1" s="1"/>
  <c r="S127" i="1" s="1"/>
  <c r="X123" i="1"/>
  <c r="T123" i="1"/>
  <c r="U123" i="1" s="1"/>
  <c r="S123" i="1" s="1"/>
  <c r="X119" i="1"/>
  <c r="T119" i="1"/>
  <c r="U119" i="1" s="1"/>
  <c r="S119" i="1" s="1"/>
  <c r="X115" i="1"/>
  <c r="T115" i="1"/>
  <c r="U115" i="1" s="1"/>
  <c r="S115" i="1" s="1"/>
  <c r="X111" i="1"/>
  <c r="T111" i="1"/>
  <c r="U111" i="1" s="1"/>
  <c r="S111" i="1" s="1"/>
  <c r="X107" i="1"/>
  <c r="T107" i="1"/>
  <c r="U107" i="1" s="1"/>
  <c r="S107" i="1" s="1"/>
  <c r="X103" i="1"/>
  <c r="T103" i="1"/>
  <c r="U103" i="1" s="1"/>
  <c r="S103" i="1" s="1"/>
  <c r="W94" i="1"/>
  <c r="W89" i="1"/>
  <c r="W80" i="1"/>
  <c r="W79" i="1"/>
  <c r="W78" i="1"/>
  <c r="W73" i="1"/>
  <c r="X98" i="1"/>
  <c r="W96" i="1"/>
  <c r="W92" i="1"/>
  <c r="W91" i="1"/>
  <c r="W90" i="1"/>
  <c r="W85" i="1"/>
  <c r="W76" i="1"/>
  <c r="W75" i="1"/>
  <c r="W70" i="1"/>
  <c r="W66" i="1"/>
  <c r="W62" i="1"/>
  <c r="W58" i="1"/>
  <c r="W97" i="1"/>
  <c r="W88" i="1"/>
  <c r="W87" i="1"/>
  <c r="W86" i="1"/>
  <c r="W81" i="1"/>
  <c r="W74" i="1"/>
  <c r="W71" i="1"/>
  <c r="W68" i="1"/>
  <c r="W67" i="1"/>
  <c r="W64" i="1"/>
  <c r="W63" i="1"/>
  <c r="W60" i="1"/>
  <c r="W59" i="1"/>
  <c r="W56" i="1"/>
  <c r="W55" i="1"/>
  <c r="X134" i="1"/>
  <c r="X130" i="1"/>
  <c r="X126" i="1"/>
  <c r="X122" i="1"/>
  <c r="X118" i="1"/>
  <c r="X114" i="1"/>
  <c r="X110" i="1"/>
  <c r="X106" i="1"/>
  <c r="X102" i="1"/>
  <c r="W93" i="1"/>
  <c r="W84" i="1"/>
  <c r="W83" i="1"/>
  <c r="W82" i="1"/>
  <c r="W77" i="1"/>
  <c r="W72" i="1"/>
  <c r="W69" i="1"/>
  <c r="W65" i="1"/>
  <c r="W61" i="1"/>
  <c r="W57" i="1"/>
  <c r="X95" i="1"/>
  <c r="X91" i="1"/>
  <c r="X87" i="1"/>
  <c r="X83" i="1"/>
  <c r="X79" i="1"/>
  <c r="W54" i="1"/>
  <c r="W40" i="1"/>
  <c r="W39" i="1"/>
  <c r="W37" i="1"/>
  <c r="W34" i="1"/>
  <c r="W23" i="1"/>
  <c r="W22" i="1"/>
  <c r="W20" i="1"/>
  <c r="W16" i="1"/>
  <c r="X72" i="1"/>
  <c r="X68" i="1"/>
  <c r="X64" i="1"/>
  <c r="X60" i="1"/>
  <c r="X56" i="1"/>
  <c r="W50" i="1"/>
  <c r="W46" i="1"/>
  <c r="W36" i="1"/>
  <c r="W35" i="1"/>
  <c r="W33" i="1"/>
  <c r="W30" i="1"/>
  <c r="W19" i="1"/>
  <c r="W15" i="1"/>
  <c r="X97" i="1"/>
  <c r="X93" i="1"/>
  <c r="X89" i="1"/>
  <c r="X85" i="1"/>
  <c r="X81" i="1"/>
  <c r="X77" i="1"/>
  <c r="X73" i="1"/>
  <c r="X69" i="1"/>
  <c r="X65" i="1"/>
  <c r="X61" i="1"/>
  <c r="X57" i="1"/>
  <c r="W53" i="1"/>
  <c r="W52" i="1"/>
  <c r="W51" i="1"/>
  <c r="W49" i="1"/>
  <c r="W48" i="1"/>
  <c r="W47" i="1"/>
  <c r="W45" i="1"/>
  <c r="W42" i="1"/>
  <c r="W32" i="1"/>
  <c r="W31" i="1"/>
  <c r="W29" i="1"/>
  <c r="W26" i="1"/>
  <c r="X94" i="1"/>
  <c r="X90" i="1"/>
  <c r="X86" i="1"/>
  <c r="X82" i="1"/>
  <c r="X78" i="1"/>
  <c r="W44" i="1"/>
  <c r="W43" i="1"/>
  <c r="W41" i="1"/>
  <c r="W38" i="1"/>
  <c r="W28" i="1"/>
  <c r="W27" i="1"/>
  <c r="W25" i="1"/>
  <c r="W21" i="1"/>
  <c r="W18" i="1"/>
  <c r="W17" i="1"/>
  <c r="X52" i="1"/>
  <c r="T52" i="1"/>
  <c r="U52" i="1" s="1"/>
  <c r="S52" i="1" s="1"/>
  <c r="X48" i="1"/>
  <c r="T48" i="1"/>
  <c r="U48" i="1" s="1"/>
  <c r="S48" i="1" s="1"/>
  <c r="X44" i="1"/>
  <c r="X40" i="1"/>
  <c r="X36" i="1"/>
  <c r="X32" i="1"/>
  <c r="X28" i="1"/>
  <c r="X23" i="1"/>
  <c r="X19" i="1"/>
  <c r="AD47" i="3"/>
  <c r="AD17" i="3"/>
  <c r="AD13" i="3"/>
  <c r="AC25" i="3"/>
  <c r="AD40" i="3"/>
  <c r="AC33" i="3"/>
  <c r="AE23" i="3"/>
  <c r="T28" i="3"/>
  <c r="AC38" i="3"/>
  <c r="AD15" i="3"/>
  <c r="AD25" i="3"/>
  <c r="AE11" i="3"/>
  <c r="AD9" i="3"/>
  <c r="AE47" i="3"/>
  <c r="AC18" i="3"/>
  <c r="AD36" i="3"/>
  <c r="AD24" i="3"/>
  <c r="AD23" i="3"/>
  <c r="AE15" i="3"/>
  <c r="AD11" i="3"/>
  <c r="AC13" i="3"/>
  <c r="T13" i="3"/>
  <c r="AC26" i="3"/>
  <c r="AC36" i="3"/>
  <c r="AE39" i="3"/>
  <c r="AC10" i="3"/>
  <c r="T10" i="3"/>
  <c r="AC17" i="3"/>
  <c r="AC34" i="3"/>
  <c r="AC37" i="3"/>
  <c r="AC9" i="3"/>
  <c r="AC40" i="3"/>
  <c r="AC15" i="3"/>
  <c r="Y34" i="3"/>
  <c r="Y43" i="3"/>
  <c r="Y37" i="3"/>
  <c r="Y41" i="3"/>
  <c r="Y20" i="3"/>
  <c r="Y36" i="3"/>
  <c r="Y9" i="3"/>
  <c r="Y12" i="3"/>
  <c r="Y22" i="3"/>
  <c r="Y28" i="3"/>
  <c r="Y11" i="3"/>
  <c r="Y32" i="3"/>
  <c r="Y18" i="3"/>
  <c r="Y30" i="3"/>
  <c r="Y15" i="3"/>
  <c r="Y33" i="3"/>
  <c r="Y25" i="3"/>
  <c r="Y10" i="3"/>
  <c r="Y45" i="3"/>
  <c r="Y7" i="3"/>
  <c r="Y23" i="3"/>
  <c r="Y44" i="3"/>
  <c r="Y35" i="3"/>
  <c r="Y42" i="3"/>
  <c r="Y31" i="3"/>
  <c r="Y16" i="3"/>
  <c r="Y13" i="3"/>
  <c r="Y8" i="3"/>
  <c r="Y47" i="3"/>
  <c r="Y46" i="3"/>
  <c r="Y26" i="3"/>
  <c r="Y14" i="3"/>
  <c r="Y40" i="3"/>
  <c r="Y24" i="3"/>
  <c r="Y17" i="3"/>
  <c r="Y39" i="3"/>
  <c r="Y29" i="3"/>
  <c r="Y38" i="3"/>
  <c r="Y21" i="3"/>
  <c r="Y27" i="3"/>
  <c r="AE46" i="3"/>
  <c r="T47" i="3"/>
  <c r="AE34" i="3"/>
  <c r="T7" i="3"/>
  <c r="AE22" i="3"/>
  <c r="T35" i="3"/>
  <c r="AE18" i="3"/>
  <c r="T42" i="3"/>
  <c r="AE14" i="3"/>
  <c r="T31" i="3"/>
  <c r="AE10" i="3"/>
  <c r="T16" i="3"/>
  <c r="AE38" i="3"/>
  <c r="T45" i="3"/>
  <c r="AD46" i="3"/>
  <c r="AE45" i="3"/>
  <c r="T26" i="3"/>
  <c r="AD38" i="3"/>
  <c r="AE37" i="3"/>
  <c r="T40" i="3"/>
  <c r="AD34" i="3"/>
  <c r="AE33" i="3"/>
  <c r="T24" i="3"/>
  <c r="AD30" i="3"/>
  <c r="AE29" i="3"/>
  <c r="T17" i="3"/>
  <c r="AD26" i="3"/>
  <c r="AE25" i="3"/>
  <c r="T39" i="3"/>
  <c r="AD22" i="3"/>
  <c r="AE21" i="3"/>
  <c r="T29" i="3"/>
  <c r="AD18" i="3"/>
  <c r="AE17" i="3"/>
  <c r="T38" i="3"/>
  <c r="AD14" i="3"/>
  <c r="AE13" i="3"/>
  <c r="T21" i="3"/>
  <c r="AD10" i="3"/>
  <c r="AE9" i="3"/>
  <c r="T27" i="3"/>
  <c r="AE42" i="3"/>
  <c r="T46" i="3"/>
  <c r="AE30" i="3"/>
  <c r="T23" i="3"/>
  <c r="AE26" i="3"/>
  <c r="T44" i="3"/>
  <c r="AD42" i="3"/>
  <c r="AE41" i="3"/>
  <c r="T14" i="3"/>
  <c r="AE44" i="3"/>
  <c r="AE40" i="3"/>
  <c r="AE36" i="3"/>
  <c r="AE32" i="3"/>
  <c r="AE28" i="3"/>
  <c r="AE24" i="3"/>
  <c r="AE20" i="3"/>
  <c r="AE16" i="3"/>
  <c r="AE12" i="3"/>
  <c r="AE8" i="3"/>
  <c r="M19" i="3" l="1"/>
  <c r="U19" i="3"/>
  <c r="V19" i="3"/>
  <c r="X19" i="3"/>
  <c r="W19" i="3"/>
  <c r="T19" i="3" l="1"/>
  <c r="AD19" i="3"/>
  <c r="AE19" i="3"/>
  <c r="AC19" i="3"/>
  <c r="Y19" i="3"/>
  <c r="G250" i="4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N13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S19" i="3" s="1"/>
  <c r="Y13" i="1"/>
  <c r="Z13" i="1"/>
  <c r="AB13" i="1"/>
  <c r="AC13" i="1"/>
  <c r="AD13" i="1"/>
  <c r="AE13" i="1"/>
  <c r="R19" i="3" s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N20" i="3" s="1"/>
  <c r="G27" i="4"/>
  <c r="G28" i="4"/>
  <c r="G29" i="4"/>
  <c r="G30" i="4"/>
  <c r="G31" i="4"/>
  <c r="G32" i="4"/>
  <c r="G33" i="4"/>
  <c r="G34" i="4"/>
  <c r="N27" i="3" s="1"/>
  <c r="G35" i="4"/>
  <c r="G36" i="4"/>
  <c r="G37" i="4"/>
  <c r="G38" i="4"/>
  <c r="G39" i="4"/>
  <c r="G40" i="4"/>
  <c r="G41" i="4"/>
  <c r="G42" i="4"/>
  <c r="G43" i="4"/>
  <c r="G44" i="4"/>
  <c r="G45" i="4"/>
  <c r="G46" i="4"/>
  <c r="N16" i="3" s="1"/>
  <c r="G47" i="4"/>
  <c r="G48" i="4"/>
  <c r="N21" i="3" s="1"/>
  <c r="G49" i="4"/>
  <c r="G50" i="4"/>
  <c r="G51" i="4"/>
  <c r="G52" i="4"/>
  <c r="G53" i="4"/>
  <c r="G54" i="4"/>
  <c r="G55" i="4"/>
  <c r="G56" i="4"/>
  <c r="N11" i="3" s="1"/>
  <c r="G57" i="4"/>
  <c r="G58" i="4"/>
  <c r="G59" i="4"/>
  <c r="G60" i="4"/>
  <c r="G61" i="4"/>
  <c r="G62" i="4"/>
  <c r="G63" i="4"/>
  <c r="G64" i="4"/>
  <c r="G65" i="4"/>
  <c r="G66" i="4"/>
  <c r="N42" i="3" s="1"/>
  <c r="G67" i="4"/>
  <c r="G68" i="4"/>
  <c r="G69" i="4"/>
  <c r="N28" i="3" s="1"/>
  <c r="G70" i="4"/>
  <c r="G71" i="4"/>
  <c r="G72" i="4"/>
  <c r="G73" i="4"/>
  <c r="G74" i="4"/>
  <c r="G75" i="4"/>
  <c r="G76" i="4"/>
  <c r="G77" i="4"/>
  <c r="G78" i="4"/>
  <c r="G79" i="4"/>
  <c r="N43" i="3" s="1"/>
  <c r="G80" i="4"/>
  <c r="G81" i="4"/>
  <c r="G82" i="4"/>
  <c r="G83" i="4"/>
  <c r="N29" i="3" s="1"/>
  <c r="G84" i="4"/>
  <c r="G85" i="4"/>
  <c r="N35" i="3" s="1"/>
  <c r="G86" i="4"/>
  <c r="G87" i="4"/>
  <c r="G88" i="4"/>
  <c r="N22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N44" i="3" s="1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N12" i="3" s="1"/>
  <c r="G123" i="4"/>
  <c r="G124" i="4"/>
  <c r="G125" i="4"/>
  <c r="N33" i="3" s="1"/>
  <c r="G126" i="4"/>
  <c r="G127" i="4"/>
  <c r="G128" i="4"/>
  <c r="G129" i="4"/>
  <c r="N17" i="3" s="1"/>
  <c r="G130" i="4"/>
  <c r="G131" i="4"/>
  <c r="G132" i="4"/>
  <c r="G133" i="4"/>
  <c r="N23" i="3" s="1"/>
  <c r="G134" i="4"/>
  <c r="G135" i="4"/>
  <c r="G136" i="4"/>
  <c r="N10" i="3" s="1"/>
  <c r="G137" i="4"/>
  <c r="G138" i="4"/>
  <c r="G139" i="4"/>
  <c r="G140" i="4"/>
  <c r="G141" i="4"/>
  <c r="N15" i="3" s="1"/>
  <c r="G142" i="4"/>
  <c r="G143" i="4"/>
  <c r="G144" i="4"/>
  <c r="N24" i="3" s="1"/>
  <c r="G145" i="4"/>
  <c r="G146" i="4"/>
  <c r="G147" i="4"/>
  <c r="G148" i="4"/>
  <c r="G149" i="4"/>
  <c r="G150" i="4"/>
  <c r="G151" i="4"/>
  <c r="G152" i="4"/>
  <c r="N7" i="3" s="1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8" i="3" s="1"/>
  <c r="G172" i="4"/>
  <c r="G173" i="4"/>
  <c r="N30" i="3" s="1"/>
  <c r="G174" i="4"/>
  <c r="G175" i="4"/>
  <c r="G176" i="4"/>
  <c r="N45" i="3" s="1"/>
  <c r="G177" i="4"/>
  <c r="G178" i="4"/>
  <c r="G179" i="4"/>
  <c r="N40" i="3" s="1"/>
  <c r="G180" i="4"/>
  <c r="G181" i="4"/>
  <c r="G182" i="4"/>
  <c r="G183" i="4"/>
  <c r="G184" i="4"/>
  <c r="G185" i="4"/>
  <c r="G186" i="4"/>
  <c r="G187" i="4"/>
  <c r="G188" i="4"/>
  <c r="G189" i="4"/>
  <c r="N9" i="3" s="1"/>
  <c r="G190" i="4"/>
  <c r="G191" i="4"/>
  <c r="N36" i="3" s="1"/>
  <c r="G192" i="4"/>
  <c r="G193" i="4"/>
  <c r="G194" i="4"/>
  <c r="N25" i="3" s="1"/>
  <c r="G195" i="4"/>
  <c r="G196" i="4"/>
  <c r="N14" i="3" s="1"/>
  <c r="G197" i="4"/>
  <c r="G198" i="4"/>
  <c r="G199" i="4"/>
  <c r="N46" i="3" s="1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N26" i="3" s="1"/>
  <c r="G214" i="4"/>
  <c r="N18" i="3" s="1"/>
  <c r="G215" i="4"/>
  <c r="G216" i="4"/>
  <c r="G217" i="4"/>
  <c r="G218" i="4"/>
  <c r="N47" i="3" s="1"/>
  <c r="G219" i="4"/>
  <c r="G220" i="4"/>
  <c r="G221" i="4"/>
  <c r="G222" i="4"/>
  <c r="G223" i="4"/>
  <c r="G2" i="4"/>
  <c r="N32" i="3" l="1"/>
  <c r="N41" i="3"/>
  <c r="N34" i="3"/>
  <c r="N39" i="3"/>
  <c r="N31" i="3"/>
  <c r="N37" i="3"/>
  <c r="N38" i="3"/>
  <c r="N1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S9" i="1"/>
  <c r="J9" i="1"/>
  <c r="B5" i="6" l="1"/>
  <c r="S11" i="1"/>
  <c r="A11" i="1"/>
  <c r="F5" i="6" l="1"/>
  <c r="I5" i="6"/>
  <c r="J5" i="6"/>
  <c r="G5" i="6"/>
  <c r="H5" i="6"/>
  <c r="B1" i="6"/>
  <c r="A5" i="3"/>
  <c r="B6" i="6" l="1"/>
  <c r="H6" i="6" l="1"/>
  <c r="F6" i="6"/>
  <c r="G6" i="6"/>
  <c r="I6" i="6"/>
  <c r="J6" i="6"/>
  <c r="B7" i="6"/>
  <c r="B8" i="6" l="1"/>
  <c r="G7" i="6"/>
  <c r="H7" i="6"/>
  <c r="I7" i="6"/>
  <c r="J7" i="6"/>
  <c r="F7" i="6"/>
  <c r="B9" i="6" l="1"/>
  <c r="I8" i="6"/>
  <c r="G8" i="6"/>
  <c r="F8" i="6"/>
  <c r="H8" i="6"/>
  <c r="J8" i="6"/>
  <c r="G9" i="6" l="1"/>
  <c r="F9" i="6"/>
  <c r="H9" i="6"/>
  <c r="I9" i="6"/>
  <c r="J9" i="6"/>
  <c r="B10" i="6"/>
  <c r="H10" i="6" l="1"/>
  <c r="J10" i="6"/>
  <c r="F10" i="6"/>
  <c r="G10" i="6"/>
  <c r="I10" i="6"/>
  <c r="B11" i="6"/>
  <c r="B12" i="6" l="1"/>
  <c r="F11" i="6"/>
  <c r="G11" i="6"/>
  <c r="I11" i="6"/>
  <c r="H11" i="6"/>
  <c r="J11" i="6"/>
  <c r="F12" i="6" l="1"/>
  <c r="G12" i="6"/>
  <c r="J12" i="6"/>
  <c r="H12" i="6"/>
  <c r="I12" i="6"/>
  <c r="B13" i="6"/>
  <c r="G13" i="6" l="1"/>
  <c r="J13" i="6"/>
  <c r="F13" i="6"/>
  <c r="H13" i="6"/>
  <c r="I13" i="6"/>
  <c r="B14" i="6"/>
  <c r="B15" i="6" l="1"/>
  <c r="F14" i="6"/>
  <c r="G14" i="6"/>
  <c r="H14" i="6"/>
  <c r="I14" i="6"/>
  <c r="J14" i="6"/>
  <c r="B16" i="6" l="1"/>
  <c r="J15" i="6"/>
  <c r="F15" i="6"/>
  <c r="I15" i="6"/>
  <c r="G15" i="6"/>
  <c r="H15" i="6"/>
  <c r="B17" i="6" l="1"/>
  <c r="G16" i="6"/>
  <c r="H16" i="6"/>
  <c r="F16" i="6"/>
  <c r="I16" i="6"/>
  <c r="J16" i="6"/>
  <c r="G17" i="6" l="1"/>
  <c r="I17" i="6"/>
  <c r="J17" i="6"/>
  <c r="F17" i="6"/>
  <c r="H17" i="6"/>
  <c r="B18" i="6"/>
  <c r="B19" i="6" l="1"/>
  <c r="J18" i="6"/>
  <c r="F18" i="6"/>
  <c r="H18" i="6"/>
  <c r="G18" i="6"/>
  <c r="I18" i="6"/>
  <c r="B20" i="6" l="1"/>
  <c r="H19" i="6"/>
  <c r="F19" i="6"/>
  <c r="I19" i="6"/>
  <c r="J19" i="6"/>
  <c r="G19" i="6"/>
  <c r="B22" i="6" l="1"/>
  <c r="B21" i="6"/>
  <c r="G20" i="6"/>
  <c r="H20" i="6"/>
  <c r="F20" i="6"/>
  <c r="I20" i="6"/>
  <c r="J20" i="6"/>
  <c r="G21" i="6" l="1"/>
  <c r="H21" i="6"/>
  <c r="I21" i="6"/>
  <c r="J21" i="6"/>
  <c r="F21" i="6"/>
  <c r="H22" i="6"/>
  <c r="J22" i="6"/>
  <c r="G22" i="6"/>
  <c r="I22" i="6"/>
  <c r="F2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<sst xmlns="http://schemas.openxmlformats.org/spreadsheetml/2006/main" count="2713" uniqueCount="992">
  <si>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</si>
  <si>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</si>
  <si>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</si>
  <si>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</si>
  <si>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</si>
  <si>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</si>
  <si>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</si>
  <si>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</si>
  <si>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</si>
  <si>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</si>
  <si>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</si>
  <si>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</si>
  <si>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</si>
  <si>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</si>
  <si>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</si>
  <si>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</si>
  <si>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</si>
  <si>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</si>
  <si>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</si>
  <si>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</si>
  <si>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</si>
  <si>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</si>
  <si>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</si>
  <si>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</si>
  <si>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</si>
  <si>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</si>
  <si>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</si>
  <si>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</si>
  <si>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</si>
  <si>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</si>
  <si>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</si>
  <si>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</si>
  <si>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</si>
  <si>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</si>
  <si>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</si>
  <si>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</si>
  <si>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</si>
  <si>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</si>
  <si>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</si>
  <si>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</si>
  <si>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</si>
  <si>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</si>
  <si>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</si>
  <si>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</si>
  <si>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</si>
  <si>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</si>
  <si>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</si>
  <si>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</si>
  <si>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</si>
  <si>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</si>
  <si>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</si>
  <si>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</si>
  <si>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</si>
  <si>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</si>
  <si>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</si>
  <si>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</si>
  <si>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</si>
  <si>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</si>
  <si>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</si>
  <si>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</si>
  <si>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</si>
  <si>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</si>
  <si>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</si>
  <si>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</si>
  <si>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</si>
  <si>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</si>
  <si>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</si>
  <si>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</si>
  <si>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</si>
  <si>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</si>
  <si>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</si>
  <si>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</si>
  <si>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</si>
  <si>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</si>
  <si>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</si>
  <si>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</si>
  <si>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</si>
  <si>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</si>
  <si>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</si>
  <si>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</si>
  <si>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</si>
  <si>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</si>
  <si>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</si>
  <si>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</si>
  <si>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</si>
  <si>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</si>
  <si>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</si>
  <si>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</si>
  <si>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</si>
  <si>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</si>
  <si>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</si>
  <si>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</si>
  <si>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</si>
  <si>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</si>
  <si>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</si>
  <si>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</si>
  <si>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</si>
  <si>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</si>
  <si>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</si>
  <si>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</si>
  <si>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</si>
  <si>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</si>
  <si>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</si>
  <si>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</si>
  <si>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</si>
  <si>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</si>
  <si>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</si>
  <si>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</si>
  <si>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</si>
  <si>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</si>
  <si>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</si>
  <si>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</si>
  <si>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</si>
  <si>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</si>
  <si>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</si>
  <si>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</si>
  <si>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</si>
  <si>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</si>
  <si>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</si>
  <si>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</si>
  <si>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</si>
  <si>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</si>
  <si>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</si>
  <si>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</si>
  <si>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</si>
  <si>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</si>
  <si>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</si>
  <si>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</si>
  <si>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</si>
  <si>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</si>
  <si>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</si>
  <si>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</si>
  <si>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</si>
  <si>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</si>
  <si>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</si>
  <si>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</si>
  <si>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</si>
  <si>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</si>
  <si>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</si>
  <si>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</si>
  <si>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</si>
  <si>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</si>
  <si>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</si>
  <si>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</si>
  <si>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</si>
  <si>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</si>
  <si>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</si>
  <si>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</si>
  <si>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</si>
  <si>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</si>
  <si>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</si>
  <si>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</si>
  <si>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</si>
  <si>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</si>
  <si>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</si>
  <si>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</si>
  <si>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</si>
  <si>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</si>
  <si>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</si>
  <si>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</si>
  <si>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</si>
  <si>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</si>
  <si>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</si>
  <si>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</si>
  <si>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</si>
  <si>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</si>
  <si>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</si>
  <si>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</si>
  <si>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</si>
  <si>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</si>
  <si>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</si>
  <si>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</si>
  <si>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</si>
  <si>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</si>
  <si>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</si>
  <si>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</si>
  <si>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</si>
  <si>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</si>
  <si>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</si>
  <si>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</si>
  <si>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</si>
  <si>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</si>
  <si>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</si>
  <si>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</si>
  <si>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</si>
  <si>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</si>
  <si>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</si>
  <si>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</si>
  <si>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</si>
  <si>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</si>
  <si>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</si>
  <si>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</si>
  <si>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</si>
  <si>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</si>
  <si>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</si>
  <si>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</si>
  <si>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</si>
  <si>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</si>
  <si>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</si>
  <si>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</si>
  <si>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</si>
  <si>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</si>
  <si>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</si>
  <si>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</si>
  <si>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</si>
  <si>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</si>
  <si>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</si>
  <si>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</si>
  <si>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</si>
  <si>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</si>
  <si>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</si>
  <si>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</si>
  <si>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</si>
  <si>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</si>
  <si>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</si>
  <si>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</si>
  <si>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</si>
  <si>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</si>
  <si>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</si>
  <si>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</si>
  <si>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</si>
  <si>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</si>
  <si>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</si>
  <si>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</si>
  <si>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</si>
  <si>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</si>
  <si>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</si>
  <si>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</si>
  <si>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</si>
  <si>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</si>
  <si>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</si>
  <si>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</si>
  <si>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</si>
  <si>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</si>
  <si>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</si>
  <si>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</si>
  <si>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</si>
  <si>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</si>
  <si>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</si>
  <si>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</si>
  <si>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</si>
  <si>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</si>
  <si>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</si>
  <si>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</si>
  <si>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</si>
  <si>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</si>
  <si>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</si>
  <si>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</si>
  <si>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</si>
  <si>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</si>
  <si>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</si>
  <si>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</si>
  <si>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</si>
  <si>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</si>
  <si>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</si>
  <si>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</si>
  <si>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</si>
  <si>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</si>
  <si>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</si>
  <si>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</si>
  <si>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</si>
  <si>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</si>
  <si>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</si>
  <si>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</si>
  <si>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</si>
  <si>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</si>
  <si>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</si>
  <si>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</si>
  <si>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</si>
  <si>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</si>
  <si>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</si>
  <si>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</si>
  <si>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</si>
  <si>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</si>
  <si>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</si>
  <si>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</si>
  <si>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</si>
  <si>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</si>
  <si>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</si>
  <si>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</si>
  <si>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</si>
  <si>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</si>
  <si>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</si>
  <si>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</si>
  <si>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</si>
  <si>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</si>
  <si>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</si>
  <si>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</si>
  <si>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</si>
  <si>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</si>
  <si>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</si>
  <si>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</si>
  <si>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</si>
  <si>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</si>
  <si>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</si>
  <si>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</si>
  <si>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</si>
  <si>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</si>
  <si>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</si>
  <si>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</si>
  <si>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</si>
  <si>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</si>
  <si>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</si>
  <si>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</si>
  <si>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</si>
  <si>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</si>
  <si>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</si>
  <si>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</si>
  <si>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</si>
  <si>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</si>
  <si>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</si>
  <si>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</si>
  <si>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</si>
  <si>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</si>
  <si>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</si>
  <si>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</si>
  <si>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</si>
  <si>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</si>
  <si>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</si>
  <si>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</si>
  <si>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</si>
  <si>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</si>
  <si>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</si>
  <si>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</si>
  <si>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</si>
  <si>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</si>
  <si>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</si>
  <si>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</si>
  <si>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</si>
  <si>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</si>
  <si>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</si>
  <si>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</si>
  <si>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</si>
  <si>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</si>
  <si>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</si>
  <si>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</si>
  <si>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</si>
  <si>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</si>
  <si>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</si>
  <si>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</si>
  <si>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</si>
  <si>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</si>
  <si>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</si>
  <si>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</si>
  <si>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</si>
  <si>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</si>
  <si>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</si>
  <si>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</si>
  <si>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THOMAS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</si>
  <si>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</si>
  <si>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</si>
  <si>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</si>
  <si>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</si>
  <si>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</si>
  <si>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</si>
  <si>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</si>
  <si>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</si>
  <si>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</si>
  <si>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</si>
  <si>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</si>
  <si>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</si>
  <si>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</si>
  <si>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</si>
  <si>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</si>
  <si>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</si>
  <si>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</si>
  <si>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</si>
  <si>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204:158</t>
  </si>
  <si>
    <t>204:152</t>
  </si>
  <si>
    <t>204:460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</si>
  <si>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</si>
  <si>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</si>
  <si>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</si>
  <si>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</si>
  <si>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</si>
  <si>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</si>
  <si>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</si>
  <si>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</si>
  <si>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204:442</t>
  </si>
  <si>
    <t>clear-day</t>
  </si>
  <si>
    <t>Clear</t>
  </si>
  <si>
    <t>clear-night</t>
  </si>
  <si>
    <t>rtdc.l.rtdc.4012:itc</t>
  </si>
  <si>
    <t>rtdc.l.rtdc.4011:itc</t>
  </si>
  <si>
    <t>204:444</t>
  </si>
  <si>
    <t>204:471</t>
  </si>
  <si>
    <t>204:466</t>
  </si>
  <si>
    <t>204:233293</t>
  </si>
  <si>
    <t>Early Arrival</t>
  </si>
  <si>
    <t>204:233308</t>
  </si>
  <si>
    <t>204:233302</t>
  </si>
  <si>
    <t>204:156</t>
  </si>
  <si>
    <t>204:232998</t>
  </si>
  <si>
    <t>204:467</t>
  </si>
  <si>
    <t>204:440</t>
  </si>
  <si>
    <t>204:233314</t>
  </si>
  <si>
    <t>300:23308</t>
  </si>
  <si>
    <t>204:680</t>
  </si>
  <si>
    <t>204:972</t>
  </si>
  <si>
    <t>rtdc.l.rtdc.4027:itc</t>
  </si>
  <si>
    <t>rtdc.l.rtdc.4028:itc</t>
  </si>
  <si>
    <t>204:233002</t>
  </si>
  <si>
    <t>204:233312</t>
  </si>
  <si>
    <t>204:233300</t>
  </si>
  <si>
    <t>204:232985</t>
  </si>
  <si>
    <t>rtdc.l.rtdc.4054:itc</t>
  </si>
  <si>
    <t>204:233289</t>
  </si>
  <si>
    <t>rtdc.l.rtdc.4042:itc</t>
  </si>
  <si>
    <t>rtdc.l.rtdc.4010:itc</t>
  </si>
  <si>
    <t>STARKS</t>
  </si>
  <si>
    <t>ANGELINA</t>
  </si>
  <si>
    <t>DAVID</t>
  </si>
  <si>
    <t>LOZA</t>
  </si>
  <si>
    <t>FIDEL</t>
  </si>
  <si>
    <t>BONDS</t>
  </si>
  <si>
    <t>REYNALDO</t>
  </si>
  <si>
    <t>GUNTHIER</t>
  </si>
  <si>
    <t>ERIC</t>
  </si>
  <si>
    <t>TOUSIGNAUT</t>
  </si>
  <si>
    <t>CARL</t>
  </si>
  <si>
    <t>LEVIN</t>
  </si>
  <si>
    <t>SCOTT</t>
  </si>
  <si>
    <t>BARRON</t>
  </si>
  <si>
    <t>PERLA</t>
  </si>
  <si>
    <t>WEST</t>
  </si>
  <si>
    <t>BRYAN</t>
  </si>
  <si>
    <t>Partly Cloudy</t>
  </si>
  <si>
    <t>204:232977</t>
  </si>
  <si>
    <t>204:232980</t>
  </si>
  <si>
    <t>204:473</t>
  </si>
  <si>
    <t>204:165</t>
  </si>
  <si>
    <t>204:232979</t>
  </si>
  <si>
    <t>204:139</t>
  </si>
  <si>
    <t>300:58933</t>
  </si>
  <si>
    <t>rtdc.l.rtdc.4055:itc</t>
  </si>
  <si>
    <t>rtdc.l.rtdc.4030:itc</t>
  </si>
  <si>
    <t>SPECTOR</t>
  </si>
  <si>
    <t>rtdc.l.rtdc.4029:itc</t>
  </si>
  <si>
    <t>rtdc.l.rtdc.4001:itc</t>
  </si>
  <si>
    <t>FORTUNATO</t>
  </si>
  <si>
    <t>FRANK</t>
  </si>
  <si>
    <t>partly-cloudy-day</t>
  </si>
  <si>
    <t>204:233306</t>
  </si>
  <si>
    <t>204:469</t>
  </si>
  <si>
    <t>204:161</t>
  </si>
  <si>
    <t>204:232973</t>
  </si>
  <si>
    <t>204:233000</t>
  </si>
  <si>
    <t>204:233297</t>
  </si>
  <si>
    <t>204:233295</t>
  </si>
  <si>
    <t>204:233400</t>
  </si>
  <si>
    <t>204:233299</t>
  </si>
  <si>
    <t>204:232976</t>
  </si>
  <si>
    <t>204:130</t>
  </si>
  <si>
    <t>204:684</t>
  </si>
  <si>
    <t>Wi-MAX data drop</t>
  </si>
  <si>
    <t>rtdc.l.rtdc.4013:itc</t>
  </si>
  <si>
    <t>rtdc.l.rtdc.4041:itc</t>
  </si>
  <si>
    <t>rtdc.l.rtdc.4002:itc</t>
  </si>
  <si>
    <t>rtdc.l.rtdc.4066:itc</t>
  </si>
  <si>
    <t>rtdc.l.rtdc.4065:itc</t>
  </si>
  <si>
    <t>WENDY</t>
  </si>
  <si>
    <t>rtdc.l.rtdc.4014:itc</t>
  </si>
  <si>
    <t>YORK</t>
  </si>
  <si>
    <t>EDGAR</t>
  </si>
  <si>
    <t>LOPES</t>
  </si>
  <si>
    <t>KIMBERLY</t>
  </si>
  <si>
    <t>RESPASS</t>
  </si>
  <si>
    <t>AARON</t>
  </si>
  <si>
    <t>LAMAR</t>
  </si>
  <si>
    <t>NEKESHA</t>
  </si>
  <si>
    <t>232-23</t>
  </si>
  <si>
    <t>235-23</t>
  </si>
  <si>
    <t>908-23</t>
  </si>
  <si>
    <t>237-23</t>
  </si>
  <si>
    <t>234-23</t>
  </si>
  <si>
    <t>236-23</t>
  </si>
  <si>
    <t>239-23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</si>
  <si>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</si>
  <si>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</si>
  <si>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</si>
  <si>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</si>
  <si>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</si>
  <si>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</si>
  <si>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</si>
  <si>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</si>
  <si>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</si>
  <si>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</si>
  <si>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204:433</t>
  </si>
  <si>
    <t>204:233011</t>
  </si>
  <si>
    <t>204:233307</t>
  </si>
  <si>
    <t>204:233319</t>
  </si>
  <si>
    <t>204:232975</t>
  </si>
  <si>
    <t>204:232983</t>
  </si>
  <si>
    <t>204:677</t>
  </si>
  <si>
    <t>300:58619</t>
  </si>
  <si>
    <t>rtdc.l.rtdc.4008:itc</t>
  </si>
  <si>
    <t>rtdc.l.rtdc.4053:itc</t>
  </si>
  <si>
    <t>rtdc.l.rtdc.4031:itc</t>
  </si>
  <si>
    <t>rtdc.l.rtdc.4032:itc</t>
  </si>
  <si>
    <t>244-24</t>
  </si>
  <si>
    <t>rtdc.l.rtdc.4051:itc</t>
  </si>
  <si>
    <t>rtdc.l.rtdc.4052:itc</t>
  </si>
  <si>
    <t>WILLIAMS</t>
  </si>
  <si>
    <t>DONTE</t>
  </si>
  <si>
    <t>GUZMAN</t>
  </si>
  <si>
    <t>DANNY</t>
  </si>
  <si>
    <t>DELGADO</t>
  </si>
  <si>
    <t>DIANAH</t>
  </si>
  <si>
    <t>CASSIDY</t>
  </si>
  <si>
    <t>BRANDON</t>
  </si>
  <si>
    <t>BIRKHOLZ</t>
  </si>
  <si>
    <t>NADINE</t>
  </si>
  <si>
    <t>BERLING</t>
  </si>
  <si>
    <t>GARY</t>
  </si>
  <si>
    <t>PERKINS</t>
  </si>
  <si>
    <t>DARREN</t>
  </si>
  <si>
    <t>ZEWDU</t>
  </si>
  <si>
    <t>DEREJE</t>
  </si>
  <si>
    <t>BIRENBAUM</t>
  </si>
  <si>
    <t>309-24</t>
  </si>
  <si>
    <t>311-24</t>
  </si>
  <si>
    <t>313-24</t>
  </si>
  <si>
    <t>204:233274</t>
  </si>
  <si>
    <t>204:233051</t>
  </si>
  <si>
    <t>204:233332</t>
  </si>
  <si>
    <t>204:232991</t>
  </si>
  <si>
    <t>204:232989</t>
  </si>
  <si>
    <t>204:233278</t>
  </si>
  <si>
    <t>204:232959</t>
  </si>
  <si>
    <t>204:232990</t>
  </si>
  <si>
    <t>204:233298</t>
  </si>
  <si>
    <t>204:233072</t>
  </si>
  <si>
    <t>204:477</t>
  </si>
  <si>
    <t>204:233288</t>
  </si>
  <si>
    <t>204:233304</t>
  </si>
  <si>
    <t>204:233324</t>
  </si>
  <si>
    <t>204:233331</t>
  </si>
  <si>
    <t>204:232988</t>
  </si>
  <si>
    <t>204:233280</t>
  </si>
  <si>
    <t>204:438</t>
  </si>
  <si>
    <t>204:233339</t>
  </si>
  <si>
    <t>204:129</t>
  </si>
  <si>
    <t>204:232972</t>
  </si>
  <si>
    <t>204:167</t>
  </si>
  <si>
    <t>300:23306</t>
  </si>
  <si>
    <t>300:23310</t>
  </si>
  <si>
    <t>300:58931</t>
  </si>
  <si>
    <t>204:685</t>
  </si>
  <si>
    <t>300:59005</t>
  </si>
  <si>
    <t>300:58687</t>
  </si>
  <si>
    <t>300:58937</t>
  </si>
  <si>
    <t>300:58617</t>
  </si>
  <si>
    <t>204:682</t>
  </si>
  <si>
    <t>300:58976</t>
  </si>
  <si>
    <t>204:974</t>
  </si>
  <si>
    <t>300:58621</t>
  </si>
  <si>
    <t>204:691</t>
  </si>
  <si>
    <t>300:58928</t>
  </si>
  <si>
    <t>204:673</t>
  </si>
  <si>
    <t>204:969</t>
  </si>
  <si>
    <t>300:58611</t>
  </si>
  <si>
    <t>204:689</t>
  </si>
  <si>
    <t>204:675</t>
  </si>
  <si>
    <t>300:58929</t>
  </si>
  <si>
    <t>300:58643</t>
  </si>
  <si>
    <t>300:58965</t>
  </si>
  <si>
    <t>300:58609</t>
  </si>
  <si>
    <t>101-25</t>
  </si>
  <si>
    <t>rtdc.l.rtdc.4063:itc</t>
  </si>
  <si>
    <t>106-25</t>
  </si>
  <si>
    <t>rtdc.l.rtdc.4064:itc</t>
  </si>
  <si>
    <t>119-25</t>
  </si>
  <si>
    <t>125-25</t>
  </si>
  <si>
    <t>rtdc.l.rtdc.4044:itc</t>
  </si>
  <si>
    <t>807-25</t>
  </si>
  <si>
    <t>120-25</t>
  </si>
  <si>
    <t>rtdc.l.rtdc.4043:itc</t>
  </si>
  <si>
    <t>808-25</t>
  </si>
  <si>
    <t>124-25</t>
  </si>
  <si>
    <t>811-25</t>
  </si>
  <si>
    <t>137-25</t>
  </si>
  <si>
    <t>813-25</t>
  </si>
  <si>
    <t>147-25</t>
  </si>
  <si>
    <t>815-25</t>
  </si>
  <si>
    <t>144-25</t>
  </si>
  <si>
    <t>816-25</t>
  </si>
  <si>
    <t>817-25</t>
  </si>
  <si>
    <t>168-25</t>
  </si>
  <si>
    <t>821-25</t>
  </si>
  <si>
    <t>179-25</t>
  </si>
  <si>
    <t>176-25</t>
  </si>
  <si>
    <t>178-25</t>
  </si>
  <si>
    <t>182-25</t>
  </si>
  <si>
    <t>184-25</t>
  </si>
  <si>
    <t>190-25</t>
  </si>
  <si>
    <t>rtdc.l.rtdc.4057:itc</t>
  </si>
  <si>
    <t>202-25</t>
  </si>
  <si>
    <t>209-25</t>
  </si>
  <si>
    <t>834-25</t>
  </si>
  <si>
    <t>835-25</t>
  </si>
  <si>
    <t>219-25</t>
  </si>
  <si>
    <t>838-25</t>
  </si>
  <si>
    <t>218-25</t>
  </si>
  <si>
    <t>841-25</t>
  </si>
  <si>
    <t>216-25</t>
  </si>
  <si>
    <t>231-25</t>
  </si>
  <si>
    <t>228-25</t>
  </si>
  <si>
    <t>847-25</t>
  </si>
  <si>
    <t>242-25</t>
  </si>
  <si>
    <t>302-25</t>
  </si>
  <si>
    <t>51-25</t>
  </si>
  <si>
    <t>52-25</t>
  </si>
  <si>
    <t>103-25</t>
  </si>
  <si>
    <t>304-25</t>
  </si>
  <si>
    <t>306-25</t>
  </si>
  <si>
    <t>GEBRETEKLE</t>
  </si>
  <si>
    <t>DAGNEW</t>
  </si>
  <si>
    <t>105-25</t>
  </si>
  <si>
    <t>308-25</t>
  </si>
  <si>
    <t>107-25</t>
  </si>
  <si>
    <t>104-25</t>
  </si>
  <si>
    <t>109-25</t>
  </si>
  <si>
    <t>310-25</t>
  </si>
  <si>
    <t>DAVIDSON</t>
  </si>
  <si>
    <t>rtdc.l.rtdc.4050:itc</t>
  </si>
  <si>
    <t>901-25</t>
  </si>
  <si>
    <t>111-25</t>
  </si>
  <si>
    <t>113-25</t>
  </si>
  <si>
    <t>rtdc.l.rtdc.4049:itc</t>
  </si>
  <si>
    <t>800-25</t>
  </si>
  <si>
    <t>108-25</t>
  </si>
  <si>
    <t>115-25</t>
  </si>
  <si>
    <t>312-25</t>
  </si>
  <si>
    <t>801-25</t>
  </si>
  <si>
    <t>110-25</t>
  </si>
  <si>
    <t>rtdc.l.rtdc.4058:itc</t>
  </si>
  <si>
    <t>117-25</t>
  </si>
  <si>
    <t>114-25</t>
  </si>
  <si>
    <t>902-25</t>
  </si>
  <si>
    <t>802-25</t>
  </si>
  <si>
    <t>121-25</t>
  </si>
  <si>
    <t>67-25</t>
  </si>
  <si>
    <t>803-25</t>
  </si>
  <si>
    <t>68-25</t>
  </si>
  <si>
    <t>123-25</t>
  </si>
  <si>
    <t>116-25</t>
  </si>
  <si>
    <t>805-25</t>
  </si>
  <si>
    <t>118-25</t>
  </si>
  <si>
    <t>804-25</t>
  </si>
  <si>
    <t>122-25</t>
  </si>
  <si>
    <t>127-25</t>
  </si>
  <si>
    <t>76-25</t>
  </si>
  <si>
    <t>806-25</t>
  </si>
  <si>
    <t>129-25</t>
  </si>
  <si>
    <t>131-25</t>
  </si>
  <si>
    <t>809-25</t>
  </si>
  <si>
    <t>133-25</t>
  </si>
  <si>
    <t>139-25</t>
  </si>
  <si>
    <t>128-25</t>
  </si>
  <si>
    <t>126-25</t>
  </si>
  <si>
    <t>135-25</t>
  </si>
  <si>
    <t>810-25</t>
  </si>
  <si>
    <t>130-25</t>
  </si>
  <si>
    <t>132-25</t>
  </si>
  <si>
    <t>903-25</t>
  </si>
  <si>
    <t>134-25</t>
  </si>
  <si>
    <t>812-25</t>
  </si>
  <si>
    <t>136-25</t>
  </si>
  <si>
    <t>141-25</t>
  </si>
  <si>
    <t>143-25</t>
  </si>
  <si>
    <t>138-25</t>
  </si>
  <si>
    <t>145-25</t>
  </si>
  <si>
    <t>140-25</t>
  </si>
  <si>
    <t>142-25</t>
  </si>
  <si>
    <t>149-25</t>
  </si>
  <si>
    <t>814-25</t>
  </si>
  <si>
    <t>151-25</t>
  </si>
  <si>
    <t>146-25</t>
  </si>
  <si>
    <t>153-25</t>
  </si>
  <si>
    <t>148-25</t>
  </si>
  <si>
    <t>150-25</t>
  </si>
  <si>
    <t>155-25</t>
  </si>
  <si>
    <t>50-25</t>
  </si>
  <si>
    <t>157-25</t>
  </si>
  <si>
    <t>152-25</t>
  </si>
  <si>
    <t>154-25</t>
  </si>
  <si>
    <t>159-25</t>
  </si>
  <si>
    <t>156-25</t>
  </si>
  <si>
    <t>161-25</t>
  </si>
  <si>
    <t>THOMPSON</t>
  </si>
  <si>
    <t>LESTER</t>
  </si>
  <si>
    <t>158-25</t>
  </si>
  <si>
    <t>163-25</t>
  </si>
  <si>
    <t>57-25</t>
  </si>
  <si>
    <t>160-25</t>
  </si>
  <si>
    <t>818-25</t>
  </si>
  <si>
    <t>165-25</t>
  </si>
  <si>
    <t>58-25</t>
  </si>
  <si>
    <t>NICHOLSON</t>
  </si>
  <si>
    <t>WESLEY</t>
  </si>
  <si>
    <t>819-25</t>
  </si>
  <si>
    <t>167-25</t>
  </si>
  <si>
    <t>162-25</t>
  </si>
  <si>
    <t>169-25</t>
  </si>
  <si>
    <t>164-25</t>
  </si>
  <si>
    <t>171-25</t>
  </si>
  <si>
    <t>166-25</t>
  </si>
  <si>
    <t>820-25</t>
  </si>
  <si>
    <t>173-25</t>
  </si>
  <si>
    <t>59-25</t>
  </si>
  <si>
    <t>175-25</t>
  </si>
  <si>
    <t>172-25</t>
  </si>
  <si>
    <t>177-25</t>
  </si>
  <si>
    <t>170-25</t>
  </si>
  <si>
    <t>174-25</t>
  </si>
  <si>
    <t>822-25</t>
  </si>
  <si>
    <t>181-25</t>
  </si>
  <si>
    <t>183-25</t>
  </si>
  <si>
    <t>823-25</t>
  </si>
  <si>
    <t>185-25</t>
  </si>
  <si>
    <t>180-25</t>
  </si>
  <si>
    <t>187-25</t>
  </si>
  <si>
    <t>HOLCOMB</t>
  </si>
  <si>
    <t>KAMDEN</t>
  </si>
  <si>
    <t>824-25</t>
  </si>
  <si>
    <t>189-25</t>
  </si>
  <si>
    <t>186-25</t>
  </si>
  <si>
    <t>191-25</t>
  </si>
  <si>
    <t>825-25</t>
  </si>
  <si>
    <t>193-25</t>
  </si>
  <si>
    <t>188-25</t>
  </si>
  <si>
    <t>195-25</t>
  </si>
  <si>
    <t>904-25</t>
  </si>
  <si>
    <t>MCREYNOLDS</t>
  </si>
  <si>
    <t>KYLE</t>
  </si>
  <si>
    <t>826-25</t>
  </si>
  <si>
    <t>197-25</t>
  </si>
  <si>
    <t>827-25</t>
  </si>
  <si>
    <t>192-25</t>
  </si>
  <si>
    <t>199-25</t>
  </si>
  <si>
    <t>194-25</t>
  </si>
  <si>
    <t>829-25</t>
  </si>
  <si>
    <t>201-25</t>
  </si>
  <si>
    <t>828-25</t>
  </si>
  <si>
    <t>196-25</t>
  </si>
  <si>
    <t>203-25</t>
  </si>
  <si>
    <t>831-25</t>
  </si>
  <si>
    <t>75-25</t>
  </si>
  <si>
    <t>NEWELL</t>
  </si>
  <si>
    <t>JAMES</t>
  </si>
  <si>
    <t>830-25</t>
  </si>
  <si>
    <t>205-25</t>
  </si>
  <si>
    <t>198-25</t>
  </si>
  <si>
    <t>200-25</t>
  </si>
  <si>
    <t>207-25</t>
  </si>
  <si>
    <t>833-25</t>
  </si>
  <si>
    <t>832-25</t>
  </si>
  <si>
    <t>204-25</t>
  </si>
  <si>
    <t>211-25</t>
  </si>
  <si>
    <t>77-25</t>
  </si>
  <si>
    <t>206-25</t>
  </si>
  <si>
    <t>208-25</t>
  </si>
  <si>
    <t>213-25</t>
  </si>
  <si>
    <t>215-25</t>
  </si>
  <si>
    <t>836-25</t>
  </si>
  <si>
    <t>210-25</t>
  </si>
  <si>
    <t>217-25</t>
  </si>
  <si>
    <t>837-25</t>
  </si>
  <si>
    <t>212-25</t>
  </si>
  <si>
    <t>839-25</t>
  </si>
  <si>
    <t>214-25</t>
  </si>
  <si>
    <t>301-25</t>
  </si>
  <si>
    <t>221-25</t>
  </si>
  <si>
    <t>ANDERS</t>
  </si>
  <si>
    <t>STEVEN</t>
  </si>
  <si>
    <t>303-25</t>
  </si>
  <si>
    <t>906-25</t>
  </si>
  <si>
    <t>220-25</t>
  </si>
  <si>
    <t>223-25</t>
  </si>
  <si>
    <t>840-25</t>
  </si>
  <si>
    <t>305-25</t>
  </si>
  <si>
    <t>225-25</t>
  </si>
  <si>
    <t>222-25</t>
  </si>
  <si>
    <t>843-25</t>
  </si>
  <si>
    <t>227-25</t>
  </si>
  <si>
    <t>224-25</t>
  </si>
  <si>
    <t>842-25</t>
  </si>
  <si>
    <t>226-25</t>
  </si>
  <si>
    <t>229-25</t>
  </si>
  <si>
    <t>845-25</t>
  </si>
  <si>
    <t>844-25</t>
  </si>
  <si>
    <t>233-25</t>
  </si>
  <si>
    <t>230-25</t>
  </si>
  <si>
    <t>235-25</t>
  </si>
  <si>
    <t>232-25</t>
  </si>
  <si>
    <t>908-25</t>
  </si>
  <si>
    <t>234-25</t>
  </si>
  <si>
    <t>237-25</t>
  </si>
  <si>
    <t>236-25</t>
  </si>
  <si>
    <t>239-25</t>
  </si>
  <si>
    <t>241-25</t>
  </si>
  <si>
    <t>238-25</t>
  </si>
  <si>
    <t>243-25</t>
  </si>
  <si>
    <t>240-25</t>
  </si>
  <si>
    <t>307-25</t>
  </si>
  <si>
    <t>244-25</t>
  </si>
  <si>
    <t>309-25</t>
  </si>
  <si>
    <t>246-25</t>
  </si>
  <si>
    <t>311-25</t>
  </si>
  <si>
    <t>313-25</t>
  </si>
  <si>
    <t>300-26</t>
  </si>
  <si>
    <t>MAELZER</t>
  </si>
  <si>
    <t>KURT</t>
  </si>
  <si>
    <t>204:788</t>
  </si>
  <si>
    <t>204:384</t>
  </si>
  <si>
    <t>204:233303</t>
  </si>
  <si>
    <t>204:429</t>
  </si>
  <si>
    <t>204:233416</t>
  </si>
  <si>
    <t>204:233155</t>
  </si>
  <si>
    <t>204:234</t>
  </si>
  <si>
    <t>204:484</t>
  </si>
  <si>
    <t>204:233320</t>
  </si>
  <si>
    <t>204:475</t>
  </si>
  <si>
    <t>204:233291</t>
  </si>
  <si>
    <t>204:232971</t>
  </si>
  <si>
    <t>204:437</t>
  </si>
  <si>
    <t>204:232986</t>
  </si>
  <si>
    <t>204:519</t>
  </si>
  <si>
    <t>204:233395</t>
  </si>
  <si>
    <t>204:233100</t>
  </si>
  <si>
    <t>204:498</t>
  </si>
  <si>
    <t>204:233353</t>
  </si>
  <si>
    <t>204:233042</t>
  </si>
  <si>
    <t>204:233370</t>
  </si>
  <si>
    <t>204:232969</t>
  </si>
  <si>
    <t>204:232957</t>
  </si>
  <si>
    <t>204:233418</t>
  </si>
  <si>
    <t>204:233103</t>
  </si>
  <si>
    <t>204:233310</t>
  </si>
  <si>
    <t>204:19128</t>
  </si>
  <si>
    <t>204:233318</t>
  </si>
  <si>
    <t>204:790</t>
  </si>
  <si>
    <t>204:160</t>
  </si>
  <si>
    <t>204:233327</t>
  </si>
  <si>
    <t>204:229</t>
  </si>
  <si>
    <t>204:233391</t>
  </si>
  <si>
    <t>204:233078</t>
  </si>
  <si>
    <t>204:233008</t>
  </si>
  <si>
    <t>204:233061</t>
  </si>
  <si>
    <t>204:233361</t>
  </si>
  <si>
    <t>204:233074</t>
  </si>
  <si>
    <t>204:233082</t>
  </si>
  <si>
    <t>204:531</t>
  </si>
  <si>
    <t>204:233347</t>
  </si>
  <si>
    <t>204:233040</t>
  </si>
  <si>
    <t>204:233285</t>
  </si>
  <si>
    <t>204:233276</t>
  </si>
  <si>
    <t>204:232953</t>
  </si>
  <si>
    <t>204:233351</t>
  </si>
  <si>
    <t>204:233015</t>
  </si>
  <si>
    <t>204:127</t>
  </si>
  <si>
    <t>204:232981</t>
  </si>
  <si>
    <t>204:163</t>
  </si>
  <si>
    <t>204:233025</t>
  </si>
  <si>
    <t>204:233301</t>
  </si>
  <si>
    <t>204:233317</t>
  </si>
  <si>
    <t>204:482</t>
  </si>
  <si>
    <t>204:233328</t>
  </si>
  <si>
    <t>204:233266</t>
  </si>
  <si>
    <t>204:233325</t>
  </si>
  <si>
    <t>204:486</t>
  </si>
  <si>
    <t>204:232967</t>
  </si>
  <si>
    <t>204:178</t>
  </si>
  <si>
    <t>204:125</t>
  </si>
  <si>
    <t>204:427</t>
  </si>
  <si>
    <t>204:233398</t>
  </si>
  <si>
    <t>204:233068</t>
  </si>
  <si>
    <t>204:101</t>
  </si>
  <si>
    <t>300:21890</t>
  </si>
  <si>
    <t>300:23714</t>
  </si>
  <si>
    <t>300:23464</t>
  </si>
  <si>
    <t>204:420</t>
  </si>
  <si>
    <t>300:23320</t>
  </si>
  <si>
    <t>300:23275</t>
  </si>
  <si>
    <t>300:23421</t>
  </si>
  <si>
    <t>204:416</t>
  </si>
  <si>
    <t>300:23362</t>
  </si>
  <si>
    <t>300:23288</t>
  </si>
  <si>
    <t>300:23252</t>
  </si>
  <si>
    <t>204:61</t>
  </si>
  <si>
    <t>204:3530</t>
  </si>
  <si>
    <t>204:3231</t>
  </si>
  <si>
    <t>204:1199</t>
  </si>
  <si>
    <t>204:381</t>
  </si>
  <si>
    <t>300:24222</t>
  </si>
  <si>
    <t>300:23877</t>
  </si>
  <si>
    <t>204:122</t>
  </si>
  <si>
    <t>204:1518</t>
  </si>
  <si>
    <t>204:3532</t>
  </si>
  <si>
    <t>204:3203</t>
  </si>
  <si>
    <t>204:1526</t>
  </si>
  <si>
    <t>300:23302</t>
  </si>
  <si>
    <t>204:3097</t>
  </si>
  <si>
    <t>204:1209</t>
  </si>
  <si>
    <t>204:314</t>
  </si>
  <si>
    <t>204:3574</t>
  </si>
  <si>
    <t>300:23254</t>
  </si>
  <si>
    <t>204:1899</t>
  </si>
  <si>
    <t>204:1184</t>
  </si>
  <si>
    <t>204:696</t>
  </si>
  <si>
    <t>204:1000</t>
  </si>
  <si>
    <t>300:58615</t>
  </si>
  <si>
    <t>204:705</t>
  </si>
  <si>
    <t>204:988</t>
  </si>
  <si>
    <t>300:58963</t>
  </si>
  <si>
    <t>204:964</t>
  </si>
  <si>
    <t>204:967</t>
  </si>
  <si>
    <t>300:58668</t>
  </si>
  <si>
    <t>204:734</t>
  </si>
  <si>
    <t>204:131</t>
  </si>
  <si>
    <t>204:1030</t>
  </si>
  <si>
    <t>204:687</t>
  </si>
  <si>
    <t>300:58995</t>
  </si>
  <si>
    <t>300:58720</t>
  </si>
  <si>
    <t>204:703</t>
  </si>
  <si>
    <t>300:58986</t>
  </si>
  <si>
    <t>300:58670</t>
  </si>
  <si>
    <t>204:990</t>
  </si>
  <si>
    <t>300:58645</t>
  </si>
  <si>
    <t>204:976</t>
  </si>
  <si>
    <t>300:58658</t>
  </si>
  <si>
    <t>204:631</t>
  </si>
  <si>
    <t>300:58677</t>
  </si>
  <si>
    <t>204:654</t>
  </si>
  <si>
    <t>300:58950</t>
  </si>
  <si>
    <t>300:58632</t>
  </si>
  <si>
    <t>204:953</t>
  </si>
  <si>
    <t>300:58941</t>
  </si>
  <si>
    <t>300:58638</t>
  </si>
  <si>
    <t>204:670</t>
  </si>
  <si>
    <t>204:1007</t>
  </si>
  <si>
    <t>300:58939</t>
  </si>
  <si>
    <t>300:58628</t>
  </si>
  <si>
    <t>204:937</t>
  </si>
  <si>
    <t>300:58952</t>
  </si>
  <si>
    <t>204:999</t>
  </si>
  <si>
    <t>300:58647</t>
  </si>
  <si>
    <t>204:731</t>
  </si>
  <si>
    <t>300:58630</t>
  </si>
  <si>
    <t>204:663</t>
  </si>
  <si>
    <t>204:992</t>
  </si>
  <si>
    <t>300:58624</t>
  </si>
  <si>
    <t>204:981</t>
  </si>
  <si>
    <t>300:58943</t>
  </si>
  <si>
    <t>300:30161</t>
  </si>
  <si>
    <t>300:24233</t>
  </si>
  <si>
    <t>300:23713</t>
  </si>
  <si>
    <t>300:58626</t>
  </si>
  <si>
    <t>300:28767</t>
  </si>
  <si>
    <t>start /low /b %USERPROFILE%\Documents\GitHub\eaglep3\Utilities\DownloadLogsFromS3.py --loco 4002 --day 2017-08-25</t>
  </si>
  <si>
    <t>start /low /b %USERPROFILE%\Documents\GitHub\eaglep3\Utilities\DownloadLogsFromS3.py --loco 4014 --day 2017-08-25</t>
  </si>
  <si>
    <t>start /low /b %USERPROFILE%\Documents\GitHub\eaglep3\Utilities\DownloadLogsFromS3.py --loco 4063 --day 2017-08-25</t>
  </si>
  <si>
    <t>start /low /b %USERPROFILE%\Documents\GitHub\eaglep3\Utilities\DownloadLogsFromS3.py --loco 4057 --day 2017-08-25</t>
  </si>
  <si>
    <t>start /low /b %USERPROFILE%\Documents\GitHub\eaglep3\Utilities\DownloadLogsFromS3.py --loco 4032 --day 2017-08-26</t>
  </si>
  <si>
    <t>start /low /b %USERPROFILE%\Documents\GitHub\eaglep3\Utilities\DownloadLogsFromS3.py --loco 4031 --day 2017-08-25</t>
  </si>
  <si>
    <t>start /low /b %USERPROFILE%\Documents\GitHub\eaglep3\Utilities\DownloadLogsFromS3.py --loco 4013 --day 2017-08-25</t>
  </si>
  <si>
    <t>start /low /b %USERPROFILE%\Documents\GitHub\eaglep3\Utilities\DownloadLogsFromS3.py --loco 4001 --day 2017-08-25</t>
  </si>
  <si>
    <t>start /low /b %USERPROFILE%\Documents\GitHub\eaglep3\Utilities\DownloadLogsFromS3.py --loco 4063 --day 2017-08-26</t>
  </si>
  <si>
    <t>start /low /b %USERPROFILE%\Documents\GitHub\eaglep3\Utilities\DownloadLogsFromS3.py --loco 4030 --day 2017-08-26</t>
  </si>
  <si>
    <t>start /low /b %USERPROFILE%\Documents\GitHub\eaglep3\Utilities\DownloadLogsFromS3.py --loco 4028 --day 2017-08-25</t>
  </si>
  <si>
    <t>start /low /b %USERPROFILE%\Documents\GitHub\eaglep3\Utilities\DownloadLogsFromS3.py --loco 4029 --day 2017-08-25</t>
  </si>
  <si>
    <t>start /low /b %USERPROFILE%\Documents\GitHub\eaglep3\Utilities\DownloadLogsFromS3.py --loco 4041 --day 2017-08-25</t>
  </si>
  <si>
    <t>start /low /b %USERPROFILE%\Documents\GitHub\eaglep3\Utilities\DownloadLogsFromS3.py --loco 4057 --day 2017-08-26</t>
  </si>
  <si>
    <t>start /low /b %USERPROFILE%\Documents\GitHub\eaglep3\Utilities\DownloadLogsFromS3.py --loco 4031 --day 2017-08-26</t>
  </si>
  <si>
    <t>start /low /b %USERPROFILE%\Documents\GitHub\eaglep3\Utilities\DownloadLogsFromS3.py --loco 4064 --day 2017-08-25</t>
  </si>
  <si>
    <t>start /low /b %USERPROFILE%\Documents\GitHub\eaglep3\Utilities\DownloadLogsFromS3.py --loco 4043 --day 2017-08-25</t>
  </si>
  <si>
    <t>start /low /b %USERPROFILE%\Documents\GitHub\eaglep3\Utilities\DownloadLogsFromS3.py --loco 4044 --day 2017-08-25</t>
  </si>
  <si>
    <t>start /low /b %USERPROFILE%\Documents\GitHub\eaglep3\Utilities\DownloadLogsFromS3.py --loco 4043 --day 2017-08-26</t>
  </si>
  <si>
    <t>start /low /b %USERPROFILE%\Documents\GitHub\eaglep3\Utilities\DownloadLogsFromS3.py --loco 4054 --day 2017-08-26</t>
  </si>
  <si>
    <t>start /low /b %USERPROFILE%\Documents\GitHub\eaglep3\Utilities\DownloadLogsFromS3.py --loco 4044 --day 2017-08-26</t>
  </si>
  <si>
    <t>Selected wrong track</t>
  </si>
  <si>
    <t>245-25</t>
  </si>
  <si>
    <t>LAMAR NEKESHA</t>
  </si>
  <si>
    <t>Form C</t>
  </si>
  <si>
    <t>RESTRICTING aspect</t>
  </si>
  <si>
    <t>102-25</t>
  </si>
  <si>
    <t>STARKS ANGELINA</t>
  </si>
  <si>
    <t>Extended Onboard Wi-MAX outage</t>
  </si>
  <si>
    <t>112-25</t>
  </si>
  <si>
    <t>Brief Wi-MAX data drop caused unhealthy banner</t>
  </si>
  <si>
    <t>Unhealthy at Chambers due to train stop</t>
  </si>
  <si>
    <t>Delayed by reverser not in forward (52852)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</si>
</sst>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4"/>
  <sheetViews>
    <sheetView tabSelected="1" topLeftCell="A178" workbookViewId="0">
      <selection activeCell="V196" sqref="V19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4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4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42972</v>
      </c>
      <c r="J2" s="58"/>
      <c r="K2" s="59"/>
      <c r="L2" s="177"/>
      <c r="M2" s="60" t="s">
        <v>8</v>
      </c>
      <c r="N2" s="61"/>
      <c r="O2" s="62"/>
      <c r="P2" s="2"/>
      <c r="R2" s="57">
        <f>Variables!$A$2</f>
        <v>42972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82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187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COUNTIFS($N$13:$N$9307,"&gt;0",$AG$13:$AG$9307,I1)</f>
        <v>143</v>
      </c>
      <c r="K5" s="39"/>
      <c r="L5" s="187"/>
      <c r="M5" s="40">
        <f>AVERAGEIFS($N$13:$N$9307,$AG$13:$AG$9307,I1)</f>
        <v>37.60734265798807</v>
      </c>
      <c r="N5" s="38">
        <f t="array" ref="N5">MIN(IF($AG$13:$AG$9307=I1,IF(ISNUMBER($N$13:$N$9307),IF($N$13:$N$9307&gt;0,$N$13:$N$9307))))</f>
        <v>34.350000004051253</v>
      </c>
      <c r="O5" s="3">
        <f t="array" ref="O5">MAX(IF($AG$13:$AG$9307=I1,IF(ISNUMBER($N$13:$N$9307),IF($N$13:$N$9307&gt;0,$N$13:$N$9307))))</f>
        <v>46.91666666418314</v>
      </c>
      <c r="P5" s="2"/>
      <c r="R5" s="166" t="s">
        <v>17</v>
      </c>
      <c r="S5" s="186">
        <f>COUNTIFS($N$13:$N$9307,"&gt;0",$AG$13:$AG$9307,R1)</f>
        <v>47</v>
      </c>
      <c r="T5" s="187"/>
      <c r="U5" s="187"/>
      <c r="V5" s="183">
        <f>AVERAGEIFS($N$13:$N$9307,$AG$13:$AG$9307,R1)</f>
        <v>15.141134752738388</v>
      </c>
      <c r="W5" s="184">
        <f t="array" ref="W5">MIN(IF($AG$13:$AG$9307=R1,IF(ISNUMBER($N$13:$N$9307),IF($N$13:$N$9307&gt;0,$N$13:$N$9307))))</f>
        <v>12.766666664974764</v>
      </c>
      <c r="X5" s="185">
        <f t="array" ref="X5">MAX(IF($AG$13:$AG$9307=R1,IF(ISNUMBER($N$13:$N$9307),IF($N$13:$N$9307&gt;0,$N$13:$N$9307))))</f>
        <v>20.533333334606141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COUNT($O$13:$O$129)</f>
        <v>0</v>
      </c>
      <c r="K6" s="39"/>
      <c r="L6" s="187"/>
      <c r="M6" s="40">
        <f>IFERROR(AVERAGE($O$13:$O$129),0)</f>
        <v>0</v>
      </c>
      <c r="N6" s="38">
        <f>MIN($O$13:$O$129)</f>
        <v>0</v>
      </c>
      <c r="O6" s="3">
        <f>MAX($O$13:$O$129)</f>
        <v>0</v>
      </c>
      <c r="P6" s="2"/>
      <c r="R6" s="167" t="s">
        <v>43</v>
      </c>
      <c r="S6" s="186">
        <f>COUNT($O$13:$O$129)</f>
        <v>0</v>
      </c>
      <c r="T6" s="187"/>
      <c r="U6" s="187"/>
      <c r="V6" s="183">
        <f>IFERROR(AVERAGE($O$13:$O$129),0)</f>
        <v>0</v>
      </c>
      <c r="W6" s="184">
        <f>MIN($O$13:$O$129)</f>
        <v>0</v>
      </c>
      <c r="X6" s="185">
        <f>MAX($O$13:$O$129)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COUNTIFS($P$13:$P$9307,"&gt;0",$AG$13:$AG$9307,I1)</f>
        <v>3</v>
      </c>
      <c r="K7" s="39"/>
      <c r="L7" s="187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COUNTIFS($P$13:$P$9307,"&gt;0",$AG$13:$AG$9307,R1)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87"/>
      <c r="M8" s="40">
        <f>M5</f>
        <v>37.60734265798807</v>
      </c>
      <c r="N8" s="38">
        <f>N5</f>
        <v>34.350000004051253</v>
      </c>
      <c r="O8" s="3">
        <f>O5</f>
        <v>46.91666666418314</v>
      </c>
      <c r="P8" s="2"/>
      <c r="R8" s="166" t="s">
        <v>16</v>
      </c>
      <c r="S8" s="186">
        <f>S5</f>
        <v>47</v>
      </c>
      <c r="T8" s="187"/>
      <c r="U8" s="187"/>
      <c r="V8" s="183">
        <f>V5</f>
        <v>15.141134752738388</v>
      </c>
      <c r="W8" s="184">
        <f>W5</f>
        <v>12.766666664974764</v>
      </c>
      <c r="X8" s="185">
        <f>X5</f>
        <v>20.533333334606141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0.97945205479452058</v>
      </c>
      <c r="K9" s="41"/>
      <c r="L9" s="174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4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8" t="str">
        <f>"Eagle P3 System Performance - "&amp;TEXT(Variables!A2,"yyyy-mm-dd")</f>
        <v>Eagle P3 System Performance - 2017-08-25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11">
        <f>AVERAGE(S13:S104)</f>
        <v>0.97802197802197799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6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567</v>
      </c>
      <c r="B13" s="7">
        <v>4028</v>
      </c>
      <c r="C13" s="21" t="s">
        <v>197</v>
      </c>
      <c r="D13" s="21" t="s">
        <v>813</v>
      </c>
      <c r="E13" s="13">
        <v>42972.134930555556</v>
      </c>
      <c r="F13" s="13">
        <v>42972.136435185188</v>
      </c>
      <c r="G13" s="7">
        <v>1</v>
      </c>
      <c r="H13" s="21" t="s">
        <v>403</v>
      </c>
      <c r="I13" s="13">
        <v>42972.164733796293</v>
      </c>
      <c r="J13" s="7">
        <v>1</v>
      </c>
      <c r="K13" s="89" t="str">
        <f t="shared" ref="K13:K76" si="0">IF(ISEVEN(B13),(B13-1)&amp;"/"&amp;B13,B13&amp;"/"&amp;(B13+1))</f>
        <v>4027/4028</v>
      </c>
      <c r="L13" s="217" t="str">
        <f>VLOOKUP(A13,'Trips&amp;Operators'!$C$1:$G$99911,5,FALSE)</f>
        <v>STARKS ANGELINA</v>
      </c>
      <c r="M13" s="6">
        <f t="shared" ref="M13:M76" si="1">I13-F13</f>
        <v>2.8298611105128657E-2</v>
      </c>
      <c r="N13" s="7">
        <f>24*60*SUM($M13:$M13)</f>
        <v>40.749999991385266</v>
      </c>
      <c r="O13" s="7"/>
      <c r="P13" s="7"/>
      <c r="Q13" s="22"/>
      <c r="R13" s="170"/>
      <c r="S13" s="213">
        <f t="shared" ref="S13:S49" si="2">1/IF(AG13="EC",12,1)*SUM(U13:U13)</f>
        <v>1</v>
      </c>
      <c r="T13" s="195" t="str">
        <f t="shared" ref="T13:T76" si="3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-25T02:14:18-0600',mode:absolute,to:'2017-08-25T04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" s="197" t="str">
        <f>IF(AA13&lt;VLOOKUP(AG13,Variables!$AC$3:$AD$8,2,FALSE),"Y","N")</f>
        <v>N</v>
      </c>
      <c r="X13" s="197" t="e">
        <f t="shared" ref="X13:X23" si="5">VALUE(LEFT(AD13,4))-VALUE(LEFT(AD12,4))</f>
        <v>#VALUE!</v>
      </c>
      <c r="Y13" s="197">
        <f t="shared" ref="Y13:Y44" si="6">RIGHT(D13,LEN(D13)-4)/10000</f>
        <v>7.8799999999999995E-2</v>
      </c>
      <c r="Z13" s="197">
        <f t="shared" ref="Z13:Z36" si="7">RIGHT(H13,LEN(H13)-4)/10000</f>
        <v>23.33</v>
      </c>
      <c r="AA13" s="197">
        <f t="shared" ref="AA13:AA76" si="8">ABS(Z13-Y13)</f>
        <v>23.251199999999997</v>
      </c>
      <c r="AB13" s="54" t="e">
        <f>VLOOKUP(A13,Enforcements!$C$7:$K$11,8,0)</f>
        <v>#N/A</v>
      </c>
      <c r="AC13" s="51" t="e">
        <f>VLOOKUP(A13,Enforcements!$C$7:$E$11,3,0)</f>
        <v>#N/A</v>
      </c>
      <c r="AD13" s="206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s3://rtdc.mdm.uploadarchive.raw/RTDC4028/ "%USERPROFILE%\AppData\Local\Temp\OnboardLogs"\RTDC4028\2017-08-25 --exclude "*" --recursive --include "*20170825*" &amp; "%USERPROFILE%\Documents\GitHub\mrs-test-scripts\Headless Mode &amp; Sideloading\WalkAndUnGZ.bat" "%USERPROFILE%\AppData\Local\Temp\OnboardLogs"\RTDC4028\2017-08-25 &amp; aws s3 cp s3://rtdc.mdm.uploadarchive.raw/RTDC4028/ "%USERPROFILE%\AppData\Local\Temp\OnboardLogs"\RTDC4028\2017-08-26 --exclude "*" --recursive --include "*20170826*" &amp; "%USERPROFILE%\Documents\GitHub\mrs-test-scripts\Headless Mode &amp; Sideloading\WalkAndUnGZ.bat" "%USERPROFILE%\AppData\Local\Temp\OnboardLogs"\RTDC4028\2017-08-26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/stypes="app*4028*20170825*"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4028 --swversion DE.1.0.9.0 --startMP 204:788 --initTime 2017-08-25T03:14:18 --startdatetime 2017-08-25T03:16:28 --delay 1 --endMP 204:233300 --enddatetime 2017-08-25T03:57:13 --enforcementcount 1 &gt;&gt;C:\Users\stu\Documents\GitHub\eaglep3-reporting\EC\2017-08-25-refined-times.txt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{"issue":{"subject":"","project_id":79,"tracker_id":40,"status_id":1,"priority_id":2,"assigned_to_id":23,"start_date":"2017-08-25","description":"","custom_fields":[{"id":1,"name":"Subdivision","value":"EC"},{"id":4,"name":"Milepost","value":"23.33"},{"id":17,"name":"Train ID","value":"101-25"},{"id":16,"name":"Locomotive ID","value":"4028"},{"id":130,"name":"Impact","value":""},{"id":150,"name":"Time of Event (Mountain Time)","value":"03:57:13"},{"id":151,"name":"Denver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5">"start /low /b "&amp;dls3logs&amp;" --loco "&amp;B13&amp;" --day "&amp;TEXT(F13,"YYYY-MM-DD")</f>
        <v>start /low /b %USERPROFILE%\Documents\GitHub\eaglep3\Utilities\DownloadLogsFromS3.py --loco 4028 --day 2017-08-25</v>
      </c>
      <c r="AN13" s="151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09:57:13"},{"id":29,"name":"Sharepoint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985</v>
      </c>
      <c r="B14" s="7">
        <v>4027</v>
      </c>
      <c r="C14" s="21" t="s">
        <v>197</v>
      </c>
      <c r="D14" s="21" t="s">
        <v>813</v>
      </c>
      <c r="E14" s="13">
        <v>42972.134930555556</v>
      </c>
      <c r="F14" s="13">
        <v>42972.185416666667</v>
      </c>
      <c r="G14" s="7">
        <v>1</v>
      </c>
      <c r="H14" s="21" t="s">
        <v>403</v>
      </c>
      <c r="I14" s="13">
        <v>42972.186111111114</v>
      </c>
      <c r="J14" s="7">
        <v>1</v>
      </c>
      <c r="K14" s="89" t="str">
        <f t="shared" si="0"/>
        <v>4027/4028</v>
      </c>
      <c r="L14" s="217" t="s">
        <v>986</v>
      </c>
      <c r="M14" s="6">
        <f t="shared" si="1"/>
        <v>6.944444467080757E-4</v>
      </c>
      <c r="N14" s="7"/>
      <c r="O14" s="7"/>
      <c r="P14" s="7">
        <f>24*60*SUM($M14:$M14)</f>
        <v>1.000000003259629</v>
      </c>
      <c r="Q14" s="22"/>
      <c r="R14" s="170" t="s">
        <v>987</v>
      </c>
      <c r="S14" s="213">
        <f t="shared" si="2"/>
        <v>0</v>
      </c>
      <c r="T14" s="195" t="str">
        <f t="shared" si="3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96" t="str">
        <f t="shared" si="4"/>
        <v>https://d0f6bd738d7f1b3e5a7ca70fe4ff75f0.us-east-1.aws.found.io/app/kibana#/discover/Steve-Slow-Train-Analysis-(2080s-and-2083s)?_g=(refreshInterval:(display:Off,pause:!f,section:0,value:0),time:(from:'2017-08-25T02:14:18-0600',mode:absolute,to:'2017-08-25T05:28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" s="197" t="str">
        <f>IF(AA14&lt;VLOOKUP(AG14,Variables!$AC$3:$AD$8,2,FALSE),"Y","N")</f>
        <v>N</v>
      </c>
      <c r="X14" s="197">
        <f t="shared" si="5"/>
        <v>1</v>
      </c>
      <c r="Y14" s="197">
        <f t="shared" si="6"/>
        <v>7.8799999999999995E-2</v>
      </c>
      <c r="Z14" s="197">
        <f t="shared" si="7"/>
        <v>23.33</v>
      </c>
      <c r="AA14" s="197">
        <f t="shared" si="8"/>
        <v>23.251199999999997</v>
      </c>
      <c r="AB14" s="54" t="e">
        <f>VLOOKUP(A14,Enforcements!$C$7:$K$11,8,0)</f>
        <v>#N/A</v>
      </c>
      <c r="AC14" s="51" t="e">
        <f>VLOOKUP(A14,Enforcements!$C$7:$E$11,3,0)</f>
        <v>#N/A</v>
      </c>
      <c r="AD14" s="206">
        <f t="shared" si="9"/>
        <v>102</v>
      </c>
      <c r="AE14" s="77" t="str">
        <f t="shared" si="10"/>
        <v>aws s3 cp s3://rtdc.mdm.uploadarchive.raw/RTDC4027/ "%USERPROFILE%\AppData\Local\Temp\OnboardLogs"\RTDC4027\2017-08-25 --exclude "*" --recursive --include "*20170825*" &amp; "%USERPROFILE%\Documents\GitHub\mrs-test-scripts\Headless Mode &amp; Sideloading\WalkAndUnGZ.bat" "%USERPROFILE%\AppData\Local\Temp\OnboardLogs"\RTDC4027\2017-08-25 &amp; aws s3 cp s3://rtdc.mdm.uploadarchive.raw/RTDC4027/ "%USERPROFILE%\AppData\Local\Temp\OnboardLogs"\RTDC4027\2017-08-26 --exclude "*" --recursive --include "*20170826*" &amp; "%USERPROFILE%\Documents\GitHub\mrs-test-scripts\Headless Mode &amp; Sideloading\WalkAndUnGZ.bat" "%USERPROFILE%\AppData\Local\Temp\OnboardLogs"\RTDC4027\2017-08-26</v>
      </c>
      <c r="AF14" s="74" t="str">
        <f t="shared" si="11"/>
        <v>"C:\Program Files (x86)\AstroGrep\AstroGrep.exe" /e /r /s /spath="%USERPROFILE%\AppData\Local\Temp\OnboardLogs" /stypes="app*4027*20170825*" /stext=" 10:.+((SYSTEM_STATE.+slice.+state.+changed )|(ment ac)|(multiple cpu faults)|(system.+state.+changed )|(\[timeout)|(PRM\|1\|D)|(kpr)|(kdp)|(train st.+moving)|(\|lc)|(penalty))"</v>
      </c>
      <c r="AG14" s="209" t="str">
        <f t="shared" si="12"/>
        <v>EC</v>
      </c>
      <c r="AH14" s="78" t="str">
        <f t="shared" ref="AH14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4027 --swversion DE.1.0.9.0 --startMP 204:788 --initTime 2017-08-25T03:14:18 --startdatetime 2017-08-25T04:27:00 --delay 1 --endMP 204:233300 --enddatetime 2017-08-25T04:28:00 --enforcementcount 1 &gt;&gt;C:\Users\stu\Documents\GitHub\eaglep3-reporting\EC\2017-08-25-refined-times.txt</v>
      </c>
      <c r="AI14" s="96" t="str">
        <f t="shared" ref="AI14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outage","project_id":79,"tracker_id":40,"status_id":1,"priority_id":2,"assigned_to_id":23,"start_date":"2017-08-25","description":"","custom_fields":[{"id":1,"name":"Subdivision","value":"EC"},{"id":4,"name":"Milepost","value":"23.33"},{"id":17,"name":"Train ID","value":"102-25"},{"id":16,"name":"Locomotive ID","value":"4027"},{"id":130,"name":"Impact","value":""},{"id":150,"name":"Time of Event (Mountain Time)","value":"04:28:00"},{"id":151,"name":"Denver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" si="19">"start /low /b "&amp;dls3logs&amp;" --loco "&amp;B14&amp;" --day "&amp;TEXT(F14,"YYYY-MM-DD")</f>
        <v>start /low /b %USERPROFILE%\Documents\GitHub\eaglep3\Utilities\DownloadLogsFromS3.py --loco 4027 --day 2017-08-25</v>
      </c>
      <c r="AN14" s="151" t="str">
        <f t="shared" ref="AN14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10:28:00"},{"id":29,"name":"Sharepoint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72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2" t="s">
        <v>612</v>
      </c>
      <c r="B15" s="7">
        <v>4030</v>
      </c>
      <c r="C15" s="21" t="s">
        <v>197</v>
      </c>
      <c r="D15" s="21" t="s">
        <v>814</v>
      </c>
      <c r="E15" s="13">
        <v>42972.153599537036</v>
      </c>
      <c r="F15" s="13">
        <v>42972.156817129631</v>
      </c>
      <c r="G15" s="7">
        <v>1</v>
      </c>
      <c r="H15" s="21" t="s">
        <v>815</v>
      </c>
      <c r="I15" s="13">
        <v>42972.182164351849</v>
      </c>
      <c r="J15" s="7">
        <v>1</v>
      </c>
      <c r="K15" s="89" t="str">
        <f t="shared" si="0"/>
        <v>4029/4030</v>
      </c>
      <c r="L15" s="217" t="str">
        <f>VLOOKUP(A15,'Trips&amp;Operators'!$C$1:$G$99911,5,FALSE)</f>
        <v>WILLIAMS DONTE</v>
      </c>
      <c r="M15" s="6">
        <f t="shared" si="1"/>
        <v>2.5347222217533272E-2</v>
      </c>
      <c r="N15" s="7">
        <f t="shared" ref="N15:N23" si="21">24*60*SUM($M15:$M15)</f>
        <v>36.499999993247911</v>
      </c>
      <c r="O15" s="7"/>
      <c r="P15" s="7"/>
      <c r="Q15" s="22"/>
      <c r="R15" s="170"/>
      <c r="S15" s="213">
        <f t="shared" si="2"/>
        <v>1</v>
      </c>
      <c r="T15" s="195" t="str">
        <f t="shared" si="3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4"/>
        <v>https://d0f6bd738d7f1b3e5a7ca70fe4ff75f0.us-east-1.aws.found.io/app/kibana#/discover/Steve-Slow-Train-Analysis-(2080s-and-2083s)?_g=(refreshInterval:(display:Off,pause:!f,section:0,value:0),time:(from:'2017-08-25T02:41:11-0600',mode:absolute,to:'2017-08-25T05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" s="197" t="str">
        <f>IF(AA15&lt;VLOOKUP(AG15,Variables!$AC$3:$AD$8,2,FALSE),"Y","N")</f>
        <v>N</v>
      </c>
      <c r="X15" s="197">
        <f t="shared" si="5"/>
        <v>1</v>
      </c>
      <c r="Y15" s="197">
        <f t="shared" si="6"/>
        <v>3.8399999999999997E-2</v>
      </c>
      <c r="Z15" s="197">
        <f t="shared" si="7"/>
        <v>23.330300000000001</v>
      </c>
      <c r="AA15" s="197">
        <f t="shared" si="8"/>
        <v>23.291900000000002</v>
      </c>
      <c r="AB15" s="54" t="e">
        <f>VLOOKUP(A15,Enforcements!$C$7:$K$11,8,0)</f>
        <v>#N/A</v>
      </c>
      <c r="AC15" s="51" t="e">
        <f>VLOOKUP(A15,Enforcements!$C$7:$E$11,3,0)</f>
        <v>#N/A</v>
      </c>
      <c r="AD15" s="206">
        <f t="shared" si="9"/>
        <v>103</v>
      </c>
      <c r="AE15" s="77" t="str">
        <f t="shared" si="10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15" s="74" t="str">
        <f t="shared" si="11"/>
        <v>"C:\Program Files (x86)\AstroGrep\AstroGrep.exe" /e /r /s /spath="%USERPROFILE%\AppData\Local\Temp\OnboardLogs" /stypes="app*4030*20170825*" /stext=" 10:.+((SYSTEM_STATE.+slice.+state.+changed )|(ment ac)|(multiple cpu faults)|(system.+state.+changed )|(\[timeout)|(PRM\|1\|D)|(kpr)|(kdp)|(train st.+moving)|(\|lc)|(penalty))"</v>
      </c>
      <c r="AG15" s="209" t="str">
        <f t="shared" si="12"/>
        <v>EC</v>
      </c>
      <c r="AH15" s="78" t="str">
        <f t="shared" ref="AH15:AH79" si="22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103-25 --locoid 4030 --swversion DE.1.0.9.0 --startMP 204:384 --initTime 2017-08-25T03:41:11 --startdatetime 2017-08-25T03:45:49 --delay 1 --endMP 204:233303 --enddatetime 2017-08-25T04:22:19 --enforcementcount 1 &gt;&gt;C:\Users\stu\Documents\GitHub\eaglep3-reporting\EC\2017-08-25-refined-times.txt</v>
      </c>
      <c r="AI15" s="96" t="str">
        <f t="shared" ref="AI15:AI79" si="23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{"issue":{"subject":"","project_id":79,"tracker_id":40,"status_id":1,"priority_id":2,"assigned_to_id":23,"start_date":"2017-08-25","description":"","custom_fields":[{"id":1,"name":"Subdivision","value":"EC"},{"id":4,"name":"Milepost","value":"23.3303"},{"id":17,"name":"Train ID","value":"103-25"},{"id":16,"name":"Locomotive ID","value":"4030"},{"id":130,"name":"Impact","value":""},{"id":150,"name":"Time of Event (Mountain Time)","value":"04:22:19"},{"id":151,"name":"Denver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ref="AM15:AM79" si="24">"start /low /b "&amp;dls3logs&amp;" --loco "&amp;B15&amp;" --day "&amp;TEXT(F15,"YYYY-MM-DD")</f>
        <v>start /low /b %USERPROFILE%\Documents\GitHub\eaglep3\Utilities\DownloadLogsFromS3.py --loco 4030 --day 2017-08-25</v>
      </c>
      <c r="AN15" s="151" t="str">
        <f t="shared" ref="AN15:AN79" si="25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10:22:19"},{"id":29,"name":"Sharepoint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620</v>
      </c>
      <c r="B16" s="7">
        <v>4029</v>
      </c>
      <c r="C16" s="21" t="s">
        <v>197</v>
      </c>
      <c r="D16" s="21" t="s">
        <v>529</v>
      </c>
      <c r="E16" s="13">
        <v>42972.192326388889</v>
      </c>
      <c r="F16" s="13">
        <v>42972.196006944447</v>
      </c>
      <c r="G16" s="7">
        <v>1</v>
      </c>
      <c r="H16" s="21" t="s">
        <v>368</v>
      </c>
      <c r="I16" s="13">
        <v>42972.223287037035</v>
      </c>
      <c r="J16" s="7">
        <v>1</v>
      </c>
      <c r="K16" s="89" t="str">
        <f t="shared" si="0"/>
        <v>4029/4030</v>
      </c>
      <c r="L16" s="217" t="str">
        <f>VLOOKUP(A16,'Trips&amp;Operators'!$C$1:$G$99911,5,FALSE)</f>
        <v>WILLIAMS DONTE</v>
      </c>
      <c r="M16" s="6">
        <f t="shared" si="1"/>
        <v>2.7280092588625848E-2</v>
      </c>
      <c r="N16" s="7">
        <f t="shared" si="21"/>
        <v>39.283333327621222</v>
      </c>
      <c r="O16" s="7"/>
      <c r="P16" s="7"/>
      <c r="Q16" s="22"/>
      <c r="R16" s="170"/>
      <c r="S16" s="213">
        <f t="shared" si="2"/>
        <v>1</v>
      </c>
      <c r="T16" s="195" t="str">
        <f t="shared" si="3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4"/>
        <v>https://d0f6bd738d7f1b3e5a7ca70fe4ff75f0.us-east-1.aws.found.io/app/kibana#/discover/Steve-Slow-Train-Analysis-(2080s-and-2083s)?_g=(refreshInterval:(display:Off,pause:!f,section:0,value:0),time:(from:'2017-08-25T03:36:57-0600',mode:absolute,to:'2017-08-25T06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" s="197" t="str">
        <f>IF(AA16&lt;VLOOKUP(AG16,Variables!$AC$3:$AD$8,2,FALSE),"Y","N")</f>
        <v>N</v>
      </c>
      <c r="X16" s="197">
        <f t="shared" si="5"/>
        <v>1</v>
      </c>
      <c r="Y16" s="197">
        <f t="shared" si="6"/>
        <v>23.298999999999999</v>
      </c>
      <c r="Z16" s="197">
        <f t="shared" si="7"/>
        <v>1.52E-2</v>
      </c>
      <c r="AA16" s="197">
        <f t="shared" si="8"/>
        <v>23.283799999999999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206">
        <f t="shared" si="9"/>
        <v>104</v>
      </c>
      <c r="AE16" s="77" t="str">
        <f t="shared" si="10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16" s="74" t="str">
        <f t="shared" si="11"/>
        <v>"C:\Program Files (x86)\AstroGrep\AstroGrep.exe" /e /r /s /spath="%USERPROFILE%\AppData\Local\Temp\OnboardLogs" /stypes="app*4029*20170825*" /stext=" 11:.+((SYSTEM_STATE.+slice.+state.+changed )|(ment ac)|(multiple cpu faults)|(system.+state.+changed )|(\[timeout)|(PRM\|1\|D)|(kpr)|(kdp)|(train st.+moving)|(\|lc)|(penalty))"</v>
      </c>
      <c r="AG16" s="209" t="str">
        <f t="shared" si="12"/>
        <v>EC</v>
      </c>
      <c r="AH16" s="78" t="str">
        <f t="shared" si="22"/>
        <v>"%USERPROFILE%\Documents\GitHub\eaglep3\Utilities\RefineRTDCRunTimes.py" --tripid 104-25 --locoid 4029 --swversion DE.1.0.9.0 --startMP 204:232990 --initTime 2017-08-25T04:36:57 --startdatetime 2017-08-25T04:42:15 --delay 1 --endMP 204:152 --enddatetime 2017-08-25T05:21:32 --enforcementcount 1 &gt;&gt;C:\Users\stu\Documents\GitHub\eaglep3-reporting\EC\2017-08-25-refined-times.txt</v>
      </c>
      <c r="AI16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{"issue":{"subject":"","project_id":79,"tracker_id":40,"status_id":1,"priority_id":2,"assigned_to_id":23,"start_date":"2017-08-25","description":"","custom_fields":[{"id":1,"name":"Subdivision","value":"EC"},{"id":4,"name":"Milepost","value":"0.0152"},{"id":17,"name":"Train ID","value":"104-25"},{"id":16,"name":"Locomotive ID","value":"4029"},{"id":130,"name":"Impact","value":""},{"id":150,"name":"Time of Event (Mountain Time)","value":"05:21:32"},{"id":151,"name":"Denver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4"/>
        <v>start /low /b %USERPROFILE%\Documents\GitHub\eaglep3\Utilities\DownloadLogsFromS3.py --loco 4029 --day 2017-08-25</v>
      </c>
      <c r="AN16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11:21:32"},{"id":29,"name":"Sharepoint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617</v>
      </c>
      <c r="B17" s="7">
        <v>4064</v>
      </c>
      <c r="C17" s="21" t="s">
        <v>197</v>
      </c>
      <c r="D17" s="21" t="s">
        <v>816</v>
      </c>
      <c r="E17" s="13">
        <v>42972.170694444445</v>
      </c>
      <c r="F17" s="13">
        <v>42972.17763888889</v>
      </c>
      <c r="G17" s="7">
        <v>1</v>
      </c>
      <c r="H17" s="21" t="s">
        <v>817</v>
      </c>
      <c r="I17" s="13">
        <v>42972.203599537039</v>
      </c>
      <c r="J17" s="7">
        <v>1</v>
      </c>
      <c r="K17" s="89" t="str">
        <f t="shared" si="0"/>
        <v>4063/4064</v>
      </c>
      <c r="L17" s="217" t="str">
        <f>VLOOKUP(A17,'Trips&amp;Operators'!$C$1:$G$99911,5,FALSE)</f>
        <v>BONDS REYNALDO</v>
      </c>
      <c r="M17" s="6">
        <f t="shared" si="1"/>
        <v>2.5960648148611654E-2</v>
      </c>
      <c r="N17" s="7">
        <f t="shared" si="21"/>
        <v>37.383333334000781</v>
      </c>
      <c r="O17" s="7"/>
      <c r="P17" s="7"/>
      <c r="Q17" s="22"/>
      <c r="R17" s="170"/>
      <c r="S17" s="213">
        <f t="shared" si="2"/>
        <v>1</v>
      </c>
      <c r="T17" s="195" t="str">
        <f t="shared" si="3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4"/>
        <v>https://d0f6bd738d7f1b3e5a7ca70fe4ff75f0.us-east-1.aws.found.io/app/kibana#/discover/Steve-Slow-Train-Analysis-(2080s-and-2083s)?_g=(refreshInterval:(display:Off,pause:!f,section:0,value:0),time:(from:'2017-08-25T03:05:48-0600',mode:absolute,to:'2017-08-25T05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" s="197" t="str">
        <f>IF(AA17&lt;VLOOKUP(AG17,Variables!$AC$3:$AD$8,2,FALSE),"Y","N")</f>
        <v>N</v>
      </c>
      <c r="X17" s="197">
        <f t="shared" si="5"/>
        <v>1</v>
      </c>
      <c r="Y17" s="197">
        <f t="shared" si="6"/>
        <v>4.2900000000000001E-2</v>
      </c>
      <c r="Z17" s="197">
        <f t="shared" si="7"/>
        <v>23.3416</v>
      </c>
      <c r="AA17" s="197">
        <f t="shared" si="8"/>
        <v>23.2987</v>
      </c>
      <c r="AB17" s="54" t="e">
        <f>VLOOKUP(A17,Enforcements!$C$7:$K$11,8,0)</f>
        <v>#N/A</v>
      </c>
      <c r="AC17" s="51" t="e">
        <f>VLOOKUP(A17,Enforcements!$C$7:$E$11,3,0)</f>
        <v>#N/A</v>
      </c>
      <c r="AD17" s="206">
        <f t="shared" si="9"/>
        <v>105</v>
      </c>
      <c r="AE17" s="77" t="str">
        <f t="shared" si="10"/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AF17" s="74" t="str">
        <f t="shared" si="11"/>
        <v>"C:\Program Files (x86)\AstroGrep\AstroGrep.exe" /e /r /s /spath="%USERPROFILE%\AppData\Local\Temp\OnboardLogs" /stypes="app*4064*20170825*" /stext=" 10:.+((SYSTEM_STATE.+slice.+state.+changed )|(ment ac)|(multiple cpu faults)|(system.+state.+changed )|(\[timeout)|(PRM\|1\|D)|(kpr)|(kdp)|(train st.+moving)|(\|lc)|(penalty))"</v>
      </c>
      <c r="AG17" s="209" t="str">
        <f t="shared" si="12"/>
        <v>EC</v>
      </c>
      <c r="AH17" s="78" t="str">
        <f t="shared" si="22"/>
        <v>"%USERPROFILE%\Documents\GitHub\eaglep3\Utilities\RefineRTDCRunTimes.py" --tripid 105-25 --locoid 4064 --swversion DE.1.0.9.0 --startMP 204:429 --initTime 2017-08-25T04:05:48 --startdatetime 2017-08-25T04:15:48 --delay 1 --endMP 204:233416 --enddatetime 2017-08-25T04:53:11 --enforcementcount 1 &gt;&gt;C:\Users\stu\Documents\GitHub\eaglep3-reporting\EC\2017-08-25-refined-times.txt</v>
      </c>
      <c r="AI17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{"issue":{"subject":"","project_id":79,"tracker_id":40,"status_id":1,"priority_id":2,"assigned_to_id":23,"start_date":"2017-08-25","description":"","custom_fields":[{"id":1,"name":"Subdivision","value":"EC"},{"id":4,"name":"Milepost","value":"23.3416"},{"id":17,"name":"Train ID","value":"105-25"},{"id":16,"name":"Locomotive ID","value":"4064"},{"id":130,"name":"Impact","value":""},{"id":150,"name":"Time of Event (Mountain Time)","value":"04:53:11"},{"id":151,"name":"Denver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4"/>
        <v>start /low /b %USERPROFILE%\Documents\GitHub\eaglep3\Utilities\DownloadLogsFromS3.py --loco 4064 --day 2017-08-25</v>
      </c>
      <c r="AN17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569</v>
      </c>
      <c r="B18" s="7">
        <v>4063</v>
      </c>
      <c r="C18" s="21" t="s">
        <v>197</v>
      </c>
      <c r="D18" s="21" t="s">
        <v>818</v>
      </c>
      <c r="E18" s="13">
        <v>42972.213634259257</v>
      </c>
      <c r="F18" s="13">
        <v>42972.216828703706</v>
      </c>
      <c r="G18" s="7">
        <v>1</v>
      </c>
      <c r="H18" s="21" t="s">
        <v>819</v>
      </c>
      <c r="I18" s="13">
        <v>42972.244317129633</v>
      </c>
      <c r="J18" s="7">
        <v>1</v>
      </c>
      <c r="K18" s="89" t="str">
        <f t="shared" si="0"/>
        <v>4063/4064</v>
      </c>
      <c r="L18" s="217" t="str">
        <f>VLOOKUP(A18,'Trips&amp;Operators'!$C$1:$G$99911,5,FALSE)</f>
        <v>BONDS REYNALDO</v>
      </c>
      <c r="M18" s="6">
        <f t="shared" si="1"/>
        <v>2.7488425927003846E-2</v>
      </c>
      <c r="N18" s="7">
        <f t="shared" si="21"/>
        <v>39.583333334885538</v>
      </c>
      <c r="O18" s="7"/>
      <c r="P18" s="7"/>
      <c r="Q18" s="22"/>
      <c r="R18" s="170"/>
      <c r="S18" s="213">
        <f t="shared" si="2"/>
        <v>1</v>
      </c>
      <c r="T18" s="195" t="str">
        <f t="shared" si="3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4"/>
        <v>https://d0f6bd738d7f1b3e5a7ca70fe4ff75f0.us-east-1.aws.found.io/app/kibana#/discover/Steve-Slow-Train-Analysis-(2080s-and-2083s)?_g=(refreshInterval:(display:Off,pause:!f,section:0,value:0),time:(from:'2017-08-25T04:07:38-0600',mode:absolute,to:'2017-08-25T06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" s="197" t="str">
        <f>IF(AA18&lt;VLOOKUP(AG18,Variables!$AC$3:$AD$8,2,FALSE),"Y","N")</f>
        <v>N</v>
      </c>
      <c r="X18" s="197">
        <f t="shared" si="5"/>
        <v>1</v>
      </c>
      <c r="Y18" s="197">
        <f t="shared" si="6"/>
        <v>23.3155</v>
      </c>
      <c r="Z18" s="197">
        <f t="shared" si="7"/>
        <v>2.3400000000000001E-2</v>
      </c>
      <c r="AA18" s="197">
        <f t="shared" si="8"/>
        <v>23.292100000000001</v>
      </c>
      <c r="AB18" s="54" t="e">
        <f>VLOOKUP(A18,Enforcements!$C$7:$K$11,8,0)</f>
        <v>#N/A</v>
      </c>
      <c r="AC18" s="51" t="e">
        <f>VLOOKUP(A18,Enforcements!$C$7:$E$11,3,0)</f>
        <v>#N/A</v>
      </c>
      <c r="AD18" s="206">
        <f t="shared" si="9"/>
        <v>106</v>
      </c>
      <c r="AE18" s="77" t="str">
        <f t="shared" si="10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18" s="74" t="str">
        <f t="shared" si="11"/>
        <v>"C:\Program Files (x86)\AstroGrep\AstroGrep.exe" /e /r /s /spath="%USERPROFILE%\AppData\Local\Temp\OnboardLogs" /stypes="app*4063*20170825*" /stext=" 11:.+((SYSTEM_STATE.+slice.+state.+changed )|(ment ac)|(multiple cpu faults)|(system.+state.+changed )|(\[timeout)|(PRM\|1\|D)|(kpr)|(kdp)|(train st.+moving)|(\|lc)|(penalty))"</v>
      </c>
      <c r="AG18" s="209" t="str">
        <f t="shared" si="12"/>
        <v>EC</v>
      </c>
      <c r="AH18" s="78" t="str">
        <f t="shared" si="22"/>
        <v>"%USERPROFILE%\Documents\GitHub\eaglep3\Utilities\RefineRTDCRunTimes.py" --tripid 106-25 --locoid 4063 --swversion DE.1.0.9.0 --startMP 204:233155 --initTime 2017-08-25T05:07:38 --startdatetime 2017-08-25T05:12:14 --delay 1 --endMP 204:234 --enddatetime 2017-08-25T05:51:49 --enforcementcount 1 &gt;&gt;C:\Users\stu\Documents\GitHub\eaglep3-reporting\EC\2017-08-25-refined-times.txt</v>
      </c>
      <c r="AI18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{"issue":{"subject":"","project_id":79,"tracker_id":40,"status_id":1,"priority_id":2,"assigned_to_id":23,"start_date":"2017-08-25","description":"","custom_fields":[{"id":1,"name":"Subdivision","value":"EC"},{"id":4,"name":"Milepost","value":"0.0234"},{"id":17,"name":"Train ID","value":"106-25"},{"id":16,"name":"Locomotive ID","value":"4063"},{"id":130,"name":"Impact","value":""},{"id":150,"name":"Time of Event (Mountain Time)","value":"05:51:49"},{"id":151,"name":"Denver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4"/>
        <v>start /low /b %USERPROFILE%\Documents\GitHub\eaglep3\Utilities\DownloadLogsFromS3.py --loco 4063 --day 2017-08-25</v>
      </c>
      <c r="AN18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11:51:49"},{"id":29,"name":"Sharepoint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619</v>
      </c>
      <c r="B19" s="7">
        <v>4032</v>
      </c>
      <c r="C19" s="21" t="s">
        <v>197</v>
      </c>
      <c r="D19" s="21" t="s">
        <v>487</v>
      </c>
      <c r="E19" s="13">
        <v>42972.18341435185</v>
      </c>
      <c r="F19" s="13">
        <v>42972.188032407408</v>
      </c>
      <c r="G19" s="7">
        <v>1</v>
      </c>
      <c r="H19" s="21" t="s">
        <v>395</v>
      </c>
      <c r="I19" s="13">
        <v>42972.212407407409</v>
      </c>
      <c r="J19" s="7">
        <v>1</v>
      </c>
      <c r="K19" s="89" t="str">
        <f t="shared" si="0"/>
        <v>4031/4032</v>
      </c>
      <c r="L19" s="217" t="str">
        <f>VLOOKUP(A19,'Trips&amp;Operators'!$C$1:$G$99911,5,FALSE)</f>
        <v>GEBRETEKLE DAGNEW</v>
      </c>
      <c r="M19" s="6">
        <f t="shared" si="1"/>
        <v>2.4375000000873115E-2</v>
      </c>
      <c r="N19" s="7">
        <f t="shared" si="21"/>
        <v>35.100000001257285</v>
      </c>
      <c r="O19" s="7"/>
      <c r="P19" s="7"/>
      <c r="Q19" s="22"/>
      <c r="R19" s="170"/>
      <c r="S19" s="213">
        <f t="shared" si="2"/>
        <v>1</v>
      </c>
      <c r="T19" s="195" t="str">
        <f t="shared" si="3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4"/>
        <v>https://d0f6bd738d7f1b3e5a7ca70fe4ff75f0.us-east-1.aws.found.io/app/kibana#/discover/Steve-Slow-Train-Analysis-(2080s-and-2083s)?_g=(refreshInterval:(display:Off,pause:!f,section:0,value:0),time:(from:'2017-08-25T03:24:07-0600',mode:absolute,to:'2017-08-25T06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197" t="str">
        <f>IF(AA19&lt;VLOOKUP(AG19,Variables!$AC$3:$AD$8,2,FALSE),"Y","N")</f>
        <v>N</v>
      </c>
      <c r="X19" s="197">
        <f t="shared" si="5"/>
        <v>1</v>
      </c>
      <c r="Y19" s="197">
        <f t="shared" si="6"/>
        <v>4.3299999999999998E-2</v>
      </c>
      <c r="Z19" s="197">
        <f t="shared" si="7"/>
        <v>23.331399999999999</v>
      </c>
      <c r="AA19" s="197">
        <f t="shared" si="8"/>
        <v>23.2881</v>
      </c>
      <c r="AB19" s="54" t="e">
        <f>VLOOKUP(A19,Enforcements!$C$7:$K$11,8,0)</f>
        <v>#N/A</v>
      </c>
      <c r="AC19" s="51" t="e">
        <f>VLOOKUP(A19,Enforcements!$C$7:$E$11,3,0)</f>
        <v>#N/A</v>
      </c>
      <c r="AD19" s="206">
        <f t="shared" si="9"/>
        <v>107</v>
      </c>
      <c r="AE19" s="77" t="str">
        <f t="shared" si="10"/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AF19" s="74" t="str">
        <f t="shared" si="11"/>
        <v>"C:\Program Files (x86)\AstroGrep\AstroGrep.exe" /e /r /s /spath="%USERPROFILE%\AppData\Local\Temp\OnboardLogs" /stypes="app*4032*20170825*" /stext=" 11:.+((SYSTEM_STATE.+slice.+state.+changed )|(ment ac)|(multiple cpu faults)|(system.+state.+changed )|(\[timeout)|(PRM\|1\|D)|(kpr)|(kdp)|(train st.+moving)|(\|lc)|(penalty))"</v>
      </c>
      <c r="AG19" s="209" t="str">
        <f t="shared" si="12"/>
        <v>EC</v>
      </c>
      <c r="AH19" s="78" t="str">
        <f t="shared" si="22"/>
        <v>"%USERPROFILE%\Documents\GitHub\eaglep3\Utilities\RefineRTDCRunTimes.py" --tripid 107-25 --locoid 4032 --swversion DE.1.0.9.0 --startMP 204:433 --initTime 2017-08-25T04:24:07 --startdatetime 2017-08-25T04:30:46 --delay 1 --endMP 204:233314 --enddatetime 2017-08-25T05:05:52 --enforcementcount 1 &gt;&gt;C:\Users\stu\Documents\GitHub\eaglep3-reporting\EC\2017-08-25-refined-times.txt</v>
      </c>
      <c r="AI19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{"issue":{"subject":"","project_id":79,"tracker_id":40,"status_id":1,"priority_id":2,"assigned_to_id":23,"start_date":"2017-08-25","description":"","custom_fields":[{"id":1,"name":"Subdivision","value":"EC"},{"id":4,"name":"Milepost","value":"23.3314"},{"id":17,"name":"Train ID","value":"107-25"},{"id":16,"name":"Locomotive ID","value":"4032"},{"id":130,"name":"Impact","value":""},{"id":150,"name":"Time of Event (Mountain Time)","value":"05:05:52"},{"id":151,"name":"Denver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4"/>
        <v>start /low /b %USERPROFILE%\Documents\GitHub\eaglep3\Utilities\DownloadLogsFromS3.py --loco 4032 --day 2017-08-25</v>
      </c>
      <c r="AN19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630</v>
      </c>
      <c r="B20" s="7">
        <v>4031</v>
      </c>
      <c r="C20" s="21" t="s">
        <v>197</v>
      </c>
      <c r="D20" s="21" t="s">
        <v>401</v>
      </c>
      <c r="E20" s="13">
        <v>42972.213831018518</v>
      </c>
      <c r="F20" s="13">
        <v>42972.227280092593</v>
      </c>
      <c r="G20" s="7">
        <v>0</v>
      </c>
      <c r="H20" s="21" t="s">
        <v>367</v>
      </c>
      <c r="I20" s="13">
        <v>42972.253946759258</v>
      </c>
      <c r="J20" s="7">
        <v>1</v>
      </c>
      <c r="K20" s="89" t="str">
        <f t="shared" si="0"/>
        <v>4031/4032</v>
      </c>
      <c r="L20" s="217" t="str">
        <f>VLOOKUP(A20,'Trips&amp;Operators'!$C$1:$G$99911,5,FALSE)</f>
        <v>GEBRETEKLE DAGNEW</v>
      </c>
      <c r="M20" s="6">
        <f t="shared" si="1"/>
        <v>2.6666666664823424E-2</v>
      </c>
      <c r="N20" s="7">
        <f t="shared" si="21"/>
        <v>38.399999997345731</v>
      </c>
      <c r="O20" s="7"/>
      <c r="P20" s="7"/>
      <c r="Q20" s="22"/>
      <c r="R20" s="170"/>
      <c r="S20" s="213">
        <f t="shared" si="2"/>
        <v>1</v>
      </c>
      <c r="T20" s="195" t="str">
        <f t="shared" si="3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4"/>
        <v>https://d0f6bd738d7f1b3e5a7ca70fe4ff75f0.us-east-1.aws.found.io/app/kibana#/discover/Steve-Slow-Train-Analysis-(2080s-and-2083s)?_g=(refreshInterval:(display:Off,pause:!f,section:0,value:0),time:(from:'2017-08-25T04:07:55-0600',mode:absolute,to:'2017-08-25T07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197" t="str">
        <f>IF(AA20&lt;VLOOKUP(AG20,Variables!$AC$3:$AD$8,2,FALSE),"Y","N")</f>
        <v>N</v>
      </c>
      <c r="X20" s="197">
        <f t="shared" si="5"/>
        <v>1</v>
      </c>
      <c r="Y20" s="197">
        <f t="shared" si="6"/>
        <v>23.3002</v>
      </c>
      <c r="Z20" s="197">
        <f t="shared" si="7"/>
        <v>1.5800000000000002E-2</v>
      </c>
      <c r="AA20" s="197">
        <f t="shared" si="8"/>
        <v>23.284400000000002</v>
      </c>
      <c r="AB20" s="54" t="e">
        <f>VLOOKUP(A20,Enforcements!$C$7:$K$11,8,0)</f>
        <v>#N/A</v>
      </c>
      <c r="AC20" s="51" t="e">
        <f>VLOOKUP(A20,Enforcements!$C$7:$E$11,3,0)</f>
        <v>#N/A</v>
      </c>
      <c r="AD20" s="206">
        <f t="shared" si="9"/>
        <v>108</v>
      </c>
      <c r="AE20" s="77" t="str">
        <f t="shared" si="10"/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20" s="74" t="str">
        <f t="shared" si="11"/>
        <v>"C:\Program Files (x86)\AstroGrep\AstroGrep.exe" /e /r /s /spath="%USERPROFILE%\AppData\Local\Temp\OnboardLogs" /stypes="app*4031*20170825*" /stext=" 12:.+((SYSTEM_STATE.+slice.+state.+changed )|(ment ac)|(multiple cpu faults)|(system.+state.+changed )|(\[timeout)|(PRM\|1\|D)|(kpr)|(kdp)|(train st.+moving)|(\|lc)|(penalty))"</v>
      </c>
      <c r="AG20" s="209" t="str">
        <f t="shared" si="12"/>
        <v>EC</v>
      </c>
      <c r="AH20" s="78" t="str">
        <f t="shared" si="22"/>
        <v>"%USERPROFILE%\Documents\GitHub\eaglep3\Utilities\RefineRTDCRunTimes.py" --tripid 108-25 --locoid 4031 --swversion DE.1.0.9.0 --startMP 204:233002 --initTime 2017-08-25T05:07:55 --startdatetime 2017-08-25T05:27:17 --delay 0 --endMP 204:158 --enddatetime 2017-08-25T06:05:41 --enforcementcount 1 &gt;&gt;C:\Users\stu\Documents\GitHub\eaglep3-reporting\EC\2017-08-25-refined-times.txt</v>
      </c>
      <c r="AI20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{"issue":{"subject":"","project_id":79,"tracker_id":40,"status_id":1,"priority_id":2,"assigned_to_id":23,"start_date":"2017-08-25","description":"","custom_fields":[{"id":1,"name":"Subdivision","value":"EC"},{"id":4,"name":"Milepost","value":"0.0158"},{"id":17,"name":"Train ID","value":"108-25"},{"id":16,"name":"Locomotive ID","value":"4031"},{"id":130,"name":"Impact","value":""},{"id":150,"name":"Time of Event (Mountain Time)","value":"06:05:41"},{"id":151,"name":"Denver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4"/>
        <v>start /low /b %USERPROFILE%\Documents\GitHub\eaglep3\Utilities\DownloadLogsFromS3.py --loco 4031 --day 2017-08-25</v>
      </c>
      <c r="AN20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621</v>
      </c>
      <c r="B21" s="7">
        <v>4014</v>
      </c>
      <c r="C21" s="21" t="s">
        <v>197</v>
      </c>
      <c r="D21" s="21" t="s">
        <v>820</v>
      </c>
      <c r="E21" s="13">
        <v>42972.193472222221</v>
      </c>
      <c r="F21" s="13">
        <v>42972.198518518519</v>
      </c>
      <c r="G21" s="7">
        <v>1</v>
      </c>
      <c r="H21" s="21" t="s">
        <v>821</v>
      </c>
      <c r="I21" s="13">
        <v>42972.225266203706</v>
      </c>
      <c r="J21" s="7">
        <v>1</v>
      </c>
      <c r="K21" s="89" t="str">
        <f t="shared" si="0"/>
        <v>4013/4014</v>
      </c>
      <c r="L21" s="217" t="str">
        <f>VLOOKUP(A21,'Trips&amp;Operators'!$C$1:$G$99911,5,FALSE)</f>
        <v>DAVIS WENDY</v>
      </c>
      <c r="M21" s="6">
        <f t="shared" si="1"/>
        <v>2.6747685187729076E-2</v>
      </c>
      <c r="N21" s="7">
        <f t="shared" si="21"/>
        <v>38.516666670329869</v>
      </c>
      <c r="O21" s="7"/>
      <c r="P21" s="7"/>
      <c r="Q21" s="22"/>
      <c r="R21" s="170"/>
      <c r="S21" s="213">
        <f t="shared" si="2"/>
        <v>1</v>
      </c>
      <c r="T21" s="195" t="str">
        <f t="shared" si="3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4"/>
        <v>https://d0f6bd738d7f1b3e5a7ca70fe4ff75f0.us-east-1.aws.found.io/app/kibana#/discover/Steve-Slow-Train-Analysis-(2080s-and-2083s)?_g=(refreshInterval:(display:Off,pause:!f,section:0,value:0),time:(from:'2017-08-25T03:38:36-0600',mode:absolute,to:'2017-08-25T06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" s="197" t="str">
        <f>IF(AA21&lt;VLOOKUP(AG21,Variables!$AC$3:$AD$8,2,FALSE),"Y","N")</f>
        <v>N</v>
      </c>
      <c r="X21" s="197">
        <f t="shared" si="5"/>
        <v>1</v>
      </c>
      <c r="Y21" s="197">
        <f t="shared" si="6"/>
        <v>4.8399999999999999E-2</v>
      </c>
      <c r="Z21" s="197">
        <f t="shared" si="7"/>
        <v>23.332000000000001</v>
      </c>
      <c r="AA21" s="197">
        <f t="shared" si="8"/>
        <v>23.2836</v>
      </c>
      <c r="AB21" s="54" t="e">
        <f>VLOOKUP(A21,Enforcements!$C$7:$K$11,8,0)</f>
        <v>#N/A</v>
      </c>
      <c r="AC21" s="51" t="e">
        <f>VLOOKUP(A21,Enforcements!$C$7:$E$11,3,0)</f>
        <v>#N/A</v>
      </c>
      <c r="AD21" s="206">
        <f t="shared" si="9"/>
        <v>109</v>
      </c>
      <c r="AE21" s="77" t="str">
        <f t="shared" si="10"/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AF21" s="74" t="str">
        <f t="shared" si="11"/>
        <v>"C:\Program Files (x86)\AstroGrep\AstroGrep.exe" /e /r /s /spath="%USERPROFILE%\AppData\Local\Temp\OnboardLogs" /stypes="app*4014*20170825*" /stext=" 11:.+((SYSTEM_STATE.+slice.+state.+changed )|(ment ac)|(multiple cpu faults)|(system.+state.+changed )|(\[timeout)|(PRM\|1\|D)|(kpr)|(kdp)|(train st.+moving)|(\|lc)|(penalty))"</v>
      </c>
      <c r="AG21" s="209" t="str">
        <f t="shared" si="12"/>
        <v>EC</v>
      </c>
      <c r="AH21" s="78" t="str">
        <f t="shared" si="22"/>
        <v>"%USERPROFILE%\Documents\GitHub\eaglep3\Utilities\RefineRTDCRunTimes.py" --tripid 109-25 --locoid 4014 --swversion DE.1.0.9.0 --startMP 204:484 --initTime 2017-08-25T04:38:36 --startdatetime 2017-08-25T04:45:52 --delay 1 --endMP 204:233320 --enddatetime 2017-08-25T05:24:23 --enforcementcount 1 &gt;&gt;C:\Users\stu\Documents\GitHub\eaglep3-reporting\EC\2017-08-25-refined-times.txt</v>
      </c>
      <c r="AI21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{"issue":{"subject":"","project_id":79,"tracker_id":40,"status_id":1,"priority_id":2,"assigned_to_id":23,"start_date":"2017-08-25","description":"","custom_fields":[{"id":1,"name":"Subdivision","value":"EC"},{"id":4,"name":"Milepost","value":"23.332"},{"id":17,"name":"Train ID","value":"109-25"},{"id":16,"name":"Locomotive ID","value":"4014"},{"id":130,"name":"Impact","value":""},{"id":150,"name":"Time of Event (Mountain Time)","value":"05:24:23"},{"id":151,"name":"Denver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4"/>
        <v>start /low /b %USERPROFILE%\Documents\GitHub\eaglep3\Utilities\DownloadLogsFromS3.py --loco 4014 --day 2017-08-25</v>
      </c>
      <c r="AN21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11:24:23"},{"id":29,"name":"Sharepoint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634</v>
      </c>
      <c r="B22" s="7">
        <v>4013</v>
      </c>
      <c r="C22" s="21" t="s">
        <v>197</v>
      </c>
      <c r="D22" s="21" t="s">
        <v>488</v>
      </c>
      <c r="E22" s="13">
        <v>42972.235763888886</v>
      </c>
      <c r="F22" s="13">
        <v>42972.237662037034</v>
      </c>
      <c r="G22" s="7">
        <v>1</v>
      </c>
      <c r="H22" s="21" t="s">
        <v>391</v>
      </c>
      <c r="I22" s="13">
        <v>42972.264652777776</v>
      </c>
      <c r="J22" s="7">
        <v>1</v>
      </c>
      <c r="K22" s="89" t="str">
        <f t="shared" si="0"/>
        <v>4013/4014</v>
      </c>
      <c r="L22" s="217" t="str">
        <f>VLOOKUP(A22,'Trips&amp;Operators'!$C$1:$G$99911,5,FALSE)</f>
        <v>DAVIS WENDY</v>
      </c>
      <c r="M22" s="6">
        <f t="shared" si="1"/>
        <v>2.6990740741894115E-2</v>
      </c>
      <c r="N22" s="7">
        <f t="shared" si="21"/>
        <v>38.866666668327525</v>
      </c>
      <c r="O22" s="7"/>
      <c r="P22" s="7"/>
      <c r="Q22" s="22"/>
      <c r="R22" s="170"/>
      <c r="S22" s="213">
        <f t="shared" si="2"/>
        <v>1</v>
      </c>
      <c r="T22" s="195" t="str">
        <f t="shared" si="3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4"/>
        <v>https://d0f6bd738d7f1b3e5a7ca70fe4ff75f0.us-east-1.aws.found.io/app/kibana#/discover/Steve-Slow-Train-Analysis-(2080s-and-2083s)?_g=(refreshInterval:(display:Off,pause:!f,section:0,value:0),time:(from:'2017-08-25T04:39:30-0600',mode:absolute,to:'2017-08-25T07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" s="197" t="str">
        <f>IF(AA22&lt;VLOOKUP(AG22,Variables!$AC$3:$AD$8,2,FALSE),"Y","N")</f>
        <v>N</v>
      </c>
      <c r="X22" s="197">
        <f t="shared" si="5"/>
        <v>1</v>
      </c>
      <c r="Y22" s="197">
        <f t="shared" si="6"/>
        <v>23.301100000000002</v>
      </c>
      <c r="Z22" s="197">
        <f t="shared" si="7"/>
        <v>1.5599999999999999E-2</v>
      </c>
      <c r="AA22" s="197">
        <f t="shared" si="8"/>
        <v>23.285500000000003</v>
      </c>
      <c r="AB22" s="54" t="e">
        <f>VLOOKUP(A22,Enforcements!$C$7:$K$11,8,0)</f>
        <v>#N/A</v>
      </c>
      <c r="AC22" s="51" t="e">
        <f>VLOOKUP(A22,Enforcements!$C$7:$E$11,3,0)</f>
        <v>#N/A</v>
      </c>
      <c r="AD22" s="206">
        <f t="shared" si="9"/>
        <v>110</v>
      </c>
      <c r="AE22" s="77" t="str">
        <f t="shared" si="10"/>
        <v>aws s3 cp s3://rtdc.mdm.uploadarchive.raw/RTDC4013/ "%USERPROFILE%\AppData\Local\Temp\OnboardLogs"\RTDC4013\2017-08-25 --exclude "*" --recursive --include "*20170825*" &amp; "%USERPROFILE%\Documents\GitHub\mrs-test-scripts\Headless Mode &amp; Sideloading\WalkAndUnGZ.bat" "%USERPROFILE%\AppData\Local\Temp\OnboardLogs"\RTDC4013\2017-08-25 &amp; aws s3 cp s3://rtdc.mdm.uploadarchive.raw/RTDC4013/ "%USERPROFILE%\AppData\Local\Temp\OnboardLogs"\RTDC4013\2017-08-26 --exclude "*" --recursive --include "*20170826*" &amp; "%USERPROFILE%\Documents\GitHub\mrs-test-scripts\Headless Mode &amp; Sideloading\WalkAndUnGZ.bat" "%USERPROFILE%\AppData\Local\Temp\OnboardLogs"\RTDC4013\2017-08-26</v>
      </c>
      <c r="AF22" s="74" t="str">
        <f t="shared" si="11"/>
        <v>"C:\Program Files (x86)\AstroGrep\AstroGrep.exe" /e /r /s /spath="%USERPROFILE%\AppData\Local\Temp\OnboardLogs" /stypes="app*4013*20170825*" /stext=" 12:.+((SYSTEM_STATE.+slice.+state.+changed )|(ment ac)|(multiple cpu faults)|(system.+state.+changed )|(\[timeout)|(PRM\|1\|D)|(kpr)|(kdp)|(train st.+moving)|(\|lc)|(penalty))"</v>
      </c>
      <c r="AG22" s="209" t="str">
        <f t="shared" si="12"/>
        <v>EC</v>
      </c>
      <c r="AH22" s="78" t="str">
        <f t="shared" si="22"/>
        <v>"%USERPROFILE%\Documents\GitHub\eaglep3\Utilities\RefineRTDCRunTimes.py" --tripid 110-25 --locoid 4013 --swversion DE.1.0.9.0 --startMP 204:233011 --initTime 2017-08-25T05:39:30 --startdatetime 2017-08-25T05:42:14 --delay 1 --endMP 204:156 --enddatetime 2017-08-25T06:21:06 --enforcementcount 1 &gt;&gt;C:\Users\stu\Documents\GitHub\eaglep3-reporting\EC\2017-08-25-refined-times.txt</v>
      </c>
      <c r="AI22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{"issue":{"subject":"","project_id":79,"tracker_id":40,"status_id":1,"priority_id":2,"assigned_to_id":23,"start_date":"2017-08-25","description":"","custom_fields":[{"id":1,"name":"Subdivision","value":"EC"},{"id":4,"name":"Milepost","value":"0.0156"},{"id":17,"name":"Train ID","value":"110-25"},{"id":16,"name":"Locomotive ID","value":"4013"},{"id":130,"name":"Impact","value":""},{"id":150,"name":"Time of Event (Mountain Time)","value":"06:21:06"},{"id":151,"name":"Denver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4"/>
        <v>start /low /b %USERPROFILE%\Documents\GitHub\eaglep3\Utilities\DownloadLogsFromS3.py --loco 4013 --day 2017-08-25</v>
      </c>
      <c r="AN22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626</v>
      </c>
      <c r="B23" s="7">
        <v>4028</v>
      </c>
      <c r="C23" s="21" t="s">
        <v>197</v>
      </c>
      <c r="D23" s="21" t="s">
        <v>371</v>
      </c>
      <c r="E23" s="13">
        <v>42972.206736111111</v>
      </c>
      <c r="F23" s="13">
        <v>42972.209317129629</v>
      </c>
      <c r="G23" s="7">
        <v>0</v>
      </c>
      <c r="H23" s="21" t="s">
        <v>390</v>
      </c>
      <c r="I23" s="13">
        <v>42972.235625000001</v>
      </c>
      <c r="J23" s="7">
        <v>1</v>
      </c>
      <c r="K23" s="89" t="str">
        <f t="shared" si="0"/>
        <v>4027/4028</v>
      </c>
      <c r="L23" s="217" t="str">
        <f>VLOOKUP(A23,'Trips&amp;Operators'!$C$1:$G$99911,5,FALSE)</f>
        <v>STARKS ANGELINA</v>
      </c>
      <c r="M23" s="6">
        <f t="shared" si="1"/>
        <v>2.6307870371965691E-2</v>
      </c>
      <c r="N23" s="7">
        <f t="shared" si="21"/>
        <v>37.883333335630596</v>
      </c>
      <c r="O23" s="7"/>
      <c r="P23" s="7"/>
      <c r="Q23" s="22"/>
      <c r="R23" s="170"/>
      <c r="S23" s="213">
        <f t="shared" si="2"/>
        <v>1</v>
      </c>
      <c r="T23" s="195" t="str">
        <f t="shared" si="3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4"/>
        <v>https://d0f6bd738d7f1b3e5a7ca70fe4ff75f0.us-east-1.aws.found.io/app/kibana#/discover/Steve-Slow-Train-Analysis-(2080s-and-2083s)?_g=(refreshInterval:(display:Off,pause:!f,section:0,value:0),time:(from:'2017-08-25T03:57:42-0600',mode:absolute,to:'2017-08-25T06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197" t="str">
        <f>IF(AA23&lt;VLOOKUP(AG23,Variables!$AC$3:$AD$8,2,FALSE),"Y","N")</f>
        <v>N</v>
      </c>
      <c r="X23" s="197">
        <f t="shared" si="5"/>
        <v>1</v>
      </c>
      <c r="Y23" s="197">
        <f t="shared" si="6"/>
        <v>4.5699999999999998E-2</v>
      </c>
      <c r="Z23" s="197">
        <f t="shared" si="7"/>
        <v>23.330200000000001</v>
      </c>
      <c r="AA23" s="197">
        <f t="shared" si="8"/>
        <v>23.284500000000001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206">
        <f t="shared" si="9"/>
        <v>111</v>
      </c>
      <c r="AE23" s="77" t="str">
        <f t="shared" si="10"/>
        <v>aws s3 cp s3://rtdc.mdm.uploadarchive.raw/RTDC4028/ "%USERPROFILE%\AppData\Local\Temp\OnboardLogs"\RTDC4028\2017-08-25 --exclude "*" --recursive --include "*20170825*" &amp; "%USERPROFILE%\Documents\GitHub\mrs-test-scripts\Headless Mode &amp; Sideloading\WalkAndUnGZ.bat" "%USERPROFILE%\AppData\Local\Temp\OnboardLogs"\RTDC4028\2017-08-25 &amp; aws s3 cp s3://rtdc.mdm.uploadarchive.raw/RTDC4028/ "%USERPROFILE%\AppData\Local\Temp\OnboardLogs"\RTDC4028\2017-08-26 --exclude "*" --recursive --include "*20170826*" &amp; "%USERPROFILE%\Documents\GitHub\mrs-test-scripts\Headless Mode &amp; Sideloading\WalkAndUnGZ.bat" "%USERPROFILE%\AppData\Local\Temp\OnboardLogs"\RTDC4028\2017-08-26</v>
      </c>
      <c r="AF23" s="74" t="str">
        <f t="shared" si="11"/>
        <v>"C:\Program Files (x86)\AstroGrep\AstroGrep.exe" /e /r /s /spath="%USERPROFILE%\AppData\Local\Temp\OnboardLogs" /stypes="app*4028*20170825*" /stext=" 11:.+((SYSTEM_STATE.+slice.+state.+changed )|(ment ac)|(multiple cpu faults)|(system.+state.+changed )|(\[timeout)|(PRM\|1\|D)|(kpr)|(kdp)|(train st.+moving)|(\|lc)|(penalty))"</v>
      </c>
      <c r="AG23" s="209" t="str">
        <f t="shared" si="12"/>
        <v>EC</v>
      </c>
      <c r="AH23" s="78" t="str">
        <f t="shared" si="22"/>
        <v>"%USERPROFILE%\Documents\GitHub\eaglep3\Utilities\RefineRTDCRunTimes.py" --tripid 111-25 --locoid 4028 --swversion DE.1.0.9.0 --startMP 204:457 --initTime 2017-08-25T04:57:42 --startdatetime 2017-08-25T05:01:25 --delay 0 --endMP 204:233302 --enddatetime 2017-08-25T05:39:18 --enforcementcount 1 &gt;&gt;C:\Users\stu\Documents\GitHub\eaglep3-reporting\EC\2017-08-25-refined-times.txt</v>
      </c>
      <c r="AI23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{"issue":{"subject":"","project_id":79,"tracker_id":40,"status_id":1,"priority_id":2,"assigned_to_id":23,"start_date":"2017-08-25","description":"","custom_fields":[{"id":1,"name":"Subdivision","value":"EC"},{"id":4,"name":"Milepost","value":"23.3302"},{"id":17,"name":"Train ID","value":"111-25"},{"id":16,"name":"Locomotive ID","value":"4028"},{"id":130,"name":"Impact","value":""},{"id":150,"name":"Time of Event (Mountain Time)","value":"05:39:18"},{"id":151,"name":"Denver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4"/>
        <v>start /low /b %USERPROFILE%\Documents\GitHub\eaglep3\Utilities\DownloadLogsFromS3.py --loco 4028 --day 2017-08-25</v>
      </c>
      <c r="AN23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11:39:18"},{"id":29,"name":"Sharepoint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988</v>
      </c>
      <c r="B24" s="7">
        <v>4027</v>
      </c>
      <c r="C24" s="21" t="s">
        <v>197</v>
      </c>
      <c r="D24" s="21" t="s">
        <v>371</v>
      </c>
      <c r="E24" s="13">
        <v>42972.206736111111</v>
      </c>
      <c r="F24" s="13">
        <v>42972.211805555555</v>
      </c>
      <c r="G24" s="7">
        <v>0</v>
      </c>
      <c r="H24" s="21" t="s">
        <v>390</v>
      </c>
      <c r="I24" s="13">
        <v>42972.212500000001</v>
      </c>
      <c r="J24" s="7">
        <v>1</v>
      </c>
      <c r="K24" s="89" t="str">
        <f t="shared" si="0"/>
        <v>4027/4028</v>
      </c>
      <c r="L24" s="217" t="s">
        <v>986</v>
      </c>
      <c r="M24" s="6">
        <f t="shared" si="1"/>
        <v>6.944444467080757E-4</v>
      </c>
      <c r="N24" s="7"/>
      <c r="O24" s="7"/>
      <c r="P24" s="7">
        <f>24*60*SUM($M24:$M24)</f>
        <v>1.000000003259629</v>
      </c>
      <c r="Q24" s="22"/>
      <c r="R24" s="170" t="s">
        <v>987</v>
      </c>
      <c r="S24" s="213">
        <f t="shared" si="2"/>
        <v>0</v>
      </c>
      <c r="T24" s="195" t="str">
        <f t="shared" si="3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96" t="str">
        <f t="shared" si="4"/>
        <v>https://d0f6bd738d7f1b3e5a7ca70fe4ff75f0.us-east-1.aws.found.io/app/kibana#/discover/Steve-Slow-Train-Analysis-(2080s-and-2083s)?_g=(refreshInterval:(display:Off,pause:!f,section:0,value:0),time:(from:'2017-08-25T03:57:42-0600',mode:absolute,to:'2017-08-25T06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197" t="str">
        <f>IF(AA24&lt;VLOOKUP(AG24,Variables!$AC$3:$AD$8,2,FALSE),"Y","N")</f>
        <v>N</v>
      </c>
      <c r="X24" s="197">
        <f t="shared" ref="X24:X26" si="26">VALUE(LEFT(AD24,4))-VALUE(LEFT(AD23,4))</f>
        <v>1</v>
      </c>
      <c r="Y24" s="197">
        <f t="shared" si="6"/>
        <v>4.5699999999999998E-2</v>
      </c>
      <c r="Z24" s="197">
        <f t="shared" si="7"/>
        <v>23.330200000000001</v>
      </c>
      <c r="AA24" s="197">
        <f t="shared" si="8"/>
        <v>23.284500000000001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206">
        <f t="shared" si="9"/>
        <v>112</v>
      </c>
      <c r="AE24" s="77" t="str">
        <f t="shared" si="10"/>
        <v>aws s3 cp s3://rtdc.mdm.uploadarchive.raw/RTDC4027/ "%USERPROFILE%\AppData\Local\Temp\OnboardLogs"\RTDC4027\2017-08-25 --exclude "*" --recursive --include "*20170825*" &amp; "%USERPROFILE%\Documents\GitHub\mrs-test-scripts\Headless Mode &amp; Sideloading\WalkAndUnGZ.bat" "%USERPROFILE%\AppData\Local\Temp\OnboardLogs"\RTDC4027\2017-08-25 &amp; aws s3 cp s3://rtdc.mdm.uploadarchive.raw/RTDC4027/ "%USERPROFILE%\AppData\Local\Temp\OnboardLogs"\RTDC4027\2017-08-26 --exclude "*" --recursive --include "*20170826*" &amp; "%USERPROFILE%\Documents\GitHub\mrs-test-scripts\Headless Mode &amp; Sideloading\WalkAndUnGZ.bat" "%USERPROFILE%\AppData\Local\Temp\OnboardLogs"\RTDC4027\2017-08-26</v>
      </c>
      <c r="AF24" s="74" t="str">
        <f t="shared" si="11"/>
        <v>"C:\Program Files (x86)\AstroGrep\AstroGrep.exe" /e /r /s /spath="%USERPROFILE%\AppData\Local\Temp\OnboardLogs" /stypes="app*4027*20170825*" /stext=" 11:.+((SYSTEM_STATE.+slice.+state.+changed )|(ment ac)|(multiple cpu faults)|(system.+state.+changed )|(\[timeout)|(PRM\|1\|D)|(kpr)|(kdp)|(train st.+moving)|(\|lc)|(penalty))"</v>
      </c>
      <c r="AG24" s="209" t="str">
        <f t="shared" si="12"/>
        <v>EC</v>
      </c>
      <c r="AH24" s="78" t="str">
        <f t="shared" ref="AH24" si="27"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"&amp;J24&amp;IF(outputrefinedruntimes," &gt;&gt;"&amp;RefinedRTDCRunTimesOutputFile,"")</f>
        <v>"%USERPROFILE%\Documents\GitHub\eaglep3\Utilities\RefineRTDCRunTimes.py" --tripid 112-25 --locoid 4027 --swversion DE.1.0.9.0 --startMP 204:457 --initTime 2017-08-25T04:57:42 --startdatetime 2017-08-25T05:05:00 --delay 0 --endMP 204:233302 --enddatetime 2017-08-25T05:06:00 --enforcementcount 1 &gt;&gt;C:\Users\stu\Documents\GitHub\eaglep3-reporting\EC\2017-08-25-refined-times.txt</v>
      </c>
      <c r="AI24" s="96" t="str">
        <f t="shared" ref="AI24" si="28">"echo {""issue"":{""subject"":"""&amp;R24&amp;""",""project_id"":79,""tracker_id"":40,""status_id"":"&amp;redmine_status&amp;",""priority_id"":"&amp;redmine_priority&amp;",""assigned_to_id"":"&amp;redmine_assignee&amp;",""start_date"":"""&amp;TEXT(I24,"YYYY-mm-dd")&amp;""",""description"":"""&amp;AJ24&amp;""",""custom_fields"":[{""id"":1,""name"":""Subdivision"",""value"":"""&amp;AG24&amp;"""},{""id"":4,""name"":""Milepost"",""value"":"""&amp;Z24&amp;"""},{""id"":17,""name"":""Train ID"",""value"":"""&amp;A24&amp;"""},{""id"":16,""name"":""Locomotive ID"",""value"":"""&amp;B24&amp;"""},{""id"":130,""name"":""Impact"",""value"":"""&amp;AK24&amp;"""},{""id"":150,""name"":""Time of Event (Mountain Time)"",""value"":"""&amp;TEXT(I24,"hh:mm:ss")&amp;"""},{""id"":151,""name"":""Denver Issue ID"",""value"":"""&amp;"""},{""id"":178,""name"":""Operational Impact"",""value"":"""&amp;redmine_op_impact&amp;"""},{""id"":179,""name"":""Denver Segment Assigned"",""value"":"""&amp;AL24&amp;"""}]}}"&amp;"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outage","project_id":79,"tracker_id":40,"status_id":1,"priority_id":2,"assigned_to_id":23,"start_date":"2017-08-25","description":"","custom_fields":[{"id":1,"name":"Subdivision","value":"EC"},{"id":4,"name":"Milepost","value":"23.3302"},{"id":17,"name":"Train ID","value":"112-25"},{"id":16,"name":"Locomotive ID","value":"4027"},{"id":130,"name":"Impact","value":""},{"id":150,"name":"Time of Event (Mountain Time)","value":"05:06:00"},{"id":151,"name":"Denver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ref="AM24" si="29">"start /low /b "&amp;dls3logs&amp;" --loco "&amp;B24&amp;" --day "&amp;TEXT(F24,"YYYY-MM-DD")</f>
        <v>start /low /b %USERPROFILE%\Documents\GitHub\eaglep3\Utilities\DownloadLogsFromS3.py --loco 4027 --day 2017-08-25</v>
      </c>
      <c r="AN24" s="151" t="str">
        <f t="shared" ref="AN24" si="30">"echo {""issue"":{""subject"":"""&amp;R24&amp;""",""project_id"":30,""tracker_id"":4,""status_id"":"&amp;redmine_status_wcr&amp;",""priority_id"":"&amp;redmine_priority_wcr&amp;",""assigned_to_id"":"&amp;redmine_assignee_wcr&amp;",""start_date"":"""&amp;TEXT(I24-utc_offset/24,"YYYY-mm-dd")&amp;""",""description"":"""&amp;AJ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11:06:00"},{"id":29,"name":"Sharepoint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</row>
    <row r="25" spans="1:91" s="1" customFormat="1" x14ac:dyDescent="0.25">
      <c r="A25" s="32" t="s">
        <v>627</v>
      </c>
      <c r="B25" s="7">
        <v>4042</v>
      </c>
      <c r="C25" s="21" t="s">
        <v>197</v>
      </c>
      <c r="D25" s="21" t="s">
        <v>822</v>
      </c>
      <c r="E25" s="13">
        <v>42972.212106481478</v>
      </c>
      <c r="F25" s="13">
        <v>42972.219282407408</v>
      </c>
      <c r="G25" s="7">
        <v>1</v>
      </c>
      <c r="H25" s="21" t="s">
        <v>823</v>
      </c>
      <c r="I25" s="13">
        <v>42972.244942129626</v>
      </c>
      <c r="J25" s="7">
        <v>1</v>
      </c>
      <c r="K25" s="89" t="str">
        <f t="shared" si="0"/>
        <v>4041/4042</v>
      </c>
      <c r="L25" s="217" t="str">
        <f>VLOOKUP(A25,'Trips&amp;Operators'!$C$1:$G$99911,5,FALSE)</f>
        <v>DAVIDSON DAVID</v>
      </c>
      <c r="M25" s="6">
        <f t="shared" si="1"/>
        <v>2.565972221782431E-2</v>
      </c>
      <c r="N25" s="7">
        <f t="shared" ref="N25:N48" si="31">24*60*SUM($M25:$M25)</f>
        <v>36.949999993667006</v>
      </c>
      <c r="O25" s="7"/>
      <c r="P25" s="7"/>
      <c r="Q25" s="22"/>
      <c r="R25" s="170"/>
      <c r="S25" s="213">
        <f t="shared" si="2"/>
        <v>1</v>
      </c>
      <c r="T25" s="195" t="str">
        <f t="shared" si="3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4"/>
        <v>https://d0f6bd738d7f1b3e5a7ca70fe4ff75f0.us-east-1.aws.found.io/app/kibana#/discover/Steve-Slow-Train-Analysis-(2080s-and-2083s)?_g=(refreshInterval:(display:Off,pause:!f,section:0,value:0),time:(from:'2017-08-25T04:05:26-0600',mode:absolute,to:'2017-08-25T06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" s="197" t="str">
        <f>IF(AA25&lt;VLOOKUP(AG25,Variables!$AC$3:$AD$8,2,FALSE),"Y","N")</f>
        <v>N</v>
      </c>
      <c r="X25" s="197">
        <f t="shared" si="26"/>
        <v>1</v>
      </c>
      <c r="Y25" s="197">
        <f t="shared" si="6"/>
        <v>4.7500000000000001E-2</v>
      </c>
      <c r="Z25" s="197">
        <f t="shared" si="7"/>
        <v>23.3291</v>
      </c>
      <c r="AA25" s="197">
        <f t="shared" si="8"/>
        <v>23.281600000000001</v>
      </c>
      <c r="AB25" s="54" t="e">
        <f>VLOOKUP(A25,Enforcements!$C$7:$K$11,8,0)</f>
        <v>#N/A</v>
      </c>
      <c r="AC25" s="51" t="e">
        <f>VLOOKUP(A25,Enforcements!$C$7:$E$11,3,0)</f>
        <v>#N/A</v>
      </c>
      <c r="AD25" s="206">
        <f t="shared" si="9"/>
        <v>113</v>
      </c>
      <c r="AE25" s="77" t="str">
        <f t="shared" si="10"/>
        <v>aws s3 cp s3://rtdc.mdm.uploadarchive.raw/RTDC4042/ "%USERPROFILE%\AppData\Local\Temp\OnboardLogs"\RTDC4042\2017-08-25 --exclude "*" --recursive --include "*20170825*" &amp; "%USERPROFILE%\Documents\GitHub\mrs-test-scripts\Headless Mode &amp; Sideloading\WalkAndUnGZ.bat" "%USERPROFILE%\AppData\Local\Temp\OnboardLogs"\RTDC4042\2017-08-25 &amp; aws s3 cp s3://rtdc.mdm.uploadarchive.raw/RTDC4042/ "%USERPROFILE%\AppData\Local\Temp\OnboardLogs"\RTDC4042\2017-08-26 --exclude "*" --recursive --include "*20170826*" &amp; "%USERPROFILE%\Documents\GitHub\mrs-test-scripts\Headless Mode &amp; Sideloading\WalkAndUnGZ.bat" "%USERPROFILE%\AppData\Local\Temp\OnboardLogs"\RTDC4042\2017-08-26</v>
      </c>
      <c r="AF25" s="74" t="str">
        <f t="shared" si="11"/>
        <v>"C:\Program Files (x86)\AstroGrep\AstroGrep.exe" /e /r /s /spath="%USERPROFILE%\AppData\Local\Temp\OnboardLogs" /stypes="app*4042*20170825*" /stext=" 11:.+((SYSTEM_STATE.+slice.+state.+changed )|(ment ac)|(multiple cpu faults)|(system.+state.+changed )|(\[timeout)|(PRM\|1\|D)|(kpr)|(kdp)|(train st.+moving)|(\|lc)|(penalty))"</v>
      </c>
      <c r="AG25" s="209" t="str">
        <f t="shared" si="12"/>
        <v>EC</v>
      </c>
      <c r="AH25" s="78" t="str">
        <f t="shared" si="22"/>
        <v>"%USERPROFILE%\Documents\GitHub\eaglep3\Utilities\RefineRTDCRunTimes.py" --tripid 113-25 --locoid 4042 --swversion DE.1.0.9.0 --startMP 204:475 --initTime 2017-08-25T05:05:26 --startdatetime 2017-08-25T05:15:46 --delay 1 --endMP 204:233291 --enddatetime 2017-08-25T05:52:43 --enforcementcount 1 &gt;&gt;C:\Users\stu\Documents\GitHub\eaglep3-reporting\EC\2017-08-25-refined-times.txt</v>
      </c>
      <c r="AI25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{"issue":{"subject":"","project_id":79,"tracker_id":40,"status_id":1,"priority_id":2,"assigned_to_id":23,"start_date":"2017-08-25","description":"","custom_fields":[{"id":1,"name":"Subdivision","value":"EC"},{"id":4,"name":"Milepost","value":"23.3291"},{"id":17,"name":"Train ID","value":"113-25"},{"id":16,"name":"Locomotive ID","value":"4042"},{"id":130,"name":"Impact","value":""},{"id":150,"name":"Time of Event (Mountain Time)","value":"05:52:43"},{"id":151,"name":"Denver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4"/>
        <v>start /low /b %USERPROFILE%\Documents\GitHub\eaglep3\Utilities\DownloadLogsFromS3.py --loco 4042 --day 2017-08-25</v>
      </c>
      <c r="AN25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11:52:43"},{"id":29,"name":"Sharepoint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637</v>
      </c>
      <c r="B26" s="7">
        <v>4041</v>
      </c>
      <c r="C26" s="21" t="s">
        <v>197</v>
      </c>
      <c r="D26" s="21" t="s">
        <v>824</v>
      </c>
      <c r="E26" s="13">
        <v>42972.246678240743</v>
      </c>
      <c r="F26" s="13">
        <v>42972.258553240739</v>
      </c>
      <c r="G26" s="7">
        <v>1</v>
      </c>
      <c r="H26" s="21" t="s">
        <v>346</v>
      </c>
      <c r="I26" s="13">
        <v>42972.286446759259</v>
      </c>
      <c r="J26" s="7">
        <v>1</v>
      </c>
      <c r="K26" s="89" t="str">
        <f t="shared" si="0"/>
        <v>4041/4042</v>
      </c>
      <c r="L26" s="217" t="str">
        <f>VLOOKUP(A26,'Trips&amp;Operators'!$C$1:$G$99911,5,FALSE)</f>
        <v>DAVIDSON DAVID</v>
      </c>
      <c r="M26" s="6">
        <f t="shared" si="1"/>
        <v>2.789351851970423E-2</v>
      </c>
      <c r="N26" s="7">
        <f t="shared" si="31"/>
        <v>40.166666668374091</v>
      </c>
      <c r="O26" s="7"/>
      <c r="P26" s="7"/>
      <c r="Q26" s="22"/>
      <c r="R26" s="170"/>
      <c r="S26" s="213">
        <f t="shared" si="2"/>
        <v>1</v>
      </c>
      <c r="T26" s="195" t="str">
        <f t="shared" si="3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4"/>
        <v>https://d0f6bd738d7f1b3e5a7ca70fe4ff75f0.us-east-1.aws.found.io/app/kibana#/discover/Steve-Slow-Train-Analysis-(2080s-and-2083s)?_g=(refreshInterval:(display:Off,pause:!f,section:0,value:0),time:(from:'2017-08-25T04:55:13-0600',mode:absolute,to:'2017-08-25T07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6" s="197" t="str">
        <f>IF(AA26&lt;VLOOKUP(AG26,Variables!$AC$3:$AD$8,2,FALSE),"Y","N")</f>
        <v>N</v>
      </c>
      <c r="X26" s="197">
        <f t="shared" si="26"/>
        <v>1</v>
      </c>
      <c r="Y26" s="197">
        <f t="shared" si="6"/>
        <v>23.2971</v>
      </c>
      <c r="Z26" s="197">
        <f t="shared" si="7"/>
        <v>1.47E-2</v>
      </c>
      <c r="AA26" s="197">
        <f t="shared" si="8"/>
        <v>23.282399999999999</v>
      </c>
      <c r="AB26" s="54" t="e">
        <f>VLOOKUP(A26,Enforcements!$C$7:$K$11,8,0)</f>
        <v>#N/A</v>
      </c>
      <c r="AC26" s="51" t="e">
        <f>VLOOKUP(A26,Enforcements!$C$7:$E$11,3,0)</f>
        <v>#N/A</v>
      </c>
      <c r="AD26" s="206">
        <f t="shared" si="9"/>
        <v>114</v>
      </c>
      <c r="AE26" s="77" t="str">
        <f t="shared" si="10"/>
        <v>aws s3 cp s3://rtdc.mdm.uploadarchive.raw/RTDC4041/ "%USERPROFILE%\AppData\Local\Temp\OnboardLogs"\RTDC4041\2017-08-25 --exclude "*" --recursive --include "*20170825*" &amp; "%USERPROFILE%\Documents\GitHub\mrs-test-scripts\Headless Mode &amp; Sideloading\WalkAndUnGZ.bat" "%USERPROFILE%\AppData\Local\Temp\OnboardLogs"\RTDC4041\2017-08-25 &amp; aws s3 cp s3://rtdc.mdm.uploadarchive.raw/RTDC4041/ "%USERPROFILE%\AppData\Local\Temp\OnboardLogs"\RTDC4041\2017-08-26 --exclude "*" --recursive --include "*20170826*" &amp; "%USERPROFILE%\Documents\GitHub\mrs-test-scripts\Headless Mode &amp; Sideloading\WalkAndUnGZ.bat" "%USERPROFILE%\AppData\Local\Temp\OnboardLogs"\RTDC4041\2017-08-26</v>
      </c>
      <c r="AF26" s="74" t="str">
        <f t="shared" si="11"/>
        <v>"C:\Program Files (x86)\AstroGrep\AstroGrep.exe" /e /r /s /spath="%USERPROFILE%\AppData\Local\Temp\OnboardLogs" /stypes="app*4041*20170825*" /stext=" 12:.+((SYSTEM_STATE.+slice.+state.+changed )|(ment ac)|(multiple cpu faults)|(system.+state.+changed )|(\[timeout)|(PRM\|1\|D)|(kpr)|(kdp)|(train st.+moving)|(\|lc)|(penalty))"</v>
      </c>
      <c r="AG26" s="209" t="str">
        <f t="shared" si="12"/>
        <v>EC</v>
      </c>
      <c r="AH26" s="78" t="str">
        <f t="shared" si="22"/>
        <v>"%USERPROFILE%\Documents\GitHub\eaglep3\Utilities\RefineRTDCRunTimes.py" --tripid 114-25 --locoid 4041 --swversion DE.1.0.9.0 --startMP 204:232971 --initTime 2017-08-25T05:55:13 --startdatetime 2017-08-25T06:12:19 --delay 1 --endMP 204:147 --enddatetime 2017-08-25T06:52:29 --enforcementcount 1 &gt;&gt;C:\Users\stu\Documents\GitHub\eaglep3-reporting\EC\2017-08-25-refined-times.txt</v>
      </c>
      <c r="AI26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{"issue":{"subject":"","project_id":79,"tracker_id":40,"status_id":1,"priority_id":2,"assigned_to_id":23,"start_date":"2017-08-25","description":"","custom_fields":[{"id":1,"name":"Subdivision","value":"EC"},{"id":4,"name":"Milepost","value":"0.0147"},{"id":17,"name":"Train ID","value":"114-25"},{"id":16,"name":"Locomotive ID","value":"4041"},{"id":130,"name":"Impact","value":""},{"id":150,"name":"Time of Event (Mountain Time)","value":"06:52:29"},{"id":151,"name":"Denver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4"/>
        <v>start /low /b %USERPROFILE%\Documents\GitHub\eaglep3\Utilities\DownloadLogsFromS3.py --loco 4041 --day 2017-08-25</v>
      </c>
      <c r="AN26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631</v>
      </c>
      <c r="B27" s="7">
        <v>4030</v>
      </c>
      <c r="C27" s="21" t="s">
        <v>197</v>
      </c>
      <c r="D27" s="21" t="s">
        <v>429</v>
      </c>
      <c r="E27" s="13">
        <v>42972.226030092592</v>
      </c>
      <c r="F27" s="13">
        <v>42972.229699074072</v>
      </c>
      <c r="G27" s="7">
        <v>1</v>
      </c>
      <c r="H27" s="21" t="s">
        <v>536</v>
      </c>
      <c r="I27" s="13">
        <v>42972.255428240744</v>
      </c>
      <c r="J27" s="7">
        <v>1</v>
      </c>
      <c r="K27" s="89" t="str">
        <f t="shared" si="0"/>
        <v>4029/4030</v>
      </c>
      <c r="L27" s="217" t="str">
        <f>VLOOKUP(A27,'Trips&amp;Operators'!$C$1:$G$99911,5,FALSE)</f>
        <v>WILLIAMS DONTE</v>
      </c>
      <c r="M27" s="6">
        <f t="shared" si="1"/>
        <v>2.5729166671226267E-2</v>
      </c>
      <c r="N27" s="7">
        <f t="shared" si="31"/>
        <v>37.050000006565824</v>
      </c>
      <c r="O27" s="7"/>
      <c r="P27" s="7"/>
      <c r="Q27" s="22"/>
      <c r="R27" s="170"/>
      <c r="S27" s="213">
        <f t="shared" si="2"/>
        <v>1</v>
      </c>
      <c r="T27" s="195" t="str">
        <f t="shared" si="3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4"/>
        <v>https://d0f6bd738d7f1b3e5a7ca70fe4ff75f0.us-east-1.aws.found.io/app/kibana#/discover/Steve-Slow-Train-Analysis-(2080s-and-2083s)?_g=(refreshInterval:(display:Off,pause:!f,section:0,value:0),time:(from:'2017-08-25T04:25:29-0600',mode:absolute,to:'2017-08-25T07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7" s="197" t="str">
        <f>IF(AA27&lt;VLOOKUP(AG27,Variables!$AC$3:$AD$8,2,FALSE),"Y","N")</f>
        <v>N</v>
      </c>
      <c r="X27" s="197">
        <f t="shared" ref="X27:X90" si="32">VALUE(LEFT(AD27,4))-VALUE(LEFT(AD26,4))</f>
        <v>1</v>
      </c>
      <c r="Y27" s="197">
        <f t="shared" si="6"/>
        <v>4.7300000000000002E-2</v>
      </c>
      <c r="Z27" s="197">
        <f t="shared" si="7"/>
        <v>23.333100000000002</v>
      </c>
      <c r="AA27" s="197">
        <f t="shared" si="8"/>
        <v>23.285800000000002</v>
      </c>
      <c r="AB27" s="54" t="e">
        <f>VLOOKUP(A27,Enforcements!$C$7:$K$11,8,0)</f>
        <v>#N/A</v>
      </c>
      <c r="AC27" s="51" t="e">
        <f>VLOOKUP(A27,Enforcements!$C$7:$E$11,3,0)</f>
        <v>#N/A</v>
      </c>
      <c r="AD27" s="206">
        <f t="shared" si="9"/>
        <v>115</v>
      </c>
      <c r="AE27" s="77" t="str">
        <f t="shared" si="10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27" s="74" t="str">
        <f t="shared" si="11"/>
        <v>"C:\Program Files (x86)\AstroGrep\AstroGrep.exe" /e /r /s /spath="%USERPROFILE%\AppData\Local\Temp\OnboardLogs" /stypes="app*4030*20170825*" /stext=" 12:.+((SYSTEM_STATE.+slice.+state.+changed )|(ment ac)|(multiple cpu faults)|(system.+state.+changed )|(\[timeout)|(PRM\|1\|D)|(kpr)|(kdp)|(train st.+moving)|(\|lc)|(penalty))"</v>
      </c>
      <c r="AG27" s="209" t="str">
        <f t="shared" si="12"/>
        <v>EC</v>
      </c>
      <c r="AH27" s="78" t="str">
        <f t="shared" si="22"/>
        <v>"%USERPROFILE%\Documents\GitHub\eaglep3\Utilities\RefineRTDCRunTimes.py" --tripid 115-25 --locoid 4030 --swversion DE.1.0.9.0 --startMP 204:473 --initTime 2017-08-25T05:25:29 --startdatetime 2017-08-25T05:30:46 --delay 1 --endMP 204:233331 --enddatetime 2017-08-25T06:07:49 --enforcementcount 1 &gt;&gt;C:\Users\stu\Documents\GitHub\eaglep3-reporting\EC\2017-08-25-refined-times.txt</v>
      </c>
      <c r="AI27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{"issue":{"subject":"","project_id":79,"tracker_id":40,"status_id":1,"priority_id":2,"assigned_to_id":23,"start_date":"2017-08-25","description":"","custom_fields":[{"id":1,"name":"Subdivision","value":"EC"},{"id":4,"name":"Milepost","value":"23.3331"},{"id":17,"name":"Train ID","value":"115-25"},{"id":16,"name":"Locomotive ID","value":"4030"},{"id":130,"name":"Impact","value":""},{"id":150,"name":"Time of Event (Mountain Time)","value":"06:07:49"},{"id":151,"name":"Denver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4"/>
        <v>start /low /b %USERPROFILE%\Documents\GitHub\eaglep3\Utilities\DownloadLogsFromS3.py --loco 4030 --day 2017-08-25</v>
      </c>
      <c r="AN27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645</v>
      </c>
      <c r="B28" s="7">
        <v>4029</v>
      </c>
      <c r="C28" s="21" t="s">
        <v>197</v>
      </c>
      <c r="D28" s="21" t="s">
        <v>392</v>
      </c>
      <c r="E28" s="13">
        <v>42972.26734953704</v>
      </c>
      <c r="F28" s="13">
        <v>42972.269189814811</v>
      </c>
      <c r="G28" s="7">
        <v>1</v>
      </c>
      <c r="H28" s="21" t="s">
        <v>367</v>
      </c>
      <c r="I28" s="13">
        <v>42972.295972222222</v>
      </c>
      <c r="J28" s="7">
        <v>1</v>
      </c>
      <c r="K28" s="89" t="str">
        <f t="shared" si="0"/>
        <v>4029/4030</v>
      </c>
      <c r="L28" s="217" t="str">
        <f>VLOOKUP(A28,'Trips&amp;Operators'!$C$1:$G$99911,5,FALSE)</f>
        <v>WILLIAMS DONTE</v>
      </c>
      <c r="M28" s="6">
        <f t="shared" si="1"/>
        <v>2.6782407410792075E-2</v>
      </c>
      <c r="N28" s="7">
        <f t="shared" si="31"/>
        <v>38.566666671540588</v>
      </c>
      <c r="O28" s="7"/>
      <c r="P28" s="7"/>
      <c r="Q28" s="22"/>
      <c r="R28" s="170"/>
      <c r="S28" s="213">
        <f t="shared" si="2"/>
        <v>1</v>
      </c>
      <c r="T28" s="195" t="str">
        <f t="shared" si="3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4"/>
        <v>https://d0f6bd738d7f1b3e5a7ca70fe4ff75f0.us-east-1.aws.found.io/app/kibana#/discover/Steve-Slow-Train-Analysis-(2080s-and-2083s)?_g=(refreshInterval:(display:Off,pause:!f,section:0,value:0),time:(from:'2017-08-25T05:24:59-0600',mode:absolute,to:'2017-08-25T08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8" s="197" t="str">
        <f>IF(AA28&lt;VLOOKUP(AG28,Variables!$AC$3:$AD$8,2,FALSE),"Y","N")</f>
        <v>N</v>
      </c>
      <c r="X28" s="197">
        <f t="shared" si="32"/>
        <v>1</v>
      </c>
      <c r="Y28" s="197">
        <f t="shared" si="6"/>
        <v>23.299800000000001</v>
      </c>
      <c r="Z28" s="197">
        <f t="shared" si="7"/>
        <v>1.5800000000000002E-2</v>
      </c>
      <c r="AA28" s="197">
        <f t="shared" si="8"/>
        <v>23.284000000000002</v>
      </c>
      <c r="AB28" s="54" t="e">
        <f>VLOOKUP(A28,Enforcements!$C$7:$K$11,8,0)</f>
        <v>#N/A</v>
      </c>
      <c r="AC28" s="51" t="e">
        <f>VLOOKUP(A28,Enforcements!$C$7:$E$11,3,0)</f>
        <v>#N/A</v>
      </c>
      <c r="AD28" s="206">
        <f t="shared" si="9"/>
        <v>116</v>
      </c>
      <c r="AE28" s="77" t="str">
        <f t="shared" si="10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28" s="74" t="str">
        <f t="shared" si="11"/>
        <v>"C:\Program Files (x86)\AstroGrep\AstroGrep.exe" /e /r /s /spath="%USERPROFILE%\AppData\Local\Temp\OnboardLogs" /stypes="app*4029*20170825*" /stext=" 13:.+((SYSTEM_STATE.+slice.+state.+changed )|(ment ac)|(multiple cpu faults)|(system.+state.+changed )|(\[timeout)|(PRM\|1\|D)|(kpr)|(kdp)|(train st.+moving)|(\|lc)|(penalty))"</v>
      </c>
      <c r="AG28" s="209" t="str">
        <f t="shared" si="12"/>
        <v>EC</v>
      </c>
      <c r="AH28" s="78" t="str">
        <f t="shared" si="22"/>
        <v>"%USERPROFILE%\Documents\GitHub\eaglep3\Utilities\RefineRTDCRunTimes.py" --tripid 116-25 --locoid 4029 --swversion DE.1.0.9.0 --startMP 204:232998 --initTime 2017-08-25T06:24:59 --startdatetime 2017-08-25T06:27:38 --delay 1 --endMP 204:158 --enddatetime 2017-08-25T07:06:12 --enforcementcount 1 &gt;&gt;C:\Users\stu\Documents\GitHub\eaglep3-reporting\EC\2017-08-25-refined-times.txt</v>
      </c>
      <c r="AI28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{"issue":{"subject":"","project_id":79,"tracker_id":40,"status_id":1,"priority_id":2,"assigned_to_id":23,"start_date":"2017-08-25","description":"","custom_fields":[{"id":1,"name":"Subdivision","value":"EC"},{"id":4,"name":"Milepost","value":"0.0158"},{"id":17,"name":"Train ID","value":"116-25"},{"id":16,"name":"Locomotive ID","value":"4029"},{"id":130,"name":"Impact","value":""},{"id":150,"name":"Time of Event (Mountain Time)","value":"07:06:12"},{"id":151,"name":"Denver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4"/>
        <v>start /low /b %USERPROFILE%\Documents\GitHub\eaglep3\Utilities\DownloadLogsFromS3.py --loco 4029 --day 2017-08-25</v>
      </c>
      <c r="AN28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636</v>
      </c>
      <c r="B29" s="7">
        <v>4058</v>
      </c>
      <c r="C29" s="21" t="s">
        <v>197</v>
      </c>
      <c r="D29" s="21" t="s">
        <v>825</v>
      </c>
      <c r="E29" s="13">
        <v>42972.237037037034</v>
      </c>
      <c r="F29" s="13">
        <v>42972.24013888889</v>
      </c>
      <c r="G29" s="7">
        <v>1</v>
      </c>
      <c r="H29" s="21" t="s">
        <v>450</v>
      </c>
      <c r="I29" s="13">
        <v>42972.264201388891</v>
      </c>
      <c r="J29" s="7">
        <v>1</v>
      </c>
      <c r="K29" s="89" t="str">
        <f t="shared" si="0"/>
        <v>4057/4058</v>
      </c>
      <c r="L29" s="217" t="str">
        <f>VLOOKUP(A29,'Trips&amp;Operators'!$C$1:$G$99911,5,FALSE)</f>
        <v>LOZA FIDEL</v>
      </c>
      <c r="M29" s="6">
        <f t="shared" si="1"/>
        <v>2.4062500000582077E-2</v>
      </c>
      <c r="N29" s="7">
        <f t="shared" si="31"/>
        <v>34.65000000083819</v>
      </c>
      <c r="O29" s="7"/>
      <c r="P29" s="7"/>
      <c r="Q29" s="22"/>
      <c r="R29" s="170" t="s">
        <v>989</v>
      </c>
      <c r="S29" s="213">
        <f t="shared" si="2"/>
        <v>1</v>
      </c>
      <c r="T29" s="195" t="str">
        <f t="shared" si="3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4"/>
        <v>https://d0f6bd738d7f1b3e5a7ca70fe4ff75f0.us-east-1.aws.found.io/app/kibana#/discover/Steve-Slow-Train-Analysis-(2080s-and-2083s)?_g=(refreshInterval:(display:Off,pause:!f,section:0,value:0),time:(from:'2017-08-25T04:41:20-0600',mode:absolute,to:'2017-08-25T07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9" s="197" t="str">
        <f>IF(AA29&lt;VLOOKUP(AG29,Variables!$AC$3:$AD$8,2,FALSE),"Y","N")</f>
        <v>N</v>
      </c>
      <c r="X29" s="197">
        <f t="shared" si="32"/>
        <v>1</v>
      </c>
      <c r="Y29" s="197">
        <f t="shared" si="6"/>
        <v>4.3700000000000003E-2</v>
      </c>
      <c r="Z29" s="197">
        <f t="shared" si="7"/>
        <v>23.329899999999999</v>
      </c>
      <c r="AA29" s="197">
        <f t="shared" si="8"/>
        <v>23.286199999999997</v>
      </c>
      <c r="AB29" s="54" t="e">
        <f>VLOOKUP(A29,Enforcements!$C$7:$K$11,8,0)</f>
        <v>#N/A</v>
      </c>
      <c r="AC29" s="51" t="e">
        <f>VLOOKUP(A29,Enforcements!$C$7:$E$11,3,0)</f>
        <v>#N/A</v>
      </c>
      <c r="AD29" s="206">
        <f t="shared" si="9"/>
        <v>117</v>
      </c>
      <c r="AE29" s="77" t="str">
        <f t="shared" si="10"/>
        <v>aws s3 cp s3://rtdc.mdm.uploadarchive.raw/RTDC4058/ "%USERPROFILE%\AppData\Local\Temp\OnboardLogs"\RTDC4058\2017-08-25 --exclude "*" --recursive --include "*20170825*" &amp; "%USERPROFILE%\Documents\GitHub\mrs-test-scripts\Headless Mode &amp; Sideloading\WalkAndUnGZ.bat" "%USERPROFILE%\AppData\Local\Temp\OnboardLogs"\RTDC4058\2017-08-25 &amp; aws s3 cp s3://rtdc.mdm.uploadarchive.raw/RTDC4058/ "%USERPROFILE%\AppData\Local\Temp\OnboardLogs"\RTDC4058\2017-08-26 --exclude "*" --recursive --include "*20170826*" &amp; "%USERPROFILE%\Documents\GitHub\mrs-test-scripts\Headless Mode &amp; Sideloading\WalkAndUnGZ.bat" "%USERPROFILE%\AppData\Local\Temp\OnboardLogs"\RTDC4058\2017-08-26</v>
      </c>
      <c r="AF29" s="74" t="str">
        <f t="shared" si="11"/>
        <v>"C:\Program Files (x86)\AstroGrep\AstroGrep.exe" /e /r /s /spath="%USERPROFILE%\AppData\Local\Temp\OnboardLogs" /stypes="app*4058*20170825*" /stext=" 12:.+((SYSTEM_STATE.+slice.+state.+changed )|(ment ac)|(multiple cpu faults)|(system.+state.+changed )|(\[timeout)|(PRM\|1\|D)|(kpr)|(kdp)|(train st.+moving)|(\|lc)|(penalty))"</v>
      </c>
      <c r="AG29" s="209" t="str">
        <f t="shared" si="12"/>
        <v>EC</v>
      </c>
      <c r="AH29" s="78" t="str">
        <f t="shared" si="22"/>
        <v>"%USERPROFILE%\Documents\GitHub\eaglep3\Utilities\RefineRTDCRunTimes.py" --tripid 117-25 --locoid 4058 --swversion DE.1.0.9.0 --startMP 204:437 --initTime 2017-08-25T05:41:20 --startdatetime 2017-08-25T05:45:48 --delay 1 --endMP 204:233299 --enddatetime 2017-08-25T06:20:27 --enforcementcount 1 &gt;&gt;C:\Users\stu\Documents\GitHub\eaglep3-reporting\EC\2017-08-25-refined-times.txt</v>
      </c>
      <c r="AI29" s="96" t="str">
        <f t="shared" si="23"/>
        <v>echo {"issue":{"subject":"Brief Wi-MAX data drop caused unhealthy banner","project_id":79,"tracker_id":40,"status_id":1,"priority_id":2,"assigned_to_id":23,"start_date":"2017-08-25","description":"","custom_fields":[{"id":1,"name":"Subdivision","value":"EC"},{"id":4,"name":"Milepost","value":"23.3299"},{"id":17,"name":"Train ID","value":"117-25"},{"id":16,"name":"Locomotive ID","value":"4058"},{"id":130,"name":"Impact","value":""},{"id":150,"name":"Time of Event (Mountain Time)","value":"06:20:27"},{"id":151,"name":"Denver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4"/>
        <v>start /low /b %USERPROFILE%\Documents\GitHub\eaglep3\Utilities\DownloadLogsFromS3.py --loco 4058 --day 2017-08-25</v>
      </c>
      <c r="AN29" s="151" t="str">
        <f t="shared" si="25"/>
        <v>echo {"issue":{"subject":"Brief Wi-MAX data drop caused unhealthy banner","project_id":30,"tracker_id":4,"status_id":1,"priority_id":1,"assigned_to_id":10,"start_date":"2017-08-25","description":"","custom_fields":[{"id":30,"name":"Category","value":"Issue"},{"id":3,"name":"Functional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647</v>
      </c>
      <c r="B30" s="7">
        <v>4057</v>
      </c>
      <c r="C30" s="21" t="s">
        <v>197</v>
      </c>
      <c r="D30" s="21" t="s">
        <v>826</v>
      </c>
      <c r="E30" s="13">
        <v>42972.274259259262</v>
      </c>
      <c r="F30" s="13">
        <v>42972.279328703706</v>
      </c>
      <c r="G30" s="7">
        <v>1</v>
      </c>
      <c r="H30" s="21" t="s">
        <v>391</v>
      </c>
      <c r="I30" s="13">
        <v>42972.306168981479</v>
      </c>
      <c r="J30" s="7">
        <v>1</v>
      </c>
      <c r="K30" s="89" t="str">
        <f t="shared" si="0"/>
        <v>4057/4058</v>
      </c>
      <c r="L30" s="217" t="str">
        <f>VLOOKUP(A30,'Trips&amp;Operators'!$C$1:$G$99911,5,FALSE)</f>
        <v>LOZA FIDEL</v>
      </c>
      <c r="M30" s="6">
        <f t="shared" si="1"/>
        <v>2.6840277772862464E-2</v>
      </c>
      <c r="N30" s="7">
        <f t="shared" si="31"/>
        <v>38.649999992921948</v>
      </c>
      <c r="O30" s="7"/>
      <c r="P30" s="7"/>
      <c r="Q30" s="22"/>
      <c r="R30" s="170"/>
      <c r="S30" s="213">
        <f t="shared" si="2"/>
        <v>1</v>
      </c>
      <c r="T30" s="195" t="str">
        <f t="shared" si="3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4"/>
        <v>https://d0f6bd738d7f1b3e5a7ca70fe4ff75f0.us-east-1.aws.found.io/app/kibana#/discover/Steve-Slow-Train-Analysis-(2080s-and-2083s)?_g=(refreshInterval:(display:Off,pause:!f,section:0,value:0),time:(from:'2017-08-25T05:34:56-0600',mode:absolute,to:'2017-08-25T08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0" s="197" t="str">
        <f>IF(AA30&lt;VLOOKUP(AG30,Variables!$AC$3:$AD$8,2,FALSE),"Y","N")</f>
        <v>N</v>
      </c>
      <c r="X30" s="197">
        <f t="shared" si="32"/>
        <v>1</v>
      </c>
      <c r="Y30" s="197">
        <f t="shared" si="6"/>
        <v>23.2986</v>
      </c>
      <c r="Z30" s="197">
        <f t="shared" si="7"/>
        <v>1.5599999999999999E-2</v>
      </c>
      <c r="AA30" s="197">
        <f t="shared" si="8"/>
        <v>23.283000000000001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206">
        <f t="shared" si="9"/>
        <v>118</v>
      </c>
      <c r="AE30" s="77" t="str">
        <f t="shared" si="10"/>
        <v>aws s3 cp s3://rtdc.mdm.uploadarchive.raw/RTDC4057/ "%USERPROFILE%\AppData\Local\Temp\OnboardLogs"\RTDC4057\2017-08-25 --exclude "*" --recursive --include "*20170825*" &amp; "%USERPROFILE%\Documents\GitHub\mrs-test-scripts\Headless Mode &amp; Sideloading\WalkAndUnGZ.bat" "%USERPROFILE%\AppData\Local\Temp\OnboardLogs"\RTDC4057\2017-08-25 &amp; aws s3 cp s3://rtdc.mdm.uploadarchive.raw/RTDC4057/ "%USERPROFILE%\AppData\Local\Temp\OnboardLogs"\RTDC4057\2017-08-26 --exclude "*" --recursive --include "*20170826*" &amp; "%USERPROFILE%\Documents\GitHub\mrs-test-scripts\Headless Mode &amp; Sideloading\WalkAndUnGZ.bat" "%USERPROFILE%\AppData\Local\Temp\OnboardLogs"\RTDC4057\2017-08-26</v>
      </c>
      <c r="AF30" s="74" t="str">
        <f t="shared" si="11"/>
        <v>"C:\Program Files (x86)\AstroGrep\AstroGrep.exe" /e /r /s /spath="%USERPROFILE%\AppData\Local\Temp\OnboardLogs" /stypes="app*4057*20170825*" /stext=" 13:.+((SYSTEM_STATE.+slice.+state.+changed )|(ment ac)|(multiple cpu faults)|(system.+state.+changed )|(\[timeout)|(PRM\|1\|D)|(kpr)|(kdp)|(train st.+moving)|(\|lc)|(penalty))"</v>
      </c>
      <c r="AG30" s="209" t="str">
        <f t="shared" si="12"/>
        <v>EC</v>
      </c>
      <c r="AH30" s="78" t="str">
        <f t="shared" si="22"/>
        <v>"%USERPROFILE%\Documents\GitHub\eaglep3\Utilities\RefineRTDCRunTimes.py" --tripid 118-25 --locoid 4057 --swversion DE.1.0.9.0 --startMP 204:232986 --initTime 2017-08-25T06:34:56 --startdatetime 2017-08-25T06:42:14 --delay 1 --endMP 204:156 --enddatetime 2017-08-25T07:20:53 --enforcementcount 1 &gt;&gt;C:\Users\stu\Documents\GitHub\eaglep3-reporting\EC\2017-08-25-refined-times.txt</v>
      </c>
      <c r="AI30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{"issue":{"subject":"","project_id":79,"tracker_id":40,"status_id":1,"priority_id":2,"assigned_to_id":23,"start_date":"2017-08-25","description":"","custom_fields":[{"id":1,"name":"Subdivision","value":"EC"},{"id":4,"name":"Milepost","value":"0.0156"},{"id":17,"name":"Train ID","value":"118-25"},{"id":16,"name":"Locomotive ID","value":"4057"},{"id":130,"name":"Impact","value":""},{"id":150,"name":"Time of Event (Mountain Time)","value":"07:20:53"},{"id":151,"name":"Denver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4"/>
        <v>start /low /b %USERPROFILE%\Documents\GitHub\eaglep3\Utilities\DownloadLogsFromS3.py --loco 4057 --day 2017-08-25</v>
      </c>
      <c r="AN30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571</v>
      </c>
      <c r="B31" s="7">
        <v>4064</v>
      </c>
      <c r="C31" s="21" t="s">
        <v>197</v>
      </c>
      <c r="D31" s="21" t="s">
        <v>827</v>
      </c>
      <c r="E31" s="13">
        <v>42972.248749999999</v>
      </c>
      <c r="F31" s="13">
        <v>42972.250532407408</v>
      </c>
      <c r="G31" s="7">
        <v>1</v>
      </c>
      <c r="H31" s="21" t="s">
        <v>828</v>
      </c>
      <c r="I31" s="13">
        <v>42972.276377314818</v>
      </c>
      <c r="J31" s="7">
        <v>1</v>
      </c>
      <c r="K31" s="89" t="str">
        <f t="shared" si="0"/>
        <v>4063/4064</v>
      </c>
      <c r="L31" s="217" t="str">
        <f>VLOOKUP(A31,'Trips&amp;Operators'!$C$1:$G$99911,5,FALSE)</f>
        <v>BONDS REYNALDO</v>
      </c>
      <c r="M31" s="6">
        <f t="shared" si="1"/>
        <v>2.584490740991896E-2</v>
      </c>
      <c r="N31" s="7">
        <f t="shared" si="31"/>
        <v>37.216666670283303</v>
      </c>
      <c r="O31" s="7"/>
      <c r="P31" s="7"/>
      <c r="Q31" s="22"/>
      <c r="R31" s="170"/>
      <c r="S31" s="213">
        <f t="shared" si="2"/>
        <v>1</v>
      </c>
      <c r="T31" s="195" t="str">
        <f t="shared" si="3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4"/>
        <v>https://d0f6bd738d7f1b3e5a7ca70fe4ff75f0.us-east-1.aws.found.io/app/kibana#/discover/Steve-Slow-Train-Analysis-(2080s-and-2083s)?_g=(refreshInterval:(display:Off,pause:!f,section:0,value:0),time:(from:'2017-08-25T04:58:12-0600',mode:absolute,to:'2017-08-25T07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1" s="197" t="str">
        <f>IF(AA31&lt;VLOOKUP(AG31,Variables!$AC$3:$AD$8,2,FALSE),"Y","N")</f>
        <v>N</v>
      </c>
      <c r="X31" s="197">
        <f t="shared" si="32"/>
        <v>1</v>
      </c>
      <c r="Y31" s="197">
        <f t="shared" si="6"/>
        <v>5.1900000000000002E-2</v>
      </c>
      <c r="Z31" s="197">
        <f t="shared" si="7"/>
        <v>23.339500000000001</v>
      </c>
      <c r="AA31" s="197">
        <f t="shared" si="8"/>
        <v>23.287600000000001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206">
        <f t="shared" si="9"/>
        <v>119</v>
      </c>
      <c r="AE31" s="77" t="str">
        <f t="shared" si="10"/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AF31" s="74" t="str">
        <f t="shared" si="11"/>
        <v>"C:\Program Files (x86)\AstroGrep\AstroGrep.exe" /e /r /s /spath="%USERPROFILE%\AppData\Local\Temp\OnboardLogs" /stypes="app*4064*20170825*" /stext=" 12:.+((SYSTEM_STATE.+slice.+state.+changed )|(ment ac)|(multiple cpu faults)|(system.+state.+changed )|(\[timeout)|(PRM\|1\|D)|(kpr)|(kdp)|(train st.+moving)|(\|lc)|(penalty))"</v>
      </c>
      <c r="AG31" s="209" t="str">
        <f t="shared" si="12"/>
        <v>EC</v>
      </c>
      <c r="AH31" s="78" t="str">
        <f t="shared" si="22"/>
        <v>"%USERPROFILE%\Documents\GitHub\eaglep3\Utilities\RefineRTDCRunTimes.py" --tripid 119-25 --locoid 4064 --swversion DE.1.0.9.0 --startMP 204:519 --initTime 2017-08-25T05:58:12 --startdatetime 2017-08-25T06:00:46 --delay 1 --endMP 204:233395 --enddatetime 2017-08-25T06:37:59 --enforcementcount 1 &gt;&gt;C:\Users\stu\Documents\GitHub\eaglep3-reporting\EC\2017-08-25-refined-times.txt</v>
      </c>
      <c r="AI31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{"issue":{"subject":"","project_id":79,"tracker_id":40,"status_id":1,"priority_id":2,"assigned_to_id":23,"start_date":"2017-08-25","description":"","custom_fields":[{"id":1,"name":"Subdivision","value":"EC"},{"id":4,"name":"Milepost","value":"23.3395"},{"id":17,"name":"Train ID","value":"119-25"},{"id":16,"name":"Locomotive ID","value":"4064"},{"id":130,"name":"Impact","value":""},{"id":150,"name":"Time of Event (Mountain Time)","value":"06:37:59"},{"id":151,"name":"Denver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4"/>
        <v>start /low /b %USERPROFILE%\Documents\GitHub\eaglep3\Utilities\DownloadLogsFromS3.py --loco 4064 --day 2017-08-25</v>
      </c>
      <c r="AN31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575</v>
      </c>
      <c r="B32" s="7">
        <v>4063</v>
      </c>
      <c r="C32" s="21" t="s">
        <v>197</v>
      </c>
      <c r="D32" s="21" t="s">
        <v>829</v>
      </c>
      <c r="E32" s="13">
        <v>42972.286597222221</v>
      </c>
      <c r="F32" s="13">
        <v>42972.28974537037</v>
      </c>
      <c r="G32" s="7">
        <v>0</v>
      </c>
      <c r="H32" s="21" t="s">
        <v>430</v>
      </c>
      <c r="I32" s="13">
        <v>42972.317129629628</v>
      </c>
      <c r="J32" s="7">
        <v>1</v>
      </c>
      <c r="K32" s="89" t="str">
        <f t="shared" si="0"/>
        <v>4063/4064</v>
      </c>
      <c r="L32" s="217" t="str">
        <f>VLOOKUP(A32,'Trips&amp;Operators'!$C$1:$G$99911,5,FALSE)</f>
        <v>BONDS REYNALDO</v>
      </c>
      <c r="M32" s="6">
        <f t="shared" si="1"/>
        <v>2.7384259257814847E-2</v>
      </c>
      <c r="N32" s="7">
        <f t="shared" si="31"/>
        <v>39.43333333125338</v>
      </c>
      <c r="O32" s="7"/>
      <c r="P32" s="7"/>
      <c r="Q32" s="22"/>
      <c r="R32" s="170"/>
      <c r="S32" s="213">
        <f t="shared" si="2"/>
        <v>1</v>
      </c>
      <c r="T32" s="195" t="str">
        <f t="shared" si="3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4"/>
        <v>https://d0f6bd738d7f1b3e5a7ca70fe4ff75f0.us-east-1.aws.found.io/app/kibana#/discover/Steve-Slow-Train-Analysis-(2080s-and-2083s)?_g=(refreshInterval:(display:Off,pause:!f,section:0,value:0),time:(from:'2017-08-25T05:52:42-0600',mode:absolute,to:'2017-08-25T08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2" s="197" t="str">
        <f>IF(AA32&lt;VLOOKUP(AG32,Variables!$AC$3:$AD$8,2,FALSE),"Y","N")</f>
        <v>N</v>
      </c>
      <c r="X32" s="197">
        <f t="shared" si="32"/>
        <v>1</v>
      </c>
      <c r="Y32" s="197">
        <f t="shared" si="6"/>
        <v>23.31</v>
      </c>
      <c r="Z32" s="197">
        <f t="shared" si="7"/>
        <v>1.6500000000000001E-2</v>
      </c>
      <c r="AA32" s="197">
        <f t="shared" si="8"/>
        <v>23.293499999999998</v>
      </c>
      <c r="AB32" s="54" t="e">
        <f>VLOOKUP(A32,Enforcements!$C$7:$K$11,8,0)</f>
        <v>#N/A</v>
      </c>
      <c r="AC32" s="51" t="e">
        <f>VLOOKUP(A32,Enforcements!$C$7:$E$11,3,0)</f>
        <v>#N/A</v>
      </c>
      <c r="AD32" s="206">
        <f t="shared" si="9"/>
        <v>120</v>
      </c>
      <c r="AE32" s="77" t="str">
        <f t="shared" si="10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32" s="74" t="str">
        <f t="shared" si="11"/>
        <v>"C:\Program Files (x86)\AstroGrep\AstroGrep.exe" /e /r /s /spath="%USERPROFILE%\AppData\Local\Temp\OnboardLogs" /stypes="app*4063*20170825*" /stext=" 13:.+((SYSTEM_STATE.+slice.+state.+changed )|(ment ac)|(multiple cpu faults)|(system.+state.+changed )|(\[timeout)|(PRM\|1\|D)|(kpr)|(kdp)|(train st.+moving)|(\|lc)|(penalty))"</v>
      </c>
      <c r="AG32" s="209" t="str">
        <f t="shared" si="12"/>
        <v>EC</v>
      </c>
      <c r="AH32" s="78" t="str">
        <f t="shared" si="22"/>
        <v>"%USERPROFILE%\Documents\GitHub\eaglep3\Utilities\RefineRTDCRunTimes.py" --tripid 120-25 --locoid 4063 --swversion DE.1.0.9.0 --startMP 204:233100 --initTime 2017-08-25T06:52:42 --startdatetime 2017-08-25T06:57:14 --delay 0 --endMP 204:165 --enddatetime 2017-08-25T07:36:40 --enforcementcount 1 &gt;&gt;C:\Users\stu\Documents\GitHub\eaglep3-reporting\EC\2017-08-25-refined-times.txt</v>
      </c>
      <c r="AI32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{"issue":{"subject":"","project_id":79,"tracker_id":40,"status_id":1,"priority_id":2,"assigned_to_id":23,"start_date":"2017-08-25","description":"","custom_fields":[{"id":1,"name":"Subdivision","value":"EC"},{"id":4,"name":"Milepost","value":"0.0165"},{"id":17,"name":"Train ID","value":"120-25"},{"id":16,"name":"Locomotive ID","value":"4063"},{"id":130,"name":"Impact","value":""},{"id":150,"name":"Time of Event (Mountain Time)","value":"07:36:40"},{"id":151,"name":"Denver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4"/>
        <v>start /low /b %USERPROFILE%\Documents\GitHub\eaglep3\Utilities\DownloadLogsFromS3.py --loco 4063 --day 2017-08-25</v>
      </c>
      <c r="AN32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640</v>
      </c>
      <c r="B33" s="7">
        <v>4032</v>
      </c>
      <c r="C33" s="21" t="s">
        <v>197</v>
      </c>
      <c r="D33" s="21" t="s">
        <v>830</v>
      </c>
      <c r="E33" s="13">
        <v>42972.25677083333</v>
      </c>
      <c r="F33" s="13">
        <v>42972.260937500003</v>
      </c>
      <c r="G33" s="7">
        <v>1</v>
      </c>
      <c r="H33" s="21" t="s">
        <v>831</v>
      </c>
      <c r="I33" s="13">
        <v>42972.285173611112</v>
      </c>
      <c r="J33" s="7">
        <v>1</v>
      </c>
      <c r="K33" s="89" t="str">
        <f t="shared" si="0"/>
        <v>4031/4032</v>
      </c>
      <c r="L33" s="217" t="str">
        <f>VLOOKUP(A33,'Trips&amp;Operators'!$C$1:$G$99911,5,FALSE)</f>
        <v>GEBRETEKLE DAGNEW</v>
      </c>
      <c r="M33" s="6">
        <f t="shared" si="1"/>
        <v>2.4236111108621117E-2</v>
      </c>
      <c r="N33" s="7">
        <f t="shared" si="31"/>
        <v>34.899999996414408</v>
      </c>
      <c r="O33" s="7"/>
      <c r="P33" s="7"/>
      <c r="Q33" s="22"/>
      <c r="R33" s="170"/>
      <c r="S33" s="213">
        <f t="shared" si="2"/>
        <v>1</v>
      </c>
      <c r="T33" s="195" t="str">
        <f t="shared" si="3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4"/>
        <v>https://d0f6bd738d7f1b3e5a7ca70fe4ff75f0.us-east-1.aws.found.io/app/kibana#/discover/Steve-Slow-Train-Analysis-(2080s-and-2083s)?_g=(refreshInterval:(display:Off,pause:!f,section:0,value:0),time:(from:'2017-08-25T05:09:45-0600',mode:absolute,to:'2017-08-25T07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197" t="str">
        <f>IF(AA33&lt;VLOOKUP(AG33,Variables!$AC$3:$AD$8,2,FALSE),"Y","N")</f>
        <v>N</v>
      </c>
      <c r="X33" s="197">
        <f t="shared" si="32"/>
        <v>1</v>
      </c>
      <c r="Y33" s="197">
        <f t="shared" si="6"/>
        <v>4.9799999999999997E-2</v>
      </c>
      <c r="Z33" s="197">
        <f t="shared" si="7"/>
        <v>23.3353</v>
      </c>
      <c r="AA33" s="197">
        <f t="shared" si="8"/>
        <v>23.285499999999999</v>
      </c>
      <c r="AB33" s="54" t="e">
        <f>VLOOKUP(A33,Enforcements!$C$7:$K$11,8,0)</f>
        <v>#N/A</v>
      </c>
      <c r="AC33" s="51" t="e">
        <f>VLOOKUP(A33,Enforcements!$C$7:$E$11,3,0)</f>
        <v>#N/A</v>
      </c>
      <c r="AD33" s="206">
        <f t="shared" si="9"/>
        <v>121</v>
      </c>
      <c r="AE33" s="77" t="str">
        <f t="shared" si="10"/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AF33" s="74" t="str">
        <f t="shared" si="11"/>
        <v>"C:\Program Files (x86)\AstroGrep\AstroGrep.exe" /e /r /s /spath="%USERPROFILE%\AppData\Local\Temp\OnboardLogs" /stypes="app*4032*20170825*" /stext=" 12:.+((SYSTEM_STATE.+slice.+state.+changed )|(ment ac)|(multiple cpu faults)|(system.+state.+changed )|(\[timeout)|(PRM\|1\|D)|(kpr)|(kdp)|(train st.+moving)|(\|lc)|(penalty))"</v>
      </c>
      <c r="AG33" s="209" t="str">
        <f t="shared" si="12"/>
        <v>EC</v>
      </c>
      <c r="AH33" s="78" t="str">
        <f t="shared" si="22"/>
        <v>"%USERPROFILE%\Documents\GitHub\eaglep3\Utilities\RefineRTDCRunTimes.py" --tripid 121-25 --locoid 4032 --swversion DE.1.0.9.0 --startMP 204:498 --initTime 2017-08-25T06:09:45 --startdatetime 2017-08-25T06:15:45 --delay 1 --endMP 204:233353 --enddatetime 2017-08-25T06:50:39 --enforcementcount 1 &gt;&gt;C:\Users\stu\Documents\GitHub\eaglep3-reporting\EC\2017-08-25-refined-times.txt</v>
      </c>
      <c r="AI33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{"issue":{"subject":"","project_id":79,"tracker_id":40,"status_id":1,"priority_id":2,"assigned_to_id":23,"start_date":"2017-08-25","description":"","custom_fields":[{"id":1,"name":"Subdivision","value":"EC"},{"id":4,"name":"Milepost","value":"23.3353"},{"id":17,"name":"Train ID","value":"121-25"},{"id":16,"name":"Locomotive ID","value":"4032"},{"id":130,"name":"Impact","value":""},{"id":150,"name":"Time of Event (Mountain Time)","value":"06:50:39"},{"id":151,"name":"Denver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4"/>
        <v>start /low /b %USERPROFILE%\Documents\GitHub\eaglep3\Utilities\DownloadLogsFromS3.py --loco 4032 --day 2017-08-25</v>
      </c>
      <c r="AN33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649</v>
      </c>
      <c r="B34" s="7">
        <v>4031</v>
      </c>
      <c r="C34" s="21" t="s">
        <v>197</v>
      </c>
      <c r="D34" s="21" t="s">
        <v>832</v>
      </c>
      <c r="E34" s="13">
        <v>42972.28634259259</v>
      </c>
      <c r="F34" s="13">
        <v>42972.300185185188</v>
      </c>
      <c r="G34" s="7">
        <v>1</v>
      </c>
      <c r="H34" s="21" t="s">
        <v>350</v>
      </c>
      <c r="I34" s="13">
        <v>42972.326412037037</v>
      </c>
      <c r="J34" s="7">
        <v>1</v>
      </c>
      <c r="K34" s="89" t="str">
        <f t="shared" si="0"/>
        <v>4031/4032</v>
      </c>
      <c r="L34" s="217" t="str">
        <f>VLOOKUP(A34,'Trips&amp;Operators'!$C$1:$G$99911,5,FALSE)</f>
        <v>GEBRETEKLE DAGNEW</v>
      </c>
      <c r="M34" s="6">
        <f t="shared" si="1"/>
        <v>2.622685184906004E-2</v>
      </c>
      <c r="N34" s="7">
        <f t="shared" si="31"/>
        <v>37.766666662646458</v>
      </c>
      <c r="O34" s="7"/>
      <c r="P34" s="7"/>
      <c r="Q34" s="22"/>
      <c r="R34" s="170"/>
      <c r="S34" s="213">
        <f t="shared" si="2"/>
        <v>1</v>
      </c>
      <c r="T34" s="195" t="str">
        <f t="shared" si="3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4"/>
        <v>https://d0f6bd738d7f1b3e5a7ca70fe4ff75f0.us-east-1.aws.found.io/app/kibana#/discover/Steve-Slow-Train-Analysis-(2080s-and-2083s)?_g=(refreshInterval:(display:Off,pause:!f,section:0,value:0),time:(from:'2017-08-25T05:52:20-0600',mode:absolute,to:'2017-08-25T08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197" t="str">
        <f>IF(AA34&lt;VLOOKUP(AG34,Variables!$AC$3:$AD$8,2,FALSE),"Y","N")</f>
        <v>N</v>
      </c>
      <c r="X34" s="197">
        <f t="shared" si="32"/>
        <v>1</v>
      </c>
      <c r="Y34" s="197">
        <f t="shared" si="6"/>
        <v>23.304200000000002</v>
      </c>
      <c r="Z34" s="197">
        <f t="shared" si="7"/>
        <v>1.54E-2</v>
      </c>
      <c r="AA34" s="197">
        <f t="shared" si="8"/>
        <v>23.288800000000002</v>
      </c>
      <c r="AB34" s="54" t="e">
        <f>VLOOKUP(A34,Enforcements!$C$7:$K$11,8,0)</f>
        <v>#N/A</v>
      </c>
      <c r="AC34" s="51" t="e">
        <f>VLOOKUP(A34,Enforcements!$C$7:$E$11,3,0)</f>
        <v>#N/A</v>
      </c>
      <c r="AD34" s="206">
        <f t="shared" si="9"/>
        <v>122</v>
      </c>
      <c r="AE34" s="77" t="str">
        <f t="shared" si="10"/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34" s="74" t="str">
        <f t="shared" si="11"/>
        <v>"C:\Program Files (x86)\AstroGrep\AstroGrep.exe" /e /r /s /spath="%USERPROFILE%\AppData\Local\Temp\OnboardLogs" /stypes="app*4031*20170825*" /stext=" 13:.+((SYSTEM_STATE.+slice.+state.+changed )|(ment ac)|(multiple cpu faults)|(system.+state.+changed )|(\[timeout)|(PRM\|1\|D)|(kpr)|(kdp)|(train st.+moving)|(\|lc)|(penalty))"</v>
      </c>
      <c r="AG34" s="209" t="str">
        <f t="shared" si="12"/>
        <v>EC</v>
      </c>
      <c r="AH34" s="78" t="str">
        <f t="shared" si="22"/>
        <v>"%USERPROFILE%\Documents\GitHub\eaglep3\Utilities\RefineRTDCRunTimes.py" --tripid 122-25 --locoid 4031 --swversion DE.1.0.9.0 --startMP 204:233042 --initTime 2017-08-25T06:52:20 --startdatetime 2017-08-25T07:12:16 --delay 1 --endMP 204:154 --enddatetime 2017-08-25T07:50:02 --enforcementcount 1 &gt;&gt;C:\Users\stu\Documents\GitHub\eaglep3-reporting\EC\2017-08-25-refined-times.txt</v>
      </c>
      <c r="AI34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{"issue":{"subject":"","project_id":79,"tracker_id":40,"status_id":1,"priority_id":2,"assigned_to_id":23,"start_date":"2017-08-25","description":"","custom_fields":[{"id":1,"name":"Subdivision","value":"EC"},{"id":4,"name":"Milepost","value":"0.0154"},{"id":17,"name":"Train ID","value":"122-25"},{"id":16,"name":"Locomotive ID","value":"4031"},{"id":130,"name":"Impact","value":""},{"id":150,"name":"Time of Event (Mountain Time)","value":"07:50:02"},{"id":151,"name":"Denver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4"/>
        <v>start /low /b %USERPROFILE%\Documents\GitHub\eaglep3\Utilities\DownloadLogsFromS3.py --loco 4031 --day 2017-08-25</v>
      </c>
      <c r="AN34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644</v>
      </c>
      <c r="B35" s="7">
        <v>4014</v>
      </c>
      <c r="C35" s="21" t="s">
        <v>197</v>
      </c>
      <c r="D35" s="21" t="s">
        <v>369</v>
      </c>
      <c r="E35" s="13">
        <v>42972.266273148147</v>
      </c>
      <c r="F35" s="13">
        <v>42972.27138888889</v>
      </c>
      <c r="G35" s="7">
        <v>1</v>
      </c>
      <c r="H35" s="21" t="s">
        <v>833</v>
      </c>
      <c r="I35" s="13">
        <v>42972.297048611108</v>
      </c>
      <c r="J35" s="7">
        <v>1</v>
      </c>
      <c r="K35" s="89" t="str">
        <f t="shared" si="0"/>
        <v>4013/4014</v>
      </c>
      <c r="L35" s="217" t="str">
        <f>VLOOKUP(A35,'Trips&amp;Operators'!$C$1:$G$99911,5,FALSE)</f>
        <v>DAVIS WENDY</v>
      </c>
      <c r="M35" s="6">
        <f t="shared" si="1"/>
        <v>2.565972221782431E-2</v>
      </c>
      <c r="N35" s="7">
        <f t="shared" si="31"/>
        <v>36.949999993667006</v>
      </c>
      <c r="O35" s="7"/>
      <c r="P35" s="7"/>
      <c r="Q35" s="22"/>
      <c r="R35" s="170"/>
      <c r="S35" s="213">
        <f t="shared" si="2"/>
        <v>1</v>
      </c>
      <c r="T35" s="195" t="str">
        <f t="shared" si="3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4"/>
        <v>https://d0f6bd738d7f1b3e5a7ca70fe4ff75f0.us-east-1.aws.found.io/app/kibana#/discover/Steve-Slow-Train-Analysis-(2080s-and-2083s)?_g=(refreshInterval:(display:Off,pause:!f,section:0,value:0),time:(from:'2017-08-25T05:23:26-0600',mode:absolute,to:'2017-08-25T08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5" s="197" t="str">
        <f>IF(AA35&lt;VLOOKUP(AG35,Variables!$AC$3:$AD$8,2,FALSE),"Y","N")</f>
        <v>N</v>
      </c>
      <c r="X35" s="197">
        <f t="shared" si="32"/>
        <v>1</v>
      </c>
      <c r="Y35" s="197">
        <f t="shared" si="6"/>
        <v>4.5999999999999999E-2</v>
      </c>
      <c r="Z35" s="197">
        <f t="shared" si="7"/>
        <v>23.337</v>
      </c>
      <c r="AA35" s="197">
        <f t="shared" si="8"/>
        <v>23.291</v>
      </c>
      <c r="AB35" s="54" t="e">
        <f>VLOOKUP(A35,Enforcements!$C$7:$K$11,8,0)</f>
        <v>#N/A</v>
      </c>
      <c r="AC35" s="51" t="e">
        <f>VLOOKUP(A35,Enforcements!$C$7:$E$11,3,0)</f>
        <v>#N/A</v>
      </c>
      <c r="AD35" s="206">
        <f t="shared" si="9"/>
        <v>123</v>
      </c>
      <c r="AE35" s="77" t="str">
        <f t="shared" si="10"/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AF35" s="74" t="str">
        <f t="shared" si="11"/>
        <v>"C:\Program Files (x86)\AstroGrep\AstroGrep.exe" /e /r /s /spath="%USERPROFILE%\AppData\Local\Temp\OnboardLogs" /stypes="app*4014*20170825*" /stext=" 13:.+((SYSTEM_STATE.+slice.+state.+changed )|(ment ac)|(multiple cpu faults)|(system.+state.+changed )|(\[timeout)|(PRM\|1\|D)|(kpr)|(kdp)|(train st.+moving)|(\|lc)|(penalty))"</v>
      </c>
      <c r="AG35" s="209" t="str">
        <f t="shared" si="12"/>
        <v>EC</v>
      </c>
      <c r="AH35" s="78" t="str">
        <f t="shared" si="22"/>
        <v>"%USERPROFILE%\Documents\GitHub\eaglep3\Utilities\RefineRTDCRunTimes.py" --tripid 123-25 --locoid 4014 --swversion DE.1.0.9.0 --startMP 204:460 --initTime 2017-08-25T06:23:26 --startdatetime 2017-08-25T06:30:48 --delay 1 --endMP 204:233370 --enddatetime 2017-08-25T07:07:45 --enforcementcount 1 &gt;&gt;C:\Users\stu\Documents\GitHub\eaglep3-reporting\EC\2017-08-25-refined-times.txt</v>
      </c>
      <c r="AI35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{"issue":{"subject":"","project_id":79,"tracker_id":40,"status_id":1,"priority_id":2,"assigned_to_id":23,"start_date":"2017-08-25","description":"","custom_fields":[{"id":1,"name":"Subdivision","value":"EC"},{"id":4,"name":"Milepost","value":"23.337"},{"id":17,"name":"Train ID","value":"123-25"},{"id":16,"name":"Locomotive ID","value":"4014"},{"id":130,"name":"Impact","value":""},{"id":150,"name":"Time of Event (Mountain Time)","value":"07:07:45"},{"id":151,"name":"Denver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4"/>
        <v>start /low /b %USERPROFILE%\Documents\GitHub\eaglep3\Utilities\DownloadLogsFromS3.py --loco 4014 --day 2017-08-25</v>
      </c>
      <c r="AN35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578</v>
      </c>
      <c r="B36" s="7">
        <v>4013</v>
      </c>
      <c r="C36" s="21" t="s">
        <v>197</v>
      </c>
      <c r="D36" s="21" t="s">
        <v>523</v>
      </c>
      <c r="E36" s="13">
        <v>42972.308148148149</v>
      </c>
      <c r="F36" s="13">
        <v>42972.310601851852</v>
      </c>
      <c r="G36" s="7">
        <v>1</v>
      </c>
      <c r="H36" s="21" t="s">
        <v>346</v>
      </c>
      <c r="I36" s="13">
        <v>42972.338391203702</v>
      </c>
      <c r="J36" s="7">
        <v>1</v>
      </c>
      <c r="K36" s="89" t="str">
        <f t="shared" si="0"/>
        <v>4013/4014</v>
      </c>
      <c r="L36" s="217" t="str">
        <f>VLOOKUP(A36,'Trips&amp;Operators'!$C$1:$G$99911,5,FALSE)</f>
        <v>DAVIS WENDY</v>
      </c>
      <c r="M36" s="6">
        <f t="shared" si="1"/>
        <v>2.7789351850515231E-2</v>
      </c>
      <c r="N36" s="7">
        <f t="shared" si="31"/>
        <v>40.016666664741933</v>
      </c>
      <c r="O36" s="7"/>
      <c r="P36" s="7"/>
      <c r="Q36" s="22"/>
      <c r="R36" s="170"/>
      <c r="S36" s="213">
        <f t="shared" si="2"/>
        <v>1</v>
      </c>
      <c r="T36" s="195" t="str">
        <f t="shared" si="3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4"/>
        <v>https://d0f6bd738d7f1b3e5a7ca70fe4ff75f0.us-east-1.aws.found.io/app/kibana#/discover/Steve-Slow-Train-Analysis-(2080s-and-2083s)?_g=(refreshInterval:(display:Off,pause:!f,section:0,value:0),time:(from:'2017-08-25T06:23:44-0600',mode:absolute,to:'2017-08-25T09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6" s="197" t="str">
        <f>IF(AA36&lt;VLOOKUP(AG36,Variables!$AC$3:$AD$8,2,FALSE),"Y","N")</f>
        <v>N</v>
      </c>
      <c r="X36" s="197">
        <f t="shared" si="32"/>
        <v>1</v>
      </c>
      <c r="Y36" s="197">
        <f t="shared" si="6"/>
        <v>23.305099999999999</v>
      </c>
      <c r="Z36" s="197">
        <f t="shared" si="7"/>
        <v>1.47E-2</v>
      </c>
      <c r="AA36" s="197">
        <f t="shared" si="8"/>
        <v>23.290399999999998</v>
      </c>
      <c r="AB36" s="54" t="str">
        <f>VLOOKUP(A36,Enforcements!$C$7:$K$11,8,0)</f>
        <v>Bulletin (2)</v>
      </c>
      <c r="AC36" s="51" t="str">
        <f>VLOOKUP(A36,Enforcements!$C$7:$E$11,3,0)</f>
        <v>GRADE CROSSING</v>
      </c>
      <c r="AD36" s="206">
        <f t="shared" si="9"/>
        <v>124</v>
      </c>
      <c r="AE36" s="77" t="str">
        <f t="shared" si="10"/>
        <v>aws s3 cp s3://rtdc.mdm.uploadarchive.raw/RTDC4013/ "%USERPROFILE%\AppData\Local\Temp\OnboardLogs"\RTDC4013\2017-08-25 --exclude "*" --recursive --include "*20170825*" &amp; "%USERPROFILE%\Documents\GitHub\mrs-test-scripts\Headless Mode &amp; Sideloading\WalkAndUnGZ.bat" "%USERPROFILE%\AppData\Local\Temp\OnboardLogs"\RTDC4013\2017-08-25 &amp; aws s3 cp s3://rtdc.mdm.uploadarchive.raw/RTDC4013/ "%USERPROFILE%\AppData\Local\Temp\OnboardLogs"\RTDC4013\2017-08-26 --exclude "*" --recursive --include "*20170826*" &amp; "%USERPROFILE%\Documents\GitHub\mrs-test-scripts\Headless Mode &amp; Sideloading\WalkAndUnGZ.bat" "%USERPROFILE%\AppData\Local\Temp\OnboardLogs"\RTDC4013\2017-08-26</v>
      </c>
      <c r="AF36" s="74" t="str">
        <f t="shared" si="11"/>
        <v>"C:\Program Files (x86)\AstroGrep\AstroGrep.exe" /e /r /s /spath="%USERPROFILE%\AppData\Local\Temp\OnboardLogs" /stypes="app*4013*20170825*" /stext=" 14:.+((SYSTEM_STATE.+slice.+state.+changed )|(ment ac)|(multiple cpu faults)|(system.+state.+changed )|(\[timeout)|(PRM\|1\|D)|(kpr)|(kdp)|(train st.+moving)|(\|lc)|(penalty))"</v>
      </c>
      <c r="AG36" s="209" t="str">
        <f t="shared" si="12"/>
        <v>EC</v>
      </c>
      <c r="AH36" s="78" t="str">
        <f t="shared" si="22"/>
        <v>"%USERPROFILE%\Documents\GitHub\eaglep3\Utilities\RefineRTDCRunTimes.py" --tripid 124-25 --locoid 4013 --swversion DE.1.0.9.0 --startMP 204:233051 --initTime 2017-08-25T07:23:44 --startdatetime 2017-08-25T07:27:16 --delay 1 --endMP 204:147 --enddatetime 2017-08-25T08:07:17 --enforcementcount 1 &gt;&gt;C:\Users\stu\Documents\GitHub\eaglep3-reporting\EC\2017-08-25-refined-times.txt</v>
      </c>
      <c r="AI36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{"issue":{"subject":"","project_id":79,"tracker_id":40,"status_id":1,"priority_id":2,"assigned_to_id":23,"start_date":"2017-08-25","description":"","custom_fields":[{"id":1,"name":"Subdivision","value":"EC"},{"id":4,"name":"Milepost","value":"0.0147"},{"id":17,"name":"Train ID","value":"124-25"},{"id":16,"name":"Locomotive ID","value":"4013"},{"id":130,"name":"Impact","value":""},{"id":150,"name":"Time of Event (Mountain Time)","value":"08:07:17"},{"id":151,"name":"Denver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4"/>
        <v>start /low /b %USERPROFILE%\Documents\GitHub\eaglep3\Utilities\DownloadLogsFromS3.py --loco 4013 --day 2017-08-25</v>
      </c>
      <c r="AN36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572</v>
      </c>
      <c r="B37" s="7">
        <v>4002</v>
      </c>
      <c r="C37" s="21" t="s">
        <v>197</v>
      </c>
      <c r="D37" s="21" t="s">
        <v>357</v>
      </c>
      <c r="E37" s="13">
        <v>42972.277037037034</v>
      </c>
      <c r="F37" s="13">
        <v>42972.281898148147</v>
      </c>
      <c r="G37" s="7">
        <v>1</v>
      </c>
      <c r="H37" s="21" t="s">
        <v>337</v>
      </c>
      <c r="I37" s="13">
        <v>42972.307037037041</v>
      </c>
      <c r="J37" s="7">
        <v>1</v>
      </c>
      <c r="K37" s="89" t="str">
        <f t="shared" si="0"/>
        <v>4001/4002</v>
      </c>
      <c r="L37" s="217" t="str">
        <f>VLOOKUP(A37,'Trips&amp;Operators'!$C$1:$G$99911,5,FALSE)</f>
        <v>STARKS ANGELINA</v>
      </c>
      <c r="M37" s="6">
        <f t="shared" si="1"/>
        <v>2.513888889370719E-2</v>
      </c>
      <c r="N37" s="7">
        <f t="shared" si="31"/>
        <v>36.200000006938353</v>
      </c>
      <c r="O37" s="7"/>
      <c r="P37" s="7"/>
      <c r="Q37" s="22"/>
      <c r="R37" s="170"/>
      <c r="S37" s="213">
        <f t="shared" si="2"/>
        <v>1</v>
      </c>
      <c r="T37" s="195" t="str">
        <f t="shared" si="3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4"/>
        <v>https://d0f6bd738d7f1b3e5a7ca70fe4ff75f0.us-east-1.aws.found.io/app/kibana#/discover/Steve-Slow-Train-Analysis-(2080s-and-2083s)?_g=(refreshInterval:(display:Off,pause:!f,section:0,value:0),time:(from:'2017-08-25T05:38:56-0600',mode:absolute,to:'2017-08-25T08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97" t="str">
        <f>IF(AA37&lt;VLOOKUP(AG37,Variables!$AC$3:$AD$8,2,FALSE),"Y","N")</f>
        <v>N</v>
      </c>
      <c r="X37" s="197">
        <f t="shared" si="32"/>
        <v>1</v>
      </c>
      <c r="Y37" s="197">
        <f t="shared" si="6"/>
        <v>4.5499999999999999E-2</v>
      </c>
      <c r="Z37" s="197">
        <v>23.332000000000001</v>
      </c>
      <c r="AA37" s="197">
        <f t="shared" si="8"/>
        <v>23.2865</v>
      </c>
      <c r="AB37" s="54" t="e">
        <f>VLOOKUP(A37,Enforcements!$C$7:$K$11,8,0)</f>
        <v>#N/A</v>
      </c>
      <c r="AC37" s="51" t="e">
        <f>VLOOKUP(A37,Enforcements!$C$7:$E$11,3,0)</f>
        <v>#N/A</v>
      </c>
      <c r="AD37" s="206">
        <f t="shared" si="9"/>
        <v>125</v>
      </c>
      <c r="AE37" s="77" t="str">
        <f t="shared" si="10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37" s="74" t="str">
        <f t="shared" si="11"/>
        <v>"C:\Program Files (x86)\AstroGrep\AstroGrep.exe" /e /r /s /spath="%USERPROFILE%\AppData\Local\Temp\OnboardLogs" /stypes="app*4002*20170825*" /stext=" 13:.+((SYSTEM_STATE.+slice.+state.+changed )|(ment ac)|(multiple cpu faults)|(system.+state.+changed )|(\[timeout)|(PRM\|1\|D)|(kpr)|(kdp)|(train st.+moving)|(\|lc)|(penalty))"</v>
      </c>
      <c r="AG37" s="209" t="str">
        <f t="shared" si="12"/>
        <v>EC</v>
      </c>
      <c r="AH37" s="78" t="str">
        <f t="shared" si="22"/>
        <v>"%USERPROFILE%\Documents\GitHub\eaglep3\Utilities\RefineRTDCRunTimes.py" --tripid 125-25 --locoid 4002 --swversion DE.1.0.9.0 --startMP 204:455 --initTime 2017-08-25T06:38:56 --startdatetime 2017-08-25T06:45:56 --delay 1 --endMP 204:446 --enddatetime 2017-08-25T07:22:08 --enforcementcount 1 &gt;&gt;C:\Users\stu\Documents\GitHub\eaglep3-reporting\EC\2017-08-25-refined-times.txt</v>
      </c>
      <c r="AI37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{"issue":{"subject":"","project_id":79,"tracker_id":40,"status_id":1,"priority_id":2,"assigned_to_id":23,"start_date":"2017-08-25","description":"","custom_fields":[{"id":1,"name":"Subdivision","value":"EC"},{"id":4,"name":"Milepost","value":"23.332"},{"id":17,"name":"Train ID","value":"125-25"},{"id":16,"name":"Locomotive ID","value":"4002"},{"id":130,"name":"Impact","value":""},{"id":150,"name":"Time of Event (Mountain Time)","value":"07:22:08"},{"id":151,"name":"Denver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4"/>
        <v>start /low /b %USERPROFILE%\Documents\GitHub\eaglep3\Utilities\DownloadLogsFromS3.py --loco 4002 --day 2017-08-25</v>
      </c>
      <c r="AN37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659</v>
      </c>
      <c r="B38" s="7">
        <v>4001</v>
      </c>
      <c r="C38" s="21" t="s">
        <v>197</v>
      </c>
      <c r="D38" s="21" t="s">
        <v>834</v>
      </c>
      <c r="E38" s="13">
        <v>42972.319837962961</v>
      </c>
      <c r="F38" s="13">
        <v>42972.321099537039</v>
      </c>
      <c r="G38" s="7">
        <v>1</v>
      </c>
      <c r="H38" s="21" t="s">
        <v>339</v>
      </c>
      <c r="I38" s="13">
        <v>42972.347349537034</v>
      </c>
      <c r="J38" s="7">
        <v>1</v>
      </c>
      <c r="K38" s="89" t="str">
        <f t="shared" si="0"/>
        <v>4001/4002</v>
      </c>
      <c r="L38" s="217" t="str">
        <f>VLOOKUP(A38,'Trips&amp;Operators'!$C$1:$G$99911,5,FALSE)</f>
        <v>STARKS ANGELINA</v>
      </c>
      <c r="M38" s="6">
        <f t="shared" si="1"/>
        <v>2.6249999995343387E-2</v>
      </c>
      <c r="N38" s="7">
        <f t="shared" si="31"/>
        <v>37.799999993294477</v>
      </c>
      <c r="O38" s="7"/>
      <c r="P38" s="7"/>
      <c r="Q38" s="22"/>
      <c r="R38" s="170"/>
      <c r="S38" s="213">
        <f t="shared" si="2"/>
        <v>1</v>
      </c>
      <c r="T38" s="195" t="str">
        <f t="shared" si="3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4"/>
        <v>https://d0f6bd738d7f1b3e5a7ca70fe4ff75f0.us-east-1.aws.found.io/app/kibana#/discover/Steve-Slow-Train-Analysis-(2080s-and-2083s)?_g=(refreshInterval:(display:Off,pause:!f,section:0,value:0),time:(from:'2017-08-25T06:40:34-0600',mode:absolute,to:'2017-08-25T09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97" t="str">
        <f>IF(AA38&lt;VLOOKUP(AG38,Variables!$AC$3:$AD$8,2,FALSE),"Y","N")</f>
        <v>N</v>
      </c>
      <c r="X38" s="197">
        <f t="shared" si="32"/>
        <v>1</v>
      </c>
      <c r="Y38" s="197">
        <f t="shared" si="6"/>
        <v>23.296900000000001</v>
      </c>
      <c r="Z38" s="197">
        <f t="shared" ref="Z38:Z69" si="33">RIGHT(H38,LEN(H38)-4)/10000</f>
        <v>1.49E-2</v>
      </c>
      <c r="AA38" s="197">
        <f t="shared" si="8"/>
        <v>23.282</v>
      </c>
      <c r="AB38" s="54" t="e">
        <f>VLOOKUP(A38,Enforcements!$C$7:$K$11,8,0)</f>
        <v>#N/A</v>
      </c>
      <c r="AC38" s="51" t="e">
        <f>VLOOKUP(A38,Enforcements!$C$7:$E$11,3,0)</f>
        <v>#N/A</v>
      </c>
      <c r="AD38" s="206">
        <f t="shared" si="9"/>
        <v>126</v>
      </c>
      <c r="AE38" s="77" t="str">
        <f t="shared" si="10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38" s="74" t="str">
        <f t="shared" si="11"/>
        <v>"C:\Program Files (x86)\AstroGrep\AstroGrep.exe" /e /r /s /spath="%USERPROFILE%\AppData\Local\Temp\OnboardLogs" /stypes="app*4001*20170825*" /stext=" 14:.+((SYSTEM_STATE.+slice.+state.+changed )|(ment ac)|(multiple cpu faults)|(system.+state.+changed )|(\[timeout)|(PRM\|1\|D)|(kpr)|(kdp)|(train st.+moving)|(\|lc)|(penalty))"</v>
      </c>
      <c r="AG38" s="209" t="str">
        <f t="shared" si="12"/>
        <v>EC</v>
      </c>
      <c r="AH38" s="78" t="str">
        <f t="shared" si="22"/>
        <v>"%USERPROFILE%\Documents\GitHub\eaglep3\Utilities\RefineRTDCRunTimes.py" --tripid 126-25 --locoid 4001 --swversion DE.1.0.9.0 --startMP 204:232969 --initTime 2017-08-25T07:40:34 --startdatetime 2017-08-25T07:42:23 --delay 1 --endMP 204:149 --enddatetime 2017-08-25T08:20:11 --enforcementcount 1 &gt;&gt;C:\Users\stu\Documents\GitHub\eaglep3-reporting\EC\2017-08-25-refined-times.txt</v>
      </c>
      <c r="AI38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{"issue":{"subject":"","project_id":79,"tracker_id":40,"status_id":1,"priority_id":2,"assigned_to_id":23,"start_date":"2017-08-25","description":"","custom_fields":[{"id":1,"name":"Subdivision","value":"EC"},{"id":4,"name":"Milepost","value":"0.0149"},{"id":17,"name":"Train ID","value":"126-25"},{"id":16,"name":"Locomotive ID","value":"4001"},{"id":130,"name":"Impact","value":""},{"id":150,"name":"Time of Event (Mountain Time)","value":"08:20:11"},{"id":151,"name":"Denver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4"/>
        <v>start /low /b %USERPROFILE%\Documents\GitHub\eaglep3\Utilities\DownloadLogsFromS3.py --loco 4001 --day 2017-08-25</v>
      </c>
      <c r="AN38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650</v>
      </c>
      <c r="B39" s="7">
        <v>4042</v>
      </c>
      <c r="C39" s="21" t="s">
        <v>197</v>
      </c>
      <c r="D39" s="21" t="s">
        <v>539</v>
      </c>
      <c r="E39" s="13">
        <v>42972.288171296299</v>
      </c>
      <c r="F39" s="13">
        <v>42972.292199074072</v>
      </c>
      <c r="G39" s="7">
        <v>1</v>
      </c>
      <c r="H39" s="21" t="s">
        <v>389</v>
      </c>
      <c r="I39" s="13">
        <v>42972.317557870374</v>
      </c>
      <c r="J39" s="7">
        <v>1</v>
      </c>
      <c r="K39" s="89" t="str">
        <f t="shared" si="0"/>
        <v>4041/4042</v>
      </c>
      <c r="L39" s="217" t="str">
        <f>VLOOKUP(A39,'Trips&amp;Operators'!$C$1:$G$99911,5,FALSE)</f>
        <v>DAVIDSON DAVID</v>
      </c>
      <c r="M39" s="6">
        <f t="shared" si="1"/>
        <v>2.5358796301588882E-2</v>
      </c>
      <c r="N39" s="7">
        <f t="shared" si="31"/>
        <v>36.51666667428799</v>
      </c>
      <c r="O39" s="7"/>
      <c r="P39" s="7"/>
      <c r="Q39" s="22"/>
      <c r="R39" s="170"/>
      <c r="S39" s="213">
        <f t="shared" si="2"/>
        <v>1</v>
      </c>
      <c r="T39" s="195" t="str">
        <f t="shared" si="3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4"/>
        <v>https://d0f6bd738d7f1b3e5a7ca70fe4ff75f0.us-east-1.aws.found.io/app/kibana#/discover/Steve-Slow-Train-Analysis-(2080s-and-2083s)?_g=(refreshInterval:(display:Off,pause:!f,section:0,value:0),time:(from:'2017-08-25T05:54:58-0600',mode:absolute,to:'2017-08-25T08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9" s="197" t="str">
        <f>IF(AA39&lt;VLOOKUP(AG39,Variables!$AC$3:$AD$8,2,FALSE),"Y","N")</f>
        <v>N</v>
      </c>
      <c r="X39" s="197">
        <f t="shared" si="32"/>
        <v>1</v>
      </c>
      <c r="Y39" s="197">
        <f t="shared" si="6"/>
        <v>4.3799999999999999E-2</v>
      </c>
      <c r="Z39" s="197">
        <f t="shared" si="33"/>
        <v>23.3308</v>
      </c>
      <c r="AA39" s="197">
        <f t="shared" si="8"/>
        <v>23.286999999999999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206">
        <f t="shared" si="9"/>
        <v>127</v>
      </c>
      <c r="AE39" s="77" t="str">
        <f t="shared" si="10"/>
        <v>aws s3 cp s3://rtdc.mdm.uploadarchive.raw/RTDC4042/ "%USERPROFILE%\AppData\Local\Temp\OnboardLogs"\RTDC4042\2017-08-25 --exclude "*" --recursive --include "*20170825*" &amp; "%USERPROFILE%\Documents\GitHub\mrs-test-scripts\Headless Mode &amp; Sideloading\WalkAndUnGZ.bat" "%USERPROFILE%\AppData\Local\Temp\OnboardLogs"\RTDC4042\2017-08-25 &amp; aws s3 cp s3://rtdc.mdm.uploadarchive.raw/RTDC4042/ "%USERPROFILE%\AppData\Local\Temp\OnboardLogs"\RTDC4042\2017-08-26 --exclude "*" --recursive --include "*20170826*" &amp; "%USERPROFILE%\Documents\GitHub\mrs-test-scripts\Headless Mode &amp; Sideloading\WalkAndUnGZ.bat" "%USERPROFILE%\AppData\Local\Temp\OnboardLogs"\RTDC4042\2017-08-26</v>
      </c>
      <c r="AF39" s="74" t="str">
        <f t="shared" si="11"/>
        <v>"C:\Program Files (x86)\AstroGrep\AstroGrep.exe" /e /r /s /spath="%USERPROFILE%\AppData\Local\Temp\OnboardLogs" /stypes="app*4042*20170825*" /stext=" 13:.+((SYSTEM_STATE.+slice.+state.+changed )|(ment ac)|(multiple cpu faults)|(system.+state.+changed )|(\[timeout)|(PRM\|1\|D)|(kpr)|(kdp)|(train st.+moving)|(\|lc)|(penalty))"</v>
      </c>
      <c r="AG39" s="209" t="str">
        <f t="shared" si="12"/>
        <v>EC</v>
      </c>
      <c r="AH39" s="78" t="str">
        <f t="shared" si="22"/>
        <v>"%USERPROFILE%\Documents\GitHub\eaglep3\Utilities\RefineRTDCRunTimes.py" --tripid 127-25 --locoid 4042 --swversion DE.1.0.9.0 --startMP 204:438 --initTime 2017-08-25T06:54:58 --startdatetime 2017-08-25T07:00:46 --delay 1 --endMP 204:233308 --enddatetime 2017-08-25T07:37:17 --enforcementcount 1 &gt;&gt;C:\Users\stu\Documents\GitHub\eaglep3-reporting\EC\2017-08-25-refined-times.txt</v>
      </c>
      <c r="AI39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{"issue":{"subject":"","project_id":79,"tracker_id":40,"status_id":1,"priority_id":2,"assigned_to_id":23,"start_date":"2017-08-25","description":"","custom_fields":[{"id":1,"name":"Subdivision","value":"EC"},{"id":4,"name":"Milepost","value":"23.3308"},{"id":17,"name":"Train ID","value":"127-25"},{"id":16,"name":"Locomotive ID","value":"4042"},{"id":130,"name":"Impact","value":""},{"id":150,"name":"Time of Event (Mountain Time)","value":"07:37:17"},{"id":151,"name":"Denver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4"/>
        <v>start /low /b %USERPROFILE%\Documents\GitHub\eaglep3\Utilities\DownloadLogsFromS3.py --loco 4042 --day 2017-08-25</v>
      </c>
      <c r="AN39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658</v>
      </c>
      <c r="B40" s="7">
        <v>4041</v>
      </c>
      <c r="C40" s="21" t="s">
        <v>197</v>
      </c>
      <c r="D40" s="21" t="s">
        <v>404</v>
      </c>
      <c r="E40" s="13">
        <v>42972.319340277776</v>
      </c>
      <c r="F40" s="13">
        <v>42972.331435185188</v>
      </c>
      <c r="G40" s="7">
        <v>1</v>
      </c>
      <c r="H40" s="21" t="s">
        <v>339</v>
      </c>
      <c r="I40" s="13">
        <v>42972.358749999999</v>
      </c>
      <c r="J40" s="7">
        <v>1</v>
      </c>
      <c r="K40" s="89" t="str">
        <f t="shared" si="0"/>
        <v>4041/4042</v>
      </c>
      <c r="L40" s="217" t="str">
        <f>VLOOKUP(A40,'Trips&amp;Operators'!$C$1:$G$99911,5,FALSE)</f>
        <v>DAVIDSON DAVID</v>
      </c>
      <c r="M40" s="6">
        <f t="shared" si="1"/>
        <v>2.7314814811688848E-2</v>
      </c>
      <c r="N40" s="7">
        <f t="shared" si="31"/>
        <v>39.333333328831941</v>
      </c>
      <c r="O40" s="7"/>
      <c r="P40" s="7"/>
      <c r="Q40" s="22"/>
      <c r="R40" s="170"/>
      <c r="S40" s="213">
        <f t="shared" si="2"/>
        <v>1</v>
      </c>
      <c r="T40" s="195" t="str">
        <f t="shared" si="3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4"/>
        <v>https://d0f6bd738d7f1b3e5a7ca70fe4ff75f0.us-east-1.aws.found.io/app/kibana#/discover/Steve-Slow-Train-Analysis-(2080s-and-2083s)?_g=(refreshInterval:(display:Off,pause:!f,section:0,value:0),time:(from:'2017-08-25T06:39:51-0600',mode:absolute,to:'2017-08-25T09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0" s="197" t="str">
        <f>IF(AA40&lt;VLOOKUP(AG40,Variables!$AC$3:$AD$8,2,FALSE),"Y","N")</f>
        <v>N</v>
      </c>
      <c r="X40" s="197">
        <f t="shared" si="32"/>
        <v>1</v>
      </c>
      <c r="Y40" s="197">
        <f t="shared" si="6"/>
        <v>23.298500000000001</v>
      </c>
      <c r="Z40" s="197">
        <f t="shared" si="33"/>
        <v>1.49E-2</v>
      </c>
      <c r="AA40" s="197">
        <f t="shared" si="8"/>
        <v>23.2836</v>
      </c>
      <c r="AB40" s="54" t="e">
        <f>VLOOKUP(A40,Enforcements!$C$7:$K$11,8,0)</f>
        <v>#N/A</v>
      </c>
      <c r="AC40" s="51" t="e">
        <f>VLOOKUP(A40,Enforcements!$C$7:$E$11,3,0)</f>
        <v>#N/A</v>
      </c>
      <c r="AD40" s="206">
        <f t="shared" si="9"/>
        <v>128</v>
      </c>
      <c r="AE40" s="77" t="str">
        <f t="shared" si="10"/>
        <v>aws s3 cp s3://rtdc.mdm.uploadarchive.raw/RTDC4041/ "%USERPROFILE%\AppData\Local\Temp\OnboardLogs"\RTDC4041\2017-08-25 --exclude "*" --recursive --include "*20170825*" &amp; "%USERPROFILE%\Documents\GitHub\mrs-test-scripts\Headless Mode &amp; Sideloading\WalkAndUnGZ.bat" "%USERPROFILE%\AppData\Local\Temp\OnboardLogs"\RTDC4041\2017-08-25 &amp; aws s3 cp s3://rtdc.mdm.uploadarchive.raw/RTDC4041/ "%USERPROFILE%\AppData\Local\Temp\OnboardLogs"\RTDC4041\2017-08-26 --exclude "*" --recursive --include "*20170826*" &amp; "%USERPROFILE%\Documents\GitHub\mrs-test-scripts\Headless Mode &amp; Sideloading\WalkAndUnGZ.bat" "%USERPROFILE%\AppData\Local\Temp\OnboardLogs"\RTDC4041\2017-08-26</v>
      </c>
      <c r="AF40" s="74" t="str">
        <f t="shared" si="11"/>
        <v>"C:\Program Files (x86)\AstroGrep\AstroGrep.exe" /e /r /s /spath="%USERPROFILE%\AppData\Local\Temp\OnboardLogs" /stypes="app*4041*20170825*" /stext=" 14:.+((SYSTEM_STATE.+slice.+state.+changed )|(ment ac)|(multiple cpu faults)|(system.+state.+changed )|(\[timeout)|(PRM\|1\|D)|(kpr)|(kdp)|(train st.+moving)|(\|lc)|(penalty))"</v>
      </c>
      <c r="AG40" s="209" t="str">
        <f t="shared" si="12"/>
        <v>EC</v>
      </c>
      <c r="AH40" s="78" t="str">
        <f t="shared" si="22"/>
        <v>"%USERPROFILE%\Documents\GitHub\eaglep3\Utilities\RefineRTDCRunTimes.py" --tripid 128-25 --locoid 4041 --swversion DE.1.0.9.0 --startMP 204:232985 --initTime 2017-08-25T07:39:51 --startdatetime 2017-08-25T07:57:16 --delay 1 --endMP 204:149 --enddatetime 2017-08-25T08:36:36 --enforcementcount 1 &gt;&gt;C:\Users\stu\Documents\GitHub\eaglep3-reporting\EC\2017-08-25-refined-times.txt</v>
      </c>
      <c r="AI40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{"issue":{"subject":"","project_id":79,"tracker_id":40,"status_id":1,"priority_id":2,"assigned_to_id":23,"start_date":"2017-08-25","description":"","custom_fields":[{"id":1,"name":"Subdivision","value":"EC"},{"id":4,"name":"Milepost","value":"0.0149"},{"id":17,"name":"Train ID","value":"128-25"},{"id":16,"name":"Locomotive ID","value":"4041"},{"id":130,"name":"Impact","value":""},{"id":150,"name":"Time of Event (Mountain Time)","value":"08:36:36"},{"id":151,"name":"Denver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4"/>
        <v>start /low /b %USERPROFILE%\Documents\GitHub\eaglep3\Utilities\DownloadLogsFromS3.py --loco 4041 --day 2017-08-25</v>
      </c>
      <c r="AN40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653</v>
      </c>
      <c r="B41" s="7">
        <v>4030</v>
      </c>
      <c r="C41" s="21" t="s">
        <v>197</v>
      </c>
      <c r="D41" s="21" t="s">
        <v>349</v>
      </c>
      <c r="E41" s="13">
        <v>42972.298495370371</v>
      </c>
      <c r="F41" s="13">
        <v>42972.30259259259</v>
      </c>
      <c r="G41" s="7">
        <v>1</v>
      </c>
      <c r="H41" s="21" t="s">
        <v>527</v>
      </c>
      <c r="I41" s="13">
        <v>42972.327893518515</v>
      </c>
      <c r="J41" s="7">
        <v>1</v>
      </c>
      <c r="K41" s="89" t="str">
        <f t="shared" si="0"/>
        <v>4029/4030</v>
      </c>
      <c r="L41" s="217" t="str">
        <f>VLOOKUP(A41,'Trips&amp;Operators'!$C$1:$G$99911,5,FALSE)</f>
        <v>WILLIAMS DONTE</v>
      </c>
      <c r="M41" s="6">
        <f t="shared" si="1"/>
        <v>2.5300925924966577E-2</v>
      </c>
      <c r="N41" s="7">
        <f t="shared" si="31"/>
        <v>36.433333331951872</v>
      </c>
      <c r="O41" s="7"/>
      <c r="P41" s="7"/>
      <c r="Q41" s="22"/>
      <c r="R41" s="170"/>
      <c r="S41" s="213">
        <f t="shared" si="2"/>
        <v>1</v>
      </c>
      <c r="T41" s="195" t="str">
        <f t="shared" si="3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4"/>
        <v>https://d0f6bd738d7f1b3e5a7ca70fe4ff75f0.us-east-1.aws.found.io/app/kibana#/discover/Steve-Slow-Train-Analysis-(2080s-and-2083s)?_g=(refreshInterval:(display:Off,pause:!f,section:0,value:0),time:(from:'2017-08-25T06:09:50-0600',mode:absolute,to:'2017-08-25T08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1" s="197" t="str">
        <f>IF(AA41&lt;VLOOKUP(AG41,Variables!$AC$3:$AD$8,2,FALSE),"Y","N")</f>
        <v>N</v>
      </c>
      <c r="X41" s="197">
        <f t="shared" si="32"/>
        <v>1</v>
      </c>
      <c r="Y41" s="197">
        <f t="shared" si="6"/>
        <v>4.6199999999999998E-2</v>
      </c>
      <c r="Z41" s="197">
        <f t="shared" si="33"/>
        <v>23.3278</v>
      </c>
      <c r="AA41" s="197">
        <f t="shared" si="8"/>
        <v>23.281600000000001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206">
        <f t="shared" si="9"/>
        <v>129</v>
      </c>
      <c r="AE41" s="77" t="str">
        <f t="shared" si="10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41" s="74" t="str">
        <f t="shared" si="11"/>
        <v>"C:\Program Files (x86)\AstroGrep\AstroGrep.exe" /e /r /s /spath="%USERPROFILE%\AppData\Local\Temp\OnboardLogs" /stypes="app*4030*20170825*" /stext=" 13:.+((SYSTEM_STATE.+slice.+state.+changed )|(ment ac)|(multiple cpu faults)|(system.+state.+changed )|(\[timeout)|(PRM\|1\|D)|(kpr)|(kdp)|(train st.+moving)|(\|lc)|(penalty))"</v>
      </c>
      <c r="AG41" s="209" t="str">
        <f t="shared" si="12"/>
        <v>EC</v>
      </c>
      <c r="AH41" s="78" t="str">
        <f t="shared" si="22"/>
        <v>"%USERPROFILE%\Documents\GitHub\eaglep3\Utilities\RefineRTDCRunTimes.py" --tripid 129-25 --locoid 4030 --swversion DE.1.0.9.0 --startMP 204:462 --initTime 2017-08-25T07:09:50 --startdatetime 2017-08-25T07:15:44 --delay 1 --endMP 204:233278 --enddatetime 2017-08-25T07:52:10 --enforcementcount 1 &gt;&gt;C:\Users\stu\Documents\GitHub\eaglep3-reporting\EC\2017-08-25-refined-times.txt</v>
      </c>
      <c r="AI41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{"issue":{"subject":"","project_id":79,"tracker_id":40,"status_id":1,"priority_id":2,"assigned_to_id":23,"start_date":"2017-08-25","description":"","custom_fields":[{"id":1,"name":"Subdivision","value":"EC"},{"id":4,"name":"Milepost","value":"23.3278"},{"id":17,"name":"Train ID","value":"129-25"},{"id":16,"name":"Locomotive ID","value":"4030"},{"id":130,"name":"Impact","value":""},{"id":150,"name":"Time of Event (Mountain Time)","value":"07:52:10"},{"id":151,"name":"Denver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4"/>
        <v>start /low /b %USERPROFILE%\Documents\GitHub\eaglep3\Utilities\DownloadLogsFromS3.py --loco 4030 --day 2017-08-25</v>
      </c>
      <c r="AN41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662</v>
      </c>
      <c r="B42" s="7">
        <v>4029</v>
      </c>
      <c r="C42" s="21" t="s">
        <v>197</v>
      </c>
      <c r="D42" s="21" t="s">
        <v>835</v>
      </c>
      <c r="E42" s="13">
        <v>42972.338055555556</v>
      </c>
      <c r="F42" s="13">
        <v>42972.341956018521</v>
      </c>
      <c r="G42" s="7">
        <v>1</v>
      </c>
      <c r="H42" s="21" t="s">
        <v>391</v>
      </c>
      <c r="I42" s="13">
        <v>42972.368796296294</v>
      </c>
      <c r="J42" s="7">
        <v>1</v>
      </c>
      <c r="K42" s="89" t="str">
        <f t="shared" si="0"/>
        <v>4029/4030</v>
      </c>
      <c r="L42" s="217" t="str">
        <f>VLOOKUP(A42,'Trips&amp;Operators'!$C$1:$G$99911,5,FALSE)</f>
        <v>WILLIAMS DONTE</v>
      </c>
      <c r="M42" s="6">
        <f t="shared" si="1"/>
        <v>2.6840277772862464E-2</v>
      </c>
      <c r="N42" s="7">
        <f t="shared" si="31"/>
        <v>38.649999992921948</v>
      </c>
      <c r="O42" s="7"/>
      <c r="P42" s="7"/>
      <c r="Q42" s="22"/>
      <c r="R42" s="170"/>
      <c r="S42" s="213">
        <f t="shared" si="2"/>
        <v>1</v>
      </c>
      <c r="T42" s="195" t="str">
        <f t="shared" si="3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4"/>
        <v>https://d0f6bd738d7f1b3e5a7ca70fe4ff75f0.us-east-1.aws.found.io/app/kibana#/discover/Steve-Slow-Train-Analysis-(2080s-and-2083s)?_g=(refreshInterval:(display:Off,pause:!f,section:0,value:0),time:(from:'2017-08-25T07:06:48-0600',mode:absolute,to:'2017-08-25T09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197" t="str">
        <f>IF(AA42&lt;VLOOKUP(AG42,Variables!$AC$3:$AD$8,2,FALSE),"Y","N")</f>
        <v>N</v>
      </c>
      <c r="X42" s="197">
        <f t="shared" si="32"/>
        <v>1</v>
      </c>
      <c r="Y42" s="197">
        <f t="shared" si="6"/>
        <v>23.2957</v>
      </c>
      <c r="Z42" s="197">
        <f t="shared" si="33"/>
        <v>1.5599999999999999E-2</v>
      </c>
      <c r="AA42" s="197">
        <f t="shared" si="8"/>
        <v>23.280100000000001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206">
        <f t="shared" si="9"/>
        <v>130</v>
      </c>
      <c r="AE42" s="77" t="str">
        <f t="shared" si="10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42" s="74" t="str">
        <f t="shared" si="11"/>
        <v>"C:\Program Files (x86)\AstroGrep\AstroGrep.exe" /e /r /s /spath="%USERPROFILE%\AppData\Local\Temp\OnboardLogs" /stypes="app*4029*20170825*" /stext=" 14:.+((SYSTEM_STATE.+slice.+state.+changed )|(ment ac)|(multiple cpu faults)|(system.+state.+changed )|(\[timeout)|(PRM\|1\|D)|(kpr)|(kdp)|(train st.+moving)|(\|lc)|(penalty))"</v>
      </c>
      <c r="AG42" s="209" t="str">
        <f t="shared" si="12"/>
        <v>EC</v>
      </c>
      <c r="AH42" s="78" t="str">
        <f t="shared" si="22"/>
        <v>"%USERPROFILE%\Documents\GitHub\eaglep3\Utilities\RefineRTDCRunTimes.py" --tripid 130-25 --locoid 4029 --swversion DE.1.0.9.0 --startMP 204:232957 --initTime 2017-08-25T08:06:48 --startdatetime 2017-08-25T08:12:25 --delay 1 --endMP 204:156 --enddatetime 2017-08-25T08:51:04 --enforcementcount 1 &gt;&gt;C:\Users\stu\Documents\GitHub\eaglep3-reporting\EC\2017-08-25-refined-times.txt</v>
      </c>
      <c r="AI42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{"issue":{"subject":"","project_id":79,"tracker_id":40,"status_id":1,"priority_id":2,"assigned_to_id":23,"start_date":"2017-08-25","description":"","custom_fields":[{"id":1,"name":"Subdivision","value":"EC"},{"id":4,"name":"Milepost","value":"0.0156"},{"id":17,"name":"Train ID","value":"130-25"},{"id":16,"name":"Locomotive ID","value":"4029"},{"id":130,"name":"Impact","value":""},{"id":150,"name":"Time of Event (Mountain Time)","value":"08:51:04"},{"id":151,"name":"Denver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4"/>
        <v>start /low /b %USERPROFILE%\Documents\GitHub\eaglep3\Utilities\DownloadLogsFromS3.py --loco 4029 --day 2017-08-25</v>
      </c>
      <c r="AN42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654</v>
      </c>
      <c r="B43" s="7">
        <v>4058</v>
      </c>
      <c r="C43" s="21" t="s">
        <v>197</v>
      </c>
      <c r="D43" s="21" t="s">
        <v>366</v>
      </c>
      <c r="E43" s="13">
        <v>42972.308518518519</v>
      </c>
      <c r="F43" s="13">
        <v>42972.313055555554</v>
      </c>
      <c r="G43" s="7">
        <v>1</v>
      </c>
      <c r="H43" s="21" t="s">
        <v>442</v>
      </c>
      <c r="I43" s="13">
        <v>42972.337395833332</v>
      </c>
      <c r="J43" s="7">
        <v>1</v>
      </c>
      <c r="K43" s="89" t="str">
        <f t="shared" si="0"/>
        <v>4057/4058</v>
      </c>
      <c r="L43" s="217" t="str">
        <f>VLOOKUP(A43,'Trips&amp;Operators'!$C$1:$G$99911,5,FALSE)</f>
        <v>LOZA FIDEL</v>
      </c>
      <c r="M43" s="6">
        <f t="shared" si="1"/>
        <v>2.4340277777810115E-2</v>
      </c>
      <c r="N43" s="7">
        <f t="shared" si="31"/>
        <v>35.050000000046566</v>
      </c>
      <c r="O43" s="7"/>
      <c r="P43" s="7"/>
      <c r="Q43" s="22"/>
      <c r="R43" s="170"/>
      <c r="S43" s="213">
        <f t="shared" si="2"/>
        <v>1</v>
      </c>
      <c r="T43" s="195" t="str">
        <f t="shared" si="3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4"/>
        <v>https://d0f6bd738d7f1b3e5a7ca70fe4ff75f0.us-east-1.aws.found.io/app/kibana#/discover/Steve-Slow-Train-Analysis-(2080s-and-2083s)?_g=(refreshInterval:(display:Off,pause:!f,section:0,value:0),time:(from:'2017-08-25T06:24:16-0600',mode:absolute,to:'2017-08-25T09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3" s="197" t="str">
        <f>IF(AA43&lt;VLOOKUP(AG43,Variables!$AC$3:$AD$8,2,FALSE),"Y","N")</f>
        <v>N</v>
      </c>
      <c r="X43" s="197">
        <f t="shared" si="32"/>
        <v>1</v>
      </c>
      <c r="Y43" s="197">
        <f t="shared" si="6"/>
        <v>4.58E-2</v>
      </c>
      <c r="Z43" s="197">
        <f t="shared" si="33"/>
        <v>23.3306</v>
      </c>
      <c r="AA43" s="197">
        <f t="shared" si="8"/>
        <v>23.284800000000001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206">
        <f t="shared" si="9"/>
        <v>131</v>
      </c>
      <c r="AE43" s="77" t="str">
        <f t="shared" si="10"/>
        <v>aws s3 cp s3://rtdc.mdm.uploadarchive.raw/RTDC4058/ "%USERPROFILE%\AppData\Local\Temp\OnboardLogs"\RTDC4058\2017-08-25 --exclude "*" --recursive --include "*20170825*" &amp; "%USERPROFILE%\Documents\GitHub\mrs-test-scripts\Headless Mode &amp; Sideloading\WalkAndUnGZ.bat" "%USERPROFILE%\AppData\Local\Temp\OnboardLogs"\RTDC4058\2017-08-25 &amp; aws s3 cp s3://rtdc.mdm.uploadarchive.raw/RTDC4058/ "%USERPROFILE%\AppData\Local\Temp\OnboardLogs"\RTDC4058\2017-08-26 --exclude "*" --recursive --include "*20170826*" &amp; "%USERPROFILE%\Documents\GitHub\mrs-test-scripts\Headless Mode &amp; Sideloading\WalkAndUnGZ.bat" "%USERPROFILE%\AppData\Local\Temp\OnboardLogs"\RTDC4058\2017-08-26</v>
      </c>
      <c r="AF43" s="74" t="str">
        <f t="shared" si="11"/>
        <v>"C:\Program Files (x86)\AstroGrep\AstroGrep.exe" /e /r /s /spath="%USERPROFILE%\AppData\Local\Temp\OnboardLogs" /stypes="app*4058*20170825*" /stext=" 14:.+((SYSTEM_STATE.+slice.+state.+changed )|(ment ac)|(multiple cpu faults)|(system.+state.+changed )|(\[timeout)|(PRM\|1\|D)|(kpr)|(kdp)|(train st.+moving)|(\|lc)|(penalty))"</v>
      </c>
      <c r="AG43" s="209" t="str">
        <f t="shared" si="12"/>
        <v>EC</v>
      </c>
      <c r="AH43" s="78" t="str">
        <f t="shared" si="22"/>
        <v>"%USERPROFILE%\Documents\GitHub\eaglep3\Utilities\RefineRTDCRunTimes.py" --tripid 131-25 --locoid 4058 --swversion DE.1.0.9.0 --startMP 204:458 --initTime 2017-08-25T07:24:16 --startdatetime 2017-08-25T07:30:48 --delay 1 --endMP 204:233306 --enddatetime 2017-08-25T08:05:51 --enforcementcount 1 &gt;&gt;C:\Users\stu\Documents\GitHub\eaglep3-reporting\EC\2017-08-25-refined-times.txt</v>
      </c>
      <c r="AI43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{"issue":{"subject":"","project_id":79,"tracker_id":40,"status_id":1,"priority_id":2,"assigned_to_id":23,"start_date":"2017-08-25","description":"","custom_fields":[{"id":1,"name":"Subdivision","value":"EC"},{"id":4,"name":"Milepost","value":"23.3306"},{"id":17,"name":"Train ID","value":"131-25"},{"id":16,"name":"Locomotive ID","value":"4058"},{"id":130,"name":"Impact","value":""},{"id":150,"name":"Time of Event (Mountain Time)","value":"08:05:51"},{"id":151,"name":"Denver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4"/>
        <v>start /low /b %USERPROFILE%\Documents\GitHub\eaglep3\Utilities\DownloadLogsFromS3.py --loco 4058 --day 2017-08-25</v>
      </c>
      <c r="AN43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663</v>
      </c>
      <c r="B44" s="7">
        <v>4057</v>
      </c>
      <c r="C44" s="21" t="s">
        <v>197</v>
      </c>
      <c r="D44" s="21" t="s">
        <v>401</v>
      </c>
      <c r="E44" s="13">
        <v>42972.350127314814</v>
      </c>
      <c r="F44" s="13">
        <v>42972.352268518516</v>
      </c>
      <c r="G44" s="7">
        <v>1</v>
      </c>
      <c r="H44" s="21" t="s">
        <v>376</v>
      </c>
      <c r="I44" s="13">
        <v>42972.37841435185</v>
      </c>
      <c r="J44" s="7">
        <v>1</v>
      </c>
      <c r="K44" s="89" t="str">
        <f t="shared" si="0"/>
        <v>4057/4058</v>
      </c>
      <c r="L44" s="217" t="str">
        <f>VLOOKUP(A44,'Trips&amp;Operators'!$C$1:$G$99911,5,FALSE)</f>
        <v>LOZA FIDEL</v>
      </c>
      <c r="M44" s="6">
        <f t="shared" si="1"/>
        <v>2.6145833333430346E-2</v>
      </c>
      <c r="N44" s="7">
        <f t="shared" si="31"/>
        <v>37.650000000139698</v>
      </c>
      <c r="O44" s="7"/>
      <c r="P44" s="7"/>
      <c r="Q44" s="22"/>
      <c r="R44" s="170"/>
      <c r="S44" s="213">
        <f t="shared" si="2"/>
        <v>1</v>
      </c>
      <c r="T44" s="195" t="str">
        <f t="shared" si="3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4"/>
        <v>https://d0f6bd738d7f1b3e5a7ca70fe4ff75f0.us-east-1.aws.found.io/app/kibana#/discover/Steve-Slow-Train-Analysis-(2080s-and-2083s)?_g=(refreshInterval:(display:Off,pause:!f,section:0,value:0),time:(from:'2017-08-25T07:24:11-0600',mode:absolute,to:'2017-08-25T10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4" s="197" t="str">
        <f>IF(AA44&lt;VLOOKUP(AG44,Variables!$AC$3:$AD$8,2,FALSE),"Y","N")</f>
        <v>N</v>
      </c>
      <c r="X44" s="197">
        <f t="shared" si="32"/>
        <v>1</v>
      </c>
      <c r="Y44" s="197">
        <f t="shared" si="6"/>
        <v>23.3002</v>
      </c>
      <c r="Z44" s="197">
        <f t="shared" si="33"/>
        <v>1.4500000000000001E-2</v>
      </c>
      <c r="AA44" s="197">
        <f t="shared" si="8"/>
        <v>23.285699999999999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206">
        <f t="shared" si="9"/>
        <v>132</v>
      </c>
      <c r="AE44" s="77" t="str">
        <f t="shared" si="10"/>
        <v>aws s3 cp s3://rtdc.mdm.uploadarchive.raw/RTDC4057/ "%USERPROFILE%\AppData\Local\Temp\OnboardLogs"\RTDC4057\2017-08-25 --exclude "*" --recursive --include "*20170825*" &amp; "%USERPROFILE%\Documents\GitHub\mrs-test-scripts\Headless Mode &amp; Sideloading\WalkAndUnGZ.bat" "%USERPROFILE%\AppData\Local\Temp\OnboardLogs"\RTDC4057\2017-08-25 &amp; aws s3 cp s3://rtdc.mdm.uploadarchive.raw/RTDC4057/ "%USERPROFILE%\AppData\Local\Temp\OnboardLogs"\RTDC4057\2017-08-26 --exclude "*" --recursive --include "*20170826*" &amp; "%USERPROFILE%\Documents\GitHub\mrs-test-scripts\Headless Mode &amp; Sideloading\WalkAndUnGZ.bat" "%USERPROFILE%\AppData\Local\Temp\OnboardLogs"\RTDC4057\2017-08-26</v>
      </c>
      <c r="AF44" s="74" t="str">
        <f t="shared" si="11"/>
        <v>"C:\Program Files (x86)\AstroGrep\AstroGrep.exe" /e /r /s /spath="%USERPROFILE%\AppData\Local\Temp\OnboardLogs" /stypes="app*4057*20170825*" /stext=" 15:.+((SYSTEM_STATE.+slice.+state.+changed )|(ment ac)|(multiple cpu faults)|(system.+state.+changed )|(\[timeout)|(PRM\|1\|D)|(kpr)|(kdp)|(train st.+moving)|(\|lc)|(penalty))"</v>
      </c>
      <c r="AG44" s="209" t="str">
        <f t="shared" si="12"/>
        <v>EC</v>
      </c>
      <c r="AH44" s="78" t="str">
        <f t="shared" si="22"/>
        <v>"%USERPROFILE%\Documents\GitHub\eaglep3\Utilities\RefineRTDCRunTimes.py" --tripid 132-25 --locoid 4057 --swversion DE.1.0.9.0 --startMP 204:233002 --initTime 2017-08-25T08:24:11 --startdatetime 2017-08-25T08:27:16 --delay 1 --endMP 204:145 --enddatetime 2017-08-25T09:04:55 --enforcementcount 1 &gt;&gt;C:\Users\stu\Documents\GitHub\eaglep3-reporting\EC\2017-08-25-refined-times.txt</v>
      </c>
      <c r="AI44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{"issue":{"subject":"","project_id":79,"tracker_id":40,"status_id":1,"priority_id":2,"assigned_to_id":23,"start_date":"2017-08-25","description":"","custom_fields":[{"id":1,"name":"Subdivision","value":"EC"},{"id":4,"name":"Milepost","value":"0.0145"},{"id":17,"name":"Train ID","value":"132-25"},{"id":16,"name":"Locomotive ID","value":"4057"},{"id":130,"name":"Impact","value":""},{"id":150,"name":"Time of Event (Mountain Time)","value":"09:04:55"},{"id":151,"name":"Denver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4"/>
        <v>start /low /b %USERPROFILE%\Documents\GitHub\eaglep3\Utilities\DownloadLogsFromS3.py --loco 4057 --day 2017-08-25</v>
      </c>
      <c r="AN44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15:04:55"},{"id":29,"name":"Sharepoint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656</v>
      </c>
      <c r="B45" s="7">
        <v>4064</v>
      </c>
      <c r="C45" s="21" t="s">
        <v>197</v>
      </c>
      <c r="D45" s="21" t="s">
        <v>385</v>
      </c>
      <c r="E45" s="13">
        <v>42972.318749999999</v>
      </c>
      <c r="F45" s="13">
        <v>42972.323692129627</v>
      </c>
      <c r="G45" s="7">
        <v>1</v>
      </c>
      <c r="H45" s="21" t="s">
        <v>836</v>
      </c>
      <c r="I45" s="13">
        <v>42972.348865740743</v>
      </c>
      <c r="J45" s="7">
        <v>1</v>
      </c>
      <c r="K45" s="89" t="str">
        <f t="shared" si="0"/>
        <v>4063/4064</v>
      </c>
      <c r="L45" s="217" t="str">
        <f>VLOOKUP(A45,'Trips&amp;Operators'!$C$1:$G$99911,5,FALSE)</f>
        <v>BONDS REYNALDO</v>
      </c>
      <c r="M45" s="6">
        <f t="shared" si="1"/>
        <v>2.5173611116770189E-2</v>
      </c>
      <c r="N45" s="7">
        <f t="shared" si="31"/>
        <v>36.250000008149073</v>
      </c>
      <c r="O45" s="7"/>
      <c r="P45" s="7"/>
      <c r="Q45" s="22"/>
      <c r="R45" s="170"/>
      <c r="S45" s="213">
        <f t="shared" si="2"/>
        <v>1</v>
      </c>
      <c r="T45" s="195" t="str">
        <f t="shared" si="3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4"/>
        <v>https://d0f6bd738d7f1b3e5a7ca70fe4ff75f0.us-east-1.aws.found.io/app/kibana#/discover/Steve-Slow-Train-Analysis-(2080s-and-2083s)?_g=(refreshInterval:(display:Off,pause:!f,section:0,value:0),time:(from:'2017-08-25T06:39:00-0600',mode:absolute,to:'2017-08-25T09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5" s="197" t="str">
        <f>IF(AA45&lt;VLOOKUP(AG45,Variables!$AC$3:$AD$8,2,FALSE),"Y","N")</f>
        <v>N</v>
      </c>
      <c r="X45" s="197">
        <f t="shared" si="32"/>
        <v>1</v>
      </c>
      <c r="Y45" s="197">
        <f t="shared" ref="Y45:Y76" si="34">RIGHT(D45,LEN(D45)-4)/10000</f>
        <v>4.7100000000000003E-2</v>
      </c>
      <c r="Z45" s="197">
        <f t="shared" si="33"/>
        <v>23.341799999999999</v>
      </c>
      <c r="AA45" s="197">
        <f t="shared" si="8"/>
        <v>23.294699999999999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206">
        <f t="shared" si="9"/>
        <v>133</v>
      </c>
      <c r="AE45" s="77" t="str">
        <f t="shared" si="10"/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AF45" s="74" t="str">
        <f t="shared" si="11"/>
        <v>"C:\Program Files (x86)\AstroGrep\AstroGrep.exe" /e /r /s /spath="%USERPROFILE%\AppData\Local\Temp\OnboardLogs" /stypes="app*4064*20170825*" /stext=" 14:.+((SYSTEM_STATE.+slice.+state.+changed )|(ment ac)|(multiple cpu faults)|(system.+state.+changed )|(\[timeout)|(PRM\|1\|D)|(kpr)|(kdp)|(train st.+moving)|(\|lc)|(penalty))"</v>
      </c>
      <c r="AG45" s="209" t="str">
        <f t="shared" si="12"/>
        <v>EC</v>
      </c>
      <c r="AH45" s="78" t="str">
        <f t="shared" si="22"/>
        <v>"%USERPROFILE%\Documents\GitHub\eaglep3\Utilities\RefineRTDCRunTimes.py" --tripid 133-25 --locoid 4064 --swversion DE.1.0.9.0 --startMP 204:471 --initTime 2017-08-25T07:39:00 --startdatetime 2017-08-25T07:46:07 --delay 1 --endMP 204:233418 --enddatetime 2017-08-25T08:22:22 --enforcementcount 1 &gt;&gt;C:\Users\stu\Documents\GitHub\eaglep3-reporting\EC\2017-08-25-refined-times.txt</v>
      </c>
      <c r="AI45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{"issue":{"subject":"","project_id":79,"tracker_id":40,"status_id":1,"priority_id":2,"assigned_to_id":23,"start_date":"2017-08-25","description":"","custom_fields":[{"id":1,"name":"Subdivision","value":"EC"},{"id":4,"name":"Milepost","value":"23.3418"},{"id":17,"name":"Train ID","value":"133-25"},{"id":16,"name":"Locomotive ID","value":"4064"},{"id":130,"name":"Impact","value":""},{"id":150,"name":"Time of Event (Mountain Time)","value":"08:22:22"},{"id":151,"name":"Denver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4"/>
        <v>start /low /b %USERPROFILE%\Documents\GitHub\eaglep3\Utilities\DownloadLogsFromS3.py --loco 4064 --day 2017-08-25</v>
      </c>
      <c r="AN45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665</v>
      </c>
      <c r="B46" s="7">
        <v>4063</v>
      </c>
      <c r="C46" s="21" t="s">
        <v>197</v>
      </c>
      <c r="D46" s="21" t="s">
        <v>837</v>
      </c>
      <c r="E46" s="13">
        <v>42972.359560185185</v>
      </c>
      <c r="F46" s="13">
        <v>42972.362662037034</v>
      </c>
      <c r="G46" s="7">
        <v>1</v>
      </c>
      <c r="H46" s="21" t="s">
        <v>391</v>
      </c>
      <c r="I46" s="13">
        <v>42972.390173611115</v>
      </c>
      <c r="J46" s="7">
        <v>1</v>
      </c>
      <c r="K46" s="89" t="str">
        <f t="shared" si="0"/>
        <v>4063/4064</v>
      </c>
      <c r="L46" s="217" t="str">
        <f>VLOOKUP(A46,'Trips&amp;Operators'!$C$1:$G$99911,5,FALSE)</f>
        <v>BONDS REYNALDO</v>
      </c>
      <c r="M46" s="6">
        <f t="shared" si="1"/>
        <v>2.751157408056315E-2</v>
      </c>
      <c r="N46" s="7">
        <f t="shared" si="31"/>
        <v>39.616666676010936</v>
      </c>
      <c r="O46" s="7"/>
      <c r="P46" s="7"/>
      <c r="Q46" s="22"/>
      <c r="R46" s="170"/>
      <c r="S46" s="213">
        <f t="shared" si="2"/>
        <v>1</v>
      </c>
      <c r="T46" s="195" t="str">
        <f t="shared" si="3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4"/>
        <v>https://d0f6bd738d7f1b3e5a7ca70fe4ff75f0.us-east-1.aws.found.io/app/kibana#/discover/Steve-Slow-Train-Analysis-(2080s-and-2083s)?_g=(refreshInterval:(display:Off,pause:!f,section:0,value:0),time:(from:'2017-08-25T07:37:46-0600',mode:absolute,to:'2017-08-25T10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6" s="197" t="str">
        <f>IF(AA46&lt;VLOOKUP(AG46,Variables!$AC$3:$AD$8,2,FALSE),"Y","N")</f>
        <v>N</v>
      </c>
      <c r="X46" s="197">
        <f t="shared" si="32"/>
        <v>1</v>
      </c>
      <c r="Y46" s="197">
        <f t="shared" si="34"/>
        <v>23.310300000000002</v>
      </c>
      <c r="Z46" s="197">
        <f t="shared" si="33"/>
        <v>1.5599999999999999E-2</v>
      </c>
      <c r="AA46" s="197">
        <f t="shared" si="8"/>
        <v>23.294700000000002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206">
        <f t="shared" si="9"/>
        <v>134</v>
      </c>
      <c r="AE46" s="77" t="str">
        <f t="shared" si="10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46" s="74" t="str">
        <f t="shared" si="11"/>
        <v>"C:\Program Files (x86)\AstroGrep\AstroGrep.exe" /e /r /s /spath="%USERPROFILE%\AppData\Local\Temp\OnboardLogs" /stypes="app*4063*20170825*" /stext=" 15:.+((SYSTEM_STATE.+slice.+state.+changed )|(ment ac)|(multiple cpu faults)|(system.+state.+changed )|(\[timeout)|(PRM\|1\|D)|(kpr)|(kdp)|(train st.+moving)|(\|lc)|(penalty))"</v>
      </c>
      <c r="AG46" s="209" t="str">
        <f t="shared" si="12"/>
        <v>EC</v>
      </c>
      <c r="AH46" s="78" t="str">
        <f t="shared" si="22"/>
        <v>"%USERPROFILE%\Documents\GitHub\eaglep3\Utilities\RefineRTDCRunTimes.py" --tripid 134-25 --locoid 4063 --swversion DE.1.0.9.0 --startMP 204:233103 --initTime 2017-08-25T08:37:46 --startdatetime 2017-08-25T08:42:14 --delay 1 --endMP 204:156 --enddatetime 2017-08-25T09:21:51 --enforcementcount 1 &gt;&gt;C:\Users\stu\Documents\GitHub\eaglep3-reporting\EC\2017-08-25-refined-times.txt</v>
      </c>
      <c r="AI46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{"issue":{"subject":"","project_id":79,"tracker_id":40,"status_id":1,"priority_id":2,"assigned_to_id":23,"start_date":"2017-08-25","description":"","custom_fields":[{"id":1,"name":"Subdivision","value":"EC"},{"id":4,"name":"Milepost","value":"0.0156"},{"id":17,"name":"Train ID","value":"134-25"},{"id":16,"name":"Locomotive ID","value":"4063"},{"id":130,"name":"Impact","value":""},{"id":150,"name":"Time of Event (Mountain Time)","value":"09:21:51"},{"id":151,"name":"Denver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4"/>
        <v>start /low /b %USERPROFILE%\Documents\GitHub\eaglep3\Utilities\DownloadLogsFromS3.py --loco 4063 --day 2017-08-25</v>
      </c>
      <c r="AN46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15:21:51"},{"id":29,"name":"Sharepoint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660</v>
      </c>
      <c r="B47" s="7">
        <v>4032</v>
      </c>
      <c r="C47" s="21" t="s">
        <v>197</v>
      </c>
      <c r="D47" s="21" t="s">
        <v>532</v>
      </c>
      <c r="E47" s="13">
        <v>42972.328379629631</v>
      </c>
      <c r="F47" s="13">
        <v>42972.333854166667</v>
      </c>
      <c r="G47" s="7">
        <v>1</v>
      </c>
      <c r="H47" s="21" t="s">
        <v>838</v>
      </c>
      <c r="I47" s="13">
        <v>42972.358576388891</v>
      </c>
      <c r="J47" s="7">
        <v>1</v>
      </c>
      <c r="K47" s="89" t="str">
        <f t="shared" si="0"/>
        <v>4031/4032</v>
      </c>
      <c r="L47" s="217" t="str">
        <f>VLOOKUP(A47,'Trips&amp;Operators'!$C$1:$G$99911,5,FALSE)</f>
        <v>GEBRETEKLE DAGNEW</v>
      </c>
      <c r="M47" s="6">
        <f t="shared" si="1"/>
        <v>2.4722222224227153E-2</v>
      </c>
      <c r="N47" s="7">
        <f t="shared" si="31"/>
        <v>35.6000000028871</v>
      </c>
      <c r="O47" s="7"/>
      <c r="P47" s="7"/>
      <c r="Q47" s="22"/>
      <c r="R47" s="170"/>
      <c r="S47" s="213">
        <f t="shared" si="2"/>
        <v>1</v>
      </c>
      <c r="T47" s="195" t="str">
        <f t="shared" si="3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4"/>
        <v>https://d0f6bd738d7f1b3e5a7ca70fe4ff75f0.us-east-1.aws.found.io/app/kibana#/discover/Steve-Slow-Train-Analysis-(2080s-and-2083s)?_g=(refreshInterval:(display:Off,pause:!f,section:0,value:0),time:(from:'2017-08-25T06:52:52-0600',mode:absolute,to:'2017-08-25T09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197" t="str">
        <f>IF(AA47&lt;VLOOKUP(AG47,Variables!$AC$3:$AD$8,2,FALSE),"Y","N")</f>
        <v>N</v>
      </c>
      <c r="X47" s="197">
        <f t="shared" si="32"/>
        <v>1</v>
      </c>
      <c r="Y47" s="197">
        <f t="shared" si="34"/>
        <v>4.7699999999999999E-2</v>
      </c>
      <c r="Z47" s="197">
        <f t="shared" si="33"/>
        <v>23.331</v>
      </c>
      <c r="AA47" s="197">
        <f t="shared" si="8"/>
        <v>23.283300000000001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206">
        <f t="shared" si="9"/>
        <v>135</v>
      </c>
      <c r="AE47" s="77" t="str">
        <f t="shared" si="10"/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AF47" s="74" t="str">
        <f t="shared" si="11"/>
        <v>"C:\Program Files (x86)\AstroGrep\AstroGrep.exe" /e /r /s /spath="%USERPROFILE%\AppData\Local\Temp\OnboardLogs" /stypes="app*4032*20170825*" /stext=" 14:.+((SYSTEM_STATE.+slice.+state.+changed )|(ment ac)|(multiple cpu faults)|(system.+state.+changed )|(\[timeout)|(PRM\|1\|D)|(kpr)|(kdp)|(train st.+moving)|(\|lc)|(penalty))"</v>
      </c>
      <c r="AG47" s="209" t="str">
        <f t="shared" si="12"/>
        <v>EC</v>
      </c>
      <c r="AH47" s="78" t="str">
        <f t="shared" si="22"/>
        <v>"%USERPROFILE%\Documents\GitHub\eaglep3\Utilities\RefineRTDCRunTimes.py" --tripid 135-25 --locoid 4032 --swversion DE.1.0.9.0 --startMP 204:477 --initTime 2017-08-25T07:52:52 --startdatetime 2017-08-25T08:00:45 --delay 1 --endMP 204:233310 --enddatetime 2017-08-25T08:36:21 --enforcementcount 1 &gt;&gt;C:\Users\stu\Documents\GitHub\eaglep3-reporting\EC\2017-08-25-refined-times.txt</v>
      </c>
      <c r="AI47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{"issue":{"subject":"","project_id":79,"tracker_id":40,"status_id":1,"priority_id":2,"assigned_to_id":23,"start_date":"2017-08-25","description":"","custom_fields":[{"id":1,"name":"Subdivision","value":"EC"},{"id":4,"name":"Milepost","value":"23.331"},{"id":17,"name":"Train ID","value":"135-25"},{"id":16,"name":"Locomotive ID","value":"4032"},{"id":130,"name":"Impact","value":""},{"id":150,"name":"Time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4"/>
        <v>start /low /b %USERPROFILE%\Documents\GitHub\eaglep3\Utilities\DownloadLogsFromS3.py --loco 4032 --day 2017-08-25</v>
      </c>
      <c r="AN47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667</v>
      </c>
      <c r="B48" s="7">
        <v>4031</v>
      </c>
      <c r="C48" s="21" t="s">
        <v>197</v>
      </c>
      <c r="D48" s="21" t="s">
        <v>392</v>
      </c>
      <c r="E48" s="13">
        <v>42972.359942129631</v>
      </c>
      <c r="F48" s="13">
        <v>42972.373090277775</v>
      </c>
      <c r="G48" s="7">
        <v>0</v>
      </c>
      <c r="H48" s="21" t="s">
        <v>367</v>
      </c>
      <c r="I48" s="13">
        <v>42972.399062500001</v>
      </c>
      <c r="J48" s="7">
        <v>1</v>
      </c>
      <c r="K48" s="89" t="str">
        <f t="shared" si="0"/>
        <v>4031/4032</v>
      </c>
      <c r="L48" s="217" t="str">
        <f>VLOOKUP(A48,'Trips&amp;Operators'!$C$1:$G$99911,5,FALSE)</f>
        <v>GEBRETEKLE DAGNEW</v>
      </c>
      <c r="M48" s="6">
        <f t="shared" si="1"/>
        <v>2.5972222225391306E-2</v>
      </c>
      <c r="N48" s="7">
        <f t="shared" si="31"/>
        <v>37.400000004563481</v>
      </c>
      <c r="O48" s="7"/>
      <c r="P48" s="7"/>
      <c r="Q48" s="22"/>
      <c r="R48" s="170"/>
      <c r="S48" s="213">
        <f t="shared" si="2"/>
        <v>1</v>
      </c>
      <c r="T48" s="195" t="str">
        <f t="shared" si="3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4"/>
        <v>https://d0f6bd738d7f1b3e5a7ca70fe4ff75f0.us-east-1.aws.found.io/app/kibana#/discover/Steve-Slow-Train-Analysis-(2080s-and-2083s)?_g=(refreshInterval:(display:Off,pause:!f,section:0,value:0),time:(from:'2017-08-25T07:38:19-0600',mode:absolute,to:'2017-08-25T10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197" t="str">
        <f>IF(AA48&lt;VLOOKUP(AG48,Variables!$AC$3:$AD$8,2,FALSE),"Y","N")</f>
        <v>N</v>
      </c>
      <c r="X48" s="197">
        <f t="shared" si="32"/>
        <v>1</v>
      </c>
      <c r="Y48" s="197">
        <f t="shared" si="34"/>
        <v>23.299800000000001</v>
      </c>
      <c r="Z48" s="197">
        <f t="shared" si="33"/>
        <v>1.5800000000000002E-2</v>
      </c>
      <c r="AA48" s="197">
        <f t="shared" si="8"/>
        <v>23.284000000000002</v>
      </c>
      <c r="AB48" s="54" t="e">
        <f>VLOOKUP(A48,Enforcements!$C$7:$K$11,8,0)</f>
        <v>#N/A</v>
      </c>
      <c r="AC48" s="51" t="e">
        <f>VLOOKUP(A48,Enforcements!$C$7:$E$11,3,0)</f>
        <v>#N/A</v>
      </c>
      <c r="AD48" s="206">
        <f t="shared" si="9"/>
        <v>136</v>
      </c>
      <c r="AE48" s="77" t="str">
        <f t="shared" si="10"/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48" s="74" t="str">
        <f t="shared" si="11"/>
        <v>"C:\Program Files (x86)\AstroGrep\AstroGrep.exe" /e /r /s /spath="%USERPROFILE%\AppData\Local\Temp\OnboardLogs" /stypes="app*4031*20170825*" /stext=" 15:.+((SYSTEM_STATE.+slice.+state.+changed )|(ment ac)|(multiple cpu faults)|(system.+state.+changed )|(\[timeout)|(PRM\|1\|D)|(kpr)|(kdp)|(train st.+moving)|(\|lc)|(penalty))"</v>
      </c>
      <c r="AG48" s="209" t="str">
        <f t="shared" si="12"/>
        <v>EC</v>
      </c>
      <c r="AH48" s="78" t="str">
        <f t="shared" si="22"/>
        <v>"%USERPROFILE%\Documents\GitHub\eaglep3\Utilities\RefineRTDCRunTimes.py" --tripid 136-25 --locoid 4031 --swversion DE.1.0.9.0 --startMP 204:232998 --initTime 2017-08-25T08:38:19 --startdatetime 2017-08-25T08:57:15 --delay 0 --endMP 204:158 --enddatetime 2017-08-25T09:34:39 --enforcementcount 1 &gt;&gt;C:\Users\stu\Documents\GitHub\eaglep3-reporting\EC\2017-08-25-refined-times.txt</v>
      </c>
      <c r="AI48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{"issue":{"subject":"","project_id":79,"tracker_id":40,"status_id":1,"priority_id":2,"assigned_to_id":23,"start_date":"2017-08-25","description":"","custom_fields":[{"id":1,"name":"Subdivision","value":"EC"},{"id":4,"name":"Milepost","value":"0.0158"},{"id":17,"name":"Train ID","value":"136-25"},{"id":16,"name":"Locomotive ID","value":"4031"},{"id":130,"name":"Impact","value":""},{"id":150,"name":"Time of Event (Mountain Time)","value":"09:34:39"},{"id":151,"name":"Denver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4"/>
        <v>start /low /b %USERPROFILE%\Documents\GitHub\eaglep3\Utilities\DownloadLogsFromS3.py --loco 4031 --day 2017-08-25</v>
      </c>
      <c r="AN48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15:34:39"},{"id":29,"name":"Sharepoint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580</v>
      </c>
      <c r="B49" s="7">
        <v>4014</v>
      </c>
      <c r="C49" s="21" t="s">
        <v>197</v>
      </c>
      <c r="D49" s="21" t="s">
        <v>839</v>
      </c>
      <c r="E49" s="13">
        <v>42972.34778935185</v>
      </c>
      <c r="F49" s="13">
        <v>42972.348634259259</v>
      </c>
      <c r="G49" s="7">
        <v>0</v>
      </c>
      <c r="H49" s="21" t="s">
        <v>840</v>
      </c>
      <c r="I49" s="13">
        <v>42972.37059027778</v>
      </c>
      <c r="J49" s="7">
        <v>1</v>
      </c>
      <c r="K49" s="89" t="str">
        <f t="shared" si="0"/>
        <v>4013/4014</v>
      </c>
      <c r="L49" s="217" t="str">
        <f>VLOOKUP(A49,'Trips&amp;Operators'!$C$1:$G$99911,5,FALSE)</f>
        <v>DAVIS WENDY</v>
      </c>
      <c r="M49" s="6">
        <f t="shared" si="1"/>
        <v>2.195601852145046E-2</v>
      </c>
      <c r="N49" s="7"/>
      <c r="O49" s="7"/>
      <c r="P49" s="7">
        <f>24*60*SUM($M49:$M49)</f>
        <v>31.616666670888662</v>
      </c>
      <c r="Q49" s="22"/>
      <c r="R49" s="170" t="s">
        <v>980</v>
      </c>
      <c r="S49" s="213">
        <f t="shared" si="2"/>
        <v>1</v>
      </c>
      <c r="T49" s="195" t="str">
        <f t="shared" si="3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4"/>
        <v>https://d0f6bd738d7f1b3e5a7ca70fe4ff75f0.us-east-1.aws.found.io/app/kibana#/discover/Steve-Slow-Train-Analysis-(2080s-and-2083s)?_g=(refreshInterval:(display:Off,pause:!f,section:0,value:0),time:(from:'2017-08-25T07:20:49-0600',mode:absolute,to:'2017-08-25T09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9" s="197" t="str">
        <f>IF(AA49&lt;VLOOKUP(AG49,Variables!$AC$3:$AD$8,2,FALSE),"Y","N")</f>
        <v>Y</v>
      </c>
      <c r="X49" s="197">
        <f t="shared" si="32"/>
        <v>1</v>
      </c>
      <c r="Y49" s="197">
        <f t="shared" si="34"/>
        <v>1.9128000000000001</v>
      </c>
      <c r="Z49" s="197">
        <f t="shared" si="33"/>
        <v>23.331800000000001</v>
      </c>
      <c r="AA49" s="197">
        <f t="shared" si="8"/>
        <v>21.419</v>
      </c>
      <c r="AB49" s="54" t="e">
        <f>VLOOKUP(A49,Enforcements!$C$7:$K$11,8,0)</f>
        <v>#N/A</v>
      </c>
      <c r="AC49" s="51" t="e">
        <f>VLOOKUP(A49,Enforcements!$C$7:$E$11,3,0)</f>
        <v>#N/A</v>
      </c>
      <c r="AD49" s="206">
        <f t="shared" si="9"/>
        <v>137</v>
      </c>
      <c r="AE49" s="77" t="str">
        <f t="shared" si="10"/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AF49" s="74" t="str">
        <f t="shared" si="11"/>
        <v>"C:\Program Files (x86)\AstroGrep\AstroGrep.exe" /e /r /s /spath="%USERPROFILE%\AppData\Local\Temp\OnboardLogs" /stypes="app*4014*20170825*" /stext=" 14:.+((SYSTEM_STATE.+slice.+state.+changed )|(ment ac)|(multiple cpu faults)|(system.+state.+changed )|(\[timeout)|(PRM\|1\|D)|(kpr)|(kdp)|(train st.+moving)|(\|lc)|(penalty))"</v>
      </c>
      <c r="AG49" s="209" t="str">
        <f t="shared" si="12"/>
        <v>EC</v>
      </c>
      <c r="AH49" s="78" t="str">
        <f t="shared" si="22"/>
        <v>"%USERPROFILE%\Documents\GitHub\eaglep3\Utilities\RefineRTDCRunTimes.py" --tripid 137-25 --locoid 4014 --swversion DE.1.0.9.0 --startMP 204:19128 --initTime 2017-08-25T08:20:49 --startdatetime 2017-08-25T08:22:02 --delay 0 --endMP 204:233318 --enddatetime 2017-08-25T08:53:39 --enforcementcount 1 &gt;&gt;C:\Users\stu\Documents\GitHub\eaglep3-reporting\EC\2017-08-25-refined-times.txt</v>
      </c>
      <c r="AI49" s="96" t="str">
        <f t="shared" si="23"/>
        <v>echo {"issue":{"subject":"Selected wrong track","project_id":79,"tracker_id":40,"status_id":1,"priority_id":2,"assigned_to_id":23,"start_date":"2017-08-25","description":"","custom_fields":[{"id":1,"name":"Subdivision","value":"EC"},{"id":4,"name":"Milepost","value":"23.3318"},{"id":17,"name":"Train ID","value":"137-25"},{"id":16,"name":"Locomotive ID","value":"4014"},{"id":130,"name":"Impact","value":""},{"id":150,"name":"Time of Event (Mountain Time)","value":"08:53:39"},{"id":151,"name":"Denver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4"/>
        <v>start /low /b %USERPROFILE%\Documents\GitHub\eaglep3\Utilities\DownloadLogsFromS3.py --loco 4014 --day 2017-08-25</v>
      </c>
      <c r="AN49" s="151" t="str">
        <f t="shared" si="25"/>
        <v>echo {"issue":{"subject":"Selected wrong track","project_id":30,"tracker_id":4,"status_id":1,"priority_id":1,"assigned_to_id":10,"start_date":"2017-08-25","description":"","custom_fields":[{"id":30,"name":"Category","value":"Issue"},{"id":3,"name":"Functional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580</v>
      </c>
      <c r="B50" s="7">
        <v>4014</v>
      </c>
      <c r="C50" s="21" t="s">
        <v>197</v>
      </c>
      <c r="D50" s="21" t="s">
        <v>443</v>
      </c>
      <c r="E50" s="13">
        <v>42972.340983796297</v>
      </c>
      <c r="F50" s="13">
        <v>42972.348634259259</v>
      </c>
      <c r="G50" s="7">
        <v>1</v>
      </c>
      <c r="H50" s="21" t="s">
        <v>841</v>
      </c>
      <c r="I50" s="13">
        <v>42972.37059027778</v>
      </c>
      <c r="J50" s="7">
        <v>1</v>
      </c>
      <c r="K50" s="89" t="str">
        <f t="shared" si="0"/>
        <v>4013/4014</v>
      </c>
      <c r="L50" s="217" t="str">
        <f>VLOOKUP(A50,'Trips&amp;Operators'!$C$1:$G$99911,5,FALSE)</f>
        <v>DAVIS WENDY</v>
      </c>
      <c r="M50" s="6">
        <f t="shared" si="1"/>
        <v>2.195601852145046E-2</v>
      </c>
      <c r="N50" s="7"/>
      <c r="O50" s="7"/>
      <c r="P50" s="7"/>
      <c r="Q50" s="22"/>
      <c r="R50" s="170"/>
      <c r="S50" s="213"/>
      <c r="T50" s="195" t="str">
        <f t="shared" si="3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196" t="str">
        <f t="shared" si="4"/>
        <v>https://d0f6bd738d7f1b3e5a7ca70fe4ff75f0.us-east-1.aws.found.io/app/kibana#/discover/Steve-Slow-Train-Analysis-(2080s-and-2083s)?_g=(refreshInterval:(display:Off,pause:!f,section:0,value:0),time:(from:'2017-08-25T07:11:01-0600',mode:absolute,to:'2017-08-25T09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0" s="197" t="str">
        <f>IF(AA50&lt;VLOOKUP(AG50,Variables!$AC$3:$AD$8,2,FALSE),"Y","N")</f>
        <v>Y</v>
      </c>
      <c r="X50" s="197">
        <f t="shared" si="32"/>
        <v>0</v>
      </c>
      <c r="Y50" s="197">
        <f t="shared" si="34"/>
        <v>4.6899999999999997E-2</v>
      </c>
      <c r="Z50" s="197">
        <f t="shared" si="33"/>
        <v>7.9000000000000001E-2</v>
      </c>
      <c r="AA50" s="197">
        <f t="shared" si="8"/>
        <v>3.2100000000000004E-2</v>
      </c>
      <c r="AB50" s="54" t="e">
        <f>VLOOKUP(A50,Enforcements!$C$7:$K$11,8,0)</f>
        <v>#N/A</v>
      </c>
      <c r="AC50" s="51" t="e">
        <f>VLOOKUP(A50,Enforcements!$C$7:$E$11,3,0)</f>
        <v>#N/A</v>
      </c>
      <c r="AD50" s="206">
        <f t="shared" si="9"/>
        <v>137</v>
      </c>
      <c r="AE50" s="77" t="str">
        <f t="shared" si="10"/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AF50" s="74" t="str">
        <f t="shared" si="11"/>
        <v>"C:\Program Files (x86)\AstroGrep\AstroGrep.exe" /e /r /s /spath="%USERPROFILE%\AppData\Local\Temp\OnboardLogs" /stypes="app*4014*20170825*" /stext=" 14:.+((SYSTEM_STATE.+slice.+state.+changed )|(ment ac)|(multiple cpu faults)|(system.+state.+changed )|(\[timeout)|(PRM\|1\|D)|(kpr)|(kdp)|(train st.+moving)|(\|lc)|(penalty))"</v>
      </c>
      <c r="AG50" s="209" t="str">
        <f t="shared" si="12"/>
        <v>EC</v>
      </c>
      <c r="AH50" s="78" t="str">
        <f t="shared" si="22"/>
        <v>"%USERPROFILE%\Documents\GitHub\eaglep3\Utilities\RefineRTDCRunTimes.py" --tripid 137-25 --locoid 4014 --swversion DE.1.0.9.0 --startMP 204:469 --initTime 2017-08-25T08:11:01 --startdatetime 2017-08-25T08:22:02 --delay 1 --endMP 204:790 --enddatetime 2017-08-25T08:53:39 --enforcementcount 1 &gt;&gt;C:\Users\stu\Documents\GitHub\eaglep3-reporting\EC\2017-08-25-refined-times.txt</v>
      </c>
      <c r="AI50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{"issue":{"subject":"","project_id":79,"tracker_id":40,"status_id":1,"priority_id":2,"assigned_to_id":23,"start_date":"2017-08-25","description":"","custom_fields":[{"id":1,"name":"Subdivision","value":"EC"},{"id":4,"name":"Milepost","value":"0.079"},{"id":17,"name":"Train ID","value":"137-25"},{"id":16,"name":"Locomotive ID","value":"4014"},{"id":130,"name":"Impact","value":""},{"id":150,"name":"Time of Event (Mountain Time)","value":"08:53:39"},{"id":151,"name":"Denver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4"/>
        <v>start /low /b %USERPROFILE%\Documents\GitHub\eaglep3\Utilities\DownloadLogsFromS3.py --loco 4014 --day 2017-08-25</v>
      </c>
      <c r="AN50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670</v>
      </c>
      <c r="B51" s="7">
        <v>4013</v>
      </c>
      <c r="C51" s="21" t="s">
        <v>197</v>
      </c>
      <c r="D51" s="21" t="s">
        <v>446</v>
      </c>
      <c r="E51" s="13">
        <v>42972.38071759259</v>
      </c>
      <c r="F51" s="13">
        <v>42972.383506944447</v>
      </c>
      <c r="G51" s="7">
        <v>1</v>
      </c>
      <c r="H51" s="21" t="s">
        <v>842</v>
      </c>
      <c r="I51" s="13">
        <v>42972.41070601852</v>
      </c>
      <c r="J51" s="7">
        <v>1</v>
      </c>
      <c r="K51" s="89" t="str">
        <f t="shared" si="0"/>
        <v>4013/4014</v>
      </c>
      <c r="L51" s="217" t="str">
        <f>VLOOKUP(A51,'Trips&amp;Operators'!$C$1:$G$99911,5,FALSE)</f>
        <v>DAVIS WENDY</v>
      </c>
      <c r="M51" s="6">
        <f t="shared" si="1"/>
        <v>2.7199074072996154E-2</v>
      </c>
      <c r="N51" s="7">
        <f t="shared" ref="N51:N82" si="35">24*60*SUM($M51:$M51)</f>
        <v>39.166666665114462</v>
      </c>
      <c r="O51" s="7"/>
      <c r="P51" s="7"/>
      <c r="Q51" s="22"/>
      <c r="R51" s="170"/>
      <c r="S51" s="213">
        <f t="shared" ref="S51:S82" si="36">1/IF(AG51="EC",12,1)*SUM(U51:U51)</f>
        <v>1</v>
      </c>
      <c r="T51" s="195" t="str">
        <f t="shared" si="3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4"/>
        <v>https://d0f6bd738d7f1b3e5a7ca70fe4ff75f0.us-east-1.aws.found.io/app/kibana#/discover/Steve-Slow-Train-Analysis-(2080s-and-2083s)?_g=(refreshInterval:(display:Off,pause:!f,section:0,value:0),time:(from:'2017-08-25T08:08:14-0600',mode:absolute,to:'2017-08-25T10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1" s="197" t="str">
        <f>IF(AA51&lt;VLOOKUP(AG51,Variables!$AC$3:$AD$8,2,FALSE),"Y","N")</f>
        <v>N</v>
      </c>
      <c r="X51" s="197">
        <f t="shared" si="32"/>
        <v>1</v>
      </c>
      <c r="Y51" s="197">
        <f t="shared" si="34"/>
        <v>23.3</v>
      </c>
      <c r="Z51" s="197">
        <f t="shared" si="33"/>
        <v>1.6E-2</v>
      </c>
      <c r="AA51" s="197">
        <f t="shared" si="8"/>
        <v>23.284000000000002</v>
      </c>
      <c r="AB51" s="54" t="e">
        <f>VLOOKUP(A51,Enforcements!$C$7:$K$11,8,0)</f>
        <v>#N/A</v>
      </c>
      <c r="AC51" s="51" t="e">
        <f>VLOOKUP(A51,Enforcements!$C$7:$E$11,3,0)</f>
        <v>#N/A</v>
      </c>
      <c r="AD51" s="206">
        <f t="shared" si="9"/>
        <v>138</v>
      </c>
      <c r="AE51" s="77" t="str">
        <f t="shared" si="10"/>
        <v>aws s3 cp s3://rtdc.mdm.uploadarchive.raw/RTDC4013/ "%USERPROFILE%\AppData\Local\Temp\OnboardLogs"\RTDC4013\2017-08-25 --exclude "*" --recursive --include "*20170825*" &amp; "%USERPROFILE%\Documents\GitHub\mrs-test-scripts\Headless Mode &amp; Sideloading\WalkAndUnGZ.bat" "%USERPROFILE%\AppData\Local\Temp\OnboardLogs"\RTDC4013\2017-08-25 &amp; aws s3 cp s3://rtdc.mdm.uploadarchive.raw/RTDC4013/ "%USERPROFILE%\AppData\Local\Temp\OnboardLogs"\RTDC4013\2017-08-26 --exclude "*" --recursive --include "*20170826*" &amp; "%USERPROFILE%\Documents\GitHub\mrs-test-scripts\Headless Mode &amp; Sideloading\WalkAndUnGZ.bat" "%USERPROFILE%\AppData\Local\Temp\OnboardLogs"\RTDC4013\2017-08-26</v>
      </c>
      <c r="AF51" s="74" t="str">
        <f t="shared" si="11"/>
        <v>"C:\Program Files (x86)\AstroGrep\AstroGrep.exe" /e /r /s /spath="%USERPROFILE%\AppData\Local\Temp\OnboardLogs" /stypes="app*4013*20170825*" /stext=" 15:.+((SYSTEM_STATE.+slice.+state.+changed )|(ment ac)|(multiple cpu faults)|(system.+state.+changed )|(\[timeout)|(PRM\|1\|D)|(kpr)|(kdp)|(train st.+moving)|(\|lc)|(penalty))"</v>
      </c>
      <c r="AG51" s="209" t="str">
        <f t="shared" si="12"/>
        <v>EC</v>
      </c>
      <c r="AH51" s="78" t="str">
        <f t="shared" si="22"/>
        <v>"%USERPROFILE%\Documents\GitHub\eaglep3\Utilities\RefineRTDCRunTimes.py" --tripid 138-25 --locoid 4013 --swversion DE.1.0.9.0 --startMP 204:233000 --initTime 2017-08-25T09:08:14 --startdatetime 2017-08-25T09:12:15 --delay 1 --endMP 204:160 --enddatetime 2017-08-25T09:51:25 --enforcementcount 1 &gt;&gt;C:\Users\stu\Documents\GitHub\eaglep3-reporting\EC\2017-08-25-refined-times.txt</v>
      </c>
      <c r="AI51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{"issue":{"subject":"","project_id":79,"tracker_id":40,"status_id":1,"priority_id":2,"assigned_to_id":23,"start_date":"2017-08-25","description":"","custom_fields":[{"id":1,"name":"Subdivision","value":"EC"},{"id":4,"name":"Milepost","value":"0.016"},{"id":17,"name":"Train ID","value":"138-25"},{"id":16,"name":"Locomotive ID","value":"4013"},{"id":130,"name":"Impact","value":""},{"id":150,"name":"Time of Event (Mountain Time)","value":"09:51:25"},{"id":151,"name":"Denver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4"/>
        <v>start /low /b %USERPROFILE%\Documents\GitHub\eaglep3\Utilities\DownloadLogsFromS3.py --loco 4013 --day 2017-08-25</v>
      </c>
      <c r="AN51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15:51:25"},{"id":29,"name":"Sharepoint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657</v>
      </c>
      <c r="B52" s="7">
        <v>4002</v>
      </c>
      <c r="C52" s="21" t="s">
        <v>197</v>
      </c>
      <c r="D52" s="21" t="s">
        <v>384</v>
      </c>
      <c r="E52" s="13">
        <v>42972.351793981485</v>
      </c>
      <c r="F52" s="13">
        <v>42972.354687500003</v>
      </c>
      <c r="G52" s="7">
        <v>1</v>
      </c>
      <c r="H52" s="21" t="s">
        <v>823</v>
      </c>
      <c r="I52" s="13">
        <v>42972.37939814815</v>
      </c>
      <c r="J52" s="7">
        <v>1</v>
      </c>
      <c r="K52" s="89" t="str">
        <f t="shared" si="0"/>
        <v>4001/4002</v>
      </c>
      <c r="L52" s="217" t="str">
        <f>VLOOKUP(A52,'Trips&amp;Operators'!$C$1:$G$99911,5,FALSE)</f>
        <v>STARKS ANGELINA</v>
      </c>
      <c r="M52" s="6">
        <f t="shared" si="1"/>
        <v>2.47106481474475E-2</v>
      </c>
      <c r="N52" s="7">
        <f t="shared" si="35"/>
        <v>35.583333332324401</v>
      </c>
      <c r="O52" s="7"/>
      <c r="P52" s="7"/>
      <c r="Q52" s="22"/>
      <c r="R52" s="170"/>
      <c r="S52" s="213">
        <f t="shared" si="36"/>
        <v>1</v>
      </c>
      <c r="T52" s="195" t="str">
        <f t="shared" si="3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4"/>
        <v>https://d0f6bd738d7f1b3e5a7ca70fe4ff75f0.us-east-1.aws.found.io/app/kibana#/discover/Steve-Slow-Train-Analysis-(2080s-and-2083s)?_g=(refreshInterval:(display:Off,pause:!f,section:0,value:0),time:(from:'2017-08-25T07:26:35-0600',mode:absolute,to:'2017-08-25T10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2" s="197" t="str">
        <f>IF(AA52&lt;VLOOKUP(AG52,Variables!$AC$3:$AD$8,2,FALSE),"Y","N")</f>
        <v>N</v>
      </c>
      <c r="X52" s="197">
        <f t="shared" si="32"/>
        <v>1</v>
      </c>
      <c r="Y52" s="197">
        <f t="shared" si="34"/>
        <v>4.4400000000000002E-2</v>
      </c>
      <c r="Z52" s="197">
        <f t="shared" si="33"/>
        <v>23.3291</v>
      </c>
      <c r="AA52" s="197">
        <f t="shared" si="8"/>
        <v>23.284700000000001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206">
        <f t="shared" si="9"/>
        <v>139</v>
      </c>
      <c r="AE52" s="77" t="str">
        <f t="shared" si="10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52" s="74" t="str">
        <f t="shared" si="11"/>
        <v>"C:\Program Files (x86)\AstroGrep\AstroGrep.exe" /e /r /s /spath="%USERPROFILE%\AppData\Local\Temp\OnboardLogs" /stypes="app*4002*20170825*" /stext=" 15:.+((SYSTEM_STATE.+slice.+state.+changed )|(ment ac)|(multiple cpu faults)|(system.+state.+changed )|(\[timeout)|(PRM\|1\|D)|(kpr)|(kdp)|(train st.+moving)|(\|lc)|(penalty))"</v>
      </c>
      <c r="AG52" s="209" t="str">
        <f t="shared" si="12"/>
        <v>EC</v>
      </c>
      <c r="AH52" s="78" t="str">
        <f t="shared" si="22"/>
        <v>"%USERPROFILE%\Documents\GitHub\eaglep3\Utilities\RefineRTDCRunTimes.py" --tripid 139-25 --locoid 4002 --swversion DE.1.0.9.0 --startMP 204:444 --initTime 2017-08-25T08:26:35 --startdatetime 2017-08-25T08:30:45 --delay 1 --endMP 204:233291 --enddatetime 2017-08-25T09:06:20 --enforcementcount 1 &gt;&gt;C:\Users\stu\Documents\GitHub\eaglep3-reporting\EC\2017-08-25-refined-times.txt</v>
      </c>
      <c r="AI52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{"issue":{"subject":"","project_id":79,"tracker_id":40,"status_id":1,"priority_id":2,"assigned_to_id":23,"start_date":"2017-08-25","description":"","custom_fields":[{"id":1,"name":"Subdivision","value":"EC"},{"id":4,"name":"Milepost","value":"23.3291"},{"id":17,"name":"Train ID","value":"139-25"},{"id":16,"name":"Locomotive ID","value":"4002"},{"id":130,"name":"Impact","value":""},{"id":150,"name":"Time of Event (Mountain Time)","value":"09:06:20"},{"id":151,"name":"Denver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4"/>
        <v>start /low /b %USERPROFILE%\Documents\GitHub\eaglep3\Utilities\DownloadLogsFromS3.py --loco 4002 --day 2017-08-25</v>
      </c>
      <c r="AN52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15:06:20"},{"id":29,"name":"Sharepoint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672</v>
      </c>
      <c r="B53" s="7">
        <v>4001</v>
      </c>
      <c r="C53" s="21" t="s">
        <v>197</v>
      </c>
      <c r="D53" s="21" t="s">
        <v>431</v>
      </c>
      <c r="E53" s="13">
        <v>42972.38559027778</v>
      </c>
      <c r="F53" s="13">
        <v>42972.393993055557</v>
      </c>
      <c r="G53" s="7">
        <v>1</v>
      </c>
      <c r="H53" s="21" t="s">
        <v>376</v>
      </c>
      <c r="I53" s="13">
        <v>42972.420289351852</v>
      </c>
      <c r="J53" s="7">
        <v>1</v>
      </c>
      <c r="K53" s="89" t="str">
        <f t="shared" si="0"/>
        <v>4001/4002</v>
      </c>
      <c r="L53" s="217" t="str">
        <f>VLOOKUP(A53,'Trips&amp;Operators'!$C$1:$G$99911,5,FALSE)</f>
        <v>STARKS ANGELINA</v>
      </c>
      <c r="M53" s="6">
        <f t="shared" si="1"/>
        <v>2.6296296295186039E-2</v>
      </c>
      <c r="N53" s="7">
        <f t="shared" si="35"/>
        <v>37.866666665067896</v>
      </c>
      <c r="O53" s="7"/>
      <c r="P53" s="7"/>
      <c r="Q53" s="22"/>
      <c r="R53" s="170"/>
      <c r="S53" s="213">
        <f t="shared" si="36"/>
        <v>1</v>
      </c>
      <c r="T53" s="195" t="str">
        <f t="shared" si="3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4"/>
        <v>https://d0f6bd738d7f1b3e5a7ca70fe4ff75f0.us-east-1.aws.found.io/app/kibana#/discover/Steve-Slow-Train-Analysis-(2080s-and-2083s)?_g=(refreshInterval:(display:Off,pause:!f,section:0,value:0),time:(from:'2017-08-25T08:15:15-0600',mode:absolute,to:'2017-08-25T11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3" s="197" t="str">
        <f>IF(AA53&lt;VLOOKUP(AG53,Variables!$AC$3:$AD$8,2,FALSE),"Y","N")</f>
        <v>N</v>
      </c>
      <c r="X53" s="197">
        <f t="shared" si="32"/>
        <v>1</v>
      </c>
      <c r="Y53" s="197">
        <f t="shared" si="34"/>
        <v>23.297899999999998</v>
      </c>
      <c r="Z53" s="197">
        <f t="shared" si="33"/>
        <v>1.4500000000000001E-2</v>
      </c>
      <c r="AA53" s="197">
        <f t="shared" si="8"/>
        <v>23.283399999999997</v>
      </c>
      <c r="AB53" s="54" t="e">
        <f>VLOOKUP(A53,Enforcements!$C$7:$K$11,8,0)</f>
        <v>#N/A</v>
      </c>
      <c r="AC53" s="51" t="e">
        <f>VLOOKUP(A53,Enforcements!$C$7:$E$11,3,0)</f>
        <v>#N/A</v>
      </c>
      <c r="AD53" s="206">
        <f t="shared" si="9"/>
        <v>140</v>
      </c>
      <c r="AE53" s="77" t="str">
        <f t="shared" si="10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53" s="74" t="str">
        <f t="shared" si="11"/>
        <v>"C:\Program Files (x86)\AstroGrep\AstroGrep.exe" /e /r /s /spath="%USERPROFILE%\AppData\Local\Temp\OnboardLogs" /stypes="app*4001*20170825*" /stext=" 16:.+((SYSTEM_STATE.+slice.+state.+changed )|(ment ac)|(multiple cpu faults)|(system.+state.+changed )|(\[timeout)|(PRM\|1\|D)|(kpr)|(kdp)|(train st.+moving)|(\|lc)|(penalty))"</v>
      </c>
      <c r="AG53" s="209" t="str">
        <f t="shared" si="12"/>
        <v>EC</v>
      </c>
      <c r="AH53" s="78" t="str">
        <f t="shared" si="22"/>
        <v>"%USERPROFILE%\Documents\GitHub\eaglep3\Utilities\RefineRTDCRunTimes.py" --tripid 140-25 --locoid 4001 --swversion DE.1.0.9.0 --startMP 204:232979 --initTime 2017-08-25T09:15:15 --startdatetime 2017-08-25T09:27:21 --delay 1 --endMP 204:145 --enddatetime 2017-08-25T10:05:13 --enforcementcount 1 &gt;&gt;C:\Users\stu\Documents\GitHub\eaglep3-reporting\EC\2017-08-25-refined-times.txt</v>
      </c>
      <c r="AI53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{"issue":{"subject":"","project_id":79,"tracker_id":40,"status_id":1,"priority_id":2,"assigned_to_id":23,"start_date":"2017-08-25","description":"","custom_fields":[{"id":1,"name":"Subdivision","value":"EC"},{"id":4,"name":"Milepost","value":"0.0145"},{"id":17,"name":"Train ID","value":"140-25"},{"id":16,"name":"Locomotive ID","value":"4001"},{"id":130,"name":"Impact","value":""},{"id":150,"name":"Time of Event (Mountain Time)","value":"10:05:13"},{"id":151,"name":"Denver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4"/>
        <v>start /low /b %USERPROFILE%\Documents\GitHub\eaglep3\Utilities\DownloadLogsFromS3.py --loco 4001 --day 2017-08-25</v>
      </c>
      <c r="AN53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16:05:13"},{"id":29,"name":"Sharepoint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668</v>
      </c>
      <c r="B54" s="7">
        <v>4042</v>
      </c>
      <c r="C54" s="21" t="s">
        <v>197</v>
      </c>
      <c r="D54" s="21" t="s">
        <v>386</v>
      </c>
      <c r="E54" s="13">
        <v>42972.360462962963</v>
      </c>
      <c r="F54" s="13">
        <v>42972.365127314813</v>
      </c>
      <c r="G54" s="7">
        <v>1</v>
      </c>
      <c r="H54" s="21" t="s">
        <v>538</v>
      </c>
      <c r="I54" s="13">
        <v>42972.390590277777</v>
      </c>
      <c r="J54" s="7">
        <v>1</v>
      </c>
      <c r="K54" s="89" t="str">
        <f t="shared" si="0"/>
        <v>4041/4042</v>
      </c>
      <c r="L54" s="217" t="str">
        <f>VLOOKUP(A54,'Trips&amp;Operators'!$C$1:$G$99911,5,FALSE)</f>
        <v>DAVIDSON DAVID</v>
      </c>
      <c r="M54" s="6">
        <f t="shared" si="1"/>
        <v>2.5462962963501923E-2</v>
      </c>
      <c r="N54" s="7">
        <f t="shared" si="35"/>
        <v>36.666666667442769</v>
      </c>
      <c r="O54" s="7"/>
      <c r="P54" s="7"/>
      <c r="Q54" s="22"/>
      <c r="R54" s="170"/>
      <c r="S54" s="213">
        <f t="shared" si="36"/>
        <v>1</v>
      </c>
      <c r="T54" s="195" t="str">
        <f t="shared" si="3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4"/>
        <v>https://d0f6bd738d7f1b3e5a7ca70fe4ff75f0.us-east-1.aws.found.io/app/kibana#/discover/Steve-Slow-Train-Analysis-(2080s-and-2083s)?_g=(refreshInterval:(display:Off,pause:!f,section:0,value:0),time:(from:'2017-08-25T07:39:04-0600',mode:absolute,to:'2017-08-25T10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4" s="197" t="str">
        <f>IF(AA54&lt;VLOOKUP(AG54,Variables!$AC$3:$AD$8,2,FALSE),"Y","N")</f>
        <v>N</v>
      </c>
      <c r="X54" s="197">
        <f t="shared" si="32"/>
        <v>1</v>
      </c>
      <c r="Y54" s="197">
        <f t="shared" si="34"/>
        <v>4.6600000000000003E-2</v>
      </c>
      <c r="Z54" s="197">
        <f t="shared" si="33"/>
        <v>23.327999999999999</v>
      </c>
      <c r="AA54" s="197">
        <f t="shared" si="8"/>
        <v>23.281399999999998</v>
      </c>
      <c r="AB54" s="54" t="e">
        <f>VLOOKUP(A54,Enforcements!$C$7:$K$11,8,0)</f>
        <v>#N/A</v>
      </c>
      <c r="AC54" s="51" t="e">
        <f>VLOOKUP(A54,Enforcements!$C$7:$E$11,3,0)</f>
        <v>#N/A</v>
      </c>
      <c r="AD54" s="206">
        <f t="shared" si="9"/>
        <v>141</v>
      </c>
      <c r="AE54" s="77" t="str">
        <f t="shared" si="10"/>
        <v>aws s3 cp s3://rtdc.mdm.uploadarchive.raw/RTDC4042/ "%USERPROFILE%\AppData\Local\Temp\OnboardLogs"\RTDC4042\2017-08-25 --exclude "*" --recursive --include "*20170825*" &amp; "%USERPROFILE%\Documents\GitHub\mrs-test-scripts\Headless Mode &amp; Sideloading\WalkAndUnGZ.bat" "%USERPROFILE%\AppData\Local\Temp\OnboardLogs"\RTDC4042\2017-08-25 &amp; aws s3 cp s3://rtdc.mdm.uploadarchive.raw/RTDC4042/ "%USERPROFILE%\AppData\Local\Temp\OnboardLogs"\RTDC4042\2017-08-26 --exclude "*" --recursive --include "*20170826*" &amp; "%USERPROFILE%\Documents\GitHub\mrs-test-scripts\Headless Mode &amp; Sideloading\WalkAndUnGZ.bat" "%USERPROFILE%\AppData\Local\Temp\OnboardLogs"\RTDC4042\2017-08-26</v>
      </c>
      <c r="AF54" s="74" t="str">
        <f t="shared" si="11"/>
        <v>"C:\Program Files (x86)\AstroGrep\AstroGrep.exe" /e /r /s /spath="%USERPROFILE%\AppData\Local\Temp\OnboardLogs" /stypes="app*4042*20170825*" /stext=" 15:.+((SYSTEM_STATE.+slice.+state.+changed )|(ment ac)|(multiple cpu faults)|(system.+state.+changed )|(\[timeout)|(PRM\|1\|D)|(kpr)|(kdp)|(train st.+moving)|(\|lc)|(penalty))"</v>
      </c>
      <c r="AG54" s="209" t="str">
        <f t="shared" si="12"/>
        <v>EC</v>
      </c>
      <c r="AH54" s="78" t="str">
        <f t="shared" si="22"/>
        <v>"%USERPROFILE%\Documents\GitHub\eaglep3\Utilities\RefineRTDCRunTimes.py" --tripid 141-25 --locoid 4042 --swversion DE.1.0.9.0 --startMP 204:466 --initTime 2017-08-25T08:39:04 --startdatetime 2017-08-25T08:45:47 --delay 1 --endMP 204:233280 --enddatetime 2017-08-25T09:22:27 --enforcementcount 1 &gt;&gt;C:\Users\stu\Documents\GitHub\eaglep3-reporting\EC\2017-08-25-refined-times.txt</v>
      </c>
      <c r="AI54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{"issue":{"subject":"","project_id":79,"tracker_id":40,"status_id":1,"priority_id":2,"assigned_to_id":23,"start_date":"2017-08-25","description":"","custom_fields":[{"id":1,"name":"Subdivision","value":"EC"},{"id":4,"name":"Milepost","value":"23.328"},{"id":17,"name":"Train ID","value":"141-25"},{"id":16,"name":"Locomotive ID","value":"4042"},{"id":130,"name":"Impact","value":""},{"id":150,"name":"Time of Event (Mountain Time)","value":"09:22:27"},{"id":151,"name":"Denver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4"/>
        <v>start /low /b %USERPROFILE%\Documents\GitHub\eaglep3\Utilities\DownloadLogsFromS3.py --loco 4042 --day 2017-08-25</v>
      </c>
      <c r="AN54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15:22:27"},{"id":29,"name":"Sharepoint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673</v>
      </c>
      <c r="B55" s="7">
        <v>4041</v>
      </c>
      <c r="C55" s="21" t="s">
        <v>197</v>
      </c>
      <c r="D55" s="21" t="s">
        <v>834</v>
      </c>
      <c r="E55" s="13">
        <v>42972.392164351855</v>
      </c>
      <c r="F55" s="13">
        <v>42972.404351851852</v>
      </c>
      <c r="G55" s="7">
        <v>1</v>
      </c>
      <c r="H55" s="21" t="s">
        <v>339</v>
      </c>
      <c r="I55" s="13">
        <v>42972.431967592594</v>
      </c>
      <c r="J55" s="7">
        <v>1</v>
      </c>
      <c r="K55" s="89" t="str">
        <f t="shared" si="0"/>
        <v>4041/4042</v>
      </c>
      <c r="L55" s="217" t="str">
        <f>VLOOKUP(A55,'Trips&amp;Operators'!$C$1:$G$99911,5,FALSE)</f>
        <v>DAVIDSON DAVID</v>
      </c>
      <c r="M55" s="6">
        <f t="shared" si="1"/>
        <v>2.7615740742476191E-2</v>
      </c>
      <c r="N55" s="7">
        <f t="shared" si="35"/>
        <v>39.766666669165716</v>
      </c>
      <c r="O55" s="7"/>
      <c r="P55" s="7"/>
      <c r="Q55" s="22"/>
      <c r="R55" s="170" t="s">
        <v>990</v>
      </c>
      <c r="S55" s="213">
        <f t="shared" si="36"/>
        <v>1</v>
      </c>
      <c r="T55" s="195" t="str">
        <f t="shared" si="3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4"/>
        <v>https://d0f6bd738d7f1b3e5a7ca70fe4ff75f0.us-east-1.aws.found.io/app/kibana#/discover/Steve-Slow-Train-Analysis-(2080s-and-2083s)?_g=(refreshInterval:(display:Off,pause:!f,section:0,value:0),time:(from:'2017-08-25T08:24:43-0600',mode:absolute,to:'2017-08-25T11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5" s="197" t="str">
        <f>IF(AA55&lt;VLOOKUP(AG55,Variables!$AC$3:$AD$8,2,FALSE),"Y","N")</f>
        <v>N</v>
      </c>
      <c r="X55" s="197">
        <f t="shared" si="32"/>
        <v>1</v>
      </c>
      <c r="Y55" s="197">
        <f t="shared" si="34"/>
        <v>23.296900000000001</v>
      </c>
      <c r="Z55" s="197">
        <f t="shared" si="33"/>
        <v>1.49E-2</v>
      </c>
      <c r="AA55" s="197">
        <f t="shared" si="8"/>
        <v>23.282</v>
      </c>
      <c r="AB55" s="54" t="e">
        <f>VLOOKUP(A55,Enforcements!$C$7:$K$11,8,0)</f>
        <v>#N/A</v>
      </c>
      <c r="AC55" s="51" t="e">
        <f>VLOOKUP(A55,Enforcements!$C$7:$E$11,3,0)</f>
        <v>#N/A</v>
      </c>
      <c r="AD55" s="206">
        <f t="shared" si="9"/>
        <v>142</v>
      </c>
      <c r="AE55" s="77" t="str">
        <f t="shared" si="10"/>
        <v>aws s3 cp s3://rtdc.mdm.uploadarchive.raw/RTDC4041/ "%USERPROFILE%\AppData\Local\Temp\OnboardLogs"\RTDC4041\2017-08-25 --exclude "*" --recursive --include "*20170825*" &amp; "%USERPROFILE%\Documents\GitHub\mrs-test-scripts\Headless Mode &amp; Sideloading\WalkAndUnGZ.bat" "%USERPROFILE%\AppData\Local\Temp\OnboardLogs"\RTDC4041\2017-08-25 &amp; aws s3 cp s3://rtdc.mdm.uploadarchive.raw/RTDC4041/ "%USERPROFILE%\AppData\Local\Temp\OnboardLogs"\RTDC4041\2017-08-26 --exclude "*" --recursive --include "*20170826*" &amp; "%USERPROFILE%\Documents\GitHub\mrs-test-scripts\Headless Mode &amp; Sideloading\WalkAndUnGZ.bat" "%USERPROFILE%\AppData\Local\Temp\OnboardLogs"\RTDC4041\2017-08-26</v>
      </c>
      <c r="AF55" s="74" t="str">
        <f t="shared" si="11"/>
        <v>"C:\Program Files (x86)\AstroGrep\AstroGrep.exe" /e /r /s /spath="%USERPROFILE%\AppData\Local\Temp\OnboardLogs" /stypes="app*4041*20170825*" /stext=" 16:.+((SYSTEM_STATE.+slice.+state.+changed )|(ment ac)|(multiple cpu faults)|(system.+state.+changed )|(\[timeout)|(PRM\|1\|D)|(kpr)|(kdp)|(train st.+moving)|(\|lc)|(penalty))"</v>
      </c>
      <c r="AG55" s="209" t="str">
        <f t="shared" si="12"/>
        <v>EC</v>
      </c>
      <c r="AH55" s="78" t="str">
        <f t="shared" si="22"/>
        <v>"%USERPROFILE%\Documents\GitHub\eaglep3\Utilities\RefineRTDCRunTimes.py" --tripid 142-25 --locoid 4041 --swversion DE.1.0.9.0 --startMP 204:232969 --initTime 2017-08-25T09:24:43 --startdatetime 2017-08-25T09:42:16 --delay 1 --endMP 204:149 --enddatetime 2017-08-25T10:22:02 --enforcementcount 1 &gt;&gt;C:\Users\stu\Documents\GitHub\eaglep3-reporting\EC\2017-08-25-refined-times.txt</v>
      </c>
      <c r="AI55" s="96" t="str">
        <f t="shared" si="23"/>
        <v>echo {"issue":{"subject":"Unhealthy at Chambers due to train stop","project_id":79,"tracker_id":40,"status_id":1,"priority_id":2,"assigned_to_id":23,"start_date":"2017-08-25","description":"","custom_fields":[{"id":1,"name":"Subdivision","value":"EC"},{"id":4,"name":"Milepost","value":"0.0149"},{"id":17,"name":"Train ID","value":"142-25"},{"id":16,"name":"Locomotive ID","value":"4041"},{"id":130,"name":"Impact","value":""},{"id":150,"name":"Time of Event (Mountain Time)","value":"10:22:02"},{"id":151,"name":"Denver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4"/>
        <v>start /low /b %USERPROFILE%\Documents\GitHub\eaglep3\Utilities\DownloadLogsFromS3.py --loco 4041 --day 2017-08-25</v>
      </c>
      <c r="AN55" s="151" t="str">
        <f t="shared" si="25"/>
        <v>echo {"issue":{"subject":"Unhealthy at Chambers due to train stop","project_id":30,"tracker_id":4,"status_id":1,"priority_id":1,"assigned_to_id":10,"start_date":"2017-08-25","description":"","custom_fields":[{"id":30,"name":"Category","value":"Issue"},{"id":3,"name":"Functional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16:22:02"},{"id":29,"name":"Sharepoint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669</v>
      </c>
      <c r="B56" s="7">
        <v>4030</v>
      </c>
      <c r="C56" s="21" t="s">
        <v>197</v>
      </c>
      <c r="D56" s="21" t="s">
        <v>357</v>
      </c>
      <c r="E56" s="13">
        <v>42972.371053240742</v>
      </c>
      <c r="F56" s="13">
        <v>42972.374826388892</v>
      </c>
      <c r="G56" s="7">
        <v>1</v>
      </c>
      <c r="H56" s="21" t="s">
        <v>843</v>
      </c>
      <c r="I56" s="13">
        <v>42972.400497685187</v>
      </c>
      <c r="J56" s="7">
        <v>1</v>
      </c>
      <c r="K56" s="89" t="str">
        <f t="shared" si="0"/>
        <v>4029/4030</v>
      </c>
      <c r="L56" s="217" t="str">
        <f>VLOOKUP(A56,'Trips&amp;Operators'!$C$1:$G$99911,5,FALSE)</f>
        <v>WILLIAMS DONTE</v>
      </c>
      <c r="M56" s="6">
        <f t="shared" si="1"/>
        <v>2.5671296294603962E-2</v>
      </c>
      <c r="N56" s="7">
        <f t="shared" si="35"/>
        <v>36.966666664229706</v>
      </c>
      <c r="O56" s="7"/>
      <c r="P56" s="7"/>
      <c r="Q56" s="22"/>
      <c r="R56" s="170"/>
      <c r="S56" s="213">
        <f t="shared" si="36"/>
        <v>1</v>
      </c>
      <c r="T56" s="195" t="str">
        <f t="shared" si="3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4"/>
        <v>https://d0f6bd738d7f1b3e5a7ca70fe4ff75f0.us-east-1.aws.found.io/app/kibana#/discover/Steve-Slow-Train-Analysis-(2080s-and-2083s)?_g=(refreshInterval:(display:Off,pause:!f,section:0,value:0),time:(from:'2017-08-25T07:54:19-0600',mode:absolute,to:'2017-08-25T10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6" s="197" t="str">
        <f>IF(AA56&lt;VLOOKUP(AG56,Variables!$AC$3:$AD$8,2,FALSE),"Y","N")</f>
        <v>N</v>
      </c>
      <c r="X56" s="197">
        <f t="shared" si="32"/>
        <v>1</v>
      </c>
      <c r="Y56" s="197">
        <f t="shared" si="34"/>
        <v>4.5499999999999999E-2</v>
      </c>
      <c r="Z56" s="197">
        <f t="shared" si="33"/>
        <v>23.332699999999999</v>
      </c>
      <c r="AA56" s="197">
        <f t="shared" si="8"/>
        <v>23.287199999999999</v>
      </c>
      <c r="AB56" s="54" t="e">
        <f>VLOOKUP(A56,Enforcements!$C$7:$K$11,8,0)</f>
        <v>#N/A</v>
      </c>
      <c r="AC56" s="51" t="e">
        <f>VLOOKUP(A56,Enforcements!$C$7:$E$11,3,0)</f>
        <v>#N/A</v>
      </c>
      <c r="AD56" s="206">
        <f t="shared" si="9"/>
        <v>143</v>
      </c>
      <c r="AE56" s="77" t="str">
        <f t="shared" si="10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56" s="74" t="str">
        <f t="shared" si="11"/>
        <v>"C:\Program Files (x86)\AstroGrep\AstroGrep.exe" /e /r /s /spath="%USERPROFILE%\AppData\Local\Temp\OnboardLogs" /stypes="app*4030*20170825*" /stext=" 15:.+((SYSTEM_STATE.+slice.+state.+changed )|(ment ac)|(multiple cpu faults)|(system.+state.+changed )|(\[timeout)|(PRM\|1\|D)|(kpr)|(kdp)|(train st.+moving)|(\|lc)|(penalty))"</v>
      </c>
      <c r="AG56" s="209" t="str">
        <f t="shared" si="12"/>
        <v>EC</v>
      </c>
      <c r="AH56" s="78" t="str">
        <f t="shared" si="22"/>
        <v>"%USERPROFILE%\Documents\GitHub\eaglep3\Utilities\RefineRTDCRunTimes.py" --tripid 143-25 --locoid 4030 --swversion DE.1.0.9.0 --startMP 204:455 --initTime 2017-08-25T08:54:19 --startdatetime 2017-08-25T08:59:45 --delay 1 --endMP 204:233327 --enddatetime 2017-08-25T09:36:43 --enforcementcount 1 &gt;&gt;C:\Users\stu\Documents\GitHub\eaglep3-reporting\EC\2017-08-25-refined-times.txt</v>
      </c>
      <c r="AI56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{"issue":{"subject":"","project_id":79,"tracker_id":40,"status_id":1,"priority_id":2,"assigned_to_id":23,"start_date":"2017-08-25","description":"","custom_fields":[{"id":1,"name":"Subdivision","value":"EC"},{"id":4,"name":"Milepost","value":"23.3327"},{"id":17,"name":"Train ID","value":"143-25"},{"id":16,"name":"Locomotive ID","value":"4030"},{"id":130,"name":"Impact","value":""},{"id":150,"name":"Time of Event (Mountain Time)","value":"09:36:43"},{"id":151,"name":"Denver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4"/>
        <v>start /low /b %USERPROFILE%\Documents\GitHub\eaglep3\Utilities\DownloadLogsFromS3.py --loco 4030 --day 2017-08-25</v>
      </c>
      <c r="AN56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15:36:43"},{"id":29,"name":"Sharepoint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584</v>
      </c>
      <c r="B57" s="7">
        <v>4029</v>
      </c>
      <c r="C57" s="21" t="s">
        <v>197</v>
      </c>
      <c r="D57" s="21" t="s">
        <v>401</v>
      </c>
      <c r="E57" s="13">
        <v>42972.409444444442</v>
      </c>
      <c r="F57" s="13">
        <v>42972.414780092593</v>
      </c>
      <c r="G57" s="7">
        <v>1</v>
      </c>
      <c r="H57" s="21" t="s">
        <v>844</v>
      </c>
      <c r="I57" s="13">
        <v>42972.441018518519</v>
      </c>
      <c r="J57" s="7">
        <v>1</v>
      </c>
      <c r="K57" s="89" t="str">
        <f t="shared" si="0"/>
        <v>4029/4030</v>
      </c>
      <c r="L57" s="217" t="str">
        <f>VLOOKUP(A57,'Trips&amp;Operators'!$C$1:$G$99911,5,FALSE)</f>
        <v>WILLIAMS DONTE</v>
      </c>
      <c r="M57" s="6">
        <f t="shared" si="1"/>
        <v>2.6238425925839692E-2</v>
      </c>
      <c r="N57" s="7">
        <f t="shared" si="35"/>
        <v>37.783333333209157</v>
      </c>
      <c r="O57" s="7"/>
      <c r="P57" s="7"/>
      <c r="Q57" s="22"/>
      <c r="R57" s="170"/>
      <c r="S57" s="213">
        <f t="shared" si="36"/>
        <v>1</v>
      </c>
      <c r="T57" s="195" t="str">
        <f t="shared" si="3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4"/>
        <v>https://d0f6bd738d7f1b3e5a7ca70fe4ff75f0.us-east-1.aws.found.io/app/kibana#/discover/Steve-Slow-Train-Analysis-(2080s-and-2083s)?_g=(refreshInterval:(display:Off,pause:!f,section:0,value:0),time:(from:'2017-08-25T08:49:36-0600',mode:absolute,to:'2017-08-25T11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7" s="197" t="str">
        <f>IF(AA57&lt;VLOOKUP(AG57,Variables!$AC$3:$AD$8,2,FALSE),"Y","N")</f>
        <v>N</v>
      </c>
      <c r="X57" s="197">
        <f t="shared" si="32"/>
        <v>1</v>
      </c>
      <c r="Y57" s="197">
        <f t="shared" si="34"/>
        <v>23.3002</v>
      </c>
      <c r="Z57" s="197">
        <f t="shared" si="33"/>
        <v>2.29E-2</v>
      </c>
      <c r="AA57" s="197">
        <f t="shared" si="8"/>
        <v>23.2773</v>
      </c>
      <c r="AB57" s="54" t="e">
        <f>VLOOKUP(A57,Enforcements!$C$7:$K$11,8,0)</f>
        <v>#N/A</v>
      </c>
      <c r="AC57" s="51" t="e">
        <f>VLOOKUP(A57,Enforcements!$C$7:$E$11,3,0)</f>
        <v>#N/A</v>
      </c>
      <c r="AD57" s="206">
        <f t="shared" si="9"/>
        <v>144</v>
      </c>
      <c r="AE57" s="77" t="str">
        <f t="shared" si="10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57" s="74" t="str">
        <f t="shared" si="11"/>
        <v>"C:\Program Files (x86)\AstroGrep\AstroGrep.exe" /e /r /s /spath="%USERPROFILE%\AppData\Local\Temp\OnboardLogs" /stypes="app*4029*20170825*" /stext=" 16:.+((SYSTEM_STATE.+slice.+state.+changed )|(ment ac)|(multiple cpu faults)|(system.+state.+changed )|(\[timeout)|(PRM\|1\|D)|(kpr)|(kdp)|(train st.+moving)|(\|lc)|(penalty))"</v>
      </c>
      <c r="AG57" s="209" t="str">
        <f t="shared" si="12"/>
        <v>EC</v>
      </c>
      <c r="AH57" s="78" t="str">
        <f t="shared" si="22"/>
        <v>"%USERPROFILE%\Documents\GitHub\eaglep3\Utilities\RefineRTDCRunTimes.py" --tripid 144-25 --locoid 4029 --swversion DE.1.0.9.0 --startMP 204:233002 --initTime 2017-08-25T09:49:36 --startdatetime 2017-08-25T09:57:17 --delay 1 --endMP 204:229 --enddatetime 2017-08-25T10:35:04 --enforcementcount 1 &gt;&gt;C:\Users\stu\Documents\GitHub\eaglep3-reporting\EC\2017-08-25-refined-times.txt</v>
      </c>
      <c r="AI57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{"issue":{"subject":"","project_id":79,"tracker_id":40,"status_id":1,"priority_id":2,"assigned_to_id":23,"start_date":"2017-08-25","description":"","custom_fields":[{"id":1,"name":"Subdivision","value":"EC"},{"id":4,"name":"Milepost","value":"0.0229"},{"id":17,"name":"Train ID","value":"144-25"},{"id":16,"name":"Locomotive ID","value":"4029"},{"id":130,"name":"Impact","value":""},{"id":150,"name":"Time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4"/>
        <v>start /low /b %USERPROFILE%\Documents\GitHub\eaglep3\Utilities\DownloadLogsFromS3.py --loco 4029 --day 2017-08-25</v>
      </c>
      <c r="AN57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671</v>
      </c>
      <c r="B58" s="7">
        <v>4058</v>
      </c>
      <c r="C58" s="21" t="s">
        <v>197</v>
      </c>
      <c r="D58" s="21" t="s">
        <v>539</v>
      </c>
      <c r="E58" s="13">
        <v>42972.382418981484</v>
      </c>
      <c r="F58" s="13">
        <v>42972.386122685188</v>
      </c>
      <c r="G58" s="7">
        <v>1</v>
      </c>
      <c r="H58" s="21" t="s">
        <v>845</v>
      </c>
      <c r="I58" s="13">
        <v>42972.410081018519</v>
      </c>
      <c r="J58" s="7">
        <v>1</v>
      </c>
      <c r="K58" s="89" t="str">
        <f t="shared" si="0"/>
        <v>4057/4058</v>
      </c>
      <c r="L58" s="217" t="str">
        <f>VLOOKUP(A58,'Trips&amp;Operators'!$C$1:$G$99911,5,FALSE)</f>
        <v>LOZA FIDEL</v>
      </c>
      <c r="M58" s="6">
        <f t="shared" si="1"/>
        <v>2.3958333331393078E-2</v>
      </c>
      <c r="N58" s="7">
        <f t="shared" si="35"/>
        <v>34.499999997206032</v>
      </c>
      <c r="O58" s="7"/>
      <c r="P58" s="7"/>
      <c r="Q58" s="22"/>
      <c r="R58" s="170"/>
      <c r="S58" s="213">
        <f t="shared" si="36"/>
        <v>1</v>
      </c>
      <c r="T58" s="195" t="str">
        <f t="shared" si="3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4"/>
        <v>https://d0f6bd738d7f1b3e5a7ca70fe4ff75f0.us-east-1.aws.found.io/app/kibana#/discover/Steve-Slow-Train-Analysis-(2080s-and-2083s)?_g=(refreshInterval:(display:Off,pause:!f,section:0,value:0),time:(from:'2017-08-25T08:10:41-0600',mode:absolute,to:'2017-08-25T10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8" s="197" t="str">
        <f>IF(AA58&lt;VLOOKUP(AG58,Variables!$AC$3:$AD$8,2,FALSE),"Y","N")</f>
        <v>N</v>
      </c>
      <c r="X58" s="197">
        <f t="shared" si="32"/>
        <v>1</v>
      </c>
      <c r="Y58" s="197">
        <f t="shared" si="34"/>
        <v>4.3799999999999999E-2</v>
      </c>
      <c r="Z58" s="197">
        <f t="shared" si="33"/>
        <v>23.339099999999998</v>
      </c>
      <c r="AA58" s="197">
        <f t="shared" si="8"/>
        <v>23.295299999999997</v>
      </c>
      <c r="AB58" s="54" t="e">
        <f>VLOOKUP(A58,Enforcements!$C$7:$K$11,8,0)</f>
        <v>#N/A</v>
      </c>
      <c r="AC58" s="51" t="e">
        <f>VLOOKUP(A58,Enforcements!$C$7:$E$11,3,0)</f>
        <v>#N/A</v>
      </c>
      <c r="AD58" s="206">
        <f t="shared" si="9"/>
        <v>145</v>
      </c>
      <c r="AE58" s="77" t="str">
        <f t="shared" si="10"/>
        <v>aws s3 cp s3://rtdc.mdm.uploadarchive.raw/RTDC4058/ "%USERPROFILE%\AppData\Local\Temp\OnboardLogs"\RTDC4058\2017-08-25 --exclude "*" --recursive --include "*20170825*" &amp; "%USERPROFILE%\Documents\GitHub\mrs-test-scripts\Headless Mode &amp; Sideloading\WalkAndUnGZ.bat" "%USERPROFILE%\AppData\Local\Temp\OnboardLogs"\RTDC4058\2017-08-25 &amp; aws s3 cp s3://rtdc.mdm.uploadarchive.raw/RTDC4058/ "%USERPROFILE%\AppData\Local\Temp\OnboardLogs"\RTDC4058\2017-08-26 --exclude "*" --recursive --include "*20170826*" &amp; "%USERPROFILE%\Documents\GitHub\mrs-test-scripts\Headless Mode &amp; Sideloading\WalkAndUnGZ.bat" "%USERPROFILE%\AppData\Local\Temp\OnboardLogs"\RTDC4058\2017-08-26</v>
      </c>
      <c r="AF58" s="74" t="str">
        <f t="shared" si="11"/>
        <v>"C:\Program Files (x86)\AstroGrep\AstroGrep.exe" /e /r /s /spath="%USERPROFILE%\AppData\Local\Temp\OnboardLogs" /stypes="app*4058*20170825*" /stext=" 15:.+((SYSTEM_STATE.+slice.+state.+changed )|(ment ac)|(multiple cpu faults)|(system.+state.+changed )|(\[timeout)|(PRM\|1\|D)|(kpr)|(kdp)|(train st.+moving)|(\|lc)|(penalty))"</v>
      </c>
      <c r="AG58" s="209" t="str">
        <f t="shared" si="12"/>
        <v>EC</v>
      </c>
      <c r="AH58" s="78" t="str">
        <f t="shared" si="22"/>
        <v>"%USERPROFILE%\Documents\GitHub\eaglep3\Utilities\RefineRTDCRunTimes.py" --tripid 145-25 --locoid 4058 --swversion DE.1.0.9.0 --startMP 204:438 --initTime 2017-08-25T09:10:41 --startdatetime 2017-08-25T09:16:01 --delay 1 --endMP 204:233391 --enddatetime 2017-08-25T09:50:31 --enforcementcount 1 &gt;&gt;C:\Users\stu\Documents\GitHub\eaglep3-reporting\EC\2017-08-25-refined-times.txt</v>
      </c>
      <c r="AI58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{"issue":{"subject":"","project_id":79,"tracker_id":40,"status_id":1,"priority_id":2,"assigned_to_id":23,"start_date":"2017-08-25","description":"","custom_fields":[{"id":1,"name":"Subdivision","value":"EC"},{"id":4,"name":"Milepost","value":"23.3391"},{"id":17,"name":"Train ID","value":"145-25"},{"id":16,"name":"Locomotive ID","value":"4058"},{"id":130,"name":"Impact","value":""},{"id":150,"name":"Time of Event (Mountain Time)","value":"09:50:31"},{"id":151,"name":"Denver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4"/>
        <v>start /low /b %USERPROFILE%\Documents\GitHub\eaglep3\Utilities\DownloadLogsFromS3.py --loco 4058 --day 2017-08-25</v>
      </c>
      <c r="AN58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15:50:31"},{"id":29,"name":"Sharepoint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677</v>
      </c>
      <c r="B59" s="7">
        <v>4057</v>
      </c>
      <c r="C59" s="21" t="s">
        <v>197</v>
      </c>
      <c r="D59" s="21" t="s">
        <v>846</v>
      </c>
      <c r="E59" s="13">
        <v>42972.419918981483</v>
      </c>
      <c r="F59" s="13">
        <v>42972.425543981481</v>
      </c>
      <c r="G59" s="7">
        <v>1</v>
      </c>
      <c r="H59" s="21" t="s">
        <v>376</v>
      </c>
      <c r="I59" s="13">
        <v>42972.451307870368</v>
      </c>
      <c r="J59" s="7">
        <v>1</v>
      </c>
      <c r="K59" s="89" t="str">
        <f t="shared" si="0"/>
        <v>4057/4058</v>
      </c>
      <c r="L59" s="217" t="str">
        <f>VLOOKUP(A59,'Trips&amp;Operators'!$C$1:$G$99911,5,FALSE)</f>
        <v>LOZA FIDEL</v>
      </c>
      <c r="M59" s="6">
        <f t="shared" si="1"/>
        <v>2.5763888887013309E-2</v>
      </c>
      <c r="N59" s="7">
        <f t="shared" si="35"/>
        <v>37.099999997299165</v>
      </c>
      <c r="O59" s="7"/>
      <c r="P59" s="7"/>
      <c r="Q59" s="22"/>
      <c r="R59" s="170"/>
      <c r="S59" s="213">
        <f t="shared" si="36"/>
        <v>1</v>
      </c>
      <c r="T59" s="195" t="str">
        <f t="shared" si="3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4"/>
        <v>https://d0f6bd738d7f1b3e5a7ca70fe4ff75f0.us-east-1.aws.found.io/app/kibana#/discover/Steve-Slow-Train-Analysis-(2080s-and-2083s)?_g=(refreshInterval:(display:Off,pause:!f,section:0,value:0),time:(from:'2017-08-25T09:04:41-0600',mode:absolute,to:'2017-08-25T11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9" s="197" t="str">
        <f>IF(AA59&lt;VLOOKUP(AG59,Variables!$AC$3:$AD$8,2,FALSE),"Y","N")</f>
        <v>N</v>
      </c>
      <c r="X59" s="197">
        <f t="shared" si="32"/>
        <v>1</v>
      </c>
      <c r="Y59" s="197">
        <f t="shared" si="34"/>
        <v>23.3078</v>
      </c>
      <c r="Z59" s="197">
        <f t="shared" si="33"/>
        <v>1.4500000000000001E-2</v>
      </c>
      <c r="AA59" s="197">
        <f t="shared" si="8"/>
        <v>23.293299999999999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6">
        <f t="shared" si="9"/>
        <v>146</v>
      </c>
      <c r="AE59" s="77" t="str">
        <f t="shared" si="10"/>
        <v>aws s3 cp s3://rtdc.mdm.uploadarchive.raw/RTDC4057/ "%USERPROFILE%\AppData\Local\Temp\OnboardLogs"\RTDC4057\2017-08-25 --exclude "*" --recursive --include "*20170825*" &amp; "%USERPROFILE%\Documents\GitHub\mrs-test-scripts\Headless Mode &amp; Sideloading\WalkAndUnGZ.bat" "%USERPROFILE%\AppData\Local\Temp\OnboardLogs"\RTDC4057\2017-08-25 &amp; aws s3 cp s3://rtdc.mdm.uploadarchive.raw/RTDC4057/ "%USERPROFILE%\AppData\Local\Temp\OnboardLogs"\RTDC4057\2017-08-26 --exclude "*" --recursive --include "*20170826*" &amp; "%USERPROFILE%\Documents\GitHub\mrs-test-scripts\Headless Mode &amp; Sideloading\WalkAndUnGZ.bat" "%USERPROFILE%\AppData\Local\Temp\OnboardLogs"\RTDC4057\2017-08-26</v>
      </c>
      <c r="AF59" s="74" t="str">
        <f t="shared" si="11"/>
        <v>"C:\Program Files (x86)\AstroGrep\AstroGrep.exe" /e /r /s /spath="%USERPROFILE%\AppData\Local\Temp\OnboardLogs" /stypes="app*4057*20170825*" /stext=" 16:.+((SYSTEM_STATE.+slice.+state.+changed )|(ment ac)|(multiple cpu faults)|(system.+state.+changed )|(\[timeout)|(PRM\|1\|D)|(kpr)|(kdp)|(train st.+moving)|(\|lc)|(penalty))"</v>
      </c>
      <c r="AG59" s="209" t="str">
        <f t="shared" si="12"/>
        <v>EC</v>
      </c>
      <c r="AH59" s="78" t="str">
        <f t="shared" si="22"/>
        <v>"%USERPROFILE%\Documents\GitHub\eaglep3\Utilities\RefineRTDCRunTimes.py" --tripid 146-25 --locoid 4057 --swversion DE.1.0.9.0 --startMP 204:233078 --initTime 2017-08-25T10:04:41 --startdatetime 2017-08-25T10:12:47 --delay 1 --endMP 204:145 --enddatetime 2017-08-25T10:49:53 --enforcementcount 1 &gt;&gt;C:\Users\stu\Documents\GitHub\eaglep3-reporting\EC\2017-08-25-refined-times.txt</v>
      </c>
      <c r="AI59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{"issue":{"subject":"","project_id":79,"tracker_id":40,"status_id":1,"priority_id":2,"assigned_to_id":23,"start_date":"2017-08-25","description":"","custom_fields":[{"id":1,"name":"Subdivision","value":"EC"},{"id":4,"name":"Milepost","value":"0.0145"},{"id":17,"name":"Train ID","value":"146-25"},{"id":16,"name":"Locomotive ID","value":"4057"},{"id":130,"name":"Impact","value":""},{"id":150,"name":"Time of Event (Mountain Time)","value":"10:49:53"},{"id":151,"name":"Denver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4"/>
        <v>start /low /b %USERPROFILE%\Documents\GitHub\eaglep3\Utilities\DownloadLogsFromS3.py --loco 4057 --day 2017-08-25</v>
      </c>
      <c r="AN59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16:49:53"},{"id":29,"name":"Sharepoint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582</v>
      </c>
      <c r="B60" s="7">
        <v>4064</v>
      </c>
      <c r="C60" s="21" t="s">
        <v>197</v>
      </c>
      <c r="D60" s="21" t="s">
        <v>343</v>
      </c>
      <c r="E60" s="13">
        <v>42972.391817129632</v>
      </c>
      <c r="F60" s="13">
        <v>42972.396354166667</v>
      </c>
      <c r="G60" s="7">
        <v>1</v>
      </c>
      <c r="H60" s="21" t="s">
        <v>402</v>
      </c>
      <c r="I60" s="13">
        <v>42972.421539351853</v>
      </c>
      <c r="J60" s="7">
        <v>1</v>
      </c>
      <c r="K60" s="89" t="str">
        <f t="shared" si="0"/>
        <v>4063/4064</v>
      </c>
      <c r="L60" s="217" t="str">
        <f>VLOOKUP(A60,'Trips&amp;Operators'!$C$1:$G$99911,5,FALSE)</f>
        <v>BONDS REYNALDO</v>
      </c>
      <c r="M60" s="6">
        <f t="shared" si="1"/>
        <v>2.5185185186273884E-2</v>
      </c>
      <c r="N60" s="7">
        <f t="shared" si="35"/>
        <v>36.266666668234393</v>
      </c>
      <c r="O60" s="7"/>
      <c r="P60" s="7"/>
      <c r="Q60" s="22"/>
      <c r="R60" s="170"/>
      <c r="S60" s="213">
        <f t="shared" si="36"/>
        <v>1</v>
      </c>
      <c r="T60" s="195" t="str">
        <f t="shared" si="3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4"/>
        <v>https://d0f6bd738d7f1b3e5a7ca70fe4ff75f0.us-east-1.aws.found.io/app/kibana#/discover/Steve-Slow-Train-Analysis-(2080s-and-2083s)?_g=(refreshInterval:(display:Off,pause:!f,section:0,value:0),time:(from:'2017-08-25T08:24:13-0600',mode:absolute,to:'2017-08-25T11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0" s="197" t="str">
        <f>IF(AA60&lt;VLOOKUP(AG60,Variables!$AC$3:$AD$8,2,FALSE),"Y","N")</f>
        <v>N</v>
      </c>
      <c r="X60" s="197">
        <f t="shared" si="32"/>
        <v>1</v>
      </c>
      <c r="Y60" s="197">
        <f t="shared" si="34"/>
        <v>4.53E-2</v>
      </c>
      <c r="Z60" s="197">
        <f t="shared" si="33"/>
        <v>23.331199999999999</v>
      </c>
      <c r="AA60" s="197">
        <f t="shared" si="8"/>
        <v>23.285899999999998</v>
      </c>
      <c r="AB60" s="54" t="e">
        <f>VLOOKUP(A60,Enforcements!$C$7:$K$11,8,0)</f>
        <v>#N/A</v>
      </c>
      <c r="AC60" s="51" t="e">
        <f>VLOOKUP(A60,Enforcements!$C$7:$E$11,3,0)</f>
        <v>#N/A</v>
      </c>
      <c r="AD60" s="206">
        <f t="shared" si="9"/>
        <v>147</v>
      </c>
      <c r="AE60" s="77" t="str">
        <f t="shared" si="10"/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AF60" s="74" t="str">
        <f t="shared" si="11"/>
        <v>"C:\Program Files (x86)\AstroGrep\AstroGrep.exe" /e /r /s /spath="%USERPROFILE%\AppData\Local\Temp\OnboardLogs" /stypes="app*4064*20170825*" /stext=" 16:.+((SYSTEM_STATE.+slice.+state.+changed )|(ment ac)|(multiple cpu faults)|(system.+state.+changed )|(\[timeout)|(PRM\|1\|D)|(kpr)|(kdp)|(train st.+moving)|(\|lc)|(penalty))"</v>
      </c>
      <c r="AG60" s="209" t="str">
        <f t="shared" si="12"/>
        <v>EC</v>
      </c>
      <c r="AH60" s="78" t="str">
        <f t="shared" si="22"/>
        <v>"%USERPROFILE%\Documents\GitHub\eaglep3\Utilities\RefineRTDCRunTimes.py" --tripid 147-25 --locoid 4064 --swversion DE.1.0.9.0 --startMP 204:453 --initTime 2017-08-25T09:24:13 --startdatetime 2017-08-25T09:30:45 --delay 1 --endMP 204:233312 --enddatetime 2017-08-25T10:07:01 --enforcementcount 1 &gt;&gt;C:\Users\stu\Documents\GitHub\eaglep3-reporting\EC\2017-08-25-refined-times.txt</v>
      </c>
      <c r="AI60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{"issue":{"subject":"","project_id":79,"tracker_id":40,"status_id":1,"priority_id":2,"assigned_to_id":23,"start_date":"2017-08-25","description":"","custom_fields":[{"id":1,"name":"Subdivision","value":"EC"},{"id":4,"name":"Milepost","value":"23.3312"},{"id":17,"name":"Train ID","value":"147-25"},{"id":16,"name":"Locomotive ID","value":"4064"},{"id":130,"name":"Impact","value":""},{"id":150,"name":"Time of Event (Mountain Time)","value":"10:07:01"},{"id":151,"name":"Denver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4"/>
        <v>start /low /b %USERPROFILE%\Documents\GitHub\eaglep3\Utilities\DownloadLogsFromS3.py --loco 4064 --day 2017-08-25</v>
      </c>
      <c r="AN60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16:07:01"},{"id":29,"name":"Sharepoint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679</v>
      </c>
      <c r="B61" s="7">
        <v>4063</v>
      </c>
      <c r="C61" s="21" t="s">
        <v>197</v>
      </c>
      <c r="D61" s="21" t="s">
        <v>847</v>
      </c>
      <c r="E61" s="13">
        <v>42972.432372685187</v>
      </c>
      <c r="F61" s="13">
        <v>42972.435613425929</v>
      </c>
      <c r="G61" s="7">
        <v>0</v>
      </c>
      <c r="H61" s="21" t="s">
        <v>541</v>
      </c>
      <c r="I61" s="13">
        <v>42972.462685185186</v>
      </c>
      <c r="J61" s="7">
        <v>1</v>
      </c>
      <c r="K61" s="89" t="str">
        <f t="shared" si="0"/>
        <v>4063/4064</v>
      </c>
      <c r="L61" s="217" t="str">
        <f>VLOOKUP(A61,'Trips&amp;Operators'!$C$1:$G$99911,5,FALSE)</f>
        <v>BONDS REYNALDO</v>
      </c>
      <c r="M61" s="6">
        <f t="shared" si="1"/>
        <v>2.7071759257523809E-2</v>
      </c>
      <c r="N61" s="7">
        <f t="shared" si="35"/>
        <v>38.983333330834284</v>
      </c>
      <c r="O61" s="7"/>
      <c r="P61" s="7"/>
      <c r="Q61" s="22"/>
      <c r="R61" s="170"/>
      <c r="S61" s="213">
        <f t="shared" si="36"/>
        <v>1</v>
      </c>
      <c r="T61" s="195" t="str">
        <f t="shared" si="3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4"/>
        <v>https://d0f6bd738d7f1b3e5a7ca70fe4ff75f0.us-east-1.aws.found.io/app/kibana#/discover/Steve-Slow-Train-Analysis-(2080s-and-2083s)?_g=(refreshInterval:(display:Off,pause:!f,section:0,value:0),time:(from:'2017-08-25T09:22:37-0600',mode:absolute,to:'2017-08-25T12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1" s="197" t="str">
        <f>IF(AA61&lt;VLOOKUP(AG61,Variables!$AC$3:$AD$8,2,FALSE),"Y","N")</f>
        <v>N</v>
      </c>
      <c r="X61" s="197">
        <f t="shared" si="32"/>
        <v>1</v>
      </c>
      <c r="Y61" s="197">
        <f t="shared" si="34"/>
        <v>23.300799999999999</v>
      </c>
      <c r="Z61" s="197">
        <f t="shared" si="33"/>
        <v>1.29E-2</v>
      </c>
      <c r="AA61" s="197">
        <f t="shared" si="8"/>
        <v>23.2879</v>
      </c>
      <c r="AB61" s="54" t="e">
        <f>VLOOKUP(A61,Enforcements!$C$7:$K$11,8,0)</f>
        <v>#N/A</v>
      </c>
      <c r="AC61" s="51" t="e">
        <f>VLOOKUP(A61,Enforcements!$C$7:$E$11,3,0)</f>
        <v>#N/A</v>
      </c>
      <c r="AD61" s="206">
        <f t="shared" si="9"/>
        <v>148</v>
      </c>
      <c r="AE61" s="77" t="str">
        <f t="shared" si="10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61" s="74" t="str">
        <f t="shared" si="11"/>
        <v>"C:\Program Files (x86)\AstroGrep\AstroGrep.exe" /e /r /s /spath="%USERPROFILE%\AppData\Local\Temp\OnboardLogs" /stypes="app*4063*20170825*" /stext=" 17:.+((SYSTEM_STATE.+slice.+state.+changed )|(ment ac)|(multiple cpu faults)|(system.+state.+changed )|(\[timeout)|(PRM\|1\|D)|(kpr)|(kdp)|(train st.+moving)|(\|lc)|(penalty))"</v>
      </c>
      <c r="AG61" s="209" t="str">
        <f t="shared" si="12"/>
        <v>EC</v>
      </c>
      <c r="AH61" s="78" t="str">
        <f t="shared" si="22"/>
        <v>"%USERPROFILE%\Documents\GitHub\eaglep3\Utilities\RefineRTDCRunTimes.py" --tripid 148-25 --locoid 4063 --swversion DE.1.0.9.0 --startMP 204:233008 --initTime 2017-08-25T10:22:37 --startdatetime 2017-08-25T10:27:17 --delay 0 --endMP 204:129 --enddatetime 2017-08-25T11:06:16 --enforcementcount 1 &gt;&gt;C:\Users\stu\Documents\GitHub\eaglep3-reporting\EC\2017-08-25-refined-times.txt</v>
      </c>
      <c r="AI61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{"issue":{"subject":"","project_id":79,"tracker_id":40,"status_id":1,"priority_id":2,"assigned_to_id":23,"start_date":"2017-08-25","description":"","custom_fields":[{"id":1,"name":"Subdivision","value":"EC"},{"id":4,"name":"Milepost","value":"0.0129"},{"id":17,"name":"Train ID","value":"148-25"},{"id":16,"name":"Locomotive ID","value":"4063"},{"id":130,"name":"Impact","value":""},{"id":150,"name":"Time of Event (Mountain Time)","value":"11:06:16"},{"id":151,"name":"Denver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4"/>
        <v>start /low /b %USERPROFILE%\Documents\GitHub\eaglep3\Utilities\DownloadLogsFromS3.py --loco 4063 --day 2017-08-25</v>
      </c>
      <c r="AN61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17:06:16"},{"id":29,"name":"Sharepoint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674</v>
      </c>
      <c r="B62" s="7">
        <v>4032</v>
      </c>
      <c r="C62" s="21" t="s">
        <v>197</v>
      </c>
      <c r="D62" s="21" t="s">
        <v>341</v>
      </c>
      <c r="E62" s="13">
        <v>42972.401458333334</v>
      </c>
      <c r="F62" s="13">
        <v>42972.406770833331</v>
      </c>
      <c r="G62" s="7">
        <v>1</v>
      </c>
      <c r="H62" s="21" t="s">
        <v>540</v>
      </c>
      <c r="I62" s="13">
        <v>42972.430810185186</v>
      </c>
      <c r="J62" s="7">
        <v>1</v>
      </c>
      <c r="K62" s="89" t="str">
        <f t="shared" si="0"/>
        <v>4031/4032</v>
      </c>
      <c r="L62" s="217" t="str">
        <f>VLOOKUP(A62,'Trips&amp;Operators'!$C$1:$G$99911,5,FALSE)</f>
        <v>GEBRETEKLE DAGNEW</v>
      </c>
      <c r="M62" s="6">
        <f t="shared" si="1"/>
        <v>2.4039351854298729E-2</v>
      </c>
      <c r="N62" s="7">
        <f t="shared" si="35"/>
        <v>34.61666667019017</v>
      </c>
      <c r="O62" s="7"/>
      <c r="P62" s="7"/>
      <c r="Q62" s="22"/>
      <c r="R62" s="170"/>
      <c r="S62" s="213">
        <f t="shared" si="36"/>
        <v>1</v>
      </c>
      <c r="T62" s="195" t="str">
        <f t="shared" si="3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4"/>
        <v>https://d0f6bd738d7f1b3e5a7ca70fe4ff75f0.us-east-1.aws.found.io/app/kibana#/discover/Steve-Slow-Train-Analysis-(2080s-and-2083s)?_g=(refreshInterval:(display:Off,pause:!f,section:0,value:0),time:(from:'2017-08-25T08:38:06-0600',mode:absolute,to:'2017-08-25T11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2" s="197" t="str">
        <f>IF(AA62&lt;VLOOKUP(AG62,Variables!$AC$3:$AD$8,2,FALSE),"Y","N")</f>
        <v>N</v>
      </c>
      <c r="X62" s="197">
        <f t="shared" si="32"/>
        <v>1</v>
      </c>
      <c r="Y62" s="197">
        <f t="shared" si="34"/>
        <v>4.5100000000000001E-2</v>
      </c>
      <c r="Z62" s="197">
        <f t="shared" si="33"/>
        <v>23.3339</v>
      </c>
      <c r="AA62" s="197">
        <f t="shared" si="8"/>
        <v>23.288799999999998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206">
        <f t="shared" si="9"/>
        <v>149</v>
      </c>
      <c r="AE62" s="77" t="str">
        <f t="shared" si="10"/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AF62" s="74" t="str">
        <f t="shared" si="11"/>
        <v>"C:\Program Files (x86)\AstroGrep\AstroGrep.exe" /e /r /s /spath="%USERPROFILE%\AppData\Local\Temp\OnboardLogs" /stypes="app*4032*20170825*" /stext=" 16:.+((SYSTEM_STATE.+slice.+state.+changed )|(ment ac)|(multiple cpu faults)|(system.+state.+changed )|(\[timeout)|(PRM\|1\|D)|(kpr)|(kdp)|(train st.+moving)|(\|lc)|(penalty))"</v>
      </c>
      <c r="AG62" s="209" t="str">
        <f t="shared" si="12"/>
        <v>EC</v>
      </c>
      <c r="AH62" s="78" t="str">
        <f t="shared" si="22"/>
        <v>"%USERPROFILE%\Documents\GitHub\eaglep3\Utilities\RefineRTDCRunTimes.py" --tripid 149-25 --locoid 4032 --swversion DE.1.0.9.0 --startMP 204:451 --initTime 2017-08-25T09:38:06 --startdatetime 2017-08-25T09:45:45 --delay 1 --endMP 204:233339 --enddatetime 2017-08-25T10:20:22 --enforcementcount 1 &gt;&gt;C:\Users\stu\Documents\GitHub\eaglep3-reporting\EC\2017-08-25-refined-times.txt</v>
      </c>
      <c r="AI62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{"issue":{"subject":"","project_id":79,"tracker_id":40,"status_id":1,"priority_id":2,"assigned_to_id":23,"start_date":"2017-08-25","description":"","custom_fields":[{"id":1,"name":"Subdivision","value":"EC"},{"id":4,"name":"Milepost","value":"23.3339"},{"id":17,"name":"Train ID","value":"149-25"},{"id":16,"name":"Locomotive ID","value":"4032"},{"id":130,"name":"Impact","value":""},{"id":150,"name":"Time of Event (Mountain Time)","value":"10:20:22"},{"id":151,"name":"Denver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4"/>
        <v>start /low /b %USERPROFILE%\Documents\GitHub\eaglep3\Utilities\DownloadLogsFromS3.py --loco 4032 --day 2017-08-25</v>
      </c>
      <c r="AN62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16:20:22"},{"id":29,"name":"Sharepoint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680</v>
      </c>
      <c r="B63" s="7">
        <v>4031</v>
      </c>
      <c r="C63" s="21" t="s">
        <v>197</v>
      </c>
      <c r="D63" s="21" t="s">
        <v>848</v>
      </c>
      <c r="E63" s="13">
        <v>42972.43236111111</v>
      </c>
      <c r="F63" s="13">
        <v>42972.446018518516</v>
      </c>
      <c r="G63" s="7">
        <v>1</v>
      </c>
      <c r="H63" s="21" t="s">
        <v>376</v>
      </c>
      <c r="I63" s="13">
        <v>42972.47184027778</v>
      </c>
      <c r="J63" s="7">
        <v>1</v>
      </c>
      <c r="K63" s="89" t="str">
        <f t="shared" si="0"/>
        <v>4031/4032</v>
      </c>
      <c r="L63" s="217" t="str">
        <f>VLOOKUP(A63,'Trips&amp;Operators'!$C$1:$G$99911,5,FALSE)</f>
        <v>GEBRETEKLE DAGNEW</v>
      </c>
      <c r="M63" s="6">
        <f t="shared" si="1"/>
        <v>2.5821759263635613E-2</v>
      </c>
      <c r="N63" s="7">
        <f t="shared" si="35"/>
        <v>37.183333339635283</v>
      </c>
      <c r="O63" s="7"/>
      <c r="P63" s="7"/>
      <c r="Q63" s="22"/>
      <c r="R63" s="170"/>
      <c r="S63" s="213">
        <f t="shared" si="36"/>
        <v>1</v>
      </c>
      <c r="T63" s="195" t="str">
        <f t="shared" si="3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4"/>
        <v>https://d0f6bd738d7f1b3e5a7ca70fe4ff75f0.us-east-1.aws.found.io/app/kibana#/discover/Steve-Slow-Train-Analysis-(2080s-and-2083s)?_g=(refreshInterval:(display:Off,pause:!f,section:0,value:0),time:(from:'2017-08-25T09:22:36-0600',mode:absolute,to:'2017-08-25T12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3" s="197" t="str">
        <f>IF(AA63&lt;VLOOKUP(AG63,Variables!$AC$3:$AD$8,2,FALSE),"Y","N")</f>
        <v>N</v>
      </c>
      <c r="X63" s="197">
        <f t="shared" si="32"/>
        <v>1</v>
      </c>
      <c r="Y63" s="197">
        <f t="shared" si="34"/>
        <v>23.306100000000001</v>
      </c>
      <c r="Z63" s="197">
        <f t="shared" si="33"/>
        <v>1.4500000000000001E-2</v>
      </c>
      <c r="AA63" s="197">
        <f t="shared" si="8"/>
        <v>23.291599999999999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206">
        <f t="shared" si="9"/>
        <v>150</v>
      </c>
      <c r="AE63" s="77" t="str">
        <f t="shared" si="10"/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63" s="74" t="str">
        <f t="shared" si="11"/>
        <v>"C:\Program Files (x86)\AstroGrep\AstroGrep.exe" /e /r /s /spath="%USERPROFILE%\AppData\Local\Temp\OnboardLogs" /stypes="app*4031*20170825*" /stext=" 17:.+((SYSTEM_STATE.+slice.+state.+changed )|(ment ac)|(multiple cpu faults)|(system.+state.+changed )|(\[timeout)|(PRM\|1\|D)|(kpr)|(kdp)|(train st.+moving)|(\|lc)|(penalty))"</v>
      </c>
      <c r="AG63" s="209" t="str">
        <f t="shared" si="12"/>
        <v>EC</v>
      </c>
      <c r="AH63" s="78" t="str">
        <f t="shared" si="22"/>
        <v>"%USERPROFILE%\Documents\GitHub\eaglep3\Utilities\RefineRTDCRunTimes.py" --tripid 150-25 --locoid 4031 --swversion DE.1.0.9.0 --startMP 204:233061 --initTime 2017-08-25T10:22:36 --startdatetime 2017-08-25T10:42:16 --delay 1 --endMP 204:145 --enddatetime 2017-08-25T11:19:27 --enforcementcount 1 &gt;&gt;C:\Users\stu\Documents\GitHub\eaglep3-reporting\EC\2017-08-25-refined-times.txt</v>
      </c>
      <c r="AI63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{"issue":{"subject":"","project_id":79,"tracker_id":40,"status_id":1,"priority_id":2,"assigned_to_id":23,"start_date":"2017-08-25","description":"","custom_fields":[{"id":1,"name":"Subdivision","value":"EC"},{"id":4,"name":"Milepost","value":"0.0145"},{"id":17,"name":"Train ID","value":"150-25"},{"id":16,"name":"Locomotive ID","value":"4031"},{"id":130,"name":"Impact","value":""},{"id":150,"name":"Time of Event (Mountain Time)","value":"11:19:27"},{"id":151,"name":"Denver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4"/>
        <v>start /low /b %USERPROFILE%\Documents\GitHub\eaglep3\Utilities\DownloadLogsFromS3.py --loco 4031 --day 2017-08-25</v>
      </c>
      <c r="AN63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17:19:27"},{"id":29,"name":"Sharepoint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676</v>
      </c>
      <c r="B64" s="7">
        <v>4014</v>
      </c>
      <c r="C64" s="21" t="s">
        <v>197</v>
      </c>
      <c r="D64" s="21" t="s">
        <v>386</v>
      </c>
      <c r="E64" s="13">
        <v>42972.41265046296</v>
      </c>
      <c r="F64" s="13">
        <v>42972.417164351849</v>
      </c>
      <c r="G64" s="7">
        <v>1</v>
      </c>
      <c r="H64" s="21" t="s">
        <v>849</v>
      </c>
      <c r="I64" s="13">
        <v>42972.442858796298</v>
      </c>
      <c r="J64" s="7">
        <v>1</v>
      </c>
      <c r="K64" s="89" t="str">
        <f t="shared" si="0"/>
        <v>4013/4014</v>
      </c>
      <c r="L64" s="217" t="str">
        <f>VLOOKUP(A64,'Trips&amp;Operators'!$C$1:$G$99911,5,FALSE)</f>
        <v>DAVIS WENDY</v>
      </c>
      <c r="M64" s="6">
        <f t="shared" si="1"/>
        <v>2.5694444448163267E-2</v>
      </c>
      <c r="N64" s="7">
        <f t="shared" si="35"/>
        <v>37.000000005355105</v>
      </c>
      <c r="O64" s="7"/>
      <c r="P64" s="7"/>
      <c r="Q64" s="22"/>
      <c r="R64" s="170"/>
      <c r="S64" s="213">
        <f t="shared" si="36"/>
        <v>1</v>
      </c>
      <c r="T64" s="195" t="str">
        <f t="shared" si="3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4"/>
        <v>https://d0f6bd738d7f1b3e5a7ca70fe4ff75f0.us-east-1.aws.found.io/app/kibana#/discover/Steve-Slow-Train-Analysis-(2080s-and-2083s)?_g=(refreshInterval:(display:Off,pause:!f,section:0,value:0),time:(from:'2017-08-25T08:54:13-0600',mode:absolute,to:'2017-08-25T11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4" s="197" t="str">
        <f>IF(AA64&lt;VLOOKUP(AG64,Variables!$AC$3:$AD$8,2,FALSE),"Y","N")</f>
        <v>N</v>
      </c>
      <c r="X64" s="197">
        <f t="shared" si="32"/>
        <v>1</v>
      </c>
      <c r="Y64" s="197">
        <f t="shared" si="34"/>
        <v>4.6600000000000003E-2</v>
      </c>
      <c r="Z64" s="197">
        <f t="shared" si="33"/>
        <v>23.336099999999998</v>
      </c>
      <c r="AA64" s="197">
        <f t="shared" si="8"/>
        <v>23.289499999999997</v>
      </c>
      <c r="AB64" s="54" t="e">
        <f>VLOOKUP(A64,Enforcements!$C$7:$K$11,8,0)</f>
        <v>#N/A</v>
      </c>
      <c r="AC64" s="51" t="e">
        <f>VLOOKUP(A64,Enforcements!$C$7:$E$11,3,0)</f>
        <v>#N/A</v>
      </c>
      <c r="AD64" s="206">
        <f t="shared" si="9"/>
        <v>151</v>
      </c>
      <c r="AE64" s="77" t="str">
        <f t="shared" si="10"/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AF64" s="74" t="str">
        <f t="shared" si="11"/>
        <v>"C:\Program Files (x86)\AstroGrep\AstroGrep.exe" /e /r /s /spath="%USERPROFILE%\AppData\Local\Temp\OnboardLogs" /stypes="app*4014*20170825*" /stext=" 16:.+((SYSTEM_STATE.+slice.+state.+changed )|(ment ac)|(multiple cpu faults)|(system.+state.+changed )|(\[timeout)|(PRM\|1\|D)|(kpr)|(kdp)|(train st.+moving)|(\|lc)|(penalty))"</v>
      </c>
      <c r="AG64" s="209" t="str">
        <f t="shared" si="12"/>
        <v>EC</v>
      </c>
      <c r="AH64" s="78" t="str">
        <f t="shared" si="22"/>
        <v>"%USERPROFILE%\Documents\GitHub\eaglep3\Utilities\RefineRTDCRunTimes.py" --tripid 151-25 --locoid 4014 --swversion DE.1.0.9.0 --startMP 204:466 --initTime 2017-08-25T09:54:13 --startdatetime 2017-08-25T10:00:43 --delay 1 --endMP 204:233361 --enddatetime 2017-08-25T10:37:43 --enforcementcount 1 &gt;&gt;C:\Users\stu\Documents\GitHub\eaglep3-reporting\EC\2017-08-25-refined-times.txt</v>
      </c>
      <c r="AI64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{"issue":{"subject":"","project_id":79,"tracker_id":40,"status_id":1,"priority_id":2,"assigned_to_id":23,"start_date":"2017-08-25","description":"","custom_fields":[{"id":1,"name":"Subdivision","value":"EC"},{"id":4,"name":"Milepost","value":"23.3361"},{"id":17,"name":"Train ID","value":"151-25"},{"id":16,"name":"Locomotive ID","value":"4014"},{"id":130,"name":"Impact","value":""},{"id":150,"name":"Time of Event (Mountain Time)","value":"10:37:43"},{"id":151,"name":"Denver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4"/>
        <v>start /low /b %USERPROFILE%\Documents\GitHub\eaglep3\Utilities\DownloadLogsFromS3.py --loco 4014 --day 2017-08-25</v>
      </c>
      <c r="AN64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16:37:43"},{"id":29,"name":"Sharepoint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684</v>
      </c>
      <c r="B65" s="7">
        <v>4013</v>
      </c>
      <c r="C65" s="21" t="s">
        <v>197</v>
      </c>
      <c r="D65" s="21" t="s">
        <v>850</v>
      </c>
      <c r="E65" s="13">
        <v>42972.453414351854</v>
      </c>
      <c r="F65" s="13">
        <v>42972.456458333334</v>
      </c>
      <c r="G65" s="7">
        <v>1</v>
      </c>
      <c r="H65" s="21" t="s">
        <v>391</v>
      </c>
      <c r="I65" s="13">
        <v>42972.483981481484</v>
      </c>
      <c r="J65" s="7">
        <v>1</v>
      </c>
      <c r="K65" s="89" t="str">
        <f t="shared" si="0"/>
        <v>4013/4014</v>
      </c>
      <c r="L65" s="217" t="str">
        <f>VLOOKUP(A65,'Trips&amp;Operators'!$C$1:$G$99911,5,FALSE)</f>
        <v>DAVIS WENDY</v>
      </c>
      <c r="M65" s="6">
        <f t="shared" si="1"/>
        <v>2.7523148150066845E-2</v>
      </c>
      <c r="N65" s="7">
        <f t="shared" si="35"/>
        <v>39.633333336096257</v>
      </c>
      <c r="O65" s="7"/>
      <c r="P65" s="7"/>
      <c r="Q65" s="22"/>
      <c r="R65" s="170"/>
      <c r="S65" s="213">
        <f t="shared" si="36"/>
        <v>1</v>
      </c>
      <c r="T65" s="195" t="str">
        <f t="shared" si="3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4"/>
        <v>https://d0f6bd738d7f1b3e5a7ca70fe4ff75f0.us-east-1.aws.found.io/app/kibana#/discover/Steve-Slow-Train-Analysis-(2080s-and-2083s)?_g=(refreshInterval:(display:Off,pause:!f,section:0,value:0),time:(from:'2017-08-25T09:52:55-0600',mode:absolute,to:'2017-08-25T12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5" s="197" t="str">
        <f>IF(AA65&lt;VLOOKUP(AG65,Variables!$AC$3:$AD$8,2,FALSE),"Y","N")</f>
        <v>N</v>
      </c>
      <c r="X65" s="197">
        <f t="shared" si="32"/>
        <v>1</v>
      </c>
      <c r="Y65" s="197">
        <f t="shared" si="34"/>
        <v>23.307400000000001</v>
      </c>
      <c r="Z65" s="197">
        <f t="shared" si="33"/>
        <v>1.5599999999999999E-2</v>
      </c>
      <c r="AA65" s="197">
        <f t="shared" si="8"/>
        <v>23.291800000000002</v>
      </c>
      <c r="AB65" s="54" t="e">
        <f>VLOOKUP(A65,Enforcements!$C$7:$K$11,8,0)</f>
        <v>#N/A</v>
      </c>
      <c r="AC65" s="51" t="e">
        <f>VLOOKUP(A65,Enforcements!$C$7:$E$11,3,0)</f>
        <v>#N/A</v>
      </c>
      <c r="AD65" s="206">
        <f t="shared" si="9"/>
        <v>152</v>
      </c>
      <c r="AE65" s="77" t="str">
        <f t="shared" si="10"/>
        <v>aws s3 cp s3://rtdc.mdm.uploadarchive.raw/RTDC4013/ "%USERPROFILE%\AppData\Local\Temp\OnboardLogs"\RTDC4013\2017-08-25 --exclude "*" --recursive --include "*20170825*" &amp; "%USERPROFILE%\Documents\GitHub\mrs-test-scripts\Headless Mode &amp; Sideloading\WalkAndUnGZ.bat" "%USERPROFILE%\AppData\Local\Temp\OnboardLogs"\RTDC4013\2017-08-25 &amp; aws s3 cp s3://rtdc.mdm.uploadarchive.raw/RTDC4013/ "%USERPROFILE%\AppData\Local\Temp\OnboardLogs"\RTDC4013\2017-08-26 --exclude "*" --recursive --include "*20170826*" &amp; "%USERPROFILE%\Documents\GitHub\mrs-test-scripts\Headless Mode &amp; Sideloading\WalkAndUnGZ.bat" "%USERPROFILE%\AppData\Local\Temp\OnboardLogs"\RTDC4013\2017-08-26</v>
      </c>
      <c r="AF65" s="74" t="str">
        <f t="shared" si="11"/>
        <v>"C:\Program Files (x86)\AstroGrep\AstroGrep.exe" /e /r /s /spath="%USERPROFILE%\AppData\Local\Temp\OnboardLogs" /stypes="app*4013*20170825*" /stext=" 17:.+((SYSTEM_STATE.+slice.+state.+changed )|(ment ac)|(multiple cpu faults)|(system.+state.+changed )|(\[timeout)|(PRM\|1\|D)|(kpr)|(kdp)|(train st.+moving)|(\|lc)|(penalty))"</v>
      </c>
      <c r="AG65" s="209" t="str">
        <f t="shared" si="12"/>
        <v>EC</v>
      </c>
      <c r="AH65" s="78" t="str">
        <f t="shared" si="22"/>
        <v>"%USERPROFILE%\Documents\GitHub\eaglep3\Utilities\RefineRTDCRunTimes.py" --tripid 152-25 --locoid 4013 --swversion DE.1.0.9.0 --startMP 204:233074 --initTime 2017-08-25T10:52:55 --startdatetime 2017-08-25T10:57:18 --delay 1 --endMP 204:156 --enddatetime 2017-08-25T11:36:56 --enforcementcount 1 &gt;&gt;C:\Users\stu\Documents\GitHub\eaglep3-reporting\EC\2017-08-25-refined-times.txt</v>
      </c>
      <c r="AI65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{"issue":{"subject":"","project_id":79,"tracker_id":40,"status_id":1,"priority_id":2,"assigned_to_id":23,"start_date":"2017-08-25","description":"","custom_fields":[{"id":1,"name":"Subdivision","value":"EC"},{"id":4,"name":"Milepost","value":"0.0156"},{"id":17,"name":"Train ID","value":"152-25"},{"id":16,"name":"Locomotive ID","value":"4013"},{"id":130,"name":"Impact","value":""},{"id":150,"name":"Time of Event (Mountain Time)","value":"11:36:56"},{"id":151,"name":"Denver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4"/>
        <v>start /low /b %USERPROFILE%\Documents\GitHub\eaglep3\Utilities\DownloadLogsFromS3.py --loco 4013 --day 2017-08-25</v>
      </c>
      <c r="AN65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17:36:56"},{"id":29,"name":"Sharepoint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678</v>
      </c>
      <c r="B66" s="7">
        <v>4002</v>
      </c>
      <c r="C66" s="21" t="s">
        <v>197</v>
      </c>
      <c r="D66" s="21" t="s">
        <v>337</v>
      </c>
      <c r="E66" s="13">
        <v>42972.421944444446</v>
      </c>
      <c r="F66" s="13">
        <v>42972.427581018521</v>
      </c>
      <c r="G66" s="7">
        <v>1</v>
      </c>
      <c r="H66" s="21" t="s">
        <v>833</v>
      </c>
      <c r="I66" s="13">
        <v>42972.45207175926</v>
      </c>
      <c r="J66" s="7">
        <v>1</v>
      </c>
      <c r="K66" s="89" t="str">
        <f t="shared" si="0"/>
        <v>4001/4002</v>
      </c>
      <c r="L66" s="217" t="str">
        <f>VLOOKUP(A66,'Trips&amp;Operators'!$C$1:$G$99911,5,FALSE)</f>
        <v>GUZMAN DANNY</v>
      </c>
      <c r="M66" s="6">
        <f t="shared" si="1"/>
        <v>2.4490740739565808E-2</v>
      </c>
      <c r="N66" s="7">
        <f t="shared" si="35"/>
        <v>35.266666664974764</v>
      </c>
      <c r="O66" s="7"/>
      <c r="P66" s="7"/>
      <c r="Q66" s="22"/>
      <c r="R66" s="170"/>
      <c r="S66" s="213">
        <f t="shared" si="36"/>
        <v>1</v>
      </c>
      <c r="T66" s="195" t="str">
        <f t="shared" si="3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4"/>
        <v>https://d0f6bd738d7f1b3e5a7ca70fe4ff75f0.us-east-1.aws.found.io/app/kibana#/discover/Steve-Slow-Train-Analysis-(2080s-and-2083s)?_g=(refreshInterval:(display:Off,pause:!f,section:0,value:0),time:(from:'2017-08-25T09:07:36-0600',mode:absolute,to:'2017-08-25T11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6" s="197" t="str">
        <f>IF(AA66&lt;VLOOKUP(AG66,Variables!$AC$3:$AD$8,2,FALSE),"Y","N")</f>
        <v>N</v>
      </c>
      <c r="X66" s="197">
        <f t="shared" si="32"/>
        <v>1</v>
      </c>
      <c r="Y66" s="197">
        <f t="shared" si="34"/>
        <v>4.4600000000000001E-2</v>
      </c>
      <c r="Z66" s="197">
        <f t="shared" si="33"/>
        <v>23.337</v>
      </c>
      <c r="AA66" s="197">
        <f t="shared" si="8"/>
        <v>23.292400000000001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206">
        <f t="shared" si="9"/>
        <v>153</v>
      </c>
      <c r="AE66" s="77" t="str">
        <f t="shared" si="10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66" s="74" t="str">
        <f t="shared" si="11"/>
        <v>"C:\Program Files (x86)\AstroGrep\AstroGrep.exe" /e /r /s /spath="%USERPROFILE%\AppData\Local\Temp\OnboardLogs" /stypes="app*4002*20170825*" /stext=" 16:.+((SYSTEM_STATE.+slice.+state.+changed )|(ment ac)|(multiple cpu faults)|(system.+state.+changed )|(\[timeout)|(PRM\|1\|D)|(kpr)|(kdp)|(train st.+moving)|(\|lc)|(penalty))"</v>
      </c>
      <c r="AG66" s="209" t="str">
        <f t="shared" si="12"/>
        <v>EC</v>
      </c>
      <c r="AH66" s="78" t="str">
        <f t="shared" si="22"/>
        <v>"%USERPROFILE%\Documents\GitHub\eaglep3\Utilities\RefineRTDCRunTimes.py" --tripid 153-25 --locoid 4002 --swversion DE.1.0.9.0 --startMP 204:446 --initTime 2017-08-25T10:07:36 --startdatetime 2017-08-25T10:15:43 --delay 1 --endMP 204:233370 --enddatetime 2017-08-25T10:50:59 --enforcementcount 1 &gt;&gt;C:\Users\stu\Documents\GitHub\eaglep3-reporting\EC\2017-08-25-refined-times.txt</v>
      </c>
      <c r="AI66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{"issue":{"subject":"","project_id":79,"tracker_id":40,"status_id":1,"priority_id":2,"assigned_to_id":23,"start_date":"2017-08-25","description":"","custom_fields":[{"id":1,"name":"Subdivision","value":"EC"},{"id":4,"name":"Milepost","value":"23.337"},{"id":17,"name":"Train ID","value":"153-25"},{"id":16,"name":"Locomotive ID","value":"4002"},{"id":130,"name":"Impact","value":""},{"id":150,"name":"Time of Event (Mountain Time)","value":"10:50:59"},{"id":151,"name":"Denver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4"/>
        <v>start /low /b %USERPROFILE%\Documents\GitHub\eaglep3\Utilities\DownloadLogsFromS3.py --loco 4002 --day 2017-08-25</v>
      </c>
      <c r="AN66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16:50:59"},{"id":29,"name":"Sharepoint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685</v>
      </c>
      <c r="B67" s="7">
        <v>4001</v>
      </c>
      <c r="C67" s="21" t="s">
        <v>197</v>
      </c>
      <c r="D67" s="21" t="s">
        <v>851</v>
      </c>
      <c r="E67" s="13">
        <v>42972.456574074073</v>
      </c>
      <c r="F67" s="13">
        <v>42972.466886574075</v>
      </c>
      <c r="G67" s="7">
        <v>1</v>
      </c>
      <c r="H67" s="21" t="s">
        <v>345</v>
      </c>
      <c r="I67" s="13">
        <v>42972.493634259263</v>
      </c>
      <c r="J67" s="7">
        <v>1</v>
      </c>
      <c r="K67" s="89" t="str">
        <f t="shared" si="0"/>
        <v>4001/4002</v>
      </c>
      <c r="L67" s="217" t="str">
        <f>VLOOKUP(A67,'Trips&amp;Operators'!$C$1:$G$99911,5,FALSE)</f>
        <v>GUZMAN DANNY</v>
      </c>
      <c r="M67" s="6">
        <f t="shared" si="1"/>
        <v>2.6747685187729076E-2</v>
      </c>
      <c r="N67" s="7">
        <f t="shared" si="35"/>
        <v>38.516666670329869</v>
      </c>
      <c r="O67" s="7"/>
      <c r="P67" s="7"/>
      <c r="Q67" s="22"/>
      <c r="R67" s="170"/>
      <c r="S67" s="213">
        <f t="shared" si="36"/>
        <v>1</v>
      </c>
      <c r="T67" s="195" t="str">
        <f t="shared" si="3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4"/>
        <v>https://d0f6bd738d7f1b3e5a7ca70fe4ff75f0.us-east-1.aws.found.io/app/kibana#/discover/Steve-Slow-Train-Analysis-(2080s-and-2083s)?_g=(refreshInterval:(display:Off,pause:!f,section:0,value:0),time:(from:'2017-08-25T09:57:28-0600',mode:absolute,to:'2017-08-25T12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7" s="197" t="str">
        <f>IF(AA67&lt;VLOOKUP(AG67,Variables!$AC$3:$AD$8,2,FALSE),"Y","N")</f>
        <v>N</v>
      </c>
      <c r="X67" s="197">
        <f t="shared" si="32"/>
        <v>1</v>
      </c>
      <c r="Y67" s="197">
        <f t="shared" si="34"/>
        <v>23.308199999999999</v>
      </c>
      <c r="Z67" s="197">
        <f t="shared" si="33"/>
        <v>1.41E-2</v>
      </c>
      <c r="AA67" s="197">
        <f t="shared" si="8"/>
        <v>23.2941</v>
      </c>
      <c r="AB67" s="54" t="e">
        <f>VLOOKUP(A67,Enforcements!$C$7:$K$11,8,0)</f>
        <v>#N/A</v>
      </c>
      <c r="AC67" s="51" t="e">
        <f>VLOOKUP(A67,Enforcements!$C$7:$E$11,3,0)</f>
        <v>#N/A</v>
      </c>
      <c r="AD67" s="206">
        <f t="shared" si="9"/>
        <v>154</v>
      </c>
      <c r="AE67" s="77" t="str">
        <f t="shared" si="10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67" s="74" t="str">
        <f t="shared" si="11"/>
        <v>"C:\Program Files (x86)\AstroGrep\AstroGrep.exe" /e /r /s /spath="%USERPROFILE%\AppData\Local\Temp\OnboardLogs" /stypes="app*4001*20170825*" /stext=" 17:.+((SYSTEM_STATE.+slice.+state.+changed )|(ment ac)|(multiple cpu faults)|(system.+state.+changed )|(\[timeout)|(PRM\|1\|D)|(kpr)|(kdp)|(train st.+moving)|(\|lc)|(penalty))"</v>
      </c>
      <c r="AG67" s="209" t="str">
        <f t="shared" si="12"/>
        <v>EC</v>
      </c>
      <c r="AH67" s="78" t="str">
        <f t="shared" si="22"/>
        <v>"%USERPROFILE%\Documents\GitHub\eaglep3\Utilities\RefineRTDCRunTimes.py" --tripid 154-25 --locoid 4001 --swversion DE.1.0.9.0 --startMP 204:233082 --initTime 2017-08-25T10:57:28 --startdatetime 2017-08-25T11:12:19 --delay 1 --endMP 204:141 --enddatetime 2017-08-25T11:50:50 --enforcementcount 1 &gt;&gt;C:\Users\stu\Documents\GitHub\eaglep3-reporting\EC\2017-08-25-refined-times.txt</v>
      </c>
      <c r="AI67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{"issue":{"subject":"","project_id":79,"tracker_id":40,"status_id":1,"priority_id":2,"assigned_to_id":23,"start_date":"2017-08-25","description":"","custom_fields":[{"id":1,"name":"Subdivision","value":"EC"},{"id":4,"name":"Milepost","value":"0.0141"},{"id":17,"name":"Train ID","value":"154-25"},{"id":16,"name":"Locomotive ID","value":"4001"},{"id":130,"name":"Impact","value":""},{"id":150,"name":"Time of Event (Mountain Time)","value":"11:50:50"},{"id":151,"name":"Denver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4"/>
        <v>start /low /b %USERPROFILE%\Documents\GitHub\eaglep3\Utilities\DownloadLogsFromS3.py --loco 4001 --day 2017-08-25</v>
      </c>
      <c r="AN67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17:50:50"},{"id":29,"name":"Sharepoint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681</v>
      </c>
      <c r="B68" s="7">
        <v>4042</v>
      </c>
      <c r="C68" s="21" t="s">
        <v>197</v>
      </c>
      <c r="D68" s="21" t="s">
        <v>384</v>
      </c>
      <c r="E68" s="13">
        <v>42972.433483796296</v>
      </c>
      <c r="F68" s="13">
        <v>42972.438090277778</v>
      </c>
      <c r="G68" s="7">
        <v>1</v>
      </c>
      <c r="H68" s="21" t="s">
        <v>387</v>
      </c>
      <c r="I68" s="13">
        <v>42972.463645833333</v>
      </c>
      <c r="J68" s="7">
        <v>1</v>
      </c>
      <c r="K68" s="89" t="str">
        <f t="shared" si="0"/>
        <v>4041/4042</v>
      </c>
      <c r="L68" s="217" t="str">
        <f>VLOOKUP(A68,'Trips&amp;Operators'!$C$1:$G$99911,5,FALSE)</f>
        <v>DAVIDSON DAVID</v>
      </c>
      <c r="M68" s="6">
        <f t="shared" si="1"/>
        <v>2.5555555555911269E-2</v>
      </c>
      <c r="N68" s="7">
        <f t="shared" si="35"/>
        <v>36.800000000512227</v>
      </c>
      <c r="O68" s="7"/>
      <c r="P68" s="7"/>
      <c r="Q68" s="22"/>
      <c r="R68" s="170"/>
      <c r="S68" s="213">
        <f t="shared" si="36"/>
        <v>1</v>
      </c>
      <c r="T68" s="195" t="str">
        <f t="shared" si="3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4"/>
        <v>https://d0f6bd738d7f1b3e5a7ca70fe4ff75f0.us-east-1.aws.found.io/app/kibana#/discover/Steve-Slow-Train-Analysis-(2080s-and-2083s)?_g=(refreshInterval:(display:Off,pause:!f,section:0,value:0),time:(from:'2017-08-25T09:24:13-0600',mode:absolute,to:'2017-08-25T12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8" s="197" t="str">
        <f>IF(AA68&lt;VLOOKUP(AG68,Variables!$AC$3:$AD$8,2,FALSE),"Y","N")</f>
        <v>N</v>
      </c>
      <c r="X68" s="197">
        <f t="shared" si="32"/>
        <v>1</v>
      </c>
      <c r="Y68" s="197">
        <f t="shared" si="34"/>
        <v>4.4400000000000002E-2</v>
      </c>
      <c r="Z68" s="197">
        <f t="shared" si="33"/>
        <v>23.3293</v>
      </c>
      <c r="AA68" s="197">
        <f t="shared" si="8"/>
        <v>23.2849</v>
      </c>
      <c r="AB68" s="54" t="e">
        <f>VLOOKUP(A68,Enforcements!$C$7:$K$11,8,0)</f>
        <v>#N/A</v>
      </c>
      <c r="AC68" s="51" t="e">
        <f>VLOOKUP(A68,Enforcements!$C$7:$E$11,3,0)</f>
        <v>#N/A</v>
      </c>
      <c r="AD68" s="206">
        <f t="shared" si="9"/>
        <v>155</v>
      </c>
      <c r="AE68" s="77" t="str">
        <f t="shared" si="10"/>
        <v>aws s3 cp s3://rtdc.mdm.uploadarchive.raw/RTDC4042/ "%USERPROFILE%\AppData\Local\Temp\OnboardLogs"\RTDC4042\2017-08-25 --exclude "*" --recursive --include "*20170825*" &amp; "%USERPROFILE%\Documents\GitHub\mrs-test-scripts\Headless Mode &amp; Sideloading\WalkAndUnGZ.bat" "%USERPROFILE%\AppData\Local\Temp\OnboardLogs"\RTDC4042\2017-08-25 &amp; aws s3 cp s3://rtdc.mdm.uploadarchive.raw/RTDC4042/ "%USERPROFILE%\AppData\Local\Temp\OnboardLogs"\RTDC4042\2017-08-26 --exclude "*" --recursive --include "*20170826*" &amp; "%USERPROFILE%\Documents\GitHub\mrs-test-scripts\Headless Mode &amp; Sideloading\WalkAndUnGZ.bat" "%USERPROFILE%\AppData\Local\Temp\OnboardLogs"\RTDC4042\2017-08-26</v>
      </c>
      <c r="AF68" s="74" t="str">
        <f t="shared" si="11"/>
        <v>"C:\Program Files (x86)\AstroGrep\AstroGrep.exe" /e /r /s /spath="%USERPROFILE%\AppData\Local\Temp\OnboardLogs" /stypes="app*4042*20170825*" /stext=" 17:.+((SYSTEM_STATE.+slice.+state.+changed )|(ment ac)|(multiple cpu faults)|(system.+state.+changed )|(\[timeout)|(PRM\|1\|D)|(kpr)|(kdp)|(train st.+moving)|(\|lc)|(penalty))"</v>
      </c>
      <c r="AG68" s="209" t="str">
        <f t="shared" si="12"/>
        <v>EC</v>
      </c>
      <c r="AH68" s="78" t="str">
        <f t="shared" si="22"/>
        <v>"%USERPROFILE%\Documents\GitHub\eaglep3\Utilities\RefineRTDCRunTimes.py" --tripid 155-25 --locoid 4042 --swversion DE.1.0.9.0 --startMP 204:444 --initTime 2017-08-25T10:24:13 --startdatetime 2017-08-25T10:30:51 --delay 1 --endMP 204:233293 --enddatetime 2017-08-25T11:07:39 --enforcementcount 1 &gt;&gt;C:\Users\stu\Documents\GitHub\eaglep3-reporting\EC\2017-08-25-refined-times.txt</v>
      </c>
      <c r="AI68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{"issue":{"subject":"","project_id":79,"tracker_id":40,"status_id":1,"priority_id":2,"assigned_to_id":23,"start_date":"2017-08-25","description":"","custom_fields":[{"id":1,"name":"Subdivision","value":"EC"},{"id":4,"name":"Milepost","value":"23.3293"},{"id":17,"name":"Train ID","value":"155-25"},{"id":16,"name":"Locomotive ID","value":"4042"},{"id":130,"name":"Impact","value":""},{"id":150,"name":"Time of Event (Mountain Time)","value":"11:07:39"},{"id":151,"name":"Denver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4"/>
        <v>start /low /b %USERPROFILE%\Documents\GitHub\eaglep3\Utilities\DownloadLogsFromS3.py --loco 4042 --day 2017-08-25</v>
      </c>
      <c r="AN68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17:07:39"},{"id":29,"name":"Sharepoint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687</v>
      </c>
      <c r="B69" s="7">
        <v>4041</v>
      </c>
      <c r="C69" s="21" t="s">
        <v>197</v>
      </c>
      <c r="D69" s="21" t="s">
        <v>526</v>
      </c>
      <c r="E69" s="13">
        <v>42972.465590277781</v>
      </c>
      <c r="F69" s="13">
        <v>42972.477268518516</v>
      </c>
      <c r="G69" s="7">
        <v>1</v>
      </c>
      <c r="H69" s="21" t="s">
        <v>350</v>
      </c>
      <c r="I69" s="13">
        <v>42972.504675925928</v>
      </c>
      <c r="J69" s="7">
        <v>1</v>
      </c>
      <c r="K69" s="89" t="str">
        <f t="shared" si="0"/>
        <v>4041/4042</v>
      </c>
      <c r="L69" s="217" t="str">
        <f>VLOOKUP(A69,'Trips&amp;Operators'!$C$1:$G$99911,5,FALSE)</f>
        <v>DAVIDSON DAVID</v>
      </c>
      <c r="M69" s="6">
        <f t="shared" si="1"/>
        <v>2.7407407411374152E-2</v>
      </c>
      <c r="N69" s="7">
        <f t="shared" si="35"/>
        <v>39.466666672378778</v>
      </c>
      <c r="O69" s="7"/>
      <c r="P69" s="7"/>
      <c r="Q69" s="22"/>
      <c r="R69" s="170"/>
      <c r="S69" s="213">
        <f t="shared" si="36"/>
        <v>1</v>
      </c>
      <c r="T69" s="195" t="str">
        <f t="shared" si="3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4"/>
        <v>https://d0f6bd738d7f1b3e5a7ca70fe4ff75f0.us-east-1.aws.found.io/app/kibana#/discover/Steve-Slow-Train-Analysis-(2080s-and-2083s)?_g=(refreshInterval:(display:Off,pause:!f,section:0,value:0),time:(from:'2017-08-25T10:10:27-0600',mode:absolute,to:'2017-08-25T13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9" s="197" t="str">
        <f>IF(AA69&lt;VLOOKUP(AG69,Variables!$AC$3:$AD$8,2,FALSE),"Y","N")</f>
        <v>N</v>
      </c>
      <c r="X69" s="197">
        <f t="shared" si="32"/>
        <v>1</v>
      </c>
      <c r="Y69" s="197">
        <f t="shared" si="34"/>
        <v>23.2989</v>
      </c>
      <c r="Z69" s="197">
        <f t="shared" si="33"/>
        <v>1.54E-2</v>
      </c>
      <c r="AA69" s="197">
        <f t="shared" si="8"/>
        <v>23.2835</v>
      </c>
      <c r="AB69" s="54" t="e">
        <f>VLOOKUP(A69,Enforcements!$C$7:$K$11,8,0)</f>
        <v>#N/A</v>
      </c>
      <c r="AC69" s="51" t="e">
        <f>VLOOKUP(A69,Enforcements!$C$7:$E$11,3,0)</f>
        <v>#N/A</v>
      </c>
      <c r="AD69" s="206">
        <f t="shared" si="9"/>
        <v>156</v>
      </c>
      <c r="AE69" s="77" t="str">
        <f t="shared" si="10"/>
        <v>aws s3 cp s3://rtdc.mdm.uploadarchive.raw/RTDC4041/ "%USERPROFILE%\AppData\Local\Temp\OnboardLogs"\RTDC4041\2017-08-25 --exclude "*" --recursive --include "*20170825*" &amp; "%USERPROFILE%\Documents\GitHub\mrs-test-scripts\Headless Mode &amp; Sideloading\WalkAndUnGZ.bat" "%USERPROFILE%\AppData\Local\Temp\OnboardLogs"\RTDC4041\2017-08-25 &amp; aws s3 cp s3://rtdc.mdm.uploadarchive.raw/RTDC4041/ "%USERPROFILE%\AppData\Local\Temp\OnboardLogs"\RTDC4041\2017-08-26 --exclude "*" --recursive --include "*20170826*" &amp; "%USERPROFILE%\Documents\GitHub\mrs-test-scripts\Headless Mode &amp; Sideloading\WalkAndUnGZ.bat" "%USERPROFILE%\AppData\Local\Temp\OnboardLogs"\RTDC4041\2017-08-26</v>
      </c>
      <c r="AF69" s="74" t="str">
        <f t="shared" si="11"/>
        <v>"C:\Program Files (x86)\AstroGrep\AstroGrep.exe" /e /r /s /spath="%USERPROFILE%\AppData\Local\Temp\OnboardLogs" /stypes="app*4041*20170825*" /stext=" 18:.+((SYSTEM_STATE.+slice.+state.+changed )|(ment ac)|(multiple cpu faults)|(system.+state.+changed )|(\[timeout)|(PRM\|1\|D)|(kpr)|(kdp)|(train st.+moving)|(\|lc)|(penalty))"</v>
      </c>
      <c r="AG69" s="209" t="str">
        <f t="shared" si="12"/>
        <v>EC</v>
      </c>
      <c r="AH69" s="78" t="str">
        <f t="shared" si="22"/>
        <v>"%USERPROFILE%\Documents\GitHub\eaglep3\Utilities\RefineRTDCRunTimes.py" --tripid 156-25 --locoid 4041 --swversion DE.1.0.9.0 --startMP 204:232989 --initTime 2017-08-25T11:10:27 --startdatetime 2017-08-25T11:27:16 --delay 1 --endMP 204:154 --enddatetime 2017-08-25T12:06:44 --enforcementcount 1 &gt;&gt;C:\Users\stu\Documents\GitHub\eaglep3-reporting\EC\2017-08-25-refined-times.txt</v>
      </c>
      <c r="AI69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{"issue":{"subject":"","project_id":79,"tracker_id":40,"status_id":1,"priority_id":2,"assigned_to_id":23,"start_date":"2017-08-25","description":"","custom_fields":[{"id":1,"name":"Subdivision","value":"EC"},{"id":4,"name":"Milepost","value":"0.0154"},{"id":17,"name":"Train ID","value":"156-25"},{"id":16,"name":"Locomotive ID","value":"4041"},{"id":130,"name":"Impact","value":""},{"id":150,"name":"Time of Event (Mountain Time)","value":"12:06:44"},{"id":151,"name":"Denver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4"/>
        <v>start /low /b %USERPROFILE%\Documents\GitHub\eaglep3\Utilities\DownloadLogsFromS3.py --loco 4041 --day 2017-08-25</v>
      </c>
      <c r="AN69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18:06:44"},{"id":29,"name":"Sharepoint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683</v>
      </c>
      <c r="B70" s="7">
        <v>4030</v>
      </c>
      <c r="C70" s="21" t="s">
        <v>197</v>
      </c>
      <c r="D70" s="21" t="s">
        <v>852</v>
      </c>
      <c r="E70" s="13">
        <v>42972.442847222221</v>
      </c>
      <c r="F70" s="13">
        <v>42972.448425925926</v>
      </c>
      <c r="G70" s="7">
        <v>1</v>
      </c>
      <c r="H70" s="21" t="s">
        <v>823</v>
      </c>
      <c r="I70" s="13">
        <v>42972.472395833334</v>
      </c>
      <c r="J70" s="7">
        <v>1</v>
      </c>
      <c r="K70" s="89" t="str">
        <f t="shared" si="0"/>
        <v>4029/4030</v>
      </c>
      <c r="L70" s="217" t="str">
        <f>VLOOKUP(A70,'Trips&amp;Operators'!$C$1:$G$99911,5,FALSE)</f>
        <v>YORK EDGAR</v>
      </c>
      <c r="M70" s="6">
        <f t="shared" si="1"/>
        <v>2.396990740817273E-2</v>
      </c>
      <c r="N70" s="7">
        <f t="shared" si="35"/>
        <v>34.516666667768732</v>
      </c>
      <c r="O70" s="7"/>
      <c r="P70" s="7"/>
      <c r="Q70" s="22"/>
      <c r="R70" s="170"/>
      <c r="S70" s="213">
        <f t="shared" si="36"/>
        <v>1</v>
      </c>
      <c r="T70" s="195" t="str">
        <f t="shared" si="3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4"/>
        <v>https://d0f6bd738d7f1b3e5a7ca70fe4ff75f0.us-east-1.aws.found.io/app/kibana#/discover/Steve-Slow-Train-Analysis-(2080s-and-2083s)?_g=(refreshInterval:(display:Off,pause:!f,section:0,value:0),time:(from:'2017-08-25T09:37:42-0600',mode:absolute,to:'2017-08-25T12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0" s="197" t="str">
        <f>IF(AA70&lt;VLOOKUP(AG70,Variables!$AC$3:$AD$8,2,FALSE),"Y","N")</f>
        <v>N</v>
      </c>
      <c r="X70" s="197">
        <f t="shared" si="32"/>
        <v>1</v>
      </c>
      <c r="Y70" s="197">
        <f t="shared" si="34"/>
        <v>5.3100000000000001E-2</v>
      </c>
      <c r="Z70" s="197">
        <f t="shared" ref="Z70:Z101" si="37">RIGHT(H70,LEN(H70)-4)/10000</f>
        <v>23.3291</v>
      </c>
      <c r="AA70" s="197">
        <f t="shared" si="8"/>
        <v>23.276</v>
      </c>
      <c r="AB70" s="54" t="e">
        <f>VLOOKUP(A70,Enforcements!$C$7:$K$11,8,0)</f>
        <v>#N/A</v>
      </c>
      <c r="AC70" s="51" t="e">
        <f>VLOOKUP(A70,Enforcements!$C$7:$E$11,3,0)</f>
        <v>#N/A</v>
      </c>
      <c r="AD70" s="206">
        <f t="shared" si="9"/>
        <v>157</v>
      </c>
      <c r="AE70" s="77" t="str">
        <f t="shared" si="10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70" s="74" t="str">
        <f t="shared" si="11"/>
        <v>"C:\Program Files (x86)\AstroGrep\AstroGrep.exe" /e /r /s /spath="%USERPROFILE%\AppData\Local\Temp\OnboardLogs" /stypes="app*4030*20170825*" /stext=" 17:.+((SYSTEM_STATE.+slice.+state.+changed )|(ment ac)|(multiple cpu faults)|(system.+state.+changed )|(\[timeout)|(PRM\|1\|D)|(kpr)|(kdp)|(train st.+moving)|(\|lc)|(penalty))"</v>
      </c>
      <c r="AG70" s="209" t="str">
        <f t="shared" si="12"/>
        <v>EC</v>
      </c>
      <c r="AH70" s="78" t="str">
        <f t="shared" si="22"/>
        <v>"%USERPROFILE%\Documents\GitHub\eaglep3\Utilities\RefineRTDCRunTimes.py" --tripid 157-25 --locoid 4030 --swversion DE.1.0.9.0 --startMP 204:531 --initTime 2017-08-25T10:37:42 --startdatetime 2017-08-25T10:45:44 --delay 1 --endMP 204:233291 --enddatetime 2017-08-25T11:20:15 --enforcementcount 1 &gt;&gt;C:\Users\stu\Documents\GitHub\eaglep3-reporting\EC\2017-08-25-refined-times.txt</v>
      </c>
      <c r="AI70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{"issue":{"subject":"","project_id":79,"tracker_id":40,"status_id":1,"priority_id":2,"assigned_to_id":23,"start_date":"2017-08-25","description":"","custom_fields":[{"id":1,"name":"Subdivision","value":"EC"},{"id":4,"name":"Milepost","value":"23.3291"},{"id":17,"name":"Train ID","value":"157-25"},{"id":16,"name":"Locomotive ID","value":"4030"},{"id":130,"name":"Impact","value":""},{"id":150,"name":"Time of Event (Mountain Time)","value":"11:20:15"},{"id":151,"name":"Denver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4"/>
        <v>start /low /b %USERPROFILE%\Documents\GitHub\eaglep3\Utilities\DownloadLogsFromS3.py --loco 4030 --day 2017-08-25</v>
      </c>
      <c r="AN70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17:20:15"},{"id":29,"name":"Sharepoint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691</v>
      </c>
      <c r="B71" s="7">
        <v>4029</v>
      </c>
      <c r="C71" s="21" t="s">
        <v>197</v>
      </c>
      <c r="D71" s="21" t="s">
        <v>824</v>
      </c>
      <c r="E71" s="13">
        <v>42972.473263888889</v>
      </c>
      <c r="F71" s="13">
        <v>42972.487685185188</v>
      </c>
      <c r="G71" s="7">
        <v>1</v>
      </c>
      <c r="H71" s="21" t="s">
        <v>339</v>
      </c>
      <c r="I71" s="13">
        <v>42972.513668981483</v>
      </c>
      <c r="J71" s="7">
        <v>1</v>
      </c>
      <c r="K71" s="89" t="str">
        <f t="shared" si="0"/>
        <v>4029/4030</v>
      </c>
      <c r="L71" s="217" t="str">
        <f>VLOOKUP(A71,'Trips&amp;Operators'!$C$1:$G$99911,5,FALSE)</f>
        <v>YORK EDGAR</v>
      </c>
      <c r="M71" s="6">
        <f t="shared" si="1"/>
        <v>2.5983796294895001E-2</v>
      </c>
      <c r="N71" s="7">
        <f t="shared" si="35"/>
        <v>37.416666664648801</v>
      </c>
      <c r="O71" s="7"/>
      <c r="P71" s="7"/>
      <c r="Q71" s="22"/>
      <c r="R71" s="170"/>
      <c r="S71" s="213">
        <f t="shared" si="36"/>
        <v>1</v>
      </c>
      <c r="T71" s="195" t="str">
        <f t="shared" si="3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4"/>
        <v>https://d0f6bd738d7f1b3e5a7ca70fe4ff75f0.us-east-1.aws.found.io/app/kibana#/discover/Steve-Slow-Train-Analysis-(2080s-and-2083s)?_g=(refreshInterval:(display:Off,pause:!f,section:0,value:0),time:(from:'2017-08-25T10:21:30-0600',mode:absolute,to:'2017-08-25T13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1" s="197" t="str">
        <f>IF(AA71&lt;VLOOKUP(AG71,Variables!$AC$3:$AD$8,2,FALSE),"Y","N")</f>
        <v>N</v>
      </c>
      <c r="X71" s="197">
        <f t="shared" si="32"/>
        <v>1</v>
      </c>
      <c r="Y71" s="197">
        <f t="shared" si="34"/>
        <v>23.2971</v>
      </c>
      <c r="Z71" s="197">
        <f t="shared" si="37"/>
        <v>1.49E-2</v>
      </c>
      <c r="AA71" s="197">
        <f t="shared" si="8"/>
        <v>23.2822</v>
      </c>
      <c r="AB71" s="54" t="e">
        <f>VLOOKUP(A71,Enforcements!$C$7:$K$11,8,0)</f>
        <v>#N/A</v>
      </c>
      <c r="AC71" s="51" t="e">
        <f>VLOOKUP(A71,Enforcements!$C$7:$E$11,3,0)</f>
        <v>#N/A</v>
      </c>
      <c r="AD71" s="206">
        <f t="shared" si="9"/>
        <v>158</v>
      </c>
      <c r="AE71" s="77" t="str">
        <f t="shared" si="10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71" s="74" t="str">
        <f t="shared" si="11"/>
        <v>"C:\Program Files (x86)\AstroGrep\AstroGrep.exe" /e /r /s /spath="%USERPROFILE%\AppData\Local\Temp\OnboardLogs" /stypes="app*4029*20170825*" /stext=" 18:.+((SYSTEM_STATE.+slice.+state.+changed )|(ment ac)|(multiple cpu faults)|(system.+state.+changed )|(\[timeout)|(PRM\|1\|D)|(kpr)|(kdp)|(train st.+moving)|(\|lc)|(penalty))"</v>
      </c>
      <c r="AG71" s="209" t="str">
        <f t="shared" si="12"/>
        <v>EC</v>
      </c>
      <c r="AH71" s="78" t="str">
        <f t="shared" si="22"/>
        <v>"%USERPROFILE%\Documents\GitHub\eaglep3\Utilities\RefineRTDCRunTimes.py" --tripid 158-25 --locoid 4029 --swversion DE.1.0.9.0 --startMP 204:232971 --initTime 2017-08-25T11:21:30 --startdatetime 2017-08-25T11:42:16 --delay 1 --endMP 204:149 --enddatetime 2017-08-25T12:19:41 --enforcementcount 1 &gt;&gt;C:\Users\stu\Documents\GitHub\eaglep3-reporting\EC\2017-08-25-refined-times.txt</v>
      </c>
      <c r="AI71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{"issue":{"subject":"","project_id":79,"tracker_id":40,"status_id":1,"priority_id":2,"assigned_to_id":23,"start_date":"2017-08-25","description":"","custom_fields":[{"id":1,"name":"Subdivision","value":"EC"},{"id":4,"name":"Milepost","value":"0.0149"},{"id":17,"name":"Train ID","value":"158-25"},{"id":16,"name":"Locomotive ID","value":"4029"},{"id":130,"name":"Impact","value":""},{"id":150,"name":"Time of Event (Mountain Time)","value":"12:19:41"},{"id":151,"name":"Denver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4"/>
        <v>start /low /b %USERPROFILE%\Documents\GitHub\eaglep3\Utilities\DownloadLogsFromS3.py --loco 4029 --day 2017-08-25</v>
      </c>
      <c r="AN71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18:19:41"},{"id":29,"name":"Sharepoint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686</v>
      </c>
      <c r="B72" s="7">
        <v>4058</v>
      </c>
      <c r="C72" s="21" t="s">
        <v>197</v>
      </c>
      <c r="D72" s="21" t="s">
        <v>370</v>
      </c>
      <c r="E72" s="13">
        <v>42972.456585648149</v>
      </c>
      <c r="F72" s="13">
        <v>42972.458854166667</v>
      </c>
      <c r="G72" s="7">
        <v>1</v>
      </c>
      <c r="H72" s="21" t="s">
        <v>449</v>
      </c>
      <c r="I72" s="13">
        <v>42972.483356481483</v>
      </c>
      <c r="J72" s="7">
        <v>1</v>
      </c>
      <c r="K72" s="89" t="str">
        <f t="shared" si="0"/>
        <v>4057/4058</v>
      </c>
      <c r="L72" s="217" t="str">
        <f>VLOOKUP(A72,'Trips&amp;Operators'!$C$1:$G$99911,5,FALSE)</f>
        <v>LOZA FIDEL</v>
      </c>
      <c r="M72" s="6">
        <f t="shared" si="1"/>
        <v>2.4502314816345461E-2</v>
      </c>
      <c r="N72" s="7">
        <f t="shared" si="35"/>
        <v>35.283333335537463</v>
      </c>
      <c r="O72" s="7"/>
      <c r="P72" s="7"/>
      <c r="Q72" s="22"/>
      <c r="R72" s="170"/>
      <c r="S72" s="213">
        <f t="shared" si="36"/>
        <v>1</v>
      </c>
      <c r="T72" s="195" t="str">
        <f t="shared" si="3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4"/>
        <v>https://d0f6bd738d7f1b3e5a7ca70fe4ff75f0.us-east-1.aws.found.io/app/kibana#/discover/Steve-Slow-Train-Analysis-(2080s-and-2083s)?_g=(refreshInterval:(display:Off,pause:!f,section:0,value:0),time:(from:'2017-08-25T09:57:29-0600',mode:absolute,to:'2017-08-25T12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2" s="197" t="str">
        <f>IF(AA72&lt;VLOOKUP(AG72,Variables!$AC$3:$AD$8,2,FALSE),"Y","N")</f>
        <v>N</v>
      </c>
      <c r="X72" s="197">
        <f t="shared" si="32"/>
        <v>1</v>
      </c>
      <c r="Y72" s="197">
        <f t="shared" si="34"/>
        <v>4.4900000000000002E-2</v>
      </c>
      <c r="Z72" s="197">
        <f t="shared" si="37"/>
        <v>23.34</v>
      </c>
      <c r="AA72" s="197">
        <f t="shared" si="8"/>
        <v>23.295100000000001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206">
        <f t="shared" si="9"/>
        <v>159</v>
      </c>
      <c r="AE72" s="77" t="str">
        <f t="shared" si="10"/>
        <v>aws s3 cp s3://rtdc.mdm.uploadarchive.raw/RTDC4058/ "%USERPROFILE%\AppData\Local\Temp\OnboardLogs"\RTDC4058\2017-08-25 --exclude "*" --recursive --include "*20170825*" &amp; "%USERPROFILE%\Documents\GitHub\mrs-test-scripts\Headless Mode &amp; Sideloading\WalkAndUnGZ.bat" "%USERPROFILE%\AppData\Local\Temp\OnboardLogs"\RTDC4058\2017-08-25 &amp; aws s3 cp s3://rtdc.mdm.uploadarchive.raw/RTDC4058/ "%USERPROFILE%\AppData\Local\Temp\OnboardLogs"\RTDC4058\2017-08-26 --exclude "*" --recursive --include "*20170826*" &amp; "%USERPROFILE%\Documents\GitHub\mrs-test-scripts\Headless Mode &amp; Sideloading\WalkAndUnGZ.bat" "%USERPROFILE%\AppData\Local\Temp\OnboardLogs"\RTDC4058\2017-08-26</v>
      </c>
      <c r="AF72" s="74" t="str">
        <f t="shared" si="11"/>
        <v>"C:\Program Files (x86)\AstroGrep\AstroGrep.exe" /e /r /s /spath="%USERPROFILE%\AppData\Local\Temp\OnboardLogs" /stypes="app*4058*20170825*" /stext=" 17:.+((SYSTEM_STATE.+slice.+state.+changed )|(ment ac)|(multiple cpu faults)|(system.+state.+changed )|(\[timeout)|(PRM\|1\|D)|(kpr)|(kdp)|(train st.+moving)|(\|lc)|(penalty))"</v>
      </c>
      <c r="AG72" s="209" t="str">
        <f t="shared" si="12"/>
        <v>EC</v>
      </c>
      <c r="AH72" s="78" t="str">
        <f t="shared" si="22"/>
        <v>"%USERPROFILE%\Documents\GitHub\eaglep3\Utilities\RefineRTDCRunTimes.py" --tripid 159-25 --locoid 4058 --swversion DE.1.0.9.0 --startMP 204:449 --initTime 2017-08-25T10:57:29 --startdatetime 2017-08-25T11:00:45 --delay 1 --endMP 204:233400 --enddatetime 2017-08-25T11:36:02 --enforcementcount 1 &gt;&gt;C:\Users\stu\Documents\GitHub\eaglep3-reporting\EC\2017-08-25-refined-times.txt</v>
      </c>
      <c r="AI72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{"issue":{"subject":"","project_id":79,"tracker_id":40,"status_id":1,"priority_id":2,"assigned_to_id":23,"start_date":"2017-08-25","description":"","custom_fields":[{"id":1,"name":"Subdivision","value":"EC"},{"id":4,"name":"Milepost","value":"23.34"},{"id":17,"name":"Train ID","value":"159-25"},{"id":16,"name":"Locomotive ID","value":"4058"},{"id":130,"name":"Impact","value":""},{"id":150,"name":"Time of Event (Mountain Time)","value":"11:36:02"},{"id":151,"name":"Denver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4"/>
        <v>start /low /b %USERPROFILE%\Documents\GitHub\eaglep3\Utilities\DownloadLogsFromS3.py --loco 4058 --day 2017-08-25</v>
      </c>
      <c r="AN72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17:36:02"},{"id":29,"name":"Sharepoint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694</v>
      </c>
      <c r="B73" s="7">
        <v>4057</v>
      </c>
      <c r="C73" s="21" t="s">
        <v>197</v>
      </c>
      <c r="D73" s="21" t="s">
        <v>531</v>
      </c>
      <c r="E73" s="13">
        <v>42972.4846412037</v>
      </c>
      <c r="F73" s="13">
        <v>42972.498217592591</v>
      </c>
      <c r="G73" s="7">
        <v>1</v>
      </c>
      <c r="H73" s="21" t="s">
        <v>350</v>
      </c>
      <c r="I73" s="13">
        <v>42972.523912037039</v>
      </c>
      <c r="J73" s="7">
        <v>1</v>
      </c>
      <c r="K73" s="89" t="str">
        <f t="shared" si="0"/>
        <v>4057/4058</v>
      </c>
      <c r="L73" s="217" t="str">
        <f>VLOOKUP(A73,'Trips&amp;Operators'!$C$1:$G$99911,5,FALSE)</f>
        <v>LOZA FIDEL</v>
      </c>
      <c r="M73" s="6">
        <f t="shared" si="1"/>
        <v>2.5694444448163267E-2</v>
      </c>
      <c r="N73" s="7">
        <f t="shared" si="35"/>
        <v>37.000000005355105</v>
      </c>
      <c r="O73" s="7"/>
      <c r="P73" s="7"/>
      <c r="Q73" s="22"/>
      <c r="R73" s="170"/>
      <c r="S73" s="213">
        <f t="shared" si="36"/>
        <v>1</v>
      </c>
      <c r="T73" s="195" t="str">
        <f t="shared" si="3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4"/>
        <v>https://d0f6bd738d7f1b3e5a7ca70fe4ff75f0.us-east-1.aws.found.io/app/kibana#/discover/Steve-Slow-Train-Analysis-(2080s-and-2083s)?_g=(refreshInterval:(display:Off,pause:!f,section:0,value:0),time:(from:'2017-08-25T10:37:53-0600',mode:absolute,to:'2017-08-25T13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3" s="197" t="str">
        <f>IF(AA73&lt;VLOOKUP(AG73,Variables!$AC$3:$AD$8,2,FALSE),"Y","N")</f>
        <v>N</v>
      </c>
      <c r="X73" s="197">
        <f t="shared" si="32"/>
        <v>1</v>
      </c>
      <c r="Y73" s="197">
        <f t="shared" si="34"/>
        <v>23.307200000000002</v>
      </c>
      <c r="Z73" s="197">
        <f t="shared" si="37"/>
        <v>1.54E-2</v>
      </c>
      <c r="AA73" s="197">
        <f t="shared" si="8"/>
        <v>23.291800000000002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206">
        <f t="shared" si="9"/>
        <v>160</v>
      </c>
      <c r="AE73" s="77" t="str">
        <f t="shared" si="10"/>
        <v>aws s3 cp s3://rtdc.mdm.uploadarchive.raw/RTDC4057/ "%USERPROFILE%\AppData\Local\Temp\OnboardLogs"\RTDC4057\2017-08-25 --exclude "*" --recursive --include "*20170825*" &amp; "%USERPROFILE%\Documents\GitHub\mrs-test-scripts\Headless Mode &amp; Sideloading\WalkAndUnGZ.bat" "%USERPROFILE%\AppData\Local\Temp\OnboardLogs"\RTDC4057\2017-08-25 &amp; aws s3 cp s3://rtdc.mdm.uploadarchive.raw/RTDC4057/ "%USERPROFILE%\AppData\Local\Temp\OnboardLogs"\RTDC4057\2017-08-26 --exclude "*" --recursive --include "*20170826*" &amp; "%USERPROFILE%\Documents\GitHub\mrs-test-scripts\Headless Mode &amp; Sideloading\WalkAndUnGZ.bat" "%USERPROFILE%\AppData\Local\Temp\OnboardLogs"\RTDC4057\2017-08-26</v>
      </c>
      <c r="AF73" s="74" t="str">
        <f t="shared" si="11"/>
        <v>"C:\Program Files (x86)\AstroGrep\AstroGrep.exe" /e /r /s /spath="%USERPROFILE%\AppData\Local\Temp\OnboardLogs" /stypes="app*4057*20170825*" /stext=" 18:.+((SYSTEM_STATE.+slice.+state.+changed )|(ment ac)|(multiple cpu faults)|(system.+state.+changed )|(\[timeout)|(PRM\|1\|D)|(kpr)|(kdp)|(train st.+moving)|(\|lc)|(penalty))"</v>
      </c>
      <c r="AG73" s="209" t="str">
        <f t="shared" si="12"/>
        <v>EC</v>
      </c>
      <c r="AH73" s="78" t="str">
        <f t="shared" si="22"/>
        <v>"%USERPROFILE%\Documents\GitHub\eaglep3\Utilities\RefineRTDCRunTimes.py" --tripid 160-25 --locoid 4057 --swversion DE.1.0.9.0 --startMP 204:233072 --initTime 2017-08-25T11:37:53 --startdatetime 2017-08-25T11:57:26 --delay 1 --endMP 204:154 --enddatetime 2017-08-25T12:34:26 --enforcementcount 1 &gt;&gt;C:\Users\stu\Documents\GitHub\eaglep3-reporting\EC\2017-08-25-refined-times.txt</v>
      </c>
      <c r="AI73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{"issue":{"subject":"","project_id":79,"tracker_id":40,"status_id":1,"priority_id":2,"assigned_to_id":23,"start_date":"2017-08-25","description":"","custom_fields":[{"id":1,"name":"Subdivision","value":"EC"},{"id":4,"name":"Milepost","value":"0.0154"},{"id":17,"name":"Train ID","value":"160-25"},{"id":16,"name":"Locomotive ID","value":"4057"},{"id":130,"name":"Impact","value":""},{"id":150,"name":"Time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4"/>
        <v>start /low /b %USERPROFILE%\Documents\GitHub\eaglep3\Utilities\DownloadLogsFromS3.py --loco 4057 --day 2017-08-25</v>
      </c>
      <c r="AN73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18:34:26"},{"id":29,"name":"Sharepoint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688</v>
      </c>
      <c r="B74" s="7">
        <v>4064</v>
      </c>
      <c r="C74" s="21" t="s">
        <v>197</v>
      </c>
      <c r="D74" s="21" t="s">
        <v>394</v>
      </c>
      <c r="E74" s="13">
        <v>42972.465821759259</v>
      </c>
      <c r="F74" s="13">
        <v>42972.469502314816</v>
      </c>
      <c r="G74" s="7">
        <v>2</v>
      </c>
      <c r="H74" s="21" t="s">
        <v>853</v>
      </c>
      <c r="I74" s="13">
        <v>42972.494270833333</v>
      </c>
      <c r="J74" s="7">
        <v>1</v>
      </c>
      <c r="K74" s="89" t="str">
        <f t="shared" si="0"/>
        <v>4063/4064</v>
      </c>
      <c r="L74" s="217" t="str">
        <f>VLOOKUP(A74,'Trips&amp;Operators'!$C$1:$G$99911,5,FALSE)</f>
        <v>THOMPSON LESTER</v>
      </c>
      <c r="M74" s="6">
        <f t="shared" si="1"/>
        <v>2.4768518516793847E-2</v>
      </c>
      <c r="N74" s="7">
        <f t="shared" si="35"/>
        <v>35.66666666418314</v>
      </c>
      <c r="O74" s="7"/>
      <c r="P74" s="7"/>
      <c r="Q74" s="22"/>
      <c r="R74" s="170"/>
      <c r="S74" s="213">
        <f t="shared" si="36"/>
        <v>1</v>
      </c>
      <c r="T74" s="195" t="str">
        <f t="shared" si="3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4"/>
        <v>https://d0f6bd738d7f1b3e5a7ca70fe4ff75f0.us-east-1.aws.found.io/app/kibana#/discover/Steve-Slow-Train-Analysis-(2080s-and-2083s)?_g=(refreshInterval:(display:Off,pause:!f,section:0,value:0),time:(from:'2017-08-25T10:10:47-0600',mode:absolute,to:'2017-08-25T12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4" s="197" t="str">
        <f>IF(AA74&lt;VLOOKUP(AG74,Variables!$AC$3:$AD$8,2,FALSE),"Y","N")</f>
        <v>N</v>
      </c>
      <c r="X74" s="197">
        <f t="shared" si="32"/>
        <v>1</v>
      </c>
      <c r="Y74" s="197">
        <f t="shared" si="34"/>
        <v>4.3999999999999997E-2</v>
      </c>
      <c r="Z74" s="197">
        <f t="shared" si="37"/>
        <v>23.334700000000002</v>
      </c>
      <c r="AA74" s="197">
        <f t="shared" si="8"/>
        <v>23.290700000000001</v>
      </c>
      <c r="AB74" s="54" t="e">
        <f>VLOOKUP(A74,Enforcements!$C$7:$K$11,8,0)</f>
        <v>#N/A</v>
      </c>
      <c r="AC74" s="51" t="e">
        <f>VLOOKUP(A74,Enforcements!$C$7:$E$11,3,0)</f>
        <v>#N/A</v>
      </c>
      <c r="AD74" s="206">
        <f t="shared" si="9"/>
        <v>161</v>
      </c>
      <c r="AE74" s="77" t="str">
        <f t="shared" si="10"/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AF74" s="74" t="str">
        <f t="shared" si="11"/>
        <v>"C:\Program Files (x86)\AstroGrep\AstroGrep.exe" /e /r /s /spath="%USERPROFILE%\AppData\Local\Temp\OnboardLogs" /stypes="app*4064*20170825*" /stext=" 17:.+((SYSTEM_STATE.+slice.+state.+changed )|(ment ac)|(multiple cpu faults)|(system.+state.+changed )|(\[timeout)|(PRM\|1\|D)|(kpr)|(kdp)|(train st.+moving)|(\|lc)|(penalty))"</v>
      </c>
      <c r="AG74" s="209" t="str">
        <f t="shared" si="12"/>
        <v>EC</v>
      </c>
      <c r="AH74" s="78" t="str">
        <f t="shared" si="22"/>
        <v>"%USERPROFILE%\Documents\GitHub\eaglep3\Utilities\RefineRTDCRunTimes.py" --tripid 161-25 --locoid 4064 --swversion DE.1.0.9.0 --startMP 204:440 --initTime 2017-08-25T11:10:47 --startdatetime 2017-08-25T11:16:05 --delay 2 --endMP 204:233347 --enddatetime 2017-08-25T11:51:45 --enforcementcount 1 &gt;&gt;C:\Users\stu\Documents\GitHub\eaglep3-reporting\EC\2017-08-25-refined-times.txt</v>
      </c>
      <c r="AI74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{"issue":{"subject":"","project_id":79,"tracker_id":40,"status_id":1,"priority_id":2,"assigned_to_id":23,"start_date":"2017-08-25","description":"","custom_fields":[{"id":1,"name":"Subdivision","value":"EC"},{"id":4,"name":"Milepost","value":"23.3347"},{"id":17,"name":"Train ID","value":"161-25"},{"id":16,"name":"Locomotive ID","value":"4064"},{"id":130,"name":"Impact","value":""},{"id":150,"name":"Time of Event (Mountain Time)","value":"11:51:45"},{"id":151,"name":"Denver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4"/>
        <v>start /low /b %USERPROFILE%\Documents\GitHub\eaglep3\Utilities\DownloadLogsFromS3.py --loco 4064 --day 2017-08-25</v>
      </c>
      <c r="AN74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17:51:45"},{"id":29,"name":"Sharepoint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702</v>
      </c>
      <c r="B75" s="7">
        <v>4063</v>
      </c>
      <c r="C75" s="21" t="s">
        <v>197</v>
      </c>
      <c r="D75" s="21" t="s">
        <v>854</v>
      </c>
      <c r="E75" s="13">
        <v>42972.505567129629</v>
      </c>
      <c r="F75" s="13">
        <v>42972.509097222224</v>
      </c>
      <c r="G75" s="7">
        <v>1</v>
      </c>
      <c r="H75" s="21" t="s">
        <v>340</v>
      </c>
      <c r="I75" s="13">
        <v>42972.536481481482</v>
      </c>
      <c r="J75" s="7">
        <v>1</v>
      </c>
      <c r="K75" s="89" t="str">
        <f t="shared" si="0"/>
        <v>4063/4064</v>
      </c>
      <c r="L75" s="217" t="str">
        <f>VLOOKUP(A75,'Trips&amp;Operators'!$C$1:$G$99911,5,FALSE)</f>
        <v>THOMPSON LESTER</v>
      </c>
      <c r="M75" s="6">
        <f t="shared" si="1"/>
        <v>2.7384259257814847E-2</v>
      </c>
      <c r="N75" s="7">
        <f t="shared" si="35"/>
        <v>39.43333333125338</v>
      </c>
      <c r="O75" s="7"/>
      <c r="P75" s="7"/>
      <c r="Q75" s="22"/>
      <c r="R75" s="170"/>
      <c r="S75" s="213">
        <f t="shared" si="36"/>
        <v>1</v>
      </c>
      <c r="T75" s="195" t="str">
        <f t="shared" si="3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4"/>
        <v>https://d0f6bd738d7f1b3e5a7ca70fe4ff75f0.us-east-1.aws.found.io/app/kibana#/discover/Steve-Slow-Train-Analysis-(2080s-and-2083s)?_g=(refreshInterval:(display:Off,pause:!f,section:0,value:0),time:(from:'2017-08-25T11:08:01-0600',mode:absolute,to:'2017-08-25T13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5" s="197" t="str">
        <f>IF(AA75&lt;VLOOKUP(AG75,Variables!$AC$3:$AD$8,2,FALSE),"Y","N")</f>
        <v>N</v>
      </c>
      <c r="X75" s="197">
        <f t="shared" si="32"/>
        <v>1</v>
      </c>
      <c r="Y75" s="197">
        <f t="shared" si="34"/>
        <v>23.303999999999998</v>
      </c>
      <c r="Z75" s="197">
        <f t="shared" si="37"/>
        <v>1.43E-2</v>
      </c>
      <c r="AA75" s="197">
        <f t="shared" si="8"/>
        <v>23.2897</v>
      </c>
      <c r="AB75" s="54" t="e">
        <f>VLOOKUP(A75,Enforcements!$C$7:$K$11,8,0)</f>
        <v>#N/A</v>
      </c>
      <c r="AC75" s="51" t="e">
        <f>VLOOKUP(A75,Enforcements!$C$7:$E$11,3,0)</f>
        <v>#N/A</v>
      </c>
      <c r="AD75" s="206">
        <f t="shared" si="9"/>
        <v>162</v>
      </c>
      <c r="AE75" s="77" t="str">
        <f t="shared" si="10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75" s="74" t="str">
        <f t="shared" si="11"/>
        <v>"C:\Program Files (x86)\AstroGrep\AstroGrep.exe" /e /r /s /spath="%USERPROFILE%\AppData\Local\Temp\OnboardLogs" /stypes="app*4063*20170825*" /stext=" 18:.+((SYSTEM_STATE.+slice.+state.+changed )|(ment ac)|(multiple cpu faults)|(system.+state.+changed )|(\[timeout)|(PRM\|1\|D)|(kpr)|(kdp)|(train st.+moving)|(\|lc)|(penalty))"</v>
      </c>
      <c r="AG75" s="209" t="str">
        <f t="shared" si="12"/>
        <v>EC</v>
      </c>
      <c r="AH75" s="78" t="str">
        <f t="shared" si="22"/>
        <v>"%USERPROFILE%\Documents\GitHub\eaglep3\Utilities\RefineRTDCRunTimes.py" --tripid 162-25 --locoid 4063 --swversion DE.1.0.9.0 --startMP 204:233040 --initTime 2017-08-25T12:08:01 --startdatetime 2017-08-25T12:13:06 --delay 1 --endMP 204:143 --enddatetime 2017-08-25T12:52:32 --enforcementcount 1 &gt;&gt;C:\Users\stu\Documents\GitHub\eaglep3-reporting\EC\2017-08-25-refined-times.txt</v>
      </c>
      <c r="AI75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{"issue":{"subject":"","project_id":79,"tracker_id":40,"status_id":1,"priority_id":2,"assigned_to_id":23,"start_date":"2017-08-25","description":"","custom_fields":[{"id":1,"name":"Subdivision","value":"EC"},{"id":4,"name":"Milepost","value":"0.0143"},{"id":17,"name":"Train ID","value":"162-25"},{"id":16,"name":"Locomotive ID","value":"4063"},{"id":130,"name":"Impact","value":""},{"id":150,"name":"Time of Event (Mountain Time)","value":"12:52:32"},{"id":151,"name":"Denver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4"/>
        <v>start /low /b %USERPROFILE%\Documents\GitHub\eaglep3\Utilities\DownloadLogsFromS3.py --loco 4063 --day 2017-08-25</v>
      </c>
      <c r="AN75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18:52:32"},{"id":29,"name":"Sharepoint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692</v>
      </c>
      <c r="B76" s="7">
        <v>4032</v>
      </c>
      <c r="C76" s="21" t="s">
        <v>197</v>
      </c>
      <c r="D76" s="21" t="s">
        <v>369</v>
      </c>
      <c r="E76" s="13">
        <v>42972.473449074074</v>
      </c>
      <c r="F76" s="13">
        <v>42972.479710648149</v>
      </c>
      <c r="G76" s="7">
        <v>2</v>
      </c>
      <c r="H76" s="21" t="s">
        <v>855</v>
      </c>
      <c r="I76" s="13">
        <v>42972.505173611113</v>
      </c>
      <c r="J76" s="7">
        <v>1</v>
      </c>
      <c r="K76" s="89" t="str">
        <f t="shared" si="0"/>
        <v>4031/4032</v>
      </c>
      <c r="L76" s="217" t="str">
        <f>VLOOKUP(A76,'Trips&amp;Operators'!$C$1:$G$99911,5,FALSE)</f>
        <v>BERLING GARY</v>
      </c>
      <c r="M76" s="6">
        <f t="shared" si="1"/>
        <v>2.5462962963501923E-2</v>
      </c>
      <c r="N76" s="7">
        <f t="shared" si="35"/>
        <v>36.666666667442769</v>
      </c>
      <c r="O76" s="7"/>
      <c r="P76" s="7"/>
      <c r="Q76" s="22"/>
      <c r="R76" s="170"/>
      <c r="S76" s="213">
        <f t="shared" si="36"/>
        <v>1</v>
      </c>
      <c r="T76" s="195" t="str">
        <f t="shared" si="3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4"/>
        <v>https://d0f6bd738d7f1b3e5a7ca70fe4ff75f0.us-east-1.aws.found.io/app/kibana#/discover/Steve-Slow-Train-Analysis-(2080s-and-2083s)?_g=(refreshInterval:(display:Off,pause:!f,section:0,value:0),time:(from:'2017-08-25T10:21:46-0600',mode:absolute,to:'2017-08-25T13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6" s="197" t="str">
        <f>IF(AA76&lt;VLOOKUP(AG76,Variables!$AC$3:$AD$8,2,FALSE),"Y","N")</f>
        <v>N</v>
      </c>
      <c r="X76" s="197">
        <f t="shared" si="32"/>
        <v>1</v>
      </c>
      <c r="Y76" s="197">
        <f t="shared" si="34"/>
        <v>4.5999999999999999E-2</v>
      </c>
      <c r="Z76" s="197">
        <f t="shared" si="37"/>
        <v>23.328499999999998</v>
      </c>
      <c r="AA76" s="197">
        <f t="shared" si="8"/>
        <v>23.282499999999999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206">
        <f t="shared" si="9"/>
        <v>163</v>
      </c>
      <c r="AE76" s="77" t="str">
        <f t="shared" si="10"/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AF76" s="74" t="str">
        <f t="shared" si="11"/>
        <v>"C:\Program Files (x86)\AstroGrep\AstroGrep.exe" /e /r /s /spath="%USERPROFILE%\AppData\Local\Temp\OnboardLogs" /stypes="app*4032*20170825*" /stext=" 18:.+((SYSTEM_STATE.+slice.+state.+changed )|(ment ac)|(multiple cpu faults)|(system.+state.+changed )|(\[timeout)|(PRM\|1\|D)|(kpr)|(kdp)|(train st.+moving)|(\|lc)|(penalty))"</v>
      </c>
      <c r="AG76" s="209" t="str">
        <f t="shared" si="12"/>
        <v>EC</v>
      </c>
      <c r="AH76" s="78" t="str">
        <f t="shared" si="22"/>
        <v>"%USERPROFILE%\Documents\GitHub\eaglep3\Utilities\RefineRTDCRunTimes.py" --tripid 163-25 --locoid 4032 --swversion DE.1.0.9.0 --startMP 204:460 --initTime 2017-08-25T11:21:46 --startdatetime 2017-08-25T11:30:47 --delay 2 --endMP 204:233285 --enddatetime 2017-08-25T12:07:27 --enforcementcount 1 &gt;&gt;C:\Users\stu\Documents\GitHub\eaglep3-reporting\EC\2017-08-25-refined-times.txt</v>
      </c>
      <c r="AI76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{"issue":{"subject":"","project_id":79,"tracker_id":40,"status_id":1,"priority_id":2,"assigned_to_id":23,"start_date":"2017-08-25","description":"","custom_fields":[{"id":1,"name":"Subdivision","value":"EC"},{"id":4,"name":"Milepost","value":"23.3285"},{"id":17,"name":"Train ID","value":"163-25"},{"id":16,"name":"Locomotive ID","value":"4032"},{"id":130,"name":"Impact","value":""},{"id":150,"name":"Time of Event (Mountain Time)","value":"12:07:27"},{"id":151,"name":"Denver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4"/>
        <v>start /low /b %USERPROFILE%\Documents\GitHub\eaglep3\Utilities\DownloadLogsFromS3.py --loco 4032 --day 2017-08-25</v>
      </c>
      <c r="AN76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18:07:27"},{"id":29,"name":"Sharepoint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704</v>
      </c>
      <c r="B77" s="7">
        <v>4031</v>
      </c>
      <c r="C77" s="21" t="s">
        <v>197</v>
      </c>
      <c r="D77" s="21" t="s">
        <v>427</v>
      </c>
      <c r="E77" s="13">
        <v>42972.510439814818</v>
      </c>
      <c r="F77" s="13">
        <v>42972.518900462965</v>
      </c>
      <c r="G77" s="7">
        <v>1</v>
      </c>
      <c r="H77" s="21" t="s">
        <v>432</v>
      </c>
      <c r="I77" s="13">
        <v>42972.546122685184</v>
      </c>
      <c r="J77" s="7">
        <v>1</v>
      </c>
      <c r="K77" s="89" t="str">
        <f t="shared" ref="K77:K140" si="38">IF(ISEVEN(B77),(B77-1)&amp;"/"&amp;B77,B77&amp;"/"&amp;(B77+1))</f>
        <v>4031/4032</v>
      </c>
      <c r="L77" s="217" t="str">
        <f>VLOOKUP(A77,'Trips&amp;Operators'!$C$1:$G$99911,5,FALSE)</f>
        <v>BERLING GARY</v>
      </c>
      <c r="M77" s="6">
        <f t="shared" ref="M77:M140" si="39">I77-F77</f>
        <v>2.7222222219279502E-2</v>
      </c>
      <c r="N77" s="7">
        <f t="shared" si="35"/>
        <v>39.199999995762482</v>
      </c>
      <c r="O77" s="7"/>
      <c r="P77" s="7"/>
      <c r="Q77" s="22"/>
      <c r="R77" s="170"/>
      <c r="S77" s="213">
        <f t="shared" si="36"/>
        <v>1</v>
      </c>
      <c r="T77" s="195" t="str">
        <f t="shared" ref="T77:T140" si="40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4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-25T11:15:02-0600',mode:absolute,to:'2017-08-25T14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7" s="197" t="str">
        <f>IF(AA77&lt;VLOOKUP(AG77,Variables!$AC$3:$AD$8,2,FALSE),"Y","N")</f>
        <v>N</v>
      </c>
      <c r="X77" s="197">
        <f t="shared" si="32"/>
        <v>1</v>
      </c>
      <c r="Y77" s="197">
        <f t="shared" ref="Y77:Y108" si="42">RIGHT(D77,LEN(D77)-4)/10000</f>
        <v>23.297699999999999</v>
      </c>
      <c r="Z77" s="197">
        <f t="shared" si="37"/>
        <v>1.3899999999999999E-2</v>
      </c>
      <c r="AA77" s="197">
        <f t="shared" ref="AA77:AA140" si="43">ABS(Z77-Y77)</f>
        <v>23.283799999999999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206">
        <f t="shared" ref="AD77:AD140" si="44">VALUE(LEFT(A77,LEN(A77)-3))</f>
        <v>164</v>
      </c>
      <c r="AE77" s="77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77" s="74" t="str">
        <f t="shared" ref="AF77:AF140" si="4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/stypes="app*4031*20170825*"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47">DetSubdiv(A77)</f>
        <v>EC</v>
      </c>
      <c r="AH77" s="78" t="str">
        <f t="shared" si="22"/>
        <v>"%USERPROFILE%\Documents\GitHub\eaglep3\Utilities\RefineRTDCRunTimes.py" --tripid 164-25 --locoid 4031 --swversion DE.1.0.9.0 --startMP 204:232977 --initTime 2017-08-25T12:15:02 --startdatetime 2017-08-25T12:27:13 --delay 1 --endMP 204:139 --enddatetime 2017-08-25T13:06:25 --enforcementcount 1 &gt;&gt;C:\Users\stu\Documents\GitHub\eaglep3-reporting\EC\2017-08-25-refined-times.txt</v>
      </c>
      <c r="AI77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{"issue":{"subject":"","project_id":79,"tracker_id":40,"status_id":1,"priority_id":2,"assigned_to_id":23,"start_date":"2017-08-25","description":"","custom_fields":[{"id":1,"name":"Subdivision","value":"EC"},{"id":4,"name":"Milepost","value":"0.0139"},{"id":17,"name":"Train ID","value":"164-25"},{"id":16,"name":"Locomotive ID","value":"4031"},{"id":130,"name":"Impact","value":""},{"id":150,"name":"Time of Event (Mountain Time)","value":"13:06:25"},{"id":151,"name":"Denver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4"/>
        <v>start /low /b %USERPROFILE%\Documents\GitHub\eaglep3\Utilities\DownloadLogsFromS3.py --loco 4031 --day 2017-08-25</v>
      </c>
      <c r="AN77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19:06:25"},{"id":29,"name":"Sharepoint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696</v>
      </c>
      <c r="B78" s="7">
        <v>4014</v>
      </c>
      <c r="C78" s="21" t="s">
        <v>197</v>
      </c>
      <c r="D78" s="21" t="s">
        <v>487</v>
      </c>
      <c r="E78" s="13">
        <v>42972.485717592594</v>
      </c>
      <c r="F78" s="13">
        <v>42972.49019675926</v>
      </c>
      <c r="G78" s="7">
        <v>1</v>
      </c>
      <c r="H78" s="21" t="s">
        <v>856</v>
      </c>
      <c r="I78" s="13">
        <v>42972.515370370369</v>
      </c>
      <c r="J78" s="7">
        <v>1</v>
      </c>
      <c r="K78" s="89" t="str">
        <f t="shared" si="38"/>
        <v>4013/4014</v>
      </c>
      <c r="L78" s="217" t="str">
        <f>VLOOKUP(A78,'Trips&amp;Operators'!$C$1:$G$99911,5,FALSE)</f>
        <v>GUNTHIER ERIC</v>
      </c>
      <c r="M78" s="6">
        <f t="shared" si="39"/>
        <v>2.5173611109494232E-2</v>
      </c>
      <c r="N78" s="7">
        <f t="shared" si="35"/>
        <v>36.249999997671694</v>
      </c>
      <c r="O78" s="7"/>
      <c r="P78" s="7"/>
      <c r="Q78" s="22"/>
      <c r="R78" s="170"/>
      <c r="S78" s="213">
        <f t="shared" si="36"/>
        <v>1</v>
      </c>
      <c r="T78" s="195" t="str">
        <f t="shared" si="40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41"/>
        <v>https://d0f6bd738d7f1b3e5a7ca70fe4ff75f0.us-east-1.aws.found.io/app/kibana#/discover/Steve-Slow-Train-Analysis-(2080s-and-2083s)?_g=(refreshInterval:(display:Off,pause:!f,section:0,value:0),time:(from:'2017-08-25T10:39:26-0600',mode:absolute,to:'2017-08-25T13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8" s="197" t="str">
        <f>IF(AA78&lt;VLOOKUP(AG78,Variables!$AC$3:$AD$8,2,FALSE),"Y","N")</f>
        <v>N</v>
      </c>
      <c r="X78" s="197">
        <f t="shared" si="32"/>
        <v>1</v>
      </c>
      <c r="Y78" s="197">
        <f t="shared" si="42"/>
        <v>4.3299999999999998E-2</v>
      </c>
      <c r="Z78" s="197">
        <f t="shared" si="37"/>
        <v>23.3276</v>
      </c>
      <c r="AA78" s="197">
        <f t="shared" si="43"/>
        <v>23.284300000000002</v>
      </c>
      <c r="AB78" s="54" t="e">
        <f>VLOOKUP(A78,Enforcements!$C$7:$K$11,8,0)</f>
        <v>#N/A</v>
      </c>
      <c r="AC78" s="51" t="e">
        <f>VLOOKUP(A78,Enforcements!$C$7:$E$11,3,0)</f>
        <v>#N/A</v>
      </c>
      <c r="AD78" s="206">
        <f t="shared" si="44"/>
        <v>165</v>
      </c>
      <c r="AE78" s="77" t="str">
        <f t="shared" si="45"/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AF78" s="74" t="str">
        <f t="shared" si="46"/>
        <v>"C:\Program Files (x86)\AstroGrep\AstroGrep.exe" /e /r /s /spath="%USERPROFILE%\AppData\Local\Temp\OnboardLogs" /stypes="app*4014*20170825*" /stext=" 18:.+((SYSTEM_STATE.+slice.+state.+changed )|(ment ac)|(multiple cpu faults)|(system.+state.+changed )|(\[timeout)|(PRM\|1\|D)|(kpr)|(kdp)|(train st.+moving)|(\|lc)|(penalty))"</v>
      </c>
      <c r="AG78" s="209" t="str">
        <f t="shared" si="47"/>
        <v>EC</v>
      </c>
      <c r="AH78" s="78" t="str">
        <f t="shared" si="22"/>
        <v>"%USERPROFILE%\Documents\GitHub\eaglep3\Utilities\RefineRTDCRunTimes.py" --tripid 165-25 --locoid 4014 --swversion DE.1.0.9.0 --startMP 204:433 --initTime 2017-08-25T11:39:26 --startdatetime 2017-08-25T11:45:53 --delay 1 --endMP 204:233276 --enddatetime 2017-08-25T12:22:08 --enforcementcount 1 &gt;&gt;C:\Users\stu\Documents\GitHub\eaglep3-reporting\EC\2017-08-25-refined-times.txt</v>
      </c>
      <c r="AI78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{"issue":{"subject":"","project_id":79,"tracker_id":40,"status_id":1,"priority_id":2,"assigned_to_id":23,"start_date":"2017-08-25","description":"","custom_fields":[{"id":1,"name":"Subdivision","value":"EC"},{"id":4,"name":"Milepost","value":"23.3276"},{"id":17,"name":"Train ID","value":"165-25"},{"id":16,"name":"Locomotive ID","value":"4014"},{"id":130,"name":"Impact","value":""},{"id":150,"name":"Time of Event (Mountain Time)","value":"12:22:08"},{"id":151,"name":"Denver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4"/>
        <v>start /low /b %USERPROFILE%\Documents\GitHub\eaglep3\Utilities\DownloadLogsFromS3.py --loco 4014 --day 2017-08-25</v>
      </c>
      <c r="AN78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18:22:08"},{"id":29,"name":"Sharepoint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706</v>
      </c>
      <c r="B79" s="7">
        <v>4013</v>
      </c>
      <c r="C79" s="21" t="s">
        <v>197</v>
      </c>
      <c r="D79" s="21" t="s">
        <v>857</v>
      </c>
      <c r="E79" s="13">
        <v>42972.520289351851</v>
      </c>
      <c r="F79" s="13">
        <v>42972.529340277775</v>
      </c>
      <c r="G79" s="7">
        <v>1</v>
      </c>
      <c r="H79" s="21" t="s">
        <v>430</v>
      </c>
      <c r="I79" s="13">
        <v>42972.556990740741</v>
      </c>
      <c r="J79" s="7">
        <v>1</v>
      </c>
      <c r="K79" s="89" t="str">
        <f t="shared" si="38"/>
        <v>4013/4014</v>
      </c>
      <c r="L79" s="217" t="str">
        <f>VLOOKUP(A79,'Trips&amp;Operators'!$C$1:$G$99911,5,FALSE)</f>
        <v>GUNTHIER ERIC</v>
      </c>
      <c r="M79" s="6">
        <f t="shared" si="39"/>
        <v>2.7650462965539191E-2</v>
      </c>
      <c r="N79" s="7">
        <f t="shared" si="35"/>
        <v>39.816666670376435</v>
      </c>
      <c r="O79" s="7"/>
      <c r="P79" s="7"/>
      <c r="Q79" s="22"/>
      <c r="R79" s="170"/>
      <c r="S79" s="213">
        <f t="shared" si="36"/>
        <v>1</v>
      </c>
      <c r="T79" s="195" t="str">
        <f t="shared" si="40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41"/>
        <v>https://d0f6bd738d7f1b3e5a7ca70fe4ff75f0.us-east-1.aws.found.io/app/kibana#/discover/Steve-Slow-Train-Analysis-(2080s-and-2083s)?_g=(refreshInterval:(display:Off,pause:!f,section:0,value:0),time:(from:'2017-08-25T11:29:13-0600',mode:absolute,to:'2017-08-25T14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9" s="197" t="str">
        <f>IF(AA79&lt;VLOOKUP(AG79,Variables!$AC$3:$AD$8,2,FALSE),"Y","N")</f>
        <v>N</v>
      </c>
      <c r="X79" s="197">
        <f t="shared" si="32"/>
        <v>1</v>
      </c>
      <c r="Y79" s="197">
        <f t="shared" si="42"/>
        <v>23.295300000000001</v>
      </c>
      <c r="Z79" s="197">
        <f t="shared" si="37"/>
        <v>1.6500000000000001E-2</v>
      </c>
      <c r="AA79" s="197">
        <f t="shared" si="43"/>
        <v>23.2788</v>
      </c>
      <c r="AB79" s="54" t="e">
        <f>VLOOKUP(A79,Enforcements!$C$7:$K$11,8,0)</f>
        <v>#N/A</v>
      </c>
      <c r="AC79" s="51" t="e">
        <f>VLOOKUP(A79,Enforcements!$C$7:$E$11,3,0)</f>
        <v>#N/A</v>
      </c>
      <c r="AD79" s="206">
        <f t="shared" si="44"/>
        <v>166</v>
      </c>
      <c r="AE79" s="77" t="str">
        <f t="shared" si="45"/>
        <v>aws s3 cp s3://rtdc.mdm.uploadarchive.raw/RTDC4013/ "%USERPROFILE%\AppData\Local\Temp\OnboardLogs"\RTDC4013\2017-08-25 --exclude "*" --recursive --include "*20170825*" &amp; "%USERPROFILE%\Documents\GitHub\mrs-test-scripts\Headless Mode &amp; Sideloading\WalkAndUnGZ.bat" "%USERPROFILE%\AppData\Local\Temp\OnboardLogs"\RTDC4013\2017-08-25 &amp; aws s3 cp s3://rtdc.mdm.uploadarchive.raw/RTDC4013/ "%USERPROFILE%\AppData\Local\Temp\OnboardLogs"\RTDC4013\2017-08-26 --exclude "*" --recursive --include "*20170826*" &amp; "%USERPROFILE%\Documents\GitHub\mrs-test-scripts\Headless Mode &amp; Sideloading\WalkAndUnGZ.bat" "%USERPROFILE%\AppData\Local\Temp\OnboardLogs"\RTDC4013\2017-08-26</v>
      </c>
      <c r="AF79" s="74" t="str">
        <f t="shared" si="46"/>
        <v>"C:\Program Files (x86)\AstroGrep\AstroGrep.exe" /e /r /s /spath="%USERPROFILE%\AppData\Local\Temp\OnboardLogs" /stypes="app*4013*20170825*" /stext=" 19:.+((SYSTEM_STATE.+slice.+state.+changed )|(ment ac)|(multiple cpu faults)|(system.+state.+changed )|(\[timeout)|(PRM\|1\|D)|(kpr)|(kdp)|(train st.+moving)|(\|lc)|(penalty))"</v>
      </c>
      <c r="AG79" s="209" t="str">
        <f t="shared" si="47"/>
        <v>EC</v>
      </c>
      <c r="AH79" s="78" t="str">
        <f t="shared" si="22"/>
        <v>"%USERPROFILE%\Documents\GitHub\eaglep3\Utilities\RefineRTDCRunTimes.py" --tripid 166-25 --locoid 4013 --swversion DE.1.0.9.0 --startMP 204:232953 --initTime 2017-08-25T12:29:13 --startdatetime 2017-08-25T12:42:15 --delay 1 --endMP 204:165 --enddatetime 2017-08-25T13:22:04 --enforcementcount 1 &gt;&gt;C:\Users\stu\Documents\GitHub\eaglep3-reporting\EC\2017-08-25-refined-times.txt</v>
      </c>
      <c r="AI79" s="96" t="str">
        <f t="shared" si="23"/>
        <v>echo {"issue":{"subject":"","project_id":79,"tracker_id":40,"status_id":1,"priority_id":2,"assigned_to_id":23,"start_date":"2017-08-25","description":"","custom_fields":[{"id":1,"name":"Subdivision","value":"EC"},{"id":4,"name":"Milepost","value":"0.0165"},{"id":17,"name":"Train ID","value":"166-25"},{"id":16,"name":"Locomotive ID","value":"4013"},{"id":130,"name":"Impact","value":""},{"id":150,"name":"Time of Event (Mountain Time)","value":"13:22:04"},{"id":151,"name":"Denver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24"/>
        <v>start /low /b %USERPROFILE%\Documents\GitHub\eaglep3\Utilities\DownloadLogsFromS3.py --loco 4013 --day 2017-08-25</v>
      </c>
      <c r="AN79" s="151" t="str">
        <f t="shared" si="25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19:22:04"},{"id":29,"name":"Sharepoint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701</v>
      </c>
      <c r="B80" s="7">
        <v>4002</v>
      </c>
      <c r="C80" s="21" t="s">
        <v>197</v>
      </c>
      <c r="D80" s="21" t="s">
        <v>349</v>
      </c>
      <c r="E80" s="13">
        <v>42972.497800925928</v>
      </c>
      <c r="F80" s="13">
        <v>42972.500520833331</v>
      </c>
      <c r="G80" s="7">
        <v>1</v>
      </c>
      <c r="H80" s="21" t="s">
        <v>389</v>
      </c>
      <c r="I80" s="13">
        <v>42972.525451388887</v>
      </c>
      <c r="J80" s="7">
        <v>1</v>
      </c>
      <c r="K80" s="89" t="str">
        <f t="shared" si="38"/>
        <v>4001/4002</v>
      </c>
      <c r="L80" s="217" t="str">
        <f>VLOOKUP(A80,'Trips&amp;Operators'!$C$1:$G$99911,5,FALSE)</f>
        <v>BARRON PERLA</v>
      </c>
      <c r="M80" s="6">
        <f t="shared" si="39"/>
        <v>2.4930555555329192E-2</v>
      </c>
      <c r="N80" s="7">
        <f t="shared" si="35"/>
        <v>35.899999999674037</v>
      </c>
      <c r="O80" s="7"/>
      <c r="P80" s="7"/>
      <c r="Q80" s="22"/>
      <c r="R80" s="170"/>
      <c r="S80" s="213">
        <f t="shared" si="36"/>
        <v>1</v>
      </c>
      <c r="T80" s="195" t="str">
        <f t="shared" si="40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41"/>
        <v>https://d0f6bd738d7f1b3e5a7ca70fe4ff75f0.us-east-1.aws.found.io/app/kibana#/discover/Steve-Slow-Train-Analysis-(2080s-and-2083s)?_g=(refreshInterval:(display:Off,pause:!f,section:0,value:0),time:(from:'2017-08-25T10:56:50-0600',mode:absolute,to:'2017-08-25T13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0" s="197" t="str">
        <f>IF(AA80&lt;VLOOKUP(AG80,Variables!$AC$3:$AD$8,2,FALSE),"Y","N")</f>
        <v>N</v>
      </c>
      <c r="X80" s="197">
        <f t="shared" si="32"/>
        <v>1</v>
      </c>
      <c r="Y80" s="197">
        <f t="shared" si="42"/>
        <v>4.6199999999999998E-2</v>
      </c>
      <c r="Z80" s="197">
        <f t="shared" si="37"/>
        <v>23.3308</v>
      </c>
      <c r="AA80" s="197">
        <f t="shared" si="43"/>
        <v>23.284600000000001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206">
        <f t="shared" si="44"/>
        <v>167</v>
      </c>
      <c r="AE80" s="77" t="str">
        <f t="shared" si="45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80" s="74" t="str">
        <f t="shared" si="46"/>
        <v>"C:\Program Files (x86)\AstroGrep\AstroGrep.exe" /e /r /s /spath="%USERPROFILE%\AppData\Local\Temp\OnboardLogs" /stypes="app*4002*20170825*" /stext=" 18:.+((SYSTEM_STATE.+slice.+state.+changed )|(ment ac)|(multiple cpu faults)|(system.+state.+changed )|(\[timeout)|(PRM\|1\|D)|(kpr)|(kdp)|(train st.+moving)|(\|lc)|(penalty))"</v>
      </c>
      <c r="AG80" s="209" t="str">
        <f t="shared" si="47"/>
        <v>EC</v>
      </c>
      <c r="AH80" s="78" t="str">
        <f t="shared" ref="AH80:AH143" si="48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167-25 --locoid 4002 --swversion DE.1.0.9.0 --startMP 204:462 --initTime 2017-08-25T11:56:50 --startdatetime 2017-08-25T12:00:45 --delay 1 --endMP 204:233308 --enddatetime 2017-08-25T12:36:39 --enforcementcount 1 &gt;&gt;C:\Users\stu\Documents\GitHub\eaglep3-reporting\EC\2017-08-25-refined-times.txt</v>
      </c>
      <c r="AI80" s="96" t="str">
        <f t="shared" ref="AI80:AI143" si="49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{"issue":{"subject":"","project_id":79,"tracker_id":40,"status_id":1,"priority_id":2,"assigned_to_id":23,"start_date":"2017-08-25","description":"","custom_fields":[{"id":1,"name":"Subdivision","value":"EC"},{"id":4,"name":"Milepost","value":"23.3308"},{"id":17,"name":"Train ID","value":"167-25"},{"id":16,"name":"Locomotive ID","value":"4002"},{"id":130,"name":"Impact","value":""},{"id":150,"name":"Time of Event (Mountain Time)","value":"12:36:39"},{"id":151,"name":"Denver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ref="AM80:AM143" si="50">"start /low /b "&amp;dls3logs&amp;" --loco "&amp;B80&amp;" --day "&amp;TEXT(F80,"YYYY-MM-DD")</f>
        <v>start /low /b %USERPROFILE%\Documents\GitHub\eaglep3\Utilities\DownloadLogsFromS3.py --loco 4002 --day 2017-08-25</v>
      </c>
      <c r="AN80" s="151" t="str">
        <f t="shared" ref="AN80:AN143" si="51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18:36:39"},{"id":29,"name":"Sharepoint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587</v>
      </c>
      <c r="B81" s="7">
        <v>4001</v>
      </c>
      <c r="C81" s="21" t="s">
        <v>197</v>
      </c>
      <c r="D81" s="21" t="s">
        <v>392</v>
      </c>
      <c r="E81" s="13">
        <v>42972.533807870372</v>
      </c>
      <c r="F81" s="13">
        <v>42972.539895833332</v>
      </c>
      <c r="G81" s="7">
        <v>1</v>
      </c>
      <c r="H81" s="21" t="s">
        <v>376</v>
      </c>
      <c r="I81" s="13">
        <v>42972.56695601852</v>
      </c>
      <c r="J81" s="7">
        <v>1</v>
      </c>
      <c r="K81" s="89" t="str">
        <f t="shared" si="38"/>
        <v>4001/4002</v>
      </c>
      <c r="L81" s="217" t="str">
        <f>VLOOKUP(A81,'Trips&amp;Operators'!$C$1:$G$99911,5,FALSE)</f>
        <v>BARRON PERLA</v>
      </c>
      <c r="M81" s="6">
        <f t="shared" si="39"/>
        <v>2.7060185188020114E-2</v>
      </c>
      <c r="N81" s="7">
        <f t="shared" si="35"/>
        <v>38.966666670748964</v>
      </c>
      <c r="O81" s="7"/>
      <c r="P81" s="7"/>
      <c r="Q81" s="22"/>
      <c r="R81" s="170"/>
      <c r="S81" s="213">
        <f t="shared" si="36"/>
        <v>1</v>
      </c>
      <c r="T81" s="195" t="str">
        <f t="shared" si="40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41"/>
        <v>https://d0f6bd738d7f1b3e5a7ca70fe4ff75f0.us-east-1.aws.found.io/app/kibana#/discover/Steve-Slow-Train-Analysis-(2080s-and-2083s)?_g=(refreshInterval:(display:Off,pause:!f,section:0,value:0),time:(from:'2017-08-25T11:48:41-0600',mode:absolute,to:'2017-08-25T14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1" s="197" t="str">
        <f>IF(AA81&lt;VLOOKUP(AG81,Variables!$AC$3:$AD$8,2,FALSE),"Y","N")</f>
        <v>N</v>
      </c>
      <c r="X81" s="197">
        <f t="shared" si="32"/>
        <v>1</v>
      </c>
      <c r="Y81" s="197">
        <f t="shared" si="42"/>
        <v>23.299800000000001</v>
      </c>
      <c r="Z81" s="197">
        <f t="shared" si="37"/>
        <v>1.4500000000000001E-2</v>
      </c>
      <c r="AA81" s="197">
        <f t="shared" si="43"/>
        <v>23.285299999999999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206">
        <f t="shared" si="44"/>
        <v>168</v>
      </c>
      <c r="AE81" s="77" t="str">
        <f t="shared" si="45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81" s="74" t="str">
        <f t="shared" si="46"/>
        <v>"C:\Program Files (x86)\AstroGrep\AstroGrep.exe" /e /r /s /spath="%USERPROFILE%\AppData\Local\Temp\OnboardLogs" /stypes="app*4001*20170825*" /stext=" 19:.+((SYSTEM_STATE.+slice.+state.+changed )|(ment ac)|(multiple cpu faults)|(system.+state.+changed )|(\[timeout)|(PRM\|1\|D)|(kpr)|(kdp)|(train st.+moving)|(\|lc)|(penalty))"</v>
      </c>
      <c r="AG81" s="209" t="str">
        <f t="shared" si="47"/>
        <v>EC</v>
      </c>
      <c r="AH81" s="78" t="str">
        <f t="shared" si="48"/>
        <v>"%USERPROFILE%\Documents\GitHub\eaglep3\Utilities\RefineRTDCRunTimes.py" --tripid 168-25 --locoid 4001 --swversion DE.1.0.9.0 --startMP 204:232998 --initTime 2017-08-25T12:48:41 --startdatetime 2017-08-25T12:57:27 --delay 1 --endMP 204:145 --enddatetime 2017-08-25T13:36:25 --enforcementcount 1 &gt;&gt;C:\Users\stu\Documents\GitHub\eaglep3-reporting\EC\2017-08-25-refined-times.txt</v>
      </c>
      <c r="AI81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{"issue":{"subject":"","project_id":79,"tracker_id":40,"status_id":1,"priority_id":2,"assigned_to_id":23,"start_date":"2017-08-25","description":"","custom_fields":[{"id":1,"name":"Subdivision","value":"EC"},{"id":4,"name":"Milepost","value":"0.0145"},{"id":17,"name":"Train ID","value":"168-25"},{"id":16,"name":"Locomotive ID","value":"4001"},{"id":130,"name":"Impact","value":""},{"id":150,"name":"Time of Event (Mountain Time)","value":"13:36:25"},{"id":151,"name":"Denver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0"/>
        <v>start /low /b %USERPROFILE%\Documents\GitHub\eaglep3\Utilities\DownloadLogsFromS3.py --loco 4001 --day 2017-08-25</v>
      </c>
      <c r="AN81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19:36:25"},{"id":29,"name":"Sharepoint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703</v>
      </c>
      <c r="B82" s="7">
        <v>4042</v>
      </c>
      <c r="C82" s="21" t="s">
        <v>197</v>
      </c>
      <c r="D82" s="21" t="s">
        <v>443</v>
      </c>
      <c r="E82" s="13">
        <v>42972.507743055554</v>
      </c>
      <c r="F82" s="13">
        <v>42972.510949074072</v>
      </c>
      <c r="G82" s="7">
        <v>1</v>
      </c>
      <c r="H82" s="21" t="s">
        <v>858</v>
      </c>
      <c r="I82" s="13">
        <v>42972.534803240742</v>
      </c>
      <c r="J82" s="7">
        <v>1</v>
      </c>
      <c r="K82" s="89" t="str">
        <f t="shared" si="38"/>
        <v>4041/4042</v>
      </c>
      <c r="L82" s="217" t="str">
        <f>VLOOKUP(A82,'Trips&amp;Operators'!$C$1:$G$99911,5,FALSE)</f>
        <v>LEVIN SCOTT</v>
      </c>
      <c r="M82" s="6">
        <f t="shared" si="39"/>
        <v>2.3854166669480037E-2</v>
      </c>
      <c r="N82" s="7">
        <f t="shared" si="35"/>
        <v>34.350000004051253</v>
      </c>
      <c r="O82" s="7"/>
      <c r="P82" s="7"/>
      <c r="Q82" s="22"/>
      <c r="R82" s="170"/>
      <c r="S82" s="213">
        <f t="shared" si="36"/>
        <v>1</v>
      </c>
      <c r="T82" s="195" t="str">
        <f t="shared" si="40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41"/>
        <v>https://d0f6bd738d7f1b3e5a7ca70fe4ff75f0.us-east-1.aws.found.io/app/kibana#/discover/Steve-Slow-Train-Analysis-(2080s-and-2083s)?_g=(refreshInterval:(display:Off,pause:!f,section:0,value:0),time:(from:'2017-08-25T11:11:09-0600',mode:absolute,to:'2017-08-25T13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2" s="197" t="str">
        <f>IF(AA82&lt;VLOOKUP(AG82,Variables!$AC$3:$AD$8,2,FALSE),"Y","N")</f>
        <v>N</v>
      </c>
      <c r="X82" s="197">
        <f t="shared" si="32"/>
        <v>1</v>
      </c>
      <c r="Y82" s="197">
        <f t="shared" si="42"/>
        <v>4.6899999999999997E-2</v>
      </c>
      <c r="Z82" s="197">
        <f t="shared" si="37"/>
        <v>23.335100000000001</v>
      </c>
      <c r="AA82" s="197">
        <f t="shared" si="43"/>
        <v>23.2882</v>
      </c>
      <c r="AB82" s="54" t="e">
        <f>VLOOKUP(A82,Enforcements!$C$7:$K$11,8,0)</f>
        <v>#N/A</v>
      </c>
      <c r="AC82" s="51" t="e">
        <f>VLOOKUP(A82,Enforcements!$C$7:$E$11,3,0)</f>
        <v>#N/A</v>
      </c>
      <c r="AD82" s="206">
        <f t="shared" si="44"/>
        <v>169</v>
      </c>
      <c r="AE82" s="77" t="str">
        <f t="shared" si="45"/>
        <v>aws s3 cp s3://rtdc.mdm.uploadarchive.raw/RTDC4042/ "%USERPROFILE%\AppData\Local\Temp\OnboardLogs"\RTDC4042\2017-08-25 --exclude "*" --recursive --include "*20170825*" &amp; "%USERPROFILE%\Documents\GitHub\mrs-test-scripts\Headless Mode &amp; Sideloading\WalkAndUnGZ.bat" "%USERPROFILE%\AppData\Local\Temp\OnboardLogs"\RTDC4042\2017-08-25 &amp; aws s3 cp s3://rtdc.mdm.uploadarchive.raw/RTDC4042/ "%USERPROFILE%\AppData\Local\Temp\OnboardLogs"\RTDC4042\2017-08-26 --exclude "*" --recursive --include "*20170826*" &amp; "%USERPROFILE%\Documents\GitHub\mrs-test-scripts\Headless Mode &amp; Sideloading\WalkAndUnGZ.bat" "%USERPROFILE%\AppData\Local\Temp\OnboardLogs"\RTDC4042\2017-08-26</v>
      </c>
      <c r="AF82" s="74" t="str">
        <f t="shared" si="46"/>
        <v>"C:\Program Files (x86)\AstroGrep\AstroGrep.exe" /e /r /s /spath="%USERPROFILE%\AppData\Local\Temp\OnboardLogs" /stypes="app*4042*20170825*" /stext=" 18:.+((SYSTEM_STATE.+slice.+state.+changed )|(ment ac)|(multiple cpu faults)|(system.+state.+changed )|(\[timeout)|(PRM\|1\|D)|(kpr)|(kdp)|(train st.+moving)|(\|lc)|(penalty))"</v>
      </c>
      <c r="AG82" s="209" t="str">
        <f t="shared" si="47"/>
        <v>EC</v>
      </c>
      <c r="AH82" s="78" t="str">
        <f t="shared" si="48"/>
        <v>"%USERPROFILE%\Documents\GitHub\eaglep3\Utilities\RefineRTDCRunTimes.py" --tripid 169-25 --locoid 4042 --swversion DE.1.0.9.0 --startMP 204:469 --initTime 2017-08-25T12:11:09 --startdatetime 2017-08-25T12:15:46 --delay 1 --endMP 204:233351 --enddatetime 2017-08-25T12:50:07 --enforcementcount 1 &gt;&gt;C:\Users\stu\Documents\GitHub\eaglep3-reporting\EC\2017-08-25-refined-times.txt</v>
      </c>
      <c r="AI82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{"issue":{"subject":"","project_id":79,"tracker_id":40,"status_id":1,"priority_id":2,"assigned_to_id":23,"start_date":"2017-08-25","description":"","custom_fields":[{"id":1,"name":"Subdivision","value":"EC"},{"id":4,"name":"Milepost","value":"23.3351"},{"id":17,"name":"Train ID","value":"169-25"},{"id":16,"name":"Locomotive ID","value":"4042"},{"id":130,"name":"Impact","value":""},{"id":150,"name":"Time of Event (Mountain Time)","value":"12:50:07"},{"id":151,"name":"Denver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0"/>
        <v>start /low /b %USERPROFILE%\Documents\GitHub\eaglep3\Utilities\DownloadLogsFromS3.py --loco 4042 --day 2017-08-25</v>
      </c>
      <c r="AN82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18:50:07"},{"id":29,"name":"Sharepoint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713</v>
      </c>
      <c r="B83" s="7">
        <v>4041</v>
      </c>
      <c r="C83" s="21" t="s">
        <v>197</v>
      </c>
      <c r="D83" s="21" t="s">
        <v>859</v>
      </c>
      <c r="E83" s="13">
        <v>42972.547951388886</v>
      </c>
      <c r="F83" s="13">
        <v>42972.550150462965</v>
      </c>
      <c r="G83" s="7">
        <v>1</v>
      </c>
      <c r="H83" s="21" t="s">
        <v>860</v>
      </c>
      <c r="I83" s="13">
        <v>42972.576203703706</v>
      </c>
      <c r="J83" s="7">
        <v>1</v>
      </c>
      <c r="K83" s="89" t="str">
        <f t="shared" si="38"/>
        <v>4041/4042</v>
      </c>
      <c r="L83" s="217" t="str">
        <f>VLOOKUP(A83,'Trips&amp;Operators'!$C$1:$G$99911,5,FALSE)</f>
        <v>LEVIN SCOTT</v>
      </c>
      <c r="M83" s="6">
        <f t="shared" si="39"/>
        <v>2.6053240741021E-2</v>
      </c>
      <c r="N83" s="7">
        <f t="shared" ref="N83:N114" si="52">24*60*SUM($M83:$M83)</f>
        <v>37.51666666707024</v>
      </c>
      <c r="O83" s="7"/>
      <c r="P83" s="7"/>
      <c r="Q83" s="22"/>
      <c r="R83" s="170"/>
      <c r="S83" s="213">
        <f t="shared" ref="S83:S114" si="53">1/IF(AG83="EC",12,1)*SUM(U83:U83)</f>
        <v>1</v>
      </c>
      <c r="T83" s="195" t="str">
        <f t="shared" si="40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41"/>
        <v>https://d0f6bd738d7f1b3e5a7ca70fe4ff75f0.us-east-1.aws.found.io/app/kibana#/discover/Steve-Slow-Train-Analysis-(2080s-and-2083s)?_g=(refreshInterval:(display:Off,pause:!f,section:0,value:0),time:(from:'2017-08-25T12:09:03-0600',mode:absolute,to:'2017-08-25T14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3" s="197" t="str">
        <f>IF(AA83&lt;VLOOKUP(AG83,Variables!$AC$3:$AD$8,2,FALSE),"Y","N")</f>
        <v>N</v>
      </c>
      <c r="X83" s="197">
        <f t="shared" si="32"/>
        <v>1</v>
      </c>
      <c r="Y83" s="197">
        <f t="shared" si="42"/>
        <v>23.301500000000001</v>
      </c>
      <c r="Z83" s="197">
        <f t="shared" si="37"/>
        <v>1.2699999999999999E-2</v>
      </c>
      <c r="AA83" s="197">
        <f t="shared" si="43"/>
        <v>23.288800000000002</v>
      </c>
      <c r="AB83" s="54" t="e">
        <f>VLOOKUP(A83,Enforcements!$C$7:$K$11,8,0)</f>
        <v>#N/A</v>
      </c>
      <c r="AC83" s="51" t="e">
        <f>VLOOKUP(A83,Enforcements!$C$7:$E$11,3,0)</f>
        <v>#N/A</v>
      </c>
      <c r="AD83" s="206">
        <f t="shared" si="44"/>
        <v>170</v>
      </c>
      <c r="AE83" s="77" t="str">
        <f t="shared" si="45"/>
        <v>aws s3 cp s3://rtdc.mdm.uploadarchive.raw/RTDC4041/ "%USERPROFILE%\AppData\Local\Temp\OnboardLogs"\RTDC4041\2017-08-25 --exclude "*" --recursive --include "*20170825*" &amp; "%USERPROFILE%\Documents\GitHub\mrs-test-scripts\Headless Mode &amp; Sideloading\WalkAndUnGZ.bat" "%USERPROFILE%\AppData\Local\Temp\OnboardLogs"\RTDC4041\2017-08-25 &amp; aws s3 cp s3://rtdc.mdm.uploadarchive.raw/RTDC4041/ "%USERPROFILE%\AppData\Local\Temp\OnboardLogs"\RTDC4041\2017-08-26 --exclude "*" --recursive --include "*20170826*" &amp; "%USERPROFILE%\Documents\GitHub\mrs-test-scripts\Headless Mode &amp; Sideloading\WalkAndUnGZ.bat" "%USERPROFILE%\AppData\Local\Temp\OnboardLogs"\RTDC4041\2017-08-26</v>
      </c>
      <c r="AF83" s="74" t="str">
        <f t="shared" si="46"/>
        <v>"C:\Program Files (x86)\AstroGrep\AstroGrep.exe" /e /r /s /spath="%USERPROFILE%\AppData\Local\Temp\OnboardLogs" /stypes="app*4041*20170825*" /stext=" 19:.+((SYSTEM_STATE.+slice.+state.+changed )|(ment ac)|(multiple cpu faults)|(system.+state.+changed )|(\[timeout)|(PRM\|1\|D)|(kpr)|(kdp)|(train st.+moving)|(\|lc)|(penalty))"</v>
      </c>
      <c r="AG83" s="209" t="str">
        <f t="shared" si="47"/>
        <v>EC</v>
      </c>
      <c r="AH83" s="78" t="str">
        <f t="shared" si="48"/>
        <v>"%USERPROFILE%\Documents\GitHub\eaglep3\Utilities\RefineRTDCRunTimes.py" --tripid 170-25 --locoid 4041 --swversion DE.1.0.9.0 --startMP 204:233015 --initTime 2017-08-25T13:09:03 --startdatetime 2017-08-25T13:12:13 --delay 1 --endMP 204:127 --enddatetime 2017-08-25T13:49:44 --enforcementcount 1 &gt;&gt;C:\Users\stu\Documents\GitHub\eaglep3-reporting\EC\2017-08-25-refined-times.txt</v>
      </c>
      <c r="AI83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{"issue":{"subject":"","project_id":79,"tracker_id":40,"status_id":1,"priority_id":2,"assigned_to_id":23,"start_date":"2017-08-25","description":"","custom_fields":[{"id":1,"name":"Subdivision","value":"EC"},{"id":4,"name":"Milepost","value":"0.0127"},{"id":17,"name":"Train ID","value":"170-25"},{"id":16,"name":"Locomotive ID","value":"4041"},{"id":130,"name":"Impact","value":""},{"id":150,"name":"Time of Event (Mountain Time)","value":"13:49:44"},{"id":151,"name":"Denver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0"/>
        <v>start /low /b %USERPROFILE%\Documents\GitHub\eaglep3\Utilities\DownloadLogsFromS3.py --loco 4041 --day 2017-08-25</v>
      </c>
      <c r="AN83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19:49:44"},{"id":29,"name":"Sharepoint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705</v>
      </c>
      <c r="B84" s="7">
        <v>4030</v>
      </c>
      <c r="C84" s="21" t="s">
        <v>197</v>
      </c>
      <c r="D84" s="21" t="s">
        <v>378</v>
      </c>
      <c r="E84" s="13">
        <v>42972.514837962961</v>
      </c>
      <c r="F84" s="13">
        <v>42972.521574074075</v>
      </c>
      <c r="G84" s="7">
        <v>1</v>
      </c>
      <c r="H84" s="21" t="s">
        <v>447</v>
      </c>
      <c r="I84" s="13">
        <v>42972.545624999999</v>
      </c>
      <c r="J84" s="7">
        <v>1</v>
      </c>
      <c r="K84" s="89" t="str">
        <f t="shared" si="38"/>
        <v>4029/4030</v>
      </c>
      <c r="L84" s="217" t="str">
        <f>VLOOKUP(A84,'Trips&amp;Operators'!$C$1:$G$99911,5,FALSE)</f>
        <v>YORK EDGAR</v>
      </c>
      <c r="M84" s="6">
        <f t="shared" si="39"/>
        <v>2.4050925923802424E-2</v>
      </c>
      <c r="N84" s="7">
        <f t="shared" si="52"/>
        <v>34.633333330275491</v>
      </c>
      <c r="O84" s="7"/>
      <c r="P84" s="7"/>
      <c r="Q84" s="22"/>
      <c r="R84" s="170"/>
      <c r="S84" s="213">
        <f t="shared" si="53"/>
        <v>1</v>
      </c>
      <c r="T84" s="195" t="str">
        <f t="shared" si="40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41"/>
        <v>https://d0f6bd738d7f1b3e5a7ca70fe4ff75f0.us-east-1.aws.found.io/app/kibana#/discover/Steve-Slow-Train-Analysis-(2080s-and-2083s)?_g=(refreshInterval:(display:Off,pause:!f,section:0,value:0),time:(from:'2017-08-25T11:21:22-0600',mode:absolute,to:'2017-08-25T14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4" s="197" t="str">
        <f>IF(AA84&lt;VLOOKUP(AG84,Variables!$AC$3:$AD$8,2,FALSE),"Y","N")</f>
        <v>N</v>
      </c>
      <c r="X84" s="197">
        <f t="shared" si="32"/>
        <v>1</v>
      </c>
      <c r="Y84" s="197">
        <f t="shared" si="42"/>
        <v>4.4200000000000003E-2</v>
      </c>
      <c r="Z84" s="197">
        <f t="shared" si="37"/>
        <v>23.329699999999999</v>
      </c>
      <c r="AA84" s="197">
        <f t="shared" si="43"/>
        <v>23.285499999999999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206">
        <f t="shared" si="44"/>
        <v>171</v>
      </c>
      <c r="AE84" s="77" t="str">
        <f t="shared" si="45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84" s="74" t="str">
        <f t="shared" si="46"/>
        <v>"C:\Program Files (x86)\AstroGrep\AstroGrep.exe" /e /r /s /spath="%USERPROFILE%\AppData\Local\Temp\OnboardLogs" /stypes="app*4030*20170825*" /stext=" 19:.+((SYSTEM_STATE.+slice.+state.+changed )|(ment ac)|(multiple cpu faults)|(system.+state.+changed )|(\[timeout)|(PRM\|1\|D)|(kpr)|(kdp)|(train st.+moving)|(\|lc)|(penalty))"</v>
      </c>
      <c r="AG84" s="209" t="str">
        <f t="shared" si="47"/>
        <v>EC</v>
      </c>
      <c r="AH84" s="78" t="str">
        <f t="shared" si="48"/>
        <v>"%USERPROFILE%\Documents\GitHub\eaglep3\Utilities\RefineRTDCRunTimes.py" --tripid 171-25 --locoid 4030 --swversion DE.1.0.9.0 --startMP 204:442 --initTime 2017-08-25T12:21:22 --startdatetime 2017-08-25T12:31:04 --delay 1 --endMP 204:233297 --enddatetime 2017-08-25T13:05:42 --enforcementcount 1 &gt;&gt;C:\Users\stu\Documents\GitHub\eaglep3-reporting\EC\2017-08-25-refined-times.txt</v>
      </c>
      <c r="AI84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{"issue":{"subject":"","project_id":79,"tracker_id":40,"status_id":1,"priority_id":2,"assigned_to_id":23,"start_date":"2017-08-25","description":"","custom_fields":[{"id":1,"name":"Subdivision","value":"EC"},{"id":4,"name":"Milepost","value":"23.3297"},{"id":17,"name":"Train ID","value":"171-25"},{"id":16,"name":"Locomotive ID","value":"4030"},{"id":130,"name":"Impact","value":""},{"id":150,"name":"Time of Event (Mountain Time)","value":"13:05:42"},{"id":151,"name":"Denver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0"/>
        <v>start /low /b %USERPROFILE%\Documents\GitHub\eaglep3\Utilities\DownloadLogsFromS3.py --loco 4030 --day 2017-08-25</v>
      </c>
      <c r="AN84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19:05:42"},{"id":29,"name":"Sharepoint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711</v>
      </c>
      <c r="B85" s="7">
        <v>4029</v>
      </c>
      <c r="C85" s="21" t="s">
        <v>197</v>
      </c>
      <c r="D85" s="21" t="s">
        <v>861</v>
      </c>
      <c r="E85" s="13">
        <v>42972.547673611109</v>
      </c>
      <c r="F85" s="13">
        <v>42972.560682870368</v>
      </c>
      <c r="G85" s="7">
        <v>1</v>
      </c>
      <c r="H85" s="21" t="s">
        <v>376</v>
      </c>
      <c r="I85" s="13">
        <v>42972.586331018516</v>
      </c>
      <c r="J85" s="7">
        <v>1</v>
      </c>
      <c r="K85" s="89" t="str">
        <f t="shared" si="38"/>
        <v>4029/4030</v>
      </c>
      <c r="L85" s="217" t="str">
        <f>VLOOKUP(A85,'Trips&amp;Operators'!$C$1:$G$99911,5,FALSE)</f>
        <v>YORK EDGAR</v>
      </c>
      <c r="M85" s="6">
        <f t="shared" si="39"/>
        <v>2.5648148148320615E-2</v>
      </c>
      <c r="N85" s="7">
        <f t="shared" si="52"/>
        <v>36.933333333581686</v>
      </c>
      <c r="O85" s="7"/>
      <c r="P85" s="7"/>
      <c r="Q85" s="22"/>
      <c r="R85" s="170"/>
      <c r="S85" s="213">
        <f t="shared" si="53"/>
        <v>1</v>
      </c>
      <c r="T85" s="195" t="str">
        <f t="shared" si="40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41"/>
        <v>https://d0f6bd738d7f1b3e5a7ca70fe4ff75f0.us-east-1.aws.found.io/app/kibana#/discover/Steve-Slow-Train-Analysis-(2080s-and-2083s)?_g=(refreshInterval:(display:Off,pause:!f,section:0,value:0),time:(from:'2017-08-25T12:08:39-0600',mode:absolute,to:'2017-08-25T15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5" s="197" t="str">
        <f>IF(AA85&lt;VLOOKUP(AG85,Variables!$AC$3:$AD$8,2,FALSE),"Y","N")</f>
        <v>N</v>
      </c>
      <c r="X85" s="197">
        <f t="shared" si="32"/>
        <v>1</v>
      </c>
      <c r="Y85" s="197">
        <f t="shared" si="42"/>
        <v>23.298100000000002</v>
      </c>
      <c r="Z85" s="197">
        <f t="shared" si="37"/>
        <v>1.4500000000000001E-2</v>
      </c>
      <c r="AA85" s="197">
        <f t="shared" si="43"/>
        <v>23.2836</v>
      </c>
      <c r="AB85" s="54" t="e">
        <f>VLOOKUP(A85,Enforcements!$C$7:$K$11,8,0)</f>
        <v>#N/A</v>
      </c>
      <c r="AC85" s="51" t="e">
        <f>VLOOKUP(A85,Enforcements!$C$7:$E$11,3,0)</f>
        <v>#N/A</v>
      </c>
      <c r="AD85" s="206">
        <f t="shared" si="44"/>
        <v>172</v>
      </c>
      <c r="AE85" s="77" t="str">
        <f t="shared" si="45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85" s="74" t="str">
        <f t="shared" si="46"/>
        <v>"C:\Program Files (x86)\AstroGrep\AstroGrep.exe" /e /r /s /spath="%USERPROFILE%\AppData\Local\Temp\OnboardLogs" /stypes="app*4029*20170825*" /stext=" 20:.+((SYSTEM_STATE.+slice.+state.+changed )|(ment ac)|(multiple cpu faults)|(system.+state.+changed )|(\[timeout)|(PRM\|1\|D)|(kpr)|(kdp)|(train st.+moving)|(\|lc)|(penalty))"</v>
      </c>
      <c r="AG85" s="209" t="str">
        <f t="shared" si="47"/>
        <v>EC</v>
      </c>
      <c r="AH85" s="78" t="str">
        <f t="shared" si="48"/>
        <v>"%USERPROFILE%\Documents\GitHub\eaglep3\Utilities\RefineRTDCRunTimes.py" --tripid 172-25 --locoid 4029 --swversion DE.1.0.9.0 --startMP 204:232981 --initTime 2017-08-25T13:08:39 --startdatetime 2017-08-25T13:27:23 --delay 1 --endMP 204:145 --enddatetime 2017-08-25T14:04:19 --enforcementcount 1 &gt;&gt;C:\Users\stu\Documents\GitHub\eaglep3-reporting\EC\2017-08-25-refined-times.txt</v>
      </c>
      <c r="AI85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{"issue":{"subject":"","project_id":79,"tracker_id":40,"status_id":1,"priority_id":2,"assigned_to_id":23,"start_date":"2017-08-25","description":"","custom_fields":[{"id":1,"name":"Subdivision","value":"EC"},{"id":4,"name":"Milepost","value":"0.0145"},{"id":17,"name":"Train ID","value":"172-25"},{"id":16,"name":"Locomotive ID","value":"4029"},{"id":130,"name":"Impact","value":""},{"id":150,"name":"Time of Event (Mountain Time)","value":"14:04:19"},{"id":151,"name":"Denver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0"/>
        <v>start /low /b %USERPROFILE%\Documents\GitHub\eaglep3\Utilities\DownloadLogsFromS3.py --loco 4029 --day 2017-08-25</v>
      </c>
      <c r="AN85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20:04:19"},{"id":29,"name":"Sharepoint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708</v>
      </c>
      <c r="B86" s="7">
        <v>4058</v>
      </c>
      <c r="C86" s="21" t="s">
        <v>197</v>
      </c>
      <c r="D86" s="21" t="s">
        <v>394</v>
      </c>
      <c r="E86" s="13">
        <v>42972.527361111112</v>
      </c>
      <c r="F86" s="13">
        <v>42972.531967592593</v>
      </c>
      <c r="G86" s="7">
        <v>1</v>
      </c>
      <c r="H86" s="21" t="s">
        <v>533</v>
      </c>
      <c r="I86" s="13">
        <v>42972.557210648149</v>
      </c>
      <c r="J86" s="7">
        <v>1</v>
      </c>
      <c r="K86" s="89" t="str">
        <f t="shared" si="38"/>
        <v>4057/4058</v>
      </c>
      <c r="L86" s="217" t="str">
        <f>VLOOKUP(A86,'Trips&amp;Operators'!$C$1:$G$99911,5,FALSE)</f>
        <v>NICHOLSON WESLEY</v>
      </c>
      <c r="M86" s="6">
        <f t="shared" si="39"/>
        <v>2.5243055555620231E-2</v>
      </c>
      <c r="N86" s="7">
        <f t="shared" si="52"/>
        <v>36.350000000093132</v>
      </c>
      <c r="O86" s="7"/>
      <c r="P86" s="7"/>
      <c r="Q86" s="22"/>
      <c r="R86" s="170"/>
      <c r="S86" s="213">
        <f t="shared" si="53"/>
        <v>1</v>
      </c>
      <c r="T86" s="195" t="str">
        <f t="shared" si="40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41"/>
        <v>https://d0f6bd738d7f1b3e5a7ca70fe4ff75f0.us-east-1.aws.found.io/app/kibana#/discover/Steve-Slow-Train-Analysis-(2080s-and-2083s)?_g=(refreshInterval:(display:Off,pause:!f,section:0,value:0),time:(from:'2017-08-25T11:39:24-0600',mode:absolute,to:'2017-08-25T14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6" s="197" t="str">
        <f>IF(AA86&lt;VLOOKUP(AG86,Variables!$AC$3:$AD$8,2,FALSE),"Y","N")</f>
        <v>N</v>
      </c>
      <c r="X86" s="197">
        <f t="shared" si="32"/>
        <v>1</v>
      </c>
      <c r="Y86" s="197">
        <f t="shared" si="42"/>
        <v>4.3999999999999997E-2</v>
      </c>
      <c r="Z86" s="197">
        <f t="shared" si="37"/>
        <v>23.328800000000001</v>
      </c>
      <c r="AA86" s="197">
        <f t="shared" si="43"/>
        <v>23.284800000000001</v>
      </c>
      <c r="AB86" s="54" t="e">
        <f>VLOOKUP(A86,Enforcements!$C$7:$K$11,8,0)</f>
        <v>#N/A</v>
      </c>
      <c r="AC86" s="51" t="e">
        <f>VLOOKUP(A86,Enforcements!$C$7:$E$11,3,0)</f>
        <v>#N/A</v>
      </c>
      <c r="AD86" s="206">
        <f t="shared" si="44"/>
        <v>173</v>
      </c>
      <c r="AE86" s="77" t="str">
        <f t="shared" si="45"/>
        <v>aws s3 cp s3://rtdc.mdm.uploadarchive.raw/RTDC4058/ "%USERPROFILE%\AppData\Local\Temp\OnboardLogs"\RTDC4058\2017-08-25 --exclude "*" --recursive --include "*20170825*" &amp; "%USERPROFILE%\Documents\GitHub\mrs-test-scripts\Headless Mode &amp; Sideloading\WalkAndUnGZ.bat" "%USERPROFILE%\AppData\Local\Temp\OnboardLogs"\RTDC4058\2017-08-25 &amp; aws s3 cp s3://rtdc.mdm.uploadarchive.raw/RTDC4058/ "%USERPROFILE%\AppData\Local\Temp\OnboardLogs"\RTDC4058\2017-08-26 --exclude "*" --recursive --include "*20170826*" &amp; "%USERPROFILE%\Documents\GitHub\mrs-test-scripts\Headless Mode &amp; Sideloading\WalkAndUnGZ.bat" "%USERPROFILE%\AppData\Local\Temp\OnboardLogs"\RTDC4058\2017-08-26</v>
      </c>
      <c r="AF86" s="74" t="str">
        <f t="shared" si="46"/>
        <v>"C:\Program Files (x86)\AstroGrep\AstroGrep.exe" /e /r /s /spath="%USERPROFILE%\AppData\Local\Temp\OnboardLogs" /stypes="app*4058*20170825*" /stext=" 19:.+((SYSTEM_STATE.+slice.+state.+changed )|(ment ac)|(multiple cpu faults)|(system.+state.+changed )|(\[timeout)|(PRM\|1\|D)|(kpr)|(kdp)|(train st.+moving)|(\|lc)|(penalty))"</v>
      </c>
      <c r="AG86" s="209" t="str">
        <f t="shared" si="47"/>
        <v>EC</v>
      </c>
      <c r="AH86" s="78" t="str">
        <f t="shared" si="48"/>
        <v>"%USERPROFILE%\Documents\GitHub\eaglep3\Utilities\RefineRTDCRunTimes.py" --tripid 173-25 --locoid 4058 --swversion DE.1.0.9.0 --startMP 204:440 --initTime 2017-08-25T12:39:24 --startdatetime 2017-08-25T12:46:02 --delay 1 --endMP 204:233288 --enddatetime 2017-08-25T13:22:23 --enforcementcount 1 &gt;&gt;C:\Users\stu\Documents\GitHub\eaglep3-reporting\EC\2017-08-25-refined-times.txt</v>
      </c>
      <c r="AI86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{"issue":{"subject":"","project_id":79,"tracker_id":40,"status_id":1,"priority_id":2,"assigned_to_id":23,"start_date":"2017-08-25","description":"","custom_fields":[{"id":1,"name":"Subdivision","value":"EC"},{"id":4,"name":"Milepost","value":"23.3288"},{"id":17,"name":"Train ID","value":"173-25"},{"id":16,"name":"Locomotive ID","value":"4058"},{"id":130,"name":"Impact","value":""},{"id":150,"name":"Time of Event (Mountain Time)","value":"13:22:23"},{"id":151,"name":"Denver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0"/>
        <v>start /low /b %USERPROFILE%\Documents\GitHub\eaglep3\Utilities\DownloadLogsFromS3.py --loco 4058 --day 2017-08-25</v>
      </c>
      <c r="AN86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19:22:23"},{"id":29,"name":"Sharepoint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714</v>
      </c>
      <c r="B87" s="7">
        <v>4057</v>
      </c>
      <c r="C87" s="21" t="s">
        <v>197</v>
      </c>
      <c r="D87" s="21" t="s">
        <v>427</v>
      </c>
      <c r="E87" s="13">
        <v>42972.560428240744</v>
      </c>
      <c r="F87" s="13">
        <v>42972.57104166667</v>
      </c>
      <c r="G87" s="7">
        <v>1</v>
      </c>
      <c r="H87" s="21" t="s">
        <v>345</v>
      </c>
      <c r="I87" s="13">
        <v>42972.59815972222</v>
      </c>
      <c r="J87" s="7">
        <v>1</v>
      </c>
      <c r="K87" s="89" t="str">
        <f t="shared" si="38"/>
        <v>4057/4058</v>
      </c>
      <c r="L87" s="217" t="str">
        <f>VLOOKUP(A87,'Trips&amp;Operators'!$C$1:$G$99911,5,FALSE)</f>
        <v>NICHOLSON WESLEY</v>
      </c>
      <c r="M87" s="6">
        <f t="shared" si="39"/>
        <v>2.7118055550090503E-2</v>
      </c>
      <c r="N87" s="7">
        <f t="shared" si="52"/>
        <v>39.049999992130324</v>
      </c>
      <c r="O87" s="7"/>
      <c r="P87" s="7"/>
      <c r="Q87" s="22"/>
      <c r="R87" s="170"/>
      <c r="S87" s="213">
        <f t="shared" si="53"/>
        <v>1</v>
      </c>
      <c r="T87" s="195" t="str">
        <f t="shared" si="40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41"/>
        <v>https://d0f6bd738d7f1b3e5a7ca70fe4ff75f0.us-east-1.aws.found.io/app/kibana#/discover/Steve-Slow-Train-Analysis-(2080s-and-2083s)?_g=(refreshInterval:(display:Off,pause:!f,section:0,value:0),time:(from:'2017-08-25T12:27:01-0600',mode:absolute,to:'2017-08-25T15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7" s="197" t="str">
        <f>IF(AA87&lt;VLOOKUP(AG87,Variables!$AC$3:$AD$8,2,FALSE),"Y","N")</f>
        <v>N</v>
      </c>
      <c r="X87" s="197">
        <f t="shared" si="32"/>
        <v>1</v>
      </c>
      <c r="Y87" s="197">
        <f t="shared" si="42"/>
        <v>23.297699999999999</v>
      </c>
      <c r="Z87" s="197">
        <f t="shared" si="37"/>
        <v>1.41E-2</v>
      </c>
      <c r="AA87" s="197">
        <f t="shared" si="43"/>
        <v>23.2836</v>
      </c>
      <c r="AB87" s="54" t="e">
        <f>VLOOKUP(A87,Enforcements!$C$7:$K$11,8,0)</f>
        <v>#N/A</v>
      </c>
      <c r="AC87" s="51" t="e">
        <f>VLOOKUP(A87,Enforcements!$C$7:$E$11,3,0)</f>
        <v>#N/A</v>
      </c>
      <c r="AD87" s="206">
        <f t="shared" si="44"/>
        <v>174</v>
      </c>
      <c r="AE87" s="77" t="str">
        <f t="shared" si="45"/>
        <v>aws s3 cp s3://rtdc.mdm.uploadarchive.raw/RTDC4057/ "%USERPROFILE%\AppData\Local\Temp\OnboardLogs"\RTDC4057\2017-08-25 --exclude "*" --recursive --include "*20170825*" &amp; "%USERPROFILE%\Documents\GitHub\mrs-test-scripts\Headless Mode &amp; Sideloading\WalkAndUnGZ.bat" "%USERPROFILE%\AppData\Local\Temp\OnboardLogs"\RTDC4057\2017-08-25 &amp; aws s3 cp s3://rtdc.mdm.uploadarchive.raw/RTDC4057/ "%USERPROFILE%\AppData\Local\Temp\OnboardLogs"\RTDC4057\2017-08-26 --exclude "*" --recursive --include "*20170826*" &amp; "%USERPROFILE%\Documents\GitHub\mrs-test-scripts\Headless Mode &amp; Sideloading\WalkAndUnGZ.bat" "%USERPROFILE%\AppData\Local\Temp\OnboardLogs"\RTDC4057\2017-08-26</v>
      </c>
      <c r="AF87" s="74" t="str">
        <f t="shared" si="46"/>
        <v>"C:\Program Files (x86)\AstroGrep\AstroGrep.exe" /e /r /s /spath="%USERPROFILE%\AppData\Local\Temp\OnboardLogs" /stypes="app*4057*20170825*" /stext=" 20:.+((SYSTEM_STATE.+slice.+state.+changed )|(ment ac)|(multiple cpu faults)|(system.+state.+changed )|(\[timeout)|(PRM\|1\|D)|(kpr)|(kdp)|(train st.+moving)|(\|lc)|(penalty))"</v>
      </c>
      <c r="AG87" s="209" t="str">
        <f t="shared" si="47"/>
        <v>EC</v>
      </c>
      <c r="AH87" s="78" t="str">
        <f t="shared" si="48"/>
        <v>"%USERPROFILE%\Documents\GitHub\eaglep3\Utilities\RefineRTDCRunTimes.py" --tripid 174-25 --locoid 4057 --swversion DE.1.0.9.0 --startMP 204:232977 --initTime 2017-08-25T13:27:01 --startdatetime 2017-08-25T13:42:18 --delay 1 --endMP 204:141 --enddatetime 2017-08-25T14:21:21 --enforcementcount 1 &gt;&gt;C:\Users\stu\Documents\GitHub\eaglep3-reporting\EC\2017-08-25-refined-times.txt</v>
      </c>
      <c r="AI87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{"issue":{"subject":"","project_id":79,"tracker_id":40,"status_id":1,"priority_id":2,"assigned_to_id":23,"start_date":"2017-08-25","description":"","custom_fields":[{"id":1,"name":"Subdivision","value":"EC"},{"id":4,"name":"Milepost","value":"0.0141"},{"id":17,"name":"Train ID","value":"174-25"},{"id":16,"name":"Locomotive ID","value":"4057"},{"id":130,"name":"Impact","value":""},{"id":150,"name":"Time of Event (Mountain Time)","value":"14:21:21"},{"id":151,"name":"Denver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0"/>
        <v>start /low /b %USERPROFILE%\Documents\GitHub\eaglep3\Utilities\DownloadLogsFromS3.py --loco 4057 --day 2017-08-25</v>
      </c>
      <c r="AN87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20:21:21"},{"id":29,"name":"Sharepoint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710</v>
      </c>
      <c r="B88" s="7">
        <v>4064</v>
      </c>
      <c r="C88" s="21" t="s">
        <v>197</v>
      </c>
      <c r="D88" s="21" t="s">
        <v>378</v>
      </c>
      <c r="E88" s="13">
        <v>42972.538159722222</v>
      </c>
      <c r="F88" s="13">
        <v>42972.542534722219</v>
      </c>
      <c r="G88" s="7">
        <v>1</v>
      </c>
      <c r="H88" s="21" t="s">
        <v>448</v>
      </c>
      <c r="I88" s="13">
        <v>42972.567048611112</v>
      </c>
      <c r="J88" s="7">
        <v>1</v>
      </c>
      <c r="K88" s="89" t="str">
        <f t="shared" si="38"/>
        <v>4063/4064</v>
      </c>
      <c r="L88" s="217" t="str">
        <f>VLOOKUP(A88,'Trips&amp;Operators'!$C$1:$G$99911,5,FALSE)</f>
        <v>ZEWDU DEREJE</v>
      </c>
      <c r="M88" s="6">
        <f t="shared" si="39"/>
        <v>2.4513888893125113E-2</v>
      </c>
      <c r="N88" s="7">
        <f t="shared" si="52"/>
        <v>35.300000006100163</v>
      </c>
      <c r="O88" s="7"/>
      <c r="P88" s="7"/>
      <c r="Q88" s="22"/>
      <c r="R88" s="170"/>
      <c r="S88" s="213">
        <f t="shared" si="53"/>
        <v>1</v>
      </c>
      <c r="T88" s="195" t="str">
        <f t="shared" si="40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41"/>
        <v>https://d0f6bd738d7f1b3e5a7ca70fe4ff75f0.us-east-1.aws.found.io/app/kibana#/discover/Steve-Slow-Train-Analysis-(2080s-and-2083s)?_g=(refreshInterval:(display:Off,pause:!f,section:0,value:0),time:(from:'2017-08-25T11:54:57-0600',mode:absolute,to:'2017-08-25T14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8" s="197" t="str">
        <f>IF(AA88&lt;VLOOKUP(AG88,Variables!$AC$3:$AD$8,2,FALSE),"Y","N")</f>
        <v>N</v>
      </c>
      <c r="X88" s="197">
        <f t="shared" si="32"/>
        <v>1</v>
      </c>
      <c r="Y88" s="197">
        <f t="shared" si="42"/>
        <v>4.4200000000000003E-2</v>
      </c>
      <c r="Z88" s="197">
        <f t="shared" si="37"/>
        <v>23.329499999999999</v>
      </c>
      <c r="AA88" s="197">
        <f t="shared" si="43"/>
        <v>23.285299999999999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206">
        <f t="shared" si="44"/>
        <v>175</v>
      </c>
      <c r="AE88" s="77" t="str">
        <f t="shared" si="45"/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AF88" s="74" t="str">
        <f t="shared" si="46"/>
        <v>"C:\Program Files (x86)\AstroGrep\AstroGrep.exe" /e /r /s /spath="%USERPROFILE%\AppData\Local\Temp\OnboardLogs" /stypes="app*4064*20170825*" /stext=" 19:.+((SYSTEM_STATE.+slice.+state.+changed )|(ment ac)|(multiple cpu faults)|(system.+state.+changed )|(\[timeout)|(PRM\|1\|D)|(kpr)|(kdp)|(train st.+moving)|(\|lc)|(penalty))"</v>
      </c>
      <c r="AG88" s="209" t="str">
        <f t="shared" si="47"/>
        <v>EC</v>
      </c>
      <c r="AH88" s="78" t="str">
        <f t="shared" si="48"/>
        <v>"%USERPROFILE%\Documents\GitHub\eaglep3\Utilities\RefineRTDCRunTimes.py" --tripid 175-25 --locoid 4064 --swversion DE.1.0.9.0 --startMP 204:442 --initTime 2017-08-25T12:54:57 --startdatetime 2017-08-25T13:01:15 --delay 1 --endMP 204:233295 --enddatetime 2017-08-25T13:36:33 --enforcementcount 1 &gt;&gt;C:\Users\stu\Documents\GitHub\eaglep3-reporting\EC\2017-08-25-refined-times.txt</v>
      </c>
      <c r="AI88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{"issue":{"subject":"","project_id":79,"tracker_id":40,"status_id":1,"priority_id":2,"assigned_to_id":23,"start_date":"2017-08-25","description":"","custom_fields":[{"id":1,"name":"Subdivision","value":"EC"},{"id":4,"name":"Milepost","value":"23.3295"},{"id":17,"name":"Train ID","value":"175-25"},{"id":16,"name":"Locomotive ID","value":"4064"},{"id":130,"name":"Impact","value":""},{"id":150,"name":"Time of Event (Mountain Time)","value":"13:36:33"},{"id":151,"name":"Denver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0"/>
        <v>start /low /b %USERPROFILE%\Documents\GitHub\eaglep3\Utilities\DownloadLogsFromS3.py --loco 4064 --day 2017-08-25</v>
      </c>
      <c r="AN88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19:36:33"},{"id":29,"name":"Sharepoint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590</v>
      </c>
      <c r="B89" s="7">
        <v>4063</v>
      </c>
      <c r="C89" s="21" t="s">
        <v>197</v>
      </c>
      <c r="D89" s="21" t="s">
        <v>492</v>
      </c>
      <c r="E89" s="13">
        <v>42972.572511574072</v>
      </c>
      <c r="F89" s="13">
        <v>42972.581435185188</v>
      </c>
      <c r="G89" s="7">
        <v>1</v>
      </c>
      <c r="H89" s="21" t="s">
        <v>862</v>
      </c>
      <c r="I89" s="13">
        <v>42972.608310185184</v>
      </c>
      <c r="J89" s="7">
        <v>1</v>
      </c>
      <c r="K89" s="89" t="str">
        <f t="shared" si="38"/>
        <v>4063/4064</v>
      </c>
      <c r="L89" s="217" t="str">
        <f>VLOOKUP(A89,'Trips&amp;Operators'!$C$1:$G$99911,5,FALSE)</f>
        <v>ZEWDU DEREJE</v>
      </c>
      <c r="M89" s="6">
        <f t="shared" si="39"/>
        <v>2.6874999995925464E-2</v>
      </c>
      <c r="N89" s="7">
        <f t="shared" si="52"/>
        <v>38.699999994132668</v>
      </c>
      <c r="O89" s="7"/>
      <c r="P89" s="7"/>
      <c r="Q89" s="22"/>
      <c r="R89" s="170"/>
      <c r="S89" s="213">
        <f t="shared" si="53"/>
        <v>1</v>
      </c>
      <c r="T89" s="195" t="str">
        <f t="shared" si="40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41"/>
        <v>https://d0f6bd738d7f1b3e5a7ca70fe4ff75f0.us-east-1.aws.found.io/app/kibana#/discover/Steve-Slow-Train-Analysis-(2080s-and-2083s)?_g=(refreshInterval:(display:Off,pause:!f,section:0,value:0),time:(from:'2017-08-25T12:44:25-0600',mode:absolute,to:'2017-08-25T15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9" s="197" t="str">
        <f>IF(AA89&lt;VLOOKUP(AG89,Variables!$AC$3:$AD$8,2,FALSE),"Y","N")</f>
        <v>N</v>
      </c>
      <c r="X89" s="197">
        <f t="shared" si="32"/>
        <v>1</v>
      </c>
      <c r="Y89" s="197">
        <f t="shared" si="42"/>
        <v>23.298300000000001</v>
      </c>
      <c r="Z89" s="197">
        <f t="shared" si="37"/>
        <v>1.6299999999999999E-2</v>
      </c>
      <c r="AA89" s="197">
        <f t="shared" si="43"/>
        <v>23.282</v>
      </c>
      <c r="AB89" s="54" t="e">
        <f>VLOOKUP(A89,Enforcements!$C$7:$K$11,8,0)</f>
        <v>#N/A</v>
      </c>
      <c r="AC89" s="51" t="e">
        <f>VLOOKUP(A89,Enforcements!$C$7:$E$11,3,0)</f>
        <v>#N/A</v>
      </c>
      <c r="AD89" s="206">
        <f t="shared" si="44"/>
        <v>176</v>
      </c>
      <c r="AE89" s="77" t="str">
        <f t="shared" si="45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89" s="74" t="str">
        <f t="shared" si="46"/>
        <v>"C:\Program Files (x86)\AstroGrep\AstroGrep.exe" /e /r /s /spath="%USERPROFILE%\AppData\Local\Temp\OnboardLogs" /stypes="app*4063*20170825*" /stext=" 20:.+((SYSTEM_STATE.+slice.+state.+changed )|(ment ac)|(multiple cpu faults)|(system.+state.+changed )|(\[timeout)|(PRM\|1\|D)|(kpr)|(kdp)|(train st.+moving)|(\|lc)|(penalty))"</v>
      </c>
      <c r="AG89" s="209" t="str">
        <f t="shared" si="47"/>
        <v>EC</v>
      </c>
      <c r="AH89" s="78" t="str">
        <f t="shared" si="48"/>
        <v>"%USERPROFILE%\Documents\GitHub\eaglep3\Utilities\RefineRTDCRunTimes.py" --tripid 176-25 --locoid 4063 --swversion DE.1.0.9.0 --startMP 204:232983 --initTime 2017-08-25T13:44:25 --startdatetime 2017-08-25T13:57:16 --delay 1 --endMP 204:163 --enddatetime 2017-08-25T14:35:58 --enforcementcount 1 &gt;&gt;C:\Users\stu\Documents\GitHub\eaglep3-reporting\EC\2017-08-25-refined-times.txt</v>
      </c>
      <c r="AI89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{"issue":{"subject":"","project_id":79,"tracker_id":40,"status_id":1,"priority_id":2,"assigned_to_id":23,"start_date":"2017-08-25","description":"","custom_fields":[{"id":1,"name":"Subdivision","value":"EC"},{"id":4,"name":"Milepost","value":"0.0163"},{"id":17,"name":"Train ID","value":"176-25"},{"id":16,"name":"Locomotive ID","value":"4063"},{"id":130,"name":"Impact","value":""},{"id":150,"name":"Time of Event (Mountain Time)","value":"14:35:58"},{"id":151,"name":"Denver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0"/>
        <v>start /low /b %USERPROFILE%\Documents\GitHub\eaglep3\Utilities\DownloadLogsFromS3.py --loco 4063 --day 2017-08-25</v>
      </c>
      <c r="AN89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20:35:58"},{"id":29,"name":"Sharepoint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712</v>
      </c>
      <c r="B90" s="7">
        <v>4032</v>
      </c>
      <c r="C90" s="21" t="s">
        <v>197</v>
      </c>
      <c r="D90" s="21" t="s">
        <v>378</v>
      </c>
      <c r="E90" s="13">
        <v>42972.547453703701</v>
      </c>
      <c r="F90" s="13">
        <v>42972.552604166667</v>
      </c>
      <c r="G90" s="7">
        <v>3</v>
      </c>
      <c r="H90" s="21" t="s">
        <v>395</v>
      </c>
      <c r="I90" s="13">
        <v>42972.578101851854</v>
      </c>
      <c r="J90" s="7">
        <v>1</v>
      </c>
      <c r="K90" s="89" t="str">
        <f t="shared" si="38"/>
        <v>4031/4032</v>
      </c>
      <c r="L90" s="217" t="str">
        <f>VLOOKUP(A90,'Trips&amp;Operators'!$C$1:$G$99911,5,FALSE)</f>
        <v>BERLING GARY</v>
      </c>
      <c r="M90" s="6">
        <f t="shared" si="39"/>
        <v>2.5497685186564922E-2</v>
      </c>
      <c r="N90" s="7">
        <f t="shared" si="52"/>
        <v>36.716666668653488</v>
      </c>
      <c r="O90" s="7"/>
      <c r="P90" s="7"/>
      <c r="Q90" s="22"/>
      <c r="R90" s="170"/>
      <c r="S90" s="213">
        <f t="shared" si="53"/>
        <v>1</v>
      </c>
      <c r="T90" s="195" t="str">
        <f t="shared" si="40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41"/>
        <v>https://d0f6bd738d7f1b3e5a7ca70fe4ff75f0.us-east-1.aws.found.io/app/kibana#/discover/Steve-Slow-Train-Analysis-(2080s-and-2083s)?_g=(refreshInterval:(display:Off,pause:!f,section:0,value:0),time:(from:'2017-08-25T12:08:20-0600',mode:absolute,to:'2017-08-25T14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0" s="197" t="str">
        <f>IF(AA90&lt;VLOOKUP(AG90,Variables!$AC$3:$AD$8,2,FALSE),"Y","N")</f>
        <v>N</v>
      </c>
      <c r="X90" s="197">
        <f t="shared" si="32"/>
        <v>1</v>
      </c>
      <c r="Y90" s="197">
        <f t="shared" si="42"/>
        <v>4.4200000000000003E-2</v>
      </c>
      <c r="Z90" s="197">
        <f t="shared" si="37"/>
        <v>23.331399999999999</v>
      </c>
      <c r="AA90" s="197">
        <f t="shared" si="43"/>
        <v>23.287199999999999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206">
        <f t="shared" si="44"/>
        <v>177</v>
      </c>
      <c r="AE90" s="77" t="str">
        <f t="shared" si="45"/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AF90" s="74" t="str">
        <f t="shared" si="46"/>
        <v>"C:\Program Files (x86)\AstroGrep\AstroGrep.exe" /e /r /s /spath="%USERPROFILE%\AppData\Local\Temp\OnboardLogs" /stypes="app*4032*20170825*" /stext=" 19:.+((SYSTEM_STATE.+slice.+state.+changed )|(ment ac)|(multiple cpu faults)|(system.+state.+changed )|(\[timeout)|(PRM\|1\|D)|(kpr)|(kdp)|(train st.+moving)|(\|lc)|(penalty))"</v>
      </c>
      <c r="AG90" s="209" t="str">
        <f t="shared" si="47"/>
        <v>EC</v>
      </c>
      <c r="AH90" s="78" t="str">
        <f t="shared" si="48"/>
        <v>"%USERPROFILE%\Documents\GitHub\eaglep3\Utilities\RefineRTDCRunTimes.py" --tripid 177-25 --locoid 4032 --swversion DE.1.0.9.0 --startMP 204:442 --initTime 2017-08-25T13:08:20 --startdatetime 2017-08-25T13:15:45 --delay 3 --endMP 204:233314 --enddatetime 2017-08-25T13:52:28 --enforcementcount 1 &gt;&gt;C:\Users\stu\Documents\GitHub\eaglep3-reporting\EC\2017-08-25-refined-times.txt</v>
      </c>
      <c r="AI90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{"issue":{"subject":"","project_id":79,"tracker_id":40,"status_id":1,"priority_id":2,"assigned_to_id":23,"start_date":"2017-08-25","description":"","custom_fields":[{"id":1,"name":"Subdivision","value":"EC"},{"id":4,"name":"Milepost","value":"23.3314"},{"id":17,"name":"Train ID","value":"177-25"},{"id":16,"name":"Locomotive ID","value":"4032"},{"id":130,"name":"Impact","value":""},{"id":150,"name":"Time of Event (Mountain Time)","value":"13:52:28"},{"id":151,"name":"Denver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0"/>
        <v>start /low /b %USERPROFILE%\Documents\GitHub\eaglep3\Utilities\DownloadLogsFromS3.py --loco 4032 --day 2017-08-25</v>
      </c>
      <c r="AN90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19:52:28"},{"id":29,"name":"Sharepoint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591</v>
      </c>
      <c r="B91" s="7">
        <v>4031</v>
      </c>
      <c r="C91" s="21" t="s">
        <v>197</v>
      </c>
      <c r="D91" s="21" t="s">
        <v>824</v>
      </c>
      <c r="E91" s="13">
        <v>42972.583865740744</v>
      </c>
      <c r="F91" s="13">
        <v>42972.591863425929</v>
      </c>
      <c r="G91" s="7">
        <v>1</v>
      </c>
      <c r="H91" s="21" t="s">
        <v>345</v>
      </c>
      <c r="I91" s="13">
        <v>42972.619803240741</v>
      </c>
      <c r="J91" s="7">
        <v>1</v>
      </c>
      <c r="K91" s="89" t="str">
        <f t="shared" si="38"/>
        <v>4031/4032</v>
      </c>
      <c r="L91" s="217" t="str">
        <f>VLOOKUP(A91,'Trips&amp;Operators'!$C$1:$G$99911,5,FALSE)</f>
        <v>BERLING GARY</v>
      </c>
      <c r="M91" s="6">
        <f t="shared" si="39"/>
        <v>2.7939814812270924E-2</v>
      </c>
      <c r="N91" s="7">
        <f t="shared" si="52"/>
        <v>40.233333329670131</v>
      </c>
      <c r="O91" s="7"/>
      <c r="P91" s="7"/>
      <c r="Q91" s="22"/>
      <c r="R91" s="170"/>
      <c r="S91" s="213">
        <f t="shared" si="53"/>
        <v>1</v>
      </c>
      <c r="T91" s="195" t="str">
        <f t="shared" si="40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41"/>
        <v>https://d0f6bd738d7f1b3e5a7ca70fe4ff75f0.us-east-1.aws.found.io/app/kibana#/discover/Steve-Slow-Train-Analysis-(2080s-and-2083s)?_g=(refreshInterval:(display:Off,pause:!f,section:0,value:0),time:(from:'2017-08-25T13:00:46-0600',mode:absolute,to:'2017-08-25T15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1" s="197" t="str">
        <f>IF(AA91&lt;VLOOKUP(AG91,Variables!$AC$3:$AD$8,2,FALSE),"Y","N")</f>
        <v>N</v>
      </c>
      <c r="X91" s="197">
        <f t="shared" ref="X91:X154" si="54">VALUE(LEFT(AD91,4))-VALUE(LEFT(AD90,4))</f>
        <v>1</v>
      </c>
      <c r="Y91" s="197">
        <f t="shared" si="42"/>
        <v>23.2971</v>
      </c>
      <c r="Z91" s="197">
        <f t="shared" si="37"/>
        <v>1.41E-2</v>
      </c>
      <c r="AA91" s="197">
        <f t="shared" si="43"/>
        <v>23.283000000000001</v>
      </c>
      <c r="AB91" s="54" t="str">
        <f>VLOOKUP(A91,Enforcements!$C$7:$K$11,8,0)</f>
        <v>Bulletin (2)</v>
      </c>
      <c r="AC91" s="51" t="str">
        <f>VLOOKUP(A91,Enforcements!$C$7:$E$11,3,0)</f>
        <v>GRADE CROSSING</v>
      </c>
      <c r="AD91" s="206">
        <f t="shared" si="44"/>
        <v>178</v>
      </c>
      <c r="AE91" s="77" t="str">
        <f t="shared" si="45"/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91" s="74" t="str">
        <f t="shared" si="46"/>
        <v>"C:\Program Files (x86)\AstroGrep\AstroGrep.exe" /e /r /s /spath="%USERPROFILE%\AppData\Local\Temp\OnboardLogs" /stypes="app*4031*20170825*" /stext=" 20:.+((SYSTEM_STATE.+slice.+state.+changed )|(ment ac)|(multiple cpu faults)|(system.+state.+changed )|(\[timeout)|(PRM\|1\|D)|(kpr)|(kdp)|(train st.+moving)|(\|lc)|(penalty))"</v>
      </c>
      <c r="AG91" s="209" t="str">
        <f t="shared" si="47"/>
        <v>EC</v>
      </c>
      <c r="AH91" s="78" t="str">
        <f t="shared" si="48"/>
        <v>"%USERPROFILE%\Documents\GitHub\eaglep3\Utilities\RefineRTDCRunTimes.py" --tripid 178-25 --locoid 4031 --swversion DE.1.0.9.0 --startMP 204:232971 --initTime 2017-08-25T14:00:46 --startdatetime 2017-08-25T14:12:17 --delay 1 --endMP 204:141 --enddatetime 2017-08-25T14:52:31 --enforcementcount 1 &gt;&gt;C:\Users\stu\Documents\GitHub\eaglep3-reporting\EC\2017-08-25-refined-times.txt</v>
      </c>
      <c r="AI91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{"issue":{"subject":"","project_id":79,"tracker_id":40,"status_id":1,"priority_id":2,"assigned_to_id":23,"start_date":"2017-08-25","description":"","custom_fields":[{"id":1,"name":"Subdivision","value":"EC"},{"id":4,"name":"Milepost","value":"0.0141"},{"id":17,"name":"Train ID","value":"178-25"},{"id":16,"name":"Locomotive ID","value":"4031"},{"id":130,"name":"Impact","value":""},{"id":150,"name":"Time of Event (Mountain Time)","value":"14:52:31"},{"id":151,"name":"Denver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0"/>
        <v>start /low /b %USERPROFILE%\Documents\GitHub\eaglep3\Utilities\DownloadLogsFromS3.py --loco 4031 --day 2017-08-25</v>
      </c>
      <c r="AN91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20:52:31"},{"id":29,"name":"Sharepoint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589</v>
      </c>
      <c r="B92" s="7">
        <v>4014</v>
      </c>
      <c r="C92" s="21" t="s">
        <v>197</v>
      </c>
      <c r="D92" s="21" t="s">
        <v>341</v>
      </c>
      <c r="E92" s="13">
        <v>42972.559212962966</v>
      </c>
      <c r="F92" s="13">
        <v>42972.563043981485</v>
      </c>
      <c r="G92" s="7">
        <v>1</v>
      </c>
      <c r="H92" s="21" t="s">
        <v>403</v>
      </c>
      <c r="I92" s="13">
        <v>42972.588807870372</v>
      </c>
      <c r="J92" s="7">
        <v>1</v>
      </c>
      <c r="K92" s="89" t="str">
        <f t="shared" si="38"/>
        <v>4013/4014</v>
      </c>
      <c r="L92" s="217" t="str">
        <f>VLOOKUP(A92,'Trips&amp;Operators'!$C$1:$G$99911,5,FALSE)</f>
        <v>GUNTHIER ERIC</v>
      </c>
      <c r="M92" s="6">
        <f t="shared" si="39"/>
        <v>2.5763888887013309E-2</v>
      </c>
      <c r="N92" s="7">
        <f t="shared" si="52"/>
        <v>37.099999997299165</v>
      </c>
      <c r="O92" s="7"/>
      <c r="P92" s="7"/>
      <c r="Q92" s="22"/>
      <c r="R92" s="170"/>
      <c r="S92" s="213">
        <f t="shared" si="53"/>
        <v>1</v>
      </c>
      <c r="T92" s="195" t="str">
        <f t="shared" si="40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41"/>
        <v>https://d0f6bd738d7f1b3e5a7ca70fe4ff75f0.us-east-1.aws.found.io/app/kibana#/discover/Steve-Slow-Train-Analysis-(2080s-and-2083s)?_g=(refreshInterval:(display:Off,pause:!f,section:0,value:0),time:(from:'2017-08-25T12:25:16-0600',mode:absolute,to:'2017-08-25T15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2" s="197" t="str">
        <f>IF(AA92&lt;VLOOKUP(AG92,Variables!$AC$3:$AD$8,2,FALSE),"Y","N")</f>
        <v>N</v>
      </c>
      <c r="X92" s="197">
        <f t="shared" si="54"/>
        <v>1</v>
      </c>
      <c r="Y92" s="197">
        <f t="shared" si="42"/>
        <v>4.5100000000000001E-2</v>
      </c>
      <c r="Z92" s="197">
        <f t="shared" si="37"/>
        <v>23.33</v>
      </c>
      <c r="AA92" s="197">
        <f t="shared" si="43"/>
        <v>23.284899999999997</v>
      </c>
      <c r="AB92" s="54" t="e">
        <f>VLOOKUP(A92,Enforcements!$C$7:$K$11,8,0)</f>
        <v>#N/A</v>
      </c>
      <c r="AC92" s="51" t="e">
        <f>VLOOKUP(A92,Enforcements!$C$7:$E$11,3,0)</f>
        <v>#N/A</v>
      </c>
      <c r="AD92" s="206">
        <f t="shared" si="44"/>
        <v>179</v>
      </c>
      <c r="AE92" s="77" t="str">
        <f t="shared" si="45"/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AF92" s="74" t="str">
        <f t="shared" si="46"/>
        <v>"C:\Program Files (x86)\AstroGrep\AstroGrep.exe" /e /r /s /spath="%USERPROFILE%\AppData\Local\Temp\OnboardLogs" /stypes="app*4014*20170825*" /stext=" 20:.+((SYSTEM_STATE.+slice.+state.+changed )|(ment ac)|(multiple cpu faults)|(system.+state.+changed )|(\[timeout)|(PRM\|1\|D)|(kpr)|(kdp)|(train st.+moving)|(\|lc)|(penalty))"</v>
      </c>
      <c r="AG92" s="209" t="str">
        <f t="shared" si="47"/>
        <v>EC</v>
      </c>
      <c r="AH92" s="78" t="str">
        <f t="shared" si="48"/>
        <v>"%USERPROFILE%\Documents\GitHub\eaglep3\Utilities\RefineRTDCRunTimes.py" --tripid 179-25 --locoid 4014 --swversion DE.1.0.9.0 --startMP 204:451 --initTime 2017-08-25T13:25:16 --startdatetime 2017-08-25T13:30:47 --delay 1 --endMP 204:233300 --enddatetime 2017-08-25T14:07:53 --enforcementcount 1 &gt;&gt;C:\Users\stu\Documents\GitHub\eaglep3-reporting\EC\2017-08-25-refined-times.txt</v>
      </c>
      <c r="AI92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{"issue":{"subject":"","project_id":79,"tracker_id":40,"status_id":1,"priority_id":2,"assigned_to_id":23,"start_date":"2017-08-25","description":"","custom_fields":[{"id":1,"name":"Subdivision","value":"EC"},{"id":4,"name":"Milepost","value":"23.33"},{"id":17,"name":"Train ID","value":"179-25"},{"id":16,"name":"Locomotive ID","value":"4014"},{"id":130,"name":"Impact","value":""},{"id":150,"name":"Time of Event (Mountain Time)","value":"14:07:53"},{"id":151,"name":"Denver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0"/>
        <v>start /low /b %USERPROFILE%\Documents\GitHub\eaglep3\Utilities\DownloadLogsFromS3.py --loco 4014 --day 2017-08-25</v>
      </c>
      <c r="AN92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20:07:53"},{"id":29,"name":"Sharepoint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720</v>
      </c>
      <c r="B93" s="7">
        <v>4013</v>
      </c>
      <c r="C93" s="21" t="s">
        <v>197</v>
      </c>
      <c r="D93" s="21" t="s">
        <v>427</v>
      </c>
      <c r="E93" s="13">
        <v>42972.591249999998</v>
      </c>
      <c r="F93" s="13">
        <v>42972.602488425924</v>
      </c>
      <c r="G93" s="7">
        <v>1</v>
      </c>
      <c r="H93" s="21" t="s">
        <v>338</v>
      </c>
      <c r="I93" s="13">
        <v>42972.629363425927</v>
      </c>
      <c r="J93" s="7">
        <v>1</v>
      </c>
      <c r="K93" s="89" t="str">
        <f t="shared" si="38"/>
        <v>4013/4014</v>
      </c>
      <c r="L93" s="217" t="str">
        <f>VLOOKUP(A93,'Trips&amp;Operators'!$C$1:$G$99911,5,FALSE)</f>
        <v>GUNTHIER ERIC</v>
      </c>
      <c r="M93" s="6">
        <f t="shared" si="39"/>
        <v>2.6875000003201421E-2</v>
      </c>
      <c r="N93" s="7">
        <f t="shared" si="52"/>
        <v>38.700000004610047</v>
      </c>
      <c r="O93" s="7"/>
      <c r="P93" s="7"/>
      <c r="Q93" s="22"/>
      <c r="R93" s="170"/>
      <c r="S93" s="213">
        <f t="shared" si="53"/>
        <v>1</v>
      </c>
      <c r="T93" s="195" t="str">
        <f t="shared" si="40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41"/>
        <v>https://d0f6bd738d7f1b3e5a7ca70fe4ff75f0.us-east-1.aws.found.io/app/kibana#/discover/Steve-Slow-Train-Analysis-(2080s-and-2083s)?_g=(refreshInterval:(display:Off,pause:!f,section:0,value:0),time:(from:'2017-08-25T13:11:24-0600',mode:absolute,to:'2017-08-25T16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3" s="197" t="str">
        <f>IF(AA93&lt;VLOOKUP(AG93,Variables!$AC$3:$AD$8,2,FALSE),"Y","N")</f>
        <v>N</v>
      </c>
      <c r="X93" s="197">
        <f t="shared" si="54"/>
        <v>1</v>
      </c>
      <c r="Y93" s="197">
        <f t="shared" si="42"/>
        <v>23.297699999999999</v>
      </c>
      <c r="Z93" s="197">
        <f t="shared" si="37"/>
        <v>1.4999999999999999E-2</v>
      </c>
      <c r="AA93" s="197">
        <f t="shared" si="43"/>
        <v>23.282699999999998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206">
        <f t="shared" si="44"/>
        <v>180</v>
      </c>
      <c r="AE93" s="77" t="str">
        <f t="shared" si="45"/>
        <v>aws s3 cp s3://rtdc.mdm.uploadarchive.raw/RTDC4013/ "%USERPROFILE%\AppData\Local\Temp\OnboardLogs"\RTDC4013\2017-08-25 --exclude "*" --recursive --include "*20170825*" &amp; "%USERPROFILE%\Documents\GitHub\mrs-test-scripts\Headless Mode &amp; Sideloading\WalkAndUnGZ.bat" "%USERPROFILE%\AppData\Local\Temp\OnboardLogs"\RTDC4013\2017-08-25 &amp; aws s3 cp s3://rtdc.mdm.uploadarchive.raw/RTDC4013/ "%USERPROFILE%\AppData\Local\Temp\OnboardLogs"\RTDC4013\2017-08-26 --exclude "*" --recursive --include "*20170826*" &amp; "%USERPROFILE%\Documents\GitHub\mrs-test-scripts\Headless Mode &amp; Sideloading\WalkAndUnGZ.bat" "%USERPROFILE%\AppData\Local\Temp\OnboardLogs"\RTDC4013\2017-08-26</v>
      </c>
      <c r="AF93" s="74" t="str">
        <f t="shared" si="46"/>
        <v>"C:\Program Files (x86)\AstroGrep\AstroGrep.exe" /e /r /s /spath="%USERPROFILE%\AppData\Local\Temp\OnboardLogs" /stypes="app*4013*20170825*" /stext=" 21:.+((SYSTEM_STATE.+slice.+state.+changed )|(ment ac)|(multiple cpu faults)|(system.+state.+changed )|(\[timeout)|(PRM\|1\|D)|(kpr)|(kdp)|(train st.+moving)|(\|lc)|(penalty))"</v>
      </c>
      <c r="AG93" s="209" t="str">
        <f t="shared" si="47"/>
        <v>EC</v>
      </c>
      <c r="AH93" s="78" t="str">
        <f t="shared" si="48"/>
        <v>"%USERPROFILE%\Documents\GitHub\eaglep3\Utilities\RefineRTDCRunTimes.py" --tripid 180-25 --locoid 4013 --swversion DE.1.0.9.0 --startMP 204:232977 --initTime 2017-08-25T14:11:24 --startdatetime 2017-08-25T14:27:35 --delay 1 --endMP 204:150 --enddatetime 2017-08-25T15:06:17 --enforcementcount 1 &gt;&gt;C:\Users\stu\Documents\GitHub\eaglep3-reporting\EC\2017-08-25-refined-times.txt</v>
      </c>
      <c r="AI93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{"issue":{"subject":"","project_id":79,"tracker_id":40,"status_id":1,"priority_id":2,"assigned_to_id":23,"start_date":"2017-08-25","description":"","custom_fields":[{"id":1,"name":"Subdivision","value":"EC"},{"id":4,"name":"Milepost","value":"0.015"},{"id":17,"name":"Train ID","value":"180-25"},{"id":16,"name":"Locomotive ID","value":"4013"},{"id":130,"name":"Impact","value":""},{"id":150,"name":"Time of Event (Mountain Time)","value":"15:06:17"},{"id":151,"name":"Denver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0"/>
        <v>start /low /b %USERPROFILE%\Documents\GitHub\eaglep3\Utilities\DownloadLogsFromS3.py --loco 4013 --day 2017-08-25</v>
      </c>
      <c r="AN93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716</v>
      </c>
      <c r="B94" s="7">
        <v>4002</v>
      </c>
      <c r="C94" s="21" t="s">
        <v>197</v>
      </c>
      <c r="D94" s="21" t="s">
        <v>344</v>
      </c>
      <c r="E94" s="13">
        <v>42972.56925925926</v>
      </c>
      <c r="F94" s="13">
        <v>42972.573460648149</v>
      </c>
      <c r="G94" s="7">
        <v>1</v>
      </c>
      <c r="H94" s="21" t="s">
        <v>387</v>
      </c>
      <c r="I94" s="13">
        <v>42972.599456018521</v>
      </c>
      <c r="J94" s="7">
        <v>1</v>
      </c>
      <c r="K94" s="89" t="str">
        <f t="shared" si="38"/>
        <v>4001/4002</v>
      </c>
      <c r="L94" s="217" t="str">
        <f>VLOOKUP(A94,'Trips&amp;Operators'!$C$1:$G$99911,5,FALSE)</f>
        <v>BARRON PERLA</v>
      </c>
      <c r="M94" s="6">
        <f t="shared" si="39"/>
        <v>2.5995370371674653E-2</v>
      </c>
      <c r="N94" s="7">
        <f t="shared" si="52"/>
        <v>37.433333335211501</v>
      </c>
      <c r="O94" s="7"/>
      <c r="P94" s="7"/>
      <c r="Q94" s="22"/>
      <c r="R94" s="170"/>
      <c r="S94" s="213">
        <f t="shared" si="53"/>
        <v>1</v>
      </c>
      <c r="T94" s="195" t="str">
        <f t="shared" si="40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41"/>
        <v>https://d0f6bd738d7f1b3e5a7ca70fe4ff75f0.us-east-1.aws.found.io/app/kibana#/discover/Steve-Slow-Train-Analysis-(2080s-and-2083s)?_g=(refreshInterval:(display:Off,pause:!f,section:0,value:0),time:(from:'2017-08-25T12:39:44-0600',mode:absolute,to:'2017-08-25T15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197" t="str">
        <f>IF(AA94&lt;VLOOKUP(AG94,Variables!$AC$3:$AD$8,2,FALSE),"Y","N")</f>
        <v>N</v>
      </c>
      <c r="X94" s="197">
        <f t="shared" si="54"/>
        <v>1</v>
      </c>
      <c r="Y94" s="197">
        <f t="shared" si="42"/>
        <v>4.4699999999999997E-2</v>
      </c>
      <c r="Z94" s="197">
        <f t="shared" si="37"/>
        <v>23.3293</v>
      </c>
      <c r="AA94" s="197">
        <f t="shared" si="43"/>
        <v>23.284600000000001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206">
        <f t="shared" si="44"/>
        <v>181</v>
      </c>
      <c r="AE94" s="77" t="str">
        <f t="shared" si="45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94" s="74" t="str">
        <f t="shared" si="46"/>
        <v>"C:\Program Files (x86)\AstroGrep\AstroGrep.exe" /e /r /s /spath="%USERPROFILE%\AppData\Local\Temp\OnboardLogs" /stypes="app*4002*20170825*" /stext=" 20:.+((SYSTEM_STATE.+slice.+state.+changed )|(ment ac)|(multiple cpu faults)|(system.+state.+changed )|(\[timeout)|(PRM\|1\|D)|(kpr)|(kdp)|(train st.+moving)|(\|lc)|(penalty))"</v>
      </c>
      <c r="AG94" s="209" t="str">
        <f t="shared" si="47"/>
        <v>EC</v>
      </c>
      <c r="AH94" s="78" t="str">
        <f t="shared" si="48"/>
        <v>"%USERPROFILE%\Documents\GitHub\eaglep3\Utilities\RefineRTDCRunTimes.py" --tripid 181-25 --locoid 4002 --swversion DE.1.0.9.0 --startMP 204:447 --initTime 2017-08-25T13:39:44 --startdatetime 2017-08-25T13:45:47 --delay 1 --endMP 204:233293 --enddatetime 2017-08-25T14:23:13 --enforcementcount 1 &gt;&gt;C:\Users\stu\Documents\GitHub\eaglep3-reporting\EC\2017-08-25-refined-times.txt</v>
      </c>
      <c r="AI94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{"issue":{"subject":"","project_id":79,"tracker_id":40,"status_id":1,"priority_id":2,"assigned_to_id":23,"start_date":"2017-08-25","description":"","custom_fields":[{"id":1,"name":"Subdivision","value":"EC"},{"id":4,"name":"Milepost","value":"23.3293"},{"id":17,"name":"Train ID","value":"181-25"},{"id":16,"name":"Locomotive ID","value":"4002"},{"id":130,"name":"Impact","value":""},{"id":150,"name":"Time of Event (Mountain Time)","value":"14:23:13"},{"id":151,"name":"Denver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0"/>
        <v>start /low /b %USERPROFILE%\Documents\GitHub\eaglep3\Utilities\DownloadLogsFromS3.py --loco 4002 --day 2017-08-25</v>
      </c>
      <c r="AN94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20:23:13"},{"id":29,"name":"Sharepoint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592</v>
      </c>
      <c r="B95" s="7">
        <v>4001</v>
      </c>
      <c r="C95" s="21" t="s">
        <v>197</v>
      </c>
      <c r="D95" s="21" t="s">
        <v>491</v>
      </c>
      <c r="E95" s="13">
        <v>42972.608749999999</v>
      </c>
      <c r="F95" s="13">
        <v>42972.612662037034</v>
      </c>
      <c r="G95" s="7">
        <v>1</v>
      </c>
      <c r="H95" s="21" t="s">
        <v>842</v>
      </c>
      <c r="I95" s="13">
        <v>42972.640543981484</v>
      </c>
      <c r="J95" s="7">
        <v>1</v>
      </c>
      <c r="K95" s="89" t="str">
        <f t="shared" si="38"/>
        <v>4001/4002</v>
      </c>
      <c r="L95" s="217" t="str">
        <f>VLOOKUP(A95,'Trips&amp;Operators'!$C$1:$G$99911,5,FALSE)</f>
        <v>BARRON PERLA</v>
      </c>
      <c r="M95" s="6">
        <f t="shared" si="39"/>
        <v>2.7881944450200535E-2</v>
      </c>
      <c r="N95" s="7">
        <f t="shared" si="52"/>
        <v>40.150000008288771</v>
      </c>
      <c r="O95" s="7"/>
      <c r="P95" s="7"/>
      <c r="Q95" s="22"/>
      <c r="R95" s="170"/>
      <c r="S95" s="213">
        <f t="shared" si="53"/>
        <v>1</v>
      </c>
      <c r="T95" s="195" t="str">
        <f t="shared" si="40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41"/>
        <v>https://d0f6bd738d7f1b3e5a7ca70fe4ff75f0.us-east-1.aws.found.io/app/kibana#/discover/Steve-Slow-Train-Analysis-(2080s-and-2083s)?_g=(refreshInterval:(display:Off,pause:!f,section:0,value:0),time:(from:'2017-08-25T13:36:36-0600',mode:absolute,to:'2017-08-25T16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197" t="str">
        <f>IF(AA95&lt;VLOOKUP(AG95,Variables!$AC$3:$AD$8,2,FALSE),"Y","N")</f>
        <v>N</v>
      </c>
      <c r="X95" s="197">
        <f t="shared" si="54"/>
        <v>1</v>
      </c>
      <c r="Y95" s="197">
        <f t="shared" si="42"/>
        <v>23.297499999999999</v>
      </c>
      <c r="Z95" s="197">
        <f t="shared" si="37"/>
        <v>1.6E-2</v>
      </c>
      <c r="AA95" s="197">
        <f t="shared" si="43"/>
        <v>23.281500000000001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206">
        <f t="shared" si="44"/>
        <v>182</v>
      </c>
      <c r="AE95" s="77" t="str">
        <f t="shared" si="45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95" s="74" t="str">
        <f t="shared" si="46"/>
        <v>"C:\Program Files (x86)\AstroGrep\AstroGrep.exe" /e /r /s /spath="%USERPROFILE%\AppData\Local\Temp\OnboardLogs" /stypes="app*4001*20170825*" /stext=" 21:.+((SYSTEM_STATE.+slice.+state.+changed )|(ment ac)|(multiple cpu faults)|(system.+state.+changed )|(\[timeout)|(PRM\|1\|D)|(kpr)|(kdp)|(train st.+moving)|(\|lc)|(penalty))"</v>
      </c>
      <c r="AG95" s="209" t="str">
        <f t="shared" si="47"/>
        <v>EC</v>
      </c>
      <c r="AH95" s="78" t="str">
        <f t="shared" si="48"/>
        <v>"%USERPROFILE%\Documents\GitHub\eaglep3\Utilities\RefineRTDCRunTimes.py" --tripid 182-25 --locoid 4001 --swversion DE.1.0.9.0 --startMP 204:232975 --initTime 2017-08-25T14:36:36 --startdatetime 2017-08-25T14:42:14 --delay 1 --endMP 204:160 --enddatetime 2017-08-25T15:22:23 --enforcementcount 1 &gt;&gt;C:\Users\stu\Documents\GitHub\eaglep3-reporting\EC\2017-08-25-refined-times.txt</v>
      </c>
      <c r="AI95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{"issue":{"subject":"","project_id":79,"tracker_id":40,"status_id":1,"priority_id":2,"assigned_to_id":23,"start_date":"2017-08-25","description":"","custom_fields":[{"id":1,"name":"Subdivision","value":"EC"},{"id":4,"name":"Milepost","value":"0.016"},{"id":17,"name":"Train ID","value":"182-25"},{"id":16,"name":"Locomotive ID","value":"4001"},{"id":130,"name":"Impact","value":""},{"id":150,"name":"Time of Event (Mountain Time)","value":"15:22:23"},{"id":151,"name":"Denver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0"/>
        <v>start /low /b %USERPROFILE%\Documents\GitHub\eaglep3\Utilities\DownloadLogsFromS3.py --loco 4001 --day 2017-08-25</v>
      </c>
      <c r="AN95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21:22:23"},{"id":29,"name":"Sharepoint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717</v>
      </c>
      <c r="B96" s="7">
        <v>4042</v>
      </c>
      <c r="C96" s="21" t="s">
        <v>197</v>
      </c>
      <c r="D96" s="21" t="s">
        <v>539</v>
      </c>
      <c r="E96" s="13">
        <v>42972.579548611109</v>
      </c>
      <c r="F96" s="13">
        <v>42972.583807870367</v>
      </c>
      <c r="G96" s="7">
        <v>1</v>
      </c>
      <c r="H96" s="21" t="s">
        <v>490</v>
      </c>
      <c r="I96" s="13">
        <v>42972.608391203707</v>
      </c>
      <c r="J96" s="7">
        <v>1</v>
      </c>
      <c r="K96" s="89" t="str">
        <f t="shared" si="38"/>
        <v>4041/4042</v>
      </c>
      <c r="L96" s="217" t="str">
        <f>VLOOKUP(A96,'Trips&amp;Operators'!$C$1:$G$99911,5,FALSE)</f>
        <v>LEVIN SCOTT</v>
      </c>
      <c r="M96" s="6">
        <f t="shared" si="39"/>
        <v>2.4583333339251112E-2</v>
      </c>
      <c r="N96" s="7">
        <f t="shared" si="52"/>
        <v>35.400000008521602</v>
      </c>
      <c r="O96" s="7"/>
      <c r="P96" s="7"/>
      <c r="Q96" s="22"/>
      <c r="R96" s="170"/>
      <c r="S96" s="213">
        <f t="shared" si="53"/>
        <v>1</v>
      </c>
      <c r="T96" s="195" t="str">
        <f t="shared" si="40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41"/>
        <v>https://d0f6bd738d7f1b3e5a7ca70fe4ff75f0.us-east-1.aws.found.io/app/kibana#/discover/Steve-Slow-Train-Analysis-(2080s-and-2083s)?_g=(refreshInterval:(display:Off,pause:!f,section:0,value:0),time:(from:'2017-08-25T12:54:33-0600',mode:absolute,to:'2017-08-25T15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6" s="197" t="str">
        <f>IF(AA96&lt;VLOOKUP(AG96,Variables!$AC$3:$AD$8,2,FALSE),"Y","N")</f>
        <v>N</v>
      </c>
      <c r="X96" s="197">
        <f t="shared" si="54"/>
        <v>1</v>
      </c>
      <c r="Y96" s="197">
        <f t="shared" si="42"/>
        <v>4.3799999999999999E-2</v>
      </c>
      <c r="Z96" s="197">
        <f t="shared" si="37"/>
        <v>23.331900000000001</v>
      </c>
      <c r="AA96" s="197">
        <f t="shared" si="43"/>
        <v>23.2881</v>
      </c>
      <c r="AB96" s="54" t="e">
        <f>VLOOKUP(A96,Enforcements!$C$7:$K$11,8,0)</f>
        <v>#N/A</v>
      </c>
      <c r="AC96" s="51" t="e">
        <f>VLOOKUP(A96,Enforcements!$C$7:$E$11,3,0)</f>
        <v>#N/A</v>
      </c>
      <c r="AD96" s="206">
        <f t="shared" si="44"/>
        <v>183</v>
      </c>
      <c r="AE96" s="77" t="str">
        <f t="shared" si="45"/>
        <v>aws s3 cp s3://rtdc.mdm.uploadarchive.raw/RTDC4042/ "%USERPROFILE%\AppData\Local\Temp\OnboardLogs"\RTDC4042\2017-08-25 --exclude "*" --recursive --include "*20170825*" &amp; "%USERPROFILE%\Documents\GitHub\mrs-test-scripts\Headless Mode &amp; Sideloading\WalkAndUnGZ.bat" "%USERPROFILE%\AppData\Local\Temp\OnboardLogs"\RTDC4042\2017-08-25 &amp; aws s3 cp s3://rtdc.mdm.uploadarchive.raw/RTDC4042/ "%USERPROFILE%\AppData\Local\Temp\OnboardLogs"\RTDC4042\2017-08-26 --exclude "*" --recursive --include "*20170826*" &amp; "%USERPROFILE%\Documents\GitHub\mrs-test-scripts\Headless Mode &amp; Sideloading\WalkAndUnGZ.bat" "%USERPROFILE%\AppData\Local\Temp\OnboardLogs"\RTDC4042\2017-08-26</v>
      </c>
      <c r="AF96" s="74" t="str">
        <f t="shared" si="46"/>
        <v>"C:\Program Files (x86)\AstroGrep\AstroGrep.exe" /e /r /s /spath="%USERPROFILE%\AppData\Local\Temp\OnboardLogs" /stypes="app*4042*20170825*" /stext=" 20:.+((SYSTEM_STATE.+slice.+state.+changed )|(ment ac)|(multiple cpu faults)|(system.+state.+changed )|(\[timeout)|(PRM\|1\|D)|(kpr)|(kdp)|(train st.+moving)|(\|lc)|(penalty))"</v>
      </c>
      <c r="AG96" s="209" t="str">
        <f t="shared" si="47"/>
        <v>EC</v>
      </c>
      <c r="AH96" s="78" t="str">
        <f t="shared" si="48"/>
        <v>"%USERPROFILE%\Documents\GitHub\eaglep3\Utilities\RefineRTDCRunTimes.py" --tripid 183-25 --locoid 4042 --swversion DE.1.0.9.0 --startMP 204:438 --initTime 2017-08-25T13:54:33 --startdatetime 2017-08-25T14:00:41 --delay 1 --endMP 204:233319 --enddatetime 2017-08-25T14:36:05 --enforcementcount 1 &gt;&gt;C:\Users\stu\Documents\GitHub\eaglep3-reporting\EC\2017-08-25-refined-times.txt</v>
      </c>
      <c r="AI96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{"issue":{"subject":"","project_id":79,"tracker_id":40,"status_id":1,"priority_id":2,"assigned_to_id":23,"start_date":"2017-08-25","description":"","custom_fields":[{"id":1,"name":"Subdivision","value":"EC"},{"id":4,"name":"Milepost","value":"23.3319"},{"id":17,"name":"Train ID","value":"183-25"},{"id":16,"name":"Locomotive ID","value":"4042"},{"id":130,"name":"Impact","value":""},{"id":150,"name":"Time of Event (Mountain Time)","value":"14:36:05"},{"id":151,"name":"Denver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50"/>
        <v>start /low /b %USERPROFILE%\Documents\GitHub\eaglep3\Utilities\DownloadLogsFromS3.py --loco 4042 --day 2017-08-25</v>
      </c>
      <c r="AN96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593</v>
      </c>
      <c r="B97" s="7">
        <v>4041</v>
      </c>
      <c r="C97" s="21" t="s">
        <v>197</v>
      </c>
      <c r="D97" s="21" t="s">
        <v>526</v>
      </c>
      <c r="E97" s="13">
        <v>42972.620763888888</v>
      </c>
      <c r="F97" s="13">
        <v>42972.62394675926</v>
      </c>
      <c r="G97" s="7">
        <v>1</v>
      </c>
      <c r="H97" s="21" t="s">
        <v>391</v>
      </c>
      <c r="I97" s="13">
        <v>42972.649560185186</v>
      </c>
      <c r="J97" s="7">
        <v>1</v>
      </c>
      <c r="K97" s="89" t="str">
        <f t="shared" si="38"/>
        <v>4041/4042</v>
      </c>
      <c r="L97" s="217" t="str">
        <f>VLOOKUP(A97,'Trips&amp;Operators'!$C$1:$G$99911,5,FALSE)</f>
        <v>LEVIN SCOTT</v>
      </c>
      <c r="M97" s="6">
        <f t="shared" si="39"/>
        <v>2.5613425925257616E-2</v>
      </c>
      <c r="N97" s="7">
        <f t="shared" si="52"/>
        <v>36.883333332370967</v>
      </c>
      <c r="O97" s="7"/>
      <c r="P97" s="7"/>
      <c r="Q97" s="22"/>
      <c r="R97" s="170"/>
      <c r="S97" s="213">
        <f t="shared" si="53"/>
        <v>1</v>
      </c>
      <c r="T97" s="195" t="str">
        <f t="shared" si="40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41"/>
        <v>https://d0f6bd738d7f1b3e5a7ca70fe4ff75f0.us-east-1.aws.found.io/app/kibana#/discover/Steve-Slow-Train-Analysis-(2080s-and-2083s)?_g=(refreshInterval:(display:Off,pause:!f,section:0,value:0),time:(from:'2017-08-25T13:53:54-0600',mode:absolute,to:'2017-08-25T16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7" s="197" t="str">
        <f>IF(AA97&lt;VLOOKUP(AG97,Variables!$AC$3:$AD$8,2,FALSE),"Y","N")</f>
        <v>N</v>
      </c>
      <c r="X97" s="197">
        <f t="shared" si="54"/>
        <v>1</v>
      </c>
      <c r="Y97" s="197">
        <f t="shared" si="42"/>
        <v>23.2989</v>
      </c>
      <c r="Z97" s="197">
        <f t="shared" si="37"/>
        <v>1.5599999999999999E-2</v>
      </c>
      <c r="AA97" s="197">
        <f t="shared" si="43"/>
        <v>23.283300000000001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206">
        <f t="shared" si="44"/>
        <v>184</v>
      </c>
      <c r="AE97" s="77" t="str">
        <f t="shared" si="45"/>
        <v>aws s3 cp s3://rtdc.mdm.uploadarchive.raw/RTDC4041/ "%USERPROFILE%\AppData\Local\Temp\OnboardLogs"\RTDC4041\2017-08-25 --exclude "*" --recursive --include "*20170825*" &amp; "%USERPROFILE%\Documents\GitHub\mrs-test-scripts\Headless Mode &amp; Sideloading\WalkAndUnGZ.bat" "%USERPROFILE%\AppData\Local\Temp\OnboardLogs"\RTDC4041\2017-08-25 &amp; aws s3 cp s3://rtdc.mdm.uploadarchive.raw/RTDC4041/ "%USERPROFILE%\AppData\Local\Temp\OnboardLogs"\RTDC4041\2017-08-26 --exclude "*" --recursive --include "*20170826*" &amp; "%USERPROFILE%\Documents\GitHub\mrs-test-scripts\Headless Mode &amp; Sideloading\WalkAndUnGZ.bat" "%USERPROFILE%\AppData\Local\Temp\OnboardLogs"\RTDC4041\2017-08-26</v>
      </c>
      <c r="AF97" s="74" t="str">
        <f t="shared" si="46"/>
        <v>"C:\Program Files (x86)\AstroGrep\AstroGrep.exe" /e /r /s /spath="%USERPROFILE%\AppData\Local\Temp\OnboardLogs" /stypes="app*4041*20170825*" /stext=" 21:.+((SYSTEM_STATE.+slice.+state.+changed )|(ment ac)|(multiple cpu faults)|(system.+state.+changed )|(\[timeout)|(PRM\|1\|D)|(kpr)|(kdp)|(train st.+moving)|(\|lc)|(penalty))"</v>
      </c>
      <c r="AG97" s="209" t="str">
        <f t="shared" si="47"/>
        <v>EC</v>
      </c>
      <c r="AH97" s="78" t="str">
        <f t="shared" si="48"/>
        <v>"%USERPROFILE%\Documents\GitHub\eaglep3\Utilities\RefineRTDCRunTimes.py" --tripid 184-25 --locoid 4041 --swversion DE.1.0.9.0 --startMP 204:232989 --initTime 2017-08-25T14:53:54 --startdatetime 2017-08-25T14:58:29 --delay 1 --endMP 204:156 --enddatetime 2017-08-25T15:35:22 --enforcementcount 1 &gt;&gt;C:\Users\stu\Documents\GitHub\eaglep3-reporting\EC\2017-08-25-refined-times.txt</v>
      </c>
      <c r="AI97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{"issue":{"subject":"","project_id":79,"tracker_id":40,"status_id":1,"priority_id":2,"assigned_to_id":23,"start_date":"2017-08-25","description":"","custom_fields":[{"id":1,"name":"Subdivision","value":"EC"},{"id":4,"name":"Milepost","value":"0.0156"},{"id":17,"name":"Train ID","value":"184-25"},{"id":16,"name":"Locomotive ID","value":"4041"},{"id":130,"name":"Impact","value":""},{"id":150,"name":"Time of Event (Mountain Time)","value":"15:35:22"},{"id":151,"name":"Denver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50"/>
        <v>start /low /b %USERPROFILE%\Documents\GitHub\eaglep3\Utilities\DownloadLogsFromS3.py --loco 4041 --day 2017-08-25</v>
      </c>
      <c r="AN97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719</v>
      </c>
      <c r="B98" s="7">
        <v>4030</v>
      </c>
      <c r="C98" s="21" t="s">
        <v>197</v>
      </c>
      <c r="D98" s="21" t="s">
        <v>487</v>
      </c>
      <c r="E98" s="13">
        <v>42972.587500000001</v>
      </c>
      <c r="F98" s="13">
        <v>42972.594259259262</v>
      </c>
      <c r="G98" s="7">
        <v>1</v>
      </c>
      <c r="H98" s="21" t="s">
        <v>815</v>
      </c>
      <c r="I98" s="13">
        <v>42972.619050925925</v>
      </c>
      <c r="J98" s="7">
        <v>1</v>
      </c>
      <c r="K98" s="89" t="str">
        <f t="shared" si="38"/>
        <v>4029/4030</v>
      </c>
      <c r="L98" s="217" t="str">
        <f>VLOOKUP(A98,'Trips&amp;Operators'!$C$1:$G$99911,5,FALSE)</f>
        <v>YORK EDGAR</v>
      </c>
      <c r="M98" s="6">
        <f t="shared" si="39"/>
        <v>2.4791666663077194E-2</v>
      </c>
      <c r="N98" s="7">
        <f t="shared" si="52"/>
        <v>35.69999999483116</v>
      </c>
      <c r="O98" s="7"/>
      <c r="P98" s="7"/>
      <c r="Q98" s="22"/>
      <c r="R98" s="170"/>
      <c r="S98" s="213">
        <f t="shared" si="53"/>
        <v>1</v>
      </c>
      <c r="T98" s="195" t="str">
        <f t="shared" si="40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41"/>
        <v>https://d0f6bd738d7f1b3e5a7ca70fe4ff75f0.us-east-1.aws.found.io/app/kibana#/discover/Steve-Slow-Train-Analysis-(2080s-and-2083s)?_g=(refreshInterval:(display:Off,pause:!f,section:0,value:0),time:(from:'2017-08-25T13:06:00-0600',mode:absolute,to:'2017-08-25T15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8" s="197" t="str">
        <f>IF(AA98&lt;VLOOKUP(AG98,Variables!$AC$3:$AD$8,2,FALSE),"Y","N")</f>
        <v>N</v>
      </c>
      <c r="X98" s="197">
        <f t="shared" si="54"/>
        <v>1</v>
      </c>
      <c r="Y98" s="197">
        <f t="shared" si="42"/>
        <v>4.3299999999999998E-2</v>
      </c>
      <c r="Z98" s="197">
        <f t="shared" si="37"/>
        <v>23.330300000000001</v>
      </c>
      <c r="AA98" s="197">
        <f t="shared" si="43"/>
        <v>23.287000000000003</v>
      </c>
      <c r="AB98" s="54" t="e">
        <f>VLOOKUP(A98,Enforcements!$C$7:$K$11,8,0)</f>
        <v>#N/A</v>
      </c>
      <c r="AC98" s="51" t="e">
        <f>VLOOKUP(A98,Enforcements!$C$7:$E$11,3,0)</f>
        <v>#N/A</v>
      </c>
      <c r="AD98" s="206">
        <f t="shared" si="44"/>
        <v>185</v>
      </c>
      <c r="AE98" s="77" t="str">
        <f t="shared" si="45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98" s="74" t="str">
        <f t="shared" si="46"/>
        <v>"C:\Program Files (x86)\AstroGrep\AstroGrep.exe" /e /r /s /spath="%USERPROFILE%\AppData\Local\Temp\OnboardLogs" /stypes="app*4030*20170825*" /stext=" 20:.+((SYSTEM_STATE.+slice.+state.+changed )|(ment ac)|(multiple cpu faults)|(system.+state.+changed )|(\[timeout)|(PRM\|1\|D)|(kpr)|(kdp)|(train st.+moving)|(\|lc)|(penalty))"</v>
      </c>
      <c r="AG98" s="209" t="str">
        <f t="shared" si="47"/>
        <v>EC</v>
      </c>
      <c r="AH98" s="78" t="str">
        <f t="shared" si="48"/>
        <v>"%USERPROFILE%\Documents\GitHub\eaglep3\Utilities\RefineRTDCRunTimes.py" --tripid 185-25 --locoid 4030 --swversion DE.1.0.9.0 --startMP 204:433 --initTime 2017-08-25T14:06:00 --startdatetime 2017-08-25T14:15:44 --delay 1 --endMP 204:233303 --enddatetime 2017-08-25T14:51:26 --enforcementcount 1 &gt;&gt;C:\Users\stu\Documents\GitHub\eaglep3-reporting\EC\2017-08-25-refined-times.txt</v>
      </c>
      <c r="AI98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{"issue":{"subject":"","project_id":79,"tracker_id":40,"status_id":1,"priority_id":2,"assigned_to_id":23,"start_date":"2017-08-25","description":"","custom_fields":[{"id":1,"name":"Subdivision","value":"EC"},{"id":4,"name":"Milepost","value":"23.3303"},{"id":17,"name":"Train ID","value":"185-25"},{"id":16,"name":"Locomotive ID","value":"4030"},{"id":130,"name":"Impact","value":""},{"id":150,"name":"Time of Event (Mountain Time)","value":"14:51:26"},{"id":151,"name":"Denver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50"/>
        <v>start /low /b %USERPROFILE%\Documents\GitHub\eaglep3\Utilities\DownloadLogsFromS3.py --loco 4030 --day 2017-08-25</v>
      </c>
      <c r="AN98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20:51:26"},{"id":29,"name":"Sharepoint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726</v>
      </c>
      <c r="B99" s="7">
        <v>4029</v>
      </c>
      <c r="C99" s="21" t="s">
        <v>197</v>
      </c>
      <c r="D99" s="21" t="s">
        <v>834</v>
      </c>
      <c r="E99" s="13">
        <v>42972.619895833333</v>
      </c>
      <c r="F99" s="13">
        <v>42972.633587962962</v>
      </c>
      <c r="G99" s="7">
        <v>1</v>
      </c>
      <c r="H99" s="21" t="s">
        <v>346</v>
      </c>
      <c r="I99" s="13">
        <v>42972.659166666665</v>
      </c>
      <c r="J99" s="7">
        <v>1</v>
      </c>
      <c r="K99" s="89" t="str">
        <f t="shared" si="38"/>
        <v>4029/4030</v>
      </c>
      <c r="L99" s="217" t="str">
        <f>VLOOKUP(A99,'Trips&amp;Operators'!$C$1:$G$99911,5,FALSE)</f>
        <v>YORK EDGAR</v>
      </c>
      <c r="M99" s="6">
        <f t="shared" si="39"/>
        <v>2.5578703702194616E-2</v>
      </c>
      <c r="N99" s="7">
        <f t="shared" si="52"/>
        <v>36.833333331160247</v>
      </c>
      <c r="O99" s="7"/>
      <c r="P99" s="7"/>
      <c r="Q99" s="22"/>
      <c r="R99" s="170"/>
      <c r="S99" s="213">
        <f t="shared" si="53"/>
        <v>1</v>
      </c>
      <c r="T99" s="195" t="str">
        <f t="shared" si="40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41"/>
        <v>https://d0f6bd738d7f1b3e5a7ca70fe4ff75f0.us-east-1.aws.found.io/app/kibana#/discover/Steve-Slow-Train-Analysis-(2080s-and-2083s)?_g=(refreshInterval:(display:Off,pause:!f,section:0,value:0),time:(from:'2017-08-25T13:52:39-0600',mode:absolute,to:'2017-08-25T16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9" s="197" t="str">
        <f>IF(AA99&lt;VLOOKUP(AG99,Variables!$AC$3:$AD$8,2,FALSE),"Y","N")</f>
        <v>N</v>
      </c>
      <c r="X99" s="197">
        <f t="shared" si="54"/>
        <v>1</v>
      </c>
      <c r="Y99" s="197">
        <f t="shared" si="42"/>
        <v>23.296900000000001</v>
      </c>
      <c r="Z99" s="197">
        <f t="shared" si="37"/>
        <v>1.47E-2</v>
      </c>
      <c r="AA99" s="197">
        <f t="shared" si="43"/>
        <v>23.2822</v>
      </c>
      <c r="AB99" s="54" t="e">
        <f>VLOOKUP(A99,Enforcements!$C$7:$K$11,8,0)</f>
        <v>#N/A</v>
      </c>
      <c r="AC99" s="51" t="e">
        <f>VLOOKUP(A99,Enforcements!$C$7:$E$11,3,0)</f>
        <v>#N/A</v>
      </c>
      <c r="AD99" s="206">
        <f t="shared" si="44"/>
        <v>186</v>
      </c>
      <c r="AE99" s="77" t="str">
        <f t="shared" si="45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99" s="74" t="str">
        <f t="shared" si="46"/>
        <v>"C:\Program Files (x86)\AstroGrep\AstroGrep.exe" /e /r /s /spath="%USERPROFILE%\AppData\Local\Temp\OnboardLogs" /stypes="app*4029*20170825*" /stext=" 21:.+((SYSTEM_STATE.+slice.+state.+changed )|(ment ac)|(multiple cpu faults)|(system.+state.+changed )|(\[timeout)|(PRM\|1\|D)|(kpr)|(kdp)|(train st.+moving)|(\|lc)|(penalty))"</v>
      </c>
      <c r="AG99" s="209" t="str">
        <f t="shared" si="47"/>
        <v>EC</v>
      </c>
      <c r="AH99" s="78" t="str">
        <f t="shared" si="48"/>
        <v>"%USERPROFILE%\Documents\GitHub\eaglep3\Utilities\RefineRTDCRunTimes.py" --tripid 186-25 --locoid 4029 --swversion DE.1.0.9.0 --startMP 204:232969 --initTime 2017-08-25T14:52:39 --startdatetime 2017-08-25T15:12:22 --delay 1 --endMP 204:147 --enddatetime 2017-08-25T15:49:12 --enforcementcount 1 &gt;&gt;C:\Users\stu\Documents\GitHub\eaglep3-reporting\EC\2017-08-25-refined-times.txt</v>
      </c>
      <c r="AI99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{"issue":{"subject":"","project_id":79,"tracker_id":40,"status_id":1,"priority_id":2,"assigned_to_id":23,"start_date":"2017-08-25","description":"","custom_fields":[{"id":1,"name":"Subdivision","value":"EC"},{"id":4,"name":"Milepost","value":"0.0147"},{"id":17,"name":"Train ID","value":"186-25"},{"id":16,"name":"Locomotive ID","value":"4029"},{"id":130,"name":"Impact","value":""},{"id":150,"name":"Time of Event (Mountain Time)","value":"15:49:12"},{"id":151,"name":"Denver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50"/>
        <v>start /low /b %USERPROFILE%\Documents\GitHub\eaglep3\Utilities\DownloadLogsFromS3.py --loco 4029 --day 2017-08-25</v>
      </c>
      <c r="AN99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21:49:12"},{"id":29,"name":"Sharepoint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721</v>
      </c>
      <c r="B100" s="7">
        <v>4058</v>
      </c>
      <c r="C100" s="21" t="s">
        <v>197</v>
      </c>
      <c r="D100" s="21" t="s">
        <v>378</v>
      </c>
      <c r="E100" s="13">
        <v>42972.598310185182</v>
      </c>
      <c r="F100" s="13">
        <v>42972.604699074072</v>
      </c>
      <c r="G100" s="7">
        <v>6</v>
      </c>
      <c r="H100" s="21" t="s">
        <v>853</v>
      </c>
      <c r="I100" s="13">
        <v>42972.629293981481</v>
      </c>
      <c r="J100" s="7">
        <v>1</v>
      </c>
      <c r="K100" s="89" t="str">
        <f t="shared" si="38"/>
        <v>4057/4058</v>
      </c>
      <c r="L100" s="217" t="str">
        <f>VLOOKUP(A100,'Trips&amp;Operators'!$C$1:$G$99911,5,FALSE)</f>
        <v>HOLCOMB KAMDEN</v>
      </c>
      <c r="M100" s="6">
        <f t="shared" si="39"/>
        <v>2.4594907408754807E-2</v>
      </c>
      <c r="N100" s="7">
        <f t="shared" si="52"/>
        <v>35.416666668606922</v>
      </c>
      <c r="O100" s="7"/>
      <c r="P100" s="7"/>
      <c r="Q100" s="22"/>
      <c r="R100" s="170"/>
      <c r="S100" s="213">
        <f t="shared" si="53"/>
        <v>1</v>
      </c>
      <c r="T100" s="195" t="str">
        <f t="shared" si="40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41"/>
        <v>https://d0f6bd738d7f1b3e5a7ca70fe4ff75f0.us-east-1.aws.found.io/app/kibana#/discover/Steve-Slow-Train-Analysis-(2080s-and-2083s)?_g=(refreshInterval:(display:Off,pause:!f,section:0,value:0),time:(from:'2017-08-25T13:21:34-0600',mode:absolute,to:'2017-08-25T16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0" s="197" t="str">
        <f>IF(AA100&lt;VLOOKUP(AG100,Variables!$AC$3:$AD$8,2,FALSE),"Y","N")</f>
        <v>N</v>
      </c>
      <c r="X100" s="197">
        <f t="shared" si="54"/>
        <v>1</v>
      </c>
      <c r="Y100" s="197">
        <f t="shared" si="42"/>
        <v>4.4200000000000003E-2</v>
      </c>
      <c r="Z100" s="197">
        <f t="shared" si="37"/>
        <v>23.334700000000002</v>
      </c>
      <c r="AA100" s="197">
        <f t="shared" si="43"/>
        <v>23.290500000000002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6">
        <f t="shared" si="44"/>
        <v>187</v>
      </c>
      <c r="AE100" s="77" t="str">
        <f t="shared" si="45"/>
        <v>aws s3 cp s3://rtdc.mdm.uploadarchive.raw/RTDC4058/ "%USERPROFILE%\AppData\Local\Temp\OnboardLogs"\RTDC4058\2017-08-25 --exclude "*" --recursive --include "*20170825*" &amp; "%USERPROFILE%\Documents\GitHub\mrs-test-scripts\Headless Mode &amp; Sideloading\WalkAndUnGZ.bat" "%USERPROFILE%\AppData\Local\Temp\OnboardLogs"\RTDC4058\2017-08-25 &amp; aws s3 cp s3://rtdc.mdm.uploadarchive.raw/RTDC4058/ "%USERPROFILE%\AppData\Local\Temp\OnboardLogs"\RTDC4058\2017-08-26 --exclude "*" --recursive --include "*20170826*" &amp; "%USERPROFILE%\Documents\GitHub\mrs-test-scripts\Headless Mode &amp; Sideloading\WalkAndUnGZ.bat" "%USERPROFILE%\AppData\Local\Temp\OnboardLogs"\RTDC4058\2017-08-26</v>
      </c>
      <c r="AF100" s="74" t="str">
        <f t="shared" si="46"/>
        <v>"C:\Program Files (x86)\AstroGrep\AstroGrep.exe" /e /r /s /spath="%USERPROFILE%\AppData\Local\Temp\OnboardLogs" /stypes="app*4058*20170825*" /stext=" 21:.+((SYSTEM_STATE.+slice.+state.+changed )|(ment ac)|(multiple cpu faults)|(system.+state.+changed )|(\[timeout)|(PRM\|1\|D)|(kpr)|(kdp)|(train st.+moving)|(\|lc)|(penalty))"</v>
      </c>
      <c r="AG100" s="209" t="str">
        <f t="shared" si="47"/>
        <v>EC</v>
      </c>
      <c r="AH100" s="78" t="str">
        <f t="shared" si="48"/>
        <v>"%USERPROFILE%\Documents\GitHub\eaglep3\Utilities\RefineRTDCRunTimes.py" --tripid 187-25 --locoid 4058 --swversion DE.1.0.9.0 --startMP 204:442 --initTime 2017-08-25T14:21:34 --startdatetime 2017-08-25T14:30:46 --delay 6 --endMP 204:233347 --enddatetime 2017-08-25T15:06:11 --enforcementcount 1 &gt;&gt;C:\Users\stu\Documents\GitHub\eaglep3-reporting\EC\2017-08-25-refined-times.txt</v>
      </c>
      <c r="AI100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{"issue":{"subject":"","project_id":79,"tracker_id":40,"status_id":1,"priority_id":2,"assigned_to_id":23,"start_date":"2017-08-25","description":"","custom_fields":[{"id":1,"name":"Subdivision","value":"EC"},{"id":4,"name":"Milepost","value":"23.3347"},{"id":17,"name":"Train ID","value":"187-25"},{"id":16,"name":"Locomotive ID","value":"4058"},{"id":130,"name":"Impact","value":""},{"id":150,"name":"Time of Event (Mountain Time)","value":"15:06:11"},{"id":151,"name":"Denver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50"/>
        <v>start /low /b %USERPROFILE%\Documents\GitHub\eaglep3\Utilities\DownloadLogsFromS3.py --loco 4058 --day 2017-08-25</v>
      </c>
      <c r="AN100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21:06:11"},{"id":29,"name":"Sharepoint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</row>
    <row r="101" spans="1:91" s="20" customFormat="1" x14ac:dyDescent="0.25">
      <c r="A101" s="32" t="s">
        <v>730</v>
      </c>
      <c r="B101" s="7">
        <v>4057</v>
      </c>
      <c r="C101" s="21" t="s">
        <v>197</v>
      </c>
      <c r="D101" s="21" t="s">
        <v>863</v>
      </c>
      <c r="E101" s="13">
        <v>42972.637557870374</v>
      </c>
      <c r="F101" s="13">
        <v>42972.643958333334</v>
      </c>
      <c r="G101" s="7">
        <v>1</v>
      </c>
      <c r="H101" s="21" t="s">
        <v>340</v>
      </c>
      <c r="I101" s="13">
        <v>42972.669976851852</v>
      </c>
      <c r="J101" s="7">
        <v>1</v>
      </c>
      <c r="K101" s="89" t="str">
        <f t="shared" si="38"/>
        <v>4057/4058</v>
      </c>
      <c r="L101" s="217" t="str">
        <f>VLOOKUP(A101,'Trips&amp;Operators'!$C$1:$G$99911,5,FALSE)</f>
        <v>HOLCOMB KAMDEN</v>
      </c>
      <c r="M101" s="6">
        <f t="shared" si="39"/>
        <v>2.6018518517958E-2</v>
      </c>
      <c r="N101" s="7">
        <f t="shared" si="52"/>
        <v>37.46666666585952</v>
      </c>
      <c r="O101" s="7"/>
      <c r="P101" s="7"/>
      <c r="Q101" s="22"/>
      <c r="R101" s="170"/>
      <c r="S101" s="213">
        <f t="shared" si="53"/>
        <v>1</v>
      </c>
      <c r="T101" s="195" t="str">
        <f t="shared" si="40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41"/>
        <v>https://d0f6bd738d7f1b3e5a7ca70fe4ff75f0.us-east-1.aws.found.io/app/kibana#/discover/Steve-Slow-Train-Analysis-(2080s-and-2083s)?_g=(refreshInterval:(display:Off,pause:!f,section:0,value:0),time:(from:'2017-08-25T14:18:05-0600',mode:absolute,to:'2017-08-25T17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1" s="197" t="str">
        <f>IF(AA101&lt;VLOOKUP(AG101,Variables!$AC$3:$AD$8,2,FALSE),"Y","N")</f>
        <v>N</v>
      </c>
      <c r="X101" s="197">
        <f t="shared" si="54"/>
        <v>1</v>
      </c>
      <c r="Y101" s="197">
        <f t="shared" si="42"/>
        <v>23.302499999999998</v>
      </c>
      <c r="Z101" s="197">
        <f t="shared" si="37"/>
        <v>1.43E-2</v>
      </c>
      <c r="AA101" s="197">
        <f t="shared" si="43"/>
        <v>23.2882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6">
        <f t="shared" si="44"/>
        <v>188</v>
      </c>
      <c r="AE101" s="77" t="str">
        <f t="shared" si="45"/>
        <v>aws s3 cp s3://rtdc.mdm.uploadarchive.raw/RTDC4057/ "%USERPROFILE%\AppData\Local\Temp\OnboardLogs"\RTDC4057\2017-08-25 --exclude "*" --recursive --include "*20170825*" &amp; "%USERPROFILE%\Documents\GitHub\mrs-test-scripts\Headless Mode &amp; Sideloading\WalkAndUnGZ.bat" "%USERPROFILE%\AppData\Local\Temp\OnboardLogs"\RTDC4057\2017-08-25 &amp; aws s3 cp s3://rtdc.mdm.uploadarchive.raw/RTDC4057/ "%USERPROFILE%\AppData\Local\Temp\OnboardLogs"\RTDC4057\2017-08-26 --exclude "*" --recursive --include "*20170826*" &amp; "%USERPROFILE%\Documents\GitHub\mrs-test-scripts\Headless Mode &amp; Sideloading\WalkAndUnGZ.bat" "%USERPROFILE%\AppData\Local\Temp\OnboardLogs"\RTDC4057\2017-08-26</v>
      </c>
      <c r="AF101" s="74" t="str">
        <f t="shared" si="46"/>
        <v>"C:\Program Files (x86)\AstroGrep\AstroGrep.exe" /e /r /s /spath="%USERPROFILE%\AppData\Local\Temp\OnboardLogs" /stypes="app*4057*20170825*" /stext=" 22:.+((SYSTEM_STATE.+slice.+state.+changed )|(ment ac)|(multiple cpu faults)|(system.+state.+changed )|(\[timeout)|(PRM\|1\|D)|(kpr)|(kdp)|(train st.+moving)|(\|lc)|(penalty))"</v>
      </c>
      <c r="AG101" s="209" t="str">
        <f t="shared" si="47"/>
        <v>EC</v>
      </c>
      <c r="AH101" s="78" t="str">
        <f t="shared" si="48"/>
        <v>"%USERPROFILE%\Documents\GitHub\eaglep3\Utilities\RefineRTDCRunTimes.py" --tripid 188-25 --locoid 4057 --swversion DE.1.0.9.0 --startMP 204:233025 --initTime 2017-08-25T15:18:05 --startdatetime 2017-08-25T15:27:18 --delay 1 --endMP 204:143 --enddatetime 2017-08-25T16:04:46 --enforcementcount 1 &gt;&gt;C:\Users\stu\Documents\GitHub\eaglep3-reporting\EC\2017-08-25-refined-times.txt</v>
      </c>
      <c r="AI101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{"issue":{"subject":"","project_id":79,"tracker_id":40,"status_id":1,"priority_id":2,"assigned_to_id":23,"start_date":"2017-08-25","description":"","custom_fields":[{"id":1,"name":"Subdivision","value":"EC"},{"id":4,"name":"Milepost","value":"0.0143"},{"id":17,"name":"Train ID","value":"188-25"},{"id":16,"name":"Locomotive ID","value":"4057"},{"id":130,"name":"Impact","value":""},{"id":150,"name":"Time of Event (Mountain Time)","value":"16:04:46"},{"id":151,"name":"Denver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0"/>
        <v>start /low /b %USERPROFILE%\Documents\GitHub\eaglep3\Utilities\DownloadLogsFromS3.py --loco 4057 --day 2017-08-25</v>
      </c>
      <c r="AN101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725</v>
      </c>
      <c r="B102" s="7">
        <v>4064</v>
      </c>
      <c r="C102" s="21" t="s">
        <v>197</v>
      </c>
      <c r="D102" s="21" t="s">
        <v>443</v>
      </c>
      <c r="E102" s="13">
        <v>42972.611157407409</v>
      </c>
      <c r="F102" s="13">
        <v>42972.615231481483</v>
      </c>
      <c r="G102" s="7">
        <v>1</v>
      </c>
      <c r="H102" s="21" t="s">
        <v>864</v>
      </c>
      <c r="I102" s="13">
        <v>42972.640844907408</v>
      </c>
      <c r="J102" s="7">
        <v>1</v>
      </c>
      <c r="K102" s="89" t="str">
        <f t="shared" si="38"/>
        <v>4063/4064</v>
      </c>
      <c r="L102" s="217" t="str">
        <f>VLOOKUP(A102,'Trips&amp;Operators'!$C$1:$G$99911,5,FALSE)</f>
        <v>THOMPSON LESTER</v>
      </c>
      <c r="M102" s="6">
        <f t="shared" si="39"/>
        <v>2.5613425925257616E-2</v>
      </c>
      <c r="N102" s="7">
        <f t="shared" si="52"/>
        <v>36.883333332370967</v>
      </c>
      <c r="O102" s="7"/>
      <c r="P102" s="7"/>
      <c r="Q102" s="22"/>
      <c r="R102" s="170"/>
      <c r="S102" s="213">
        <f t="shared" si="53"/>
        <v>1</v>
      </c>
      <c r="T102" s="195" t="str">
        <f t="shared" si="40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41"/>
        <v>https://d0f6bd738d7f1b3e5a7ca70fe4ff75f0.us-east-1.aws.found.io/app/kibana#/discover/Steve-Slow-Train-Analysis-(2080s-and-2083s)?_g=(refreshInterval:(display:Off,pause:!f,section:0,value:0),time:(from:'2017-08-25T13:40:04-0600',mode:absolute,to:'2017-08-25T16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2" s="197" t="str">
        <f>IF(AA102&lt;VLOOKUP(AG102,Variables!$AC$3:$AD$8,2,FALSE),"Y","N")</f>
        <v>N</v>
      </c>
      <c r="X102" s="197">
        <f t="shared" si="54"/>
        <v>1</v>
      </c>
      <c r="Y102" s="197">
        <f t="shared" si="42"/>
        <v>4.6899999999999997E-2</v>
      </c>
      <c r="Z102" s="197">
        <f t="shared" ref="Z102:Z133" si="55">RIGHT(H102,LEN(H102)-4)/10000</f>
        <v>23.330100000000002</v>
      </c>
      <c r="AA102" s="197">
        <f t="shared" si="43"/>
        <v>23.283200000000001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6">
        <f t="shared" si="44"/>
        <v>189</v>
      </c>
      <c r="AE102" s="77" t="str">
        <f t="shared" si="45"/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AF102" s="74" t="str">
        <f t="shared" si="46"/>
        <v>"C:\Program Files (x86)\AstroGrep\AstroGrep.exe" /e /r /s /spath="%USERPROFILE%\AppData\Local\Temp\OnboardLogs" /stypes="app*4064*20170825*" /stext=" 21:.+((SYSTEM_STATE.+slice.+state.+changed )|(ment ac)|(multiple cpu faults)|(system.+state.+changed )|(\[timeout)|(PRM\|1\|D)|(kpr)|(kdp)|(train st.+moving)|(\|lc)|(penalty))"</v>
      </c>
      <c r="AG102" s="209" t="str">
        <f t="shared" si="47"/>
        <v>EC</v>
      </c>
      <c r="AH102" s="78" t="str">
        <f t="shared" si="48"/>
        <v>"%USERPROFILE%\Documents\GitHub\eaglep3\Utilities\RefineRTDCRunTimes.py" --tripid 189-25 --locoid 4064 --swversion DE.1.0.9.0 --startMP 204:469 --initTime 2017-08-25T14:40:04 --startdatetime 2017-08-25T14:45:56 --delay 1 --endMP 204:233301 --enddatetime 2017-08-25T15:22:49 --enforcementcount 1 &gt;&gt;C:\Users\stu\Documents\GitHub\eaglep3-reporting\EC\2017-08-25-refined-times.txt</v>
      </c>
      <c r="AI102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{"issue":{"subject":"","project_id":79,"tracker_id":40,"status_id":1,"priority_id":2,"assigned_to_id":23,"start_date":"2017-08-25","description":"","custom_fields":[{"id":1,"name":"Subdivision","value":"EC"},{"id":4,"name":"Milepost","value":"23.3301"},{"id":17,"name":"Train ID","value":"189-25"},{"id":16,"name":"Locomotive ID","value":"4064"},{"id":130,"name":"Impact","value":""},{"id":150,"name":"Time of Event (Mountain Time)","value":"15:22:49"},{"id":151,"name":"Denver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50"/>
        <v>start /low /b %USERPROFILE%\Documents\GitHub\eaglep3\Utilities\DownloadLogsFromS3.py --loco 4064 --day 2017-08-25</v>
      </c>
      <c r="AN102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21:22:49"},{"id":29,"name":"Sharepoint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594</v>
      </c>
      <c r="B103" s="7">
        <v>4063</v>
      </c>
      <c r="C103" s="21" t="s">
        <v>197</v>
      </c>
      <c r="D103" s="21" t="s">
        <v>445</v>
      </c>
      <c r="E103" s="13">
        <v>42972.653275462966</v>
      </c>
      <c r="F103" s="13">
        <v>42972.65483796296</v>
      </c>
      <c r="G103" s="7">
        <v>1</v>
      </c>
      <c r="H103" s="21" t="s">
        <v>368</v>
      </c>
      <c r="I103" s="13">
        <v>42972.68173611111</v>
      </c>
      <c r="J103" s="7">
        <v>1</v>
      </c>
      <c r="K103" s="89" t="str">
        <f t="shared" si="38"/>
        <v>4063/4064</v>
      </c>
      <c r="L103" s="217" t="str">
        <f>VLOOKUP(A103,'Trips&amp;Operators'!$C$1:$G$99911,5,FALSE)</f>
        <v>THOMPSON LESTER</v>
      </c>
      <c r="M103" s="6">
        <f t="shared" si="39"/>
        <v>2.6898148149484769E-2</v>
      </c>
      <c r="N103" s="7">
        <f t="shared" si="52"/>
        <v>38.733333335258067</v>
      </c>
      <c r="O103" s="7"/>
      <c r="P103" s="7"/>
      <c r="Q103" s="22"/>
      <c r="R103" s="170"/>
      <c r="S103" s="213">
        <f t="shared" si="53"/>
        <v>1</v>
      </c>
      <c r="T103" s="195" t="str">
        <f t="shared" si="40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41"/>
        <v>https://d0f6bd738d7f1b3e5a7ca70fe4ff75f0.us-east-1.aws.found.io/app/kibana#/discover/Steve-Slow-Train-Analysis-(2080s-and-2083s)?_g=(refreshInterval:(display:Off,pause:!f,section:0,value:0),time:(from:'2017-08-25T14:40:43-0600',mode:absolute,to:'2017-08-25T17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3" s="197" t="str">
        <f>IF(AA103&lt;VLOOKUP(AG103,Variables!$AC$3:$AD$8,2,FALSE),"Y","N")</f>
        <v>N</v>
      </c>
      <c r="X103" s="197">
        <f t="shared" si="54"/>
        <v>1</v>
      </c>
      <c r="Y103" s="197">
        <f t="shared" si="42"/>
        <v>23.2973</v>
      </c>
      <c r="Z103" s="197">
        <f t="shared" si="55"/>
        <v>1.52E-2</v>
      </c>
      <c r="AA103" s="197">
        <f t="shared" si="43"/>
        <v>23.2821</v>
      </c>
      <c r="AB103" s="54" t="str">
        <f>VLOOKUP(A103,Enforcements!$C$7:$K$11,8,0)</f>
        <v>Bulletin (2)</v>
      </c>
      <c r="AC103" s="51" t="str">
        <f>VLOOKUP(A103,Enforcements!$C$7:$E$11,3,0)</f>
        <v>GRADE CROSSING</v>
      </c>
      <c r="AD103" s="206">
        <f t="shared" si="44"/>
        <v>190</v>
      </c>
      <c r="AE103" s="77" t="str">
        <f t="shared" si="45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103" s="74" t="str">
        <f t="shared" si="46"/>
        <v>"C:\Program Files (x86)\AstroGrep\AstroGrep.exe" /e /r /s /spath="%USERPROFILE%\AppData\Local\Temp\OnboardLogs" /stypes="app*4063*20170825*" /stext=" 22:.+((SYSTEM_STATE.+slice.+state.+changed )|(ment ac)|(multiple cpu faults)|(system.+state.+changed )|(\[timeout)|(PRM\|1\|D)|(kpr)|(kdp)|(train st.+moving)|(\|lc)|(penalty))"</v>
      </c>
      <c r="AG103" s="209" t="str">
        <f t="shared" si="47"/>
        <v>EC</v>
      </c>
      <c r="AH103" s="78" t="str">
        <f t="shared" si="48"/>
        <v>"%USERPROFILE%\Documents\GitHub\eaglep3\Utilities\RefineRTDCRunTimes.py" --tripid 190-25 --locoid 4063 --swversion DE.1.0.9.0 --startMP 204:232973 --initTime 2017-08-25T15:40:43 --startdatetime 2017-08-25T15:42:58 --delay 1 --endMP 204:152 --enddatetime 2017-08-25T16:21:42 --enforcementcount 1 &gt;&gt;C:\Users\stu\Documents\GitHub\eaglep3-reporting\EC\2017-08-25-refined-times.txt</v>
      </c>
      <c r="AI103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{"issue":{"subject":"","project_id":79,"tracker_id":40,"status_id":1,"priority_id":2,"assigned_to_id":23,"start_date":"2017-08-25","description":"","custom_fields":[{"id":1,"name":"Subdivision","value":"EC"},{"id":4,"name":"Milepost","value":"0.0152"},{"id":17,"name":"Train ID","value":"190-25"},{"id":16,"name":"Locomotive ID","value":"4063"},{"id":130,"name":"Impact","value":""},{"id":150,"name":"Time of Event (Mountain Time)","value":"16:21:42"},{"id":151,"name":"Denver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0"/>
        <v>start /low /b %USERPROFILE%\Documents\GitHub\eaglep3\Utilities\DownloadLogsFromS3.py --loco 4063 --day 2017-08-25</v>
      </c>
      <c r="AN103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727</v>
      </c>
      <c r="B104" s="7">
        <v>4032</v>
      </c>
      <c r="C104" s="21" t="s">
        <v>197</v>
      </c>
      <c r="D104" s="21" t="s">
        <v>374</v>
      </c>
      <c r="E104" s="13">
        <v>42972.621435185189</v>
      </c>
      <c r="F104" s="13">
        <v>42972.625509259262</v>
      </c>
      <c r="G104" s="7">
        <v>1</v>
      </c>
      <c r="H104" s="21" t="s">
        <v>865</v>
      </c>
      <c r="I104" s="13">
        <v>42972.651053240741</v>
      </c>
      <c r="J104" s="7">
        <v>1</v>
      </c>
      <c r="K104" s="89" t="str">
        <f t="shared" si="38"/>
        <v>4031/4032</v>
      </c>
      <c r="L104" s="217" t="str">
        <f>VLOOKUP(A104,'Trips&amp;Operators'!$C$1:$G$99911,5,FALSE)</f>
        <v>BERLING GARY</v>
      </c>
      <c r="M104" s="6">
        <f t="shared" si="39"/>
        <v>2.5543981479131617E-2</v>
      </c>
      <c r="N104" s="7">
        <f t="shared" si="52"/>
        <v>36.783333329949528</v>
      </c>
      <c r="O104" s="7"/>
      <c r="P104" s="7"/>
      <c r="Q104" s="22"/>
      <c r="R104" s="170"/>
      <c r="S104" s="213">
        <f t="shared" si="53"/>
        <v>1</v>
      </c>
      <c r="T104" s="195" t="str">
        <f t="shared" si="40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41"/>
        <v>https://d0f6bd738d7f1b3e5a7ca70fe4ff75f0.us-east-1.aws.found.io/app/kibana#/discover/Steve-Slow-Train-Analysis-(2080s-and-2083s)?_g=(refreshInterval:(display:Off,pause:!f,section:0,value:0),time:(from:'2017-08-25T13:54:52-0600',mode:absolute,to:'2017-08-25T16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4" s="197" t="str">
        <f>IF(AA104&lt;VLOOKUP(AG104,Variables!$AC$3:$AD$8,2,FALSE),"Y","N")</f>
        <v>N</v>
      </c>
      <c r="X104" s="197">
        <f t="shared" si="54"/>
        <v>1</v>
      </c>
      <c r="Y104" s="197">
        <f t="shared" si="42"/>
        <v>4.6399999999999997E-2</v>
      </c>
      <c r="Z104" s="197">
        <f t="shared" si="55"/>
        <v>23.331700000000001</v>
      </c>
      <c r="AA104" s="197">
        <f t="shared" si="43"/>
        <v>23.285300000000003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6">
        <f t="shared" si="44"/>
        <v>191</v>
      </c>
      <c r="AE104" s="77" t="str">
        <f t="shared" si="45"/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AF104" s="74" t="str">
        <f t="shared" si="46"/>
        <v>"C:\Program Files (x86)\AstroGrep\AstroGrep.exe" /e /r /s /spath="%USERPROFILE%\AppData\Local\Temp\OnboardLogs" /stypes="app*4032*20170825*" /stext=" 21:.+((SYSTEM_STATE.+slice.+state.+changed )|(ment ac)|(multiple cpu faults)|(system.+state.+changed )|(\[timeout)|(PRM\|1\|D)|(kpr)|(kdp)|(train st.+moving)|(\|lc)|(penalty))"</v>
      </c>
      <c r="AG104" s="209" t="str">
        <f t="shared" si="47"/>
        <v>EC</v>
      </c>
      <c r="AH104" s="78" t="str">
        <f t="shared" si="48"/>
        <v>"%USERPROFILE%\Documents\GitHub\eaglep3\Utilities\RefineRTDCRunTimes.py" --tripid 191-25 --locoid 4032 --swversion DE.1.0.9.0 --startMP 204:464 --initTime 2017-08-25T14:54:52 --startdatetime 2017-08-25T15:00:44 --delay 1 --endMP 204:233317 --enddatetime 2017-08-25T15:37:31 --enforcementcount 1 &gt;&gt;C:\Users\stu\Documents\GitHub\eaglep3-reporting\EC\2017-08-25-refined-times.txt</v>
      </c>
      <c r="AI104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{"issue":{"subject":"","project_id":79,"tracker_id":40,"status_id":1,"priority_id":2,"assigned_to_id":23,"start_date":"2017-08-25","description":"","custom_fields":[{"id":1,"name":"Subdivision","value":"EC"},{"id":4,"name":"Milepost","value":"23.3317"},{"id":17,"name":"Train ID","value":"191-25"},{"id":16,"name":"Locomotive ID","value":"4032"},{"id":130,"name":"Impact","value":""},{"id":150,"name":"Time of Event (Mountain Time)","value":"15:37:31"},{"id":151,"name":"Denver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0"/>
        <v>start /low /b %USERPROFILE%\Documents\GitHub\eaglep3\Utilities\DownloadLogsFromS3.py --loco 4032 --day 2017-08-25</v>
      </c>
      <c r="AN104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738</v>
      </c>
      <c r="B105" s="7">
        <v>4031</v>
      </c>
      <c r="C105" s="21" t="s">
        <v>197</v>
      </c>
      <c r="D105" s="21" t="s">
        <v>525</v>
      </c>
      <c r="E105" s="13">
        <v>42972.662106481483</v>
      </c>
      <c r="F105" s="13">
        <v>42972.664826388886</v>
      </c>
      <c r="G105" s="7">
        <v>1</v>
      </c>
      <c r="H105" s="21" t="s">
        <v>432</v>
      </c>
      <c r="I105" s="13">
        <v>42972.691863425927</v>
      </c>
      <c r="J105" s="7">
        <v>1</v>
      </c>
      <c r="K105" s="89" t="str">
        <f t="shared" si="38"/>
        <v>4031/4032</v>
      </c>
      <c r="L105" s="217" t="str">
        <f>VLOOKUP(A105,'Trips&amp;Operators'!$C$1:$G$99911,5,FALSE)</f>
        <v>BERLING GARY</v>
      </c>
      <c r="M105" s="6">
        <f t="shared" si="39"/>
        <v>2.7037037041736767E-2</v>
      </c>
      <c r="N105" s="7">
        <f t="shared" si="52"/>
        <v>38.933333340100944</v>
      </c>
      <c r="O105" s="7"/>
      <c r="P105" s="7"/>
      <c r="Q105" s="22"/>
      <c r="R105" s="170"/>
      <c r="S105" s="213">
        <f t="shared" si="53"/>
        <v>1</v>
      </c>
      <c r="T105" s="195" t="str">
        <f t="shared" si="40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41"/>
        <v>https://d0f6bd738d7f1b3e5a7ca70fe4ff75f0.us-east-1.aws.found.io/app/kibana#/discover/Steve-Slow-Train-Analysis-(2080s-and-2083s)?_g=(refreshInterval:(display:Off,pause:!f,section:0,value:0),time:(from:'2017-08-25T14:53:26-0600',mode:absolute,to:'2017-08-25T17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5" s="197" t="str">
        <f>IF(AA105&lt;VLOOKUP(AG105,Variables!$AC$3:$AD$8,2,FALSE),"Y","N")</f>
        <v>N</v>
      </c>
      <c r="X105" s="197">
        <f t="shared" si="54"/>
        <v>1</v>
      </c>
      <c r="Y105" s="197">
        <f t="shared" si="42"/>
        <v>23.299099999999999</v>
      </c>
      <c r="Z105" s="197">
        <f t="shared" si="55"/>
        <v>1.3899999999999999E-2</v>
      </c>
      <c r="AA105" s="197">
        <f t="shared" si="43"/>
        <v>23.2852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6">
        <f t="shared" si="44"/>
        <v>192</v>
      </c>
      <c r="AE105" s="77" t="str">
        <f t="shared" si="45"/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105" s="74" t="str">
        <f t="shared" si="46"/>
        <v>"C:\Program Files (x86)\AstroGrep\AstroGrep.exe" /e /r /s /spath="%USERPROFILE%\AppData\Local\Temp\OnboardLogs" /stypes="app*4031*20170825*" /stext=" 22:.+((SYSTEM_STATE.+slice.+state.+changed )|(ment ac)|(multiple cpu faults)|(system.+state.+changed )|(\[timeout)|(PRM\|1\|D)|(kpr)|(kdp)|(train st.+moving)|(\|lc)|(penalty))"</v>
      </c>
      <c r="AG105" s="209" t="str">
        <f t="shared" si="47"/>
        <v>EC</v>
      </c>
      <c r="AH105" s="78" t="str">
        <f t="shared" si="48"/>
        <v>"%USERPROFILE%\Documents\GitHub\eaglep3\Utilities\RefineRTDCRunTimes.py" --tripid 192-25 --locoid 4031 --swversion DE.1.0.9.0 --startMP 204:232991 --initTime 2017-08-25T15:53:26 --startdatetime 2017-08-25T15:57:21 --delay 1 --endMP 204:139 --enddatetime 2017-08-25T16:36:17 --enforcementcount 1 &gt;&gt;C:\Users\stu\Documents\GitHub\eaglep3-reporting\EC\2017-08-25-refined-times.txt</v>
      </c>
      <c r="AI105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{"issue":{"subject":"","project_id":79,"tracker_id":40,"status_id":1,"priority_id":2,"assigned_to_id":23,"start_date":"2017-08-25","description":"","custom_fields":[{"id":1,"name":"Subdivision","value":"EC"},{"id":4,"name":"Milepost","value":"0.0139"},{"id":17,"name":"Train ID","value":"192-25"},{"id":16,"name":"Locomotive ID","value":"4031"},{"id":130,"name":"Impact","value":""},{"id":150,"name":"Time of Event (Mountain Time)","value":"16:36:17"},{"id":151,"name":"Denver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0"/>
        <v>start /low /b %USERPROFILE%\Documents\GitHub\eaglep3\Utilities\DownloadLogsFromS3.py --loco 4031 --day 2017-08-25</v>
      </c>
      <c r="AN105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729</v>
      </c>
      <c r="B106" s="7">
        <v>4014</v>
      </c>
      <c r="C106" s="21" t="s">
        <v>197</v>
      </c>
      <c r="D106" s="21" t="s">
        <v>371</v>
      </c>
      <c r="E106" s="13">
        <v>42972.631030092591</v>
      </c>
      <c r="F106" s="13">
        <v>42972.636099537034</v>
      </c>
      <c r="G106" s="7">
        <v>1</v>
      </c>
      <c r="H106" s="21" t="s">
        <v>489</v>
      </c>
      <c r="I106" s="13">
        <v>42972.662222222221</v>
      </c>
      <c r="J106" s="7">
        <v>1</v>
      </c>
      <c r="K106" s="89" t="str">
        <f t="shared" si="38"/>
        <v>4013/4014</v>
      </c>
      <c r="L106" s="217" t="str">
        <f>VLOOKUP(A106,'Trips&amp;Operators'!$C$1:$G$99911,5,FALSE)</f>
        <v>GUNTHIER ERIC</v>
      </c>
      <c r="M106" s="6">
        <f t="shared" si="39"/>
        <v>2.6122685187146999E-2</v>
      </c>
      <c r="N106" s="7">
        <f t="shared" si="52"/>
        <v>37.616666669491678</v>
      </c>
      <c r="O106" s="7"/>
      <c r="P106" s="7"/>
      <c r="Q106" s="22"/>
      <c r="R106" s="170"/>
      <c r="S106" s="213">
        <f t="shared" si="53"/>
        <v>1</v>
      </c>
      <c r="T106" s="195" t="str">
        <f t="shared" si="40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41"/>
        <v>https://d0f6bd738d7f1b3e5a7ca70fe4ff75f0.us-east-1.aws.found.io/app/kibana#/discover/Steve-Slow-Train-Analysis-(2080s-and-2083s)?_g=(refreshInterval:(display:Off,pause:!f,section:0,value:0),time:(from:'2017-08-25T14:08:41-0600',mode:absolute,to:'2017-08-25T16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6" s="197" t="str">
        <f>IF(AA106&lt;VLOOKUP(AG106,Variables!$AC$3:$AD$8,2,FALSE),"Y","N")</f>
        <v>N</v>
      </c>
      <c r="X106" s="197">
        <f t="shared" si="54"/>
        <v>1</v>
      </c>
      <c r="Y106" s="197">
        <f t="shared" si="42"/>
        <v>4.5699999999999998E-2</v>
      </c>
      <c r="Z106" s="197">
        <f t="shared" si="55"/>
        <v>23.3307</v>
      </c>
      <c r="AA106" s="197">
        <f t="shared" si="43"/>
        <v>23.285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6">
        <f t="shared" si="44"/>
        <v>193</v>
      </c>
      <c r="AE106" s="77" t="str">
        <f t="shared" si="45"/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AF106" s="74" t="str">
        <f t="shared" si="46"/>
        <v>"C:\Program Files (x86)\AstroGrep\AstroGrep.exe" /e /r /s /spath="%USERPROFILE%\AppData\Local\Temp\OnboardLogs" /stypes="app*4014*20170825*" /stext=" 21:.+((SYSTEM_STATE.+slice.+state.+changed )|(ment ac)|(multiple cpu faults)|(system.+state.+changed )|(\[timeout)|(PRM\|1\|D)|(kpr)|(kdp)|(train st.+moving)|(\|lc)|(penalty))"</v>
      </c>
      <c r="AG106" s="209" t="str">
        <f t="shared" si="47"/>
        <v>EC</v>
      </c>
      <c r="AH106" s="78" t="str">
        <f t="shared" si="48"/>
        <v>"%USERPROFILE%\Documents\GitHub\eaglep3\Utilities\RefineRTDCRunTimes.py" --tripid 193-25 --locoid 4014 --swversion DE.1.0.9.0 --startMP 204:457 --initTime 2017-08-25T15:08:41 --startdatetime 2017-08-25T15:15:59 --delay 1 --endMP 204:233307 --enddatetime 2017-08-25T15:53:36 --enforcementcount 1 &gt;&gt;C:\Users\stu\Documents\GitHub\eaglep3-reporting\EC\2017-08-25-refined-times.txt</v>
      </c>
      <c r="AI106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{"issue":{"subject":"","project_id":79,"tracker_id":40,"status_id":1,"priority_id":2,"assigned_to_id":23,"start_date":"2017-08-25","description":"","custom_fields":[{"id":1,"name":"Subdivision","value":"EC"},{"id":4,"name":"Milepost","value":"23.3307"},{"id":17,"name":"Train ID","value":"193-25"},{"id":16,"name":"Locomotive ID","value":"4014"},{"id":130,"name":"Impact","value":""},{"id":150,"name":"Time of Event (Mountain Time)","value":"15:53:36"},{"id":151,"name":"Denver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0"/>
        <v>start /low /b %USERPROFILE%\Documents\GitHub\eaglep3\Utilities\DownloadLogsFromS3.py --loco 4014 --day 2017-08-25</v>
      </c>
      <c r="AN106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21:53:36"},{"id":29,"name":"Sharepoint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740</v>
      </c>
      <c r="B107" s="7">
        <v>4013</v>
      </c>
      <c r="C107" s="21" t="s">
        <v>197</v>
      </c>
      <c r="D107" s="21" t="s">
        <v>428</v>
      </c>
      <c r="E107" s="13">
        <v>42972.664895833332</v>
      </c>
      <c r="F107" s="13">
        <v>42972.675243055557</v>
      </c>
      <c r="G107" s="7">
        <v>1</v>
      </c>
      <c r="H107" s="21" t="s">
        <v>367</v>
      </c>
      <c r="I107" s="13">
        <v>42972.702384259261</v>
      </c>
      <c r="J107" s="7">
        <v>1</v>
      </c>
      <c r="K107" s="89" t="str">
        <f t="shared" si="38"/>
        <v>4013/4014</v>
      </c>
      <c r="L107" s="217" t="str">
        <f>VLOOKUP(A107,'Trips&amp;Operators'!$C$1:$G$99911,5,FALSE)</f>
        <v>GUNTHIER ERIC</v>
      </c>
      <c r="M107" s="6">
        <f t="shared" si="39"/>
        <v>2.7141203703649808E-2</v>
      </c>
      <c r="N107" s="7">
        <f t="shared" si="52"/>
        <v>39.083333333255723</v>
      </c>
      <c r="O107" s="7"/>
      <c r="P107" s="7"/>
      <c r="Q107" s="22"/>
      <c r="R107" s="170"/>
      <c r="S107" s="213">
        <f t="shared" si="53"/>
        <v>1</v>
      </c>
      <c r="T107" s="195" t="str">
        <f t="shared" si="40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41"/>
        <v>https://d0f6bd738d7f1b3e5a7ca70fe4ff75f0.us-east-1.aws.found.io/app/kibana#/discover/Steve-Slow-Train-Analysis-(2080s-and-2083s)?_g=(refreshInterval:(display:Off,pause:!f,section:0,value:0),time:(from:'2017-08-25T14:57:27-0600',mode:absolute,to:'2017-08-25T17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7" s="197" t="str">
        <f>IF(AA107&lt;VLOOKUP(AG107,Variables!$AC$3:$AD$8,2,FALSE),"Y","N")</f>
        <v>N</v>
      </c>
      <c r="X107" s="197">
        <f t="shared" si="54"/>
        <v>1</v>
      </c>
      <c r="Y107" s="197">
        <f t="shared" si="42"/>
        <v>23.297999999999998</v>
      </c>
      <c r="Z107" s="197">
        <f t="shared" si="55"/>
        <v>1.5800000000000002E-2</v>
      </c>
      <c r="AA107" s="197">
        <f t="shared" si="43"/>
        <v>23.2822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6">
        <f t="shared" si="44"/>
        <v>194</v>
      </c>
      <c r="AE107" s="77" t="str">
        <f t="shared" si="45"/>
        <v>aws s3 cp s3://rtdc.mdm.uploadarchive.raw/RTDC4013/ "%USERPROFILE%\AppData\Local\Temp\OnboardLogs"\RTDC4013\2017-08-25 --exclude "*" --recursive --include "*20170825*" &amp; "%USERPROFILE%\Documents\GitHub\mrs-test-scripts\Headless Mode &amp; Sideloading\WalkAndUnGZ.bat" "%USERPROFILE%\AppData\Local\Temp\OnboardLogs"\RTDC4013\2017-08-25 &amp; aws s3 cp s3://rtdc.mdm.uploadarchive.raw/RTDC4013/ "%USERPROFILE%\AppData\Local\Temp\OnboardLogs"\RTDC4013\2017-08-26 --exclude "*" --recursive --include "*20170826*" &amp; "%USERPROFILE%\Documents\GitHub\mrs-test-scripts\Headless Mode &amp; Sideloading\WalkAndUnGZ.bat" "%USERPROFILE%\AppData\Local\Temp\OnboardLogs"\RTDC4013\2017-08-26</v>
      </c>
      <c r="AF107" s="74" t="str">
        <f t="shared" si="46"/>
        <v>"C:\Program Files (x86)\AstroGrep\AstroGrep.exe" /e /r /s /spath="%USERPROFILE%\AppData\Local\Temp\OnboardLogs" /stypes="app*4013*20170825*" /stext=" 22:.+((SYSTEM_STATE.+slice.+state.+changed )|(ment ac)|(multiple cpu faults)|(system.+state.+changed )|(\[timeout)|(PRM\|1\|D)|(kpr)|(kdp)|(train st.+moving)|(\|lc)|(penalty))"</v>
      </c>
      <c r="AG107" s="209" t="str">
        <f t="shared" si="47"/>
        <v>EC</v>
      </c>
      <c r="AH107" s="78" t="str">
        <f t="shared" si="48"/>
        <v>"%USERPROFILE%\Documents\GitHub\eaglep3\Utilities\RefineRTDCRunTimes.py" --tripid 194-25 --locoid 4013 --swversion DE.1.0.9.0 --startMP 204:232980 --initTime 2017-08-25T15:57:27 --startdatetime 2017-08-25T16:12:21 --delay 1 --endMP 204:158 --enddatetime 2017-08-25T16:51:26 --enforcementcount 1 &gt;&gt;C:\Users\stu\Documents\GitHub\eaglep3-reporting\EC\2017-08-25-refined-times.txt</v>
      </c>
      <c r="AI107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{"issue":{"subject":"","project_id":79,"tracker_id":40,"status_id":1,"priority_id":2,"assigned_to_id":23,"start_date":"2017-08-25","description":"","custom_fields":[{"id":1,"name":"Subdivision","value":"EC"},{"id":4,"name":"Milepost","value":"0.0158"},{"id":17,"name":"Train ID","value":"194-25"},{"id":16,"name":"Locomotive ID","value":"4013"},{"id":130,"name":"Impact","value":""},{"id":150,"name":"Time of Event (Mountain Time)","value":"16:51:26"},{"id":151,"name":"Denver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0"/>
        <v>start /low /b %USERPROFILE%\Documents\GitHub\eaglep3\Utilities\DownloadLogsFromS3.py --loco 4013 --day 2017-08-25</v>
      </c>
      <c r="AN107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731</v>
      </c>
      <c r="B108" s="7">
        <v>4002</v>
      </c>
      <c r="C108" s="21" t="s">
        <v>197</v>
      </c>
      <c r="D108" s="21" t="s">
        <v>866</v>
      </c>
      <c r="E108" s="13">
        <v>42972.642430555556</v>
      </c>
      <c r="F108" s="13">
        <v>42972.646377314813</v>
      </c>
      <c r="G108" s="7">
        <v>1</v>
      </c>
      <c r="H108" s="21" t="s">
        <v>387</v>
      </c>
      <c r="I108" s="13">
        <v>42972.671354166669</v>
      </c>
      <c r="J108" s="7">
        <v>1</v>
      </c>
      <c r="K108" s="89" t="str">
        <f t="shared" si="38"/>
        <v>4001/4002</v>
      </c>
      <c r="L108" s="217" t="str">
        <f>VLOOKUP(A108,'Trips&amp;Operators'!$C$1:$G$99911,5,FALSE)</f>
        <v>BARRON PERLA</v>
      </c>
      <c r="M108" s="6">
        <f t="shared" si="39"/>
        <v>2.4976851855171844E-2</v>
      </c>
      <c r="N108" s="7">
        <f t="shared" si="52"/>
        <v>35.966666671447456</v>
      </c>
      <c r="O108" s="7"/>
      <c r="P108" s="7"/>
      <c r="Q108" s="22"/>
      <c r="R108" s="170"/>
      <c r="S108" s="213">
        <f t="shared" si="53"/>
        <v>1</v>
      </c>
      <c r="T108" s="195" t="str">
        <f t="shared" si="40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41"/>
        <v>https://d0f6bd738d7f1b3e5a7ca70fe4ff75f0.us-east-1.aws.found.io/app/kibana#/discover/Steve-Slow-Train-Analysis-(2080s-and-2083s)?_g=(refreshInterval:(display:Off,pause:!f,section:0,value:0),time:(from:'2017-08-25T14:25:06-0600',mode:absolute,to:'2017-08-25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197" t="str">
        <f>IF(AA108&lt;VLOOKUP(AG108,Variables!$AC$3:$AD$8,2,FALSE),"Y","N")</f>
        <v>N</v>
      </c>
      <c r="X108" s="197">
        <f t="shared" si="54"/>
        <v>1</v>
      </c>
      <c r="Y108" s="197">
        <f t="shared" si="42"/>
        <v>4.82E-2</v>
      </c>
      <c r="Z108" s="197">
        <f t="shared" si="55"/>
        <v>23.3293</v>
      </c>
      <c r="AA108" s="197">
        <f t="shared" si="43"/>
        <v>23.281099999999999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6">
        <f t="shared" si="44"/>
        <v>195</v>
      </c>
      <c r="AE108" s="77" t="str">
        <f t="shared" si="45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108" s="74" t="str">
        <f t="shared" si="46"/>
        <v>"C:\Program Files (x86)\AstroGrep\AstroGrep.exe" /e /r /s /spath="%USERPROFILE%\AppData\Local\Temp\OnboardLogs" /stypes="app*4002*20170825*" /stext=" 22:.+((SYSTEM_STATE.+slice.+state.+changed )|(ment ac)|(multiple cpu faults)|(system.+state.+changed )|(\[timeout)|(PRM\|1\|D)|(kpr)|(kdp)|(train st.+moving)|(\|lc)|(penalty))"</v>
      </c>
      <c r="AG108" s="209" t="str">
        <f t="shared" si="47"/>
        <v>EC</v>
      </c>
      <c r="AH108" s="78" t="str">
        <f t="shared" si="48"/>
        <v>"%USERPROFILE%\Documents\GitHub\eaglep3\Utilities\RefineRTDCRunTimes.py" --tripid 195-25 --locoid 4002 --swversion DE.1.0.9.0 --startMP 204:482 --initTime 2017-08-25T15:25:06 --startdatetime 2017-08-25T15:30:47 --delay 1 --endMP 204:233293 --enddatetime 2017-08-25T16:06:45 --enforcementcount 1 &gt;&gt;C:\Users\stu\Documents\GitHub\eaglep3-reporting\EC\2017-08-25-refined-times.txt</v>
      </c>
      <c r="AI108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{"issue":{"subject":"","project_id":79,"tracker_id":40,"status_id":1,"priority_id":2,"assigned_to_id":23,"start_date":"2017-08-25","description":"","custom_fields":[{"id":1,"name":"Subdivision","value":"EC"},{"id":4,"name":"Milepost","value":"23.3293"},{"id":17,"name":"Train ID","value":"195-25"},{"id":16,"name":"Locomotive ID","value":"4002"},{"id":130,"name":"Impact","value":""},{"id":150,"name":"Time of Event (Mountain Time)","value":"16:06:45"},{"id":151,"name":"Denver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0"/>
        <v>start /low /b %USERPROFILE%\Documents\GitHub\eaglep3\Utilities\DownloadLogsFromS3.py --loco 4002 --day 2017-08-25</v>
      </c>
      <c r="AN108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744</v>
      </c>
      <c r="B109" s="7">
        <v>4001</v>
      </c>
      <c r="C109" s="21" t="s">
        <v>197</v>
      </c>
      <c r="D109" s="21" t="s">
        <v>446</v>
      </c>
      <c r="E109" s="13">
        <v>42972.679062499999</v>
      </c>
      <c r="F109" s="13">
        <v>42972.685601851852</v>
      </c>
      <c r="G109" s="7">
        <v>1</v>
      </c>
      <c r="H109" s="21" t="s">
        <v>368</v>
      </c>
      <c r="I109" s="13">
        <v>42972.714756944442</v>
      </c>
      <c r="J109" s="7">
        <v>1</v>
      </c>
      <c r="K109" s="89" t="str">
        <f t="shared" si="38"/>
        <v>4001/4002</v>
      </c>
      <c r="L109" s="217" t="str">
        <f>VLOOKUP(A109,'Trips&amp;Operators'!$C$1:$G$99911,5,FALSE)</f>
        <v>BARRON PERLA</v>
      </c>
      <c r="M109" s="6">
        <f t="shared" si="39"/>
        <v>2.9155092590372078E-2</v>
      </c>
      <c r="N109" s="7">
        <f t="shared" si="52"/>
        <v>41.983333330135792</v>
      </c>
      <c r="O109" s="7"/>
      <c r="P109" s="7"/>
      <c r="Q109" s="22"/>
      <c r="R109" s="170"/>
      <c r="S109" s="213">
        <f t="shared" si="53"/>
        <v>1</v>
      </c>
      <c r="T109" s="195" t="str">
        <f t="shared" si="40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41"/>
        <v>https://d0f6bd738d7f1b3e5a7ca70fe4ff75f0.us-east-1.aws.found.io/app/kibana#/discover/Steve-Slow-Train-Analysis-(2080s-and-2083s)?_g=(refreshInterval:(display:Off,pause:!f,section:0,value:0),time:(from:'2017-08-25T15:17:51-0600',mode:absolute,to:'2017-08-25T18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197" t="str">
        <f>IF(AA109&lt;VLOOKUP(AG109,Variables!$AC$3:$AD$8,2,FALSE),"Y","N")</f>
        <v>N</v>
      </c>
      <c r="X109" s="197">
        <f t="shared" si="54"/>
        <v>1</v>
      </c>
      <c r="Y109" s="197">
        <f t="shared" ref="Y109:Y140" si="56">RIGHT(D109,LEN(D109)-4)/10000</f>
        <v>23.3</v>
      </c>
      <c r="Z109" s="197">
        <f t="shared" si="55"/>
        <v>1.52E-2</v>
      </c>
      <c r="AA109" s="197">
        <f t="shared" si="43"/>
        <v>23.284800000000001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6">
        <f t="shared" si="44"/>
        <v>196</v>
      </c>
      <c r="AE109" s="77" t="str">
        <f t="shared" si="45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109" s="74" t="str">
        <f t="shared" si="46"/>
        <v>"C:\Program Files (x86)\AstroGrep\AstroGrep.exe" /e /r /s /spath="%USERPROFILE%\AppData\Local\Temp\OnboardLogs" /stypes="app*4001*20170825*" /stext=" 23:.+((SYSTEM_STATE.+slice.+state.+changed )|(ment ac)|(multiple cpu faults)|(system.+state.+changed )|(\[timeout)|(PRM\|1\|D)|(kpr)|(kdp)|(train st.+moving)|(\|lc)|(penalty))"</v>
      </c>
      <c r="AG109" s="209" t="str">
        <f t="shared" si="47"/>
        <v>EC</v>
      </c>
      <c r="AH109" s="78" t="str">
        <f t="shared" si="48"/>
        <v>"%USERPROFILE%\Documents\GitHub\eaglep3\Utilities\RefineRTDCRunTimes.py" --tripid 196-25 --locoid 4001 --swversion DE.1.0.9.0 --startMP 204:233000 --initTime 2017-08-25T16:17:51 --startdatetime 2017-08-25T16:27:16 --delay 1 --endMP 204:152 --enddatetime 2017-08-25T17:09:15 --enforcementcount 1 &gt;&gt;C:\Users\stu\Documents\GitHub\eaglep3-reporting\EC\2017-08-25-refined-times.txt</v>
      </c>
      <c r="AI109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{"issue":{"subject":"","project_id":79,"tracker_id":40,"status_id":1,"priority_id":2,"assigned_to_id":23,"start_date":"2017-08-25","description":"","custom_fields":[{"id":1,"name":"Subdivision","value":"EC"},{"id":4,"name":"Milepost","value":"0.0152"},{"id":17,"name":"Train ID","value":"196-25"},{"id":16,"name":"Locomotive ID","value":"4001"},{"id":130,"name":"Impact","value":""},{"id":150,"name":"Time of Event (Mountain Time)","value":"17:09:15"},{"id":151,"name":"Denver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0"/>
        <v>start /low /b %USERPROFILE%\Documents\GitHub\eaglep3\Utilities\DownloadLogsFromS3.py --loco 4001 --day 2017-08-25</v>
      </c>
      <c r="AN109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736</v>
      </c>
      <c r="B110" s="7">
        <v>4042</v>
      </c>
      <c r="C110" s="21" t="s">
        <v>197</v>
      </c>
      <c r="D110" s="21" t="s">
        <v>374</v>
      </c>
      <c r="E110" s="13">
        <v>42972.654502314814</v>
      </c>
      <c r="F110" s="13">
        <v>42972.656747685185</v>
      </c>
      <c r="G110" s="7">
        <v>1</v>
      </c>
      <c r="H110" s="21" t="s">
        <v>867</v>
      </c>
      <c r="I110" s="13">
        <v>42972.681898148148</v>
      </c>
      <c r="J110" s="7">
        <v>1</v>
      </c>
      <c r="K110" s="89" t="str">
        <f t="shared" si="38"/>
        <v>4041/4042</v>
      </c>
      <c r="L110" s="217" t="str">
        <f>VLOOKUP(A110,'Trips&amp;Operators'!$C$1:$G$99911,5,FALSE)</f>
        <v>LEVIN SCOTT</v>
      </c>
      <c r="M110" s="6">
        <f t="shared" si="39"/>
        <v>2.5150462963210884E-2</v>
      </c>
      <c r="N110" s="7">
        <f t="shared" si="52"/>
        <v>36.216666667023674</v>
      </c>
      <c r="O110" s="7"/>
      <c r="P110" s="7"/>
      <c r="Q110" s="22"/>
      <c r="R110" s="170"/>
      <c r="S110" s="213">
        <f t="shared" si="53"/>
        <v>1</v>
      </c>
      <c r="T110" s="195" t="str">
        <f t="shared" si="40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41"/>
        <v>https://d0f6bd738d7f1b3e5a7ca70fe4ff75f0.us-east-1.aws.found.io/app/kibana#/discover/Steve-Slow-Train-Analysis-(2080s-and-2083s)?_g=(refreshInterval:(display:Off,pause:!f,section:0,value:0),time:(from:'2017-08-25T14:42:29-0600',mode:absolute,to:'2017-08-25T17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0" s="197" t="str">
        <f>IF(AA110&lt;VLOOKUP(AG110,Variables!$AC$3:$AD$8,2,FALSE),"Y","N")</f>
        <v>N</v>
      </c>
      <c r="X110" s="197">
        <f t="shared" si="54"/>
        <v>1</v>
      </c>
      <c r="Y110" s="197">
        <f t="shared" si="56"/>
        <v>4.6399999999999997E-2</v>
      </c>
      <c r="Z110" s="197">
        <f t="shared" si="55"/>
        <v>23.332799999999999</v>
      </c>
      <c r="AA110" s="197">
        <f t="shared" si="43"/>
        <v>23.2864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6">
        <f t="shared" si="44"/>
        <v>197</v>
      </c>
      <c r="AE110" s="77" t="str">
        <f t="shared" si="45"/>
        <v>aws s3 cp s3://rtdc.mdm.uploadarchive.raw/RTDC4042/ "%USERPROFILE%\AppData\Local\Temp\OnboardLogs"\RTDC4042\2017-08-25 --exclude "*" --recursive --include "*20170825*" &amp; "%USERPROFILE%\Documents\GitHub\mrs-test-scripts\Headless Mode &amp; Sideloading\WalkAndUnGZ.bat" "%USERPROFILE%\AppData\Local\Temp\OnboardLogs"\RTDC4042\2017-08-25 &amp; aws s3 cp s3://rtdc.mdm.uploadarchive.raw/RTDC4042/ "%USERPROFILE%\AppData\Local\Temp\OnboardLogs"\RTDC4042\2017-08-26 --exclude "*" --recursive --include "*20170826*" &amp; "%USERPROFILE%\Documents\GitHub\mrs-test-scripts\Headless Mode &amp; Sideloading\WalkAndUnGZ.bat" "%USERPROFILE%\AppData\Local\Temp\OnboardLogs"\RTDC4042\2017-08-26</v>
      </c>
      <c r="AF110" s="74" t="str">
        <f t="shared" si="46"/>
        <v>"C:\Program Files (x86)\AstroGrep\AstroGrep.exe" /e /r /s /spath="%USERPROFILE%\AppData\Local\Temp\OnboardLogs" /stypes="app*4042*20170825*" /stext=" 22:.+((SYSTEM_STATE.+slice.+state.+changed )|(ment ac)|(multiple cpu faults)|(system.+state.+changed )|(\[timeout)|(PRM\|1\|D)|(kpr)|(kdp)|(train st.+moving)|(\|lc)|(penalty))"</v>
      </c>
      <c r="AG110" s="209" t="str">
        <f t="shared" si="47"/>
        <v>EC</v>
      </c>
      <c r="AH110" s="78" t="str">
        <f t="shared" si="48"/>
        <v>"%USERPROFILE%\Documents\GitHub\eaglep3\Utilities\RefineRTDCRunTimes.py" --tripid 197-25 --locoid 4042 --swversion DE.1.0.9.0 --startMP 204:464 --initTime 2017-08-25T15:42:29 --startdatetime 2017-08-25T15:45:43 --delay 1 --endMP 204:233328 --enddatetime 2017-08-25T16:21:56 --enforcementcount 1 &gt;&gt;C:\Users\stu\Documents\GitHub\eaglep3-reporting\EC\2017-08-25-refined-times.txt</v>
      </c>
      <c r="AI110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{"issue":{"subject":"","project_id":79,"tracker_id":40,"status_id":1,"priority_id":2,"assigned_to_id":23,"start_date":"2017-08-25","description":"","custom_fields":[{"id":1,"name":"Subdivision","value":"EC"},{"id":4,"name":"Milepost","value":"23.3328"},{"id":17,"name":"Train ID","value":"197-25"},{"id":16,"name":"Locomotive ID","value":"4042"},{"id":130,"name":"Impact","value":""},{"id":150,"name":"Time of Event (Mountain Time)","value":"16:21:56"},{"id":151,"name":"Denver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0"/>
        <v>start /low /b %USERPROFILE%\Documents\GitHub\eaglep3\Utilities\DownloadLogsFromS3.py --loco 4042 --day 2017-08-25</v>
      </c>
      <c r="AN110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752</v>
      </c>
      <c r="B111" s="7">
        <v>4041</v>
      </c>
      <c r="C111" s="21" t="s">
        <v>197</v>
      </c>
      <c r="D111" s="21" t="s">
        <v>537</v>
      </c>
      <c r="E111" s="13">
        <v>42972.693923611114</v>
      </c>
      <c r="F111" s="13">
        <v>42972.696111111109</v>
      </c>
      <c r="G111" s="7">
        <v>1</v>
      </c>
      <c r="H111" s="21" t="s">
        <v>339</v>
      </c>
      <c r="I111" s="13">
        <v>42972.722418981481</v>
      </c>
      <c r="J111" s="7">
        <v>1</v>
      </c>
      <c r="K111" s="89" t="str">
        <f t="shared" si="38"/>
        <v>4041/4042</v>
      </c>
      <c r="L111" s="217" t="str">
        <f>VLOOKUP(A111,'Trips&amp;Operators'!$C$1:$G$99911,5,FALSE)</f>
        <v>LEVIN SCOTT</v>
      </c>
      <c r="M111" s="6">
        <f t="shared" si="39"/>
        <v>2.6307870371965691E-2</v>
      </c>
      <c r="N111" s="7">
        <f t="shared" si="52"/>
        <v>37.883333335630596</v>
      </c>
      <c r="O111" s="7"/>
      <c r="P111" s="7"/>
      <c r="Q111" s="22"/>
      <c r="R111" s="170"/>
      <c r="S111" s="213">
        <f t="shared" si="53"/>
        <v>1</v>
      </c>
      <c r="T111" s="195" t="str">
        <f t="shared" si="40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41"/>
        <v>https://d0f6bd738d7f1b3e5a7ca70fe4ff75f0.us-east-1.aws.found.io/app/kibana#/discover/Steve-Slow-Train-Analysis-(2080s-and-2083s)?_g=(refreshInterval:(display:Off,pause:!f,section:0,value:0),time:(from:'2017-08-25T15:39:15-0600',mode:absolute,to:'2017-08-25T18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1" s="197" t="str">
        <f>IF(AA111&lt;VLOOKUP(AG111,Variables!$AC$3:$AD$8,2,FALSE),"Y","N")</f>
        <v>N</v>
      </c>
      <c r="X111" s="197">
        <f t="shared" si="54"/>
        <v>1</v>
      </c>
      <c r="Y111" s="197">
        <f t="shared" si="56"/>
        <v>23.2988</v>
      </c>
      <c r="Z111" s="197">
        <f t="shared" si="55"/>
        <v>1.49E-2</v>
      </c>
      <c r="AA111" s="197">
        <f t="shared" si="43"/>
        <v>23.283899999999999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6">
        <f t="shared" si="44"/>
        <v>198</v>
      </c>
      <c r="AE111" s="77" t="str">
        <f t="shared" si="45"/>
        <v>aws s3 cp s3://rtdc.mdm.uploadarchive.raw/RTDC4041/ "%USERPROFILE%\AppData\Local\Temp\OnboardLogs"\RTDC4041\2017-08-25 --exclude "*" --recursive --include "*20170825*" &amp; "%USERPROFILE%\Documents\GitHub\mrs-test-scripts\Headless Mode &amp; Sideloading\WalkAndUnGZ.bat" "%USERPROFILE%\AppData\Local\Temp\OnboardLogs"\RTDC4041\2017-08-25 &amp; aws s3 cp s3://rtdc.mdm.uploadarchive.raw/RTDC4041/ "%USERPROFILE%\AppData\Local\Temp\OnboardLogs"\RTDC4041\2017-08-26 --exclude "*" --recursive --include "*20170826*" &amp; "%USERPROFILE%\Documents\GitHub\mrs-test-scripts\Headless Mode &amp; Sideloading\WalkAndUnGZ.bat" "%USERPROFILE%\AppData\Local\Temp\OnboardLogs"\RTDC4041\2017-08-26</v>
      </c>
      <c r="AF111" s="74" t="str">
        <f t="shared" si="46"/>
        <v>"C:\Program Files (x86)\AstroGrep\AstroGrep.exe" /e /r /s /spath="%USERPROFILE%\AppData\Local\Temp\OnboardLogs" /stypes="app*4041*20170825*" /stext=" 23:.+((SYSTEM_STATE.+slice.+state.+changed )|(ment ac)|(multiple cpu faults)|(system.+state.+changed )|(\[timeout)|(PRM\|1\|D)|(kpr)|(kdp)|(train st.+moving)|(\|lc)|(penalty))"</v>
      </c>
      <c r="AG111" s="209" t="str">
        <f t="shared" si="47"/>
        <v>EC</v>
      </c>
      <c r="AH111" s="78" t="str">
        <f t="shared" si="48"/>
        <v>"%USERPROFILE%\Documents\GitHub\eaglep3\Utilities\RefineRTDCRunTimes.py" --tripid 198-25 --locoid 4041 --swversion DE.1.0.9.0 --startMP 204:232988 --initTime 2017-08-25T16:39:15 --startdatetime 2017-08-25T16:42:24 --delay 1 --endMP 204:149 --enddatetime 2017-08-25T17:20:17 --enforcementcount 1 &gt;&gt;C:\Users\stu\Documents\GitHub\eaglep3-reporting\EC\2017-08-25-refined-times.txt</v>
      </c>
      <c r="AI111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{"issue":{"subject":"","project_id":79,"tracker_id":40,"status_id":1,"priority_id":2,"assigned_to_id":23,"start_date":"2017-08-25","description":"","custom_fields":[{"id":1,"name":"Subdivision","value":"EC"},{"id":4,"name":"Milepost","value":"0.0149"},{"id":17,"name":"Train ID","value":"198-25"},{"id":16,"name":"Locomotive ID","value":"4041"},{"id":130,"name":"Impact","value":""},{"id":150,"name":"Time of Event (Mountain Time)","value":"17:20:17"},{"id":151,"name":"Denver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0"/>
        <v>start /low /b %USERPROFILE%\Documents\GitHub\eaglep3\Utilities\DownloadLogsFromS3.py --loco 4041 --day 2017-08-25</v>
      </c>
      <c r="AN111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739</v>
      </c>
      <c r="B112" s="7">
        <v>4030</v>
      </c>
      <c r="C112" s="21" t="s">
        <v>197</v>
      </c>
      <c r="D112" s="21" t="s">
        <v>341</v>
      </c>
      <c r="E112" s="13">
        <v>42972.661724537036</v>
      </c>
      <c r="F112" s="13">
        <v>42972.667268518519</v>
      </c>
      <c r="G112" s="7">
        <v>3</v>
      </c>
      <c r="H112" s="21" t="s">
        <v>389</v>
      </c>
      <c r="I112" s="13">
        <v>42972.693101851852</v>
      </c>
      <c r="J112" s="7">
        <v>1</v>
      </c>
      <c r="K112" s="89" t="str">
        <f t="shared" si="38"/>
        <v>4029/4030</v>
      </c>
      <c r="L112" s="217" t="str">
        <f>VLOOKUP(A112,'Trips&amp;Operators'!$C$1:$G$99911,5,FALSE)</f>
        <v>NICHOLSON WESLEY</v>
      </c>
      <c r="M112" s="6">
        <f t="shared" si="39"/>
        <v>2.5833333333139308E-2</v>
      </c>
      <c r="N112" s="7">
        <f t="shared" si="52"/>
        <v>37.199999999720603</v>
      </c>
      <c r="O112" s="7"/>
      <c r="P112" s="7"/>
      <c r="Q112" s="22"/>
      <c r="R112" s="170"/>
      <c r="S112" s="213">
        <f t="shared" si="53"/>
        <v>1</v>
      </c>
      <c r="T112" s="195" t="str">
        <f t="shared" si="40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41"/>
        <v>https://d0f6bd738d7f1b3e5a7ca70fe4ff75f0.us-east-1.aws.found.io/app/kibana#/discover/Steve-Slow-Train-Analysis-(2080s-and-2083s)?_g=(refreshInterval:(display:Off,pause:!f,section:0,value:0),time:(from:'2017-08-25T14:52:53-0600',mode:absolute,to:'2017-08-25T17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2" s="197" t="str">
        <f>IF(AA112&lt;VLOOKUP(AG112,Variables!$AC$3:$AD$8,2,FALSE),"Y","N")</f>
        <v>N</v>
      </c>
      <c r="X112" s="197">
        <f t="shared" si="54"/>
        <v>1</v>
      </c>
      <c r="Y112" s="197">
        <f t="shared" si="56"/>
        <v>4.5100000000000001E-2</v>
      </c>
      <c r="Z112" s="197">
        <f t="shared" si="55"/>
        <v>23.3308</v>
      </c>
      <c r="AA112" s="197">
        <f t="shared" si="43"/>
        <v>23.285699999999999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6">
        <f t="shared" si="44"/>
        <v>199</v>
      </c>
      <c r="AE112" s="77" t="str">
        <f t="shared" si="45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112" s="74" t="str">
        <f t="shared" si="46"/>
        <v>"C:\Program Files (x86)\AstroGrep\AstroGrep.exe" /e /r /s /spath="%USERPROFILE%\AppData\Local\Temp\OnboardLogs" /stypes="app*4030*20170825*" /stext=" 22:.+((SYSTEM_STATE.+slice.+state.+changed )|(ment ac)|(multiple cpu faults)|(system.+state.+changed )|(\[timeout)|(PRM\|1\|D)|(kpr)|(kdp)|(train st.+moving)|(\|lc)|(penalty))"</v>
      </c>
      <c r="AG112" s="209" t="str">
        <f t="shared" si="47"/>
        <v>EC</v>
      </c>
      <c r="AH112" s="78" t="str">
        <f t="shared" si="48"/>
        <v>"%USERPROFILE%\Documents\GitHub\eaglep3\Utilities\RefineRTDCRunTimes.py" --tripid 199-25 --locoid 4030 --swversion DE.1.0.9.0 --startMP 204:451 --initTime 2017-08-25T15:52:53 --startdatetime 2017-08-25T16:00:52 --delay 3 --endMP 204:233308 --enddatetime 2017-08-25T16:38:04 --enforcementcount 1 &gt;&gt;C:\Users\stu\Documents\GitHub\eaglep3-reporting\EC\2017-08-25-refined-times.txt</v>
      </c>
      <c r="AI112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{"issue":{"subject":"","project_id":79,"tracker_id":40,"status_id":1,"priority_id":2,"assigned_to_id":23,"start_date":"2017-08-25","description":"","custom_fields":[{"id":1,"name":"Subdivision","value":"EC"},{"id":4,"name":"Milepost","value":"23.3308"},{"id":17,"name":"Train ID","value":"199-25"},{"id":16,"name":"Locomotive ID","value":"4030"},{"id":130,"name":"Impact","value":""},{"id":150,"name":"Time of Event (Mountain Time)","value":"16:38:04"},{"id":151,"name":"Denver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0"/>
        <v>start /low /b %USERPROFILE%\Documents\GitHub\eaglep3\Utilities\DownloadLogsFromS3.py --loco 4030 --day 2017-08-25</v>
      </c>
      <c r="AN112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753</v>
      </c>
      <c r="B113" s="7">
        <v>4029</v>
      </c>
      <c r="C113" s="21" t="s">
        <v>197</v>
      </c>
      <c r="D113" s="21" t="s">
        <v>404</v>
      </c>
      <c r="E113" s="13">
        <v>42972.696168981478</v>
      </c>
      <c r="F113" s="13">
        <v>42972.706944444442</v>
      </c>
      <c r="G113" s="7">
        <v>1</v>
      </c>
      <c r="H113" s="21" t="s">
        <v>339</v>
      </c>
      <c r="I113" s="13">
        <v>42972.736030092594</v>
      </c>
      <c r="J113" s="7">
        <v>1</v>
      </c>
      <c r="K113" s="89" t="str">
        <f t="shared" si="38"/>
        <v>4029/4030</v>
      </c>
      <c r="L113" s="217" t="str">
        <f>VLOOKUP(A113,'Trips&amp;Operators'!$C$1:$G$99911,5,FALSE)</f>
        <v>NICHOLSON WESLEY</v>
      </c>
      <c r="M113" s="6">
        <f t="shared" si="39"/>
        <v>2.9085648151522037E-2</v>
      </c>
      <c r="N113" s="7">
        <f t="shared" si="52"/>
        <v>41.883333338191733</v>
      </c>
      <c r="O113" s="7"/>
      <c r="P113" s="7"/>
      <c r="Q113" s="22"/>
      <c r="R113" s="170"/>
      <c r="S113" s="213">
        <f t="shared" si="53"/>
        <v>1</v>
      </c>
      <c r="T113" s="195" t="str">
        <f t="shared" si="40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41"/>
        <v>https://d0f6bd738d7f1b3e5a7ca70fe4ff75f0.us-east-1.aws.found.io/app/kibana#/discover/Steve-Slow-Train-Analysis-(2080s-and-2083s)?_g=(refreshInterval:(display:Off,pause:!f,section:0,value:0),time:(from:'2017-08-25T15:42:29-0600',mode:absolute,to:'2017-08-25T18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197" t="str">
        <f>IF(AA113&lt;VLOOKUP(AG113,Variables!$AC$3:$AD$8,2,FALSE),"Y","N")</f>
        <v>N</v>
      </c>
      <c r="X113" s="197">
        <f t="shared" si="54"/>
        <v>1</v>
      </c>
      <c r="Y113" s="197">
        <f t="shared" si="56"/>
        <v>23.298500000000001</v>
      </c>
      <c r="Z113" s="197">
        <f t="shared" si="55"/>
        <v>1.49E-2</v>
      </c>
      <c r="AA113" s="197">
        <f t="shared" si="43"/>
        <v>23.2836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6">
        <f t="shared" si="44"/>
        <v>200</v>
      </c>
      <c r="AE113" s="77" t="str">
        <f t="shared" si="45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113" s="74" t="str">
        <f t="shared" si="46"/>
        <v>"C:\Program Files (x86)\AstroGrep\AstroGrep.exe" /e /r /s /spath="%USERPROFILE%\AppData\Local\Temp\OnboardLogs" /stypes="app*4029*20170825*" /stext=" 23:.+((SYSTEM_STATE.+slice.+state.+changed )|(ment ac)|(multiple cpu faults)|(system.+state.+changed )|(\[timeout)|(PRM\|1\|D)|(kpr)|(kdp)|(train st.+moving)|(\|lc)|(penalty))"</v>
      </c>
      <c r="AG113" s="209" t="str">
        <f t="shared" si="47"/>
        <v>EC</v>
      </c>
      <c r="AH113" s="78" t="str">
        <f t="shared" si="48"/>
        <v>"%USERPROFILE%\Documents\GitHub\eaglep3\Utilities\RefineRTDCRunTimes.py" --tripid 200-25 --locoid 4029 --swversion DE.1.0.9.0 --startMP 204:232985 --initTime 2017-08-25T16:42:29 --startdatetime 2017-08-25T16:58:00 --delay 1 --endMP 204:149 --enddatetime 2017-08-25T17:39:53 --enforcementcount 1 &gt;&gt;C:\Users\stu\Documents\GitHub\eaglep3-reporting\EC\2017-08-25-refined-times.txt</v>
      </c>
      <c r="AI113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{"issue":{"subject":"","project_id":79,"tracker_id":40,"status_id":1,"priority_id":2,"assigned_to_id":23,"start_date":"2017-08-25","description":"","custom_fields":[{"id":1,"name":"Subdivision","value":"EC"},{"id":4,"name":"Milepost","value":"0.0149"},{"id":17,"name":"Train ID","value":"200-25"},{"id":16,"name":"Locomotive ID","value":"4029"},{"id":130,"name":"Impact","value":""},{"id":150,"name":"Time of Event (Mountain Time)","value":"17:39:53"},{"id":151,"name":"Denver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0"/>
        <v>start /low /b %USERPROFILE%\Documents\GitHub\eaglep3\Utilities\DownloadLogsFromS3.py --loco 4029 --day 2017-08-25</v>
      </c>
      <c r="AN113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742</v>
      </c>
      <c r="B114" s="7">
        <v>4058</v>
      </c>
      <c r="C114" s="21" t="s">
        <v>197</v>
      </c>
      <c r="D114" s="21" t="s">
        <v>374</v>
      </c>
      <c r="E114" s="13">
        <v>42972.672013888892</v>
      </c>
      <c r="F114" s="13">
        <v>42972.677627314813</v>
      </c>
      <c r="G114" s="7">
        <v>1</v>
      </c>
      <c r="H114" s="21" t="s">
        <v>524</v>
      </c>
      <c r="I114" s="13">
        <v>42972.702638888892</v>
      </c>
      <c r="J114" s="7">
        <v>1</v>
      </c>
      <c r="K114" s="89" t="str">
        <f t="shared" si="38"/>
        <v>4057/4058</v>
      </c>
      <c r="L114" s="217" t="str">
        <f>VLOOKUP(A114,'Trips&amp;Operators'!$C$1:$G$99911,5,FALSE)</f>
        <v>HOLCOMB KAMDEN</v>
      </c>
      <c r="M114" s="6">
        <f t="shared" si="39"/>
        <v>2.5011574078234844E-2</v>
      </c>
      <c r="N114" s="7">
        <f t="shared" si="52"/>
        <v>36.016666672658175</v>
      </c>
      <c r="O114" s="7"/>
      <c r="P114" s="7"/>
      <c r="Q114" s="22"/>
      <c r="R114" s="170" t="s">
        <v>989</v>
      </c>
      <c r="S114" s="213">
        <f t="shared" si="53"/>
        <v>1</v>
      </c>
      <c r="T114" s="195" t="str">
        <f t="shared" si="40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41"/>
        <v>https://d0f6bd738d7f1b3e5a7ca70fe4ff75f0.us-east-1.aws.found.io/app/kibana#/discover/Steve-Slow-Train-Analysis-(2080s-and-2083s)?_g=(refreshInterval:(display:Off,pause:!f,section:0,value:0),time:(from:'2017-08-25T15:07:42-0600',mode:absolute,to:'2017-08-25T17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4" s="197" t="str">
        <f>IF(AA114&lt;VLOOKUP(AG114,Variables!$AC$3:$AD$8,2,FALSE),"Y","N")</f>
        <v>N</v>
      </c>
      <c r="X114" s="197">
        <f t="shared" si="54"/>
        <v>1</v>
      </c>
      <c r="Y114" s="197">
        <f t="shared" si="56"/>
        <v>4.6399999999999997E-2</v>
      </c>
      <c r="Z114" s="197">
        <f t="shared" si="55"/>
        <v>23.333200000000001</v>
      </c>
      <c r="AA114" s="197">
        <f t="shared" si="43"/>
        <v>23.286800000000003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6">
        <f t="shared" si="44"/>
        <v>201</v>
      </c>
      <c r="AE114" s="77" t="str">
        <f t="shared" si="45"/>
        <v>aws s3 cp s3://rtdc.mdm.uploadarchive.raw/RTDC4058/ "%USERPROFILE%\AppData\Local\Temp\OnboardLogs"\RTDC4058\2017-08-25 --exclude "*" --recursive --include "*20170825*" &amp; "%USERPROFILE%\Documents\GitHub\mrs-test-scripts\Headless Mode &amp; Sideloading\WalkAndUnGZ.bat" "%USERPROFILE%\AppData\Local\Temp\OnboardLogs"\RTDC4058\2017-08-25 &amp; aws s3 cp s3://rtdc.mdm.uploadarchive.raw/RTDC4058/ "%USERPROFILE%\AppData\Local\Temp\OnboardLogs"\RTDC4058\2017-08-26 --exclude "*" --recursive --include "*20170826*" &amp; "%USERPROFILE%\Documents\GitHub\mrs-test-scripts\Headless Mode &amp; Sideloading\WalkAndUnGZ.bat" "%USERPROFILE%\AppData\Local\Temp\OnboardLogs"\RTDC4058\2017-08-26</v>
      </c>
      <c r="AF114" s="74" t="str">
        <f t="shared" si="46"/>
        <v>"C:\Program Files (x86)\AstroGrep\AstroGrep.exe" /e /r /s /spath="%USERPROFILE%\AppData\Local\Temp\OnboardLogs" /stypes="app*4058*20170825*" /stext=" 22:.+((SYSTEM_STATE.+slice.+state.+changed )|(ment ac)|(multiple cpu faults)|(system.+state.+changed )|(\[timeout)|(PRM\|1\|D)|(kpr)|(kdp)|(train st.+moving)|(\|lc)|(penalty))"</v>
      </c>
      <c r="AG114" s="209" t="str">
        <f t="shared" si="47"/>
        <v>EC</v>
      </c>
      <c r="AH114" s="78" t="str">
        <f t="shared" si="48"/>
        <v>"%USERPROFILE%\Documents\GitHub\eaglep3\Utilities\RefineRTDCRunTimes.py" --tripid 201-25 --locoid 4058 --swversion DE.1.0.9.0 --startMP 204:464 --initTime 2017-08-25T16:07:42 --startdatetime 2017-08-25T16:15:47 --delay 1 --endMP 204:233332 --enddatetime 2017-08-25T16:51:48 --enforcementcount 1 &gt;&gt;C:\Users\stu\Documents\GitHub\eaglep3-reporting\EC\2017-08-25-refined-times.txt</v>
      </c>
      <c r="AI114" s="96" t="str">
        <f t="shared" si="49"/>
        <v>echo {"issue":{"subject":"Brief Wi-MAX data drop caused unhealthy banner","project_id":79,"tracker_id":40,"status_id":1,"priority_id":2,"assigned_to_id":23,"start_date":"2017-08-25","description":"","custom_fields":[{"id":1,"name":"Subdivision","value":"EC"},{"id":4,"name":"Milepost","value":"23.3332"},{"id":17,"name":"Train ID","value":"201-25"},{"id":16,"name":"Locomotive ID","value":"4058"},{"id":130,"name":"Impact","value":""},{"id":150,"name":"Time of Event (Mountain Time)","value":"16:51:48"},{"id":151,"name":"Denver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0"/>
        <v>start /low /b %USERPROFILE%\Documents\GitHub\eaglep3\Utilities\DownloadLogsFromS3.py --loco 4058 --day 2017-08-25</v>
      </c>
      <c r="AN114" s="151" t="str">
        <f t="shared" si="51"/>
        <v>echo {"issue":{"subject":"Brief Wi-MAX data drop caused unhealthy banner","project_id":30,"tracker_id":4,"status_id":1,"priority_id":1,"assigned_to_id":10,"start_date":"2017-08-25","description":"","custom_fields":[{"id":30,"name":"Category","value":"Issue"},{"id":3,"name":"Functional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596</v>
      </c>
      <c r="B115" s="7">
        <v>4057</v>
      </c>
      <c r="C115" s="21" t="s">
        <v>197</v>
      </c>
      <c r="D115" s="21" t="s">
        <v>859</v>
      </c>
      <c r="E115" s="13">
        <v>42972.711064814815</v>
      </c>
      <c r="F115" s="13">
        <v>42972.717800925922</v>
      </c>
      <c r="G115" s="7">
        <v>1</v>
      </c>
      <c r="H115" s="21" t="s">
        <v>346</v>
      </c>
      <c r="I115" s="13">
        <v>42972.744432870371</v>
      </c>
      <c r="J115" s="7">
        <v>1</v>
      </c>
      <c r="K115" s="89" t="str">
        <f t="shared" si="38"/>
        <v>4057/4058</v>
      </c>
      <c r="L115" s="217" t="str">
        <f>VLOOKUP(A115,'Trips&amp;Operators'!$C$1:$G$99911,5,FALSE)</f>
        <v>HOLCOMB KAMDEN</v>
      </c>
      <c r="M115" s="6">
        <f t="shared" si="39"/>
        <v>2.6631944449036382E-2</v>
      </c>
      <c r="N115" s="7">
        <f t="shared" ref="N115:N146" si="57">24*60*SUM($M115:$M115)</f>
        <v>38.35000000661239</v>
      </c>
      <c r="O115" s="7"/>
      <c r="P115" s="7"/>
      <c r="Q115" s="22"/>
      <c r="R115" s="170"/>
      <c r="S115" s="213">
        <f t="shared" ref="S115:S146" si="58">1/IF(AG115="EC",12,1)*SUM(U115:U115)</f>
        <v>1</v>
      </c>
      <c r="T115" s="195" t="str">
        <f t="shared" si="40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41"/>
        <v>https://d0f6bd738d7f1b3e5a7ca70fe4ff75f0.us-east-1.aws.found.io/app/kibana#/discover/Steve-Slow-Train-Analysis-(2080s-and-2083s)?_g=(refreshInterval:(display:Off,pause:!f,section:0,value:0),time:(from:'2017-08-25T16:03:56-0600',mode:absolute,to:'2017-08-25T18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5" s="197" t="str">
        <f>IF(AA115&lt;VLOOKUP(AG115,Variables!$AC$3:$AD$8,2,FALSE),"Y","N")</f>
        <v>N</v>
      </c>
      <c r="X115" s="197">
        <f t="shared" si="54"/>
        <v>1</v>
      </c>
      <c r="Y115" s="197">
        <f t="shared" si="56"/>
        <v>23.301500000000001</v>
      </c>
      <c r="Z115" s="197">
        <f t="shared" si="55"/>
        <v>1.47E-2</v>
      </c>
      <c r="AA115" s="197">
        <f t="shared" si="43"/>
        <v>23.286799999999999</v>
      </c>
      <c r="AB115" s="54" t="str">
        <f>VLOOKUP(A115,Enforcements!$C$7:$K$11,8,0)</f>
        <v>Bulletin (2)</v>
      </c>
      <c r="AC115" s="51" t="str">
        <f>VLOOKUP(A115,Enforcements!$C$7:$E$11,3,0)</f>
        <v>GRADE CROSSING</v>
      </c>
      <c r="AD115" s="206">
        <f t="shared" si="44"/>
        <v>202</v>
      </c>
      <c r="AE115" s="77" t="str">
        <f t="shared" si="45"/>
        <v>aws s3 cp s3://rtdc.mdm.uploadarchive.raw/RTDC4057/ "%USERPROFILE%\AppData\Local\Temp\OnboardLogs"\RTDC4057\2017-08-25 --exclude "*" --recursive --include "*20170825*" &amp; "%USERPROFILE%\Documents\GitHub\mrs-test-scripts\Headless Mode &amp; Sideloading\WalkAndUnGZ.bat" "%USERPROFILE%\AppData\Local\Temp\OnboardLogs"\RTDC4057\2017-08-25 &amp; aws s3 cp s3://rtdc.mdm.uploadarchive.raw/RTDC4057/ "%USERPROFILE%\AppData\Local\Temp\OnboardLogs"\RTDC4057\2017-08-26 --exclude "*" --recursive --include "*20170826*" &amp; "%USERPROFILE%\Documents\GitHub\mrs-test-scripts\Headless Mode &amp; Sideloading\WalkAndUnGZ.bat" "%USERPROFILE%\AppData\Local\Temp\OnboardLogs"\RTDC4057\2017-08-26</v>
      </c>
      <c r="AF115" s="74" t="str">
        <f t="shared" si="46"/>
        <v>"C:\Program Files (x86)\AstroGrep\AstroGrep.exe" /e /r /s /spath="%USERPROFILE%\AppData\Local\Temp\OnboardLogs" /stypes="app*4057*20170825*" /stext=" 23:.+((SYSTEM_STATE.+slice.+state.+changed )|(ment ac)|(multiple cpu faults)|(system.+state.+changed )|(\[timeout)|(PRM\|1\|D)|(kpr)|(kdp)|(train st.+moving)|(\|lc)|(penalty))"</v>
      </c>
      <c r="AG115" s="209" t="str">
        <f t="shared" si="47"/>
        <v>EC</v>
      </c>
      <c r="AH115" s="78" t="str">
        <f t="shared" si="48"/>
        <v>"%USERPROFILE%\Documents\GitHub\eaglep3\Utilities\RefineRTDCRunTimes.py" --tripid 202-25 --locoid 4057 --swversion DE.1.0.9.0 --startMP 204:233015 --initTime 2017-08-25T17:03:56 --startdatetime 2017-08-25T17:13:38 --delay 1 --endMP 204:147 --enddatetime 2017-08-25T17:51:59 --enforcementcount 1 &gt;&gt;C:\Users\stu\Documents\GitHub\eaglep3-reporting\EC\2017-08-25-refined-times.txt</v>
      </c>
      <c r="AI115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{"issue":{"subject":"","project_id":79,"tracker_id":40,"status_id":1,"priority_id":2,"assigned_to_id":23,"start_date":"2017-08-25","description":"","custom_fields":[{"id":1,"name":"Subdivision","value":"EC"},{"id":4,"name":"Milepost","value":"0.0147"},{"id":17,"name":"Train ID","value":"202-25"},{"id":16,"name":"Locomotive ID","value":"4057"},{"id":130,"name":"Impact","value":""},{"id":150,"name":"Time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0"/>
        <v>start /low /b %USERPROFILE%\Documents\GitHub\eaglep3\Utilities\DownloadLogsFromS3.py --loco 4057 --day 2017-08-25</v>
      </c>
      <c r="AN115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745</v>
      </c>
      <c r="B116" s="7">
        <v>4064</v>
      </c>
      <c r="C116" s="21" t="s">
        <v>197</v>
      </c>
      <c r="D116" s="21" t="s">
        <v>487</v>
      </c>
      <c r="E116" s="13">
        <v>42972.684317129628</v>
      </c>
      <c r="F116" s="13">
        <v>42972.687997685185</v>
      </c>
      <c r="G116" s="7">
        <v>1</v>
      </c>
      <c r="H116" s="21" t="s">
        <v>402</v>
      </c>
      <c r="I116" s="13">
        <v>42972.712430555555</v>
      </c>
      <c r="J116" s="7">
        <v>1</v>
      </c>
      <c r="K116" s="89" t="str">
        <f t="shared" si="38"/>
        <v>4063/4064</v>
      </c>
      <c r="L116" s="217" t="str">
        <f>VLOOKUP(A116,'Trips&amp;Operators'!$C$1:$G$99911,5,FALSE)</f>
        <v>BIRENBAUM THOMAS</v>
      </c>
      <c r="M116" s="6">
        <f t="shared" si="39"/>
        <v>2.4432870370219462E-2</v>
      </c>
      <c r="N116" s="7">
        <f t="shared" si="57"/>
        <v>35.183333333116025</v>
      </c>
      <c r="O116" s="7"/>
      <c r="P116" s="7"/>
      <c r="Q116" s="22"/>
      <c r="R116" s="170"/>
      <c r="S116" s="213">
        <f t="shared" si="58"/>
        <v>1</v>
      </c>
      <c r="T116" s="195" t="str">
        <f t="shared" si="40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41"/>
        <v>https://d0f6bd738d7f1b3e5a7ca70fe4ff75f0.us-east-1.aws.found.io/app/kibana#/discover/Steve-Slow-Train-Analysis-(2080s-and-2083s)?_g=(refreshInterval:(display:Off,pause:!f,section:0,value:0),time:(from:'2017-08-25T15:25:25-0600',mode:absolute,to:'2017-08-25T18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6" s="197" t="str">
        <f>IF(AA116&lt;VLOOKUP(AG116,Variables!$AC$3:$AD$8,2,FALSE),"Y","N")</f>
        <v>N</v>
      </c>
      <c r="X116" s="197">
        <f t="shared" si="54"/>
        <v>1</v>
      </c>
      <c r="Y116" s="197">
        <f t="shared" si="56"/>
        <v>4.3299999999999998E-2</v>
      </c>
      <c r="Z116" s="197">
        <f t="shared" si="55"/>
        <v>23.331199999999999</v>
      </c>
      <c r="AA116" s="197">
        <f t="shared" si="43"/>
        <v>23.2879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6">
        <f t="shared" si="44"/>
        <v>203</v>
      </c>
      <c r="AE116" s="77" t="str">
        <f t="shared" si="45"/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AF116" s="74" t="str">
        <f t="shared" si="46"/>
        <v>"C:\Program Files (x86)\AstroGrep\AstroGrep.exe" /e /r /s /spath="%USERPROFILE%\AppData\Local\Temp\OnboardLogs" /stypes="app*4064*20170825*" /stext=" 23:.+((SYSTEM_STATE.+slice.+state.+changed )|(ment ac)|(multiple cpu faults)|(system.+state.+changed )|(\[timeout)|(PRM\|1\|D)|(kpr)|(kdp)|(train st.+moving)|(\|lc)|(penalty))"</v>
      </c>
      <c r="AG116" s="209" t="str">
        <f t="shared" si="47"/>
        <v>EC</v>
      </c>
      <c r="AH116" s="78" t="str">
        <f t="shared" si="48"/>
        <v>"%USERPROFILE%\Documents\GitHub\eaglep3\Utilities\RefineRTDCRunTimes.py" --tripid 203-25 --locoid 4064 --swversion DE.1.0.9.0 --startMP 204:433 --initTime 2017-08-25T16:25:25 --startdatetime 2017-08-25T16:30:43 --delay 1 --endMP 204:233312 --enddatetime 2017-08-25T17:05:54 --enforcementcount 1 &gt;&gt;C:\Users\stu\Documents\GitHub\eaglep3-reporting\EC\2017-08-25-refined-times.txt</v>
      </c>
      <c r="AI116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{"issue":{"subject":"","project_id":79,"tracker_id":40,"status_id":1,"priority_id":2,"assigned_to_id":23,"start_date":"2017-08-25","description":"","custom_fields":[{"id":1,"name":"Subdivision","value":"EC"},{"id":4,"name":"Milepost","value":"23.3312"},{"id":17,"name":"Train ID","value":"203-25"},{"id":16,"name":"Locomotive ID","value":"4064"},{"id":130,"name":"Impact","value":""},{"id":150,"name":"Time of Event (Mountain Time)","value":"17:05:54"},{"id":151,"name":"Denver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0"/>
        <v>start /low /b %USERPROFILE%\Documents\GitHub\eaglep3\Utilities\DownloadLogsFromS3.py --loco 4064 --day 2017-08-25</v>
      </c>
      <c r="AN116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757</v>
      </c>
      <c r="B117" s="7">
        <v>4063</v>
      </c>
      <c r="C117" s="21" t="s">
        <v>197</v>
      </c>
      <c r="D117" s="21" t="s">
        <v>446</v>
      </c>
      <c r="E117" s="13">
        <v>42972.722754629627</v>
      </c>
      <c r="F117" s="13">
        <v>42972.727337962962</v>
      </c>
      <c r="G117" s="7">
        <v>1</v>
      </c>
      <c r="H117" s="21" t="s">
        <v>391</v>
      </c>
      <c r="I117" s="13">
        <v>42972.754942129628</v>
      </c>
      <c r="J117" s="7">
        <v>1</v>
      </c>
      <c r="K117" s="89" t="str">
        <f t="shared" si="38"/>
        <v>4063/4064</v>
      </c>
      <c r="L117" s="217" t="str">
        <f>VLOOKUP(A117,'Trips&amp;Operators'!$C$1:$G$99911,5,FALSE)</f>
        <v>BIRENBAUM THOMAS</v>
      </c>
      <c r="M117" s="6">
        <f t="shared" si="39"/>
        <v>2.7604166665696539E-2</v>
      </c>
      <c r="N117" s="7">
        <f t="shared" si="57"/>
        <v>39.749999998603016</v>
      </c>
      <c r="O117" s="7"/>
      <c r="P117" s="7"/>
      <c r="Q117" s="22"/>
      <c r="R117" s="170"/>
      <c r="S117" s="213">
        <f t="shared" si="58"/>
        <v>1</v>
      </c>
      <c r="T117" s="195" t="str">
        <f t="shared" si="40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41"/>
        <v>https://d0f6bd738d7f1b3e5a7ca70fe4ff75f0.us-east-1.aws.found.io/app/kibana#/discover/Steve-Slow-Train-Analysis-(2080s-and-2083s)?_g=(refreshInterval:(display:Off,pause:!f,section:0,value:0),time:(from:'2017-08-25T16:20:46-0600',mode:absolute,to:'2017-08-25T19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7" s="197" t="str">
        <f>IF(AA117&lt;VLOOKUP(AG117,Variables!$AC$3:$AD$8,2,FALSE),"Y","N")</f>
        <v>N</v>
      </c>
      <c r="X117" s="197">
        <f t="shared" si="54"/>
        <v>1</v>
      </c>
      <c r="Y117" s="197">
        <f t="shared" si="56"/>
        <v>23.3</v>
      </c>
      <c r="Z117" s="197">
        <f t="shared" si="55"/>
        <v>1.5599999999999999E-2</v>
      </c>
      <c r="AA117" s="197">
        <f t="shared" si="43"/>
        <v>23.284400000000002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6">
        <f t="shared" si="44"/>
        <v>204</v>
      </c>
      <c r="AE117" s="77" t="str">
        <f t="shared" si="45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117" s="74" t="str">
        <f t="shared" si="46"/>
        <v>"C:\Program Files (x86)\AstroGrep\AstroGrep.exe" /e /r /s /spath="%USERPROFILE%\AppData\Local\Temp\OnboardLogs" /stypes="app*4063*20170826*" /stext=" 00:.+((SYSTEM_STATE.+slice.+state.+changed )|(ment ac)|(multiple cpu faults)|(system.+state.+changed )|(\[timeout)|(PRM\|1\|D)|(kpr)|(kdp)|(train st.+moving)|(\|lc)|(penalty))"</v>
      </c>
      <c r="AG117" s="209" t="str">
        <f t="shared" si="47"/>
        <v>EC</v>
      </c>
      <c r="AH117" s="78" t="str">
        <f t="shared" si="48"/>
        <v>"%USERPROFILE%\Documents\GitHub\eaglep3\Utilities\RefineRTDCRunTimes.py" --tripid 204-25 --locoid 4063 --swversion DE.1.0.9.0 --startMP 204:233000 --initTime 2017-08-25T17:20:46 --startdatetime 2017-08-25T17:27:22 --delay 1 --endMP 204:156 --enddatetime 2017-08-25T18:07:07 --enforcementcount 1 &gt;&gt;C:\Users\stu\Documents\GitHub\eaglep3-reporting\EC\2017-08-25-refined-times.txt</v>
      </c>
      <c r="AI117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{"issue":{"subject":"","project_id":79,"tracker_id":40,"status_id":1,"priority_id":2,"assigned_to_id":23,"start_date":"2017-08-25","description":"","custom_fields":[{"id":1,"name":"Subdivision","value":"EC"},{"id":4,"name":"Milepost","value":"0.0156"},{"id":17,"name":"Train ID","value":"204-25"},{"id":16,"name":"Locomotive ID","value":"4063"},{"id":130,"name":"Impact","value":""},{"id":150,"name":"Time of Event (Mountain Time)","value":"18:07:07"},{"id":151,"name":"Denver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0"/>
        <v>start /low /b %USERPROFILE%\Documents\GitHub\eaglep3\Utilities\DownloadLogsFromS3.py --loco 4063 --day 2017-08-25</v>
      </c>
      <c r="AN117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751</v>
      </c>
      <c r="B118" s="7">
        <v>4032</v>
      </c>
      <c r="C118" s="21" t="s">
        <v>197</v>
      </c>
      <c r="D118" s="21" t="s">
        <v>816</v>
      </c>
      <c r="E118" s="13">
        <v>42972.693553240744</v>
      </c>
      <c r="F118" s="13">
        <v>42972.698541666665</v>
      </c>
      <c r="G118" s="7">
        <v>1</v>
      </c>
      <c r="H118" s="21" t="s">
        <v>840</v>
      </c>
      <c r="I118" s="13">
        <v>42972.725405092591</v>
      </c>
      <c r="J118" s="7">
        <v>1</v>
      </c>
      <c r="K118" s="89" t="str">
        <f t="shared" si="38"/>
        <v>4031/4032</v>
      </c>
      <c r="L118" s="217" t="str">
        <f>VLOOKUP(A118,'Trips&amp;Operators'!$C$1:$G$99911,5,FALSE)</f>
        <v>BERLING GARY</v>
      </c>
      <c r="M118" s="6">
        <f t="shared" si="39"/>
        <v>2.6863425926421769E-2</v>
      </c>
      <c r="N118" s="7">
        <f t="shared" si="57"/>
        <v>38.683333334047347</v>
      </c>
      <c r="O118" s="7"/>
      <c r="P118" s="7"/>
      <c r="Q118" s="22"/>
      <c r="R118" s="170"/>
      <c r="S118" s="213">
        <f t="shared" si="58"/>
        <v>1</v>
      </c>
      <c r="T118" s="195" t="str">
        <f t="shared" si="40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41"/>
        <v>https://d0f6bd738d7f1b3e5a7ca70fe4ff75f0.us-east-1.aws.found.io/app/kibana#/discover/Steve-Slow-Train-Analysis-(2080s-and-2083s)?_g=(refreshInterval:(display:Off,pause:!f,section:0,value:0),time:(from:'2017-08-25T15:38:43-0600',mode:absolute,to:'2017-08-25T18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8" s="197" t="str">
        <f>IF(AA118&lt;VLOOKUP(AG118,Variables!$AC$3:$AD$8,2,FALSE),"Y","N")</f>
        <v>N</v>
      </c>
      <c r="X118" s="197">
        <f t="shared" si="54"/>
        <v>1</v>
      </c>
      <c r="Y118" s="197">
        <f t="shared" si="56"/>
        <v>4.2900000000000001E-2</v>
      </c>
      <c r="Z118" s="197">
        <f t="shared" si="55"/>
        <v>23.331800000000001</v>
      </c>
      <c r="AA118" s="197">
        <f t="shared" si="43"/>
        <v>23.288900000000002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6">
        <f t="shared" si="44"/>
        <v>205</v>
      </c>
      <c r="AE118" s="77" t="str">
        <f t="shared" si="45"/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AF118" s="74" t="str">
        <f t="shared" si="46"/>
        <v>"C:\Program Files (x86)\AstroGrep\AstroGrep.exe" /e /r /s /spath="%USERPROFILE%\AppData\Local\Temp\OnboardLogs" /stypes="app*4032*20170825*" /stext=" 23:.+((SYSTEM_STATE.+slice.+state.+changed )|(ment ac)|(multiple cpu faults)|(system.+state.+changed )|(\[timeout)|(PRM\|1\|D)|(kpr)|(kdp)|(train st.+moving)|(\|lc)|(penalty))"</v>
      </c>
      <c r="AG118" s="209" t="str">
        <f t="shared" si="47"/>
        <v>EC</v>
      </c>
      <c r="AH118" s="78" t="str">
        <f t="shared" si="48"/>
        <v>"%USERPROFILE%\Documents\GitHub\eaglep3\Utilities\RefineRTDCRunTimes.py" --tripid 205-25 --locoid 4032 --swversion DE.1.0.9.0 --startMP 204:429 --initTime 2017-08-25T16:38:43 --startdatetime 2017-08-25T16:45:54 --delay 1 --endMP 204:233318 --enddatetime 2017-08-25T17:24:35 --enforcementcount 1 &gt;&gt;C:\Users\stu\Documents\GitHub\eaglep3-reporting\EC\2017-08-25-refined-times.txt</v>
      </c>
      <c r="AI118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{"issue":{"subject":"","project_id":79,"tracker_id":40,"status_id":1,"priority_id":2,"assigned_to_id":23,"start_date":"2017-08-25","description":"","custom_fields":[{"id":1,"name":"Subdivision","value":"EC"},{"id":4,"name":"Milepost","value":"23.3318"},{"id":17,"name":"Train ID","value":"205-25"},{"id":16,"name":"Locomotive ID","value":"4032"},{"id":130,"name":"Impact","value":""},{"id":150,"name":"Time of Event (Mountain Time)","value":"17:24:35"},{"id":151,"name":"Denver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0"/>
        <v>start /low /b %USERPROFILE%\Documents\GitHub\eaglep3\Utilities\DownloadLogsFromS3.py --loco 4032 --day 2017-08-25</v>
      </c>
      <c r="AN118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760</v>
      </c>
      <c r="B119" s="7">
        <v>4031</v>
      </c>
      <c r="C119" s="21" t="s">
        <v>197</v>
      </c>
      <c r="D119" s="21" t="s">
        <v>529</v>
      </c>
      <c r="E119" s="13">
        <v>42972.732754629629</v>
      </c>
      <c r="F119" s="13">
        <v>42972.737650462965</v>
      </c>
      <c r="G119" s="7">
        <v>3</v>
      </c>
      <c r="H119" s="21" t="s">
        <v>377</v>
      </c>
      <c r="I119" s="13">
        <v>42972.766458333332</v>
      </c>
      <c r="J119" s="7">
        <v>1</v>
      </c>
      <c r="K119" s="89" t="str">
        <f t="shared" si="38"/>
        <v>4031/4032</v>
      </c>
      <c r="L119" s="217" t="str">
        <f>VLOOKUP(A119,'Trips&amp;Operators'!$C$1:$G$99911,5,FALSE)</f>
        <v>BERLING GARY</v>
      </c>
      <c r="M119" s="6">
        <f t="shared" si="39"/>
        <v>2.880787036701804E-2</v>
      </c>
      <c r="N119" s="7">
        <f t="shared" si="57"/>
        <v>41.483333328505978</v>
      </c>
      <c r="O119" s="7"/>
      <c r="P119" s="7"/>
      <c r="Q119" s="22"/>
      <c r="R119" s="170"/>
      <c r="S119" s="213">
        <f t="shared" si="58"/>
        <v>1</v>
      </c>
      <c r="T119" s="195" t="str">
        <f t="shared" si="40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41"/>
        <v>https://d0f6bd738d7f1b3e5a7ca70fe4ff75f0.us-east-1.aws.found.io/app/kibana#/discover/Steve-Slow-Train-Analysis-(2080s-and-2083s)?_g=(refreshInterval:(display:Off,pause:!f,section:0,value:0),time:(from:'2017-08-25T16:35:10-0600',mode:absolute,to:'2017-08-25T19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9" s="197" t="str">
        <f>IF(AA119&lt;VLOOKUP(AG119,Variables!$AC$3:$AD$8,2,FALSE),"Y","N")</f>
        <v>N</v>
      </c>
      <c r="X119" s="197">
        <f t="shared" si="54"/>
        <v>1</v>
      </c>
      <c r="Y119" s="197">
        <f t="shared" si="56"/>
        <v>23.298999999999999</v>
      </c>
      <c r="Z119" s="197">
        <f t="shared" si="55"/>
        <v>1.38E-2</v>
      </c>
      <c r="AA119" s="197">
        <f t="shared" si="43"/>
        <v>23.2852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6">
        <f t="shared" si="44"/>
        <v>206</v>
      </c>
      <c r="AE119" s="77" t="str">
        <f t="shared" si="45"/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119" s="74" t="str">
        <f t="shared" si="46"/>
        <v>"C:\Program Files (x86)\AstroGrep\AstroGrep.exe" /e /r /s /spath="%USERPROFILE%\AppData\Local\Temp\OnboardLogs" /stypes="app*4031*20170826*" /stext=" 00:.+((SYSTEM_STATE.+slice.+state.+changed )|(ment ac)|(multiple cpu faults)|(system.+state.+changed )|(\[timeout)|(PRM\|1\|D)|(kpr)|(kdp)|(train st.+moving)|(\|lc)|(penalty))"</v>
      </c>
      <c r="AG119" s="209" t="str">
        <f t="shared" si="47"/>
        <v>EC</v>
      </c>
      <c r="AH119" s="78" t="str">
        <f t="shared" si="48"/>
        <v>"%USERPROFILE%\Documents\GitHub\eaglep3\Utilities\RefineRTDCRunTimes.py" --tripid 206-25 --locoid 4031 --swversion DE.1.0.9.0 --startMP 204:232990 --initTime 2017-08-25T17:35:10 --startdatetime 2017-08-25T17:42:13 --delay 3 --endMP 204:138 --enddatetime 2017-08-25T18:23:42 --enforcementcount 1 &gt;&gt;C:\Users\stu\Documents\GitHub\eaglep3-reporting\EC\2017-08-25-refined-times.txt</v>
      </c>
      <c r="AI119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{"issue":{"subject":"","project_id":79,"tracker_id":40,"status_id":1,"priority_id":2,"assigned_to_id":23,"start_date":"2017-08-25","description":"","custom_fields":[{"id":1,"name":"Subdivision","value":"EC"},{"id":4,"name":"Milepost","value":"0.0138"},{"id":17,"name":"Train ID","value":"206-25"},{"id":16,"name":"Locomotive ID","value":"4031"},{"id":130,"name":"Impact","value":""},{"id":150,"name":"Time of Event (Mountain Time)","value":"18:23:42"},{"id":151,"name":"Denver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0"/>
        <v>start /low /b %USERPROFILE%\Documents\GitHub\eaglep3\Utilities\DownloadLogsFromS3.py --loco 4031 --day 2017-08-25</v>
      </c>
      <c r="AN119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754</v>
      </c>
      <c r="B120" s="7">
        <v>4014</v>
      </c>
      <c r="C120" s="21" t="s">
        <v>197</v>
      </c>
      <c r="D120" s="21" t="s">
        <v>532</v>
      </c>
      <c r="E120" s="13">
        <v>42972.704201388886</v>
      </c>
      <c r="F120" s="13">
        <v>42972.708993055552</v>
      </c>
      <c r="G120" s="7">
        <v>1</v>
      </c>
      <c r="H120" s="21" t="s">
        <v>534</v>
      </c>
      <c r="I120" s="13">
        <v>42972.734907407408</v>
      </c>
      <c r="J120" s="7">
        <v>1</v>
      </c>
      <c r="K120" s="89" t="str">
        <f t="shared" si="38"/>
        <v>4013/4014</v>
      </c>
      <c r="L120" s="217" t="str">
        <f>VLOOKUP(A120,'Trips&amp;Operators'!$C$1:$G$99911,5,FALSE)</f>
        <v>GUNTHIER ERIC</v>
      </c>
      <c r="M120" s="6">
        <f t="shared" si="39"/>
        <v>2.5914351856044959E-2</v>
      </c>
      <c r="N120" s="7">
        <f t="shared" si="57"/>
        <v>37.316666672704741</v>
      </c>
      <c r="O120" s="7"/>
      <c r="P120" s="7"/>
      <c r="Q120" s="22"/>
      <c r="R120" s="170"/>
      <c r="S120" s="213">
        <f t="shared" si="58"/>
        <v>1</v>
      </c>
      <c r="T120" s="195" t="str">
        <f t="shared" si="40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41"/>
        <v>https://d0f6bd738d7f1b3e5a7ca70fe4ff75f0.us-east-1.aws.found.io/app/kibana#/discover/Steve-Slow-Train-Analysis-(2080s-and-2083s)?_g=(refreshInterval:(display:Off,pause:!f,section:0,value:0),time:(from:'2017-08-25T15:54:03-0600',mode:absolute,to:'2017-08-25T18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0" s="197" t="str">
        <f>IF(AA120&lt;VLOOKUP(AG120,Variables!$AC$3:$AD$8,2,FALSE),"Y","N")</f>
        <v>N</v>
      </c>
      <c r="X120" s="197">
        <f t="shared" si="54"/>
        <v>1</v>
      </c>
      <c r="Y120" s="197">
        <f t="shared" si="56"/>
        <v>4.7699999999999999E-2</v>
      </c>
      <c r="Z120" s="197">
        <f t="shared" si="55"/>
        <v>23.330400000000001</v>
      </c>
      <c r="AA120" s="197">
        <f t="shared" si="43"/>
        <v>23.282700000000002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6">
        <f t="shared" si="44"/>
        <v>207</v>
      </c>
      <c r="AE120" s="77" t="str">
        <f t="shared" si="45"/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AF120" s="74" t="str">
        <f t="shared" si="46"/>
        <v>"C:\Program Files (x86)\AstroGrep\AstroGrep.exe" /e /r /s /spath="%USERPROFILE%\AppData\Local\Temp\OnboardLogs" /stypes="app*4014*20170825*" /stext=" 23:.+((SYSTEM_STATE.+slice.+state.+changed )|(ment ac)|(multiple cpu faults)|(system.+state.+changed )|(\[timeout)|(PRM\|1\|D)|(kpr)|(kdp)|(train st.+moving)|(\|lc)|(penalty))"</v>
      </c>
      <c r="AG120" s="209" t="str">
        <f t="shared" si="47"/>
        <v>EC</v>
      </c>
      <c r="AH120" s="78" t="str">
        <f t="shared" si="48"/>
        <v>"%USERPROFILE%\Documents\GitHub\eaglep3\Utilities\RefineRTDCRunTimes.py" --tripid 207-25 --locoid 4014 --swversion DE.1.0.9.0 --startMP 204:477 --initTime 2017-08-25T16:54:03 --startdatetime 2017-08-25T17:00:57 --delay 1 --endMP 204:233304 --enddatetime 2017-08-25T17:38:16 --enforcementcount 1 &gt;&gt;C:\Users\stu\Documents\GitHub\eaglep3-reporting\EC\2017-08-25-refined-times.txt</v>
      </c>
      <c r="AI120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{"issue":{"subject":"","project_id":79,"tracker_id":40,"status_id":1,"priority_id":2,"assigned_to_id":23,"start_date":"2017-08-25","description":"","custom_fields":[{"id":1,"name":"Subdivision","value":"EC"},{"id":4,"name":"Milepost","value":"23.3304"},{"id":17,"name":"Train ID","value":"207-25"},{"id":16,"name":"Locomotive ID","value":"4014"},{"id":130,"name":"Impact","value":""},{"id":150,"name":"Time of Event (Mountain Time)","value":"17:38:16"},{"id":151,"name":"Denver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0"/>
        <v>start /low /b %USERPROFILE%\Documents\GitHub\eaglep3\Utilities\DownloadLogsFromS3.py --loco 4014 --day 2017-08-25</v>
      </c>
      <c r="AN120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761</v>
      </c>
      <c r="B121" s="7">
        <v>4013</v>
      </c>
      <c r="C121" s="21" t="s">
        <v>197</v>
      </c>
      <c r="D121" s="21" t="s">
        <v>354</v>
      </c>
      <c r="E121" s="13">
        <v>42972.736898148149</v>
      </c>
      <c r="F121" s="13">
        <v>42972.748252314814</v>
      </c>
      <c r="G121" s="7">
        <v>1</v>
      </c>
      <c r="H121" s="21" t="s">
        <v>339</v>
      </c>
      <c r="I121" s="13">
        <v>42972.776030092595</v>
      </c>
      <c r="J121" s="7">
        <v>1</v>
      </c>
      <c r="K121" s="89" t="str">
        <f t="shared" si="38"/>
        <v>4013/4014</v>
      </c>
      <c r="L121" s="217" t="str">
        <f>VLOOKUP(A121,'Trips&amp;Operators'!$C$1:$G$99911,5,FALSE)</f>
        <v>GUNTHIER ERIC</v>
      </c>
      <c r="M121" s="6">
        <f t="shared" si="39"/>
        <v>2.7777777781011537E-2</v>
      </c>
      <c r="N121" s="7">
        <f t="shared" si="57"/>
        <v>40.000000004656613</v>
      </c>
      <c r="O121" s="7"/>
      <c r="P121" s="7"/>
      <c r="Q121" s="22"/>
      <c r="R121" s="170"/>
      <c r="S121" s="213">
        <f t="shared" si="58"/>
        <v>1</v>
      </c>
      <c r="T121" s="195" t="str">
        <f t="shared" si="40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41"/>
        <v>https://d0f6bd738d7f1b3e5a7ca70fe4ff75f0.us-east-1.aws.found.io/app/kibana#/discover/Steve-Slow-Train-Analysis-(2080s-and-2083s)?_g=(refreshInterval:(display:Off,pause:!f,section:0,value:0),time:(from:'2017-08-25T16:41:08-0600',mode:absolute,to:'2017-08-25T19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1" s="197" t="str">
        <f>IF(AA121&lt;VLOOKUP(AG121,Variables!$AC$3:$AD$8,2,FALSE),"Y","N")</f>
        <v>N</v>
      </c>
      <c r="X121" s="197">
        <f t="shared" si="54"/>
        <v>1</v>
      </c>
      <c r="Y121" s="197">
        <f t="shared" si="56"/>
        <v>23.299600000000002</v>
      </c>
      <c r="Z121" s="197">
        <f t="shared" si="55"/>
        <v>1.49E-2</v>
      </c>
      <c r="AA121" s="197">
        <f t="shared" si="43"/>
        <v>23.284700000000001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6">
        <f t="shared" si="44"/>
        <v>208</v>
      </c>
      <c r="AE121" s="77" t="str">
        <f t="shared" si="45"/>
        <v>aws s3 cp s3://rtdc.mdm.uploadarchive.raw/RTDC4013/ "%USERPROFILE%\AppData\Local\Temp\OnboardLogs"\RTDC4013\2017-08-25 --exclude "*" --recursive --include "*20170825*" &amp; "%USERPROFILE%\Documents\GitHub\mrs-test-scripts\Headless Mode &amp; Sideloading\WalkAndUnGZ.bat" "%USERPROFILE%\AppData\Local\Temp\OnboardLogs"\RTDC4013\2017-08-25 &amp; aws s3 cp s3://rtdc.mdm.uploadarchive.raw/RTDC4013/ "%USERPROFILE%\AppData\Local\Temp\OnboardLogs"\RTDC4013\2017-08-26 --exclude "*" --recursive --include "*20170826*" &amp; "%USERPROFILE%\Documents\GitHub\mrs-test-scripts\Headless Mode &amp; Sideloading\WalkAndUnGZ.bat" "%USERPROFILE%\AppData\Local\Temp\OnboardLogs"\RTDC4013\2017-08-26</v>
      </c>
      <c r="AF121" s="74" t="str">
        <f t="shared" si="46"/>
        <v>"C:\Program Files (x86)\AstroGrep\AstroGrep.exe" /e /r /s /spath="%USERPROFILE%\AppData\Local\Temp\OnboardLogs" /stypes="app*4013*20170826*" /stext=" 00:.+((SYSTEM_STATE.+slice.+state.+changed )|(ment ac)|(multiple cpu faults)|(system.+state.+changed )|(\[timeout)|(PRM\|1\|D)|(kpr)|(kdp)|(train st.+moving)|(\|lc)|(penalty))"</v>
      </c>
      <c r="AG121" s="209" t="str">
        <f t="shared" si="47"/>
        <v>EC</v>
      </c>
      <c r="AH121" s="78" t="str">
        <f t="shared" si="48"/>
        <v>"%USERPROFILE%\Documents\GitHub\eaglep3\Utilities\RefineRTDCRunTimes.py" --tripid 208-25 --locoid 4013 --swversion DE.1.0.9.0 --startMP 204:232996 --initTime 2017-08-25T17:41:08 --startdatetime 2017-08-25T17:57:29 --delay 1 --endMP 204:149 --enddatetime 2017-08-25T18:37:29 --enforcementcount 1 &gt;&gt;C:\Users\stu\Documents\GitHub\eaglep3-reporting\EC\2017-08-25-refined-times.txt</v>
      </c>
      <c r="AI121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{"issue":{"subject":"","project_id":79,"tracker_id":40,"status_id":1,"priority_id":2,"assigned_to_id":23,"start_date":"2017-08-25","description":"","custom_fields":[{"id":1,"name":"Subdivision","value":"EC"},{"id":4,"name":"Milepost","value":"0.0149"},{"id":17,"name":"Train ID","value":"208-25"},{"id":16,"name":"Locomotive ID","value":"4013"},{"id":130,"name":"Impact","value":""},{"id":150,"name":"Time of Event (Mountain Time)","value":"18:37:29"},{"id":151,"name":"Denver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0"/>
        <v>start /low /b %USERPROFILE%\Documents\GitHub\eaglep3\Utilities\DownloadLogsFromS3.py --loco 4013 --day 2017-08-25</v>
      </c>
      <c r="AN121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597</v>
      </c>
      <c r="B122" s="7">
        <v>4002</v>
      </c>
      <c r="C122" s="21" t="s">
        <v>197</v>
      </c>
      <c r="D122" s="21" t="s">
        <v>371</v>
      </c>
      <c r="E122" s="13">
        <v>42972.716643518521</v>
      </c>
      <c r="F122" s="13">
        <v>42972.719340277778</v>
      </c>
      <c r="G122" s="7">
        <v>1</v>
      </c>
      <c r="H122" s="21" t="s">
        <v>868</v>
      </c>
      <c r="I122" s="13">
        <v>42972.747337962966</v>
      </c>
      <c r="J122" s="7">
        <v>1</v>
      </c>
      <c r="K122" s="89" t="str">
        <f t="shared" si="38"/>
        <v>4001/4002</v>
      </c>
      <c r="L122" s="217" t="str">
        <f>VLOOKUP(A122,'Trips&amp;Operators'!$C$1:$G$99911,5,FALSE)</f>
        <v>BARRON PERLA</v>
      </c>
      <c r="M122" s="6">
        <f t="shared" si="39"/>
        <v>2.7997685188893229E-2</v>
      </c>
      <c r="N122" s="7">
        <f t="shared" si="57"/>
        <v>40.316666672006249</v>
      </c>
      <c r="O122" s="7"/>
      <c r="P122" s="7"/>
      <c r="Q122" s="22"/>
      <c r="R122" s="170"/>
      <c r="S122" s="213">
        <f t="shared" si="58"/>
        <v>1</v>
      </c>
      <c r="T122" s="195" t="str">
        <f t="shared" si="40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41"/>
        <v>https://d0f6bd738d7f1b3e5a7ca70fe4ff75f0.us-east-1.aws.found.io/app/kibana#/discover/Steve-Slow-Train-Analysis-(2080s-and-2083s)?_g=(refreshInterval:(display:Off,pause:!f,section:0,value:0),time:(from:'2017-08-25T16:11:58-0600',mode:absolute,to:'2017-08-25T18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197" t="str">
        <f>IF(AA122&lt;VLOOKUP(AG122,Variables!$AC$3:$AD$8,2,FALSE),"Y","N")</f>
        <v>N</v>
      </c>
      <c r="X122" s="197">
        <f t="shared" si="54"/>
        <v>1</v>
      </c>
      <c r="Y122" s="197">
        <f t="shared" si="56"/>
        <v>4.5699999999999998E-2</v>
      </c>
      <c r="Z122" s="197">
        <f t="shared" si="55"/>
        <v>23.326599999999999</v>
      </c>
      <c r="AA122" s="197">
        <f t="shared" si="43"/>
        <v>23.280899999999999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6">
        <f t="shared" si="44"/>
        <v>209</v>
      </c>
      <c r="AE122" s="77" t="str">
        <f t="shared" si="45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122" s="74" t="str">
        <f t="shared" si="46"/>
        <v>"C:\Program Files (x86)\AstroGrep\AstroGrep.exe" /e /r /s /spath="%USERPROFILE%\AppData\Local\Temp\OnboardLogs" /stypes="app*4002*20170825*" /stext=" 23:.+((SYSTEM_STATE.+slice.+state.+changed )|(ment ac)|(multiple cpu faults)|(system.+state.+changed )|(\[timeout)|(PRM\|1\|D)|(kpr)|(kdp)|(train st.+moving)|(\|lc)|(penalty))"</v>
      </c>
      <c r="AG122" s="209" t="str">
        <f t="shared" si="47"/>
        <v>EC</v>
      </c>
      <c r="AH122" s="78" t="str">
        <f t="shared" si="48"/>
        <v>"%USERPROFILE%\Documents\GitHub\eaglep3\Utilities\RefineRTDCRunTimes.py" --tripid 209-25 --locoid 4002 --swversion DE.1.0.9.0 --startMP 204:457 --initTime 2017-08-25T17:11:58 --startdatetime 2017-08-25T17:15:51 --delay 1 --endMP 204:233266 --enddatetime 2017-08-25T17:56:10 --enforcementcount 1 &gt;&gt;C:\Users\stu\Documents\GitHub\eaglep3-reporting\EC\2017-08-25-refined-times.txt</v>
      </c>
      <c r="AI122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{"issue":{"subject":"","project_id":79,"tracker_id":40,"status_id":1,"priority_id":2,"assigned_to_id":23,"start_date":"2017-08-25","description":"","custom_fields":[{"id":1,"name":"Subdivision","value":"EC"},{"id":4,"name":"Milepost","value":"23.3266"},{"id":17,"name":"Train ID","value":"209-25"},{"id":16,"name":"Locomotive ID","value":"4002"},{"id":130,"name":"Impact","value":""},{"id":150,"name":"Time of Event (Mountain Time)","value":"17:56:10"},{"id":151,"name":"Denver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0"/>
        <v>start /low /b %USERPROFILE%\Documents\GitHub\eaglep3\Utilities\DownloadLogsFromS3.py --loco 4002 --day 2017-08-25</v>
      </c>
      <c r="AN122" s="151" t="str">
        <f t="shared" si="5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765</v>
      </c>
      <c r="B123" s="7">
        <v>4001</v>
      </c>
      <c r="C123" s="21" t="s">
        <v>197</v>
      </c>
      <c r="D123" s="21" t="s">
        <v>528</v>
      </c>
      <c r="E123" s="13">
        <v>42972.756689814814</v>
      </c>
      <c r="F123" s="13">
        <v>42972.758657407408</v>
      </c>
      <c r="G123" s="7">
        <v>1</v>
      </c>
      <c r="H123" s="21" t="s">
        <v>350</v>
      </c>
      <c r="I123" s="13">
        <v>42972.785775462966</v>
      </c>
      <c r="J123" s="7">
        <v>1</v>
      </c>
      <c r="K123" s="89" t="str">
        <f t="shared" si="38"/>
        <v>4001/4002</v>
      </c>
      <c r="L123" s="217" t="str">
        <f>VLOOKUP(A123,'Trips&amp;Operators'!$C$1:$G$99911,5,FALSE)</f>
        <v>BARRON PERLA</v>
      </c>
      <c r="M123" s="6">
        <f t="shared" si="39"/>
        <v>2.7118055557366461E-2</v>
      </c>
      <c r="N123" s="7">
        <f t="shared" si="57"/>
        <v>39.050000002607703</v>
      </c>
      <c r="O123" s="7"/>
      <c r="P123" s="7"/>
      <c r="Q123" s="22"/>
      <c r="R123" s="170"/>
      <c r="S123" s="213">
        <f t="shared" si="58"/>
        <v>1</v>
      </c>
      <c r="T123" s="195" t="str">
        <f t="shared" si="40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41"/>
        <v>https://d0f6bd738d7f1b3e5a7ca70fe4ff75f0.us-east-1.aws.found.io/app/kibana#/discover/Steve-Slow-Train-Analysis-(2080s-and-2083s)?_g=(refreshInterval:(display:Off,pause:!f,section:0,value:0),time:(from:'2017-08-25T17:09:38-0600',mode:absolute,to:'2017-08-25T19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197" t="str">
        <f>IF(AA123&lt;VLOOKUP(AG123,Variables!$AC$3:$AD$8,2,FALSE),"Y","N")</f>
        <v>N</v>
      </c>
      <c r="X123" s="197">
        <f t="shared" si="54"/>
        <v>1</v>
      </c>
      <c r="Y123" s="197">
        <f t="shared" si="56"/>
        <v>23.2959</v>
      </c>
      <c r="Z123" s="197">
        <f t="shared" si="55"/>
        <v>1.54E-2</v>
      </c>
      <c r="AA123" s="197">
        <f t="shared" si="43"/>
        <v>23.2805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6">
        <f t="shared" si="44"/>
        <v>210</v>
      </c>
      <c r="AE123" s="77" t="str">
        <f t="shared" si="45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123" s="74" t="str">
        <f t="shared" si="46"/>
        <v>"C:\Program Files (x86)\AstroGrep\AstroGrep.exe" /e /r /s /spath="%USERPROFILE%\AppData\Local\Temp\OnboardLogs" /stypes="app*4001*20170826*" /stext=" 00:.+((SYSTEM_STATE.+slice.+state.+changed )|(ment ac)|(multiple cpu faults)|(system.+state.+changed )|(\[timeout)|(PRM\|1\|D)|(kpr)|(kdp)|(train st.+moving)|(\|lc)|(penalty))"</v>
      </c>
      <c r="AG123" s="209" t="str">
        <f t="shared" si="47"/>
        <v>EC</v>
      </c>
      <c r="AH123" s="78" t="str">
        <f t="shared" si="48"/>
        <v>"%USERPROFILE%\Documents\GitHub\eaglep3\Utilities\RefineRTDCRunTimes.py" --tripid 210-25 --locoid 4001 --swversion DE.1.0.9.0 --startMP 204:232959 --initTime 2017-08-25T18:09:38 --startdatetime 2017-08-25T18:12:28 --delay 1 --endMP 204:154 --enddatetime 2017-08-25T18:51:31 --enforcementcount 1 &gt;&gt;C:\Users\stu\Documents\GitHub\eaglep3-reporting\EC\2017-08-25-refined-times.txt</v>
      </c>
      <c r="AI123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{"issue":{"subject":"","project_id":79,"tracker_id":40,"status_id":1,"priority_id":2,"assigned_to_id":23,"start_date":"2017-08-25","description":"","custom_fields":[{"id":1,"name":"Subdivision","value":"EC"},{"id":4,"name":"Milepost","value":"0.0154"},{"id":17,"name":"Train ID","value":"210-25"},{"id":16,"name":"Locomotive ID","value":"4001"},{"id":130,"name":"Impact","value":""},{"id":150,"name":"Time of Event (Mountain Time)","value":"18:51:31"},{"id":151,"name":"Denver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0"/>
        <v>start /low /b %USERPROFILE%\Documents\GitHub\eaglep3\Utilities\DownloadLogsFromS3.py --loco 4001 --day 2017-08-25</v>
      </c>
      <c r="AN123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758</v>
      </c>
      <c r="B124" s="7">
        <v>4042</v>
      </c>
      <c r="C124" s="21" t="s">
        <v>197</v>
      </c>
      <c r="D124" s="21" t="s">
        <v>374</v>
      </c>
      <c r="E124" s="13">
        <v>42972.726423611108</v>
      </c>
      <c r="F124" s="13">
        <v>42972.729641203703</v>
      </c>
      <c r="G124" s="7">
        <v>1</v>
      </c>
      <c r="H124" s="21" t="s">
        <v>869</v>
      </c>
      <c r="I124" s="13">
        <v>42972.754444444443</v>
      </c>
      <c r="J124" s="7">
        <v>1</v>
      </c>
      <c r="K124" s="89" t="str">
        <f t="shared" si="38"/>
        <v>4041/4042</v>
      </c>
      <c r="L124" s="217" t="str">
        <f>VLOOKUP(A124,'Trips&amp;Operators'!$C$1:$G$99911,5,FALSE)</f>
        <v>LEVIN SCOTT</v>
      </c>
      <c r="M124" s="6">
        <f t="shared" si="39"/>
        <v>2.4803240739856847E-2</v>
      </c>
      <c r="N124" s="7">
        <f t="shared" si="57"/>
        <v>35.716666665393859</v>
      </c>
      <c r="O124" s="7"/>
      <c r="P124" s="7"/>
      <c r="Q124" s="22"/>
      <c r="R124" s="170"/>
      <c r="S124" s="213">
        <f t="shared" si="58"/>
        <v>1</v>
      </c>
      <c r="T124" s="195" t="str">
        <f t="shared" si="40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41"/>
        <v>https://d0f6bd738d7f1b3e5a7ca70fe4ff75f0.us-east-1.aws.found.io/app/kibana#/discover/Steve-Slow-Train-Analysis-(2080s-and-2083s)?_g=(refreshInterval:(display:Off,pause:!f,section:0,value:0),time:(from:'2017-08-25T16:26:03-0600',mode:absolute,to:'2017-08-25T19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4" s="197" t="str">
        <f>IF(AA124&lt;VLOOKUP(AG124,Variables!$AC$3:$AD$8,2,FALSE),"Y","N")</f>
        <v>N</v>
      </c>
      <c r="X124" s="197">
        <f t="shared" si="54"/>
        <v>1</v>
      </c>
      <c r="Y124" s="197">
        <f t="shared" si="56"/>
        <v>4.6399999999999997E-2</v>
      </c>
      <c r="Z124" s="197">
        <f t="shared" si="55"/>
        <v>23.3325</v>
      </c>
      <c r="AA124" s="197">
        <f t="shared" si="43"/>
        <v>23.286100000000001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6">
        <f t="shared" si="44"/>
        <v>211</v>
      </c>
      <c r="AE124" s="77" t="str">
        <f t="shared" si="45"/>
        <v>aws s3 cp s3://rtdc.mdm.uploadarchive.raw/RTDC4042/ "%USERPROFILE%\AppData\Local\Temp\OnboardLogs"\RTDC4042\2017-08-25 --exclude "*" --recursive --include "*20170825*" &amp; "%USERPROFILE%\Documents\GitHub\mrs-test-scripts\Headless Mode &amp; Sideloading\WalkAndUnGZ.bat" "%USERPROFILE%\AppData\Local\Temp\OnboardLogs"\RTDC4042\2017-08-25 &amp; aws s3 cp s3://rtdc.mdm.uploadarchive.raw/RTDC4042/ "%USERPROFILE%\AppData\Local\Temp\OnboardLogs"\RTDC4042\2017-08-26 --exclude "*" --recursive --include "*20170826*" &amp; "%USERPROFILE%\Documents\GitHub\mrs-test-scripts\Headless Mode &amp; Sideloading\WalkAndUnGZ.bat" "%USERPROFILE%\AppData\Local\Temp\OnboardLogs"\RTDC4042\2017-08-26</v>
      </c>
      <c r="AF124" s="74" t="str">
        <f t="shared" si="46"/>
        <v>"C:\Program Files (x86)\AstroGrep\AstroGrep.exe" /e /r /s /spath="%USERPROFILE%\AppData\Local\Temp\OnboardLogs" /stypes="app*4042*20170826*" /stext=" 00:.+((SYSTEM_STATE.+slice.+state.+changed )|(ment ac)|(multiple cpu faults)|(system.+state.+changed )|(\[timeout)|(PRM\|1\|D)|(kpr)|(kdp)|(train st.+moving)|(\|lc)|(penalty))"</v>
      </c>
      <c r="AG124" s="209" t="str">
        <f t="shared" si="47"/>
        <v>EC</v>
      </c>
      <c r="AH124" s="78" t="str">
        <f t="shared" si="48"/>
        <v>"%USERPROFILE%\Documents\GitHub\eaglep3\Utilities\RefineRTDCRunTimes.py" --tripid 211-25 --locoid 4042 --swversion DE.1.0.9.0 --startMP 204:464 --initTime 2017-08-25T17:26:03 --startdatetime 2017-08-25T17:30:41 --delay 1 --endMP 204:233325 --enddatetime 2017-08-25T18:06:24 --enforcementcount 1 &gt;&gt;C:\Users\stu\Documents\GitHub\eaglep3-reporting\EC\2017-08-25-refined-times.txt</v>
      </c>
      <c r="AI124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{"issue":{"subject":"","project_id":79,"tracker_id":40,"status_id":1,"priority_id":2,"assigned_to_id":23,"start_date":"2017-08-25","description":"","custom_fields":[{"id":1,"name":"Subdivision","value":"EC"},{"id":4,"name":"Milepost","value":"23.3325"},{"id":17,"name":"Train ID","value":"211-25"},{"id":16,"name":"Locomotive ID","value":"4042"},{"id":130,"name":"Impact","value":""},{"id":150,"name":"Time of Event (Mountain Time)","value":"18:06:24"},{"id":151,"name":"Denver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0"/>
        <v>start /low /b %USERPROFILE%\Documents\GitHub\eaglep3\Utilities\DownloadLogsFromS3.py --loco 4042 --day 2017-08-25</v>
      </c>
      <c r="AN124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768</v>
      </c>
      <c r="B125" s="7">
        <v>4041</v>
      </c>
      <c r="C125" s="21" t="s">
        <v>197</v>
      </c>
      <c r="D125" s="21" t="s">
        <v>847</v>
      </c>
      <c r="E125" s="13">
        <v>42972.765393518515</v>
      </c>
      <c r="F125" s="13">
        <v>42972.769016203703</v>
      </c>
      <c r="G125" s="7">
        <v>1</v>
      </c>
      <c r="H125" s="21" t="s">
        <v>367</v>
      </c>
      <c r="I125" s="13">
        <v>42972.795023148145</v>
      </c>
      <c r="J125" s="7">
        <v>1</v>
      </c>
      <c r="K125" s="89" t="str">
        <f t="shared" si="38"/>
        <v>4041/4042</v>
      </c>
      <c r="L125" s="217" t="str">
        <f>VLOOKUP(A125,'Trips&amp;Operators'!$C$1:$G$99911,5,FALSE)</f>
        <v>LEVIN SCOTT</v>
      </c>
      <c r="M125" s="6">
        <f t="shared" si="39"/>
        <v>2.6006944441178348E-2</v>
      </c>
      <c r="N125" s="7">
        <f t="shared" si="57"/>
        <v>37.449999995296821</v>
      </c>
      <c r="O125" s="7"/>
      <c r="P125" s="7"/>
      <c r="Q125" s="22"/>
      <c r="R125" s="170"/>
      <c r="S125" s="213">
        <f t="shared" si="58"/>
        <v>1</v>
      </c>
      <c r="T125" s="195" t="str">
        <f t="shared" si="40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41"/>
        <v>https://d0f6bd738d7f1b3e5a7ca70fe4ff75f0.us-east-1.aws.found.io/app/kibana#/discover/Steve-Slow-Train-Analysis-(2080s-and-2083s)?_g=(refreshInterval:(display:Off,pause:!f,section:0,value:0),time:(from:'2017-08-25T17:22:10-0600',mode:absolute,to:'2017-08-25T20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5" s="197" t="str">
        <f>IF(AA125&lt;VLOOKUP(AG125,Variables!$AC$3:$AD$8,2,FALSE),"Y","N")</f>
        <v>N</v>
      </c>
      <c r="X125" s="197">
        <f t="shared" si="54"/>
        <v>1</v>
      </c>
      <c r="Y125" s="197">
        <f t="shared" si="56"/>
        <v>23.300799999999999</v>
      </c>
      <c r="Z125" s="197">
        <f t="shared" si="55"/>
        <v>1.5800000000000002E-2</v>
      </c>
      <c r="AA125" s="197">
        <f t="shared" si="43"/>
        <v>23.285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6">
        <f t="shared" si="44"/>
        <v>212</v>
      </c>
      <c r="AE125" s="77" t="str">
        <f t="shared" si="45"/>
        <v>aws s3 cp s3://rtdc.mdm.uploadarchive.raw/RTDC4041/ "%USERPROFILE%\AppData\Local\Temp\OnboardLogs"\RTDC4041\2017-08-25 --exclude "*" --recursive --include "*20170825*" &amp; "%USERPROFILE%\Documents\GitHub\mrs-test-scripts\Headless Mode &amp; Sideloading\WalkAndUnGZ.bat" "%USERPROFILE%\AppData\Local\Temp\OnboardLogs"\RTDC4041\2017-08-25 &amp; aws s3 cp s3://rtdc.mdm.uploadarchive.raw/RTDC4041/ "%USERPROFILE%\AppData\Local\Temp\OnboardLogs"\RTDC4041\2017-08-26 --exclude "*" --recursive --include "*20170826*" &amp; "%USERPROFILE%\Documents\GitHub\mrs-test-scripts\Headless Mode &amp; Sideloading\WalkAndUnGZ.bat" "%USERPROFILE%\AppData\Local\Temp\OnboardLogs"\RTDC4041\2017-08-26</v>
      </c>
      <c r="AF125" s="74" t="str">
        <f t="shared" si="46"/>
        <v>"C:\Program Files (x86)\AstroGrep\AstroGrep.exe" /e /r /s /spath="%USERPROFILE%\AppData\Local\Temp\OnboardLogs" /stypes="app*4041*20170826*" /stext=" 01:.+((SYSTEM_STATE.+slice.+state.+changed )|(ment ac)|(multiple cpu faults)|(system.+state.+changed )|(\[timeout)|(PRM\|1\|D)|(kpr)|(kdp)|(train st.+moving)|(\|lc)|(penalty))"</v>
      </c>
      <c r="AG125" s="209" t="str">
        <f t="shared" si="47"/>
        <v>EC</v>
      </c>
      <c r="AH125" s="78" t="str">
        <f t="shared" si="48"/>
        <v>"%USERPROFILE%\Documents\GitHub\eaglep3\Utilities\RefineRTDCRunTimes.py" --tripid 212-25 --locoid 4041 --swversion DE.1.0.9.0 --startMP 204:233008 --initTime 2017-08-25T18:22:10 --startdatetime 2017-08-25T18:27:23 --delay 1 --endMP 204:158 --enddatetime 2017-08-25T19:04:50 --enforcementcount 1 &gt;&gt;C:\Users\stu\Documents\GitHub\eaglep3-reporting\EC\2017-08-25-refined-times.txt</v>
      </c>
      <c r="AI125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{"issue":{"subject":"","project_id":79,"tracker_id":40,"status_id":1,"priority_id":2,"assigned_to_id":23,"start_date":"2017-08-25","description":"","custom_fields":[{"id":1,"name":"Subdivision","value":"EC"},{"id":4,"name":"Milepost","value":"0.0158"},{"id":17,"name":"Train ID","value":"212-25"},{"id":16,"name":"Locomotive ID","value":"4041"},{"id":130,"name":"Impact","value":""},{"id":150,"name":"Time of Event (Mountain Time)","value":"19:04:50"},{"id":151,"name":"Denver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0"/>
        <v>start /low /b %USERPROFILE%\Documents\GitHub\eaglep3\Utilities\DownloadLogsFromS3.py --loco 4041 --day 2017-08-25</v>
      </c>
      <c r="AN125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01:04:50"},{"id":29,"name":"Sharepoint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762</v>
      </c>
      <c r="B126" s="7">
        <v>4030</v>
      </c>
      <c r="C126" s="21" t="s">
        <v>197</v>
      </c>
      <c r="D126" s="21" t="s">
        <v>870</v>
      </c>
      <c r="E126" s="13">
        <v>42972.737997685188</v>
      </c>
      <c r="F126" s="13">
        <v>42972.740347222221</v>
      </c>
      <c r="G126" s="7">
        <v>1</v>
      </c>
      <c r="H126" s="21" t="s">
        <v>406</v>
      </c>
      <c r="I126" s="13">
        <v>42972.766342592593</v>
      </c>
      <c r="J126" s="7">
        <v>1</v>
      </c>
      <c r="K126" s="89" t="str">
        <f t="shared" si="38"/>
        <v>4029/4030</v>
      </c>
      <c r="L126" s="217" t="str">
        <f>VLOOKUP(A126,'Trips&amp;Operators'!$C$1:$G$99911,5,FALSE)</f>
        <v>WEST BRYAN</v>
      </c>
      <c r="M126" s="6">
        <f t="shared" si="39"/>
        <v>2.5995370371674653E-2</v>
      </c>
      <c r="N126" s="7">
        <f t="shared" si="57"/>
        <v>37.433333335211501</v>
      </c>
      <c r="O126" s="7"/>
      <c r="P126" s="7"/>
      <c r="Q126" s="22"/>
      <c r="R126" s="170"/>
      <c r="S126" s="213">
        <f t="shared" si="58"/>
        <v>1</v>
      </c>
      <c r="T126" s="195" t="str">
        <f t="shared" si="40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41"/>
        <v>https://d0f6bd738d7f1b3e5a7ca70fe4ff75f0.us-east-1.aws.found.io/app/kibana#/discover/Steve-Slow-Train-Analysis-(2080s-and-2083s)?_g=(refreshInterval:(display:Off,pause:!f,section:0,value:0),time:(from:'2017-08-25T16:42:43-0600',mode:absolute,to:'2017-08-25T19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6" s="197" t="str">
        <f>IF(AA126&lt;VLOOKUP(AG126,Variables!$AC$3:$AD$8,2,FALSE),"Y","N")</f>
        <v>N</v>
      </c>
      <c r="X126" s="197">
        <f t="shared" si="54"/>
        <v>1</v>
      </c>
      <c r="Y126" s="197">
        <f t="shared" si="56"/>
        <v>4.8599999999999997E-2</v>
      </c>
      <c r="Z126" s="197">
        <f t="shared" si="55"/>
        <v>23.328900000000001</v>
      </c>
      <c r="AA126" s="197">
        <f t="shared" si="43"/>
        <v>23.2803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6">
        <f t="shared" si="44"/>
        <v>213</v>
      </c>
      <c r="AE126" s="77" t="str">
        <f t="shared" si="45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126" s="74" t="str">
        <f t="shared" si="46"/>
        <v>"C:\Program Files (x86)\AstroGrep\AstroGrep.exe" /e /r /s /spath="%USERPROFILE%\AppData\Local\Temp\OnboardLogs" /stypes="app*4030*20170826*" /stext=" 00:.+((SYSTEM_STATE.+slice.+state.+changed )|(ment ac)|(multiple cpu faults)|(system.+state.+changed )|(\[timeout)|(PRM\|1\|D)|(kpr)|(kdp)|(train st.+moving)|(\|lc)|(penalty))"</v>
      </c>
      <c r="AG126" s="209" t="str">
        <f t="shared" si="47"/>
        <v>EC</v>
      </c>
      <c r="AH126" s="78" t="str">
        <f t="shared" si="48"/>
        <v>"%USERPROFILE%\Documents\GitHub\eaglep3\Utilities\RefineRTDCRunTimes.py" --tripid 213-25 --locoid 4030 --swversion DE.1.0.9.0 --startMP 204:486 --initTime 2017-08-25T17:42:43 --startdatetime 2017-08-25T17:46:06 --delay 1 --endMP 204:233289 --enddatetime 2017-08-25T18:23:32 --enforcementcount 1 &gt;&gt;C:\Users\stu\Documents\GitHub\eaglep3-reporting\EC\2017-08-25-refined-times.txt</v>
      </c>
      <c r="AI126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{"issue":{"subject":"","project_id":79,"tracker_id":40,"status_id":1,"priority_id":2,"assigned_to_id":23,"start_date":"2017-08-25","description":"","custom_fields":[{"id":1,"name":"Subdivision","value":"EC"},{"id":4,"name":"Milepost","value":"23.3289"},{"id":17,"name":"Train ID","value":"213-25"},{"id":16,"name":"Locomotive ID","value":"4030"},{"id":130,"name":"Impact","value":""},{"id":150,"name":"Time of Event (Mountain Time)","value":"18:23:32"},{"id":151,"name":"Denver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0"/>
        <v>start /low /b %USERPROFILE%\Documents\GitHub\eaglep3\Utilities\DownloadLogsFromS3.py --loco 4030 --day 2017-08-25</v>
      </c>
      <c r="AN126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770</v>
      </c>
      <c r="B127" s="7">
        <v>4029</v>
      </c>
      <c r="C127" s="21" t="s">
        <v>197</v>
      </c>
      <c r="D127" s="21" t="s">
        <v>871</v>
      </c>
      <c r="E127" s="13">
        <v>42972.776354166665</v>
      </c>
      <c r="F127" s="13">
        <v>42972.779479166667</v>
      </c>
      <c r="G127" s="7">
        <v>1</v>
      </c>
      <c r="H127" s="21" t="s">
        <v>872</v>
      </c>
      <c r="I127" s="13">
        <v>42972.806620370371</v>
      </c>
      <c r="J127" s="7">
        <v>1</v>
      </c>
      <c r="K127" s="89" t="str">
        <f t="shared" si="38"/>
        <v>4029/4030</v>
      </c>
      <c r="L127" s="217" t="str">
        <f>VLOOKUP(A127,'Trips&amp;Operators'!$C$1:$G$99911,5,FALSE)</f>
        <v>WEST BRYAN</v>
      </c>
      <c r="M127" s="6">
        <f t="shared" si="39"/>
        <v>2.7141203703649808E-2</v>
      </c>
      <c r="N127" s="7">
        <f t="shared" si="57"/>
        <v>39.083333333255723</v>
      </c>
      <c r="O127" s="7"/>
      <c r="P127" s="7"/>
      <c r="Q127" s="22"/>
      <c r="R127" s="170"/>
      <c r="S127" s="213">
        <f t="shared" si="58"/>
        <v>1</v>
      </c>
      <c r="T127" s="195" t="str">
        <f t="shared" si="40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41"/>
        <v>https://d0f6bd738d7f1b3e5a7ca70fe4ff75f0.us-east-1.aws.found.io/app/kibana#/discover/Steve-Slow-Train-Analysis-(2080s-and-2083s)?_g=(refreshInterval:(display:Off,pause:!f,section:0,value:0),time:(from:'2017-08-25T17:37:57-0600',mode:absolute,to:'2017-08-25T20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197" t="str">
        <f>IF(AA127&lt;VLOOKUP(AG127,Variables!$AC$3:$AD$8,2,FALSE),"Y","N")</f>
        <v>N</v>
      </c>
      <c r="X127" s="197">
        <f t="shared" si="54"/>
        <v>1</v>
      </c>
      <c r="Y127" s="197">
        <f t="shared" si="56"/>
        <v>23.296700000000001</v>
      </c>
      <c r="Z127" s="197">
        <f t="shared" si="55"/>
        <v>1.78E-2</v>
      </c>
      <c r="AA127" s="197">
        <f t="shared" si="43"/>
        <v>23.2789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6">
        <f t="shared" si="44"/>
        <v>214</v>
      </c>
      <c r="AE127" s="77" t="str">
        <f t="shared" si="45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127" s="74" t="str">
        <f t="shared" si="46"/>
        <v>"C:\Program Files (x86)\AstroGrep\AstroGrep.exe" /e /r /s /spath="%USERPROFILE%\AppData\Local\Temp\OnboardLogs" /stypes="app*4029*20170826*" /stext=" 01:.+((SYSTEM_STATE.+slice.+state.+changed )|(ment ac)|(multiple cpu faults)|(system.+state.+changed )|(\[timeout)|(PRM\|1\|D)|(kpr)|(kdp)|(train st.+moving)|(\|lc)|(penalty))"</v>
      </c>
      <c r="AG127" s="209" t="str">
        <f t="shared" si="47"/>
        <v>EC</v>
      </c>
      <c r="AH127" s="78" t="str">
        <f t="shared" si="48"/>
        <v>"%USERPROFILE%\Documents\GitHub\eaglep3\Utilities\RefineRTDCRunTimes.py" --tripid 214-25 --locoid 4029 --swversion DE.1.0.9.0 --startMP 204:232967 --initTime 2017-08-25T18:37:57 --startdatetime 2017-08-25T18:42:27 --delay 1 --endMP 204:178 --enddatetime 2017-08-25T19:21:32 --enforcementcount 1 &gt;&gt;C:\Users\stu\Documents\GitHub\eaglep3-reporting\EC\2017-08-25-refined-times.txt</v>
      </c>
      <c r="AI127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{"issue":{"subject":"","project_id":79,"tracker_id":40,"status_id":1,"priority_id":2,"assigned_to_id":23,"start_date":"2017-08-25","description":"","custom_fields":[{"id":1,"name":"Subdivision","value":"EC"},{"id":4,"name":"Milepost","value":"0.0178"},{"id":17,"name":"Train ID","value":"214-25"},{"id":16,"name":"Locomotive ID","value":"4029"},{"id":130,"name":"Impact","value":""},{"id":150,"name":"Time of Event (Mountain Time)","value":"19:21:32"},{"id":151,"name":"Denver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0"/>
        <v>start /low /b %USERPROFILE%\Documents\GitHub\eaglep3\Utilities\DownloadLogsFromS3.py --loco 4029 --day 2017-08-25</v>
      </c>
      <c r="AN127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01:21:32"},{"id":29,"name":"Sharepoint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763</v>
      </c>
      <c r="B128" s="7">
        <v>4058</v>
      </c>
      <c r="C128" s="21" t="s">
        <v>197</v>
      </c>
      <c r="D128" s="21" t="s">
        <v>820</v>
      </c>
      <c r="E128" s="13">
        <v>42972.745775462965</v>
      </c>
      <c r="F128" s="13">
        <v>42972.750578703701</v>
      </c>
      <c r="G128" s="7">
        <v>1</v>
      </c>
      <c r="H128" s="21" t="s">
        <v>402</v>
      </c>
      <c r="I128" s="13">
        <v>42972.775138888886</v>
      </c>
      <c r="J128" s="7">
        <v>1</v>
      </c>
      <c r="K128" s="89" t="str">
        <f t="shared" si="38"/>
        <v>4057/4058</v>
      </c>
      <c r="L128" s="217" t="str">
        <f>VLOOKUP(A128,'Trips&amp;Operators'!$C$1:$G$99911,5,FALSE)</f>
        <v>HOLCOMB KAMDEN</v>
      </c>
      <c r="M128" s="6">
        <f t="shared" si="39"/>
        <v>2.4560185185691807E-2</v>
      </c>
      <c r="N128" s="7">
        <f t="shared" si="57"/>
        <v>35.366666667396203</v>
      </c>
      <c r="O128" s="7"/>
      <c r="P128" s="7"/>
      <c r="Q128" s="22"/>
      <c r="R128" s="170"/>
      <c r="S128" s="213">
        <f t="shared" si="58"/>
        <v>1</v>
      </c>
      <c r="T128" s="195" t="str">
        <f t="shared" si="40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41"/>
        <v>https://d0f6bd738d7f1b3e5a7ca70fe4ff75f0.us-east-1.aws.found.io/app/kibana#/discover/Steve-Slow-Train-Analysis-(2080s-and-2083s)?_g=(refreshInterval:(display:Off,pause:!f,section:0,value:0),time:(from:'2017-08-25T16:53:55-0600',mode:absolute,to:'2017-08-25T19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8" s="197" t="str">
        <f>IF(AA128&lt;VLOOKUP(AG128,Variables!$AC$3:$AD$8,2,FALSE),"Y","N")</f>
        <v>N</v>
      </c>
      <c r="X128" s="197">
        <f t="shared" si="54"/>
        <v>1</v>
      </c>
      <c r="Y128" s="197">
        <f t="shared" si="56"/>
        <v>4.8399999999999999E-2</v>
      </c>
      <c r="Z128" s="197">
        <f t="shared" si="55"/>
        <v>23.331199999999999</v>
      </c>
      <c r="AA128" s="197">
        <f t="shared" si="43"/>
        <v>23.282799999999998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6">
        <f t="shared" si="44"/>
        <v>215</v>
      </c>
      <c r="AE128" s="77" t="str">
        <f t="shared" si="45"/>
        <v>aws s3 cp s3://rtdc.mdm.uploadarchive.raw/RTDC4058/ "%USERPROFILE%\AppData\Local\Temp\OnboardLogs"\RTDC4058\2017-08-25 --exclude "*" --recursive --include "*20170825*" &amp; "%USERPROFILE%\Documents\GitHub\mrs-test-scripts\Headless Mode &amp; Sideloading\WalkAndUnGZ.bat" "%USERPROFILE%\AppData\Local\Temp\OnboardLogs"\RTDC4058\2017-08-25 &amp; aws s3 cp s3://rtdc.mdm.uploadarchive.raw/RTDC4058/ "%USERPROFILE%\AppData\Local\Temp\OnboardLogs"\RTDC4058\2017-08-26 --exclude "*" --recursive --include "*20170826*" &amp; "%USERPROFILE%\Documents\GitHub\mrs-test-scripts\Headless Mode &amp; Sideloading\WalkAndUnGZ.bat" "%USERPROFILE%\AppData\Local\Temp\OnboardLogs"\RTDC4058\2017-08-26</v>
      </c>
      <c r="AF128" s="74" t="str">
        <f t="shared" si="46"/>
        <v>"C:\Program Files (x86)\AstroGrep\AstroGrep.exe" /e /r /s /spath="%USERPROFILE%\AppData\Local\Temp\OnboardLogs" /stypes="app*4058*20170826*" /stext=" 00:.+((SYSTEM_STATE.+slice.+state.+changed )|(ment ac)|(multiple cpu faults)|(system.+state.+changed )|(\[timeout)|(PRM\|1\|D)|(kpr)|(kdp)|(train st.+moving)|(\|lc)|(penalty))"</v>
      </c>
      <c r="AG128" s="209" t="str">
        <f t="shared" si="47"/>
        <v>EC</v>
      </c>
      <c r="AH128" s="78" t="str">
        <f t="shared" si="48"/>
        <v>"%USERPROFILE%\Documents\GitHub\eaglep3\Utilities\RefineRTDCRunTimes.py" --tripid 215-25 --locoid 4058 --swversion DE.1.0.9.0 --startMP 204:484 --initTime 2017-08-25T17:53:55 --startdatetime 2017-08-25T18:00:50 --delay 1 --endMP 204:233312 --enddatetime 2017-08-25T18:36:12 --enforcementcount 1 &gt;&gt;C:\Users\stu\Documents\GitHub\eaglep3-reporting\EC\2017-08-25-refined-times.txt</v>
      </c>
      <c r="AI128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{"issue":{"subject":"","project_id":79,"tracker_id":40,"status_id":1,"priority_id":2,"assigned_to_id":23,"start_date":"2017-08-25","description":"","custom_fields":[{"id":1,"name":"Subdivision","value":"EC"},{"id":4,"name":"Milepost","value":"23.3312"},{"id":17,"name":"Train ID","value":"215-25"},{"id":16,"name":"Locomotive ID","value":"4058"},{"id":130,"name":"Impact","value":""},{"id":150,"name":"Time of Event (Mountain Time)","value":"18:36:12"},{"id":151,"name":"Denver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0"/>
        <v>start /low /b %USERPROFILE%\Documents\GitHub\eaglep3\Utilities\DownloadLogsFromS3.py --loco 4058 --day 2017-08-25</v>
      </c>
      <c r="AN128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604</v>
      </c>
      <c r="B129" s="7">
        <v>4057</v>
      </c>
      <c r="C129" s="21" t="s">
        <v>197</v>
      </c>
      <c r="D129" s="21" t="s">
        <v>446</v>
      </c>
      <c r="E129" s="13">
        <v>42972.786863425928</v>
      </c>
      <c r="F129" s="13">
        <v>42972.78974537037</v>
      </c>
      <c r="G129" s="7">
        <v>1</v>
      </c>
      <c r="H129" s="21" t="s">
        <v>541</v>
      </c>
      <c r="I129" s="13">
        <v>42972.815659722219</v>
      </c>
      <c r="J129" s="7">
        <v>1</v>
      </c>
      <c r="K129" s="89" t="str">
        <f t="shared" si="38"/>
        <v>4057/4058</v>
      </c>
      <c r="L129" s="217" t="str">
        <f>VLOOKUP(A129,'Trips&amp;Operators'!$C$1:$G$99911,5,FALSE)</f>
        <v>HOLCOMB KAMDEN</v>
      </c>
      <c r="M129" s="6">
        <f t="shared" si="39"/>
        <v>2.5914351848769002E-2</v>
      </c>
      <c r="N129" s="7">
        <f t="shared" si="57"/>
        <v>37.316666662227362</v>
      </c>
      <c r="O129" s="7"/>
      <c r="P129" s="7"/>
      <c r="Q129" s="22"/>
      <c r="R129" s="170"/>
      <c r="S129" s="213">
        <f t="shared" si="58"/>
        <v>1</v>
      </c>
      <c r="T129" s="195" t="str">
        <f t="shared" si="40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41"/>
        <v>https://d0f6bd738d7f1b3e5a7ca70fe4ff75f0.us-east-1.aws.found.io/app/kibana#/discover/Steve-Slow-Train-Analysis-(2080s-and-2083s)?_g=(refreshInterval:(display:Off,pause:!f,section:0,value:0),time:(from:'2017-08-25T17:53:05-0600',mode:absolute,to:'2017-08-25T20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9" s="197" t="str">
        <f>IF(AA129&lt;VLOOKUP(AG129,Variables!$AC$3:$AD$8,2,FALSE),"Y","N")</f>
        <v>N</v>
      </c>
      <c r="X129" s="197">
        <f t="shared" si="54"/>
        <v>1</v>
      </c>
      <c r="Y129" s="197">
        <f t="shared" si="56"/>
        <v>23.3</v>
      </c>
      <c r="Z129" s="197">
        <f t="shared" si="55"/>
        <v>1.29E-2</v>
      </c>
      <c r="AA129" s="197">
        <f t="shared" si="43"/>
        <v>23.287100000000002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6">
        <f t="shared" si="44"/>
        <v>216</v>
      </c>
      <c r="AE129" s="77" t="str">
        <f t="shared" si="45"/>
        <v>aws s3 cp s3://rtdc.mdm.uploadarchive.raw/RTDC4057/ "%USERPROFILE%\AppData\Local\Temp\OnboardLogs"\RTDC4057\2017-08-25 --exclude "*" --recursive --include "*20170825*" &amp; "%USERPROFILE%\Documents\GitHub\mrs-test-scripts\Headless Mode &amp; Sideloading\WalkAndUnGZ.bat" "%USERPROFILE%\AppData\Local\Temp\OnboardLogs"\RTDC4057\2017-08-25 &amp; aws s3 cp s3://rtdc.mdm.uploadarchive.raw/RTDC4057/ "%USERPROFILE%\AppData\Local\Temp\OnboardLogs"\RTDC4057\2017-08-26 --exclude "*" --recursive --include "*20170826*" &amp; "%USERPROFILE%\Documents\GitHub\mrs-test-scripts\Headless Mode &amp; Sideloading\WalkAndUnGZ.bat" "%USERPROFILE%\AppData\Local\Temp\OnboardLogs"\RTDC4057\2017-08-26</v>
      </c>
      <c r="AF129" s="74" t="str">
        <f t="shared" si="46"/>
        <v>"C:\Program Files (x86)\AstroGrep\AstroGrep.exe" /e /r /s /spath="%USERPROFILE%\AppData\Local\Temp\OnboardLogs" /stypes="app*4057*20170826*" /stext=" 01:.+((SYSTEM_STATE.+slice.+state.+changed )|(ment ac)|(multiple cpu faults)|(system.+state.+changed )|(\[timeout)|(PRM\|1\|D)|(kpr)|(kdp)|(train st.+moving)|(\|lc)|(penalty))"</v>
      </c>
      <c r="AG129" s="209" t="str">
        <f t="shared" si="47"/>
        <v>EC</v>
      </c>
      <c r="AH129" s="78" t="str">
        <f t="shared" si="48"/>
        <v>"%USERPROFILE%\Documents\GitHub\eaglep3\Utilities\RefineRTDCRunTimes.py" --tripid 216-25 --locoid 4057 --swversion DE.1.0.9.0 --startMP 204:233000 --initTime 2017-08-25T18:53:05 --startdatetime 2017-08-25T18:57:14 --delay 1 --endMP 204:129 --enddatetime 2017-08-25T19:34:33 --enforcementcount 1 &gt;&gt;C:\Users\stu\Documents\GitHub\eaglep3-reporting\EC\2017-08-25-refined-times.txt</v>
      </c>
      <c r="AI129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{"issue":{"subject":"","project_id":79,"tracker_id":40,"status_id":1,"priority_id":2,"assigned_to_id":23,"start_date":"2017-08-25","description":"","custom_fields":[{"id":1,"name":"Subdivision","value":"EC"},{"id":4,"name":"Milepost","value":"0.0129"},{"id":17,"name":"Train ID","value":"216-25"},{"id":16,"name":"Locomotive ID","value":"4057"},{"id":130,"name":"Impact","value":""},{"id":150,"name":"Time of Event (Mountain Time)","value":"19:34:33"},{"id":151,"name":"Denver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0"/>
        <v>start /low /b %USERPROFILE%\Documents\GitHub\eaglep3\Utilities\DownloadLogsFromS3.py --loco 4057 --day 2017-08-25</v>
      </c>
      <c r="AN129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01:34:33"},{"id":29,"name":"Sharepoint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766</v>
      </c>
      <c r="B130" s="7">
        <v>4064</v>
      </c>
      <c r="C130" s="21" t="s">
        <v>197</v>
      </c>
      <c r="D130" s="21" t="s">
        <v>370</v>
      </c>
      <c r="E130" s="13">
        <v>42972.757002314815</v>
      </c>
      <c r="F130" s="13">
        <v>42972.760972222219</v>
      </c>
      <c r="G130" s="7">
        <v>2</v>
      </c>
      <c r="H130" s="21" t="s">
        <v>815</v>
      </c>
      <c r="I130" s="13">
        <v>42972.786134259259</v>
      </c>
      <c r="J130" s="7">
        <v>1</v>
      </c>
      <c r="K130" s="89" t="str">
        <f t="shared" si="38"/>
        <v>4063/4064</v>
      </c>
      <c r="L130" s="217" t="str">
        <f>VLOOKUP(A130,'Trips&amp;Operators'!$C$1:$G$99911,5,FALSE)</f>
        <v>PERKINS DARREN</v>
      </c>
      <c r="M130" s="6">
        <f t="shared" si="39"/>
        <v>2.5162037039990537E-2</v>
      </c>
      <c r="N130" s="7">
        <f t="shared" si="57"/>
        <v>36.233333337586373</v>
      </c>
      <c r="O130" s="7"/>
      <c r="P130" s="7"/>
      <c r="Q130" s="22"/>
      <c r="R130" s="170"/>
      <c r="S130" s="213">
        <f t="shared" si="58"/>
        <v>1</v>
      </c>
      <c r="T130" s="195" t="str">
        <f t="shared" si="40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41"/>
        <v>https://d0f6bd738d7f1b3e5a7ca70fe4ff75f0.us-east-1.aws.found.io/app/kibana#/discover/Steve-Slow-Train-Analysis-(2080s-and-2083s)?_g=(refreshInterval:(display:Off,pause:!f,section:0,value:0),time:(from:'2017-08-25T17:10:05-0600',mode:absolute,to:'2017-08-25T19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0" s="197" t="str">
        <f>IF(AA130&lt;VLOOKUP(AG130,Variables!$AC$3:$AD$8,2,FALSE),"Y","N")</f>
        <v>N</v>
      </c>
      <c r="X130" s="197">
        <f t="shared" si="54"/>
        <v>1</v>
      </c>
      <c r="Y130" s="197">
        <f t="shared" si="56"/>
        <v>4.4900000000000002E-2</v>
      </c>
      <c r="Z130" s="197">
        <f t="shared" si="55"/>
        <v>23.330300000000001</v>
      </c>
      <c r="AA130" s="197">
        <f t="shared" si="43"/>
        <v>23.285400000000003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6">
        <f t="shared" si="44"/>
        <v>217</v>
      </c>
      <c r="AE130" s="77" t="str">
        <f t="shared" si="45"/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AF130" s="74" t="str">
        <f t="shared" si="46"/>
        <v>"C:\Program Files (x86)\AstroGrep\AstroGrep.exe" /e /r /s /spath="%USERPROFILE%\AppData\Local\Temp\OnboardLogs" /stypes="app*4064*20170826*" /stext=" 00:.+((SYSTEM_STATE.+slice.+state.+changed )|(ment ac)|(multiple cpu faults)|(system.+state.+changed )|(\[timeout)|(PRM\|1\|D)|(kpr)|(kdp)|(train st.+moving)|(\|lc)|(penalty))"</v>
      </c>
      <c r="AG130" s="209" t="str">
        <f t="shared" si="47"/>
        <v>EC</v>
      </c>
      <c r="AH130" s="78" t="str">
        <f t="shared" si="48"/>
        <v>"%USERPROFILE%\Documents\GitHub\eaglep3\Utilities\RefineRTDCRunTimes.py" --tripid 217-25 --locoid 4064 --swversion DE.1.0.9.0 --startMP 204:449 --initTime 2017-08-25T18:10:05 --startdatetime 2017-08-25T18:15:48 --delay 2 --endMP 204:233303 --enddatetime 2017-08-25T18:52:02 --enforcementcount 1 &gt;&gt;C:\Users\stu\Documents\GitHub\eaglep3-reporting\EC\2017-08-25-refined-times.txt</v>
      </c>
      <c r="AI130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{"issue":{"subject":"","project_id":79,"tracker_id":40,"status_id":1,"priority_id":2,"assigned_to_id":23,"start_date":"2017-08-25","description":"","custom_fields":[{"id":1,"name":"Subdivision","value":"EC"},{"id":4,"name":"Milepost","value":"23.3303"},{"id":17,"name":"Train ID","value":"217-25"},{"id":16,"name":"Locomotive ID","value":"4064"},{"id":130,"name":"Impact","value":""},{"id":150,"name":"Time of Event (Mountain Time)","value":"18:52:02"},{"id":151,"name":"Denver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50"/>
        <v>start /low /b %USERPROFILE%\Documents\GitHub\eaglep3\Utilities\DownloadLogsFromS3.py --loco 4064 --day 2017-08-25</v>
      </c>
      <c r="AN130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602</v>
      </c>
      <c r="B131" s="7">
        <v>4063</v>
      </c>
      <c r="C131" s="21" t="s">
        <v>197</v>
      </c>
      <c r="D131" s="21" t="s">
        <v>428</v>
      </c>
      <c r="E131" s="13">
        <v>42972.79047453704</v>
      </c>
      <c r="F131" s="13">
        <v>42972.80023148148</v>
      </c>
      <c r="G131" s="7">
        <v>1</v>
      </c>
      <c r="H131" s="21" t="s">
        <v>376</v>
      </c>
      <c r="I131" s="13">
        <v>42972.826886574076</v>
      </c>
      <c r="J131" s="7">
        <v>1</v>
      </c>
      <c r="K131" s="89" t="str">
        <f t="shared" si="38"/>
        <v>4063/4064</v>
      </c>
      <c r="L131" s="217" t="str">
        <f>VLOOKUP(A131,'Trips&amp;Operators'!$C$1:$G$99911,5,FALSE)</f>
        <v>PERKINS DARREN</v>
      </c>
      <c r="M131" s="6">
        <f t="shared" si="39"/>
        <v>2.6655092595319729E-2</v>
      </c>
      <c r="N131" s="7">
        <f t="shared" si="57"/>
        <v>38.38333333726041</v>
      </c>
      <c r="O131" s="7"/>
      <c r="P131" s="7"/>
      <c r="Q131" s="22"/>
      <c r="R131" s="170"/>
      <c r="S131" s="213">
        <f t="shared" si="58"/>
        <v>1</v>
      </c>
      <c r="T131" s="195" t="str">
        <f t="shared" si="40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41"/>
        <v>https://d0f6bd738d7f1b3e5a7ca70fe4ff75f0.us-east-1.aws.found.io/app/kibana#/discover/Steve-Slow-Train-Analysis-(2080s-and-2083s)?_g=(refreshInterval:(display:Off,pause:!f,section:0,value:0),time:(from:'2017-08-25T17:58:17-0600',mode:absolute,to:'2017-08-25T20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1" s="197" t="str">
        <f>IF(AA131&lt;VLOOKUP(AG131,Variables!$AC$3:$AD$8,2,FALSE),"Y","N")</f>
        <v>N</v>
      </c>
      <c r="X131" s="197">
        <f t="shared" si="54"/>
        <v>1</v>
      </c>
      <c r="Y131" s="197">
        <f t="shared" si="56"/>
        <v>23.297999999999998</v>
      </c>
      <c r="Z131" s="197">
        <f t="shared" si="55"/>
        <v>1.4500000000000001E-2</v>
      </c>
      <c r="AA131" s="197">
        <f t="shared" si="43"/>
        <v>23.283499999999997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6">
        <f t="shared" si="44"/>
        <v>218</v>
      </c>
      <c r="AE131" s="77" t="str">
        <f t="shared" si="45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131" s="74" t="str">
        <f t="shared" si="46"/>
        <v>"C:\Program Files (x86)\AstroGrep\AstroGrep.exe" /e /r /s /spath="%USERPROFILE%\AppData\Local\Temp\OnboardLogs" /stypes="app*4063*20170826*" /stext=" 01:.+((SYSTEM_STATE.+slice.+state.+changed )|(ment ac)|(multiple cpu faults)|(system.+state.+changed )|(\[timeout)|(PRM\|1\|D)|(kpr)|(kdp)|(train st.+moving)|(\|lc)|(penalty))"</v>
      </c>
      <c r="AG131" s="209" t="str">
        <f t="shared" si="47"/>
        <v>EC</v>
      </c>
      <c r="AH131" s="78" t="str">
        <f t="shared" si="48"/>
        <v>"%USERPROFILE%\Documents\GitHub\eaglep3\Utilities\RefineRTDCRunTimes.py" --tripid 218-25 --locoid 4063 --swversion DE.1.0.9.0 --startMP 204:232980 --initTime 2017-08-25T18:58:17 --startdatetime 2017-08-25T19:12:20 --delay 1 --endMP 204:145 --enddatetime 2017-08-25T19:50:43 --enforcementcount 1 &gt;&gt;C:\Users\stu\Documents\GitHub\eaglep3-reporting\EC\2017-08-25-refined-times.txt</v>
      </c>
      <c r="AI131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{"issue":{"subject":"","project_id":79,"tracker_id":40,"status_id":1,"priority_id":2,"assigned_to_id":23,"start_date":"2017-08-25","description":"","custom_fields":[{"id":1,"name":"Subdivision","value":"EC"},{"id":4,"name":"Milepost","value":"0.0145"},{"id":17,"name":"Train ID","value":"218-25"},{"id":16,"name":"Locomotive ID","value":"4063"},{"id":130,"name":"Impact","value":""},{"id":150,"name":"Time of Event (Mountain Time)","value":"19:50:43"},{"id":151,"name":"Denver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0"/>
        <v>start /low /b %USERPROFILE%\Documents\GitHub\eaglep3\Utilities\DownloadLogsFromS3.py --loco 4063 --day 2017-08-25</v>
      </c>
      <c r="AN131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01:50:43"},{"id":29,"name":"Sharepoint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600</v>
      </c>
      <c r="B132" s="7">
        <v>4032</v>
      </c>
      <c r="C132" s="21" t="s">
        <v>197</v>
      </c>
      <c r="D132" s="21" t="s">
        <v>539</v>
      </c>
      <c r="E132" s="13">
        <v>42972.768206018518</v>
      </c>
      <c r="F132" s="13">
        <v>42972.771354166667</v>
      </c>
      <c r="G132" s="7">
        <v>1</v>
      </c>
      <c r="H132" s="21" t="s">
        <v>390</v>
      </c>
      <c r="I132" s="13">
        <v>42972.796458333331</v>
      </c>
      <c r="J132" s="7">
        <v>1</v>
      </c>
      <c r="K132" s="89" t="str">
        <f t="shared" si="38"/>
        <v>4031/4032</v>
      </c>
      <c r="L132" s="217" t="str">
        <f>VLOOKUP(A132,'Trips&amp;Operators'!$C$1:$G$99911,5,FALSE)</f>
        <v>FORTUNATO FRANK</v>
      </c>
      <c r="M132" s="6">
        <f t="shared" si="39"/>
        <v>2.5104166663368233E-2</v>
      </c>
      <c r="N132" s="7">
        <f t="shared" si="57"/>
        <v>36.149999995250255</v>
      </c>
      <c r="O132" s="7"/>
      <c r="P132" s="7"/>
      <c r="Q132" s="22"/>
      <c r="R132" s="170"/>
      <c r="S132" s="213">
        <f t="shared" si="58"/>
        <v>1</v>
      </c>
      <c r="T132" s="195" t="str">
        <f t="shared" si="40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41"/>
        <v>https://d0f6bd738d7f1b3e5a7ca70fe4ff75f0.us-east-1.aws.found.io/app/kibana#/discover/Steve-Slow-Train-Analysis-(2080s-and-2083s)?_g=(refreshInterval:(display:Off,pause:!f,section:0,value:0),time:(from:'2017-08-25T17:26:13-0600',mode:absolute,to:'2017-08-25T20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2" s="197" t="str">
        <f>IF(AA132&lt;VLOOKUP(AG132,Variables!$AC$3:$AD$8,2,FALSE),"Y","N")</f>
        <v>N</v>
      </c>
      <c r="X132" s="197">
        <f t="shared" si="54"/>
        <v>1</v>
      </c>
      <c r="Y132" s="197">
        <f t="shared" si="56"/>
        <v>4.3799999999999999E-2</v>
      </c>
      <c r="Z132" s="197">
        <f t="shared" si="55"/>
        <v>23.330200000000001</v>
      </c>
      <c r="AA132" s="197">
        <f t="shared" si="43"/>
        <v>23.2864</v>
      </c>
      <c r="AB132" s="54" t="str">
        <f>VLOOKUP(A132,Enforcements!$C$7:$K$11,8,0)</f>
        <v>Bulletin (2)</v>
      </c>
      <c r="AC132" s="51" t="str">
        <f>VLOOKUP(A132,Enforcements!$C$7:$E$11,3,0)</f>
        <v>GRADE CROSSING</v>
      </c>
      <c r="AD132" s="206">
        <f t="shared" si="44"/>
        <v>219</v>
      </c>
      <c r="AE132" s="77" t="str">
        <f t="shared" si="45"/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AF132" s="74" t="str">
        <f t="shared" si="46"/>
        <v>"C:\Program Files (x86)\AstroGrep\AstroGrep.exe" /e /r /s /spath="%USERPROFILE%\AppData\Local\Temp\OnboardLogs" /stypes="app*4032*20170826*" /stext=" 01:.+((SYSTEM_STATE.+slice.+state.+changed )|(ment ac)|(multiple cpu faults)|(system.+state.+changed )|(\[timeout)|(PRM\|1\|D)|(kpr)|(kdp)|(train st.+moving)|(\|lc)|(penalty))"</v>
      </c>
      <c r="AG132" s="209" t="str">
        <f t="shared" si="47"/>
        <v>EC</v>
      </c>
      <c r="AH132" s="78" t="str">
        <f t="shared" si="48"/>
        <v>"%USERPROFILE%\Documents\GitHub\eaglep3\Utilities\RefineRTDCRunTimes.py" --tripid 219-25 --locoid 4032 --swversion DE.1.0.9.0 --startMP 204:438 --initTime 2017-08-25T18:26:13 --startdatetime 2017-08-25T18:30:45 --delay 1 --endMP 204:233302 --enddatetime 2017-08-25T19:06:54 --enforcementcount 1 &gt;&gt;C:\Users\stu\Documents\GitHub\eaglep3-reporting\EC\2017-08-25-refined-times.txt</v>
      </c>
      <c r="AI132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{"issue":{"subject":"","project_id":79,"tracker_id":40,"status_id":1,"priority_id":2,"assigned_to_id":23,"start_date":"2017-08-25","description":"","custom_fields":[{"id":1,"name":"Subdivision","value":"EC"},{"id":4,"name":"Milepost","value":"23.3302"},{"id":17,"name":"Train ID","value":"219-25"},{"id":16,"name":"Locomotive ID","value":"4032"},{"id":130,"name":"Impact","value":""},{"id":150,"name":"Time of Event (Mountain Time)","value":"19:06:54"},{"id":151,"name":"Denver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0"/>
        <v>start /low /b %USERPROFILE%\Documents\GitHub\eaglep3\Utilities\DownloadLogsFromS3.py --loco 4032 --day 2017-08-25</v>
      </c>
      <c r="AN132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01:06:54"},{"id":29,"name":"Sharepoint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777</v>
      </c>
      <c r="B133" s="7">
        <v>4031</v>
      </c>
      <c r="C133" s="21" t="s">
        <v>197</v>
      </c>
      <c r="D133" s="21" t="s">
        <v>354</v>
      </c>
      <c r="E133" s="13">
        <v>42972.79996527778</v>
      </c>
      <c r="F133" s="13">
        <v>42972.810555555552</v>
      </c>
      <c r="G133" s="7">
        <v>1</v>
      </c>
      <c r="H133" s="21" t="s">
        <v>346</v>
      </c>
      <c r="I133" s="13">
        <v>42972.838310185187</v>
      </c>
      <c r="J133" s="7">
        <v>1</v>
      </c>
      <c r="K133" s="89" t="str">
        <f t="shared" si="38"/>
        <v>4031/4032</v>
      </c>
      <c r="L133" s="217" t="str">
        <f>VLOOKUP(A133,'Trips&amp;Operators'!$C$1:$G$99911,5,FALSE)</f>
        <v>FORTUNATO FRANK</v>
      </c>
      <c r="M133" s="6">
        <f t="shared" si="39"/>
        <v>2.775462963472819E-2</v>
      </c>
      <c r="N133" s="7">
        <f t="shared" si="57"/>
        <v>39.966666674008593</v>
      </c>
      <c r="O133" s="7"/>
      <c r="P133" s="7"/>
      <c r="Q133" s="22"/>
      <c r="R133" s="170"/>
      <c r="S133" s="213">
        <f t="shared" si="58"/>
        <v>1</v>
      </c>
      <c r="T133" s="195" t="str">
        <f t="shared" si="40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41"/>
        <v>https://d0f6bd738d7f1b3e5a7ca70fe4ff75f0.us-east-1.aws.found.io/app/kibana#/discover/Steve-Slow-Train-Analysis-(2080s-and-2083s)?_g=(refreshInterval:(display:Off,pause:!f,section:0,value:0),time:(from:'2017-08-25T18:11:57-0600',mode:absolute,to:'2017-08-25T21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3" s="197" t="str">
        <f>IF(AA133&lt;VLOOKUP(AG133,Variables!$AC$3:$AD$8,2,FALSE),"Y","N")</f>
        <v>N</v>
      </c>
      <c r="X133" s="197">
        <f t="shared" si="54"/>
        <v>1</v>
      </c>
      <c r="Y133" s="197">
        <f t="shared" si="56"/>
        <v>23.299600000000002</v>
      </c>
      <c r="Z133" s="197">
        <f t="shared" si="55"/>
        <v>1.47E-2</v>
      </c>
      <c r="AA133" s="197">
        <f t="shared" si="43"/>
        <v>23.2849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6">
        <f t="shared" si="44"/>
        <v>220</v>
      </c>
      <c r="AE133" s="77" t="str">
        <f t="shared" si="45"/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133" s="74" t="str">
        <f t="shared" si="46"/>
        <v>"C:\Program Files (x86)\AstroGrep\AstroGrep.exe" /e /r /s /spath="%USERPROFILE%\AppData\Local\Temp\OnboardLogs" /stypes="app*4031*20170826*" /stext=" 02:.+((SYSTEM_STATE.+slice.+state.+changed )|(ment ac)|(multiple cpu faults)|(system.+state.+changed )|(\[timeout)|(PRM\|1\|D)|(kpr)|(kdp)|(train st.+moving)|(\|lc)|(penalty))"</v>
      </c>
      <c r="AG133" s="209" t="str">
        <f t="shared" si="47"/>
        <v>EC</v>
      </c>
      <c r="AH133" s="78" t="str">
        <f t="shared" si="48"/>
        <v>"%USERPROFILE%\Documents\GitHub\eaglep3\Utilities\RefineRTDCRunTimes.py" --tripid 220-25 --locoid 4031 --swversion DE.1.0.9.0 --startMP 204:232996 --initTime 2017-08-25T19:11:57 --startdatetime 2017-08-25T19:27:12 --delay 1 --endMP 204:147 --enddatetime 2017-08-25T20:07:10 --enforcementcount 1 &gt;&gt;C:\Users\stu\Documents\GitHub\eaglep3-reporting\EC\2017-08-25-refined-times.txt</v>
      </c>
      <c r="AI133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{"issue":{"subject":"","project_id":79,"tracker_id":40,"status_id":1,"priority_id":2,"assigned_to_id":23,"start_date":"2017-08-25","description":"","custom_fields":[{"id":1,"name":"Subdivision","value":"EC"},{"id":4,"name":"Milepost","value":"0.0147"},{"id":17,"name":"Train ID","value":"220-25"},{"id":16,"name":"Locomotive ID","value":"4031"},{"id":130,"name":"Impact","value":""},{"id":150,"name":"Time of Event (Mountain Time)","value":"20:07:10"},{"id":151,"name":"Denver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0"/>
        <v>start /low /b %USERPROFILE%\Documents\GitHub\eaglep3\Utilities\DownloadLogsFromS3.py --loco 4031 --day 2017-08-25</v>
      </c>
      <c r="AN133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02:07:10"},{"id":29,"name":"Sharepoint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772</v>
      </c>
      <c r="B134" s="7">
        <v>4002</v>
      </c>
      <c r="C134" s="21" t="s">
        <v>197</v>
      </c>
      <c r="D134" s="21" t="s">
        <v>371</v>
      </c>
      <c r="E134" s="13">
        <v>42972.787766203706</v>
      </c>
      <c r="F134" s="13">
        <v>42972.79241898148</v>
      </c>
      <c r="G134" s="7">
        <v>1</v>
      </c>
      <c r="H134" s="21" t="s">
        <v>448</v>
      </c>
      <c r="I134" s="13">
        <v>42972.819027777776</v>
      </c>
      <c r="J134" s="7">
        <v>1</v>
      </c>
      <c r="K134" s="89" t="str">
        <f t="shared" si="38"/>
        <v>4001/4002</v>
      </c>
      <c r="L134" s="217" t="str">
        <f>VLOOKUP(A134,'Trips&amp;Operators'!$C$1:$G$99911,5,FALSE)</f>
        <v>ANDERS STEVEN</v>
      </c>
      <c r="M134" s="6">
        <f t="shared" si="39"/>
        <v>2.6608796295477077E-2</v>
      </c>
      <c r="N134" s="7">
        <f t="shared" si="57"/>
        <v>38.316666665486991</v>
      </c>
      <c r="O134" s="7"/>
      <c r="P134" s="7"/>
      <c r="Q134" s="22"/>
      <c r="R134" s="170"/>
      <c r="S134" s="213">
        <f t="shared" si="58"/>
        <v>1</v>
      </c>
      <c r="T134" s="195" t="str">
        <f t="shared" si="40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41"/>
        <v>https://d0f6bd738d7f1b3e5a7ca70fe4ff75f0.us-east-1.aws.found.io/app/kibana#/discover/Steve-Slow-Train-Analysis-(2080s-and-2083s)?_g=(refreshInterval:(display:Off,pause:!f,section:0,value:0),time:(from:'2017-08-25T17:54:23-0600',mode:absolute,to:'2017-08-25T20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197" t="str">
        <f>IF(AA134&lt;VLOOKUP(AG134,Variables!$AC$3:$AD$8,2,FALSE),"Y","N")</f>
        <v>N</v>
      </c>
      <c r="X134" s="197">
        <f t="shared" si="54"/>
        <v>1</v>
      </c>
      <c r="Y134" s="197">
        <f t="shared" si="56"/>
        <v>4.5699999999999998E-2</v>
      </c>
      <c r="Z134" s="197">
        <f t="shared" ref="Z134:Z157" si="59">RIGHT(H134,LEN(H134)-4)/10000</f>
        <v>23.329499999999999</v>
      </c>
      <c r="AA134" s="197">
        <f t="shared" si="43"/>
        <v>23.283799999999999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6">
        <f t="shared" si="44"/>
        <v>221</v>
      </c>
      <c r="AE134" s="77" t="str">
        <f t="shared" si="45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134" s="74" t="str">
        <f t="shared" si="46"/>
        <v>"C:\Program Files (x86)\AstroGrep\AstroGrep.exe" /e /r /s /spath="%USERPROFILE%\AppData\Local\Temp\OnboardLogs" /stypes="app*4002*20170826*" /stext=" 01:.+((SYSTEM_STATE.+slice.+state.+changed )|(ment ac)|(multiple cpu faults)|(system.+state.+changed )|(\[timeout)|(PRM\|1\|D)|(kpr)|(kdp)|(train st.+moving)|(\|lc)|(penalty))"</v>
      </c>
      <c r="AG134" s="209" t="str">
        <f t="shared" si="47"/>
        <v>EC</v>
      </c>
      <c r="AH134" s="78" t="str">
        <f t="shared" si="48"/>
        <v>"%USERPROFILE%\Documents\GitHub\eaglep3\Utilities\RefineRTDCRunTimes.py" --tripid 221-25 --locoid 4002 --swversion DE.1.0.9.0 --startMP 204:457 --initTime 2017-08-25T18:54:23 --startdatetime 2017-08-25T19:01:05 --delay 1 --endMP 204:233295 --enddatetime 2017-08-25T19:39:24 --enforcementcount 1 &gt;&gt;C:\Users\stu\Documents\GitHub\eaglep3-reporting\EC\2017-08-25-refined-times.txt</v>
      </c>
      <c r="AI134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{"issue":{"subject":"","project_id":79,"tracker_id":40,"status_id":1,"priority_id":2,"assigned_to_id":23,"start_date":"2017-08-25","description":"","custom_fields":[{"id":1,"name":"Subdivision","value":"EC"},{"id":4,"name":"Milepost","value":"23.3295"},{"id":17,"name":"Train ID","value":"221-25"},{"id":16,"name":"Locomotive ID","value":"4002"},{"id":130,"name":"Impact","value":""},{"id":150,"name":"Time of Event (Mountain Time)","value":"19:39:24"},{"id":151,"name":"Denver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0"/>
        <v>start /low /b %USERPROFILE%\Documents\GitHub\eaglep3\Utilities\DownloadLogsFromS3.py --loco 4002 --day 2017-08-25</v>
      </c>
      <c r="AN134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01:39:24"},{"id":29,"name":"Sharepoint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782</v>
      </c>
      <c r="B135" s="7">
        <v>4001</v>
      </c>
      <c r="C135" s="21" t="s">
        <v>197</v>
      </c>
      <c r="D135" s="21" t="s">
        <v>526</v>
      </c>
      <c r="E135" s="13">
        <v>42972.828796296293</v>
      </c>
      <c r="F135" s="13">
        <v>42972.83152777778</v>
      </c>
      <c r="G135" s="7">
        <v>2</v>
      </c>
      <c r="H135" s="21" t="s">
        <v>346</v>
      </c>
      <c r="I135" s="13">
        <v>42972.864108796297</v>
      </c>
      <c r="J135" s="7">
        <v>1</v>
      </c>
      <c r="K135" s="89" t="str">
        <f t="shared" si="38"/>
        <v>4001/4002</v>
      </c>
      <c r="L135" s="217" t="str">
        <f>VLOOKUP(A135,'Trips&amp;Operators'!$C$1:$G$99911,5,FALSE)</f>
        <v>ANDERS STEVEN</v>
      </c>
      <c r="M135" s="6">
        <f t="shared" si="39"/>
        <v>3.2581018516793847E-2</v>
      </c>
      <c r="N135" s="7">
        <f t="shared" si="57"/>
        <v>46.91666666418314</v>
      </c>
      <c r="O135" s="7"/>
      <c r="P135" s="7"/>
      <c r="Q135" s="22"/>
      <c r="R135" s="170"/>
      <c r="S135" s="213">
        <f t="shared" si="58"/>
        <v>1</v>
      </c>
      <c r="T135" s="195" t="str">
        <f t="shared" si="40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41"/>
        <v>https://d0f6bd738d7f1b3e5a7ca70fe4ff75f0.us-east-1.aws.found.io/app/kibana#/discover/Steve-Slow-Train-Analysis-(2080s-and-2083s)?_g=(refreshInterval:(display:Off,pause:!f,section:0,value:0),time:(from:'2017-08-25T18:53:28-0600',mode:absolute,to:'2017-08-25T21:44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197" t="str">
        <f>IF(AA135&lt;VLOOKUP(AG135,Variables!$AC$3:$AD$8,2,FALSE),"Y","N")</f>
        <v>N</v>
      </c>
      <c r="X135" s="197">
        <f t="shared" si="54"/>
        <v>1</v>
      </c>
      <c r="Y135" s="197">
        <f t="shared" si="56"/>
        <v>23.2989</v>
      </c>
      <c r="Z135" s="197">
        <f t="shared" si="59"/>
        <v>1.47E-2</v>
      </c>
      <c r="AA135" s="197">
        <f t="shared" si="43"/>
        <v>23.284199999999998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6">
        <f t="shared" si="44"/>
        <v>222</v>
      </c>
      <c r="AE135" s="77" t="str">
        <f t="shared" si="45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135" s="74" t="str">
        <f t="shared" si="46"/>
        <v>"C:\Program Files (x86)\AstroGrep\AstroGrep.exe" /e /r /s /spath="%USERPROFILE%\AppData\Local\Temp\OnboardLogs" /stypes="app*4001*20170826*" /stext=" 02:.+((SYSTEM_STATE.+slice.+state.+changed )|(ment ac)|(multiple cpu faults)|(system.+state.+changed )|(\[timeout)|(PRM\|1\|D)|(kpr)|(kdp)|(train st.+moving)|(\|lc)|(penalty))"</v>
      </c>
      <c r="AG135" s="209" t="str">
        <f t="shared" si="47"/>
        <v>EC</v>
      </c>
      <c r="AH135" s="78" t="str">
        <f t="shared" si="48"/>
        <v>"%USERPROFILE%\Documents\GitHub\eaglep3\Utilities\RefineRTDCRunTimes.py" --tripid 222-25 --locoid 4001 --swversion DE.1.0.9.0 --startMP 204:232989 --initTime 2017-08-25T19:53:28 --startdatetime 2017-08-25T19:57:24 --delay 2 --endMP 204:147 --enddatetime 2017-08-25T20:44:19 --enforcementcount 1 &gt;&gt;C:\Users\stu\Documents\GitHub\eaglep3-reporting\EC\2017-08-25-refined-times.txt</v>
      </c>
      <c r="AI135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{"issue":{"subject":"","project_id":79,"tracker_id":40,"status_id":1,"priority_id":2,"assigned_to_id":23,"start_date":"2017-08-25","description":"","custom_fields":[{"id":1,"name":"Subdivision","value":"EC"},{"id":4,"name":"Milepost","value":"0.0147"},{"id":17,"name":"Train ID","value":"222-25"},{"id":16,"name":"Locomotive ID","value":"4001"},{"id":130,"name":"Impact","value":""},{"id":150,"name":"Time of Event (Mountain Time)","value":"20:44:19"},{"id":151,"name":"Denver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0"/>
        <v>start /low /b %USERPROFILE%\Documents\GitHub\eaglep3\Utilities\DownloadLogsFromS3.py --loco 4001 --day 2017-08-25</v>
      </c>
      <c r="AN135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02:44:19"},{"id":29,"name":"Sharepoint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778</v>
      </c>
      <c r="B136" s="7">
        <v>4030</v>
      </c>
      <c r="C136" s="21" t="s">
        <v>197</v>
      </c>
      <c r="D136" s="21" t="s">
        <v>366</v>
      </c>
      <c r="E136" s="13">
        <v>42972.810300925928</v>
      </c>
      <c r="F136" s="13">
        <v>42972.813078703701</v>
      </c>
      <c r="G136" s="7">
        <v>1</v>
      </c>
      <c r="H136" s="21" t="s">
        <v>402</v>
      </c>
      <c r="I136" s="13">
        <v>42972.838252314818</v>
      </c>
      <c r="J136" s="7">
        <v>1</v>
      </c>
      <c r="K136" s="89" t="str">
        <f t="shared" si="38"/>
        <v>4029/4030</v>
      </c>
      <c r="L136" s="217" t="str">
        <f>VLOOKUP(A136,'Trips&amp;Operators'!$C$1:$G$99911,5,FALSE)</f>
        <v>WEST BRYAN</v>
      </c>
      <c r="M136" s="6">
        <f t="shared" si="39"/>
        <v>2.5173611116770189E-2</v>
      </c>
      <c r="N136" s="7">
        <f t="shared" si="57"/>
        <v>36.250000008149073</v>
      </c>
      <c r="O136" s="7"/>
      <c r="P136" s="7"/>
      <c r="Q136" s="22"/>
      <c r="R136" s="170"/>
      <c r="S136" s="213">
        <f t="shared" si="58"/>
        <v>1</v>
      </c>
      <c r="T136" s="195" t="str">
        <f t="shared" si="40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41"/>
        <v>https://d0f6bd738d7f1b3e5a7ca70fe4ff75f0.us-east-1.aws.found.io/app/kibana#/discover/Steve-Slow-Train-Analysis-(2080s-and-2083s)?_g=(refreshInterval:(display:Off,pause:!f,section:0,value:0),time:(from:'2017-08-25T18:26:50-0600',mode:absolute,to:'2017-08-25T21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6" s="197" t="str">
        <f>IF(AA136&lt;VLOOKUP(AG136,Variables!$AC$3:$AD$8,2,FALSE),"Y","N")</f>
        <v>N</v>
      </c>
      <c r="X136" s="197">
        <f t="shared" si="54"/>
        <v>1</v>
      </c>
      <c r="Y136" s="197">
        <f t="shared" si="56"/>
        <v>4.58E-2</v>
      </c>
      <c r="Z136" s="197">
        <f t="shared" si="59"/>
        <v>23.331199999999999</v>
      </c>
      <c r="AA136" s="197">
        <f t="shared" si="43"/>
        <v>23.285399999999999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6">
        <f t="shared" si="44"/>
        <v>223</v>
      </c>
      <c r="AE136" s="77" t="str">
        <f t="shared" si="45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136" s="74" t="str">
        <f t="shared" si="46"/>
        <v>"C:\Program Files (x86)\AstroGrep\AstroGrep.exe" /e /r /s /spath="%USERPROFILE%\AppData\Local\Temp\OnboardLogs" /stypes="app*4030*20170826*" /stext=" 02:.+((SYSTEM_STATE.+slice.+state.+changed )|(ment ac)|(multiple cpu faults)|(system.+state.+changed )|(\[timeout)|(PRM\|1\|D)|(kpr)|(kdp)|(train st.+moving)|(\|lc)|(penalty))"</v>
      </c>
      <c r="AG136" s="209" t="str">
        <f t="shared" si="47"/>
        <v>EC</v>
      </c>
      <c r="AH136" s="78" t="str">
        <f t="shared" si="48"/>
        <v>"%USERPROFILE%\Documents\GitHub\eaglep3\Utilities\RefineRTDCRunTimes.py" --tripid 223-25 --locoid 4030 --swversion DE.1.0.9.0 --startMP 204:458 --initTime 2017-08-25T19:26:50 --startdatetime 2017-08-25T19:30:50 --delay 1 --endMP 204:233312 --enddatetime 2017-08-25T20:07:05 --enforcementcount 1 &gt;&gt;C:\Users\stu\Documents\GitHub\eaglep3-reporting\EC\2017-08-25-refined-times.txt</v>
      </c>
      <c r="AI136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{"issue":{"subject":"","project_id":79,"tracker_id":40,"status_id":1,"priority_id":2,"assigned_to_id":23,"start_date":"2017-08-25","description":"","custom_fields":[{"id":1,"name":"Subdivision","value":"EC"},{"id":4,"name":"Milepost","value":"23.3312"},{"id":17,"name":"Train ID","value":"223-25"},{"id":16,"name":"Locomotive ID","value":"4030"},{"id":130,"name":"Impact","value":""},{"id":150,"name":"Time of Event (Mountain Time)","value":"20:07:05"},{"id":151,"name":"Denver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0"/>
        <v>start /low /b %USERPROFILE%\Documents\GitHub\eaglep3\Utilities\DownloadLogsFromS3.py --loco 4030 --day 2017-08-25</v>
      </c>
      <c r="AN136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02:07:05"},{"id":29,"name":"Sharepoint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785</v>
      </c>
      <c r="B137" s="7">
        <v>4029</v>
      </c>
      <c r="C137" s="21" t="s">
        <v>197</v>
      </c>
      <c r="D137" s="21" t="s">
        <v>392</v>
      </c>
      <c r="E137" s="13">
        <v>42972.850439814814</v>
      </c>
      <c r="F137" s="13">
        <v>42972.852384259262</v>
      </c>
      <c r="G137" s="7">
        <v>1</v>
      </c>
      <c r="H137" s="21" t="s">
        <v>862</v>
      </c>
      <c r="I137" s="13">
        <v>42972.878761574073</v>
      </c>
      <c r="J137" s="7">
        <v>1</v>
      </c>
      <c r="K137" s="89" t="str">
        <f t="shared" si="38"/>
        <v>4029/4030</v>
      </c>
      <c r="L137" s="217" t="str">
        <f>VLOOKUP(A137,'Trips&amp;Operators'!$C$1:$G$99911,5,FALSE)</f>
        <v>WEST BRYAN</v>
      </c>
      <c r="M137" s="6">
        <f t="shared" si="39"/>
        <v>2.6377314810815733E-2</v>
      </c>
      <c r="N137" s="7">
        <f t="shared" si="57"/>
        <v>37.983333327574655</v>
      </c>
      <c r="O137" s="7"/>
      <c r="P137" s="7"/>
      <c r="Q137" s="22"/>
      <c r="R137" s="170"/>
      <c r="S137" s="213">
        <f t="shared" si="58"/>
        <v>1</v>
      </c>
      <c r="T137" s="195" t="str">
        <f t="shared" si="40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41"/>
        <v>https://d0f6bd738d7f1b3e5a7ca70fe4ff75f0.us-east-1.aws.found.io/app/kibana#/discover/Steve-Slow-Train-Analysis-(2080s-and-2083s)?_g=(refreshInterval:(display:Off,pause:!f,section:0,value:0),time:(from:'2017-08-25T19:24:38-0600',mode:absolute,to:'2017-08-25T22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7" s="197" t="str">
        <f>IF(AA137&lt;VLOOKUP(AG137,Variables!$AC$3:$AD$8,2,FALSE),"Y","N")</f>
        <v>N</v>
      </c>
      <c r="X137" s="197">
        <f t="shared" si="54"/>
        <v>1</v>
      </c>
      <c r="Y137" s="197">
        <f t="shared" si="56"/>
        <v>23.299800000000001</v>
      </c>
      <c r="Z137" s="197">
        <f t="shared" si="59"/>
        <v>1.6299999999999999E-2</v>
      </c>
      <c r="AA137" s="197">
        <f t="shared" si="43"/>
        <v>23.2835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6">
        <f t="shared" si="44"/>
        <v>224</v>
      </c>
      <c r="AE137" s="77" t="str">
        <f t="shared" si="45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137" s="74" t="str">
        <f t="shared" si="46"/>
        <v>"C:\Program Files (x86)\AstroGrep\AstroGrep.exe" /e /r /s /spath="%USERPROFILE%\AppData\Local\Temp\OnboardLogs" /stypes="app*4029*20170826*" /stext=" 03:.+((SYSTEM_STATE.+slice.+state.+changed )|(ment ac)|(multiple cpu faults)|(system.+state.+changed )|(\[timeout)|(PRM\|1\|D)|(kpr)|(kdp)|(train st.+moving)|(\|lc)|(penalty))"</v>
      </c>
      <c r="AG137" s="209" t="str">
        <f t="shared" si="47"/>
        <v>EC</v>
      </c>
      <c r="AH137" s="78" t="str">
        <f t="shared" si="48"/>
        <v>"%USERPROFILE%\Documents\GitHub\eaglep3\Utilities\RefineRTDCRunTimes.py" --tripid 224-25 --locoid 4029 --swversion DE.1.0.9.0 --startMP 204:232998 --initTime 2017-08-25T20:24:38 --startdatetime 2017-08-25T20:27:26 --delay 1 --endMP 204:163 --enddatetime 2017-08-25T21:05:25 --enforcementcount 1 &gt;&gt;C:\Users\stu\Documents\GitHub\eaglep3-reporting\EC\2017-08-25-refined-times.txt</v>
      </c>
      <c r="AI137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{"issue":{"subject":"","project_id":79,"tracker_id":40,"status_id":1,"priority_id":2,"assigned_to_id":23,"start_date":"2017-08-25","description":"","custom_fields":[{"id":1,"name":"Subdivision","value":"EC"},{"id":4,"name":"Milepost","value":"0.0163"},{"id":17,"name":"Train ID","value":"224-25"},{"id":16,"name":"Locomotive ID","value":"4029"},{"id":130,"name":"Impact","value":""},{"id":150,"name":"Time of Event (Mountain Time)","value":"21:05:25"},{"id":151,"name":"Denver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0"/>
        <v>start /low /b %USERPROFILE%\Documents\GitHub\eaglep3\Utilities\DownloadLogsFromS3.py --loco 4029 --day 2017-08-25</v>
      </c>
      <c r="AN137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03:05:25"},{"id":29,"name":"Sharepoint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781</v>
      </c>
      <c r="B138" s="7">
        <v>4064</v>
      </c>
      <c r="C138" s="21" t="s">
        <v>197</v>
      </c>
      <c r="D138" s="21" t="s">
        <v>366</v>
      </c>
      <c r="E138" s="13">
        <v>42972.828750000001</v>
      </c>
      <c r="F138" s="13">
        <v>42972.83390046296</v>
      </c>
      <c r="G138" s="7">
        <v>1</v>
      </c>
      <c r="H138" s="21" t="s">
        <v>823</v>
      </c>
      <c r="I138" s="13">
        <v>42972.858703703707</v>
      </c>
      <c r="J138" s="7">
        <v>1</v>
      </c>
      <c r="K138" s="89" t="str">
        <f t="shared" si="38"/>
        <v>4063/4064</v>
      </c>
      <c r="L138" s="217" t="str">
        <f>VLOOKUP(A138,'Trips&amp;Operators'!$C$1:$G$99911,5,FALSE)</f>
        <v>PERKINS DARREN</v>
      </c>
      <c r="M138" s="6">
        <f t="shared" si="39"/>
        <v>2.4803240747132804E-2</v>
      </c>
      <c r="N138" s="7">
        <f t="shared" si="57"/>
        <v>35.716666675871238</v>
      </c>
      <c r="O138" s="7"/>
      <c r="P138" s="7"/>
      <c r="Q138" s="22"/>
      <c r="R138" s="170"/>
      <c r="S138" s="213">
        <f t="shared" si="58"/>
        <v>1</v>
      </c>
      <c r="T138" s="195" t="str">
        <f t="shared" si="40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41"/>
        <v>https://d0f6bd738d7f1b3e5a7ca70fe4ff75f0.us-east-1.aws.found.io/app/kibana#/discover/Steve-Slow-Train-Analysis-(2080s-and-2083s)?_g=(refreshInterval:(display:Off,pause:!f,section:0,value:0),time:(from:'2017-08-25T18:53:24-0600',mode:absolute,to:'2017-08-25T21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8" s="197" t="str">
        <f>IF(AA138&lt;VLOOKUP(AG138,Variables!$AC$3:$AD$8,2,FALSE),"Y","N")</f>
        <v>N</v>
      </c>
      <c r="X138" s="197">
        <f t="shared" si="54"/>
        <v>1</v>
      </c>
      <c r="Y138" s="197">
        <f t="shared" si="56"/>
        <v>4.58E-2</v>
      </c>
      <c r="Z138" s="197">
        <f t="shared" si="59"/>
        <v>23.3291</v>
      </c>
      <c r="AA138" s="197">
        <f t="shared" si="43"/>
        <v>23.283300000000001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6">
        <f t="shared" si="44"/>
        <v>225</v>
      </c>
      <c r="AE138" s="77" t="str">
        <f t="shared" si="45"/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AF138" s="74" t="str">
        <f t="shared" si="46"/>
        <v>"C:\Program Files (x86)\AstroGrep\AstroGrep.exe" /e /r /s /spath="%USERPROFILE%\AppData\Local\Temp\OnboardLogs" /stypes="app*4064*20170826*" /stext=" 02:.+((SYSTEM_STATE.+slice.+state.+changed )|(ment ac)|(multiple cpu faults)|(system.+state.+changed )|(\[timeout)|(PRM\|1\|D)|(kpr)|(kdp)|(train st.+moving)|(\|lc)|(penalty))"</v>
      </c>
      <c r="AG138" s="209" t="str">
        <f t="shared" si="47"/>
        <v>EC</v>
      </c>
      <c r="AH138" s="78" t="str">
        <f t="shared" si="48"/>
        <v>"%USERPROFILE%\Documents\GitHub\eaglep3\Utilities\RefineRTDCRunTimes.py" --tripid 225-25 --locoid 4064 --swversion DE.1.0.9.0 --startMP 204:458 --initTime 2017-08-25T19:53:24 --startdatetime 2017-08-25T20:00:49 --delay 1 --endMP 204:233291 --enddatetime 2017-08-25T20:36:32 --enforcementcount 1 &gt;&gt;C:\Users\stu\Documents\GitHub\eaglep3-reporting\EC\2017-08-25-refined-times.txt</v>
      </c>
      <c r="AI138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{"issue":{"subject":"","project_id":79,"tracker_id":40,"status_id":1,"priority_id":2,"assigned_to_id":23,"start_date":"2017-08-25","description":"","custom_fields":[{"id":1,"name":"Subdivision","value":"EC"},{"id":4,"name":"Milepost","value":"23.3291"},{"id":17,"name":"Train ID","value":"225-25"},{"id":16,"name":"Locomotive ID","value":"4064"},{"id":130,"name":"Impact","value":""},{"id":150,"name":"Time of Event (Mountain Time)","value":"20:36:32"},{"id":151,"name":"Denver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0"/>
        <v>start /low /b %USERPROFILE%\Documents\GitHub\eaglep3\Utilities\DownloadLogsFromS3.py --loco 4064 --day 2017-08-25</v>
      </c>
      <c r="AN138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787</v>
      </c>
      <c r="B139" s="7">
        <v>4063</v>
      </c>
      <c r="C139" s="21" t="s">
        <v>197</v>
      </c>
      <c r="D139" s="21" t="s">
        <v>427</v>
      </c>
      <c r="E139" s="13">
        <v>42972.86577546296</v>
      </c>
      <c r="F139" s="13">
        <v>42972.873078703706</v>
      </c>
      <c r="G139" s="7">
        <v>1</v>
      </c>
      <c r="H139" s="21" t="s">
        <v>873</v>
      </c>
      <c r="I139" s="13">
        <v>42972.899618055555</v>
      </c>
      <c r="J139" s="7">
        <v>1</v>
      </c>
      <c r="K139" s="89" t="str">
        <f t="shared" si="38"/>
        <v>4063/4064</v>
      </c>
      <c r="L139" s="217" t="str">
        <f>VLOOKUP(A139,'Trips&amp;Operators'!$C$1:$G$99911,5,FALSE)</f>
        <v>PERKINS DARREN</v>
      </c>
      <c r="M139" s="6">
        <f t="shared" si="39"/>
        <v>2.6539351849351078E-2</v>
      </c>
      <c r="N139" s="7">
        <f t="shared" si="57"/>
        <v>38.216666663065553</v>
      </c>
      <c r="O139" s="7"/>
      <c r="P139" s="7"/>
      <c r="Q139" s="22"/>
      <c r="R139" s="170"/>
      <c r="S139" s="213">
        <f t="shared" si="58"/>
        <v>1</v>
      </c>
      <c r="T139" s="195" t="str">
        <f t="shared" si="40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41"/>
        <v>https://d0f6bd738d7f1b3e5a7ca70fe4ff75f0.us-east-1.aws.found.io/app/kibana#/discover/Steve-Slow-Train-Analysis-(2080s-and-2083s)?_g=(refreshInterval:(display:Off,pause:!f,section:0,value:0),time:(from:'2017-08-25T19:46:43-0600',mode:absolute,to:'2017-08-25T22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9" s="197" t="str">
        <f>IF(AA139&lt;VLOOKUP(AG139,Variables!$AC$3:$AD$8,2,FALSE),"Y","N")</f>
        <v>N</v>
      </c>
      <c r="X139" s="197">
        <f t="shared" si="54"/>
        <v>1</v>
      </c>
      <c r="Y139" s="197">
        <f t="shared" si="56"/>
        <v>23.297699999999999</v>
      </c>
      <c r="Z139" s="197">
        <f t="shared" si="59"/>
        <v>1.2500000000000001E-2</v>
      </c>
      <c r="AA139" s="197">
        <f t="shared" si="43"/>
        <v>23.2852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6">
        <f t="shared" si="44"/>
        <v>226</v>
      </c>
      <c r="AE139" s="77" t="str">
        <f t="shared" si="45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139" s="74" t="str">
        <f t="shared" si="46"/>
        <v>"C:\Program Files (x86)\AstroGrep\AstroGrep.exe" /e /r /s /spath="%USERPROFILE%\AppData\Local\Temp\OnboardLogs" /stypes="app*4063*20170826*" /stext=" 03:.+((SYSTEM_STATE.+slice.+state.+changed )|(ment ac)|(multiple cpu faults)|(system.+state.+changed )|(\[timeout)|(PRM\|1\|D)|(kpr)|(kdp)|(train st.+moving)|(\|lc)|(penalty))"</v>
      </c>
      <c r="AG139" s="209" t="str">
        <f t="shared" si="47"/>
        <v>EC</v>
      </c>
      <c r="AH139" s="78" t="str">
        <f t="shared" si="48"/>
        <v>"%USERPROFILE%\Documents\GitHub\eaglep3\Utilities\RefineRTDCRunTimes.py" --tripid 226-25 --locoid 4063 --swversion DE.1.0.9.0 --startMP 204:232977 --initTime 2017-08-25T20:46:43 --startdatetime 2017-08-25T20:57:14 --delay 1 --endMP 204:125 --enddatetime 2017-08-25T21:35:27 --enforcementcount 1 &gt;&gt;C:\Users\stu\Documents\GitHub\eaglep3-reporting\EC\2017-08-25-refined-times.txt</v>
      </c>
      <c r="AI139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{"issue":{"subject":"","project_id":79,"tracker_id":40,"status_id":1,"priority_id":2,"assigned_to_id":23,"start_date":"2017-08-25","description":"","custom_fields":[{"id":1,"name":"Subdivision","value":"EC"},{"id":4,"name":"Milepost","value":"0.0125"},{"id":17,"name":"Train ID","value":"226-25"},{"id":16,"name":"Locomotive ID","value":"4063"},{"id":130,"name":"Impact","value":""},{"id":150,"name":"Time of Event (Mountain Time)","value":"21:35:27"},{"id":151,"name":"Denver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0"/>
        <v>start /low /b %USERPROFILE%\Documents\GitHub\eaglep3\Utilities\DownloadLogsFromS3.py --loco 4063 --day 2017-08-25</v>
      </c>
      <c r="AN139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03:35:27"},{"id":29,"name":"Sharepoint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784</v>
      </c>
      <c r="B140" s="7">
        <v>4032</v>
      </c>
      <c r="C140" s="21" t="s">
        <v>197</v>
      </c>
      <c r="D140" s="21" t="s">
        <v>369</v>
      </c>
      <c r="E140" s="13">
        <v>42972.842060185183</v>
      </c>
      <c r="F140" s="13">
        <v>42972.854872685188</v>
      </c>
      <c r="G140" s="7">
        <v>1</v>
      </c>
      <c r="H140" s="21" t="s">
        <v>838</v>
      </c>
      <c r="I140" s="13">
        <v>42972.879895833335</v>
      </c>
      <c r="J140" s="7">
        <v>1</v>
      </c>
      <c r="K140" s="89" t="str">
        <f t="shared" si="38"/>
        <v>4031/4032</v>
      </c>
      <c r="L140" s="217" t="str">
        <f>VLOOKUP(A140,'Trips&amp;Operators'!$C$1:$G$99911,5,FALSE)</f>
        <v>FORTUNATO FRANK</v>
      </c>
      <c r="M140" s="6">
        <f t="shared" si="39"/>
        <v>2.5023148147738539E-2</v>
      </c>
      <c r="N140" s="7">
        <f t="shared" si="57"/>
        <v>36.033333332743496</v>
      </c>
      <c r="O140" s="7"/>
      <c r="P140" s="7"/>
      <c r="Q140" s="22"/>
      <c r="R140" s="170"/>
      <c r="S140" s="213">
        <f t="shared" si="58"/>
        <v>1</v>
      </c>
      <c r="T140" s="195" t="str">
        <f t="shared" si="40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41"/>
        <v>https://d0f6bd738d7f1b3e5a7ca70fe4ff75f0.us-east-1.aws.found.io/app/kibana#/discover/Steve-Slow-Train-Analysis-(2080s-and-2083s)?_g=(refreshInterval:(display:Off,pause:!f,section:0,value:0),time:(from:'2017-08-25T19:12:34-0600',mode:absolute,to:'2017-08-25T22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0" s="197" t="str">
        <f>IF(AA140&lt;VLOOKUP(AG140,Variables!$AC$3:$AD$8,2,FALSE),"Y","N")</f>
        <v>N</v>
      </c>
      <c r="X140" s="197">
        <f t="shared" si="54"/>
        <v>1</v>
      </c>
      <c r="Y140" s="197">
        <f t="shared" si="56"/>
        <v>4.5999999999999999E-2</v>
      </c>
      <c r="Z140" s="197">
        <f t="shared" si="59"/>
        <v>23.331</v>
      </c>
      <c r="AA140" s="197">
        <f t="shared" si="43"/>
        <v>23.285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6">
        <f t="shared" si="44"/>
        <v>227</v>
      </c>
      <c r="AE140" s="77" t="str">
        <f t="shared" si="45"/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AF140" s="74" t="str">
        <f t="shared" si="46"/>
        <v>"C:\Program Files (x86)\AstroGrep\AstroGrep.exe" /e /r /s /spath="%USERPROFILE%\AppData\Local\Temp\OnboardLogs" /stypes="app*4032*20170826*" /stext=" 03:.+((SYSTEM_STATE.+slice.+state.+changed )|(ment ac)|(multiple cpu faults)|(system.+state.+changed )|(\[timeout)|(PRM\|1\|D)|(kpr)|(kdp)|(train st.+moving)|(\|lc)|(penalty))"</v>
      </c>
      <c r="AG140" s="209" t="str">
        <f t="shared" si="47"/>
        <v>EC</v>
      </c>
      <c r="AH140" s="78" t="str">
        <f t="shared" si="48"/>
        <v>"%USERPROFILE%\Documents\GitHub\eaglep3\Utilities\RefineRTDCRunTimes.py" --tripid 227-25 --locoid 4032 --swversion DE.1.0.9.0 --startMP 204:460 --initTime 2017-08-25T20:12:34 --startdatetime 2017-08-25T20:31:01 --delay 1 --endMP 204:233310 --enddatetime 2017-08-25T21:07:03 --enforcementcount 1 &gt;&gt;C:\Users\stu\Documents\GitHub\eaglep3-reporting\EC\2017-08-25-refined-times.txt</v>
      </c>
      <c r="AI140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{"issue":{"subject":"","project_id":79,"tracker_id":40,"status_id":1,"priority_id":2,"assigned_to_id":23,"start_date":"2017-08-25","description":"","custom_fields":[{"id":1,"name":"Subdivision","value":"EC"},{"id":4,"name":"Milepost","value":"23.331"},{"id":17,"name":"Train ID","value":"227-25"},{"id":16,"name":"Locomotive ID","value":"4032"},{"id":130,"name":"Impact","value":""},{"id":150,"name":"Time of Event (Mountain Time)","value":"21:07:03"},{"id":151,"name":"Denver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0"/>
        <v>start /low /b %USERPROFILE%\Documents\GitHub\eaglep3\Utilities\DownloadLogsFromS3.py --loco 4032 --day 2017-08-25</v>
      </c>
      <c r="AN140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03:07:03"},{"id":29,"name":"Sharepoint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606</v>
      </c>
      <c r="B141" s="7">
        <v>4031</v>
      </c>
      <c r="C141" s="21" t="s">
        <v>197</v>
      </c>
      <c r="D141" s="21" t="s">
        <v>526</v>
      </c>
      <c r="E141" s="13">
        <v>42972.881539351853</v>
      </c>
      <c r="F141" s="13">
        <v>42972.893888888888</v>
      </c>
      <c r="G141" s="7">
        <v>1</v>
      </c>
      <c r="H141" s="21" t="s">
        <v>345</v>
      </c>
      <c r="I141" s="13">
        <v>42972.920358796298</v>
      </c>
      <c r="J141" s="7">
        <v>1</v>
      </c>
      <c r="K141" s="89" t="str">
        <f t="shared" ref="K141:K204" si="60">IF(ISEVEN(B141),(B141-1)&amp;"/"&amp;B141,B141&amp;"/"&amp;(B141+1))</f>
        <v>4031/4032</v>
      </c>
      <c r="L141" s="217" t="str">
        <f>VLOOKUP(A141,'Trips&amp;Operators'!$C$1:$G$99911,5,FALSE)</f>
        <v>FORTUNATO FRANK</v>
      </c>
      <c r="M141" s="6">
        <f t="shared" ref="M141:M204" si="61">I141-F141</f>
        <v>2.6469907410501037E-2</v>
      </c>
      <c r="N141" s="7">
        <f t="shared" si="57"/>
        <v>38.116666671121493</v>
      </c>
      <c r="O141" s="7"/>
      <c r="P141" s="7"/>
      <c r="Q141" s="22"/>
      <c r="R141" s="170"/>
      <c r="S141" s="213">
        <f t="shared" si="58"/>
        <v>1</v>
      </c>
      <c r="T141" s="195" t="str">
        <f t="shared" ref="T141:T204" si="62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-25T20:09:25-0600',mode:absolute,to:'2017-08-25T23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1" s="197" t="str">
        <f>IF(AA141&lt;VLOOKUP(AG141,Variables!$AC$3:$AD$8,2,FALSE),"Y","N")</f>
        <v>N</v>
      </c>
      <c r="X141" s="197">
        <f t="shared" si="54"/>
        <v>1</v>
      </c>
      <c r="Y141" s="197">
        <f t="shared" ref="Y141:Y157" si="64">RIGHT(D141,LEN(D141)-4)/10000</f>
        <v>23.2989</v>
      </c>
      <c r="Z141" s="197">
        <f t="shared" si="59"/>
        <v>1.41E-2</v>
      </c>
      <c r="AA141" s="197">
        <f t="shared" ref="AA141:AA204" si="65">ABS(Z141-Y141)</f>
        <v>23.284800000000001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6">
        <f t="shared" ref="AD141:AD204" si="66">VALUE(LEFT(A141,LEN(A141)-3))</f>
        <v>228</v>
      </c>
      <c r="AE141" s="7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141" s="74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/stypes="app*4031*20170826*"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69">DetSubdiv(A141)</f>
        <v>EC</v>
      </c>
      <c r="AH141" s="78" t="str">
        <f t="shared" si="48"/>
        <v>"%USERPROFILE%\Documents\GitHub\eaglep3\Utilities\RefineRTDCRunTimes.py" --tripid 228-25 --locoid 4031 --swversion DE.1.0.9.0 --startMP 204:232989 --initTime 2017-08-25T21:09:25 --startdatetime 2017-08-25T21:27:12 --delay 1 --endMP 204:141 --enddatetime 2017-08-25T22:05:19 --enforcementcount 1 &gt;&gt;C:\Users\stu\Documents\GitHub\eaglep3-reporting\EC\2017-08-25-refined-times.txt</v>
      </c>
      <c r="AI141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{"issue":{"subject":"","project_id":79,"tracker_id":40,"status_id":1,"priority_id":2,"assigned_to_id":23,"start_date":"2017-08-25","description":"","custom_fields":[{"id":1,"name":"Subdivision","value":"EC"},{"id":4,"name":"Milepost","value":"0.0141"},{"id":17,"name":"Train ID","value":"228-25"},{"id":16,"name":"Locomotive ID","value":"4031"},{"id":130,"name":"Impact","value":""},{"id":150,"name":"Time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0"/>
        <v>start /low /b %USERPROFILE%\Documents\GitHub\eaglep3\Utilities\DownloadLogsFromS3.py --loco 4031 --day 2017-08-25</v>
      </c>
      <c r="AN141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04:05:19"},{"id":29,"name":"Sharepoint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788</v>
      </c>
      <c r="B142" s="7">
        <v>4002</v>
      </c>
      <c r="C142" s="21" t="s">
        <v>197</v>
      </c>
      <c r="D142" s="21" t="s">
        <v>371</v>
      </c>
      <c r="E142" s="13">
        <v>42972.86787037037</v>
      </c>
      <c r="F142" s="13">
        <v>42972.875567129631</v>
      </c>
      <c r="G142" s="7">
        <v>1</v>
      </c>
      <c r="H142" s="21" t="s">
        <v>823</v>
      </c>
      <c r="I142" s="13">
        <v>42972.900370370371</v>
      </c>
      <c r="J142" s="7">
        <v>1</v>
      </c>
      <c r="K142" s="89" t="str">
        <f t="shared" si="60"/>
        <v>4001/4002</v>
      </c>
      <c r="L142" s="217" t="str">
        <f>VLOOKUP(A142,'Trips&amp;Operators'!$C$1:$G$99911,5,FALSE)</f>
        <v>LAMAR NEKESHA</v>
      </c>
      <c r="M142" s="6">
        <f t="shared" si="61"/>
        <v>2.4803240739856847E-2</v>
      </c>
      <c r="N142" s="7">
        <f t="shared" si="57"/>
        <v>35.716666665393859</v>
      </c>
      <c r="O142" s="7"/>
      <c r="P142" s="7"/>
      <c r="Q142" s="22"/>
      <c r="R142" s="170"/>
      <c r="S142" s="213">
        <f t="shared" si="58"/>
        <v>1</v>
      </c>
      <c r="T142" s="195" t="str">
        <f t="shared" si="62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3"/>
        <v>https://d0f6bd738d7f1b3e5a7ca70fe4ff75f0.us-east-1.aws.found.io/app/kibana#/discover/Steve-Slow-Train-Analysis-(2080s-and-2083s)?_g=(refreshInterval:(display:Off,pause:!f,section:0,value:0),time:(from:'2017-08-25T19:49:44-0600',mode:absolute,to:'2017-08-25T22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197" t="str">
        <f>IF(AA142&lt;VLOOKUP(AG142,Variables!$AC$3:$AD$8,2,FALSE),"Y","N")</f>
        <v>N</v>
      </c>
      <c r="X142" s="197">
        <f t="shared" si="54"/>
        <v>1</v>
      </c>
      <c r="Y142" s="197">
        <f t="shared" si="64"/>
        <v>4.5699999999999998E-2</v>
      </c>
      <c r="Z142" s="197">
        <f t="shared" si="59"/>
        <v>23.3291</v>
      </c>
      <c r="AA142" s="197">
        <f t="shared" si="65"/>
        <v>23.2834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6">
        <f t="shared" si="66"/>
        <v>229</v>
      </c>
      <c r="AE142" s="77" t="str">
        <f t="shared" si="67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142" s="74" t="str">
        <f t="shared" si="68"/>
        <v>"C:\Program Files (x86)\AstroGrep\AstroGrep.exe" /e /r /s /spath="%USERPROFILE%\AppData\Local\Temp\OnboardLogs" /stypes="app*4002*20170826*" /stext=" 03:.+((SYSTEM_STATE.+slice.+state.+changed )|(ment ac)|(multiple cpu faults)|(system.+state.+changed )|(\[timeout)|(PRM\|1\|D)|(kpr)|(kdp)|(train st.+moving)|(\|lc)|(penalty))"</v>
      </c>
      <c r="AG142" s="209" t="str">
        <f t="shared" si="69"/>
        <v>EC</v>
      </c>
      <c r="AH142" s="78" t="str">
        <f t="shared" si="48"/>
        <v>"%USERPROFILE%\Documents\GitHub\eaglep3\Utilities\RefineRTDCRunTimes.py" --tripid 229-25 --locoid 4002 --swversion DE.1.0.9.0 --startMP 204:457 --initTime 2017-08-25T20:49:44 --startdatetime 2017-08-25T21:00:49 --delay 1 --endMP 204:233291 --enddatetime 2017-08-25T21:36:32 --enforcementcount 1 &gt;&gt;C:\Users\stu\Documents\GitHub\eaglep3-reporting\EC\2017-08-25-refined-times.txt</v>
      </c>
      <c r="AI142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{"issue":{"subject":"","project_id":79,"tracker_id":40,"status_id":1,"priority_id":2,"assigned_to_id":23,"start_date":"2017-08-25","description":"","custom_fields":[{"id":1,"name":"Subdivision","value":"EC"},{"id":4,"name":"Milepost","value":"23.3291"},{"id":17,"name":"Train ID","value":"229-25"},{"id":16,"name":"Locomotive ID","value":"4002"},{"id":130,"name":"Impact","value":""},{"id":150,"name":"Time of Event (Mountain Time)","value":"21:36:32"},{"id":151,"name":"Denver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0"/>
        <v>start /low /b %USERPROFILE%\Documents\GitHub\eaglep3\Utilities\DownloadLogsFromS3.py --loco 4002 --day 2017-08-25</v>
      </c>
      <c r="AN142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792</v>
      </c>
      <c r="B143" s="7">
        <v>4001</v>
      </c>
      <c r="C143" s="21" t="s">
        <v>197</v>
      </c>
      <c r="D143" s="21" t="s">
        <v>451</v>
      </c>
      <c r="E143" s="13">
        <v>42972.912233796298</v>
      </c>
      <c r="F143" s="13">
        <v>42972.914942129632</v>
      </c>
      <c r="G143" s="7">
        <v>1</v>
      </c>
      <c r="H143" s="21" t="s">
        <v>543</v>
      </c>
      <c r="I143" s="13">
        <v>42972.941759259258</v>
      </c>
      <c r="J143" s="7">
        <v>1</v>
      </c>
      <c r="K143" s="89" t="str">
        <f t="shared" si="60"/>
        <v>4001/4002</v>
      </c>
      <c r="L143" s="217" t="str">
        <f>VLOOKUP(A143,'Trips&amp;Operators'!$C$1:$G$99911,5,FALSE)</f>
        <v>LAMAR NEKESHA</v>
      </c>
      <c r="M143" s="6">
        <f t="shared" si="61"/>
        <v>2.6817129626579117E-2</v>
      </c>
      <c r="N143" s="7">
        <f t="shared" si="57"/>
        <v>38.616666662273929</v>
      </c>
      <c r="O143" s="7"/>
      <c r="P143" s="7"/>
      <c r="Q143" s="22"/>
      <c r="R143" s="170"/>
      <c r="S143" s="213">
        <f t="shared" si="58"/>
        <v>1</v>
      </c>
      <c r="T143" s="195" t="str">
        <f t="shared" si="62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3"/>
        <v>https://d0f6bd738d7f1b3e5a7ca70fe4ff75f0.us-east-1.aws.found.io/app/kibana#/discover/Steve-Slow-Train-Analysis-(2080s-and-2083s)?_g=(refreshInterval:(display:Off,pause:!f,section:0,value:0),time:(from:'2017-08-25T20:53:37-0600',mode:absolute,to:'2017-08-25T23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197" t="str">
        <f>IF(AA143&lt;VLOOKUP(AG143,Variables!$AC$3:$AD$8,2,FALSE),"Y","N")</f>
        <v>N</v>
      </c>
      <c r="X143" s="197">
        <f t="shared" si="54"/>
        <v>1</v>
      </c>
      <c r="Y143" s="197">
        <f t="shared" si="64"/>
        <v>23.297599999999999</v>
      </c>
      <c r="Z143" s="197">
        <f t="shared" si="59"/>
        <v>1.67E-2</v>
      </c>
      <c r="AA143" s="197">
        <f t="shared" si="65"/>
        <v>23.280899999999999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6">
        <f t="shared" si="66"/>
        <v>230</v>
      </c>
      <c r="AE143" s="77" t="str">
        <f t="shared" si="67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143" s="74" t="str">
        <f t="shared" si="68"/>
        <v>"C:\Program Files (x86)\AstroGrep\AstroGrep.exe" /e /r /s /spath="%USERPROFILE%\AppData\Local\Temp\OnboardLogs" /stypes="app*4001*20170826*" /stext=" 04:.+((SYSTEM_STATE.+slice.+state.+changed )|(ment ac)|(multiple cpu faults)|(system.+state.+changed )|(\[timeout)|(PRM\|1\|D)|(kpr)|(kdp)|(train st.+moving)|(\|lc)|(penalty))"</v>
      </c>
      <c r="AG143" s="209" t="str">
        <f t="shared" si="69"/>
        <v>EC</v>
      </c>
      <c r="AH143" s="78" t="str">
        <f t="shared" si="48"/>
        <v>"%USERPROFILE%\Documents\GitHub\eaglep3\Utilities\RefineRTDCRunTimes.py" --tripid 230-25 --locoid 4001 --swversion DE.1.0.9.0 --startMP 204:232976 --initTime 2017-08-25T21:53:37 --startdatetime 2017-08-25T21:57:31 --delay 1 --endMP 204:167 --enddatetime 2017-08-25T22:36:08 --enforcementcount 1 &gt;&gt;C:\Users\stu\Documents\GitHub\eaglep3-reporting\EC\2017-08-25-refined-times.txt</v>
      </c>
      <c r="AI143" s="96" t="str">
        <f t="shared" si="49"/>
        <v>echo {"issue":{"subject":"","project_id":79,"tracker_id":40,"status_id":1,"priority_id":2,"assigned_to_id":23,"start_date":"2017-08-25","description":"","custom_fields":[{"id":1,"name":"Subdivision","value":"EC"},{"id":4,"name":"Milepost","value":"0.0167"},{"id":17,"name":"Train ID","value":"230-25"},{"id":16,"name":"Locomotive ID","value":"4001"},{"id":130,"name":"Impact","value":""},{"id":150,"name":"Time of Event (Mountain Time)","value":"22:36:08"},{"id":151,"name":"Denver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0"/>
        <v>start /low /b %USERPROFILE%\Documents\GitHub\eaglep3\Utilities\DownloadLogsFromS3.py --loco 4001 --day 2017-08-25</v>
      </c>
      <c r="AN143" s="151" t="str">
        <f t="shared" si="51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04:36:08"},{"id":29,"name":"Sharepoint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605</v>
      </c>
      <c r="B144" s="7">
        <v>4030</v>
      </c>
      <c r="C144" s="21" t="s">
        <v>197</v>
      </c>
      <c r="D144" s="21" t="s">
        <v>429</v>
      </c>
      <c r="E144" s="13">
        <v>42972.893136574072</v>
      </c>
      <c r="F144" s="13">
        <v>42972.896643518521</v>
      </c>
      <c r="G144" s="7">
        <v>1</v>
      </c>
      <c r="H144" s="21" t="s">
        <v>522</v>
      </c>
      <c r="I144" s="13">
        <v>42972.923090277778</v>
      </c>
      <c r="J144" s="7">
        <v>1</v>
      </c>
      <c r="K144" s="89" t="str">
        <f t="shared" si="60"/>
        <v>4029/4030</v>
      </c>
      <c r="L144" s="217" t="str">
        <f>VLOOKUP(A144,'Trips&amp;Operators'!$C$1:$G$99911,5,FALSE)</f>
        <v>WEST BRYAN</v>
      </c>
      <c r="M144" s="6">
        <f t="shared" si="61"/>
        <v>2.6446759256941732E-2</v>
      </c>
      <c r="N144" s="7">
        <f t="shared" si="57"/>
        <v>38.083333329996094</v>
      </c>
      <c r="O144" s="7"/>
      <c r="P144" s="7"/>
      <c r="Q144" s="22"/>
      <c r="R144" s="170"/>
      <c r="S144" s="213">
        <f t="shared" si="58"/>
        <v>1</v>
      </c>
      <c r="T144" s="195" t="str">
        <f t="shared" si="62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3"/>
        <v>https://d0f6bd738d7f1b3e5a7ca70fe4ff75f0.us-east-1.aws.found.io/app/kibana#/discover/Steve-Slow-Train-Analysis-(2080s-and-2083s)?_g=(refreshInterval:(display:Off,pause:!f,section:0,value:0),time:(from:'2017-08-25T20:26:07-0600',mode:absolute,to:'2017-08-25T23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4" s="197" t="str">
        <f>IF(AA144&lt;VLOOKUP(AG144,Variables!$AC$3:$AD$8,2,FALSE),"Y","N")</f>
        <v>N</v>
      </c>
      <c r="X144" s="197">
        <f t="shared" si="54"/>
        <v>1</v>
      </c>
      <c r="Y144" s="197">
        <f t="shared" si="64"/>
        <v>4.7300000000000002E-2</v>
      </c>
      <c r="Z144" s="197">
        <f t="shared" si="59"/>
        <v>23.327400000000001</v>
      </c>
      <c r="AA144" s="197">
        <f t="shared" si="65"/>
        <v>23.280100000000001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6">
        <f t="shared" si="66"/>
        <v>231</v>
      </c>
      <c r="AE144" s="77" t="str">
        <f t="shared" si="67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144" s="74" t="str">
        <f t="shared" si="68"/>
        <v>"C:\Program Files (x86)\AstroGrep\AstroGrep.exe" /e /r /s /spath="%USERPROFILE%\AppData\Local\Temp\OnboardLogs" /stypes="app*4030*20170826*" /stext=" 04:.+((SYSTEM_STATE.+slice.+state.+changed )|(ment ac)|(multiple cpu faults)|(system.+state.+changed )|(\[timeout)|(PRM\|1\|D)|(kpr)|(kdp)|(train st.+moving)|(\|lc)|(penalty))"</v>
      </c>
      <c r="AG144" s="209" t="str">
        <f t="shared" si="69"/>
        <v>EC</v>
      </c>
      <c r="AH144" s="78" t="str">
        <f t="shared" ref="AH144:AH211" si="70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231-25 --locoid 4030 --swversion DE.1.0.9.0 --startMP 204:473 --initTime 2017-08-25T21:26:07 --startdatetime 2017-08-25T21:31:10 --delay 1 --endMP 204:233274 --enddatetime 2017-08-25T22:09:15 --enforcementcount 1 &gt;&gt;C:\Users\stu\Documents\GitHub\eaglep3-reporting\EC\2017-08-25-refined-times.txt</v>
      </c>
      <c r="AI144" s="96" t="str">
        <f t="shared" ref="AI144:AI211" si="71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{"issue":{"subject":"","project_id":79,"tracker_id":40,"status_id":1,"priority_id":2,"assigned_to_id":23,"start_date":"2017-08-25","description":"","custom_fields":[{"id":1,"name":"Subdivision","value":"EC"},{"id":4,"name":"Milepost","value":"23.3274"},{"id":17,"name":"Train ID","value":"231-25"},{"id":16,"name":"Locomotive ID","value":"4030"},{"id":130,"name":"Impact","value":""},{"id":150,"name":"Time of Event (Mountain Time)","value":"22:09:15"},{"id":151,"name":"Denver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11" si="72">"start /low /b "&amp;dls3logs&amp;" --loco "&amp;B144&amp;" --day "&amp;TEXT(F144,"YYYY-MM-DD")</f>
        <v>start /low /b %USERPROFILE%\Documents\GitHub\eaglep3\Utilities\DownloadLogsFromS3.py --loco 4030 --day 2017-08-25</v>
      </c>
      <c r="AN144" s="151" t="str">
        <f t="shared" ref="AN144:AN211" si="73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04:09:15"},{"id":29,"name":"Sharepoint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794</v>
      </c>
      <c r="B145" s="7">
        <v>4029</v>
      </c>
      <c r="C145" s="21" t="s">
        <v>197</v>
      </c>
      <c r="D145" s="21" t="s">
        <v>542</v>
      </c>
      <c r="E145" s="13">
        <v>42972.928981481484</v>
      </c>
      <c r="F145" s="13">
        <v>42972.935810185183</v>
      </c>
      <c r="G145" s="7">
        <v>1</v>
      </c>
      <c r="H145" s="21" t="s">
        <v>444</v>
      </c>
      <c r="I145" s="13">
        <v>42972.962939814817</v>
      </c>
      <c r="J145" s="7">
        <v>1</v>
      </c>
      <c r="K145" s="89" t="str">
        <f t="shared" si="60"/>
        <v>4029/4030</v>
      </c>
      <c r="L145" s="217" t="str">
        <f>VLOOKUP(A145,'Trips&amp;Operators'!$C$1:$G$99911,5,FALSE)</f>
        <v>WEST BRYAN</v>
      </c>
      <c r="M145" s="6">
        <f t="shared" si="61"/>
        <v>2.7129629634146113E-2</v>
      </c>
      <c r="N145" s="7">
        <f t="shared" si="57"/>
        <v>39.066666673170403</v>
      </c>
      <c r="O145" s="7"/>
      <c r="P145" s="7"/>
      <c r="Q145" s="22"/>
      <c r="R145" s="170"/>
      <c r="S145" s="213">
        <f t="shared" si="58"/>
        <v>1</v>
      </c>
      <c r="T145" s="195" t="str">
        <f t="shared" si="62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3"/>
        <v>https://d0f6bd738d7f1b3e5a7ca70fe4ff75f0.us-east-1.aws.found.io/app/kibana#/discover/Steve-Slow-Train-Analysis-(2080s-and-2083s)?_g=(refreshInterval:(display:Off,pause:!f,section:0,value:0),time:(from:'2017-08-25T21:17:44-0600',mode:absolute,to:'2017-08-26T00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5" s="197" t="str">
        <f>IF(AA145&lt;VLOOKUP(AG145,Variables!$AC$3:$AD$8,2,FALSE),"Y","N")</f>
        <v>N</v>
      </c>
      <c r="X145" s="197">
        <f t="shared" si="54"/>
        <v>1</v>
      </c>
      <c r="Y145" s="197">
        <f t="shared" si="64"/>
        <v>23.2972</v>
      </c>
      <c r="Z145" s="197">
        <f t="shared" si="59"/>
        <v>1.61E-2</v>
      </c>
      <c r="AA145" s="197">
        <f t="shared" si="65"/>
        <v>23.281099999999999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6">
        <f t="shared" si="66"/>
        <v>232</v>
      </c>
      <c r="AE145" s="77" t="str">
        <f t="shared" si="67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145" s="74" t="str">
        <f t="shared" si="68"/>
        <v>"C:\Program Files (x86)\AstroGrep\AstroGrep.exe" /e /r /s /spath="%USERPROFILE%\AppData\Local\Temp\OnboardLogs" /stypes="app*4029*20170826*" /stext=" 05:.+((SYSTEM_STATE.+slice.+state.+changed )|(ment ac)|(multiple cpu faults)|(system.+state.+changed )|(\[timeout)|(PRM\|1\|D)|(kpr)|(kdp)|(train st.+moving)|(\|lc)|(penalty))"</v>
      </c>
      <c r="AG145" s="209" t="str">
        <f t="shared" si="69"/>
        <v>EC</v>
      </c>
      <c r="AH145" s="78" t="str">
        <f t="shared" si="70"/>
        <v>"%USERPROFILE%\Documents\GitHub\eaglep3\Utilities\RefineRTDCRunTimes.py" --tripid 232-25 --locoid 4029 --swversion DE.1.0.9.0 --startMP 204:232972 --initTime 2017-08-25T22:17:44 --startdatetime 2017-08-25T22:27:34 --delay 1 --endMP 204:161 --enddatetime 2017-08-25T23:06:38 --enforcementcount 1 &gt;&gt;C:\Users\stu\Documents\GitHub\eaglep3-reporting\EC\2017-08-25-refined-times.txt</v>
      </c>
      <c r="AI145" s="96" t="str">
        <f t="shared" si="71"/>
        <v>echo {"issue":{"subject":"","project_id":79,"tracker_id":40,"status_id":1,"priority_id":2,"assigned_to_id":23,"start_date":"2017-08-25","description":"","custom_fields":[{"id":1,"name":"Subdivision","value":"EC"},{"id":4,"name":"Milepost","value":"0.0161"},{"id":17,"name":"Train ID","value":"232-25"},{"id":16,"name":"Locomotive ID","value":"4029"},{"id":130,"name":"Impact","value":""},{"id":150,"name":"Time of Event (Mountain Time)","value":"23:06:38"},{"id":151,"name":"Denver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2"/>
        <v>start /low /b %USERPROFILE%\Documents\GitHub\eaglep3\Utilities\DownloadLogsFromS3.py --loco 4029 --day 2017-08-25</v>
      </c>
      <c r="AN145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05:06:38"},{"id":29,"name":"Sharepoint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791</v>
      </c>
      <c r="B146" s="7">
        <v>4064</v>
      </c>
      <c r="C146" s="21" t="s">
        <v>197</v>
      </c>
      <c r="D146" s="21" t="s">
        <v>874</v>
      </c>
      <c r="E146" s="13">
        <v>42972.905509259261</v>
      </c>
      <c r="F146" s="13">
        <v>42972.917175925926</v>
      </c>
      <c r="G146" s="7">
        <v>2</v>
      </c>
      <c r="H146" s="21" t="s">
        <v>530</v>
      </c>
      <c r="I146" s="13">
        <v>42972.94189814815</v>
      </c>
      <c r="J146" s="7">
        <v>1</v>
      </c>
      <c r="K146" s="89" t="str">
        <f t="shared" si="60"/>
        <v>4063/4064</v>
      </c>
      <c r="L146" s="217" t="str">
        <f>VLOOKUP(A146,'Trips&amp;Operators'!$C$1:$G$99911,5,FALSE)</f>
        <v>RESPASS AARON</v>
      </c>
      <c r="M146" s="6">
        <f t="shared" si="61"/>
        <v>2.4722222224227153E-2</v>
      </c>
      <c r="N146" s="7">
        <f t="shared" si="57"/>
        <v>35.6000000028871</v>
      </c>
      <c r="O146" s="7"/>
      <c r="P146" s="7"/>
      <c r="Q146" s="22"/>
      <c r="R146" s="170"/>
      <c r="S146" s="213">
        <f t="shared" si="58"/>
        <v>1</v>
      </c>
      <c r="T146" s="195" t="str">
        <f t="shared" si="62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3"/>
        <v>https://d0f6bd738d7f1b3e5a7ca70fe4ff75f0.us-east-1.aws.found.io/app/kibana#/discover/Steve-Slow-Train-Analysis-(2080s-and-2083s)?_g=(refreshInterval:(display:Off,pause:!f,section:0,value:0),time:(from:'2017-08-25T20:43:56-0600',mode:absolute,to:'2017-08-25T23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6" s="197" t="str">
        <f>IF(AA146&lt;VLOOKUP(AG146,Variables!$AC$3:$AD$8,2,FALSE),"Y","N")</f>
        <v>N</v>
      </c>
      <c r="X146" s="197">
        <f t="shared" si="54"/>
        <v>1</v>
      </c>
      <c r="Y146" s="197">
        <f t="shared" si="64"/>
        <v>4.2700000000000002E-2</v>
      </c>
      <c r="Z146" s="197">
        <f t="shared" si="59"/>
        <v>23.329799999999999</v>
      </c>
      <c r="AA146" s="197">
        <f t="shared" si="65"/>
        <v>23.287099999999999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6">
        <f t="shared" si="66"/>
        <v>233</v>
      </c>
      <c r="AE146" s="77" t="str">
        <f t="shared" si="67"/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AF146" s="74" t="str">
        <f t="shared" si="68"/>
        <v>"C:\Program Files (x86)\AstroGrep\AstroGrep.exe" /e /r /s /spath="%USERPROFILE%\AppData\Local\Temp\OnboardLogs" /stypes="app*4064*20170826*" /stext=" 04:.+((SYSTEM_STATE.+slice.+state.+changed )|(ment ac)|(multiple cpu faults)|(system.+state.+changed )|(\[timeout)|(PRM\|1\|D)|(kpr)|(kdp)|(train st.+moving)|(\|lc)|(penalty))"</v>
      </c>
      <c r="AG146" s="209" t="str">
        <f t="shared" si="69"/>
        <v>EC</v>
      </c>
      <c r="AH146" s="78" t="str">
        <f t="shared" si="70"/>
        <v>"%USERPROFILE%\Documents\GitHub\eaglep3\Utilities\RefineRTDCRunTimes.py" --tripid 233-25 --locoid 4064 --swversion DE.1.0.9.0 --startMP 204:427 --initTime 2017-08-25T21:43:56 --startdatetime 2017-08-25T22:00:44 --delay 2 --endMP 204:233298 --enddatetime 2017-08-25T22:36:20 --enforcementcount 1 &gt;&gt;C:\Users\stu\Documents\GitHub\eaglep3-reporting\EC\2017-08-25-refined-times.txt</v>
      </c>
      <c r="AI146" s="96" t="str">
        <f t="shared" si="71"/>
        <v>echo {"issue":{"subject":"","project_id":79,"tracker_id":40,"status_id":1,"priority_id":2,"assigned_to_id":23,"start_date":"2017-08-25","description":"","custom_fields":[{"id":1,"name":"Subdivision","value":"EC"},{"id":4,"name":"Milepost","value":"23.3298"},{"id":17,"name":"Train ID","value":"233-25"},{"id":16,"name":"Locomotive ID","value":"4064"},{"id":130,"name":"Impact","value":""},{"id":150,"name":"Time of Event (Mountain Time)","value":"22:36:20"},{"id":151,"name":"Denver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2"/>
        <v>start /low /b %USERPROFILE%\Documents\GitHub\eaglep3\Utilities\DownloadLogsFromS3.py --loco 4064 --day 2017-08-25</v>
      </c>
      <c r="AN146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04:36:20"},{"id":29,"name":"Sharepoint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796</v>
      </c>
      <c r="B147" s="7">
        <v>4063</v>
      </c>
      <c r="C147" s="21" t="s">
        <v>197</v>
      </c>
      <c r="D147" s="21" t="s">
        <v>404</v>
      </c>
      <c r="E147" s="13">
        <v>42972.951377314814</v>
      </c>
      <c r="F147" s="13">
        <v>42972.956435185188</v>
      </c>
      <c r="G147" s="7">
        <v>2</v>
      </c>
      <c r="H147" s="21" t="s">
        <v>338</v>
      </c>
      <c r="I147" s="13">
        <v>42972.984016203707</v>
      </c>
      <c r="J147" s="7">
        <v>1</v>
      </c>
      <c r="K147" s="89" t="str">
        <f t="shared" si="60"/>
        <v>4063/4064</v>
      </c>
      <c r="L147" s="217" t="str">
        <f>VLOOKUP(A147,'Trips&amp;Operators'!$C$1:$G$99911,5,FALSE)</f>
        <v>RESPASS AARON</v>
      </c>
      <c r="M147" s="6">
        <f t="shared" si="61"/>
        <v>2.7581018519413192E-2</v>
      </c>
      <c r="N147" s="7">
        <f t="shared" ref="N147:N178" si="74">24*60*SUM($M147:$M147)</f>
        <v>39.716666667954996</v>
      </c>
      <c r="O147" s="7"/>
      <c r="P147" s="7"/>
      <c r="Q147" s="22"/>
      <c r="R147" s="170"/>
      <c r="S147" s="213">
        <f t="shared" ref="S147:S178" si="75">1/IF(AG147="EC",12,1)*SUM(U147:U147)</f>
        <v>1</v>
      </c>
      <c r="T147" s="195" t="str">
        <f t="shared" si="62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3"/>
        <v>https://d0f6bd738d7f1b3e5a7ca70fe4ff75f0.us-east-1.aws.found.io/app/kibana#/discover/Steve-Slow-Train-Analysis-(2080s-and-2083s)?_g=(refreshInterval:(display:Off,pause:!f,section:0,value:0),time:(from:'2017-08-25T21:49:59-0600',mode:absolute,to:'2017-08-26T00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7" s="197" t="str">
        <f>IF(AA147&lt;VLOOKUP(AG147,Variables!$AC$3:$AD$8,2,FALSE),"Y","N")</f>
        <v>N</v>
      </c>
      <c r="X147" s="197">
        <f t="shared" si="54"/>
        <v>1</v>
      </c>
      <c r="Y147" s="197">
        <f t="shared" si="64"/>
        <v>23.298500000000001</v>
      </c>
      <c r="Z147" s="197">
        <f t="shared" si="59"/>
        <v>1.4999999999999999E-2</v>
      </c>
      <c r="AA147" s="197">
        <f t="shared" si="65"/>
        <v>23.2835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6">
        <f t="shared" si="66"/>
        <v>234</v>
      </c>
      <c r="AE147" s="77" t="str">
        <f t="shared" si="67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147" s="74" t="str">
        <f t="shared" si="68"/>
        <v>"C:\Program Files (x86)\AstroGrep\AstroGrep.exe" /e /r /s /spath="%USERPROFILE%\AppData\Local\Temp\OnboardLogs" /stypes="app*4063*20170826*" /stext=" 05:.+((SYSTEM_STATE.+slice.+state.+changed )|(ment ac)|(multiple cpu faults)|(system.+state.+changed )|(\[timeout)|(PRM\|1\|D)|(kpr)|(kdp)|(train st.+moving)|(\|lc)|(penalty))"</v>
      </c>
      <c r="AG147" s="209" t="str">
        <f t="shared" si="69"/>
        <v>EC</v>
      </c>
      <c r="AH147" s="78" t="str">
        <f t="shared" si="70"/>
        <v>"%USERPROFILE%\Documents\GitHub\eaglep3\Utilities\RefineRTDCRunTimes.py" --tripid 234-25 --locoid 4063 --swversion DE.1.0.9.0 --startMP 204:232985 --initTime 2017-08-25T22:49:59 --startdatetime 2017-08-25T22:57:16 --delay 2 --endMP 204:150 --enddatetime 2017-08-25T23:36:59 --enforcementcount 1 &gt;&gt;C:\Users\stu\Documents\GitHub\eaglep3-reporting\EC\2017-08-25-refined-times.txt</v>
      </c>
      <c r="AI147" s="96" t="str">
        <f t="shared" si="71"/>
        <v>echo {"issue":{"subject":"","project_id":79,"tracker_id":40,"status_id":1,"priority_id":2,"assigned_to_id":23,"start_date":"2017-08-25","description":"","custom_fields":[{"id":1,"name":"Subdivision","value":"EC"},{"id":4,"name":"Milepost","value":"0.015"},{"id":17,"name":"Train ID","value":"234-25"},{"id":16,"name":"Locomotive ID","value":"4063"},{"id":130,"name":"Impact","value":""},{"id":150,"name":"Time of Event (Mountain Time)","value":"23:36:59"},{"id":151,"name":"Denver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2"/>
        <v>start /low /b %USERPROFILE%\Documents\GitHub\eaglep3\Utilities\DownloadLogsFromS3.py --loco 4063 --day 2017-08-25</v>
      </c>
      <c r="AN147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05:36:59"},{"id":29,"name":"Sharepoint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793</v>
      </c>
      <c r="B148" s="7">
        <v>4032</v>
      </c>
      <c r="C148" s="21" t="s">
        <v>197</v>
      </c>
      <c r="D148" s="21" t="s">
        <v>337</v>
      </c>
      <c r="E148" s="13">
        <v>42972.923784722225</v>
      </c>
      <c r="F148" s="13">
        <v>42972.938032407408</v>
      </c>
      <c r="G148" s="7">
        <v>1</v>
      </c>
      <c r="H148" s="21" t="s">
        <v>403</v>
      </c>
      <c r="I148" s="13">
        <v>42972.963506944441</v>
      </c>
      <c r="J148" s="7">
        <v>1</v>
      </c>
      <c r="K148" s="89" t="str">
        <f t="shared" si="60"/>
        <v>4031/4032</v>
      </c>
      <c r="L148" s="217" t="str">
        <f>VLOOKUP(A148,'Trips&amp;Operators'!$C$1:$G$99911,5,FALSE)</f>
        <v>FORTUNATO FRANK</v>
      </c>
      <c r="M148" s="6">
        <f t="shared" si="61"/>
        <v>2.5474537033005618E-2</v>
      </c>
      <c r="N148" s="7">
        <f t="shared" si="74"/>
        <v>36.683333327528089</v>
      </c>
      <c r="O148" s="7"/>
      <c r="P148" s="7"/>
      <c r="Q148" s="22"/>
      <c r="R148" s="170"/>
      <c r="S148" s="213">
        <f t="shared" si="75"/>
        <v>1</v>
      </c>
      <c r="T148" s="195" t="str">
        <f t="shared" si="62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3"/>
        <v>https://d0f6bd738d7f1b3e5a7ca70fe4ff75f0.us-east-1.aws.found.io/app/kibana#/discover/Steve-Slow-Train-Analysis-(2080s-and-2083s)?_g=(refreshInterval:(display:Off,pause:!f,section:0,value:0),time:(from:'2017-08-25T21:10:15-0600',mode:absolute,to:'2017-08-26T00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197" t="str">
        <f>IF(AA148&lt;VLOOKUP(AG148,Variables!$AC$3:$AD$8,2,FALSE),"Y","N")</f>
        <v>N</v>
      </c>
      <c r="X148" s="197">
        <f t="shared" si="54"/>
        <v>1</v>
      </c>
      <c r="Y148" s="197">
        <f t="shared" si="64"/>
        <v>4.4600000000000001E-2</v>
      </c>
      <c r="Z148" s="197">
        <f t="shared" si="59"/>
        <v>23.33</v>
      </c>
      <c r="AA148" s="197">
        <f t="shared" si="65"/>
        <v>23.285399999999999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6">
        <f t="shared" si="66"/>
        <v>235</v>
      </c>
      <c r="AE148" s="77" t="str">
        <f t="shared" si="67"/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AF148" s="74" t="str">
        <f t="shared" si="68"/>
        <v>"C:\Program Files (x86)\AstroGrep\AstroGrep.exe" /e /r /s /spath="%USERPROFILE%\AppData\Local\Temp\OnboardLogs" /stypes="app*4032*20170826*" /stext=" 05:.+((SYSTEM_STATE.+slice.+state.+changed )|(ment ac)|(multiple cpu faults)|(system.+state.+changed )|(\[timeout)|(PRM\|1\|D)|(kpr)|(kdp)|(train st.+moving)|(\|lc)|(penalty))"</v>
      </c>
      <c r="AG148" s="209" t="str">
        <f t="shared" si="69"/>
        <v>EC</v>
      </c>
      <c r="AH148" s="78" t="str">
        <f t="shared" si="70"/>
        <v>"%USERPROFILE%\Documents\GitHub\eaglep3\Utilities\RefineRTDCRunTimes.py" --tripid 235-25 --locoid 4032 --swversion DE.1.0.9.0 --startMP 204:446 --initTime 2017-08-25T22:10:15 --startdatetime 2017-08-25T22:30:46 --delay 1 --endMP 204:233300 --enddatetime 2017-08-25T23:07:27 --enforcementcount 1 &gt;&gt;C:\Users\stu\Documents\GitHub\eaglep3-reporting\EC\2017-08-25-refined-times.txt</v>
      </c>
      <c r="AI148" s="96" t="str">
        <f t="shared" si="71"/>
        <v>echo {"issue":{"subject":"","project_id":79,"tracker_id":40,"status_id":1,"priority_id":2,"assigned_to_id":23,"start_date":"2017-08-25","description":"","custom_fields":[{"id":1,"name":"Subdivision","value":"EC"},{"id":4,"name":"Milepost","value":"23.33"},{"id":17,"name":"Train ID","value":"235-25"},{"id":16,"name":"Locomotive ID","value":"4032"},{"id":130,"name":"Impact","value":""},{"id":150,"name":"Time of Event (Mountain Time)","value":"23:07:27"},{"id":151,"name":"Denver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2"/>
        <v>start /low /b %USERPROFILE%\Documents\GitHub\eaglep3\Utilities\DownloadLogsFromS3.py --loco 4032 --day 2017-08-25</v>
      </c>
      <c r="AN148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05:07:27"},{"id":29,"name":"Sharepoint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798</v>
      </c>
      <c r="B149" s="7">
        <v>4031</v>
      </c>
      <c r="C149" s="21" t="s">
        <v>197</v>
      </c>
      <c r="D149" s="21" t="s">
        <v>847</v>
      </c>
      <c r="E149" s="13">
        <v>42972.964768518519</v>
      </c>
      <c r="F149" s="13">
        <v>42972.977233796293</v>
      </c>
      <c r="G149" s="7">
        <v>0</v>
      </c>
      <c r="H149" s="21" t="s">
        <v>376</v>
      </c>
      <c r="I149" s="13">
        <v>42973.003831018519</v>
      </c>
      <c r="J149" s="7">
        <v>1</v>
      </c>
      <c r="K149" s="89" t="str">
        <f t="shared" si="60"/>
        <v>4031/4032</v>
      </c>
      <c r="L149" s="217" t="str">
        <f>VLOOKUP(A149,'Trips&amp;Operators'!$C$1:$G$99911,5,FALSE)</f>
        <v>FORTUNATO FRANK</v>
      </c>
      <c r="M149" s="6">
        <f t="shared" si="61"/>
        <v>2.6597222225973383E-2</v>
      </c>
      <c r="N149" s="7">
        <f t="shared" si="74"/>
        <v>38.300000005401671</v>
      </c>
      <c r="O149" s="7"/>
      <c r="P149" s="7"/>
      <c r="Q149" s="22"/>
      <c r="R149" s="170"/>
      <c r="S149" s="213">
        <f t="shared" si="75"/>
        <v>1</v>
      </c>
      <c r="T149" s="195" t="str">
        <f t="shared" si="62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3"/>
        <v>https://d0f6bd738d7f1b3e5a7ca70fe4ff75f0.us-east-1.aws.found.io/app/kibana#/discover/Steve-Slow-Train-Analysis-(2080s-and-2083s)?_g=(refreshInterval:(display:Off,pause:!f,section:0,value:0),time:(from:'2017-08-25T22:09:16-0600',mode:absolute,to:'2017-08-26T01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9" s="197" t="str">
        <f>IF(AA149&lt;VLOOKUP(AG149,Variables!$AC$3:$AD$8,2,FALSE),"Y","N")</f>
        <v>N</v>
      </c>
      <c r="X149" s="197">
        <f t="shared" si="54"/>
        <v>1</v>
      </c>
      <c r="Y149" s="197">
        <f t="shared" si="64"/>
        <v>23.300799999999999</v>
      </c>
      <c r="Z149" s="197">
        <f t="shared" si="59"/>
        <v>1.4500000000000001E-2</v>
      </c>
      <c r="AA149" s="197">
        <f t="shared" si="65"/>
        <v>23.286299999999997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6">
        <f t="shared" si="66"/>
        <v>236</v>
      </c>
      <c r="AE149" s="77" t="str">
        <f t="shared" si="67"/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149" s="74" t="str">
        <f t="shared" si="68"/>
        <v>"C:\Program Files (x86)\AstroGrep\AstroGrep.exe" /e /r /s /spath="%USERPROFILE%\AppData\Local\Temp\OnboardLogs" /stypes="app*4031*20170826*" /stext=" 06:.+((SYSTEM_STATE.+slice.+state.+changed )|(ment ac)|(multiple cpu faults)|(system.+state.+changed )|(\[timeout)|(PRM\|1\|D)|(kpr)|(kdp)|(train st.+moving)|(\|lc)|(penalty))"</v>
      </c>
      <c r="AG149" s="209" t="str">
        <f t="shared" si="69"/>
        <v>EC</v>
      </c>
      <c r="AH149" s="78" t="str">
        <f t="shared" si="70"/>
        <v>"%USERPROFILE%\Documents\GitHub\eaglep3\Utilities\RefineRTDCRunTimes.py" --tripid 236-25 --locoid 4031 --swversion DE.1.0.9.0 --startMP 204:233008 --initTime 2017-08-25T23:09:16 --startdatetime 2017-08-25T23:27:13 --delay 0 --endMP 204:145 --enddatetime 2017-08-26T00:05:31 --enforcementcount 1 &gt;&gt;C:\Users\stu\Documents\GitHub\eaglep3-reporting\EC\2017-08-25-refined-times.txt</v>
      </c>
      <c r="AI149" s="96" t="str">
        <f t="shared" si="71"/>
        <v>echo {"issue":{"subject":"","project_id":79,"tracker_id":40,"status_id":1,"priority_id":2,"assigned_to_id":23,"start_date":"2017-08-26","description":"","custom_fields":[{"id":1,"name":"Subdivision","value":"EC"},{"id":4,"name":"Milepost","value":"0.0145"},{"id":17,"name":"Train ID","value":"236-25"},{"id":16,"name":"Locomotive ID","value":"4031"},{"id":130,"name":"Impact","value":""},{"id":150,"name":"Time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2"/>
        <v>start /low /b %USERPROFILE%\Documents\GitHub\eaglep3\Utilities\DownloadLogsFromS3.py --loco 4031 --day 2017-08-25</v>
      </c>
      <c r="AN149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797</v>
      </c>
      <c r="B150" s="7">
        <v>4002</v>
      </c>
      <c r="C150" s="21" t="s">
        <v>197</v>
      </c>
      <c r="D150" s="21" t="s">
        <v>374</v>
      </c>
      <c r="E150" s="13">
        <v>42972.953668981485</v>
      </c>
      <c r="F150" s="13">
        <v>42972.959178240744</v>
      </c>
      <c r="G150" s="7">
        <v>2</v>
      </c>
      <c r="H150" s="21" t="s">
        <v>402</v>
      </c>
      <c r="I150" s="13">
        <v>42972.984479166669</v>
      </c>
      <c r="J150" s="7">
        <v>1</v>
      </c>
      <c r="K150" s="89" t="str">
        <f t="shared" si="60"/>
        <v>4001/4002</v>
      </c>
      <c r="L150" s="217" t="str">
        <f>VLOOKUP(A150,'Trips&amp;Operators'!$C$1:$G$99911,5,FALSE)</f>
        <v>ANDERS STEVEN</v>
      </c>
      <c r="M150" s="6">
        <f t="shared" si="61"/>
        <v>2.5300925924966577E-2</v>
      </c>
      <c r="N150" s="7">
        <f t="shared" si="74"/>
        <v>36.433333331951872</v>
      </c>
      <c r="O150" s="7"/>
      <c r="P150" s="7"/>
      <c r="Q150" s="22"/>
      <c r="R150" s="170"/>
      <c r="S150" s="213">
        <f t="shared" si="75"/>
        <v>1</v>
      </c>
      <c r="T150" s="195" t="str">
        <f t="shared" si="62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3"/>
        <v>https://d0f6bd738d7f1b3e5a7ca70fe4ff75f0.us-east-1.aws.found.io/app/kibana#/discover/Steve-Slow-Train-Analysis-(2080s-and-2083s)?_g=(refreshInterval:(display:Off,pause:!f,section:0,value:0),time:(from:'2017-08-25T21:53:17-0600',mode:absolute,to:'2017-08-26T00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197" t="str">
        <f>IF(AA150&lt;VLOOKUP(AG150,Variables!$AC$3:$AD$8,2,FALSE),"Y","N")</f>
        <v>N</v>
      </c>
      <c r="X150" s="197">
        <f t="shared" si="54"/>
        <v>1</v>
      </c>
      <c r="Y150" s="197">
        <f t="shared" si="64"/>
        <v>4.6399999999999997E-2</v>
      </c>
      <c r="Z150" s="197">
        <f t="shared" si="59"/>
        <v>23.331199999999999</v>
      </c>
      <c r="AA150" s="197">
        <f t="shared" si="65"/>
        <v>23.284800000000001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6">
        <f t="shared" si="66"/>
        <v>237</v>
      </c>
      <c r="AE150" s="77" t="str">
        <f t="shared" si="67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150" s="74" t="str">
        <f t="shared" si="68"/>
        <v>"C:\Program Files (x86)\AstroGrep\AstroGrep.exe" /e /r /s /spath="%USERPROFILE%\AppData\Local\Temp\OnboardLogs" /stypes="app*4002*20170826*" /stext=" 05:.+((SYSTEM_STATE.+slice.+state.+changed )|(ment ac)|(multiple cpu faults)|(system.+state.+changed )|(\[timeout)|(PRM\|1\|D)|(kpr)|(kdp)|(train st.+moving)|(\|lc)|(penalty))"</v>
      </c>
      <c r="AG150" s="209" t="str">
        <f t="shared" si="69"/>
        <v>EC</v>
      </c>
      <c r="AH150" s="78" t="str">
        <f t="shared" si="70"/>
        <v>"%USERPROFILE%\Documents\GitHub\eaglep3\Utilities\RefineRTDCRunTimes.py" --tripid 237-25 --locoid 4002 --swversion DE.1.0.9.0 --startMP 204:464 --initTime 2017-08-25T22:53:17 --startdatetime 2017-08-25T23:01:13 --delay 2 --endMP 204:233312 --enddatetime 2017-08-25T23:37:39 --enforcementcount 1 &gt;&gt;C:\Users\stu\Documents\GitHub\eaglep3-reporting\EC\2017-08-25-refined-times.txt</v>
      </c>
      <c r="AI150" s="96" t="str">
        <f t="shared" si="71"/>
        <v>echo {"issue":{"subject":"","project_id":79,"tracker_id":40,"status_id":1,"priority_id":2,"assigned_to_id":23,"start_date":"2017-08-25","description":"","custom_fields":[{"id":1,"name":"Subdivision","value":"EC"},{"id":4,"name":"Milepost","value":"23.3312"},{"id":17,"name":"Train ID","value":"237-25"},{"id":16,"name":"Locomotive ID","value":"4002"},{"id":130,"name":"Impact","value":""},{"id":150,"name":"Time of Event (Mountain Time)","value":"23:37:39"},{"id":151,"name":"Denver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2"/>
        <v>start /low /b %USERPROFILE%\Documents\GitHub\eaglep3\Utilities\DownloadLogsFromS3.py --loco 4002 --day 2017-08-25</v>
      </c>
      <c r="AN150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05:37:39"},{"id":29,"name":"Sharepoint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801</v>
      </c>
      <c r="B151" s="7">
        <v>4001</v>
      </c>
      <c r="C151" s="21" t="s">
        <v>197</v>
      </c>
      <c r="D151" s="21" t="s">
        <v>861</v>
      </c>
      <c r="E151" s="13">
        <v>42972.99527777778</v>
      </c>
      <c r="F151" s="13">
        <v>42972.998252314814</v>
      </c>
      <c r="G151" s="7">
        <v>1</v>
      </c>
      <c r="H151" s="21" t="s">
        <v>873</v>
      </c>
      <c r="I151" s="13">
        <v>42973.025173611109</v>
      </c>
      <c r="J151" s="7">
        <v>1</v>
      </c>
      <c r="K151" s="89" t="str">
        <f t="shared" si="60"/>
        <v>4001/4002</v>
      </c>
      <c r="L151" s="217" t="str">
        <f>VLOOKUP(A151,'Trips&amp;Operators'!$C$1:$G$99911,5,FALSE)</f>
        <v>ANDERS STEVEN</v>
      </c>
      <c r="M151" s="6">
        <f t="shared" si="61"/>
        <v>2.6921296295768116E-2</v>
      </c>
      <c r="N151" s="7">
        <f t="shared" si="74"/>
        <v>38.766666665906087</v>
      </c>
      <c r="O151" s="7"/>
      <c r="P151" s="7"/>
      <c r="Q151" s="22"/>
      <c r="R151" s="170"/>
      <c r="S151" s="213">
        <f t="shared" si="75"/>
        <v>1</v>
      </c>
      <c r="T151" s="195" t="str">
        <f t="shared" si="62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3"/>
        <v>https://d0f6bd738d7f1b3e5a7ca70fe4ff75f0.us-east-1.aws.found.io/app/kibana#/discover/Steve-Slow-Train-Analysis-(2080s-and-2083s)?_g=(refreshInterval:(display:Off,pause:!f,section:0,value:0),time:(from:'2017-08-25T22:53:12-0600',mode:absolute,to:'2017-08-26T01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197" t="str">
        <f>IF(AA151&lt;VLOOKUP(AG151,Variables!$AC$3:$AD$8,2,FALSE),"Y","N")</f>
        <v>N</v>
      </c>
      <c r="X151" s="197">
        <f t="shared" si="54"/>
        <v>1</v>
      </c>
      <c r="Y151" s="197">
        <f t="shared" si="64"/>
        <v>23.298100000000002</v>
      </c>
      <c r="Z151" s="197">
        <f t="shared" si="59"/>
        <v>1.2500000000000001E-2</v>
      </c>
      <c r="AA151" s="197">
        <f t="shared" si="65"/>
        <v>23.285600000000002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6">
        <f t="shared" si="66"/>
        <v>238</v>
      </c>
      <c r="AE151" s="77" t="str">
        <f t="shared" si="67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151" s="74" t="str">
        <f t="shared" si="68"/>
        <v>"C:\Program Files (x86)\AstroGrep\AstroGrep.exe" /e /r /s /spath="%USERPROFILE%\AppData\Local\Temp\OnboardLogs" /stypes="app*4001*20170826*" /stext=" 06:.+((SYSTEM_STATE.+slice.+state.+changed )|(ment ac)|(multiple cpu faults)|(system.+state.+changed )|(\[timeout)|(PRM\|1\|D)|(kpr)|(kdp)|(train st.+moving)|(\|lc)|(penalty))"</v>
      </c>
      <c r="AG151" s="209" t="str">
        <f t="shared" si="69"/>
        <v>EC</v>
      </c>
      <c r="AH151" s="78" t="str">
        <f t="shared" si="70"/>
        <v>"%USERPROFILE%\Documents\GitHub\eaglep3\Utilities\RefineRTDCRunTimes.py" --tripid 238-25 --locoid 4001 --swversion DE.1.0.9.0 --startMP 204:232981 --initTime 2017-08-25T23:53:12 --startdatetime 2017-08-25T23:57:29 --delay 1 --endMP 204:125 --enddatetime 2017-08-26T00:36:15 --enforcementcount 1 &gt;&gt;C:\Users\stu\Documents\GitHub\eaglep3-reporting\EC\2017-08-25-refined-times.txt</v>
      </c>
      <c r="AI151" s="96" t="str">
        <f t="shared" si="71"/>
        <v>echo {"issue":{"subject":"","project_id":79,"tracker_id":40,"status_id":1,"priority_id":2,"assigned_to_id":23,"start_date":"2017-08-26","description":"","custom_fields":[{"id":1,"name":"Subdivision","value":"EC"},{"id":4,"name":"Milepost","value":"0.0125"},{"id":17,"name":"Train ID","value":"238-25"},{"id":16,"name":"Locomotive ID","value":"4001"},{"id":130,"name":"Impact","value":""},{"id":150,"name":"Time of Event (Mountain Time)","value":"00:36:15"},{"id":151,"name":"Denver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2"/>
        <v>start /low /b %USERPROFILE%\Documents\GitHub\eaglep3\Utilities\DownloadLogsFromS3.py --loco 4001 --day 2017-08-25</v>
      </c>
      <c r="AN151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06:36:15"},{"id":29,"name":"Sharepoint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799</v>
      </c>
      <c r="B152" s="7">
        <v>4030</v>
      </c>
      <c r="C152" s="21" t="s">
        <v>197</v>
      </c>
      <c r="D152" s="21" t="s">
        <v>532</v>
      </c>
      <c r="E152" s="13">
        <v>42972.975451388891</v>
      </c>
      <c r="F152" s="13">
        <v>42972.979710648149</v>
      </c>
      <c r="G152" s="7">
        <v>1</v>
      </c>
      <c r="H152" s="21" t="s">
        <v>406</v>
      </c>
      <c r="I152" s="13">
        <v>42973.004942129628</v>
      </c>
      <c r="J152" s="7">
        <v>1</v>
      </c>
      <c r="K152" s="89" t="str">
        <f t="shared" si="60"/>
        <v>4029/4030</v>
      </c>
      <c r="L152" s="217" t="str">
        <f>VLOOKUP(A152,'Trips&amp;Operators'!$C$1:$G$99911,5,FALSE)</f>
        <v>WEST BRYAN</v>
      </c>
      <c r="M152" s="6">
        <f t="shared" si="61"/>
        <v>2.5231481478840578E-2</v>
      </c>
      <c r="N152" s="7">
        <f t="shared" si="74"/>
        <v>36.333333329530433</v>
      </c>
      <c r="O152" s="7"/>
      <c r="P152" s="7"/>
      <c r="Q152" s="22"/>
      <c r="R152" s="170"/>
      <c r="S152" s="213">
        <f t="shared" si="75"/>
        <v>1</v>
      </c>
      <c r="T152" s="195" t="str">
        <f t="shared" si="62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3"/>
        <v>https://d0f6bd738d7f1b3e5a7ca70fe4ff75f0.us-east-1.aws.found.io/app/kibana#/discover/Steve-Slow-Train-Analysis-(2080s-and-2083s)?_g=(refreshInterval:(display:Off,pause:!f,section:0,value:0),time:(from:'2017-08-25T22:24:39-0600',mode:absolute,to:'2017-08-26T01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2" s="197" t="str">
        <f>IF(AA152&lt;VLOOKUP(AG152,Variables!$AC$3:$AD$8,2,FALSE),"Y","N")</f>
        <v>N</v>
      </c>
      <c r="X152" s="197">
        <f t="shared" si="54"/>
        <v>1</v>
      </c>
      <c r="Y152" s="197">
        <f t="shared" si="64"/>
        <v>4.7699999999999999E-2</v>
      </c>
      <c r="Z152" s="197">
        <f t="shared" si="59"/>
        <v>23.328900000000001</v>
      </c>
      <c r="AA152" s="197">
        <f t="shared" si="65"/>
        <v>23.281200000000002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6">
        <f t="shared" si="66"/>
        <v>239</v>
      </c>
      <c r="AE152" s="77" t="str">
        <f t="shared" si="67"/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AF152" s="74" t="str">
        <f t="shared" si="68"/>
        <v>"C:\Program Files (x86)\AstroGrep\AstroGrep.exe" /e /r /s /spath="%USERPROFILE%\AppData\Local\Temp\OnboardLogs" /stypes="app*4030*20170826*" /stext=" 06:.+((SYSTEM_STATE.+slice.+state.+changed )|(ment ac)|(multiple cpu faults)|(system.+state.+changed )|(\[timeout)|(PRM\|1\|D)|(kpr)|(kdp)|(train st.+moving)|(\|lc)|(penalty))"</v>
      </c>
      <c r="AG152" s="209" t="str">
        <f t="shared" si="69"/>
        <v>EC</v>
      </c>
      <c r="AH152" s="78" t="str">
        <f t="shared" si="70"/>
        <v>"%USERPROFILE%\Documents\GitHub\eaglep3\Utilities\RefineRTDCRunTimes.py" --tripid 239-25 --locoid 4030 --swversion DE.1.0.9.0 --startMP 204:477 --initTime 2017-08-25T23:24:39 --startdatetime 2017-08-25T23:30:47 --delay 1 --endMP 204:233289 --enddatetime 2017-08-26T00:07:07 --enforcementcount 1 &gt;&gt;C:\Users\stu\Documents\GitHub\eaglep3-reporting\EC\2017-08-25-refined-times.txt</v>
      </c>
      <c r="AI152" s="96" t="str">
        <f t="shared" si="71"/>
        <v>echo {"issue":{"subject":"","project_id":79,"tracker_id":40,"status_id":1,"priority_id":2,"assigned_to_id":23,"start_date":"2017-08-26","description":"","custom_fields":[{"id":1,"name":"Subdivision","value":"EC"},{"id":4,"name":"Milepost","value":"23.3289"},{"id":17,"name":"Train ID","value":"239-25"},{"id":16,"name":"Locomotive ID","value":"4030"},{"id":130,"name":"Impact","value":""},{"id":150,"name":"Time of Event (Mountain Time)","value":"00:07:07"},{"id":151,"name":"Denver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2"/>
        <v>start /low /b %USERPROFILE%\Documents\GitHub\eaglep3\Utilities\DownloadLogsFromS3.py --loco 4030 --day 2017-08-25</v>
      </c>
      <c r="AN152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06:07:07"},{"id":29,"name":"Sharepoint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803</v>
      </c>
      <c r="B153" s="7">
        <v>4029</v>
      </c>
      <c r="C153" s="21" t="s">
        <v>197</v>
      </c>
      <c r="D153" s="21" t="s">
        <v>824</v>
      </c>
      <c r="E153" s="13">
        <v>42973.016655092593</v>
      </c>
      <c r="F153" s="13">
        <v>42973.018912037034</v>
      </c>
      <c r="G153" s="7">
        <v>1</v>
      </c>
      <c r="H153" s="21" t="s">
        <v>376</v>
      </c>
      <c r="I153" s="13">
        <v>42973.045532407406</v>
      </c>
      <c r="J153" s="7">
        <v>1</v>
      </c>
      <c r="K153" s="89" t="str">
        <f t="shared" si="60"/>
        <v>4029/4030</v>
      </c>
      <c r="L153" s="217" t="str">
        <f>VLOOKUP(A153,'Trips&amp;Operators'!$C$1:$G$99911,5,FALSE)</f>
        <v>WEST BRYAN</v>
      </c>
      <c r="M153" s="6">
        <f t="shared" si="61"/>
        <v>2.662037037225673E-2</v>
      </c>
      <c r="N153" s="7">
        <f t="shared" si="74"/>
        <v>38.333333336049691</v>
      </c>
      <c r="O153" s="7"/>
      <c r="P153" s="7"/>
      <c r="Q153" s="22"/>
      <c r="R153" s="170"/>
      <c r="S153" s="213">
        <f t="shared" si="75"/>
        <v>1</v>
      </c>
      <c r="T153" s="195" t="str">
        <f t="shared" si="62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3"/>
        <v>https://d0f6bd738d7f1b3e5a7ca70fe4ff75f0.us-east-1.aws.found.io/app/kibana#/discover/Steve-Slow-Train-Analysis-(2080s-and-2083s)?_g=(refreshInterval:(display:Off,pause:!f,section:0,value:0),time:(from:'2017-08-25T23:23:59-0600',mode:absolute,to:'2017-08-26T02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197" t="str">
        <f>IF(AA153&lt;VLOOKUP(AG153,Variables!$AC$3:$AD$8,2,FALSE),"Y","N")</f>
        <v>N</v>
      </c>
      <c r="X153" s="197">
        <f t="shared" si="54"/>
        <v>1</v>
      </c>
      <c r="Y153" s="197">
        <f t="shared" si="64"/>
        <v>23.2971</v>
      </c>
      <c r="Z153" s="197">
        <f t="shared" si="59"/>
        <v>1.4500000000000001E-2</v>
      </c>
      <c r="AA153" s="197">
        <f t="shared" si="65"/>
        <v>23.282599999999999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6">
        <f t="shared" si="66"/>
        <v>240</v>
      </c>
      <c r="AE153" s="77" t="str">
        <f t="shared" si="67"/>
        <v>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 &amp; aws s3 cp s3://rtdc.mdm.uploadarchive.raw/RTDC4029/ "%USERPROFILE%\AppData\Local\Temp\OnboardLogs"\RTDC4029\2017-08-27 --exclude "*" --recursive --include "*20170827*" &amp; "%USERPROFILE%\Documents\GitHub\mrs-test-scripts\Headless Mode &amp; Sideloading\WalkAndUnGZ.bat" "%USERPROFILE%\AppData\Local\Temp\OnboardLogs"\RTDC4029\2017-08-27</v>
      </c>
      <c r="AF153" s="74" t="str">
        <f t="shared" si="68"/>
        <v>"C:\Program Files (x86)\AstroGrep\AstroGrep.exe" /e /r /s /spath="%USERPROFILE%\AppData\Local\Temp\OnboardLogs" /stypes="app*4029*20170826*" /stext=" 07:.+((SYSTEM_STATE.+slice.+state.+changed )|(ment ac)|(multiple cpu faults)|(system.+state.+changed )|(\[timeout)|(PRM\|1\|D)|(kpr)|(kdp)|(train st.+moving)|(\|lc)|(penalty))"</v>
      </c>
      <c r="AG153" s="209" t="str">
        <f t="shared" si="69"/>
        <v>EC</v>
      </c>
      <c r="AH153" s="78" t="str">
        <f t="shared" si="70"/>
        <v>"%USERPROFILE%\Documents\GitHub\eaglep3\Utilities\RefineRTDCRunTimes.py" --tripid 240-25 --locoid 4029 --swversion DE.1.0.9.0 --startMP 204:232971 --initTime 2017-08-26T00:23:59 --startdatetime 2017-08-26T00:27:14 --delay 1 --endMP 204:145 --enddatetime 2017-08-26T01:05:34 --enforcementcount 1 &gt;&gt;C:\Users\stu\Documents\GitHub\eaglep3-reporting\EC\2017-08-25-refined-times.txt</v>
      </c>
      <c r="AI153" s="96" t="str">
        <f t="shared" si="71"/>
        <v>echo {"issue":{"subject":"","project_id":79,"tracker_id":40,"status_id":1,"priority_id":2,"assigned_to_id":23,"start_date":"2017-08-26","description":"","custom_fields":[{"id":1,"name":"Subdivision","value":"EC"},{"id":4,"name":"Milepost","value":"0.0145"},{"id":17,"name":"Train ID","value":"240-25"},{"id":16,"name":"Locomotive ID","value":"4029"},{"id":130,"name":"Impact","value":""},{"id":150,"name":"Time of Event (Mountain Time)","value":"01:05:34"},{"id":151,"name":"Denver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2"/>
        <v>start /low /b %USERPROFILE%\Documents\GitHub\eaglep3\Utilities\DownloadLogsFromS3.py --loco 4029 --day 2017-08-26</v>
      </c>
      <c r="AN153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800</v>
      </c>
      <c r="B154" s="7">
        <v>4064</v>
      </c>
      <c r="C154" s="21" t="s">
        <v>197</v>
      </c>
      <c r="D154" s="21" t="s">
        <v>385</v>
      </c>
      <c r="E154" s="13">
        <v>42972.986157407409</v>
      </c>
      <c r="F154" s="13">
        <v>42973.000555555554</v>
      </c>
      <c r="G154" s="7">
        <v>1</v>
      </c>
      <c r="H154" s="21" t="s">
        <v>875</v>
      </c>
      <c r="I154" s="13">
        <v>42973.025787037041</v>
      </c>
      <c r="J154" s="7">
        <v>1</v>
      </c>
      <c r="K154" s="89" t="str">
        <f t="shared" si="60"/>
        <v>4063/4064</v>
      </c>
      <c r="L154" s="217" t="str">
        <f>VLOOKUP(A154,'Trips&amp;Operators'!$C$1:$G$99911,5,FALSE)</f>
        <v>PERKINS DARREN</v>
      </c>
      <c r="M154" s="6">
        <f t="shared" si="61"/>
        <v>2.5231481486116536E-2</v>
      </c>
      <c r="N154" s="7">
        <f t="shared" si="74"/>
        <v>36.333333340007812</v>
      </c>
      <c r="O154" s="7"/>
      <c r="P154" s="7"/>
      <c r="Q154" s="22"/>
      <c r="R154" s="170"/>
      <c r="S154" s="213">
        <f t="shared" si="75"/>
        <v>1</v>
      </c>
      <c r="T154" s="195" t="str">
        <f t="shared" si="62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3"/>
        <v>https://d0f6bd738d7f1b3e5a7ca70fe4ff75f0.us-east-1.aws.found.io/app/kibana#/discover/Steve-Slow-Train-Analysis-(2080s-and-2083s)?_g=(refreshInterval:(display:Off,pause:!f,section:0,value:0),time:(from:'2017-08-25T22:40:04-0600',mode:absolute,to:'2017-08-26T01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4" s="197" t="str">
        <f>IF(AA154&lt;VLOOKUP(AG154,Variables!$AC$3:$AD$8,2,FALSE),"Y","N")</f>
        <v>N</v>
      </c>
      <c r="X154" s="197">
        <f t="shared" si="54"/>
        <v>1</v>
      </c>
      <c r="Y154" s="197">
        <f t="shared" si="64"/>
        <v>4.7100000000000003E-2</v>
      </c>
      <c r="Z154" s="197">
        <f t="shared" si="59"/>
        <v>23.3398</v>
      </c>
      <c r="AA154" s="197">
        <f t="shared" si="65"/>
        <v>23.2927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6">
        <f t="shared" si="66"/>
        <v>241</v>
      </c>
      <c r="AE154" s="77" t="str">
        <f t="shared" si="67"/>
        <v>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 &amp; 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</v>
      </c>
      <c r="AF154" s="74" t="str">
        <f t="shared" si="68"/>
        <v>"C:\Program Files (x86)\AstroGrep\AstroGrep.exe" /e /r /s /spath="%USERPROFILE%\AppData\Local\Temp\OnboardLogs" /stypes="app*4064*20170826*" /stext=" 06:.+((SYSTEM_STATE.+slice.+state.+changed )|(ment ac)|(multiple cpu faults)|(system.+state.+changed )|(\[timeout)|(PRM\|1\|D)|(kpr)|(kdp)|(train st.+moving)|(\|lc)|(penalty))"</v>
      </c>
      <c r="AG154" s="209" t="str">
        <f t="shared" si="69"/>
        <v>EC</v>
      </c>
      <c r="AH154" s="78" t="str">
        <f t="shared" si="70"/>
        <v>"%USERPROFILE%\Documents\GitHub\eaglep3\Utilities\RefineRTDCRunTimes.py" --tripid 241-25 --locoid 4064 --swversion DE.1.0.9.0 --startMP 204:471 --initTime 2017-08-25T23:40:04 --startdatetime 2017-08-26T00:00:48 --delay 1 --endMP 204:233398 --enddatetime 2017-08-26T00:37:08 --enforcementcount 1 &gt;&gt;C:\Users\stu\Documents\GitHub\eaglep3-reporting\EC\2017-08-25-refined-times.txt</v>
      </c>
      <c r="AI154" s="96" t="str">
        <f t="shared" si="71"/>
        <v>echo {"issue":{"subject":"","project_id":79,"tracker_id":40,"status_id":1,"priority_id":2,"assigned_to_id":23,"start_date":"2017-08-26","description":"","custom_fields":[{"id":1,"name":"Subdivision","value":"EC"},{"id":4,"name":"Milepost","value":"23.3398"},{"id":17,"name":"Train ID","value":"241-25"},{"id":16,"name":"Locomotive ID","value":"4064"},{"id":130,"name":"Impact","value":""},{"id":150,"name":"Time of Event (Mountain Time)","value":"00:37:08"},{"id":151,"name":"Denver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2"/>
        <v>start /low /b %USERPROFILE%\Documents\GitHub\eaglep3\Utilities\DownloadLogsFromS3.py --loco 4064 --day 2017-08-26</v>
      </c>
      <c r="AN154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06:37:08"},{"id":29,"name":"Sharepoint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608</v>
      </c>
      <c r="B155" s="7">
        <v>4063</v>
      </c>
      <c r="C155" s="21" t="s">
        <v>197</v>
      </c>
      <c r="D155" s="21" t="s">
        <v>876</v>
      </c>
      <c r="E155" s="13">
        <v>42973.027268518519</v>
      </c>
      <c r="F155" s="13">
        <v>42973.039768518516</v>
      </c>
      <c r="G155" s="7">
        <v>1</v>
      </c>
      <c r="H155" s="21" t="s">
        <v>877</v>
      </c>
      <c r="I155" s="13">
        <v>42973.066840277781</v>
      </c>
      <c r="J155" s="7">
        <v>1</v>
      </c>
      <c r="K155" s="89" t="str">
        <f t="shared" si="60"/>
        <v>4063/4064</v>
      </c>
      <c r="L155" s="217" t="str">
        <f>VLOOKUP(A155,'Trips&amp;Operators'!$C$1:$G$99911,5,FALSE)</f>
        <v>PERKINS DARREN</v>
      </c>
      <c r="M155" s="6">
        <f t="shared" si="61"/>
        <v>2.7071759264799766E-2</v>
      </c>
      <c r="N155" s="7">
        <f t="shared" si="74"/>
        <v>38.983333341311663</v>
      </c>
      <c r="O155" s="7"/>
      <c r="P155" s="7"/>
      <c r="Q155" s="22"/>
      <c r="R155" s="170"/>
      <c r="S155" s="213">
        <f t="shared" si="75"/>
        <v>1</v>
      </c>
      <c r="T155" s="195" t="str">
        <f t="shared" si="62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3"/>
        <v>https://d0f6bd738d7f1b3e5a7ca70fe4ff75f0.us-east-1.aws.found.io/app/kibana#/discover/Steve-Slow-Train-Analysis-(2080s-and-2083s)?_g=(refreshInterval:(display:Off,pause:!f,section:0,value:0),time:(from:'2017-08-25T23:39:16-0600',mode:absolute,to:'2017-08-26T02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5" s="197" t="str">
        <f>IF(AA155&lt;VLOOKUP(AG155,Variables!$AC$3:$AD$8,2,FALSE),"Y","N")</f>
        <v>N</v>
      </c>
      <c r="X155" s="197">
        <f t="shared" ref="X155:X218" si="76">VALUE(LEFT(AD155,4))-VALUE(LEFT(AD154,4))</f>
        <v>1</v>
      </c>
      <c r="Y155" s="197">
        <f t="shared" si="64"/>
        <v>23.306799999999999</v>
      </c>
      <c r="Z155" s="197">
        <f t="shared" si="59"/>
        <v>1.01E-2</v>
      </c>
      <c r="AA155" s="197">
        <f t="shared" si="65"/>
        <v>23.296699999999998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6">
        <f t="shared" si="66"/>
        <v>242</v>
      </c>
      <c r="AE155" s="77" t="str">
        <f t="shared" si="67"/>
        <v>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 &amp; 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</v>
      </c>
      <c r="AF155" s="74" t="str">
        <f t="shared" si="68"/>
        <v>"C:\Program Files (x86)\AstroGrep\AstroGrep.exe" /e /r /s /spath="%USERPROFILE%\AppData\Local\Temp\OnboardLogs" /stypes="app*4063*20170826*" /stext=" 07:.+((SYSTEM_STATE.+slice.+state.+changed )|(ment ac)|(multiple cpu faults)|(system.+state.+changed )|(\[timeout)|(PRM\|1\|D)|(kpr)|(kdp)|(train st.+moving)|(\|lc)|(penalty))"</v>
      </c>
      <c r="AG155" s="209" t="str">
        <f t="shared" si="69"/>
        <v>EC</v>
      </c>
      <c r="AH155" s="78" t="str">
        <f t="shared" si="70"/>
        <v>"%USERPROFILE%\Documents\GitHub\eaglep3\Utilities\RefineRTDCRunTimes.py" --tripid 242-25 --locoid 4063 --swversion DE.1.0.9.0 --startMP 204:233068 --initTime 2017-08-26T00:39:16 --startdatetime 2017-08-26T00:57:16 --delay 1 --endMP 204:101 --enddatetime 2017-08-26T01:36:15 --enforcementcount 1 &gt;&gt;C:\Users\stu\Documents\GitHub\eaglep3-reporting\EC\2017-08-25-refined-times.txt</v>
      </c>
      <c r="AI155" s="96" t="str">
        <f t="shared" si="71"/>
        <v>echo {"issue":{"subject":"","project_id":79,"tracker_id":40,"status_id":1,"priority_id":2,"assigned_to_id":23,"start_date":"2017-08-26","description":"","custom_fields":[{"id":1,"name":"Subdivision","value":"EC"},{"id":4,"name":"Milepost","value":"0.0101"},{"id":17,"name":"Train ID","value":"242-25"},{"id":16,"name":"Locomotive ID","value":"4063"},{"id":130,"name":"Impact","value":""},{"id":150,"name":"Time of Event (Mountain Time)","value":"01:36:15"},{"id":151,"name":"Denver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2"/>
        <v>start /low /b %USERPROFILE%\Documents\GitHub\eaglep3\Utilities\DownloadLogsFromS3.py --loco 4063 --day 2017-08-26</v>
      </c>
      <c r="AN155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07:36:15"},{"id":29,"name":"Sharepoint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802</v>
      </c>
      <c r="B156" s="7">
        <v>4032</v>
      </c>
      <c r="C156" s="21" t="s">
        <v>197</v>
      </c>
      <c r="D156" s="21" t="s">
        <v>366</v>
      </c>
      <c r="E156" s="13">
        <v>42973.005520833336</v>
      </c>
      <c r="F156" s="13">
        <v>42973.02134259259</v>
      </c>
      <c r="G156" s="7">
        <v>1</v>
      </c>
      <c r="H156" s="21" t="s">
        <v>535</v>
      </c>
      <c r="I156" s="13">
        <v>42973.046446759261</v>
      </c>
      <c r="J156" s="7">
        <v>1</v>
      </c>
      <c r="K156" s="89" t="str">
        <f t="shared" si="60"/>
        <v>4031/4032</v>
      </c>
      <c r="L156" s="217" t="str">
        <f>VLOOKUP(A156,'Trips&amp;Operators'!$C$1:$G$99911,5,FALSE)</f>
        <v>FORTUNATO FRANK</v>
      </c>
      <c r="M156" s="6">
        <f t="shared" si="61"/>
        <v>2.510416667064419E-2</v>
      </c>
      <c r="N156" s="7">
        <f t="shared" si="74"/>
        <v>36.150000005727634</v>
      </c>
      <c r="O156" s="7"/>
      <c r="P156" s="7"/>
      <c r="Q156" s="22"/>
      <c r="R156" s="170"/>
      <c r="S156" s="213">
        <f t="shared" si="75"/>
        <v>1</v>
      </c>
      <c r="T156" s="195" t="str">
        <f t="shared" si="62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3"/>
        <v>https://d0f6bd738d7f1b3e5a7ca70fe4ff75f0.us-east-1.aws.found.io/app/kibana#/discover/Steve-Slow-Train-Analysis-(2080s-and-2083s)?_g=(refreshInterval:(display:Off,pause:!f,section:0,value:0),time:(from:'2017-08-25T23:07:57-0600',mode:absolute,to:'2017-08-26T02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6" s="197" t="str">
        <f>IF(AA156&lt;VLOOKUP(AG156,Variables!$AC$3:$AD$8,2,FALSE),"Y","N")</f>
        <v>N</v>
      </c>
      <c r="X156" s="197">
        <f t="shared" si="76"/>
        <v>1</v>
      </c>
      <c r="Y156" s="197">
        <f t="shared" si="64"/>
        <v>4.58E-2</v>
      </c>
      <c r="Z156" s="197">
        <f t="shared" si="59"/>
        <v>23.3324</v>
      </c>
      <c r="AA156" s="197">
        <f t="shared" si="65"/>
        <v>23.2866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6">
        <f t="shared" si="66"/>
        <v>243</v>
      </c>
      <c r="AE156" s="77" t="str">
        <f t="shared" si="67"/>
        <v>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 &amp; aws s3 cp s3://rtdc.mdm.uploadarchive.raw/RTDC4032/ "%USERPROFILE%\AppData\Local\Temp\OnboardLogs"\RTDC4032\2017-08-27 --exclude "*" --recursive --include "*20170827*" &amp; "%USERPROFILE%\Documents\GitHub\mrs-test-scripts\Headless Mode &amp; Sideloading\WalkAndUnGZ.bat" "%USERPROFILE%\AppData\Local\Temp\OnboardLogs"\RTDC4032\2017-08-27</v>
      </c>
      <c r="AF156" s="74" t="str">
        <f t="shared" si="68"/>
        <v>"C:\Program Files (x86)\AstroGrep\AstroGrep.exe" /e /r /s /spath="%USERPROFILE%\AppData\Local\Temp\OnboardLogs" /stypes="app*4032*20170826*" /stext=" 07:.+((SYSTEM_STATE.+slice.+state.+changed )|(ment ac)|(multiple cpu faults)|(system.+state.+changed )|(\[timeout)|(PRM\|1\|D)|(kpr)|(kdp)|(train st.+moving)|(\|lc)|(penalty))"</v>
      </c>
      <c r="AG156" s="209" t="str">
        <f t="shared" si="69"/>
        <v>EC</v>
      </c>
      <c r="AH156" s="78" t="str">
        <f t="shared" si="70"/>
        <v>"%USERPROFILE%\Documents\GitHub\eaglep3\Utilities\RefineRTDCRunTimes.py" --tripid 243-25 --locoid 4032 --swversion DE.1.0.9.0 --startMP 204:458 --initTime 2017-08-26T00:07:57 --startdatetime 2017-08-26T00:30:44 --delay 1 --endMP 204:233324 --enddatetime 2017-08-26T01:06:53 --enforcementcount 1 &gt;&gt;C:\Users\stu\Documents\GitHub\eaglep3-reporting\EC\2017-08-25-refined-times.txt</v>
      </c>
      <c r="AI156" s="96" t="str">
        <f t="shared" si="71"/>
        <v>echo {"issue":{"subject":"","project_id":79,"tracker_id":40,"status_id":1,"priority_id":2,"assigned_to_id":23,"start_date":"2017-08-26","description":"","custom_fields":[{"id":1,"name":"Subdivision","value":"EC"},{"id":4,"name":"Milepost","value":"23.3324"},{"id":17,"name":"Train ID","value":"243-25"},{"id":16,"name":"Locomotive ID","value":"4032"},{"id":130,"name":"Impact","value":""},{"id":150,"name":"Time of Event (Mountain Time)","value":"01:06:53"},{"id":151,"name":"Denver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2"/>
        <v>start /low /b %USERPROFILE%\Documents\GitHub\eaglep3\Utilities\DownloadLogsFromS3.py --loco 4032 --day 2017-08-26</v>
      </c>
      <c r="AN156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07:06:53"},{"id":29,"name":"Sharepoint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805</v>
      </c>
      <c r="B157" s="7">
        <v>4031</v>
      </c>
      <c r="C157" s="21" t="s">
        <v>197</v>
      </c>
      <c r="D157" s="21" t="s">
        <v>428</v>
      </c>
      <c r="E157" s="13">
        <v>42973.048101851855</v>
      </c>
      <c r="F157" s="13">
        <v>42973.060567129629</v>
      </c>
      <c r="G157" s="7">
        <v>1</v>
      </c>
      <c r="H157" s="21" t="s">
        <v>338</v>
      </c>
      <c r="I157" s="13">
        <v>42973.087187500001</v>
      </c>
      <c r="J157" s="7">
        <v>1</v>
      </c>
      <c r="K157" s="89" t="str">
        <f t="shared" si="60"/>
        <v>4031/4032</v>
      </c>
      <c r="L157" s="217" t="str">
        <f>VLOOKUP(A157,'Trips&amp;Operators'!$C$1:$G$99911,5,FALSE)</f>
        <v>FORTUNATO FRANK</v>
      </c>
      <c r="M157" s="6">
        <f t="shared" si="61"/>
        <v>2.662037037225673E-2</v>
      </c>
      <c r="N157" s="7">
        <f t="shared" si="74"/>
        <v>38.333333336049691</v>
      </c>
      <c r="O157" s="7"/>
      <c r="P157" s="7"/>
      <c r="Q157" s="22"/>
      <c r="R157" s="170"/>
      <c r="S157" s="213">
        <f t="shared" si="75"/>
        <v>1</v>
      </c>
      <c r="T157" s="195" t="str">
        <f t="shared" si="62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3"/>
        <v>https://d0f6bd738d7f1b3e5a7ca70fe4ff75f0.us-east-1.aws.found.io/app/kibana#/discover/Steve-Slow-Train-Analysis-(2080s-and-2083s)?_g=(refreshInterval:(display:Off,pause:!f,section:0,value:0),time:(from:'2017-08-26T00:09:16-0600',mode:absolute,to:'2017-08-26T03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7" s="197" t="str">
        <f>IF(AA157&lt;VLOOKUP(AG157,Variables!$AC$3:$AD$8,2,FALSE),"Y","N")</f>
        <v>N</v>
      </c>
      <c r="X157" s="197">
        <f t="shared" si="76"/>
        <v>1</v>
      </c>
      <c r="Y157" s="197">
        <f t="shared" si="64"/>
        <v>23.297999999999998</v>
      </c>
      <c r="Z157" s="197">
        <f t="shared" si="59"/>
        <v>1.4999999999999999E-2</v>
      </c>
      <c r="AA157" s="197">
        <f t="shared" si="65"/>
        <v>23.282999999999998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6">
        <f t="shared" si="66"/>
        <v>244</v>
      </c>
      <c r="AE157" s="77" t="str">
        <f t="shared" si="67"/>
        <v>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 &amp; aws s3 cp s3://rtdc.mdm.uploadarchive.raw/RTDC4031/ "%USERPROFILE%\AppData\Local\Temp\OnboardLogs"\RTDC4031\2017-08-27 --exclude "*" --recursive --include "*20170827*" &amp; "%USERPROFILE%\Documents\GitHub\mrs-test-scripts\Headless Mode &amp; Sideloading\WalkAndUnGZ.bat" "%USERPROFILE%\AppData\Local\Temp\OnboardLogs"\RTDC4031\2017-08-27</v>
      </c>
      <c r="AF157" s="74" t="str">
        <f t="shared" si="68"/>
        <v>"C:\Program Files (x86)\AstroGrep\AstroGrep.exe" /e /r /s /spath="%USERPROFILE%\AppData\Local\Temp\OnboardLogs" /stypes="app*4031*20170826*" /stext=" 08:.+((SYSTEM_STATE.+slice.+state.+changed )|(ment ac)|(multiple cpu faults)|(system.+state.+changed )|(\[timeout)|(PRM\|1\|D)|(kpr)|(kdp)|(train st.+moving)|(\|lc)|(penalty))"</v>
      </c>
      <c r="AG157" s="209" t="str">
        <f t="shared" si="69"/>
        <v>EC</v>
      </c>
      <c r="AH157" s="78" t="str">
        <f t="shared" si="70"/>
        <v>"%USERPROFILE%\Documents\GitHub\eaglep3\Utilities\RefineRTDCRunTimes.py" --tripid 244-25 --locoid 4031 --swversion DE.1.0.9.0 --startMP 204:232980 --initTime 2017-08-26T01:09:16 --startdatetime 2017-08-26T01:27:13 --delay 1 --endMP 204:150 --enddatetime 2017-08-26T02:05:33 --enforcementcount 1 &gt;&gt;C:\Users\stu\Documents\GitHub\eaglep3-reporting\EC\2017-08-25-refined-times.txt</v>
      </c>
      <c r="AI157" s="96" t="str">
        <f t="shared" si="71"/>
        <v>echo {"issue":{"subject":"","project_id":79,"tracker_id":40,"status_id":1,"priority_id":2,"assigned_to_id":23,"start_date":"2017-08-26","description":"","custom_fields":[{"id":1,"name":"Subdivision","value":"EC"},{"id":4,"name":"Milepost","value":"0.015"},{"id":17,"name":"Train ID","value":"244-25"},{"id":16,"name":"Locomotive ID","value":"4031"},{"id":130,"name":"Impact","value":""},{"id":150,"name":"Time of Event (Mountain Time)","value":"02:05:33"},{"id":151,"name":"Denver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2"/>
        <v>start /low /b %USERPROFILE%\Documents\GitHub\eaglep3\Utilities\DownloadLogsFromS3.py --loco 4031 --day 2017-08-26</v>
      </c>
      <c r="AN157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08:05:33"},{"id":29,"name":"Sharepoint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981</v>
      </c>
      <c r="B158" s="7">
        <v>4002</v>
      </c>
      <c r="C158" s="21" t="s">
        <v>197</v>
      </c>
      <c r="D158" s="21" t="s">
        <v>428</v>
      </c>
      <c r="E158" s="13">
        <v>42973.048101851855</v>
      </c>
      <c r="F158" s="13">
        <v>42973.042141203703</v>
      </c>
      <c r="G158" s="7">
        <v>1</v>
      </c>
      <c r="H158" s="21" t="s">
        <v>338</v>
      </c>
      <c r="I158" s="13">
        <v>42973.066805555558</v>
      </c>
      <c r="J158" s="7">
        <v>1</v>
      </c>
      <c r="K158" s="89" t="str">
        <f t="shared" si="60"/>
        <v>4001/4002</v>
      </c>
      <c r="L158" s="217" t="s">
        <v>982</v>
      </c>
      <c r="M158" s="6">
        <f t="shared" si="61"/>
        <v>2.4664351854880806E-2</v>
      </c>
      <c r="N158" s="7">
        <f t="shared" si="74"/>
        <v>35.516666671028361</v>
      </c>
      <c r="O158" s="7"/>
      <c r="P158" s="7"/>
      <c r="Q158" s="22"/>
      <c r="R158" s="170"/>
      <c r="S158" s="213">
        <f t="shared" si="75"/>
        <v>1</v>
      </c>
      <c r="T158" s="195" t="str">
        <f t="shared" si="62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3"/>
        <v>https://d0f6bd738d7f1b3e5a7ca70fe4ff75f0.us-east-1.aws.found.io/app/kibana#/discover/Steve-Slow-Train-Analysis-(2080s-and-2083s)?_g=(refreshInterval:(display:Off,pause:!f,section:0,value:0),time:(from:'2017-08-26T00:09:16-0600',mode:absolute,to:'2017-08-26T02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197" t="str">
        <f>IF(AA158&lt;VLOOKUP(AG158,Variables!$AC$3:$AD$8,2,FALSE),"Y","N")</f>
        <v>N</v>
      </c>
      <c r="X158" s="197">
        <f t="shared" si="76"/>
        <v>1</v>
      </c>
      <c r="Y158" s="197">
        <v>4.58E-2</v>
      </c>
      <c r="Z158" s="197">
        <v>23.3324</v>
      </c>
      <c r="AA158" s="197">
        <f t="shared" si="65"/>
        <v>23.2866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6">
        <f t="shared" si="66"/>
        <v>245</v>
      </c>
      <c r="AE158" s="77" t="str">
        <f t="shared" si="67"/>
        <v>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 &amp; aws s3 cp s3://rtdc.mdm.uploadarchive.raw/RTDC4002/ "%USERPROFILE%\AppData\Local\Temp\OnboardLogs"\RTDC4002\2017-08-27 --exclude "*" --recursive --include "*20170827*" &amp; "%USERPROFILE%\Documents\GitHub\mrs-test-scripts\Headless Mode &amp; Sideloading\WalkAndUnGZ.bat" "%USERPROFILE%\AppData\Local\Temp\OnboardLogs"\RTDC4002\2017-08-27</v>
      </c>
      <c r="AF158" s="74" t="str">
        <f t="shared" si="68"/>
        <v>"C:\Program Files (x86)\AstroGrep\AstroGrep.exe" /e /r /s /spath="%USERPROFILE%\AppData\Local\Temp\OnboardLogs" /stypes="app*4002*20170826*" /stext=" 07:.+((SYSTEM_STATE.+slice.+state.+changed )|(ment ac)|(multiple cpu faults)|(system.+state.+changed )|(\[timeout)|(PRM\|1\|D)|(kpr)|(kdp)|(train st.+moving)|(\|lc)|(penalty))"</v>
      </c>
      <c r="AG158" s="209" t="str">
        <f t="shared" si="69"/>
        <v>EC</v>
      </c>
      <c r="AH158" s="78" t="str">
        <f t="shared" ref="AH158" si="77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245-25 --locoid 4002 --swversion DE.1.0.9.0 --startMP 204:232980 --initTime 2017-08-26T01:09:16 --startdatetime 2017-08-26T01:00:41 --delay 1 --endMP 204:150 --enddatetime 2017-08-26T01:36:12 --enforcementcount 1 &gt;&gt;C:\Users\stu\Documents\GitHub\eaglep3-reporting\EC\2017-08-25-refined-times.txt</v>
      </c>
      <c r="AI158" s="96" t="str">
        <f t="shared" ref="AI158" si="78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{"issue":{"subject":"","project_id":79,"tracker_id":40,"status_id":1,"priority_id":2,"assigned_to_id":23,"start_date":"2017-08-26","description":"","custom_fields":[{"id":1,"name":"Subdivision","value":"EC"},{"id":4,"name":"Milepost","value":"23.3324"},{"id":17,"name":"Train ID","value":"245-25"},{"id":16,"name":"Locomotive ID","value":"4002"},{"id":130,"name":"Impact","value":""},{"id":150,"name":"Time of Event (Mountain Time)","value":"01:36:12"},{"id":151,"name":"Denver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ref="AM158" si="79">"start /low /b "&amp;dls3logs&amp;" --loco "&amp;B158&amp;" --day "&amp;TEXT(F158,"YYYY-MM-DD")</f>
        <v>start /low /b %USERPROFILE%\Documents\GitHub\eaglep3\Utilities\DownloadLogsFromS3.py --loco 4002 --day 2017-08-26</v>
      </c>
      <c r="AN158" s="151" t="str">
        <f t="shared" ref="AN158" si="80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07:36:12"},{"id":29,"name":"Sharepoint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807</v>
      </c>
      <c r="B159" s="7">
        <v>4001</v>
      </c>
      <c r="C159" s="21" t="s">
        <v>197</v>
      </c>
      <c r="D159" s="21" t="s">
        <v>491</v>
      </c>
      <c r="E159" s="13">
        <v>42973.077974537038</v>
      </c>
      <c r="F159" s="13">
        <v>42973.081435185188</v>
      </c>
      <c r="G159" s="7">
        <v>1</v>
      </c>
      <c r="H159" s="21" t="s">
        <v>346</v>
      </c>
      <c r="I159" s="13">
        <v>42973.107627314814</v>
      </c>
      <c r="J159" s="7">
        <v>1</v>
      </c>
      <c r="K159" s="89" t="str">
        <f t="shared" si="60"/>
        <v>4001/4002</v>
      </c>
      <c r="L159" s="217" t="str">
        <f>VLOOKUP(A159,'Trips&amp;Operators'!$C$1:$G$99911,5,FALSE)</f>
        <v>LAMAR NEKESHA</v>
      </c>
      <c r="M159" s="6">
        <f t="shared" si="61"/>
        <v>2.619212962599704E-2</v>
      </c>
      <c r="N159" s="7">
        <f t="shared" si="74"/>
        <v>37.716666661435738</v>
      </c>
      <c r="O159" s="7"/>
      <c r="P159" s="7"/>
      <c r="Q159" s="22"/>
      <c r="R159" s="170"/>
      <c r="S159" s="213">
        <f t="shared" si="75"/>
        <v>1</v>
      </c>
      <c r="T159" s="195" t="str">
        <f t="shared" si="62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3"/>
        <v>https://d0f6bd738d7f1b3e5a7ca70fe4ff75f0.us-east-1.aws.found.io/app/kibana#/discover/Steve-Slow-Train-Analysis-(2080s-and-2083s)?_g=(refreshInterval:(display:Off,pause:!f,section:0,value:0),time:(from:'2017-08-26T00:52:17-0600',mode:absolute,to:'2017-08-26T03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197" t="str">
        <f>IF(AA159&lt;VLOOKUP(AG159,Variables!$AC$3:$AD$8,2,FALSE),"Y","N")</f>
        <v>N</v>
      </c>
      <c r="X159" s="197">
        <f t="shared" si="76"/>
        <v>1</v>
      </c>
      <c r="Y159" s="197">
        <f t="shared" ref="Y159:Y178" si="81">RIGHT(D159,LEN(D159)-4)/10000</f>
        <v>23.297499999999999</v>
      </c>
      <c r="Z159" s="197">
        <f t="shared" ref="Z159:Z178" si="82">RIGHT(H159,LEN(H159)-4)/10000</f>
        <v>1.47E-2</v>
      </c>
      <c r="AA159" s="197">
        <f t="shared" si="65"/>
        <v>23.282799999999998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6">
        <f t="shared" si="66"/>
        <v>246</v>
      </c>
      <c r="AE159" s="77" t="str">
        <f t="shared" si="67"/>
        <v>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 &amp; aws s3 cp s3://rtdc.mdm.uploadarchive.raw/RTDC4001/ "%USERPROFILE%\AppData\Local\Temp\OnboardLogs"\RTDC4001\2017-08-27 --exclude "*" --recursive --include "*20170827*" &amp; "%USERPROFILE%\Documents\GitHub\mrs-test-scripts\Headless Mode &amp; Sideloading\WalkAndUnGZ.bat" "%USERPROFILE%\AppData\Local\Temp\OnboardLogs"\RTDC4001\2017-08-27</v>
      </c>
      <c r="AF159" s="74" t="str">
        <f t="shared" si="68"/>
        <v>"C:\Program Files (x86)\AstroGrep\AstroGrep.exe" /e /r /s /spath="%USERPROFILE%\AppData\Local\Temp\OnboardLogs" /stypes="app*4001*20170826*" /stext=" 08:.+((SYSTEM_STATE.+slice.+state.+changed )|(ment ac)|(multiple cpu faults)|(system.+state.+changed )|(\[timeout)|(PRM\|1\|D)|(kpr)|(kdp)|(train st.+moving)|(\|lc)|(penalty))"</v>
      </c>
      <c r="AG159" s="209" t="str">
        <f t="shared" si="69"/>
        <v>EC</v>
      </c>
      <c r="AH159" s="78" t="str">
        <f t="shared" si="70"/>
        <v>"%USERPROFILE%\Documents\GitHub\eaglep3\Utilities\RefineRTDCRunTimes.py" --tripid 246-25 --locoid 4001 --swversion DE.1.0.9.0 --startMP 204:232975 --initTime 2017-08-26T01:52:17 --startdatetime 2017-08-26T01:57:16 --delay 1 --endMP 204:147 --enddatetime 2017-08-26T02:34:59 --enforcementcount 1 &gt;&gt;C:\Users\stu\Documents\GitHub\eaglep3-reporting\EC\2017-08-25-refined-times.txt</v>
      </c>
      <c r="AI159" s="96" t="str">
        <f t="shared" si="71"/>
        <v>echo {"issue":{"subject":"","project_id":79,"tracker_id":40,"status_id":1,"priority_id":2,"assigned_to_id":23,"start_date":"2017-08-26","description":"","custom_fields":[{"id":1,"name":"Subdivision","value":"EC"},{"id":4,"name":"Milepost","value":"0.0147"},{"id":17,"name":"Train ID","value":"246-25"},{"id":16,"name":"Locomotive ID","value":"4001"},{"id":130,"name":"Impact","value":""},{"id":150,"name":"Time of Event (Mountain Time)","value":"02:34:59"},{"id":151,"name":"Denver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72"/>
        <v>start /low /b %USERPROFILE%\Documents\GitHub\eaglep3\Utilities\DownloadLogsFromS3.py --loco 4001 --day 2017-08-26</v>
      </c>
      <c r="AN159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08:34:59"},{"id":29,"name":"Sharepoint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629</v>
      </c>
      <c r="B160" s="7">
        <v>4049</v>
      </c>
      <c r="C160" s="21" t="s">
        <v>197</v>
      </c>
      <c r="D160" s="21" t="s">
        <v>551</v>
      </c>
      <c r="E160" s="13">
        <v>42972.213379629633</v>
      </c>
      <c r="F160" s="13">
        <v>42972.214768518519</v>
      </c>
      <c r="G160" s="7">
        <v>1</v>
      </c>
      <c r="H160" s="21" t="s">
        <v>909</v>
      </c>
      <c r="I160" s="13">
        <v>42972.225949074076</v>
      </c>
      <c r="J160" s="7">
        <v>1</v>
      </c>
      <c r="K160" s="89" t="str">
        <f t="shared" si="60"/>
        <v>4049/4050</v>
      </c>
      <c r="L160" s="217" t="str">
        <f>VLOOKUP(A160,'Trips&amp;Operators'!$C$1:$G$99911,5,FALSE)</f>
        <v>GUZMAN DANNY</v>
      </c>
      <c r="M160" s="6">
        <f t="shared" si="61"/>
        <v>1.1180555557075422E-2</v>
      </c>
      <c r="N160" s="7">
        <f t="shared" si="74"/>
        <v>16.100000002188608</v>
      </c>
      <c r="O160" s="7"/>
      <c r="P160" s="7"/>
      <c r="Q160" s="22"/>
      <c r="R160" s="170"/>
      <c r="S160" s="213">
        <f t="shared" si="75"/>
        <v>1</v>
      </c>
      <c r="T160" s="195" t="str">
        <f t="shared" si="62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63"/>
        <v>https://d0f6bd738d7f1b3e5a7ca70fe4ff75f0.us-east-1.aws.found.io/app/kibana#/discover/Steve-Slow-Train-Analysis-(2080s-and-2083s)?_g=(refreshInterval:(display:Off,pause:!f,section:0,value:0),time:(from:'2017-08-25T04:07:16-0600',mode:absolute,to:'2017-08-25T06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0" s="197" t="str">
        <f>IF(AA160&lt;VLOOKUP(AG160,Variables!$AC$3:$AD$8,2,FALSE),"Y","N")</f>
        <v>N</v>
      </c>
      <c r="X160" s="197">
        <f t="shared" si="76"/>
        <v>554</v>
      </c>
      <c r="Y160" s="197">
        <f t="shared" si="81"/>
        <v>5.8616999999999999</v>
      </c>
      <c r="Z160" s="197">
        <f t="shared" si="82"/>
        <v>6.9599999999999995E-2</v>
      </c>
      <c r="AA160" s="197">
        <f t="shared" si="65"/>
        <v>5.7920999999999996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6">
        <f t="shared" si="66"/>
        <v>800</v>
      </c>
      <c r="AE160" s="77" t="str">
        <f t="shared" si="67"/>
        <v>aws s3 cp s3://rtdc.mdm.uploadarchive.raw/RTDC4049/ "%USERPROFILE%\AppData\Local\Temp\OnboardLogs"\RTDC4049\2017-08-25 --exclude "*" --recursive --include "*20170825*" &amp; "%USERPROFILE%\Documents\GitHub\mrs-test-scripts\Headless Mode &amp; Sideloading\WalkAndUnGZ.bat" "%USERPROFILE%\AppData\Local\Temp\OnboardLogs"\RTDC4049\2017-08-25 &amp; aws s3 cp s3://rtdc.mdm.uploadarchive.raw/RTDC4049/ "%USERPROFILE%\AppData\Local\Temp\OnboardLogs"\RTDC4049\2017-08-26 --exclude "*" --recursive --include "*20170826*" &amp; "%USERPROFILE%\Documents\GitHub\mrs-test-scripts\Headless Mode &amp; Sideloading\WalkAndUnGZ.bat" "%USERPROFILE%\AppData\Local\Temp\OnboardLogs"\RTDC4049\2017-08-26</v>
      </c>
      <c r="AF160" s="74" t="str">
        <f t="shared" si="68"/>
        <v>"C:\Program Files (x86)\AstroGrep\AstroGrep.exe" /e /r /s /spath="%USERPROFILE%\AppData\Local\Temp\OnboardLogs" /stypes="app*4049*20170825*" /stext=" 11:.+((SYSTEM_STATE.+slice.+state.+changed )|(ment ac)|(multiple cpu faults)|(system.+state.+changed )|(\[timeout)|(PRM\|1\|D)|(kpr)|(kdp)|(train st.+moving)|(\|lc)|(penalty))"</v>
      </c>
      <c r="AG160" s="209" t="str">
        <f t="shared" si="69"/>
        <v>NW</v>
      </c>
      <c r="AH160" s="78" t="str">
        <f t="shared" si="70"/>
        <v>"%USERPROFILE%\Documents\GitHub\eaglep3\Utilities\RefineRTDCRunTimes.py" --tripid 800-25 --locoid 4049 --swversion DE.1.0.9.0 --startMP 300:58617 --initTime 2017-08-25T05:07:16 --startdatetime 2017-08-25T05:09:16 --delay 1 --endMP 204:696 --enddatetime 2017-08-25T05:25:22 --enforcementcount 1 &gt;&gt;C:\Users\stu\Documents\GitHub\eaglep3-reporting\EC\2017-08-25-refined-times.txt</v>
      </c>
      <c r="AI160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{"issue":{"subject":"","project_id":79,"tracker_id":40,"status_id":1,"priority_id":2,"assigned_to_id":23,"start_date":"2017-08-25","description":"","custom_fields":[{"id":1,"name":"Subdivision","value":"NW"},{"id":4,"name":"Milepost","value":"0.0696"},{"id":17,"name":"Train ID","value":"800-25"},{"id":16,"name":"Locomotive ID","value":"4049"},{"id":130,"name":"Impact","value":""},{"id":150,"name":"Time of Event (Mountain Time)","value":"05:25:22"},{"id":151,"name":"Denver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72"/>
        <v>start /low /b %USERPROFILE%\Documents\GitHub\eaglep3\Utilities\DownloadLogsFromS3.py --loco 4049 --day 2017-08-25</v>
      </c>
      <c r="AN160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11:25:22"},{"id":29,"name":"Sharepoint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633</v>
      </c>
      <c r="B161" s="7">
        <v>4050</v>
      </c>
      <c r="C161" s="21" t="s">
        <v>197</v>
      </c>
      <c r="D161" s="21" t="s">
        <v>910</v>
      </c>
      <c r="E161" s="13">
        <v>42972.227951388886</v>
      </c>
      <c r="F161" s="13">
        <v>42972.243923611109</v>
      </c>
      <c r="G161" s="7">
        <v>1</v>
      </c>
      <c r="H161" s="21" t="s">
        <v>563</v>
      </c>
      <c r="I161" s="13">
        <v>42972.253182870372</v>
      </c>
      <c r="J161" s="7">
        <v>1</v>
      </c>
      <c r="K161" s="89" t="str">
        <f t="shared" si="60"/>
        <v>4049/4050</v>
      </c>
      <c r="L161" s="217" t="str">
        <f>VLOOKUP(A161,'Trips&amp;Operators'!$C$1:$G$99911,5,FALSE)</f>
        <v>GUZMAN DANNY</v>
      </c>
      <c r="M161" s="6">
        <f t="shared" si="61"/>
        <v>9.2592592627624981E-3</v>
      </c>
      <c r="N161" s="7">
        <f t="shared" si="74"/>
        <v>13.333333338377997</v>
      </c>
      <c r="O161" s="7"/>
      <c r="P161" s="7"/>
      <c r="Q161" s="22"/>
      <c r="R161" s="170"/>
      <c r="S161" s="213">
        <f t="shared" si="75"/>
        <v>1</v>
      </c>
      <c r="T161" s="195" t="str">
        <f t="shared" si="62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63"/>
        <v>https://d0f6bd738d7f1b3e5a7ca70fe4ff75f0.us-east-1.aws.found.io/app/kibana#/discover/Steve-Slow-Train-Analysis-(2080s-and-2083s)?_g=(refreshInterval:(display:Off,pause:!f,section:0,value:0),time:(from:'2017-08-25T04:28:15-0600',mode:absolute,to:'2017-08-25T07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1" s="197" t="str">
        <f>IF(AA161&lt;VLOOKUP(AG161,Variables!$AC$3:$AD$8,2,FALSE),"Y","N")</f>
        <v>N</v>
      </c>
      <c r="X161" s="197">
        <f t="shared" si="76"/>
        <v>1</v>
      </c>
      <c r="Y161" s="197">
        <f t="shared" si="81"/>
        <v>0.1</v>
      </c>
      <c r="Z161" s="197">
        <f t="shared" si="82"/>
        <v>5.8929</v>
      </c>
      <c r="AA161" s="197">
        <f t="shared" si="65"/>
        <v>5.7929000000000004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6">
        <f t="shared" si="66"/>
        <v>801</v>
      </c>
      <c r="AE161" s="77" t="str">
        <f t="shared" si="67"/>
        <v>aws s3 cp s3://rtdc.mdm.uploadarchive.raw/RTDC4050/ "%USERPROFILE%\AppData\Local\Temp\OnboardLogs"\RTDC4050\2017-08-25 --exclude "*" --recursive --include "*20170825*" &amp; "%USERPROFILE%\Documents\GitHub\mrs-test-scripts\Headless Mode &amp; Sideloading\WalkAndUnGZ.bat" "%USERPROFILE%\AppData\Local\Temp\OnboardLogs"\RTDC4050\2017-08-25 &amp; aws s3 cp s3://rtdc.mdm.uploadarchive.raw/RTDC4050/ "%USERPROFILE%\AppData\Local\Temp\OnboardLogs"\RTDC4050\2017-08-26 --exclude "*" --recursive --include "*20170826*" &amp; "%USERPROFILE%\Documents\GitHub\mrs-test-scripts\Headless Mode &amp; Sideloading\WalkAndUnGZ.bat" "%USERPROFILE%\AppData\Local\Temp\OnboardLogs"\RTDC4050\2017-08-26</v>
      </c>
      <c r="AF161" s="74" t="str">
        <f t="shared" si="68"/>
        <v>"C:\Program Files (x86)\AstroGrep\AstroGrep.exe" /e /r /s /spath="%USERPROFILE%\AppData\Local\Temp\OnboardLogs" /stypes="app*4050*20170825*" /stext=" 12:.+((SYSTEM_STATE.+slice.+state.+changed )|(ment ac)|(multiple cpu faults)|(system.+state.+changed )|(\[timeout)|(PRM\|1\|D)|(kpr)|(kdp)|(train st.+moving)|(\|lc)|(penalty))"</v>
      </c>
      <c r="AG161" s="209" t="str">
        <f t="shared" si="69"/>
        <v>NW</v>
      </c>
      <c r="AH161" s="78" t="str">
        <f t="shared" si="70"/>
        <v>"%USERPROFILE%\Documents\GitHub\eaglep3\Utilities\RefineRTDCRunTimes.py" --tripid 801-25 --locoid 4050 --swversion DE.1.0.9.0 --startMP 204:1000 --initTime 2017-08-25T05:28:15 --startdatetime 2017-08-25T05:51:15 --delay 1 --endMP 300:58929 --enddatetime 2017-08-25T06:04:35 --enforcementcount 1 &gt;&gt;C:\Users\stu\Documents\GitHub\eaglep3-reporting\EC\2017-08-25-refined-times.txt</v>
      </c>
      <c r="AI161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{"issue":{"subject":"","project_id":79,"tracker_id":40,"status_id":1,"priority_id":2,"assigned_to_id":23,"start_date":"2017-08-25","description":"","custom_fields":[{"id":1,"name":"Subdivision","value":"NW"},{"id":4,"name":"Milepost","value":"5.8929"},{"id":17,"name":"Train ID","value":"801-25"},{"id":16,"name":"Locomotive ID","value":"4050"},{"id":130,"name":"Impact","value":""},{"id":150,"name":"Time of Event (Mountain Time)","value":"06:04:35"},{"id":151,"name":"Denver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2"/>
        <v>start /low /b %USERPROFILE%\Documents\GitHub\eaglep3\Utilities\DownloadLogsFromS3.py --loco 4050 --day 2017-08-25</v>
      </c>
      <c r="AN161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639</v>
      </c>
      <c r="B162" s="7">
        <v>4049</v>
      </c>
      <c r="C162" s="21" t="s">
        <v>197</v>
      </c>
      <c r="D162" s="21" t="s">
        <v>911</v>
      </c>
      <c r="E162" s="13">
        <v>42972.254351851851</v>
      </c>
      <c r="F162" s="13">
        <v>42972.255833333336</v>
      </c>
      <c r="G162" s="7">
        <v>1</v>
      </c>
      <c r="H162" s="21" t="s">
        <v>912</v>
      </c>
      <c r="I162" s="13">
        <v>42972.267291666663</v>
      </c>
      <c r="J162" s="7">
        <v>1</v>
      </c>
      <c r="K162" s="89" t="str">
        <f t="shared" si="60"/>
        <v>4049/4050</v>
      </c>
      <c r="L162" s="217" t="str">
        <f>VLOOKUP(A162,'Trips&amp;Operators'!$C$1:$G$99911,5,FALSE)</f>
        <v>GUZMAN DANNY</v>
      </c>
      <c r="M162" s="6">
        <f t="shared" si="61"/>
        <v>1.1458333327027503E-2</v>
      </c>
      <c r="N162" s="7">
        <f t="shared" si="74"/>
        <v>16.499999990919605</v>
      </c>
      <c r="O162" s="7"/>
      <c r="P162" s="7"/>
      <c r="Q162" s="22"/>
      <c r="R162" s="170"/>
      <c r="S162" s="213">
        <f t="shared" si="75"/>
        <v>1</v>
      </c>
      <c r="T162" s="195" t="str">
        <f t="shared" si="62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63"/>
        <v>https://d0f6bd738d7f1b3e5a7ca70fe4ff75f0.us-east-1.aws.found.io/app/kibana#/discover/Steve-Slow-Train-Analysis-(2080s-and-2083s)?_g=(refreshInterval:(display:Off,pause:!f,section:0,value:0),time:(from:'2017-08-25T05:06:16-0600',mode:absolute,to:'2017-08-25T07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2" s="197" t="str">
        <f>IF(AA162&lt;VLOOKUP(AG162,Variables!$AC$3:$AD$8,2,FALSE),"Y","N")</f>
        <v>N</v>
      </c>
      <c r="X162" s="197">
        <f t="shared" si="76"/>
        <v>1</v>
      </c>
      <c r="Y162" s="197">
        <f t="shared" si="81"/>
        <v>5.8615000000000004</v>
      </c>
      <c r="Z162" s="197">
        <f t="shared" si="82"/>
        <v>7.0499999999999993E-2</v>
      </c>
      <c r="AA162" s="197">
        <f t="shared" si="65"/>
        <v>5.7910000000000004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6">
        <f t="shared" si="66"/>
        <v>802</v>
      </c>
      <c r="AE162" s="77" t="str">
        <f t="shared" si="67"/>
        <v>aws s3 cp s3://rtdc.mdm.uploadarchive.raw/RTDC4049/ "%USERPROFILE%\AppData\Local\Temp\OnboardLogs"\RTDC4049\2017-08-25 --exclude "*" --recursive --include "*20170825*" &amp; "%USERPROFILE%\Documents\GitHub\mrs-test-scripts\Headless Mode &amp; Sideloading\WalkAndUnGZ.bat" "%USERPROFILE%\AppData\Local\Temp\OnboardLogs"\RTDC4049\2017-08-25 &amp; aws s3 cp s3://rtdc.mdm.uploadarchive.raw/RTDC4049/ "%USERPROFILE%\AppData\Local\Temp\OnboardLogs"\RTDC4049\2017-08-26 --exclude "*" --recursive --include "*20170826*" &amp; "%USERPROFILE%\Documents\GitHub\mrs-test-scripts\Headless Mode &amp; Sideloading\WalkAndUnGZ.bat" "%USERPROFILE%\AppData\Local\Temp\OnboardLogs"\RTDC4049\2017-08-26</v>
      </c>
      <c r="AF162" s="74" t="str">
        <f t="shared" si="68"/>
        <v>"C:\Program Files (x86)\AstroGrep\AstroGrep.exe" /e /r /s /spath="%USERPROFILE%\AppData\Local\Temp\OnboardLogs" /stypes="app*4049*20170825*" /stext=" 12:.+((SYSTEM_STATE.+slice.+state.+changed )|(ment ac)|(multiple cpu faults)|(system.+state.+changed )|(\[timeout)|(PRM\|1\|D)|(kpr)|(kdp)|(train st.+moving)|(\|lc)|(penalty))"</v>
      </c>
      <c r="AG162" s="209" t="str">
        <f t="shared" si="69"/>
        <v>NW</v>
      </c>
      <c r="AH162" s="78" t="str">
        <f t="shared" si="70"/>
        <v>"%USERPROFILE%\Documents\GitHub\eaglep3\Utilities\RefineRTDCRunTimes.py" --tripid 802-25 --locoid 4049 --swversion DE.1.0.9.0 --startMP 300:58615 --initTime 2017-08-25T06:06:16 --startdatetime 2017-08-25T06:08:24 --delay 1 --endMP 204:705 --enddatetime 2017-08-25T06:24:54 --enforcementcount 1 &gt;&gt;C:\Users\stu\Documents\GitHub\eaglep3-reporting\EC\2017-08-25-refined-times.txt</v>
      </c>
      <c r="AI162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{"issue":{"subject":"","project_id":79,"tracker_id":40,"status_id":1,"priority_id":2,"assigned_to_id":23,"start_date":"2017-08-25","description":"","custom_fields":[{"id":1,"name":"Subdivision","value":"NW"},{"id":4,"name":"Milepost","value":"0.0705"},{"id":17,"name":"Train ID","value":"802-25"},{"id":16,"name":"Locomotive ID","value":"4049"},{"id":130,"name":"Impact","value":""},{"id":150,"name":"Time of Event (Mountain Time)","value":"06:24:54"},{"id":151,"name":"Denver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2"/>
        <v>start /low /b %USERPROFILE%\Documents\GitHub\eaglep3\Utilities\DownloadLogsFromS3.py --loco 4049 --day 2017-08-25</v>
      </c>
      <c r="AN162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642</v>
      </c>
      <c r="B163" s="7">
        <v>4044</v>
      </c>
      <c r="C163" s="21" t="s">
        <v>197</v>
      </c>
      <c r="D163" s="21" t="s">
        <v>913</v>
      </c>
      <c r="E163" s="13">
        <v>42972.260081018518</v>
      </c>
      <c r="F163" s="13">
        <v>42972.264745370368</v>
      </c>
      <c r="G163" s="7">
        <v>2</v>
      </c>
      <c r="H163" s="21" t="s">
        <v>914</v>
      </c>
      <c r="I163" s="13">
        <v>42972.273854166669</v>
      </c>
      <c r="J163" s="7">
        <v>1</v>
      </c>
      <c r="K163" s="89" t="str">
        <f t="shared" si="60"/>
        <v>4043/4044</v>
      </c>
      <c r="L163" s="217" t="str">
        <f>VLOOKUP(A163,'Trips&amp;Operators'!$C$1:$G$99911,5,FALSE)</f>
        <v>TOUSIGNAUT CARL</v>
      </c>
      <c r="M163" s="6">
        <f t="shared" si="61"/>
        <v>9.1087963010068052E-3</v>
      </c>
      <c r="N163" s="7">
        <f t="shared" si="74"/>
        <v>13.116666673449799</v>
      </c>
      <c r="O163" s="7"/>
      <c r="P163" s="7"/>
      <c r="Q163" s="22"/>
      <c r="R163" s="170"/>
      <c r="S163" s="213">
        <f t="shared" si="75"/>
        <v>1</v>
      </c>
      <c r="T163" s="195" t="str">
        <f t="shared" si="62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3"/>
        <v>https://d0f6bd738d7f1b3e5a7ca70fe4ff75f0.us-east-1.aws.found.io/app/kibana#/discover/Steve-Slow-Train-Analysis-(2080s-and-2083s)?_g=(refreshInterval:(display:Off,pause:!f,section:0,value:0),time:(from:'2017-08-25T05:14:31-0600',mode:absolute,to:'2017-08-25T07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197" t="str">
        <f>IF(AA163&lt;VLOOKUP(AG163,Variables!$AC$3:$AD$8,2,FALSE),"Y","N")</f>
        <v>N</v>
      </c>
      <c r="X163" s="197">
        <f t="shared" si="76"/>
        <v>1</v>
      </c>
      <c r="Y163" s="197">
        <f t="shared" si="81"/>
        <v>9.8799999999999999E-2</v>
      </c>
      <c r="Z163" s="197">
        <f t="shared" si="82"/>
        <v>5.8963000000000001</v>
      </c>
      <c r="AA163" s="197">
        <f t="shared" si="65"/>
        <v>5.7975000000000003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6">
        <f t="shared" si="66"/>
        <v>803</v>
      </c>
      <c r="AE163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63" s="74" t="str">
        <f t="shared" si="68"/>
        <v>"C:\Program Files (x86)\AstroGrep\AstroGrep.exe" /e /r /s /spath="%USERPROFILE%\AppData\Local\Temp\OnboardLogs" /stypes="app*4044*20170825*" /stext=" 12:.+((SYSTEM_STATE.+slice.+state.+changed )|(ment ac)|(multiple cpu faults)|(system.+state.+changed )|(\[timeout)|(PRM\|1\|D)|(kpr)|(kdp)|(train st.+moving)|(\|lc)|(penalty))"</v>
      </c>
      <c r="AG163" s="209" t="str">
        <f t="shared" si="69"/>
        <v>NW</v>
      </c>
      <c r="AH163" s="78" t="str">
        <f t="shared" si="70"/>
        <v>"%USERPROFILE%\Documents\GitHub\eaglep3\Utilities\RefineRTDCRunTimes.py" --tripid 803-25 --locoid 4044 --swversion DE.1.0.9.0 --startMP 204:988 --initTime 2017-08-25T06:14:31 --startdatetime 2017-08-25T06:21:14 --delay 2 --endMP 300:58963 --enddatetime 2017-08-25T06:34:21 --enforcementcount 1 &gt;&gt;C:\Users\stu\Documents\GitHub\eaglep3-reporting\EC\2017-08-25-refined-times.txt</v>
      </c>
      <c r="AI163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{"issue":{"subject":"","project_id":79,"tracker_id":40,"status_id":1,"priority_id":2,"assigned_to_id":23,"start_date":"2017-08-25","description":"","custom_fields":[{"id":1,"name":"Subdivision","value":"NW"},{"id":4,"name":"Milepost","value":"5.8963"},{"id":17,"name":"Train ID","value":"803-25"},{"id":16,"name":"Locomotive ID","value":"4044"},{"id":130,"name":"Impact","value":""},{"id":150,"name":"Time of Event (Mountain Time)","value":"06:34:21"},{"id":151,"name":"Denver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2"/>
        <v>start /low /b %USERPROFILE%\Documents\GitHub\eaglep3\Utilities\DownloadLogsFromS3.py --loco 4044 --day 2017-08-25</v>
      </c>
      <c r="AN163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648</v>
      </c>
      <c r="B164" s="7">
        <v>4043</v>
      </c>
      <c r="C164" s="21" t="s">
        <v>197</v>
      </c>
      <c r="D164" s="21" t="s">
        <v>564</v>
      </c>
      <c r="E164" s="13">
        <v>42972.274953703702</v>
      </c>
      <c r="F164" s="13">
        <v>42972.276539351849</v>
      </c>
      <c r="G164" s="7">
        <v>1</v>
      </c>
      <c r="H164" s="21" t="s">
        <v>909</v>
      </c>
      <c r="I164" s="13">
        <v>42972.28833333333</v>
      </c>
      <c r="J164" s="7">
        <v>1</v>
      </c>
      <c r="K164" s="89" t="str">
        <f t="shared" si="60"/>
        <v>4043/4044</v>
      </c>
      <c r="L164" s="217" t="str">
        <f>VLOOKUP(A164,'Trips&amp;Operators'!$C$1:$G$99911,5,FALSE)</f>
        <v>TOUSIGNAUT CARL</v>
      </c>
      <c r="M164" s="6">
        <f t="shared" si="61"/>
        <v>1.1793981480877846E-2</v>
      </c>
      <c r="N164" s="7">
        <f t="shared" si="74"/>
        <v>16.983333332464099</v>
      </c>
      <c r="O164" s="7"/>
      <c r="P164" s="7"/>
      <c r="Q164" s="22"/>
      <c r="R164" s="170"/>
      <c r="S164" s="213">
        <f t="shared" si="75"/>
        <v>1</v>
      </c>
      <c r="T164" s="195" t="str">
        <f t="shared" si="62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3"/>
        <v>https://d0f6bd738d7f1b3e5a7ca70fe4ff75f0.us-east-1.aws.found.io/app/kibana#/discover/Steve-Slow-Train-Analysis-(2080s-and-2083s)?_g=(refreshInterval:(display:Off,pause:!f,section:0,value:0),time:(from:'2017-08-25T05:35:56-0600',mode:absolute,to:'2017-08-25T07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197" t="str">
        <f>IF(AA164&lt;VLOOKUP(AG164,Variables!$AC$3:$AD$8,2,FALSE),"Y","N")</f>
        <v>N</v>
      </c>
      <c r="X164" s="197">
        <f t="shared" si="76"/>
        <v>1</v>
      </c>
      <c r="Y164" s="197">
        <f t="shared" si="81"/>
        <v>5.8643000000000001</v>
      </c>
      <c r="Z164" s="197">
        <f t="shared" si="82"/>
        <v>6.9599999999999995E-2</v>
      </c>
      <c r="AA164" s="197">
        <f t="shared" si="65"/>
        <v>5.7946999999999997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6">
        <f t="shared" si="66"/>
        <v>804</v>
      </c>
      <c r="AE164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64" s="74" t="str">
        <f t="shared" si="68"/>
        <v>"C:\Program Files (x86)\AstroGrep\AstroGrep.exe" /e /r /s /spath="%USERPROFILE%\AppData\Local\Temp\OnboardLogs" /stypes="app*4043*20170825*" /stext=" 12:.+((SYSTEM_STATE.+slice.+state.+changed )|(ment ac)|(multiple cpu faults)|(system.+state.+changed )|(\[timeout)|(PRM\|1\|D)|(kpr)|(kdp)|(train st.+moving)|(\|lc)|(penalty))"</v>
      </c>
      <c r="AG164" s="209" t="str">
        <f t="shared" si="69"/>
        <v>NW</v>
      </c>
      <c r="AH164" s="78" t="str">
        <f t="shared" si="70"/>
        <v>"%USERPROFILE%\Documents\GitHub\eaglep3\Utilities\RefineRTDCRunTimes.py" --tripid 804-25 --locoid 4043 --swversion DE.1.0.9.0 --startMP 300:58643 --initTime 2017-08-25T06:35:56 --startdatetime 2017-08-25T06:38:13 --delay 1 --endMP 204:696 --enddatetime 2017-08-25T06:55:12 --enforcementcount 1 &gt;&gt;C:\Users\stu\Documents\GitHub\eaglep3-reporting\EC\2017-08-25-refined-times.txt</v>
      </c>
      <c r="AI164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{"issue":{"subject":"","project_id":79,"tracker_id":40,"status_id":1,"priority_id":2,"assigned_to_id":23,"start_date":"2017-08-25","description":"","custom_fields":[{"id":1,"name":"Subdivision","value":"NW"},{"id":4,"name":"Milepost","value":"0.0696"},{"id":17,"name":"Train ID","value":"804-25"},{"id":16,"name":"Locomotive ID","value":"4043"},{"id":130,"name":"Impact","value":""},{"id":150,"name":"Time of Event (Mountain Time)","value":"06:55:12"},{"id":151,"name":"Denver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72"/>
        <v>start /low /b %USERPROFILE%\Documents\GitHub\eaglep3\Utilities\DownloadLogsFromS3.py --loco 4043 --day 2017-08-25</v>
      </c>
      <c r="AN164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646</v>
      </c>
      <c r="B165" s="7">
        <v>4050</v>
      </c>
      <c r="C165" s="21" t="s">
        <v>197</v>
      </c>
      <c r="D165" s="21" t="s">
        <v>915</v>
      </c>
      <c r="E165" s="13">
        <v>42972.269537037035</v>
      </c>
      <c r="F165" s="13">
        <v>42972.285601851851</v>
      </c>
      <c r="G165" s="7">
        <v>1</v>
      </c>
      <c r="H165" s="21" t="s">
        <v>433</v>
      </c>
      <c r="I165" s="13">
        <v>42972.294907407406</v>
      </c>
      <c r="J165" s="7">
        <v>1</v>
      </c>
      <c r="K165" s="89" t="str">
        <f t="shared" si="60"/>
        <v>4049/4050</v>
      </c>
      <c r="L165" s="217" t="str">
        <f>VLOOKUP(A165,'Trips&amp;Operators'!$C$1:$G$99911,5,FALSE)</f>
        <v>GUZMAN DANNY</v>
      </c>
      <c r="M165" s="6">
        <f t="shared" si="61"/>
        <v>9.3055555553291924E-3</v>
      </c>
      <c r="N165" s="7">
        <f t="shared" si="74"/>
        <v>13.399999999674037</v>
      </c>
      <c r="O165" s="7"/>
      <c r="P165" s="7"/>
      <c r="Q165" s="22"/>
      <c r="R165" s="170"/>
      <c r="S165" s="213">
        <f t="shared" si="75"/>
        <v>1</v>
      </c>
      <c r="T165" s="195" t="str">
        <f t="shared" si="62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3"/>
        <v>https://d0f6bd738d7f1b3e5a7ca70fe4ff75f0.us-east-1.aws.found.io/app/kibana#/discover/Steve-Slow-Train-Analysis-(2080s-and-2083s)?_g=(refreshInterval:(display:Off,pause:!f,section:0,value:0),time:(from:'2017-08-25T05:28:08-0600',mode:absolute,to:'2017-08-25T08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5" s="197" t="str">
        <f>IF(AA165&lt;VLOOKUP(AG165,Variables!$AC$3:$AD$8,2,FALSE),"Y","N")</f>
        <v>N</v>
      </c>
      <c r="X165" s="197">
        <f t="shared" si="76"/>
        <v>1</v>
      </c>
      <c r="Y165" s="197">
        <f t="shared" si="81"/>
        <v>9.64E-2</v>
      </c>
      <c r="Z165" s="197">
        <f t="shared" si="82"/>
        <v>5.8933</v>
      </c>
      <c r="AA165" s="197">
        <f t="shared" si="65"/>
        <v>5.7968999999999999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6">
        <f t="shared" si="66"/>
        <v>805</v>
      </c>
      <c r="AE165" s="77" t="str">
        <f t="shared" si="67"/>
        <v>aws s3 cp s3://rtdc.mdm.uploadarchive.raw/RTDC4050/ "%USERPROFILE%\AppData\Local\Temp\OnboardLogs"\RTDC4050\2017-08-25 --exclude "*" --recursive --include "*20170825*" &amp; "%USERPROFILE%\Documents\GitHub\mrs-test-scripts\Headless Mode &amp; Sideloading\WalkAndUnGZ.bat" "%USERPROFILE%\AppData\Local\Temp\OnboardLogs"\RTDC4050\2017-08-25 &amp; aws s3 cp s3://rtdc.mdm.uploadarchive.raw/RTDC4050/ "%USERPROFILE%\AppData\Local\Temp\OnboardLogs"\RTDC4050\2017-08-26 --exclude "*" --recursive --include "*20170826*" &amp; "%USERPROFILE%\Documents\GitHub\mrs-test-scripts\Headless Mode &amp; Sideloading\WalkAndUnGZ.bat" "%USERPROFILE%\AppData\Local\Temp\OnboardLogs"\RTDC4050\2017-08-26</v>
      </c>
      <c r="AF165" s="74" t="str">
        <f t="shared" si="68"/>
        <v>"C:\Program Files (x86)\AstroGrep\AstroGrep.exe" /e /r /s /spath="%USERPROFILE%\AppData\Local\Temp\OnboardLogs" /stypes="app*4050*20170825*" /stext=" 13:.+((SYSTEM_STATE.+slice.+state.+changed )|(ment ac)|(multiple cpu faults)|(system.+state.+changed )|(\[timeout)|(PRM\|1\|D)|(kpr)|(kdp)|(train st.+moving)|(\|lc)|(penalty))"</v>
      </c>
      <c r="AG165" s="209" t="str">
        <f t="shared" si="69"/>
        <v>NW</v>
      </c>
      <c r="AH165" s="78" t="str">
        <f t="shared" si="70"/>
        <v>"%USERPROFILE%\Documents\GitHub\eaglep3\Utilities\RefineRTDCRunTimes.py" --tripid 805-25 --locoid 4050 --swversion DE.1.0.9.0 --startMP 204:964 --initTime 2017-08-25T06:28:08 --startdatetime 2017-08-25T06:51:16 --delay 1 --endMP 300:58933 --enddatetime 2017-08-25T07:04:40 --enforcementcount 1 &gt;&gt;C:\Users\stu\Documents\GitHub\eaglep3-reporting\EC\2017-08-25-refined-times.txt</v>
      </c>
      <c r="AI165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{"issue":{"subject":"","project_id":79,"tracker_id":40,"status_id":1,"priority_id":2,"assigned_to_id":23,"start_date":"2017-08-25","description":"","custom_fields":[{"id":1,"name":"Subdivision","value":"NW"},{"id":4,"name":"Milepost","value":"5.8933"},{"id":17,"name":"Train ID","value":"805-25"},{"id":16,"name":"Locomotive ID","value":"4050"},{"id":130,"name":"Impact","value":""},{"id":150,"name":"Time of Event (Mountain Time)","value":"07:04:40"},{"id":151,"name":"Denver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72"/>
        <v>start /low /b %USERPROFILE%\Documents\GitHub\eaglep3\Utilities\DownloadLogsFromS3.py --loco 4050 --day 2017-08-25</v>
      </c>
      <c r="AN165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652</v>
      </c>
      <c r="B166" s="7">
        <v>4049</v>
      </c>
      <c r="C166" s="21" t="s">
        <v>197</v>
      </c>
      <c r="D166" s="21" t="s">
        <v>560</v>
      </c>
      <c r="E166" s="13">
        <v>42972.296261574076</v>
      </c>
      <c r="F166" s="13">
        <v>42972.297592592593</v>
      </c>
      <c r="G166" s="7">
        <v>0</v>
      </c>
      <c r="H166" s="21" t="s">
        <v>562</v>
      </c>
      <c r="I166" s="13">
        <v>42972.309074074074</v>
      </c>
      <c r="J166" s="7">
        <v>1</v>
      </c>
      <c r="K166" s="89" t="str">
        <f t="shared" si="60"/>
        <v>4049/4050</v>
      </c>
      <c r="L166" s="217" t="str">
        <f>VLOOKUP(A166,'Trips&amp;Operators'!$C$1:$G$99911,5,FALSE)</f>
        <v>GUZMAN DANNY</v>
      </c>
      <c r="M166" s="6">
        <f t="shared" si="61"/>
        <v>1.1481481480586808E-2</v>
      </c>
      <c r="N166" s="7">
        <f t="shared" si="74"/>
        <v>16.533333332045004</v>
      </c>
      <c r="O166" s="7"/>
      <c r="P166" s="7"/>
      <c r="Q166" s="22"/>
      <c r="R166" s="170"/>
      <c r="S166" s="213">
        <f t="shared" si="75"/>
        <v>1</v>
      </c>
      <c r="T166" s="195" t="str">
        <f t="shared" si="62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3"/>
        <v>https://d0f6bd738d7f1b3e5a7ca70fe4ff75f0.us-east-1.aws.found.io/app/kibana#/discover/Steve-Slow-Train-Analysis-(2080s-and-2083s)?_g=(refreshInterval:(display:Off,pause:!f,section:0,value:0),time:(from:'2017-08-25T06:06:37-0600',mode:absolute,to:'2017-08-25T08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6" s="197" t="str">
        <f>IF(AA166&lt;VLOOKUP(AG166,Variables!$AC$3:$AD$8,2,FALSE),"Y","N")</f>
        <v>N</v>
      </c>
      <c r="X166" s="197">
        <f t="shared" si="76"/>
        <v>1</v>
      </c>
      <c r="Y166" s="197">
        <f t="shared" si="81"/>
        <v>5.8611000000000004</v>
      </c>
      <c r="Z166" s="197">
        <f t="shared" si="82"/>
        <v>6.7500000000000004E-2</v>
      </c>
      <c r="AA166" s="197">
        <f t="shared" si="65"/>
        <v>5.7936000000000005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6">
        <f t="shared" si="66"/>
        <v>806</v>
      </c>
      <c r="AE166" s="77" t="str">
        <f t="shared" si="67"/>
        <v>aws s3 cp s3://rtdc.mdm.uploadarchive.raw/RTDC4049/ "%USERPROFILE%\AppData\Local\Temp\OnboardLogs"\RTDC4049\2017-08-25 --exclude "*" --recursive --include "*20170825*" &amp; "%USERPROFILE%\Documents\GitHub\mrs-test-scripts\Headless Mode &amp; Sideloading\WalkAndUnGZ.bat" "%USERPROFILE%\AppData\Local\Temp\OnboardLogs"\RTDC4049\2017-08-25 &amp; aws s3 cp s3://rtdc.mdm.uploadarchive.raw/RTDC4049/ "%USERPROFILE%\AppData\Local\Temp\OnboardLogs"\RTDC4049\2017-08-26 --exclude "*" --recursive --include "*20170826*" &amp; "%USERPROFILE%\Documents\GitHub\mrs-test-scripts\Headless Mode &amp; Sideloading\WalkAndUnGZ.bat" "%USERPROFILE%\AppData\Local\Temp\OnboardLogs"\RTDC4049\2017-08-26</v>
      </c>
      <c r="AF166" s="74" t="str">
        <f t="shared" si="68"/>
        <v>"C:\Program Files (x86)\AstroGrep\AstroGrep.exe" /e /r /s /spath="%USERPROFILE%\AppData\Local\Temp\OnboardLogs" /stypes="app*4049*20170825*" /stext=" 13:.+((SYSTEM_STATE.+slice.+state.+changed )|(ment ac)|(multiple cpu faults)|(system.+state.+changed )|(\[timeout)|(PRM\|1\|D)|(kpr)|(kdp)|(train st.+moving)|(\|lc)|(penalty))"</v>
      </c>
      <c r="AG166" s="209" t="str">
        <f t="shared" si="69"/>
        <v>NW</v>
      </c>
      <c r="AH166" s="78" t="str">
        <f t="shared" si="70"/>
        <v>"%USERPROFILE%\Documents\GitHub\eaglep3\Utilities\RefineRTDCRunTimes.py" --tripid 806-25 --locoid 4049 --swversion DE.1.0.9.0 --startMP 300:58611 --initTime 2017-08-25T07:06:37 --startdatetime 2017-08-25T07:08:32 --delay 0 --endMP 204:675 --enddatetime 2017-08-25T07:25:04 --enforcementcount 1 &gt;&gt;C:\Users\stu\Documents\GitHub\eaglep3-reporting\EC\2017-08-25-refined-times.txt</v>
      </c>
      <c r="AI166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{"issue":{"subject":"","project_id":79,"tracker_id":40,"status_id":1,"priority_id":2,"assigned_to_id":23,"start_date":"2017-08-25","description":"","custom_fields":[{"id":1,"name":"Subdivision","value":"NW"},{"id":4,"name":"Milepost","value":"0.0675"},{"id":17,"name":"Train ID","value":"806-25"},{"id":16,"name":"Locomotive ID","value":"4049"},{"id":130,"name":"Impact","value":""},{"id":150,"name":"Time of Event (Mountain Time)","value":"07:25:04"},{"id":151,"name":"Denver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72"/>
        <v>start /low /b %USERPROFILE%\Documents\GitHub\eaglep3\Utilities\DownloadLogsFromS3.py --loco 4049 --day 2017-08-25</v>
      </c>
      <c r="AN166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574</v>
      </c>
      <c r="B167" s="7">
        <v>4044</v>
      </c>
      <c r="C167" s="21" t="s">
        <v>197</v>
      </c>
      <c r="D167" s="21" t="s">
        <v>916</v>
      </c>
      <c r="E167" s="13">
        <v>42972.290034722224</v>
      </c>
      <c r="F167" s="13">
        <v>42972.306469907409</v>
      </c>
      <c r="G167" s="7">
        <v>1</v>
      </c>
      <c r="H167" s="21" t="s">
        <v>553</v>
      </c>
      <c r="I167" s="13">
        <v>42972.316469907404</v>
      </c>
      <c r="J167" s="7">
        <v>1</v>
      </c>
      <c r="K167" s="89" t="str">
        <f t="shared" si="60"/>
        <v>4043/4044</v>
      </c>
      <c r="L167" s="217" t="str">
        <f>VLOOKUP(A167,'Trips&amp;Operators'!$C$1:$G$99911,5,FALSE)</f>
        <v>TOUSIGNAUT CARL</v>
      </c>
      <c r="M167" s="6">
        <f t="shared" si="61"/>
        <v>9.9999999947613105E-3</v>
      </c>
      <c r="N167" s="7">
        <f t="shared" si="74"/>
        <v>14.399999992456287</v>
      </c>
      <c r="O167" s="7"/>
      <c r="P167" s="7"/>
      <c r="Q167" s="22"/>
      <c r="R167" s="170"/>
      <c r="S167" s="213">
        <f t="shared" si="75"/>
        <v>1</v>
      </c>
      <c r="T167" s="195" t="str">
        <f t="shared" si="62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3"/>
        <v>https://d0f6bd738d7f1b3e5a7ca70fe4ff75f0.us-east-1.aws.found.io/app/kibana#/discover/Steve-Slow-Train-Analysis-(2080s-and-2083s)?_g=(refreshInterval:(display:Off,pause:!f,section:0,value:0),time:(from:'2017-08-25T05:57:39-0600',mode:absolute,to:'2017-08-25T08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197" t="str">
        <f>IF(AA167&lt;VLOOKUP(AG167,Variables!$AC$3:$AD$8,2,FALSE),"Y","N")</f>
        <v>N</v>
      </c>
      <c r="X167" s="197">
        <f t="shared" si="76"/>
        <v>1</v>
      </c>
      <c r="Y167" s="197">
        <f t="shared" si="81"/>
        <v>9.6699999999999994E-2</v>
      </c>
      <c r="Z167" s="197">
        <f t="shared" si="82"/>
        <v>5.8975999999999997</v>
      </c>
      <c r="AA167" s="197">
        <f t="shared" si="65"/>
        <v>5.8008999999999995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6">
        <f t="shared" si="66"/>
        <v>807</v>
      </c>
      <c r="AE167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67" s="74" t="str">
        <f t="shared" si="68"/>
        <v>"C:\Program Files (x86)\AstroGrep\AstroGrep.exe" /e /r /s /spath="%USERPROFILE%\AppData\Local\Temp\OnboardLogs" /stypes="app*4044*20170825*" /stext=" 13:.+((SYSTEM_STATE.+slice.+state.+changed )|(ment ac)|(multiple cpu faults)|(system.+state.+changed )|(\[timeout)|(PRM\|1\|D)|(kpr)|(kdp)|(train st.+moving)|(\|lc)|(penalty))"</v>
      </c>
      <c r="AG167" s="209" t="str">
        <f t="shared" si="69"/>
        <v>NW</v>
      </c>
      <c r="AH167" s="78" t="str">
        <f t="shared" si="70"/>
        <v>"%USERPROFILE%\Documents\GitHub\eaglep3\Utilities\RefineRTDCRunTimes.py" --tripid 807-25 --locoid 4044 --swversion DE.1.0.9.0 --startMP 204:967 --initTime 2017-08-25T06:57:39 --startdatetime 2017-08-25T07:21:19 --delay 1 --endMP 300:58976 --enddatetime 2017-08-25T07:35:43 --enforcementcount 1 &gt;&gt;C:\Users\stu\Documents\GitHub\eaglep3-reporting\EC\2017-08-25-refined-times.txt</v>
      </c>
      <c r="AI167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{"issue":{"subject":"","project_id":79,"tracker_id":40,"status_id":1,"priority_id":2,"assigned_to_id":23,"start_date":"2017-08-25","description":"","custom_fields":[{"id":1,"name":"Subdivision","value":"NW"},{"id":4,"name":"Milepost","value":"5.8976"},{"id":17,"name":"Train ID","value":"807-25"},{"id":16,"name":"Locomotive ID","value":"4044"},{"id":130,"name":"Impact","value":""},{"id":150,"name":"Time of Event (Mountain Time)","value":"07:35:43"},{"id":151,"name":"Denver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2"/>
        <v>start /low /b %USERPROFILE%\Documents\GitHub\eaglep3\Utilities\DownloadLogsFromS3.py --loco 4044 --day 2017-08-25</v>
      </c>
      <c r="AN167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577</v>
      </c>
      <c r="B168" s="7">
        <v>4043</v>
      </c>
      <c r="C168" s="21" t="s">
        <v>197</v>
      </c>
      <c r="D168" s="21" t="s">
        <v>917</v>
      </c>
      <c r="E168" s="13">
        <v>42972.31821759259</v>
      </c>
      <c r="F168" s="13">
        <v>42972.320057870369</v>
      </c>
      <c r="G168" s="7">
        <v>1</v>
      </c>
      <c r="H168" s="21" t="s">
        <v>918</v>
      </c>
      <c r="I168" s="13">
        <v>42972.330601851849</v>
      </c>
      <c r="J168" s="7">
        <v>1</v>
      </c>
      <c r="K168" s="89" t="str">
        <f t="shared" si="60"/>
        <v>4043/4044</v>
      </c>
      <c r="L168" s="217" t="str">
        <f>VLOOKUP(A168,'Trips&amp;Operators'!$C$1:$G$99911,5,FALSE)</f>
        <v>TOUSIGNAUT CARL</v>
      </c>
      <c r="M168" s="6">
        <f t="shared" si="61"/>
        <v>1.0543981479713693E-2</v>
      </c>
      <c r="N168" s="7">
        <f t="shared" si="74"/>
        <v>15.183333330787718</v>
      </c>
      <c r="O168" s="7"/>
      <c r="P168" s="7"/>
      <c r="Q168" s="22"/>
      <c r="R168" s="170"/>
      <c r="S168" s="213">
        <f t="shared" si="75"/>
        <v>1</v>
      </c>
      <c r="T168" s="195" t="str">
        <f t="shared" si="62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3"/>
        <v>https://d0f6bd738d7f1b3e5a7ca70fe4ff75f0.us-east-1.aws.found.io/app/kibana#/discover/Steve-Slow-Train-Analysis-(2080s-and-2083s)?_g=(refreshInterval:(display:Off,pause:!f,section:0,value:0),time:(from:'2017-08-25T06:38:14-0600',mode:absolute,to:'2017-08-25T08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197" t="str">
        <f>IF(AA168&lt;VLOOKUP(AG168,Variables!$AC$3:$AD$8,2,FALSE),"Y","N")</f>
        <v>N</v>
      </c>
      <c r="X168" s="197">
        <f t="shared" si="76"/>
        <v>1</v>
      </c>
      <c r="Y168" s="197">
        <f t="shared" si="81"/>
        <v>5.8667999999999996</v>
      </c>
      <c r="Z168" s="197">
        <f t="shared" si="82"/>
        <v>7.3400000000000007E-2</v>
      </c>
      <c r="AA168" s="197">
        <f t="shared" si="65"/>
        <v>5.7933999999999992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6">
        <f t="shared" si="66"/>
        <v>808</v>
      </c>
      <c r="AE168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68" s="74" t="str">
        <f t="shared" si="68"/>
        <v>"C:\Program Files (x86)\AstroGrep\AstroGrep.exe" /e /r /s /spath="%USERPROFILE%\AppData\Local\Temp\OnboardLogs" /stypes="app*4043*20170825*" /stext=" 13:.+((SYSTEM_STATE.+slice.+state.+changed )|(ment ac)|(multiple cpu faults)|(system.+state.+changed )|(\[timeout)|(PRM\|1\|D)|(kpr)|(kdp)|(train st.+moving)|(\|lc)|(penalty))"</v>
      </c>
      <c r="AG168" s="209" t="str">
        <f t="shared" si="69"/>
        <v>NW</v>
      </c>
      <c r="AH168" s="78" t="str">
        <f t="shared" si="70"/>
        <v>"%USERPROFILE%\Documents\GitHub\eaglep3\Utilities\RefineRTDCRunTimes.py" --tripid 808-25 --locoid 4043 --swversion DE.1.0.9.0 --startMP 300:58668 --initTime 2017-08-25T07:38:14 --startdatetime 2017-08-25T07:40:53 --delay 1 --endMP 204:734 --enddatetime 2017-08-25T07:56:04 --enforcementcount 1 &gt;&gt;C:\Users\stu\Documents\GitHub\eaglep3-reporting\EC\2017-08-25-refined-times.txt</v>
      </c>
      <c r="AI168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{"issue":{"subject":"","project_id":79,"tracker_id":40,"status_id":1,"priority_id":2,"assigned_to_id":23,"start_date":"2017-08-25","description":"","custom_fields":[{"id":1,"name":"Subdivision","value":"NW"},{"id":4,"name":"Milepost","value":"0.0734"},{"id":17,"name":"Train ID","value":"808-25"},{"id":16,"name":"Locomotive ID","value":"4043"},{"id":130,"name":"Impact","value":""},{"id":150,"name":"Time of Event (Mountain Time)","value":"07:56:04"},{"id":151,"name":"Denver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2"/>
        <v>start /low /b %USERPROFILE%\Documents\GitHub\eaglep3\Utilities\DownloadLogsFromS3.py --loco 4043 --day 2017-08-25</v>
      </c>
      <c r="AN168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655</v>
      </c>
      <c r="B169" s="7">
        <v>4050</v>
      </c>
      <c r="C169" s="21" t="s">
        <v>197</v>
      </c>
      <c r="D169" s="21" t="s">
        <v>554</v>
      </c>
      <c r="E169" s="13">
        <v>42972.310752314814</v>
      </c>
      <c r="F169" s="13">
        <v>42972.327245370368</v>
      </c>
      <c r="G169" s="7">
        <v>1</v>
      </c>
      <c r="H169" s="21" t="s">
        <v>557</v>
      </c>
      <c r="I169" s="13">
        <v>42972.336574074077</v>
      </c>
      <c r="J169" s="7">
        <v>1</v>
      </c>
      <c r="K169" s="89" t="str">
        <f t="shared" si="60"/>
        <v>4049/4050</v>
      </c>
      <c r="L169" s="217" t="str">
        <f>VLOOKUP(A169,'Trips&amp;Operators'!$C$1:$G$99911,5,FALSE)</f>
        <v>GUZMAN DANNY</v>
      </c>
      <c r="M169" s="6">
        <f t="shared" si="61"/>
        <v>9.3287037088884972E-3</v>
      </c>
      <c r="N169" s="7">
        <f t="shared" si="74"/>
        <v>13.433333340799436</v>
      </c>
      <c r="O169" s="7"/>
      <c r="P169" s="7"/>
      <c r="Q169" s="22"/>
      <c r="R169" s="170"/>
      <c r="S169" s="213">
        <f t="shared" si="75"/>
        <v>1</v>
      </c>
      <c r="T169" s="195" t="str">
        <f t="shared" si="62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3"/>
        <v>https://d0f6bd738d7f1b3e5a7ca70fe4ff75f0.us-east-1.aws.found.io/app/kibana#/discover/Steve-Slow-Train-Analysis-(2080s-and-2083s)?_g=(refreshInterval:(display:Off,pause:!f,section:0,value:0),time:(from:'2017-08-25T06:27:29-0600',mode:absolute,to:'2017-08-25T09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9" s="197" t="str">
        <f>IF(AA169&lt;VLOOKUP(AG169,Variables!$AC$3:$AD$8,2,FALSE),"Y","N")</f>
        <v>N</v>
      </c>
      <c r="X169" s="197">
        <f t="shared" si="76"/>
        <v>1</v>
      </c>
      <c r="Y169" s="197">
        <f t="shared" si="81"/>
        <v>9.74E-2</v>
      </c>
      <c r="Z169" s="197">
        <f t="shared" si="82"/>
        <v>5.8928000000000003</v>
      </c>
      <c r="AA169" s="197">
        <f t="shared" si="65"/>
        <v>5.7953999999999999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6">
        <f t="shared" si="66"/>
        <v>809</v>
      </c>
      <c r="AE169" s="77" t="str">
        <f t="shared" si="67"/>
        <v>aws s3 cp s3://rtdc.mdm.uploadarchive.raw/RTDC4050/ "%USERPROFILE%\AppData\Local\Temp\OnboardLogs"\RTDC4050\2017-08-25 --exclude "*" --recursive --include "*20170825*" &amp; "%USERPROFILE%\Documents\GitHub\mrs-test-scripts\Headless Mode &amp; Sideloading\WalkAndUnGZ.bat" "%USERPROFILE%\AppData\Local\Temp\OnboardLogs"\RTDC4050\2017-08-25 &amp; aws s3 cp s3://rtdc.mdm.uploadarchive.raw/RTDC4050/ "%USERPROFILE%\AppData\Local\Temp\OnboardLogs"\RTDC4050\2017-08-26 --exclude "*" --recursive --include "*20170826*" &amp; "%USERPROFILE%\Documents\GitHub\mrs-test-scripts\Headless Mode &amp; Sideloading\WalkAndUnGZ.bat" "%USERPROFILE%\AppData\Local\Temp\OnboardLogs"\RTDC4050\2017-08-26</v>
      </c>
      <c r="AF169" s="74" t="str">
        <f t="shared" si="68"/>
        <v>"C:\Program Files (x86)\AstroGrep\AstroGrep.exe" /e /r /s /spath="%USERPROFILE%\AppData\Local\Temp\OnboardLogs" /stypes="app*4050*20170825*" /stext=" 14:.+((SYSTEM_STATE.+slice.+state.+changed )|(ment ac)|(multiple cpu faults)|(system.+state.+changed )|(\[timeout)|(PRM\|1\|D)|(kpr)|(kdp)|(train st.+moving)|(\|lc)|(penalty))"</v>
      </c>
      <c r="AG169" s="209" t="str">
        <f t="shared" si="69"/>
        <v>NW</v>
      </c>
      <c r="AH169" s="78" t="str">
        <f t="shared" si="70"/>
        <v>"%USERPROFILE%\Documents\GitHub\eaglep3\Utilities\RefineRTDCRunTimes.py" --tripid 809-25 --locoid 4050 --swversion DE.1.0.9.0 --startMP 204:974 --initTime 2017-08-25T07:27:29 --startdatetime 2017-08-25T07:51:14 --delay 1 --endMP 300:58928 --enddatetime 2017-08-25T08:04:40 --enforcementcount 1 &gt;&gt;C:\Users\stu\Documents\GitHub\eaglep3-reporting\EC\2017-08-25-refined-times.txt</v>
      </c>
      <c r="AI169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{"issue":{"subject":"","project_id":79,"tracker_id":40,"status_id":1,"priority_id":2,"assigned_to_id":23,"start_date":"2017-08-25","description":"","custom_fields":[{"id":1,"name":"Subdivision","value":"NW"},{"id":4,"name":"Milepost","value":"5.8928"},{"id":17,"name":"Train ID","value":"809-25"},{"id":16,"name":"Locomotive ID","value":"4050"},{"id":130,"name":"Impact","value":""},{"id":150,"name":"Time of Event (Mountain Time)","value":"08:04:40"},{"id":151,"name":"Denver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2"/>
        <v>start /low /b %USERPROFILE%\Documents\GitHub\eaglep3\Utilities\DownloadLogsFromS3.py --loco 4050 --day 2017-08-25</v>
      </c>
      <c r="AN169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661</v>
      </c>
      <c r="B170" s="7">
        <v>4049</v>
      </c>
      <c r="C170" s="21" t="s">
        <v>197</v>
      </c>
      <c r="D170" s="21" t="s">
        <v>566</v>
      </c>
      <c r="E170" s="13">
        <v>42972.33766203704</v>
      </c>
      <c r="F170" s="13">
        <v>42972.339004629626</v>
      </c>
      <c r="G170" s="7">
        <v>1</v>
      </c>
      <c r="H170" s="21" t="s">
        <v>919</v>
      </c>
      <c r="I170" s="13">
        <v>42972.350972222222</v>
      </c>
      <c r="J170" s="7">
        <v>1</v>
      </c>
      <c r="K170" s="89" t="str">
        <f t="shared" si="60"/>
        <v>4049/4050</v>
      </c>
      <c r="L170" s="217" t="str">
        <f>VLOOKUP(A170,'Trips&amp;Operators'!$C$1:$G$99911,5,FALSE)</f>
        <v>GUZMAN DANNY</v>
      </c>
      <c r="M170" s="6">
        <f t="shared" si="61"/>
        <v>1.1967592596192844E-2</v>
      </c>
      <c r="N170" s="7">
        <f t="shared" si="74"/>
        <v>17.233333338517696</v>
      </c>
      <c r="O170" s="7"/>
      <c r="P170" s="7"/>
      <c r="Q170" s="22"/>
      <c r="R170" s="170"/>
      <c r="S170" s="213">
        <f t="shared" si="75"/>
        <v>1</v>
      </c>
      <c r="T170" s="195" t="str">
        <f t="shared" si="62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3"/>
        <v>https://d0f6bd738d7f1b3e5a7ca70fe4ff75f0.us-east-1.aws.found.io/app/kibana#/discover/Steve-Slow-Train-Analysis-(2080s-and-2083s)?_g=(refreshInterval:(display:Off,pause:!f,section:0,value:0),time:(from:'2017-08-25T07:06:14-0600',mode:absolute,to:'2017-08-25T09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0" s="197" t="str">
        <f>IF(AA170&lt;VLOOKUP(AG170,Variables!$AC$3:$AD$8,2,FALSE),"Y","N")</f>
        <v>N</v>
      </c>
      <c r="X170" s="197">
        <f t="shared" si="76"/>
        <v>1</v>
      </c>
      <c r="Y170" s="197">
        <f t="shared" si="81"/>
        <v>5.8609</v>
      </c>
      <c r="Z170" s="197">
        <f t="shared" si="82"/>
        <v>1.3100000000000001E-2</v>
      </c>
      <c r="AA170" s="197">
        <f t="shared" si="65"/>
        <v>5.8478000000000003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6">
        <f t="shared" si="66"/>
        <v>810</v>
      </c>
      <c r="AE170" s="77" t="str">
        <f t="shared" si="67"/>
        <v>aws s3 cp s3://rtdc.mdm.uploadarchive.raw/RTDC4049/ "%USERPROFILE%\AppData\Local\Temp\OnboardLogs"\RTDC4049\2017-08-25 --exclude "*" --recursive --include "*20170825*" &amp; "%USERPROFILE%\Documents\GitHub\mrs-test-scripts\Headless Mode &amp; Sideloading\WalkAndUnGZ.bat" "%USERPROFILE%\AppData\Local\Temp\OnboardLogs"\RTDC4049\2017-08-25 &amp; aws s3 cp s3://rtdc.mdm.uploadarchive.raw/RTDC4049/ "%USERPROFILE%\AppData\Local\Temp\OnboardLogs"\RTDC4049\2017-08-26 --exclude "*" --recursive --include "*20170826*" &amp; "%USERPROFILE%\Documents\GitHub\mrs-test-scripts\Headless Mode &amp; Sideloading\WalkAndUnGZ.bat" "%USERPROFILE%\AppData\Local\Temp\OnboardLogs"\RTDC4049\2017-08-26</v>
      </c>
      <c r="AF170" s="74" t="str">
        <f t="shared" si="68"/>
        <v>"C:\Program Files (x86)\AstroGrep\AstroGrep.exe" /e /r /s /spath="%USERPROFILE%\AppData\Local\Temp\OnboardLogs" /stypes="app*4049*20170825*" /stext=" 14:.+((SYSTEM_STATE.+slice.+state.+changed )|(ment ac)|(multiple cpu faults)|(system.+state.+changed )|(\[timeout)|(PRM\|1\|D)|(kpr)|(kdp)|(train st.+moving)|(\|lc)|(penalty))"</v>
      </c>
      <c r="AG170" s="209" t="str">
        <f t="shared" si="69"/>
        <v>NW</v>
      </c>
      <c r="AH170" s="78" t="str">
        <f t="shared" si="70"/>
        <v>"%USERPROFILE%\Documents\GitHub\eaglep3\Utilities\RefineRTDCRunTimes.py" --tripid 810-25 --locoid 4049 --swversion DE.1.0.9.0 --startMP 300:58609 --initTime 2017-08-25T08:06:14 --startdatetime 2017-08-25T08:08:10 --delay 1 --endMP 204:131 --enddatetime 2017-08-25T08:25:24 --enforcementcount 1 &gt;&gt;C:\Users\stu\Documents\GitHub\eaglep3-reporting\EC\2017-08-25-refined-times.txt</v>
      </c>
      <c r="AI170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{"issue":{"subject":"","project_id":79,"tracker_id":40,"status_id":1,"priority_id":2,"assigned_to_id":23,"start_date":"2017-08-25","description":"","custom_fields":[{"id":1,"name":"Subdivision","value":"NW"},{"id":4,"name":"Milepost","value":"0.0131"},{"id":17,"name":"Train ID","value":"810-25"},{"id":16,"name":"Locomotive ID","value":"4049"},{"id":130,"name":"Impact","value":""},{"id":150,"name":"Time of Event (Mountain Time)","value":"08:25:24"},{"id":151,"name":"Denver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72"/>
        <v>start /low /b %USERPROFILE%\Documents\GitHub\eaglep3\Utilities\DownloadLogsFromS3.py --loco 4049 --day 2017-08-25</v>
      </c>
      <c r="AN170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579</v>
      </c>
      <c r="B171" s="7">
        <v>4044</v>
      </c>
      <c r="C171" s="21" t="s">
        <v>197</v>
      </c>
      <c r="D171" s="21" t="s">
        <v>920</v>
      </c>
      <c r="E171" s="13">
        <v>42972.333622685182</v>
      </c>
      <c r="F171" s="13">
        <v>42972.348124999997</v>
      </c>
      <c r="G171" s="7">
        <v>1</v>
      </c>
      <c r="H171" s="21" t="s">
        <v>548</v>
      </c>
      <c r="I171" s="13">
        <v>42972.358206018522</v>
      </c>
      <c r="J171" s="7">
        <v>1</v>
      </c>
      <c r="K171" s="89" t="str">
        <f t="shared" si="60"/>
        <v>4043/4044</v>
      </c>
      <c r="L171" s="217" t="str">
        <f>VLOOKUP(A171,'Trips&amp;Operators'!$C$1:$G$99911,5,FALSE)</f>
        <v>TOUSIGNAUT CARL</v>
      </c>
      <c r="M171" s="6">
        <f t="shared" si="61"/>
        <v>1.008101852494292E-2</v>
      </c>
      <c r="N171" s="7">
        <f t="shared" si="74"/>
        <v>14.516666675917804</v>
      </c>
      <c r="O171" s="7"/>
      <c r="P171" s="7"/>
      <c r="Q171" s="22"/>
      <c r="R171" s="170"/>
      <c r="S171" s="213">
        <f t="shared" si="75"/>
        <v>1</v>
      </c>
      <c r="T171" s="195" t="str">
        <f t="shared" si="62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3"/>
        <v>https://d0f6bd738d7f1b3e5a7ca70fe4ff75f0.us-east-1.aws.found.io/app/kibana#/discover/Steve-Slow-Train-Analysis-(2080s-and-2083s)?_g=(refreshInterval:(display:Off,pause:!f,section:0,value:0),time:(from:'2017-08-25T07:00:25-0600',mode:absolute,to:'2017-08-25T09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197" t="str">
        <f>IF(AA171&lt;VLOOKUP(AG171,Variables!$AC$3:$AD$8,2,FALSE),"Y","N")</f>
        <v>N</v>
      </c>
      <c r="X171" s="197">
        <f t="shared" si="76"/>
        <v>1</v>
      </c>
      <c r="Y171" s="197">
        <f t="shared" si="81"/>
        <v>0.10299999999999999</v>
      </c>
      <c r="Z171" s="197">
        <f t="shared" si="82"/>
        <v>5.9005000000000001</v>
      </c>
      <c r="AA171" s="197">
        <f t="shared" si="65"/>
        <v>5.7975000000000003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6">
        <f t="shared" si="66"/>
        <v>811</v>
      </c>
      <c r="AE171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71" s="74" t="str">
        <f t="shared" si="68"/>
        <v>"C:\Program Files (x86)\AstroGrep\AstroGrep.exe" /e /r /s /spath="%USERPROFILE%\AppData\Local\Temp\OnboardLogs" /stypes="app*4044*20170825*" /stext=" 14:.+((SYSTEM_STATE.+slice.+state.+changed )|(ment ac)|(multiple cpu faults)|(system.+state.+changed )|(\[timeout)|(PRM\|1\|D)|(kpr)|(kdp)|(train st.+moving)|(\|lc)|(penalty))"</v>
      </c>
      <c r="AG171" s="209" t="str">
        <f t="shared" si="69"/>
        <v>NW</v>
      </c>
      <c r="AH171" s="78" t="str">
        <f t="shared" si="70"/>
        <v>"%USERPROFILE%\Documents\GitHub\eaglep3\Utilities\RefineRTDCRunTimes.py" --tripid 811-25 --locoid 4044 --swversion DE.1.0.9.0 --startMP 204:1030 --initTime 2017-08-25T08:00:25 --startdatetime 2017-08-25T08:21:18 --delay 1 --endMP 300:59005 --enddatetime 2017-08-25T08:35:49 --enforcementcount 1 &gt;&gt;C:\Users\stu\Documents\GitHub\eaglep3-reporting\EC\2017-08-25-refined-times.txt</v>
      </c>
      <c r="AI171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{"issue":{"subject":"","project_id":79,"tracker_id":40,"status_id":1,"priority_id":2,"assigned_to_id":23,"start_date":"2017-08-25","description":"","custom_fields":[{"id":1,"name":"Subdivision","value":"NW"},{"id":4,"name":"Milepost","value":"5.9005"},{"id":17,"name":"Train ID","value":"811-25"},{"id":16,"name":"Locomotive ID","value":"4044"},{"id":130,"name":"Impact","value":""},{"id":150,"name":"Time of Event (Mountain Time)","value":"08:35:49"},{"id":151,"name":"Denver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72"/>
        <v>start /low /b %USERPROFILE%\Documents\GitHub\eaglep3\Utilities\DownloadLogsFromS3.py --loco 4044 --day 2017-08-25</v>
      </c>
      <c r="AN171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666</v>
      </c>
      <c r="B172" s="7">
        <v>4043</v>
      </c>
      <c r="C172" s="21" t="s">
        <v>197</v>
      </c>
      <c r="D172" s="21" t="s">
        <v>549</v>
      </c>
      <c r="E172" s="13">
        <v>42972.359594907408</v>
      </c>
      <c r="F172" s="13">
        <v>42972.361215277779</v>
      </c>
      <c r="G172" s="7">
        <v>1</v>
      </c>
      <c r="H172" s="21" t="s">
        <v>921</v>
      </c>
      <c r="I172" s="13">
        <v>42972.372407407405</v>
      </c>
      <c r="J172" s="7">
        <v>1</v>
      </c>
      <c r="K172" s="89" t="str">
        <f t="shared" si="60"/>
        <v>4043/4044</v>
      </c>
      <c r="L172" s="217" t="str">
        <f>VLOOKUP(A172,'Trips&amp;Operators'!$C$1:$G$99911,5,FALSE)</f>
        <v>TOUSIGNAUT CARL</v>
      </c>
      <c r="M172" s="6">
        <f t="shared" si="61"/>
        <v>1.1192129626579117E-2</v>
      </c>
      <c r="N172" s="7">
        <f t="shared" si="74"/>
        <v>16.116666662273929</v>
      </c>
      <c r="O172" s="7"/>
      <c r="P172" s="7"/>
      <c r="Q172" s="22"/>
      <c r="R172" s="170"/>
      <c r="S172" s="213">
        <f t="shared" si="75"/>
        <v>1</v>
      </c>
      <c r="T172" s="195" t="str">
        <f t="shared" si="62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3"/>
        <v>https://d0f6bd738d7f1b3e5a7ca70fe4ff75f0.us-east-1.aws.found.io/app/kibana#/discover/Steve-Slow-Train-Analysis-(2080s-and-2083s)?_g=(refreshInterval:(display:Off,pause:!f,section:0,value:0),time:(from:'2017-08-25T07:37:49-0600',mode:absolute,to:'2017-08-25T09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197" t="str">
        <f>IF(AA172&lt;VLOOKUP(AG172,Variables!$AC$3:$AD$8,2,FALSE),"Y","N")</f>
        <v>N</v>
      </c>
      <c r="X172" s="197">
        <f t="shared" si="76"/>
        <v>1</v>
      </c>
      <c r="Y172" s="197">
        <f t="shared" si="81"/>
        <v>5.8686999999999996</v>
      </c>
      <c r="Z172" s="197">
        <f t="shared" si="82"/>
        <v>6.8699999999999997E-2</v>
      </c>
      <c r="AA172" s="197">
        <f t="shared" si="65"/>
        <v>5.8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6">
        <f t="shared" si="66"/>
        <v>812</v>
      </c>
      <c r="AE172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72" s="74" t="str">
        <f t="shared" si="68"/>
        <v>"C:\Program Files (x86)\AstroGrep\AstroGrep.exe" /e /r /s /spath="%USERPROFILE%\AppData\Local\Temp\OnboardLogs" /stypes="app*4043*20170825*" /stext=" 14:.+((SYSTEM_STATE.+slice.+state.+changed )|(ment ac)|(multiple cpu faults)|(system.+state.+changed )|(\[timeout)|(PRM\|1\|D)|(kpr)|(kdp)|(train st.+moving)|(\|lc)|(penalty))"</v>
      </c>
      <c r="AG172" s="209" t="str">
        <f t="shared" si="69"/>
        <v>NW</v>
      </c>
      <c r="AH172" s="78" t="str">
        <f t="shared" si="70"/>
        <v>"%USERPROFILE%\Documents\GitHub\eaglep3\Utilities\RefineRTDCRunTimes.py" --tripid 812-25 --locoid 4043 --swversion DE.1.0.9.0 --startMP 300:58687 --initTime 2017-08-25T08:37:49 --startdatetime 2017-08-25T08:40:09 --delay 1 --endMP 204:687 --enddatetime 2017-08-25T08:56:16 --enforcementcount 1 &gt;&gt;C:\Users\stu\Documents\GitHub\eaglep3-reporting\EC\2017-08-25-refined-times.txt</v>
      </c>
      <c r="AI172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{"issue":{"subject":"","project_id":79,"tracker_id":40,"status_id":1,"priority_id":2,"assigned_to_id":23,"start_date":"2017-08-25","description":"","custom_fields":[{"id":1,"name":"Subdivision","value":"NW"},{"id":4,"name":"Milepost","value":"0.0687"},{"id":17,"name":"Train ID","value":"812-25"},{"id":16,"name":"Locomotive ID","value":"4043"},{"id":130,"name":"Impact","value":""},{"id":150,"name":"Time of Event (Mountain Time)","value":"08:56:16"},{"id":151,"name":"Denver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2"/>
        <v>start /low /b %USERPROFILE%\Documents\GitHub\eaglep3\Utilities\DownloadLogsFromS3.py --loco 4043 --day 2017-08-25</v>
      </c>
      <c r="AN172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581</v>
      </c>
      <c r="B173" s="7">
        <v>4044</v>
      </c>
      <c r="C173" s="21" t="s">
        <v>197</v>
      </c>
      <c r="D173" s="21" t="s">
        <v>915</v>
      </c>
      <c r="E173" s="13">
        <v>42972.374444444446</v>
      </c>
      <c r="F173" s="13">
        <v>42972.389780092592</v>
      </c>
      <c r="G173" s="7">
        <v>1</v>
      </c>
      <c r="H173" s="21" t="s">
        <v>922</v>
      </c>
      <c r="I173" s="13">
        <v>42972.399675925924</v>
      </c>
      <c r="J173" s="7">
        <v>1</v>
      </c>
      <c r="K173" s="89" t="str">
        <f t="shared" si="60"/>
        <v>4043/4044</v>
      </c>
      <c r="L173" s="217" t="str">
        <f>VLOOKUP(A173,'Trips&amp;Operators'!$C$1:$G$99911,5,FALSE)</f>
        <v>TOUSIGNAUT CARL</v>
      </c>
      <c r="M173" s="6">
        <f t="shared" si="61"/>
        <v>9.8958333328482695E-3</v>
      </c>
      <c r="N173" s="7">
        <f t="shared" si="74"/>
        <v>14.249999999301508</v>
      </c>
      <c r="O173" s="7"/>
      <c r="P173" s="7"/>
      <c r="Q173" s="22"/>
      <c r="R173" s="170"/>
      <c r="S173" s="213">
        <f t="shared" si="75"/>
        <v>1</v>
      </c>
      <c r="T173" s="195" t="str">
        <f t="shared" si="62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3"/>
        <v>https://d0f6bd738d7f1b3e5a7ca70fe4ff75f0.us-east-1.aws.found.io/app/kibana#/discover/Steve-Slow-Train-Analysis-(2080s-and-2083s)?_g=(refreshInterval:(display:Off,pause:!f,section:0,value:0),time:(from:'2017-08-25T07:59:12-0600',mode:absolute,to:'2017-08-25T10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3" s="197" t="str">
        <f>IF(AA173&lt;VLOOKUP(AG173,Variables!$AC$3:$AD$8,2,FALSE),"Y","N")</f>
        <v>N</v>
      </c>
      <c r="X173" s="197">
        <f t="shared" si="76"/>
        <v>1</v>
      </c>
      <c r="Y173" s="197">
        <f t="shared" si="81"/>
        <v>9.64E-2</v>
      </c>
      <c r="Z173" s="197">
        <f t="shared" si="82"/>
        <v>5.8994999999999997</v>
      </c>
      <c r="AA173" s="197">
        <f t="shared" si="65"/>
        <v>5.8030999999999997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6">
        <f t="shared" si="66"/>
        <v>813</v>
      </c>
      <c r="AE173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73" s="74" t="str">
        <f t="shared" si="68"/>
        <v>"C:\Program Files (x86)\AstroGrep\AstroGrep.exe" /e /r /s /spath="%USERPROFILE%\AppData\Local\Temp\OnboardLogs" /stypes="app*4044*20170825*" /stext=" 15:.+((SYSTEM_STATE.+slice.+state.+changed )|(ment ac)|(multiple cpu faults)|(system.+state.+changed )|(\[timeout)|(PRM\|1\|D)|(kpr)|(kdp)|(train st.+moving)|(\|lc)|(penalty))"</v>
      </c>
      <c r="AG173" s="209" t="str">
        <f t="shared" si="69"/>
        <v>NW</v>
      </c>
      <c r="AH173" s="78" t="str">
        <f t="shared" si="70"/>
        <v>"%USERPROFILE%\Documents\GitHub\eaglep3\Utilities\RefineRTDCRunTimes.py" --tripid 813-25 --locoid 4044 --swversion DE.1.0.9.0 --startMP 204:964 --initTime 2017-08-25T08:59:12 --startdatetime 2017-08-25T09:21:17 --delay 1 --endMP 300:58995 --enddatetime 2017-08-25T09:35:32 --enforcementcount 1 &gt;&gt;C:\Users\stu\Documents\GitHub\eaglep3-reporting\EC\2017-08-25-refined-times.txt</v>
      </c>
      <c r="AI173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{"issue":{"subject":"","project_id":79,"tracker_id":40,"status_id":1,"priority_id":2,"assigned_to_id":23,"start_date":"2017-08-25","description":"","custom_fields":[{"id":1,"name":"Subdivision","value":"NW"},{"id":4,"name":"Milepost","value":"5.8995"},{"id":17,"name":"Train ID","value":"813-25"},{"id":16,"name":"Locomotive ID","value":"4044"},{"id":130,"name":"Impact","value":""},{"id":150,"name":"Time of Event (Mountain Time)","value":"09:35:32"},{"id":151,"name":"Denver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2"/>
        <v>start /low /b %USERPROFILE%\Documents\GitHub\eaglep3\Utilities\DownloadLogsFromS3.py --loco 4044 --day 2017-08-25</v>
      </c>
      <c r="AN173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15:35:32"},{"id":29,"name":"Sharepoint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675</v>
      </c>
      <c r="B174" s="7">
        <v>4043</v>
      </c>
      <c r="C174" s="21" t="s">
        <v>197</v>
      </c>
      <c r="D174" s="21" t="s">
        <v>923</v>
      </c>
      <c r="E174" s="13">
        <v>42972.402129629627</v>
      </c>
      <c r="F174" s="13">
        <v>42972.404930555553</v>
      </c>
      <c r="G174" s="7">
        <v>1</v>
      </c>
      <c r="H174" s="21" t="s">
        <v>924</v>
      </c>
      <c r="I174" s="13">
        <v>42972.415277777778</v>
      </c>
      <c r="J174" s="7">
        <v>1</v>
      </c>
      <c r="K174" s="89" t="str">
        <f t="shared" si="60"/>
        <v>4043/4044</v>
      </c>
      <c r="L174" s="217" t="str">
        <f>VLOOKUP(A174,'Trips&amp;Operators'!$C$1:$G$99911,5,FALSE)</f>
        <v>TOUSIGNAUT CARL</v>
      </c>
      <c r="M174" s="6">
        <f t="shared" si="61"/>
        <v>1.0347222225391306E-2</v>
      </c>
      <c r="N174" s="7">
        <f t="shared" si="74"/>
        <v>14.900000004563481</v>
      </c>
      <c r="O174" s="7"/>
      <c r="P174" s="7"/>
      <c r="Q174" s="22"/>
      <c r="R174" s="170"/>
      <c r="S174" s="213">
        <f t="shared" si="75"/>
        <v>1</v>
      </c>
      <c r="T174" s="195" t="str">
        <f t="shared" si="62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3"/>
        <v>https://d0f6bd738d7f1b3e5a7ca70fe4ff75f0.us-east-1.aws.found.io/app/kibana#/discover/Steve-Slow-Train-Analysis-(2080s-and-2083s)?_g=(refreshInterval:(display:Off,pause:!f,section:0,value:0),time:(from:'2017-08-25T08:39:04-0600',mode:absolute,to:'2017-08-25T10:58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4" s="197" t="str">
        <f>IF(AA174&lt;VLOOKUP(AG174,Variables!$AC$3:$AD$8,2,FALSE),"Y","N")</f>
        <v>N</v>
      </c>
      <c r="X174" s="197">
        <f t="shared" si="76"/>
        <v>1</v>
      </c>
      <c r="Y174" s="197">
        <f t="shared" si="81"/>
        <v>5.8719999999999999</v>
      </c>
      <c r="Z174" s="197">
        <f t="shared" si="82"/>
        <v>7.0300000000000001E-2</v>
      </c>
      <c r="AA174" s="197">
        <f t="shared" si="65"/>
        <v>5.8017000000000003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6">
        <f t="shared" si="66"/>
        <v>814</v>
      </c>
      <c r="AE174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74" s="74" t="str">
        <f t="shared" si="68"/>
        <v>"C:\Program Files (x86)\AstroGrep\AstroGrep.exe" /e /r /s /spath="%USERPROFILE%\AppData\Local\Temp\OnboardLogs" /stypes="app*4043*20170825*" /stext=" 15:.+((SYSTEM_STATE.+slice.+state.+changed )|(ment ac)|(multiple cpu faults)|(system.+state.+changed )|(\[timeout)|(PRM\|1\|D)|(kpr)|(kdp)|(train st.+moving)|(\|lc)|(penalty))"</v>
      </c>
      <c r="AG174" s="209" t="str">
        <f t="shared" si="69"/>
        <v>NW</v>
      </c>
      <c r="AH174" s="78" t="str">
        <f t="shared" si="70"/>
        <v>"%USERPROFILE%\Documents\GitHub\eaglep3\Utilities\RefineRTDCRunTimes.py" --tripid 814-25 --locoid 4043 --swversion DE.1.0.9.0 --startMP 300:58720 --initTime 2017-08-25T09:39:04 --startdatetime 2017-08-25T09:43:06 --delay 1 --endMP 204:703 --enddatetime 2017-08-25T09:58:00 --enforcementcount 1 &gt;&gt;C:\Users\stu\Documents\GitHub\eaglep3-reporting\EC\2017-08-25-refined-times.txt</v>
      </c>
      <c r="AI174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{"issue":{"subject":"","project_id":79,"tracker_id":40,"status_id":1,"priority_id":2,"assigned_to_id":23,"start_date":"2017-08-25","description":"","custom_fields":[{"id":1,"name":"Subdivision","value":"NW"},{"id":4,"name":"Milepost","value":"0.0703"},{"id":17,"name":"Train ID","value":"814-25"},{"id":16,"name":"Locomotive ID","value":"4043"},{"id":130,"name":"Impact","value":""},{"id":150,"name":"Time of Event (Mountain Time)","value":"09:58:00"},{"id":151,"name":"Denver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2"/>
        <v>start /low /b %USERPROFILE%\Documents\GitHub\eaglep3\Utilities\DownloadLogsFromS3.py --loco 4043 --day 2017-08-25</v>
      </c>
      <c r="AN174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15:58:00"},{"id":29,"name":"Sharepoint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583</v>
      </c>
      <c r="B175" s="7">
        <v>4044</v>
      </c>
      <c r="C175" s="21" t="s">
        <v>197</v>
      </c>
      <c r="D175" s="21" t="s">
        <v>398</v>
      </c>
      <c r="E175" s="13">
        <v>42972.416712962964</v>
      </c>
      <c r="F175" s="13">
        <v>42972.431446759256</v>
      </c>
      <c r="G175" s="7">
        <v>1</v>
      </c>
      <c r="H175" s="21" t="s">
        <v>925</v>
      </c>
      <c r="I175" s="13">
        <v>42972.442002314812</v>
      </c>
      <c r="J175" s="7">
        <v>1</v>
      </c>
      <c r="K175" s="89" t="str">
        <f t="shared" si="60"/>
        <v>4043/4044</v>
      </c>
      <c r="L175" s="217" t="str">
        <f>VLOOKUP(A175,'Trips&amp;Operators'!$C$1:$G$99911,5,FALSE)</f>
        <v>TOUSIGNAUT CARL</v>
      </c>
      <c r="M175" s="6">
        <f t="shared" si="61"/>
        <v>1.0555555556493346E-2</v>
      </c>
      <c r="N175" s="7">
        <f t="shared" si="74"/>
        <v>15.200000001350418</v>
      </c>
      <c r="O175" s="7"/>
      <c r="P175" s="7"/>
      <c r="Q175" s="22"/>
      <c r="R175" s="170"/>
      <c r="S175" s="213">
        <f t="shared" si="75"/>
        <v>1</v>
      </c>
      <c r="T175" s="195" t="str">
        <f t="shared" si="62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3"/>
        <v>https://d0f6bd738d7f1b3e5a7ca70fe4ff75f0.us-east-1.aws.found.io/app/kibana#/discover/Steve-Slow-Train-Analysis-(2080s-and-2083s)?_g=(refreshInterval:(display:Off,pause:!f,section:0,value:0),time:(from:'2017-08-25T09:00:04-0600',mode:absolute,to:'2017-08-25T11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197" t="str">
        <f>IF(AA175&lt;VLOOKUP(AG175,Variables!$AC$3:$AD$8,2,FALSE),"Y","N")</f>
        <v>N</v>
      </c>
      <c r="X175" s="197">
        <f t="shared" si="76"/>
        <v>1</v>
      </c>
      <c r="Y175" s="197">
        <f t="shared" si="81"/>
        <v>9.7199999999999995E-2</v>
      </c>
      <c r="Z175" s="197">
        <f t="shared" si="82"/>
        <v>5.8986000000000001</v>
      </c>
      <c r="AA175" s="197">
        <f t="shared" si="65"/>
        <v>5.8014000000000001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6">
        <f t="shared" si="66"/>
        <v>815</v>
      </c>
      <c r="AE175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75" s="74" t="str">
        <f t="shared" si="68"/>
        <v>"C:\Program Files (x86)\AstroGrep\AstroGrep.exe" /e /r /s /spath="%USERPROFILE%\AppData\Local\Temp\OnboardLogs" /stypes="app*4044*20170825*" /stext=" 16:.+((SYSTEM_STATE.+slice.+state.+changed )|(ment ac)|(multiple cpu faults)|(system.+state.+changed )|(\[timeout)|(PRM\|1\|D)|(kpr)|(kdp)|(train st.+moving)|(\|lc)|(penalty))"</v>
      </c>
      <c r="AG175" s="209" t="str">
        <f t="shared" si="69"/>
        <v>NW</v>
      </c>
      <c r="AH175" s="78" t="str">
        <f t="shared" si="70"/>
        <v>"%USERPROFILE%\Documents\GitHub\eaglep3\Utilities\RefineRTDCRunTimes.py" --tripid 815-25 --locoid 4044 --swversion DE.1.0.9.0 --startMP 204:972 --initTime 2017-08-25T10:00:04 --startdatetime 2017-08-25T10:21:17 --delay 1 --endMP 300:58986 --enddatetime 2017-08-25T10:36:29 --enforcementcount 1 &gt;&gt;C:\Users\stu\Documents\GitHub\eaglep3-reporting\EC\2017-08-25-refined-times.txt</v>
      </c>
      <c r="AI175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{"issue":{"subject":"","project_id":79,"tracker_id":40,"status_id":1,"priority_id":2,"assigned_to_id":23,"start_date":"2017-08-25","description":"","custom_fields":[{"id":1,"name":"Subdivision","value":"NW"},{"id":4,"name":"Milepost","value":"5.8986"},{"id":17,"name":"Train ID","value":"815-25"},{"id":16,"name":"Locomotive ID","value":"4044"},{"id":130,"name":"Impact","value":""},{"id":150,"name":"Time of Event (Mountain Time)","value":"10:36:29"},{"id":151,"name":"Denver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72"/>
        <v>start /low /b %USERPROFILE%\Documents\GitHub\eaglep3\Utilities\DownloadLogsFromS3.py --loco 4044 --day 2017-08-25</v>
      </c>
      <c r="AN175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16:36:29"},{"id":29,"name":"Sharepoint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585</v>
      </c>
      <c r="B176" s="7">
        <v>4043</v>
      </c>
      <c r="C176" s="21" t="s">
        <v>197</v>
      </c>
      <c r="D176" s="21" t="s">
        <v>926</v>
      </c>
      <c r="E176" s="13">
        <v>42972.443773148145</v>
      </c>
      <c r="F176" s="13">
        <v>42972.445347222223</v>
      </c>
      <c r="G176" s="7">
        <v>1</v>
      </c>
      <c r="H176" s="21" t="s">
        <v>397</v>
      </c>
      <c r="I176" s="13">
        <v>42972.457118055558</v>
      </c>
      <c r="J176" s="7">
        <v>1</v>
      </c>
      <c r="K176" s="89" t="str">
        <f t="shared" si="60"/>
        <v>4043/4044</v>
      </c>
      <c r="L176" s="217" t="str">
        <f>VLOOKUP(A176,'Trips&amp;Operators'!$C$1:$G$99911,5,FALSE)</f>
        <v>TOUSIGNAUT CARL</v>
      </c>
      <c r="M176" s="6">
        <f t="shared" si="61"/>
        <v>1.1770833334594499E-2</v>
      </c>
      <c r="N176" s="7">
        <f t="shared" si="74"/>
        <v>16.950000001816079</v>
      </c>
      <c r="O176" s="7"/>
      <c r="P176" s="7"/>
      <c r="Q176" s="22"/>
      <c r="R176" s="170"/>
      <c r="S176" s="213">
        <f t="shared" si="75"/>
        <v>1</v>
      </c>
      <c r="T176" s="195" t="str">
        <f t="shared" si="62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3"/>
        <v>https://d0f6bd738d7f1b3e5a7ca70fe4ff75f0.us-east-1.aws.found.io/app/kibana#/discover/Steve-Slow-Train-Analysis-(2080s-and-2083s)?_g=(refreshInterval:(display:Off,pause:!f,section:0,value:0),time:(from:'2017-08-25T09:39:02-0600',mode:absolute,to:'2017-08-25T11:58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197" t="str">
        <f>IF(AA176&lt;VLOOKUP(AG176,Variables!$AC$3:$AD$8,2,FALSE),"Y","N")</f>
        <v>N</v>
      </c>
      <c r="X176" s="197">
        <f t="shared" si="76"/>
        <v>1</v>
      </c>
      <c r="Y176" s="197">
        <f t="shared" si="81"/>
        <v>5.867</v>
      </c>
      <c r="Z176" s="197">
        <f t="shared" si="82"/>
        <v>6.8000000000000005E-2</v>
      </c>
      <c r="AA176" s="197">
        <f t="shared" si="65"/>
        <v>5.7990000000000004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6">
        <f t="shared" si="66"/>
        <v>816</v>
      </c>
      <c r="AE176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76" s="74" t="str">
        <f t="shared" si="68"/>
        <v>"C:\Program Files (x86)\AstroGrep\AstroGrep.exe" /e /r /s /spath="%USERPROFILE%\AppData\Local\Temp\OnboardLogs" /stypes="app*4043*20170825*" /stext=" 16:.+((SYSTEM_STATE.+slice.+state.+changed )|(ment ac)|(multiple cpu faults)|(system.+state.+changed )|(\[timeout)|(PRM\|1\|D)|(kpr)|(kdp)|(train st.+moving)|(\|lc)|(penalty))"</v>
      </c>
      <c r="AG176" s="209" t="str">
        <f t="shared" si="69"/>
        <v>NW</v>
      </c>
      <c r="AH176" s="78" t="str">
        <f t="shared" si="70"/>
        <v>"%USERPROFILE%\Documents\GitHub\eaglep3\Utilities\RefineRTDCRunTimes.py" --tripid 816-25 --locoid 4043 --swversion DE.1.0.9.0 --startMP 300:58670 --initTime 2017-08-25T10:39:02 --startdatetime 2017-08-25T10:41:18 --delay 1 --endMP 204:680 --enddatetime 2017-08-25T10:58:15 --enforcementcount 1 &gt;&gt;C:\Users\stu\Documents\GitHub\eaglep3-reporting\EC\2017-08-25-refined-times.txt</v>
      </c>
      <c r="AI176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{"issue":{"subject":"","project_id":79,"tracker_id":40,"status_id":1,"priority_id":2,"assigned_to_id":23,"start_date":"2017-08-25","description":"","custom_fields":[{"id":1,"name":"Subdivision","value":"NW"},{"id":4,"name":"Milepost","value":"0.068"},{"id":17,"name":"Train ID","value":"816-25"},{"id":16,"name":"Locomotive ID","value":"4043"},{"id":130,"name":"Impact","value":""},{"id":150,"name":"Time of Event (Mountain Time)","value":"10:58:15"},{"id":151,"name":"Denver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72"/>
        <v>start /low /b %USERPROFILE%\Documents\GitHub\eaglep3\Utilities\DownloadLogsFromS3.py --loco 4043 --day 2017-08-25</v>
      </c>
      <c r="AN176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16:58:15"},{"id":29,"name":"Sharepoint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586</v>
      </c>
      <c r="B177" s="7">
        <v>4044</v>
      </c>
      <c r="C177" s="21" t="s">
        <v>197</v>
      </c>
      <c r="D177" s="21" t="s">
        <v>927</v>
      </c>
      <c r="E177" s="13">
        <v>42972.458796296298</v>
      </c>
      <c r="F177" s="13">
        <v>42972.473449074074</v>
      </c>
      <c r="G177" s="7">
        <v>1</v>
      </c>
      <c r="H177" s="21" t="s">
        <v>546</v>
      </c>
      <c r="I177" s="13">
        <v>42972.482997685183</v>
      </c>
      <c r="J177" s="7">
        <v>1</v>
      </c>
      <c r="K177" s="89" t="str">
        <f t="shared" si="60"/>
        <v>4043/4044</v>
      </c>
      <c r="L177" s="217" t="str">
        <f>VLOOKUP(A177,'Trips&amp;Operators'!$C$1:$G$99911,5,FALSE)</f>
        <v>TOUSIGNAUT CARL</v>
      </c>
      <c r="M177" s="6">
        <f t="shared" si="61"/>
        <v>9.5486111094942316E-3</v>
      </c>
      <c r="N177" s="7">
        <f t="shared" si="74"/>
        <v>13.749999997671694</v>
      </c>
      <c r="O177" s="7"/>
      <c r="P177" s="7"/>
      <c r="Q177" s="22"/>
      <c r="R177" s="170"/>
      <c r="S177" s="213">
        <f t="shared" si="75"/>
        <v>1</v>
      </c>
      <c r="T177" s="195" t="str">
        <f t="shared" si="62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3"/>
        <v>https://d0f6bd738d7f1b3e5a7ca70fe4ff75f0.us-east-1.aws.found.io/app/kibana#/discover/Steve-Slow-Train-Analysis-(2080s-and-2083s)?_g=(refreshInterval:(display:Off,pause:!f,section:0,value:0),time:(from:'2017-08-25T10:00:40-0600',mode:absolute,to:'2017-08-25T12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7" s="197" t="str">
        <f>IF(AA177&lt;VLOOKUP(AG177,Variables!$AC$3:$AD$8,2,FALSE),"Y","N")</f>
        <v>N</v>
      </c>
      <c r="X177" s="197">
        <f t="shared" si="76"/>
        <v>1</v>
      </c>
      <c r="Y177" s="197">
        <f t="shared" si="81"/>
        <v>9.9000000000000005E-2</v>
      </c>
      <c r="Z177" s="197">
        <f t="shared" si="82"/>
        <v>5.8930999999999996</v>
      </c>
      <c r="AA177" s="197">
        <f t="shared" si="65"/>
        <v>5.7940999999999994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6">
        <f t="shared" si="66"/>
        <v>817</v>
      </c>
      <c r="AE177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77" s="74" t="str">
        <f t="shared" si="68"/>
        <v>"C:\Program Files (x86)\AstroGrep\AstroGrep.exe" /e /r /s /spath="%USERPROFILE%\AppData\Local\Temp\OnboardLogs" /stypes="app*4044*20170825*" /stext=" 17:.+((SYSTEM_STATE.+slice.+state.+changed )|(ment ac)|(multiple cpu faults)|(system.+state.+changed )|(\[timeout)|(PRM\|1\|D)|(kpr)|(kdp)|(train st.+moving)|(\|lc)|(penalty))"</v>
      </c>
      <c r="AG177" s="209" t="str">
        <f t="shared" si="69"/>
        <v>NW</v>
      </c>
      <c r="AH177" s="78" t="str">
        <f t="shared" si="70"/>
        <v>"%USERPROFILE%\Documents\GitHub\eaglep3\Utilities\RefineRTDCRunTimes.py" --tripid 817-25 --locoid 4044 --swversion DE.1.0.9.0 --startMP 204:990 --initTime 2017-08-25T11:00:40 --startdatetime 2017-08-25T11:21:46 --delay 1 --endMP 300:58931 --enddatetime 2017-08-25T11:35:31 --enforcementcount 1 &gt;&gt;C:\Users\stu\Documents\GitHub\eaglep3-reporting\EC\2017-08-25-refined-times.txt</v>
      </c>
      <c r="AI177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{"issue":{"subject":"","project_id":79,"tracker_id":40,"status_id":1,"priority_id":2,"assigned_to_id":23,"start_date":"2017-08-25","description":"","custom_fields":[{"id":1,"name":"Subdivision","value":"NW"},{"id":4,"name":"Milepost","value":"5.8931"},{"id":17,"name":"Train ID","value":"817-25"},{"id":16,"name":"Locomotive ID","value":"4044"},{"id":130,"name":"Impact","value":""},{"id":150,"name":"Time of Event (Mountain Time)","value":"11:35:31"},{"id":151,"name":"Denver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2"/>
        <v>start /low /b %USERPROFILE%\Documents\GitHub\eaglep3\Utilities\DownloadLogsFromS3.py --loco 4044 --day 2017-08-25</v>
      </c>
      <c r="AN177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17:35:31"},{"id":29,"name":"Sharepoint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695</v>
      </c>
      <c r="B178" s="7">
        <v>4043</v>
      </c>
      <c r="C178" s="21" t="s">
        <v>197</v>
      </c>
      <c r="D178" s="21" t="s">
        <v>566</v>
      </c>
      <c r="E178" s="13">
        <v>42972.484560185185</v>
      </c>
      <c r="F178" s="13">
        <v>42972.486342592594</v>
      </c>
      <c r="G178" s="7">
        <v>1</v>
      </c>
      <c r="H178" s="21" t="s">
        <v>547</v>
      </c>
      <c r="I178" s="13">
        <v>42972.496898148151</v>
      </c>
      <c r="J178" s="7">
        <v>1</v>
      </c>
      <c r="K178" s="89" t="str">
        <f t="shared" si="60"/>
        <v>4043/4044</v>
      </c>
      <c r="L178" s="217" t="str">
        <f>VLOOKUP(A178,'Trips&amp;Operators'!$C$1:$G$99911,5,FALSE)</f>
        <v>TOUSIGNAUT CARL</v>
      </c>
      <c r="M178" s="6">
        <f t="shared" si="61"/>
        <v>1.0555555556493346E-2</v>
      </c>
      <c r="N178" s="7">
        <f t="shared" si="74"/>
        <v>15.200000001350418</v>
      </c>
      <c r="O178" s="7"/>
      <c r="P178" s="7"/>
      <c r="Q178" s="22"/>
      <c r="R178" s="170"/>
      <c r="S178" s="213">
        <f t="shared" si="75"/>
        <v>1</v>
      </c>
      <c r="T178" s="195" t="str">
        <f t="shared" si="62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3"/>
        <v>https://d0f6bd738d7f1b3e5a7ca70fe4ff75f0.us-east-1.aws.found.io/app/kibana#/discover/Steve-Slow-Train-Analysis-(2080s-and-2083s)?_g=(refreshInterval:(display:Off,pause:!f,section:0,value:0),time:(from:'2017-08-25T10:37:46-0600',mode:absolute,to:'2017-08-25T12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8" s="197" t="str">
        <f>IF(AA178&lt;VLOOKUP(AG178,Variables!$AC$3:$AD$8,2,FALSE),"Y","N")</f>
        <v>N</v>
      </c>
      <c r="X178" s="197">
        <f t="shared" si="76"/>
        <v>1</v>
      </c>
      <c r="Y178" s="197">
        <f t="shared" si="81"/>
        <v>5.8609</v>
      </c>
      <c r="Z178" s="197">
        <f t="shared" si="82"/>
        <v>6.8500000000000005E-2</v>
      </c>
      <c r="AA178" s="197">
        <f t="shared" si="65"/>
        <v>5.7923999999999998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6">
        <f t="shared" si="66"/>
        <v>818</v>
      </c>
      <c r="AE178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78" s="74" t="str">
        <f t="shared" si="68"/>
        <v>"C:\Program Files (x86)\AstroGrep\AstroGrep.exe" /e /r /s /spath="%USERPROFILE%\AppData\Local\Temp\OnboardLogs" /stypes="app*4043*20170825*" /stext=" 17:.+((SYSTEM_STATE.+slice.+state.+changed )|(ment ac)|(multiple cpu faults)|(system.+state.+changed )|(\[timeout)|(PRM\|1\|D)|(kpr)|(kdp)|(train st.+moving)|(\|lc)|(penalty))"</v>
      </c>
      <c r="AG178" s="209" t="str">
        <f t="shared" si="69"/>
        <v>NW</v>
      </c>
      <c r="AH178" s="78" t="str">
        <f t="shared" si="70"/>
        <v>"%USERPROFILE%\Documents\GitHub\eaglep3\Utilities\RefineRTDCRunTimes.py" --tripid 818-25 --locoid 4043 --swversion DE.1.0.9.0 --startMP 300:58609 --initTime 2017-08-25T11:37:46 --startdatetime 2017-08-25T11:40:20 --delay 1 --endMP 204:685 --enddatetime 2017-08-25T11:55:32 --enforcementcount 1 &gt;&gt;C:\Users\stu\Documents\GitHub\eaglep3-reporting\EC\2017-08-25-refined-times.txt</v>
      </c>
      <c r="AI178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{"issue":{"subject":"","project_id":79,"tracker_id":40,"status_id":1,"priority_id":2,"assigned_to_id":23,"start_date":"2017-08-25","description":"","custom_fields":[{"id":1,"name":"Subdivision","value":"NW"},{"id":4,"name":"Milepost","value":"0.0685"},{"id":17,"name":"Train ID","value":"818-25"},{"id":16,"name":"Locomotive ID","value":"4043"},{"id":130,"name":"Impact","value":""},{"id":150,"name":"Time of Event (Mountain Time)","value":"11:55:32"},{"id":151,"name":"Denver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2"/>
        <v>start /low /b %USERPROFILE%\Documents\GitHub\eaglep3\Utilities\DownloadLogsFromS3.py --loco 4043 --day 2017-08-25</v>
      </c>
      <c r="AN178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700</v>
      </c>
      <c r="B179" s="7">
        <v>4044</v>
      </c>
      <c r="C179" s="21" t="s">
        <v>197</v>
      </c>
      <c r="D179" s="21" t="s">
        <v>566</v>
      </c>
      <c r="E179" s="13">
        <v>42972.484560185185</v>
      </c>
      <c r="F179" s="13">
        <v>42972.514733796299</v>
      </c>
      <c r="G179" s="7">
        <v>1</v>
      </c>
      <c r="H179" s="21" t="s">
        <v>547</v>
      </c>
      <c r="I179" s="13">
        <v>42972.523599537039</v>
      </c>
      <c r="J179" s="7">
        <v>1</v>
      </c>
      <c r="K179" s="89" t="str">
        <f t="shared" si="60"/>
        <v>4043/4044</v>
      </c>
      <c r="L179" s="217" t="str">
        <f>VLOOKUP(A179,'Trips&amp;Operators'!$C$1:$G$99911,5,FALSE)</f>
        <v>TOUSIGNAUT CARL</v>
      </c>
      <c r="M179" s="6">
        <f t="shared" si="61"/>
        <v>8.8657407395658083E-3</v>
      </c>
      <c r="N179" s="7">
        <f t="shared" ref="N179:N210" si="83">24*60*SUM($M179:$M179)</f>
        <v>12.766666664974764</v>
      </c>
      <c r="O179" s="7"/>
      <c r="P179" s="7"/>
      <c r="Q179" s="22"/>
      <c r="R179" s="170"/>
      <c r="S179" s="213">
        <f t="shared" ref="S179:S210" si="84">1/IF(AG179="EC",12,1)*SUM(U179:U179)</f>
        <v>1</v>
      </c>
      <c r="T179" s="195" t="str">
        <f t="shared" si="62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3"/>
        <v>https://d0f6bd738d7f1b3e5a7ca70fe4ff75f0.us-east-1.aws.found.io/app/kibana#/discover/Steve-Slow-Train-Analysis-(2080s-and-2083s)?_g=(refreshInterval:(display:Off,pause:!f,section:0,value:0),time:(from:'2017-08-25T10:37:46-0600',mode:absolute,to:'2017-08-25T13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197" t="str">
        <f>IF(AA179&lt;VLOOKUP(AG179,Variables!$AC$3:$AD$8,2,FALSE),"Y","N")</f>
        <v>N</v>
      </c>
      <c r="X179" s="197">
        <f t="shared" si="76"/>
        <v>1</v>
      </c>
      <c r="Y179" s="197">
        <v>9.9000000000000005E-2</v>
      </c>
      <c r="Z179" s="197">
        <v>5.8930999999999996</v>
      </c>
      <c r="AA179" s="197">
        <f t="shared" si="65"/>
        <v>5.7940999999999994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6">
        <f t="shared" si="66"/>
        <v>819</v>
      </c>
      <c r="AE179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79" s="74" t="str">
        <f t="shared" si="68"/>
        <v>"C:\Program Files (x86)\AstroGrep\AstroGrep.exe" /e /r /s /spath="%USERPROFILE%\AppData\Local\Temp\OnboardLogs" /stypes="app*4044*20170825*" /stext=" 18:.+((SYSTEM_STATE.+slice.+state.+changed )|(ment ac)|(multiple cpu faults)|(system.+state.+changed )|(\[timeout)|(PRM\|1\|D)|(kpr)|(kdp)|(train st.+moving)|(\|lc)|(penalty))"</v>
      </c>
      <c r="AG179" s="209" t="str">
        <f t="shared" si="69"/>
        <v>NW</v>
      </c>
      <c r="AH179" s="78" t="str">
        <f t="shared" ref="AH179" si="85"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819-25 --locoid 4044 --swversion DE.1.0.9.0 --startMP 300:58609 --initTime 2017-08-25T11:37:46 --startdatetime 2017-08-25T12:21:13 --delay 1 --endMP 204:685 --enddatetime 2017-08-25T12:33:59 --enforcementcount 1 &gt;&gt;C:\Users\stu\Documents\GitHub\eaglep3-reporting\EC\2017-08-25-refined-times.txt</v>
      </c>
      <c r="AI179" s="96" t="str">
        <f t="shared" ref="AI179" si="86">"echo {""issue"":{""subject"":"""&amp;R179&amp;""",""project_id"":79,""tracker_id"":40,""status_id"":"&amp;redmine_status&amp;",""priority_id"":"&amp;redmine_priority&amp;",""assigned_to_id"":"&amp;redmine_assignee&amp;",""start_date"":"""&amp;TEXT(I179,"YYYY-mm-dd")&amp;""",""description"":"""&amp;AJ179&amp;""",""custom_fields"":[{""id"":1,""name"":""Subdivision"",""value"":"""&amp;AG179&amp;"""},{""id"":4,""name"":""Milepost"",""value"":"""&amp;Z179&amp;"""},{""id"":17,""name"":""Train ID"",""value"":"""&amp;A179&amp;"""},{""id"":16,""name"":""Locomotive ID"",""value"":"""&amp;B179&amp;"""},{""id"":130,""name"":""Impact"",""value"":"""&amp;AK179&amp;"""},{""id"":150,""name"":""Time of Event (Mountain Time)"",""value"":"""&amp;TEXT(I179,"hh:mm:ss")&amp;"""},{""id"":151,""name"":""Denver Issue ID"",""value"":"""&amp;"""},{""id"":178,""name"":""Operational Impact"",""value"":"""&amp;redmine_op_impact&amp;"""},{""id"":179,""name"":""Denver Segment Assigned"",""value"":"""&amp;AL179&amp;"""}]}}"&amp;"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{"issue":{"subject":"","project_id":79,"tracker_id":40,"status_id":1,"priority_id":2,"assigned_to_id":23,"start_date":"2017-08-25","description":"","custom_fields":[{"id":1,"name":"Subdivision","value":"NW"},{"id":4,"name":"Milepost","value":"5.8931"},{"id":17,"name":"Train ID","value":"819-25"},{"id":16,"name":"Locomotive ID","value":"4044"},{"id":130,"name":"Impact","value":""},{"id":150,"name":"Time of Event (Mountain Time)","value":"12:33:59"},{"id":151,"name":"Denver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ref="AM179" si="87">"start /low /b "&amp;dls3logs&amp;" --loco "&amp;B179&amp;" --day "&amp;TEXT(F179,"YYYY-MM-DD")</f>
        <v>start /low /b %USERPROFILE%\Documents\GitHub\eaglep3\Utilities\DownloadLogsFromS3.py --loco 4044 --day 2017-08-25</v>
      </c>
      <c r="AN179" s="151" t="str">
        <f t="shared" ref="AN179" si="88">"echo {""issue"":{""subject"":"""&amp;R179&amp;""",""project_id"":30,""tracker_id"":4,""status_id"":"&amp;redmine_status_wcr&amp;",""priority_id"":"&amp;redmine_priority_wcr&amp;",""assigned_to_id"":"&amp;redmine_assignee_wcr&amp;",""start_date"":"""&amp;TEXT(I179-utc_offset/24,"YYYY-mm-dd")&amp;""",""description"":"""&amp;AJ179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18:33:59"},{"id":29,"name":"Sharepoint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707</v>
      </c>
      <c r="B180" s="7">
        <v>4043</v>
      </c>
      <c r="C180" s="21" t="s">
        <v>197</v>
      </c>
      <c r="D180" s="21" t="s">
        <v>928</v>
      </c>
      <c r="E180" s="13">
        <v>42972.524641203701</v>
      </c>
      <c r="F180" s="13">
        <v>42972.525868055556</v>
      </c>
      <c r="G180" s="7">
        <v>0</v>
      </c>
      <c r="H180" s="21" t="s">
        <v>556</v>
      </c>
      <c r="I180" s="13">
        <v>42972.537638888891</v>
      </c>
      <c r="J180" s="7">
        <v>1</v>
      </c>
      <c r="K180" s="89" t="str">
        <f t="shared" si="60"/>
        <v>4043/4044</v>
      </c>
      <c r="L180" s="217" t="str">
        <f>VLOOKUP(A180,'Trips&amp;Operators'!$C$1:$G$99911,5,FALSE)</f>
        <v>TOUSIGNAUT CARL</v>
      </c>
      <c r="M180" s="6">
        <f t="shared" si="61"/>
        <v>1.1770833334594499E-2</v>
      </c>
      <c r="N180" s="7">
        <f t="shared" si="83"/>
        <v>16.950000001816079</v>
      </c>
      <c r="O180" s="7"/>
      <c r="P180" s="7"/>
      <c r="Q180" s="22"/>
      <c r="R180" s="170"/>
      <c r="S180" s="213">
        <f t="shared" si="84"/>
        <v>1</v>
      </c>
      <c r="T180" s="195" t="str">
        <f t="shared" si="62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3"/>
        <v>https://d0f6bd738d7f1b3e5a7ca70fe4ff75f0.us-east-1.aws.found.io/app/kibana#/discover/Steve-Slow-Train-Analysis-(2080s-and-2083s)?_g=(refreshInterval:(display:Off,pause:!f,section:0,value:0),time:(from:'2017-08-25T11:35:29-0600',mode:absolute,to:'2017-08-25T13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197" t="str">
        <f>IF(AA180&lt;VLOOKUP(AG180,Variables!$AC$3:$AD$8,2,FALSE),"Y","N")</f>
        <v>N</v>
      </c>
      <c r="X180" s="197">
        <f t="shared" si="76"/>
        <v>1</v>
      </c>
      <c r="Y180" s="197">
        <f>RIGHT(D180,LEN(D180)-4)/10000</f>
        <v>5.8644999999999996</v>
      </c>
      <c r="Z180" s="197">
        <f>RIGHT(H180,LEN(H180)-4)/10000</f>
        <v>6.9099999999999995E-2</v>
      </c>
      <c r="AA180" s="197">
        <f t="shared" si="65"/>
        <v>5.7953999999999999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6">
        <f t="shared" si="66"/>
        <v>820</v>
      </c>
      <c r="AE180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80" s="74" t="str">
        <f t="shared" si="68"/>
        <v>"C:\Program Files (x86)\AstroGrep\AstroGrep.exe" /e /r /s /spath="%USERPROFILE%\AppData\Local\Temp\OnboardLogs" /stypes="app*4043*20170825*" /stext=" 18:.+((SYSTEM_STATE.+slice.+state.+changed )|(ment ac)|(multiple cpu faults)|(system.+state.+changed )|(\[timeout)|(PRM\|1\|D)|(kpr)|(kdp)|(train st.+moving)|(\|lc)|(penalty))"</v>
      </c>
      <c r="AG180" s="209" t="str">
        <f t="shared" si="69"/>
        <v>NW</v>
      </c>
      <c r="AH180" s="78" t="str">
        <f t="shared" si="70"/>
        <v>"%USERPROFILE%\Documents\GitHub\eaglep3\Utilities\RefineRTDCRunTimes.py" --tripid 820-25 --locoid 4043 --swversion DE.1.0.9.0 --startMP 300:58645 --initTime 2017-08-25T12:35:29 --startdatetime 2017-08-25T12:37:15 --delay 0 --endMP 204:691 --enddatetime 2017-08-25T12:54:12 --enforcementcount 1 &gt;&gt;C:\Users\stu\Documents\GitHub\eaglep3-reporting\EC\2017-08-25-refined-times.txt</v>
      </c>
      <c r="AI180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{"issue":{"subject":"","project_id":79,"tracker_id":40,"status_id":1,"priority_id":2,"assigned_to_id":23,"start_date":"2017-08-25","description":"","custom_fields":[{"id":1,"name":"Subdivision","value":"NW"},{"id":4,"name":"Milepost","value":"0.0691"},{"id":17,"name":"Train ID","value":"820-25"},{"id":16,"name":"Locomotive ID","value":"4043"},{"id":130,"name":"Impact","value":""},{"id":150,"name":"Time of Event (Mountain Time)","value":"12:54:12"},{"id":151,"name":"Denver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72"/>
        <v>start /low /b %USERPROFILE%\Documents\GitHub\eaglep3\Utilities\DownloadLogsFromS3.py --loco 4043 --day 2017-08-25</v>
      </c>
      <c r="AN180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18:54:12"},{"id":29,"name":"Sharepoint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588</v>
      </c>
      <c r="B181" s="7">
        <v>4044</v>
      </c>
      <c r="C181" s="21" t="s">
        <v>197</v>
      </c>
      <c r="D181" s="21" t="s">
        <v>929</v>
      </c>
      <c r="E181" s="13">
        <v>42972.543900462966</v>
      </c>
      <c r="F181" s="13">
        <v>42972.556469907409</v>
      </c>
      <c r="G181" s="7">
        <v>14</v>
      </c>
      <c r="H181" s="21" t="s">
        <v>553</v>
      </c>
      <c r="I181" s="13">
        <v>42972.565648148149</v>
      </c>
      <c r="J181" s="7">
        <v>1</v>
      </c>
      <c r="K181" s="89" t="str">
        <f t="shared" si="60"/>
        <v>4043/4044</v>
      </c>
      <c r="L181" s="217" t="str">
        <f>VLOOKUP(A181,'Trips&amp;Operators'!$C$1:$G$99911,5,FALSE)</f>
        <v>DELGADO DIANAH</v>
      </c>
      <c r="M181" s="6">
        <f t="shared" si="61"/>
        <v>9.1782407398568466E-3</v>
      </c>
      <c r="N181" s="7">
        <f t="shared" si="83"/>
        <v>13.216666665393859</v>
      </c>
      <c r="O181" s="7"/>
      <c r="P181" s="7"/>
      <c r="Q181" s="22"/>
      <c r="R181" s="170"/>
      <c r="S181" s="213">
        <f t="shared" si="84"/>
        <v>1</v>
      </c>
      <c r="T181" s="195" t="str">
        <f t="shared" si="62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3"/>
        <v>https://d0f6bd738d7f1b3e5a7ca70fe4ff75f0.us-east-1.aws.found.io/app/kibana#/discover/Steve-Slow-Train-Analysis-(2080s-and-2083s)?_g=(refreshInterval:(display:Off,pause:!f,section:0,value:0),time:(from:'2017-08-25T12:03:13-0600',mode:absolute,to:'2017-08-25T14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1" s="197" t="str">
        <f>IF(AA181&lt;VLOOKUP(AG181,Variables!$AC$3:$AD$8,2,FALSE),"Y","N")</f>
        <v>N</v>
      </c>
      <c r="X181" s="197">
        <f t="shared" si="76"/>
        <v>1</v>
      </c>
      <c r="Y181" s="197">
        <f>RIGHT(D181,LEN(D181)-4)/10000</f>
        <v>9.7600000000000006E-2</v>
      </c>
      <c r="Z181" s="197">
        <f>RIGHT(H181,LEN(H181)-4)/10000</f>
        <v>5.8975999999999997</v>
      </c>
      <c r="AA181" s="197">
        <f t="shared" si="65"/>
        <v>5.8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6">
        <f t="shared" si="66"/>
        <v>821</v>
      </c>
      <c r="AE181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81" s="74" t="str">
        <f t="shared" si="68"/>
        <v>"C:\Program Files (x86)\AstroGrep\AstroGrep.exe" /e /r /s /spath="%USERPROFILE%\AppData\Local\Temp\OnboardLogs" /stypes="app*4044*20170825*" /stext=" 19:.+((SYSTEM_STATE.+slice.+state.+changed )|(ment ac)|(multiple cpu faults)|(system.+state.+changed )|(\[timeout)|(PRM\|1\|D)|(kpr)|(kdp)|(train st.+moving)|(\|lc)|(penalty))"</v>
      </c>
      <c r="AG181" s="209" t="str">
        <f t="shared" si="69"/>
        <v>NW</v>
      </c>
      <c r="AH181" s="78" t="str">
        <f t="shared" si="70"/>
        <v>"%USERPROFILE%\Documents\GitHub\eaglep3\Utilities\RefineRTDCRunTimes.py" --tripid 821-25 --locoid 4044 --swversion DE.1.0.9.0 --startMP 204:976 --initTime 2017-08-25T13:03:13 --startdatetime 2017-08-25T13:21:19 --delay 14 --endMP 300:58976 --enddatetime 2017-08-25T13:34:32 --enforcementcount 1 &gt;&gt;C:\Users\stu\Documents\GitHub\eaglep3-reporting\EC\2017-08-25-refined-times.txt</v>
      </c>
      <c r="AI181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{"issue":{"subject":"","project_id":79,"tracker_id":40,"status_id":1,"priority_id":2,"assigned_to_id":23,"start_date":"2017-08-25","description":"","custom_fields":[{"id":1,"name":"Subdivision","value":"NW"},{"id":4,"name":"Milepost","value":"5.8976"},{"id":17,"name":"Train ID","value":"821-25"},{"id":16,"name":"Locomotive ID","value":"4044"},{"id":130,"name":"Impact","value":""},{"id":150,"name":"Time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72"/>
        <v>start /low /b %USERPROFILE%\Documents\GitHub\eaglep3\Utilities\DownloadLogsFromS3.py --loco 4044 --day 2017-08-25</v>
      </c>
      <c r="AN181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19:34:32"},{"id":29,"name":"Sharepoint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715</v>
      </c>
      <c r="B182" s="7">
        <v>4043</v>
      </c>
      <c r="C182" s="21" t="s">
        <v>197</v>
      </c>
      <c r="D182" s="21" t="s">
        <v>930</v>
      </c>
      <c r="E182" s="13">
        <v>42972.566770833335</v>
      </c>
      <c r="F182" s="13">
        <v>42972.569201388891</v>
      </c>
      <c r="G182" s="7">
        <v>1</v>
      </c>
      <c r="H182" s="21" t="s">
        <v>931</v>
      </c>
      <c r="I182" s="13">
        <v>42972.579571759263</v>
      </c>
      <c r="J182" s="7">
        <v>1</v>
      </c>
      <c r="K182" s="89" t="str">
        <f t="shared" si="60"/>
        <v>4043/4044</v>
      </c>
      <c r="L182" s="217" t="str">
        <f>VLOOKUP(A182,'Trips&amp;Operators'!$C$1:$G$99911,5,FALSE)</f>
        <v>DELGADO DIANAH</v>
      </c>
      <c r="M182" s="6">
        <f t="shared" si="61"/>
        <v>1.0370370371674653E-2</v>
      </c>
      <c r="N182" s="7">
        <f t="shared" si="83"/>
        <v>14.933333335211501</v>
      </c>
      <c r="O182" s="7"/>
      <c r="P182" s="7"/>
      <c r="Q182" s="22"/>
      <c r="R182" s="170"/>
      <c r="S182" s="213">
        <f t="shared" si="84"/>
        <v>1</v>
      </c>
      <c r="T182" s="195" t="str">
        <f t="shared" si="62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3"/>
        <v>https://d0f6bd738d7f1b3e5a7ca70fe4ff75f0.us-east-1.aws.found.io/app/kibana#/discover/Steve-Slow-Train-Analysis-(2080s-and-2083s)?_g=(refreshInterval:(display:Off,pause:!f,section:0,value:0),time:(from:'2017-08-25T12:36:09-0600',mode:absolute,to:'2017-08-25T14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197" t="str">
        <f>IF(AA182&lt;VLOOKUP(AG182,Variables!$AC$3:$AD$8,2,FALSE),"Y","N")</f>
        <v>N</v>
      </c>
      <c r="X182" s="197">
        <f t="shared" si="76"/>
        <v>1</v>
      </c>
      <c r="Y182" s="197">
        <f>RIGHT(D182,LEN(D182)-4)/10000</f>
        <v>5.8658000000000001</v>
      </c>
      <c r="Z182" s="197">
        <f>RIGHT(H182,LEN(H182)-4)/10000</f>
        <v>6.3100000000000003E-2</v>
      </c>
      <c r="AA182" s="197">
        <f t="shared" si="65"/>
        <v>5.8026999999999997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6">
        <f t="shared" si="66"/>
        <v>822</v>
      </c>
      <c r="AE182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82" s="74" t="str">
        <f t="shared" si="68"/>
        <v>"C:\Program Files (x86)\AstroGrep\AstroGrep.exe" /e /r /s /spath="%USERPROFILE%\AppData\Local\Temp\OnboardLogs" /stypes="app*4043*20170825*" /stext=" 19:.+((SYSTEM_STATE.+slice.+state.+changed )|(ment ac)|(multiple cpu faults)|(system.+state.+changed )|(\[timeout)|(PRM\|1\|D)|(kpr)|(kdp)|(train st.+moving)|(\|lc)|(penalty))"</v>
      </c>
      <c r="AG182" s="209" t="str">
        <f t="shared" si="69"/>
        <v>NW</v>
      </c>
      <c r="AH182" s="78" t="str">
        <f t="shared" si="70"/>
        <v>"%USERPROFILE%\Documents\GitHub\eaglep3\Utilities\RefineRTDCRunTimes.py" --tripid 822-25 --locoid 4043 --swversion DE.1.0.9.0 --startMP 300:58658 --initTime 2017-08-25T13:36:09 --startdatetime 2017-08-25T13:39:39 --delay 1 --endMP 204:631 --enddatetime 2017-08-25T13:54:35 --enforcementcount 1 &gt;&gt;C:\Users\stu\Documents\GitHub\eaglep3-reporting\EC\2017-08-25-refined-times.txt</v>
      </c>
      <c r="AI182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{"issue":{"subject":"","project_id":79,"tracker_id":40,"status_id":1,"priority_id":2,"assigned_to_id":23,"start_date":"2017-08-25","description":"","custom_fields":[{"id":1,"name":"Subdivision","value":"NW"},{"id":4,"name":"Milepost","value":"0.0631"},{"id":17,"name":"Train ID","value":"822-25"},{"id":16,"name":"Locomotive ID","value":"4043"},{"id":130,"name":"Impact","value":""},{"id":150,"name":"Time of Event (Mountain Time)","value":"13:54:35"},{"id":151,"name":"Denver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72"/>
        <v>start /low /b %USERPROFILE%\Documents\GitHub\eaglep3\Utilities\DownloadLogsFromS3.py --loco 4043 --day 2017-08-25</v>
      </c>
      <c r="AN182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19:54:35"},{"id":29,"name":"Sharepoint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718</v>
      </c>
      <c r="B183" s="7">
        <v>4044</v>
      </c>
      <c r="C183" s="21" t="s">
        <v>197</v>
      </c>
      <c r="D183" s="21" t="s">
        <v>930</v>
      </c>
      <c r="E183" s="13">
        <v>42972.566770833335</v>
      </c>
      <c r="F183" s="13">
        <v>42972.598252314812</v>
      </c>
      <c r="G183" s="7">
        <v>1</v>
      </c>
      <c r="H183" s="21" t="s">
        <v>931</v>
      </c>
      <c r="I183" s="13">
        <v>42972.60728009259</v>
      </c>
      <c r="J183" s="7">
        <v>1</v>
      </c>
      <c r="K183" s="89" t="str">
        <f t="shared" si="60"/>
        <v>4043/4044</v>
      </c>
      <c r="L183" s="217" t="str">
        <f>VLOOKUP(A183,'Trips&amp;Operators'!$C$1:$G$99911,5,FALSE)</f>
        <v>DELGADO DIANAH</v>
      </c>
      <c r="M183" s="6">
        <f t="shared" si="61"/>
        <v>9.0277777781011537E-3</v>
      </c>
      <c r="N183" s="7">
        <f t="shared" si="83"/>
        <v>13.000000000465661</v>
      </c>
      <c r="O183" s="7"/>
      <c r="P183" s="7"/>
      <c r="Q183" s="22"/>
      <c r="R183" s="170" t="s">
        <v>991</v>
      </c>
      <c r="S183" s="213">
        <f t="shared" si="84"/>
        <v>1</v>
      </c>
      <c r="T183" s="195" t="str">
        <f t="shared" si="62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3"/>
        <v>https://d0f6bd738d7f1b3e5a7ca70fe4ff75f0.us-east-1.aws.found.io/app/kibana#/discover/Steve-Slow-Train-Analysis-(2080s-and-2083s)?_g=(refreshInterval:(display:Off,pause:!f,section:0,value:0),time:(from:'2017-08-25T12:36:09-0600',mode:absolute,to:'2017-08-25T15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197" t="str">
        <f>IF(AA183&lt;VLOOKUP(AG183,Variables!$AC$3:$AD$8,2,FALSE),"Y","N")</f>
        <v>N</v>
      </c>
      <c r="X183" s="197">
        <f t="shared" si="76"/>
        <v>1</v>
      </c>
      <c r="Y183" s="197">
        <v>9.7600000000000006E-2</v>
      </c>
      <c r="Z183" s="197">
        <v>5.8975999999999997</v>
      </c>
      <c r="AA183" s="197">
        <f t="shared" si="65"/>
        <v>5.8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6">
        <f t="shared" si="66"/>
        <v>823</v>
      </c>
      <c r="AE183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83" s="74" t="str">
        <f t="shared" si="68"/>
        <v>"C:\Program Files (x86)\AstroGrep\AstroGrep.exe" /e /r /s /spath="%USERPROFILE%\AppData\Local\Temp\OnboardLogs" /stypes="app*4044*20170825*" /stext=" 20:.+((SYSTEM_STATE.+slice.+state.+changed )|(ment ac)|(multiple cpu faults)|(system.+state.+changed )|(\[timeout)|(PRM\|1\|D)|(kpr)|(kdp)|(train st.+moving)|(\|lc)|(penalty))"</v>
      </c>
      <c r="AG183" s="209" t="str">
        <f t="shared" si="69"/>
        <v>NW</v>
      </c>
      <c r="AH183" s="78" t="str">
        <f t="shared" ref="AH183" si="89">refinertdcruntimes&amp;" --tripid "&amp;A183&amp;" --locoid "&amp;B183&amp;" --swversion "&amp;C183&amp;" --startMP "&amp;D183&amp;" --initTime "&amp;TEXT(E183,"yyyy-mm-ddTHH:MM:SS")&amp;" --startdatetime "&amp;TEXT(F183,"yyyy-mm-ddTHH:MM:SS")&amp;" --delay "&amp;G183&amp;" --endMP "&amp;H183&amp;" --enddatetime "&amp;TEXT(I183,"yyyy-mm-ddTHH:MM:SS")&amp;" --enforcementcount "&amp;J183&amp;IF(outputrefinedruntimes," &gt;&gt;"&amp;RefinedRTDCRunTimesOutputFile,"")</f>
        <v>"%USERPROFILE%\Documents\GitHub\eaglep3\Utilities\RefineRTDCRunTimes.py" --tripid 823-25 --locoid 4044 --swversion DE.1.0.9.0 --startMP 300:58658 --initTime 2017-08-25T13:36:09 --startdatetime 2017-08-25T14:21:29 --delay 1 --endMP 204:631 --enddatetime 2017-08-25T14:34:29 --enforcementcount 1 &gt;&gt;C:\Users\stu\Documents\GitHub\eaglep3-reporting\EC\2017-08-25-refined-times.txt</v>
      </c>
      <c r="AI183" s="96" t="str">
        <f t="shared" ref="AI183" si="90">"echo {""issue"":{""subject"":"""&amp;R183&amp;""",""project_id"":79,""tracker_id"":40,""status_id"":"&amp;redmine_status&amp;",""priority_id"":"&amp;redmine_priority&amp;",""assigned_to_id"":"&amp;redmine_assignee&amp;",""start_date"":"""&amp;TEXT(I183,"YYYY-mm-dd")&amp;""",""description"":"""&amp;AJ183&amp;""",""custom_fields"":[{""id"":1,""name"":""Subdivision"",""value"":"""&amp;AG183&amp;"""},{""id"":4,""name"":""Milepost"",""value"":"""&amp;Z183&amp;"""},{""id"":17,""name"":""Train ID"",""value"":"""&amp;A183&amp;"""},{""id"":16,""name"":""Locomotive ID"",""value"":"""&amp;B183&amp;"""},{""id"":130,""name"":""Impact"",""value"":"""&amp;AK183&amp;"""},{""id"":150,""name"":""Time of Event (Mountain Time)"",""value"":"""&amp;TEXT(I183,"hh:mm:ss")&amp;"""},{""id"":151,""name"":""Denver Issue ID"",""value"":"""&amp;"""},{""id"":178,""name"":""Operational Impact"",""value"":"""&amp;redmine_op_impact&amp;"""},{""id"":179,""name"":""Denver Segment Assigned"",""value"":"""&amp;AL183&amp;"""}]}}"&amp;" | curl -X POST -H ""Content-Type: application/json"" -H ""X-Redmine-API-Key: "&amp;redm_api_key&amp;""" "&amp;redm_url&amp;" --data @-"</f>
        <v>echo {"issue":{"subject":"Delayed by reverser not in forward (52852)","project_id":79,"tracker_id":40,"status_id":1,"priority_id":2,"assigned_to_id":23,"start_date":"2017-08-25","description":"","custom_fields":[{"id":1,"name":"Subdivision","value":"NW"},{"id":4,"name":"Milepost","value":"5.8976"},{"id":17,"name":"Train ID","value":"823-25"},{"id":16,"name":"Locomotive ID","value":"4044"},{"id":130,"name":"Impact","value":""},{"id":150,"name":"Time of Event (Mountain Time)","value":"14:34:29"},{"id":151,"name":"Denver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ref="AM183" si="91">"start /low /b "&amp;dls3logs&amp;" --loco "&amp;B183&amp;" --day "&amp;TEXT(F183,"YYYY-MM-DD")</f>
        <v>start /low /b %USERPROFILE%\Documents\GitHub\eaglep3\Utilities\DownloadLogsFromS3.py --loco 4044 --day 2017-08-25</v>
      </c>
      <c r="AN183" s="151" t="str">
        <f t="shared" ref="AN183" si="92">"echo {""issue"":{""subject"":"""&amp;R183&amp;""",""project_id"":30,""tracker_id"":4,""status_id"":"&amp;redmine_status_wcr&amp;",""priority_id"":"&amp;redmine_priority_wcr&amp;",""assigned_to_id"":"&amp;redmine_assignee_wcr&amp;",""start_date"":"""&amp;TEXT(I183-utc_offset/24,"YYYY-mm-dd")&amp;""",""description"":"""&amp;AJ183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reverser not in forward (52852)","project_id":30,"tracker_id":4,"status_id":1,"priority_id":1,"assigned_to_id":10,"start_date":"2017-08-25","description":"","custom_fields":[{"id":30,"name":"Category","value":"Issue"},{"id":3,"name":"Functional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20:34:29"},{"id":29,"name":"Sharepoint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724</v>
      </c>
      <c r="B184" s="7">
        <v>4043</v>
      </c>
      <c r="C184" s="21" t="s">
        <v>197</v>
      </c>
      <c r="D184" s="21" t="s">
        <v>932</v>
      </c>
      <c r="E184" s="13">
        <v>42972.608657407407</v>
      </c>
      <c r="F184" s="13">
        <v>42972.610509259262</v>
      </c>
      <c r="G184" s="7">
        <v>1</v>
      </c>
      <c r="H184" s="21" t="s">
        <v>933</v>
      </c>
      <c r="I184" s="13">
        <v>42972.621145833335</v>
      </c>
      <c r="J184" s="7">
        <v>1</v>
      </c>
      <c r="K184" s="89" t="str">
        <f t="shared" si="60"/>
        <v>4043/4044</v>
      </c>
      <c r="L184" s="217" t="str">
        <f>VLOOKUP(A184,'Trips&amp;Operators'!$C$1:$G$99911,5,FALSE)</f>
        <v>DELGADO DIANAH</v>
      </c>
      <c r="M184" s="6">
        <f t="shared" si="61"/>
        <v>1.063657407212304E-2</v>
      </c>
      <c r="N184" s="7">
        <f t="shared" si="83"/>
        <v>15.316666663857177</v>
      </c>
      <c r="O184" s="7"/>
      <c r="P184" s="7"/>
      <c r="Q184" s="22"/>
      <c r="R184" s="170"/>
      <c r="S184" s="213">
        <f t="shared" si="84"/>
        <v>1</v>
      </c>
      <c r="T184" s="195" t="str">
        <f t="shared" si="62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3"/>
        <v>https://d0f6bd738d7f1b3e5a7ca70fe4ff75f0.us-east-1.aws.found.io/app/kibana#/discover/Steve-Slow-Train-Analysis-(2080s-and-2083s)?_g=(refreshInterval:(display:Off,pause:!f,section:0,value:0),time:(from:'2017-08-25T13:36:28-0600',mode:absolute,to:'2017-08-25T15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197" t="str">
        <f>IF(AA184&lt;VLOOKUP(AG184,Variables!$AC$3:$AD$8,2,FALSE),"Y","N")</f>
        <v>N</v>
      </c>
      <c r="X184" s="197">
        <f t="shared" si="76"/>
        <v>1</v>
      </c>
      <c r="Y184" s="197">
        <f>RIGHT(D184,LEN(D184)-4)/10000</f>
        <v>5.8677000000000001</v>
      </c>
      <c r="Z184" s="197">
        <f>RIGHT(H184,LEN(H184)-4)/10000</f>
        <v>6.54E-2</v>
      </c>
      <c r="AA184" s="197">
        <f t="shared" si="65"/>
        <v>5.8022999999999998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6">
        <f t="shared" si="66"/>
        <v>824</v>
      </c>
      <c r="AE184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84" s="74" t="str">
        <f t="shared" si="68"/>
        <v>"C:\Program Files (x86)\AstroGrep\AstroGrep.exe" /e /r /s /spath="%USERPROFILE%\AppData\Local\Temp\OnboardLogs" /stypes="app*4043*20170825*" /stext=" 20:.+((SYSTEM_STATE.+slice.+state.+changed )|(ment ac)|(multiple cpu faults)|(system.+state.+changed )|(\[timeout)|(PRM\|1\|D)|(kpr)|(kdp)|(train st.+moving)|(\|lc)|(penalty))"</v>
      </c>
      <c r="AG184" s="209" t="str">
        <f t="shared" si="69"/>
        <v>NW</v>
      </c>
      <c r="AH184" s="78" t="str">
        <f t="shared" si="70"/>
        <v>"%USERPROFILE%\Documents\GitHub\eaglep3\Utilities\RefineRTDCRunTimes.py" --tripid 824-25 --locoid 4043 --swversion DE.1.0.9.0 --startMP 300:58677 --initTime 2017-08-25T14:36:28 --startdatetime 2017-08-25T14:39:08 --delay 1 --endMP 204:654 --enddatetime 2017-08-25T14:54:27 --enforcementcount 1 &gt;&gt;C:\Users\stu\Documents\GitHub\eaglep3-reporting\EC\2017-08-25-refined-times.txt</v>
      </c>
      <c r="AI184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{"issue":{"subject":"","project_id":79,"tracker_id":40,"status_id":1,"priority_id":2,"assigned_to_id":23,"start_date":"2017-08-25","description":"","custom_fields":[{"id":1,"name":"Subdivision","value":"NW"},{"id":4,"name":"Milepost","value":"0.0654"},{"id":17,"name":"Train ID","value":"824-25"},{"id":16,"name":"Locomotive ID","value":"4043"},{"id":130,"name":"Impact","value":""},{"id":150,"name":"Time of Event (Mountain Time)","value":"14:54:27"},{"id":151,"name":"Denver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72"/>
        <v>start /low /b %USERPROFILE%\Documents\GitHub\eaglep3\Utilities\DownloadLogsFromS3.py --loco 4043 --day 2017-08-25</v>
      </c>
      <c r="AN184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20:54:27"},{"id":29,"name":"Sharepoint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728</v>
      </c>
      <c r="B185" s="7">
        <v>4044</v>
      </c>
      <c r="C185" s="21" t="s">
        <v>197</v>
      </c>
      <c r="D185" s="21" t="s">
        <v>932</v>
      </c>
      <c r="E185" s="13">
        <v>42972.608657407407</v>
      </c>
      <c r="F185" s="13">
        <v>42972.639803240738</v>
      </c>
      <c r="G185" s="7">
        <v>1</v>
      </c>
      <c r="H185" s="21" t="s">
        <v>933</v>
      </c>
      <c r="I185" s="13">
        <v>42972.648865740739</v>
      </c>
      <c r="J185" s="7">
        <v>1</v>
      </c>
      <c r="K185" s="89" t="str">
        <f t="shared" si="60"/>
        <v>4043/4044</v>
      </c>
      <c r="L185" s="217" t="str">
        <f>VLOOKUP(A185,'Trips&amp;Operators'!$C$1:$G$99911,5,FALSE)</f>
        <v>DELGADO DIANAH</v>
      </c>
      <c r="M185" s="6">
        <f t="shared" si="61"/>
        <v>9.0625000011641532E-3</v>
      </c>
      <c r="N185" s="7">
        <f t="shared" si="83"/>
        <v>13.050000001676381</v>
      </c>
      <c r="O185" s="7"/>
      <c r="P185" s="7"/>
      <c r="Q185" s="22"/>
      <c r="R185" s="170"/>
      <c r="S185" s="213">
        <f t="shared" si="84"/>
        <v>1</v>
      </c>
      <c r="T185" s="195" t="str">
        <f t="shared" si="62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3"/>
        <v>https://d0f6bd738d7f1b3e5a7ca70fe4ff75f0.us-east-1.aws.found.io/app/kibana#/discover/Steve-Slow-Train-Analysis-(2080s-and-2083s)?_g=(refreshInterval:(display:Off,pause:!f,section:0,value:0),time:(from:'2017-08-25T13:36:28-0600',mode:absolute,to:'2017-08-25T16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197" t="str">
        <f>IF(AA185&lt;VLOOKUP(AG185,Variables!$AC$3:$AD$8,2,FALSE),"Y","N")</f>
        <v>N</v>
      </c>
      <c r="X185" s="197">
        <f t="shared" si="76"/>
        <v>1</v>
      </c>
      <c r="Y185" s="197">
        <v>9.7600000000000006E-2</v>
      </c>
      <c r="Z185" s="197">
        <v>5.8975999999999997</v>
      </c>
      <c r="AA185" s="197">
        <f t="shared" si="65"/>
        <v>5.8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6">
        <f t="shared" si="66"/>
        <v>825</v>
      </c>
      <c r="AE185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85" s="74" t="str">
        <f t="shared" si="68"/>
        <v>"C:\Program Files (x86)\AstroGrep\AstroGrep.exe" /e /r /s /spath="%USERPROFILE%\AppData\Local\Temp\OnboardLogs" /stypes="app*4044*20170825*" /stext=" 21:.+((SYSTEM_STATE.+slice.+state.+changed )|(ment ac)|(multiple cpu faults)|(system.+state.+changed )|(\[timeout)|(PRM\|1\|D)|(kpr)|(kdp)|(train st.+moving)|(\|lc)|(penalty))"</v>
      </c>
      <c r="AG185" s="209" t="str">
        <f t="shared" si="69"/>
        <v>NW</v>
      </c>
      <c r="AH185" s="78" t="str">
        <f t="shared" ref="AH185" si="93"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825-25 --locoid 4044 --swversion DE.1.0.9.0 --startMP 300:58677 --initTime 2017-08-25T14:36:28 --startdatetime 2017-08-25T15:21:19 --delay 1 --endMP 204:654 --enddatetime 2017-08-25T15:34:22 --enforcementcount 1 &gt;&gt;C:\Users\stu\Documents\GitHub\eaglep3-reporting\EC\2017-08-25-refined-times.txt</v>
      </c>
      <c r="AI185" s="96" t="str">
        <f t="shared" ref="AI185" si="94"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{"issue":{"subject":"","project_id":79,"tracker_id":40,"status_id":1,"priority_id":2,"assigned_to_id":23,"start_date":"2017-08-25","description":"","custom_fields":[{"id":1,"name":"Subdivision","value":"NW"},{"id":4,"name":"Milepost","value":"5.8976"},{"id":17,"name":"Train ID","value":"825-25"},{"id":16,"name":"Locomotive ID","value":"4044"},{"id":130,"name":"Impact","value":""},{"id":150,"name":"Time of Event (Mountain Time)","value":"15:34:22"},{"id":151,"name":"Denver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ref="AM185" si="95">"start /low /b "&amp;dls3logs&amp;" --loco "&amp;B185&amp;" --day "&amp;TEXT(F185,"YYYY-MM-DD")</f>
        <v>start /low /b %USERPROFILE%\Documents\GitHub\eaglep3\Utilities\DownloadLogsFromS3.py --loco 4044 --day 2017-08-25</v>
      </c>
      <c r="AN185" s="151" t="str">
        <f t="shared" ref="AN185" si="96"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21:34:22"},{"id":29,"name":"Sharepoint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2" t="s">
        <v>735</v>
      </c>
      <c r="B186" s="7">
        <v>4043</v>
      </c>
      <c r="C186" s="21" t="s">
        <v>197</v>
      </c>
      <c r="D186" s="21" t="s">
        <v>555</v>
      </c>
      <c r="E186" s="13">
        <v>42972.65016203704</v>
      </c>
      <c r="F186" s="13">
        <v>42972.652187500003</v>
      </c>
      <c r="G186" s="7">
        <v>1</v>
      </c>
      <c r="H186" s="21" t="s">
        <v>558</v>
      </c>
      <c r="I186" s="13">
        <v>42972.663518518515</v>
      </c>
      <c r="J186" s="7">
        <v>1</v>
      </c>
      <c r="K186" s="89" t="str">
        <f t="shared" si="60"/>
        <v>4043/4044</v>
      </c>
      <c r="L186" s="217" t="str">
        <f>VLOOKUP(A186,'Trips&amp;Operators'!$C$1:$G$99911,5,FALSE)</f>
        <v>DELGADO DIANAH</v>
      </c>
      <c r="M186" s="6">
        <f t="shared" si="61"/>
        <v>1.1331018511555158E-2</v>
      </c>
      <c r="N186" s="7">
        <f t="shared" si="83"/>
        <v>16.316666656639427</v>
      </c>
      <c r="O186" s="7"/>
      <c r="P186" s="7"/>
      <c r="Q186" s="22"/>
      <c r="R186" s="170"/>
      <c r="S186" s="213">
        <f t="shared" si="84"/>
        <v>1</v>
      </c>
      <c r="T186" s="195" t="str">
        <f t="shared" si="62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3"/>
        <v>https://d0f6bd738d7f1b3e5a7ca70fe4ff75f0.us-east-1.aws.found.io/app/kibana#/discover/Steve-Slow-Train-Analysis-(2080s-and-2083s)?_g=(refreshInterval:(display:Off,pause:!f,section:0,value:0),time:(from:'2017-08-25T14:36:14-0600',mode:absolute,to:'2017-08-25T16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197" t="str">
        <f>IF(AA186&lt;VLOOKUP(AG186,Variables!$AC$3:$AD$8,2,FALSE),"Y","N")</f>
        <v>N</v>
      </c>
      <c r="X186" s="197">
        <f t="shared" si="76"/>
        <v>1</v>
      </c>
      <c r="Y186" s="197">
        <f t="shared" ref="Y186:Y217" si="97">RIGHT(D186,LEN(D186)-4)/10000</f>
        <v>5.8620999999999999</v>
      </c>
      <c r="Z186" s="197">
        <f t="shared" ref="Z186:Z217" si="98">RIGHT(H186,LEN(H186)-4)/10000</f>
        <v>6.7299999999999999E-2</v>
      </c>
      <c r="AA186" s="197">
        <f t="shared" si="65"/>
        <v>5.7947999999999995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6">
        <f t="shared" si="66"/>
        <v>826</v>
      </c>
      <c r="AE186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86" s="74" t="str">
        <f t="shared" si="68"/>
        <v>"C:\Program Files (x86)\AstroGrep\AstroGrep.exe" /e /r /s /spath="%USERPROFILE%\AppData\Local\Temp\OnboardLogs" /stypes="app*4043*20170825*" /stext=" 21:.+((SYSTEM_STATE.+slice.+state.+changed )|(ment ac)|(multiple cpu faults)|(system.+state.+changed )|(\[timeout)|(PRM\|1\|D)|(kpr)|(kdp)|(train st.+moving)|(\|lc)|(penalty))"</v>
      </c>
      <c r="AG186" s="209" t="str">
        <f t="shared" si="69"/>
        <v>NW</v>
      </c>
      <c r="AH186" s="78" t="str">
        <f t="shared" si="70"/>
        <v>"%USERPROFILE%\Documents\GitHub\eaglep3\Utilities\RefineRTDCRunTimes.py" --tripid 826-25 --locoid 4043 --swversion DE.1.0.9.0 --startMP 300:58621 --initTime 2017-08-25T15:36:14 --startdatetime 2017-08-25T15:39:09 --delay 1 --endMP 204:673 --enddatetime 2017-08-25T15:55:28 --enforcementcount 1 &gt;&gt;C:\Users\stu\Documents\GitHub\eaglep3-reporting\EC\2017-08-25-refined-times.txt</v>
      </c>
      <c r="AI186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{"issue":{"subject":"","project_id":79,"tracker_id":40,"status_id":1,"priority_id":2,"assigned_to_id":23,"start_date":"2017-08-25","description":"","custom_fields":[{"id":1,"name":"Subdivision","value":"NW"},{"id":4,"name":"Milepost","value":"0.0673"},{"id":17,"name":"Train ID","value":"826-25"},{"id":16,"name":"Locomotive ID","value":"4043"},{"id":130,"name":"Impact","value":""},{"id":150,"name":"Time of Event (Mountain Time)","value":"15:55:28"},{"id":151,"name":"Denver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2"/>
        <v>start /low /b %USERPROFILE%\Documents\GitHub\eaglep3\Utilities\DownloadLogsFromS3.py --loco 4043 --day 2017-08-25</v>
      </c>
      <c r="AN186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21:55:28"},{"id":29,"name":"Sharepoint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737</v>
      </c>
      <c r="B187" s="7">
        <v>4054</v>
      </c>
      <c r="C187" s="21" t="s">
        <v>197</v>
      </c>
      <c r="D187" s="21" t="s">
        <v>929</v>
      </c>
      <c r="E187" s="13">
        <v>42972.65797453704</v>
      </c>
      <c r="F187" s="13">
        <v>42972.660671296297</v>
      </c>
      <c r="G187" s="7">
        <v>1</v>
      </c>
      <c r="H187" s="21" t="s">
        <v>934</v>
      </c>
      <c r="I187" s="13">
        <v>42972.670682870368</v>
      </c>
      <c r="J187" s="7">
        <v>1</v>
      </c>
      <c r="K187" s="89" t="str">
        <f t="shared" si="60"/>
        <v>4053/4054</v>
      </c>
      <c r="L187" s="217" t="str">
        <f>VLOOKUP(A187,'Trips&amp;Operators'!$C$1:$G$99911,5,FALSE)</f>
        <v>MCREYNOLDS KYLE</v>
      </c>
      <c r="M187" s="6">
        <f t="shared" si="61"/>
        <v>1.0011574071540963E-2</v>
      </c>
      <c r="N187" s="7">
        <f t="shared" si="83"/>
        <v>14.416666663018987</v>
      </c>
      <c r="O187" s="7"/>
      <c r="P187" s="7"/>
      <c r="Q187" s="22"/>
      <c r="R187" s="170"/>
      <c r="S187" s="213">
        <f t="shared" si="84"/>
        <v>1</v>
      </c>
      <c r="T187" s="195" t="str">
        <f t="shared" si="62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3"/>
        <v>https://d0f6bd738d7f1b3e5a7ca70fe4ff75f0.us-east-1.aws.found.io/app/kibana#/discover/Steve-Slow-Train-Analysis-(2080s-and-2083s)?_g=(refreshInterval:(display:Off,pause:!f,section:0,value:0),time:(from:'2017-08-25T14:47:29-0600',mode:absolute,to:'2017-08-25T17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7" s="197" t="str">
        <f>IF(AA187&lt;VLOOKUP(AG187,Variables!$AC$3:$AD$8,2,FALSE),"Y","N")</f>
        <v>N</v>
      </c>
      <c r="X187" s="197">
        <f t="shared" si="76"/>
        <v>1</v>
      </c>
      <c r="Y187" s="197">
        <f t="shared" si="97"/>
        <v>9.7600000000000006E-2</v>
      </c>
      <c r="Z187" s="197">
        <f t="shared" si="98"/>
        <v>5.8949999999999996</v>
      </c>
      <c r="AA187" s="197">
        <f t="shared" si="65"/>
        <v>5.7973999999999997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6">
        <f t="shared" si="66"/>
        <v>827</v>
      </c>
      <c r="AE187" s="77" t="str">
        <f t="shared" si="67"/>
        <v>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 &amp; aws s3 cp s3://rtdc.mdm.uploadarchive.raw/RTDC4054/ "%USERPROFILE%\AppData\Local\Temp\OnboardLogs"\RTDC4054\2017-08-26 --exclude "*" --recursive --include "*20170826*" &amp; "%USERPROFILE%\Documents\GitHub\mrs-test-scripts\Headless Mode &amp; Sideloading\WalkAndUnGZ.bat" "%USERPROFILE%\AppData\Local\Temp\OnboardLogs"\RTDC4054\2017-08-26</v>
      </c>
      <c r="AF187" s="74" t="str">
        <f t="shared" si="68"/>
        <v>"C:\Program Files (x86)\AstroGrep\AstroGrep.exe" /e /r /s /spath="%USERPROFILE%\AppData\Local\Temp\OnboardLogs" /stypes="app*4054*20170825*" /stext=" 22:.+((SYSTEM_STATE.+slice.+state.+changed )|(ment ac)|(multiple cpu faults)|(system.+state.+changed )|(\[timeout)|(PRM\|1\|D)|(kpr)|(kdp)|(train st.+moving)|(\|lc)|(penalty))"</v>
      </c>
      <c r="AG187" s="209" t="str">
        <f t="shared" si="69"/>
        <v>NW</v>
      </c>
      <c r="AH187" s="78" t="str">
        <f t="shared" si="70"/>
        <v>"%USERPROFILE%\Documents\GitHub\eaglep3\Utilities\RefineRTDCRunTimes.py" --tripid 827-25 --locoid 4054 --swversion DE.1.0.9.0 --startMP 204:976 --initTime 2017-08-25T15:47:29 --startdatetime 2017-08-25T15:51:22 --delay 1 --endMP 300:58950 --enddatetime 2017-08-25T16:05:47 --enforcementcount 1 &gt;&gt;C:\Users\stu\Documents\GitHub\eaglep3-reporting\EC\2017-08-25-refined-times.txt</v>
      </c>
      <c r="AI187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{"issue":{"subject":"","project_id":79,"tracker_id":40,"status_id":1,"priority_id":2,"assigned_to_id":23,"start_date":"2017-08-25","description":"","custom_fields":[{"id":1,"name":"Subdivision","value":"NW"},{"id":4,"name":"Milepost","value":"5.895"},{"id":17,"name":"Train ID","value":"827-25"},{"id":16,"name":"Locomotive ID","value":"4054"},{"id":130,"name":"Impact","value":""},{"id":150,"name":"Time of Event (Mountain Time)","value":"16:05:47"},{"id":151,"name":"Denver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72"/>
        <v>start /low /b %USERPROFILE%\Documents\GitHub\eaglep3\Utilities\DownloadLogsFromS3.py --loco 4054 --day 2017-08-25</v>
      </c>
      <c r="AN187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743</v>
      </c>
      <c r="B188" s="7">
        <v>4053</v>
      </c>
      <c r="C188" s="21" t="s">
        <v>197</v>
      </c>
      <c r="D188" s="21" t="s">
        <v>935</v>
      </c>
      <c r="E188" s="13">
        <v>42972.672210648147</v>
      </c>
      <c r="F188" s="13">
        <v>42972.674513888887</v>
      </c>
      <c r="G188" s="7">
        <v>1</v>
      </c>
      <c r="H188" s="21" t="s">
        <v>561</v>
      </c>
      <c r="I188" s="13">
        <v>42972.684745370374</v>
      </c>
      <c r="J188" s="7">
        <v>1</v>
      </c>
      <c r="K188" s="89" t="str">
        <f t="shared" si="60"/>
        <v>4053/4054</v>
      </c>
      <c r="L188" s="217" t="str">
        <f>VLOOKUP(A188,'Trips&amp;Operators'!$C$1:$G$99911,5,FALSE)</f>
        <v>MCREYNOLDS KYLE</v>
      </c>
      <c r="M188" s="6">
        <f t="shared" si="61"/>
        <v>1.0231481486698613E-2</v>
      </c>
      <c r="N188" s="7">
        <f t="shared" si="83"/>
        <v>14.733333340846002</v>
      </c>
      <c r="O188" s="7"/>
      <c r="P188" s="7"/>
      <c r="Q188" s="22"/>
      <c r="R188" s="170"/>
      <c r="S188" s="213">
        <f t="shared" si="84"/>
        <v>1</v>
      </c>
      <c r="T188" s="195" t="str">
        <f t="shared" si="62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3"/>
        <v>https://d0f6bd738d7f1b3e5a7ca70fe4ff75f0.us-east-1.aws.found.io/app/kibana#/discover/Steve-Slow-Train-Analysis-(2080s-and-2083s)?_g=(refreshInterval:(display:Off,pause:!f,section:0,value:0),time:(from:'2017-08-25T15:07:59-0600',mode:absolute,to:'2017-08-25T17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8" s="197" t="str">
        <f>IF(AA188&lt;VLOOKUP(AG188,Variables!$AC$3:$AD$8,2,FALSE),"Y","N")</f>
        <v>N</v>
      </c>
      <c r="X188" s="197">
        <f t="shared" si="76"/>
        <v>1</v>
      </c>
      <c r="Y188" s="197">
        <f t="shared" si="97"/>
        <v>5.8632</v>
      </c>
      <c r="Z188" s="197">
        <f t="shared" si="98"/>
        <v>6.8900000000000003E-2</v>
      </c>
      <c r="AA188" s="197">
        <f t="shared" si="65"/>
        <v>5.7942999999999998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6">
        <f t="shared" si="66"/>
        <v>828</v>
      </c>
      <c r="AE188" s="77" t="str">
        <f t="shared" si="67"/>
        <v>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 &amp; aws s3 cp s3://rtdc.mdm.uploadarchive.raw/RTDC4053/ "%USERPROFILE%\AppData\Local\Temp\OnboardLogs"\RTDC4053\2017-08-26 --exclude "*" --recursive --include "*20170826*" &amp; "%USERPROFILE%\Documents\GitHub\mrs-test-scripts\Headless Mode &amp; Sideloading\WalkAndUnGZ.bat" "%USERPROFILE%\AppData\Local\Temp\OnboardLogs"\RTDC4053\2017-08-26</v>
      </c>
      <c r="AF188" s="74" t="str">
        <f t="shared" si="68"/>
        <v>"C:\Program Files (x86)\AstroGrep\AstroGrep.exe" /e /r /s /spath="%USERPROFILE%\AppData\Local\Temp\OnboardLogs" /stypes="app*4053*20170825*" /stext=" 22:.+((SYSTEM_STATE.+slice.+state.+changed )|(ment ac)|(multiple cpu faults)|(system.+state.+changed )|(\[timeout)|(PRM\|1\|D)|(kpr)|(kdp)|(train st.+moving)|(\|lc)|(penalty))"</v>
      </c>
      <c r="AG188" s="209" t="str">
        <f t="shared" si="69"/>
        <v>NW</v>
      </c>
      <c r="AH188" s="78" t="str">
        <f t="shared" si="70"/>
        <v>"%USERPROFILE%\Documents\GitHub\eaglep3\Utilities\RefineRTDCRunTimes.py" --tripid 828-25 --locoid 4053 --swversion DE.1.0.9.0 --startMP 300:58632 --initTime 2017-08-25T16:07:59 --startdatetime 2017-08-25T16:11:18 --delay 1 --endMP 204:689 --enddatetime 2017-08-25T16:26:02 --enforcementcount 1 &gt;&gt;C:\Users\stu\Documents\GitHub\eaglep3-reporting\EC\2017-08-25-refined-times.txt</v>
      </c>
      <c r="AI188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{"issue":{"subject":"","project_id":79,"tracker_id":40,"status_id":1,"priority_id":2,"assigned_to_id":23,"start_date":"2017-08-25","description":"","custom_fields":[{"id":1,"name":"Subdivision","value":"NW"},{"id":4,"name":"Milepost","value":"0.0689"},{"id":17,"name":"Train ID","value":"828-25"},{"id":16,"name":"Locomotive ID","value":"4053"},{"id":130,"name":"Impact","value":""},{"id":150,"name":"Time of Event (Mountain Time)","value":"16:26:02"},{"id":151,"name":"Denver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2"/>
        <v>start /low /b %USERPROFILE%\Documents\GitHub\eaglep3\Utilities\DownloadLogsFromS3.py --loco 4053 --day 2017-08-25</v>
      </c>
      <c r="AN188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741</v>
      </c>
      <c r="B189" s="7">
        <v>4044</v>
      </c>
      <c r="C189" s="21" t="s">
        <v>197</v>
      </c>
      <c r="D189" s="21" t="s">
        <v>936</v>
      </c>
      <c r="E189" s="13">
        <v>42972.667638888888</v>
      </c>
      <c r="F189" s="13">
        <v>42972.681701388887</v>
      </c>
      <c r="G189" s="7">
        <v>19</v>
      </c>
      <c r="H189" s="21" t="s">
        <v>937</v>
      </c>
      <c r="I189" s="13">
        <v>42972.691030092596</v>
      </c>
      <c r="J189" s="7">
        <v>1</v>
      </c>
      <c r="K189" s="89" t="str">
        <f t="shared" si="60"/>
        <v>4043/4044</v>
      </c>
      <c r="L189" s="217" t="str">
        <f>VLOOKUP(A189,'Trips&amp;Operators'!$C$1:$G$99911,5,FALSE)</f>
        <v>DELGADO DIANAH</v>
      </c>
      <c r="M189" s="6">
        <f t="shared" si="61"/>
        <v>9.3287037088884972E-3</v>
      </c>
      <c r="N189" s="7">
        <f t="shared" si="83"/>
        <v>13.433333340799436</v>
      </c>
      <c r="O189" s="7"/>
      <c r="P189" s="7"/>
      <c r="Q189" s="22"/>
      <c r="R189" s="170"/>
      <c r="S189" s="213">
        <f t="shared" si="84"/>
        <v>1</v>
      </c>
      <c r="T189" s="195" t="str">
        <f t="shared" si="62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3"/>
        <v>https://d0f6bd738d7f1b3e5a7ca70fe4ff75f0.us-east-1.aws.found.io/app/kibana#/discover/Steve-Slow-Train-Analysis-(2080s-and-2083s)?_g=(refreshInterval:(display:Off,pause:!f,section:0,value:0),time:(from:'2017-08-25T15:01:24-0600',mode:absolute,to:'2017-08-25T17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197" t="str">
        <f>IF(AA189&lt;VLOOKUP(AG189,Variables!$AC$3:$AD$8,2,FALSE),"Y","N")</f>
        <v>N</v>
      </c>
      <c r="X189" s="197">
        <f t="shared" si="76"/>
        <v>1</v>
      </c>
      <c r="Y189" s="197">
        <f t="shared" si="97"/>
        <v>9.5299999999999996E-2</v>
      </c>
      <c r="Z189" s="197">
        <f t="shared" si="98"/>
        <v>5.8940999999999999</v>
      </c>
      <c r="AA189" s="197">
        <f t="shared" si="65"/>
        <v>5.7988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6">
        <f t="shared" si="66"/>
        <v>829</v>
      </c>
      <c r="AE189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89" s="74" t="str">
        <f t="shared" si="68"/>
        <v>"C:\Program Files (x86)\AstroGrep\AstroGrep.exe" /e /r /s /spath="%USERPROFILE%\AppData\Local\Temp\OnboardLogs" /stypes="app*4044*20170825*" /stext=" 22:.+((SYSTEM_STATE.+slice.+state.+changed )|(ment ac)|(multiple cpu faults)|(system.+state.+changed )|(\[timeout)|(PRM\|1\|D)|(kpr)|(kdp)|(train st.+moving)|(\|lc)|(penalty))"</v>
      </c>
      <c r="AG189" s="209" t="str">
        <f t="shared" si="69"/>
        <v>NW</v>
      </c>
      <c r="AH189" s="78" t="str">
        <f t="shared" si="70"/>
        <v>"%USERPROFILE%\Documents\GitHub\eaglep3\Utilities\RefineRTDCRunTimes.py" --tripid 829-25 --locoid 4044 --swversion DE.1.0.9.0 --startMP 204:953 --initTime 2017-08-25T16:01:24 --startdatetime 2017-08-25T16:21:39 --delay 19 --endMP 300:58941 --enddatetime 2017-08-25T16:35:05 --enforcementcount 1 &gt;&gt;C:\Users\stu\Documents\GitHub\eaglep3-reporting\EC\2017-08-25-refined-times.txt</v>
      </c>
      <c r="AI189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{"issue":{"subject":"","project_id":79,"tracker_id":40,"status_id":1,"priority_id":2,"assigned_to_id":23,"start_date":"2017-08-25","description":"","custom_fields":[{"id":1,"name":"Subdivision","value":"NW"},{"id":4,"name":"Milepost","value":"5.8941"},{"id":17,"name":"Train ID","value":"829-25"},{"id":16,"name":"Locomotive ID","value":"4044"},{"id":130,"name":"Impact","value":""},{"id":150,"name":"Time of Event (Mountain Time)","value":"16:35:05"},{"id":151,"name":"Denver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2"/>
        <v>start /low /b %USERPROFILE%\Documents\GitHub\eaglep3\Utilities\DownloadLogsFromS3.py --loco 4044 --day 2017-08-25</v>
      </c>
      <c r="AN189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750</v>
      </c>
      <c r="B190" s="7">
        <v>4043</v>
      </c>
      <c r="C190" s="21" t="s">
        <v>197</v>
      </c>
      <c r="D190" s="21" t="s">
        <v>938</v>
      </c>
      <c r="E190" s="13">
        <v>42972.692071759258</v>
      </c>
      <c r="F190" s="13">
        <v>42972.693692129629</v>
      </c>
      <c r="G190" s="7">
        <v>1</v>
      </c>
      <c r="H190" s="21" t="s">
        <v>939</v>
      </c>
      <c r="I190" s="13">
        <v>42972.704861111109</v>
      </c>
      <c r="J190" s="7">
        <v>1</v>
      </c>
      <c r="K190" s="89" t="str">
        <f t="shared" si="60"/>
        <v>4043/4044</v>
      </c>
      <c r="L190" s="217" t="str">
        <f>VLOOKUP(A190,'Trips&amp;Operators'!$C$1:$G$99911,5,FALSE)</f>
        <v>DELGADO DIANAH</v>
      </c>
      <c r="M190" s="6">
        <f t="shared" si="61"/>
        <v>1.116898148029577E-2</v>
      </c>
      <c r="N190" s="7">
        <f t="shared" si="83"/>
        <v>16.083333331625909</v>
      </c>
      <c r="O190" s="7"/>
      <c r="P190" s="7"/>
      <c r="Q190" s="22"/>
      <c r="R190" s="170"/>
      <c r="S190" s="213">
        <f t="shared" si="84"/>
        <v>1</v>
      </c>
      <c r="T190" s="195" t="str">
        <f t="shared" si="62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3"/>
        <v>https://d0f6bd738d7f1b3e5a7ca70fe4ff75f0.us-east-1.aws.found.io/app/kibana#/discover/Steve-Slow-Train-Analysis-(2080s-and-2083s)?_g=(refreshInterval:(display:Off,pause:!f,section:0,value:0),time:(from:'2017-08-25T15:36:35-0600',mode:absolute,to:'2017-08-25T17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197" t="str">
        <f>IF(AA190&lt;VLOOKUP(AG190,Variables!$AC$3:$AD$8,2,FALSE),"Y","N")</f>
        <v>N</v>
      </c>
      <c r="X190" s="197">
        <f t="shared" si="76"/>
        <v>1</v>
      </c>
      <c r="Y190" s="197">
        <f t="shared" si="97"/>
        <v>5.8638000000000003</v>
      </c>
      <c r="Z190" s="197">
        <f t="shared" si="98"/>
        <v>6.7000000000000004E-2</v>
      </c>
      <c r="AA190" s="197">
        <f t="shared" si="65"/>
        <v>5.7968000000000002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6">
        <f t="shared" si="66"/>
        <v>830</v>
      </c>
      <c r="AE190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90" s="74" t="str">
        <f t="shared" si="68"/>
        <v>"C:\Program Files (x86)\AstroGrep\AstroGrep.exe" /e /r /s /spath="%USERPROFILE%\AppData\Local\Temp\OnboardLogs" /stypes="app*4043*20170825*" /stext=" 22:.+((SYSTEM_STATE.+slice.+state.+changed )|(ment ac)|(multiple cpu faults)|(system.+state.+changed )|(\[timeout)|(PRM\|1\|D)|(kpr)|(kdp)|(train st.+moving)|(\|lc)|(penalty))"</v>
      </c>
      <c r="AG190" s="209" t="str">
        <f t="shared" si="69"/>
        <v>NW</v>
      </c>
      <c r="AH190" s="78" t="str">
        <f t="shared" si="70"/>
        <v>"%USERPROFILE%\Documents\GitHub\eaglep3\Utilities\RefineRTDCRunTimes.py" --tripid 830-25 --locoid 4043 --swversion DE.1.0.9.0 --startMP 300:58638 --initTime 2017-08-25T16:36:35 --startdatetime 2017-08-25T16:38:55 --delay 1 --endMP 204:670 --enddatetime 2017-08-25T16:55:00 --enforcementcount 1 &gt;&gt;C:\Users\stu\Documents\GitHub\eaglep3-reporting\EC\2017-08-25-refined-times.txt</v>
      </c>
      <c r="AI190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{"issue":{"subject":"","project_id":79,"tracker_id":40,"status_id":1,"priority_id":2,"assigned_to_id":23,"start_date":"2017-08-25","description":"","custom_fields":[{"id":1,"name":"Subdivision","value":"NW"},{"id":4,"name":"Milepost","value":"0.067"},{"id":17,"name":"Train ID","value":"830-25"},{"id":16,"name":"Locomotive ID","value":"4043"},{"id":130,"name":"Impact","value":""},{"id":150,"name":"Time of Event (Mountain Time)","value":"16:55:00"},{"id":151,"name":"Denver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72"/>
        <v>start /low /b %USERPROFILE%\Documents\GitHub\eaglep3\Utilities\DownloadLogsFromS3.py --loco 4043 --day 2017-08-25</v>
      </c>
      <c r="AN190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746</v>
      </c>
      <c r="B191" s="7">
        <v>4054</v>
      </c>
      <c r="C191" s="21" t="s">
        <v>197</v>
      </c>
      <c r="D191" s="21" t="s">
        <v>940</v>
      </c>
      <c r="E191" s="13">
        <v>42972.686909722222</v>
      </c>
      <c r="F191" s="13">
        <v>42972.702245370368</v>
      </c>
      <c r="G191" s="7">
        <v>1</v>
      </c>
      <c r="H191" s="21" t="s">
        <v>941</v>
      </c>
      <c r="I191" s="13">
        <v>42972.712719907409</v>
      </c>
      <c r="J191" s="7">
        <v>1</v>
      </c>
      <c r="K191" s="89" t="str">
        <f t="shared" si="60"/>
        <v>4053/4054</v>
      </c>
      <c r="L191" s="217" t="str">
        <f>VLOOKUP(A191,'Trips&amp;Operators'!$C$1:$G$99911,5,FALSE)</f>
        <v>MCREYNOLDS KYLE</v>
      </c>
      <c r="M191" s="6">
        <f t="shared" si="61"/>
        <v>1.0474537040863652E-2</v>
      </c>
      <c r="N191" s="7">
        <f t="shared" si="83"/>
        <v>15.083333338843659</v>
      </c>
      <c r="O191" s="7"/>
      <c r="P191" s="7"/>
      <c r="Q191" s="22"/>
      <c r="R191" s="170"/>
      <c r="S191" s="213">
        <f t="shared" si="84"/>
        <v>1</v>
      </c>
      <c r="T191" s="195" t="str">
        <f t="shared" si="62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3"/>
        <v>https://d0f6bd738d7f1b3e5a7ca70fe4ff75f0.us-east-1.aws.found.io/app/kibana#/discover/Steve-Slow-Train-Analysis-(2080s-and-2083s)?_g=(refreshInterval:(display:Off,pause:!f,section:0,value:0),time:(from:'2017-08-25T15:29:09-0600',mode:absolute,to:'2017-08-25T18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1" s="197" t="str">
        <f>IF(AA191&lt;VLOOKUP(AG191,Variables!$AC$3:$AD$8,2,FALSE),"Y","N")</f>
        <v>N</v>
      </c>
      <c r="X191" s="197">
        <f t="shared" si="76"/>
        <v>1</v>
      </c>
      <c r="Y191" s="197">
        <f t="shared" si="97"/>
        <v>0.1007</v>
      </c>
      <c r="Z191" s="197">
        <f t="shared" si="98"/>
        <v>5.8939000000000004</v>
      </c>
      <c r="AA191" s="197">
        <f t="shared" si="65"/>
        <v>5.7932000000000006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6">
        <f t="shared" si="66"/>
        <v>831</v>
      </c>
      <c r="AE191" s="77" t="str">
        <f t="shared" si="67"/>
        <v>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 &amp; aws s3 cp s3://rtdc.mdm.uploadarchive.raw/RTDC4054/ "%USERPROFILE%\AppData\Local\Temp\OnboardLogs"\RTDC4054\2017-08-26 --exclude "*" --recursive --include "*20170826*" &amp; "%USERPROFILE%\Documents\GitHub\mrs-test-scripts\Headless Mode &amp; Sideloading\WalkAndUnGZ.bat" "%USERPROFILE%\AppData\Local\Temp\OnboardLogs"\RTDC4054\2017-08-26</v>
      </c>
      <c r="AF191" s="74" t="str">
        <f t="shared" si="68"/>
        <v>"C:\Program Files (x86)\AstroGrep\AstroGrep.exe" /e /r /s /spath="%USERPROFILE%\AppData\Local\Temp\OnboardLogs" /stypes="app*4054*20170825*" /stext=" 23:.+((SYSTEM_STATE.+slice.+state.+changed )|(ment ac)|(multiple cpu faults)|(system.+state.+changed )|(\[timeout)|(PRM\|1\|D)|(kpr)|(kdp)|(train st.+moving)|(\|lc)|(penalty))"</v>
      </c>
      <c r="AG191" s="209" t="str">
        <f t="shared" si="69"/>
        <v>NW</v>
      </c>
      <c r="AH191" s="78" t="str">
        <f t="shared" si="70"/>
        <v>"%USERPROFILE%\Documents\GitHub\eaglep3\Utilities\RefineRTDCRunTimes.py" --tripid 831-25 --locoid 4054 --swversion DE.1.0.9.0 --startMP 204:1007 --initTime 2017-08-25T16:29:09 --startdatetime 2017-08-25T16:51:14 --delay 1 --endMP 300:58939 --enddatetime 2017-08-25T17:06:19 --enforcementcount 1 &gt;&gt;C:\Users\stu\Documents\GitHub\eaglep3-reporting\EC\2017-08-25-refined-times.txt</v>
      </c>
      <c r="AI191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{"issue":{"subject":"","project_id":79,"tracker_id":40,"status_id":1,"priority_id":2,"assigned_to_id":23,"start_date":"2017-08-25","description":"","custom_fields":[{"id":1,"name":"Subdivision","value":"NW"},{"id":4,"name":"Milepost","value":"5.8939"},{"id":17,"name":"Train ID","value":"831-25"},{"id":16,"name":"Locomotive ID","value":"4054"},{"id":130,"name":"Impact","value":""},{"id":150,"name":"Time of Event (Mountain Time)","value":"17:06:19"},{"id":151,"name":"Denver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2"/>
        <v>start /low /b %USERPROFILE%\Documents\GitHub\eaglep3\Utilities\DownloadLogsFromS3.py --loco 4054 --day 2017-08-25</v>
      </c>
      <c r="AN191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756</v>
      </c>
      <c r="B192" s="7">
        <v>4053</v>
      </c>
      <c r="C192" s="21" t="s">
        <v>197</v>
      </c>
      <c r="D192" s="21" t="s">
        <v>942</v>
      </c>
      <c r="E192" s="13">
        <v>42972.714074074072</v>
      </c>
      <c r="F192" s="13">
        <v>42972.716168981482</v>
      </c>
      <c r="G192" s="7">
        <v>0</v>
      </c>
      <c r="H192" s="21" t="s">
        <v>912</v>
      </c>
      <c r="I192" s="13">
        <v>42972.727002314816</v>
      </c>
      <c r="J192" s="7">
        <v>1</v>
      </c>
      <c r="K192" s="89" t="str">
        <f t="shared" si="60"/>
        <v>4053/4054</v>
      </c>
      <c r="L192" s="217" t="str">
        <f>VLOOKUP(A192,'Trips&amp;Operators'!$C$1:$G$99911,5,FALSE)</f>
        <v>MCREYNOLDS KYLE</v>
      </c>
      <c r="M192" s="6">
        <f t="shared" si="61"/>
        <v>1.0833333333721384E-2</v>
      </c>
      <c r="N192" s="7">
        <f t="shared" si="83"/>
        <v>15.600000000558794</v>
      </c>
      <c r="O192" s="7"/>
      <c r="P192" s="7"/>
      <c r="Q192" s="22"/>
      <c r="R192" s="170"/>
      <c r="S192" s="213">
        <f t="shared" si="84"/>
        <v>1</v>
      </c>
      <c r="T192" s="195" t="str">
        <f t="shared" si="62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3"/>
        <v>https://d0f6bd738d7f1b3e5a7ca70fe4ff75f0.us-east-1.aws.found.io/app/kibana#/discover/Steve-Slow-Train-Analysis-(2080s-and-2083s)?_g=(refreshInterval:(display:Off,pause:!f,section:0,value:0),time:(from:'2017-08-25T16:08:16-0600',mode:absolute,to:'2017-08-25T18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2" s="197" t="str">
        <f>IF(AA192&lt;VLOOKUP(AG192,Variables!$AC$3:$AD$8,2,FALSE),"Y","N")</f>
        <v>N</v>
      </c>
      <c r="X192" s="197">
        <f t="shared" si="76"/>
        <v>1</v>
      </c>
      <c r="Y192" s="197">
        <f t="shared" si="97"/>
        <v>5.8628</v>
      </c>
      <c r="Z192" s="197">
        <f t="shared" si="98"/>
        <v>7.0499999999999993E-2</v>
      </c>
      <c r="AA192" s="197">
        <f t="shared" si="65"/>
        <v>5.7923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6">
        <f t="shared" si="66"/>
        <v>832</v>
      </c>
      <c r="AE192" s="77" t="str">
        <f t="shared" si="67"/>
        <v>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 &amp; aws s3 cp s3://rtdc.mdm.uploadarchive.raw/RTDC4053/ "%USERPROFILE%\AppData\Local\Temp\OnboardLogs"\RTDC4053\2017-08-26 --exclude "*" --recursive --include "*20170826*" &amp; "%USERPROFILE%\Documents\GitHub\mrs-test-scripts\Headless Mode &amp; Sideloading\WalkAndUnGZ.bat" "%USERPROFILE%\AppData\Local\Temp\OnboardLogs"\RTDC4053\2017-08-26</v>
      </c>
      <c r="AF192" s="74" t="str">
        <f t="shared" si="68"/>
        <v>"C:\Program Files (x86)\AstroGrep\AstroGrep.exe" /e /r /s /spath="%USERPROFILE%\AppData\Local\Temp\OnboardLogs" /stypes="app*4053*20170825*" /stext=" 23:.+((SYSTEM_STATE.+slice.+state.+changed )|(ment ac)|(multiple cpu faults)|(system.+state.+changed )|(\[timeout)|(PRM\|1\|D)|(kpr)|(kdp)|(train st.+moving)|(\|lc)|(penalty))"</v>
      </c>
      <c r="AG192" s="209" t="str">
        <f t="shared" si="69"/>
        <v>NW</v>
      </c>
      <c r="AH192" s="78" t="str">
        <f t="shared" si="70"/>
        <v>"%USERPROFILE%\Documents\GitHub\eaglep3\Utilities\RefineRTDCRunTimes.py" --tripid 832-25 --locoid 4053 --swversion DE.1.0.9.0 --startMP 300:58628 --initTime 2017-08-25T17:08:16 --startdatetime 2017-08-25T17:11:17 --delay 0 --endMP 204:705 --enddatetime 2017-08-25T17:26:53 --enforcementcount 1 &gt;&gt;C:\Users\stu\Documents\GitHub\eaglep3-reporting\EC\2017-08-25-refined-times.txt</v>
      </c>
      <c r="AI192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{"issue":{"subject":"","project_id":79,"tracker_id":40,"status_id":1,"priority_id":2,"assigned_to_id":23,"start_date":"2017-08-25","description":"","custom_fields":[{"id":1,"name":"Subdivision","value":"NW"},{"id":4,"name":"Milepost","value":"0.0705"},{"id":17,"name":"Train ID","value":"832-25"},{"id":16,"name":"Locomotive ID","value":"4053"},{"id":130,"name":"Impact","value":""},{"id":150,"name":"Time of Event (Mountain Time)","value":"17:26:53"},{"id":151,"name":"Denver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2"/>
        <v>start /low /b %USERPROFILE%\Documents\GitHub\eaglep3\Utilities\DownloadLogsFromS3.py --loco 4053 --day 2017-08-25</v>
      </c>
      <c r="AN192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755</v>
      </c>
      <c r="B193" s="7">
        <v>4044</v>
      </c>
      <c r="C193" s="21" t="s">
        <v>197</v>
      </c>
      <c r="D193" s="21" t="s">
        <v>943</v>
      </c>
      <c r="E193" s="13">
        <v>42972.706064814818</v>
      </c>
      <c r="F193" s="13">
        <v>42972.723217592589</v>
      </c>
      <c r="G193" s="7">
        <v>19</v>
      </c>
      <c r="H193" s="21" t="s">
        <v>944</v>
      </c>
      <c r="I193" s="13">
        <v>42972.732592592591</v>
      </c>
      <c r="J193" s="7">
        <v>1</v>
      </c>
      <c r="K193" s="89" t="str">
        <f t="shared" si="60"/>
        <v>4043/4044</v>
      </c>
      <c r="L193" s="217" t="str">
        <f>VLOOKUP(A193,'Trips&amp;Operators'!$C$1:$G$99911,5,FALSE)</f>
        <v>DELGADO DIANAH</v>
      </c>
      <c r="M193" s="6">
        <f t="shared" si="61"/>
        <v>9.3750000014551915E-3</v>
      </c>
      <c r="N193" s="7">
        <f t="shared" si="83"/>
        <v>13.500000002095476</v>
      </c>
      <c r="O193" s="7"/>
      <c r="P193" s="7"/>
      <c r="Q193" s="22"/>
      <c r="R193" s="170"/>
      <c r="S193" s="213">
        <f t="shared" si="84"/>
        <v>1</v>
      </c>
      <c r="T193" s="195" t="str">
        <f t="shared" si="62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3"/>
        <v>https://d0f6bd738d7f1b3e5a7ca70fe4ff75f0.us-east-1.aws.found.io/app/kibana#/discover/Steve-Slow-Train-Analysis-(2080s-and-2083s)?_g=(refreshInterval:(display:Off,pause:!f,section:0,value:0),time:(from:'2017-08-25T15:56:44-0600',mode:absolute,to:'2017-08-25T18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197" t="str">
        <f>IF(AA193&lt;VLOOKUP(AG193,Variables!$AC$3:$AD$8,2,FALSE),"Y","N")</f>
        <v>N</v>
      </c>
      <c r="X193" s="197">
        <f t="shared" si="76"/>
        <v>1</v>
      </c>
      <c r="Y193" s="197">
        <f t="shared" si="97"/>
        <v>9.3700000000000006E-2</v>
      </c>
      <c r="Z193" s="197">
        <f t="shared" si="98"/>
        <v>5.8952</v>
      </c>
      <c r="AA193" s="197">
        <f t="shared" si="65"/>
        <v>5.8014999999999999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6">
        <f t="shared" si="66"/>
        <v>833</v>
      </c>
      <c r="AE193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93" s="74" t="str">
        <f t="shared" si="68"/>
        <v>"C:\Program Files (x86)\AstroGrep\AstroGrep.exe" /e /r /s /spath="%USERPROFILE%\AppData\Local\Temp\OnboardLogs" /stypes="app*4044*20170825*" /stext=" 23:.+((SYSTEM_STATE.+slice.+state.+changed )|(ment ac)|(multiple cpu faults)|(system.+state.+changed )|(\[timeout)|(PRM\|1\|D)|(kpr)|(kdp)|(train st.+moving)|(\|lc)|(penalty))"</v>
      </c>
      <c r="AG193" s="209" t="str">
        <f t="shared" si="69"/>
        <v>NW</v>
      </c>
      <c r="AH193" s="78" t="str">
        <f t="shared" si="70"/>
        <v>"%USERPROFILE%\Documents\GitHub\eaglep3\Utilities\RefineRTDCRunTimes.py" --tripid 833-25 --locoid 4044 --swversion DE.1.0.9.0 --startMP 204:937 --initTime 2017-08-25T16:56:44 --startdatetime 2017-08-25T17:21:26 --delay 19 --endMP 300:58952 --enddatetime 2017-08-25T17:34:56 --enforcementcount 1 &gt;&gt;C:\Users\stu\Documents\GitHub\eaglep3-reporting\EC\2017-08-25-refined-times.txt</v>
      </c>
      <c r="AI193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{"issue":{"subject":"","project_id":79,"tracker_id":40,"status_id":1,"priority_id":2,"assigned_to_id":23,"start_date":"2017-08-25","description":"","custom_fields":[{"id":1,"name":"Subdivision","value":"NW"},{"id":4,"name":"Milepost","value":"5.8952"},{"id":17,"name":"Train ID","value":"833-25"},{"id":16,"name":"Locomotive ID","value":"4044"},{"id":130,"name":"Impact","value":""},{"id":150,"name":"Time of Event (Mountain Time)","value":"17:34:56"},{"id":151,"name":"Denver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72"/>
        <v>start /low /b %USERPROFILE%\Documents\GitHub\eaglep3\Utilities\DownloadLogsFromS3.py --loco 4044 --day 2017-08-25</v>
      </c>
      <c r="AN193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598</v>
      </c>
      <c r="B194" s="7">
        <v>4043</v>
      </c>
      <c r="C194" s="21" t="s">
        <v>197</v>
      </c>
      <c r="D194" s="21" t="s">
        <v>938</v>
      </c>
      <c r="E194" s="13">
        <v>42972.733576388891</v>
      </c>
      <c r="F194" s="13">
        <v>42972.735127314816</v>
      </c>
      <c r="G194" s="7">
        <v>1</v>
      </c>
      <c r="H194" s="21" t="s">
        <v>552</v>
      </c>
      <c r="I194" s="13">
        <v>42972.749374999999</v>
      </c>
      <c r="J194" s="7">
        <v>1</v>
      </c>
      <c r="K194" s="89" t="str">
        <f t="shared" si="60"/>
        <v>4043/4044</v>
      </c>
      <c r="L194" s="217" t="str">
        <f>VLOOKUP(A194,'Trips&amp;Operators'!$C$1:$G$99911,5,FALSE)</f>
        <v>DELGADO DIANAH</v>
      </c>
      <c r="M194" s="6">
        <f t="shared" si="61"/>
        <v>1.4247685183363501E-2</v>
      </c>
      <c r="N194" s="7">
        <f t="shared" si="83"/>
        <v>20.516666664043441</v>
      </c>
      <c r="O194" s="7"/>
      <c r="P194" s="7"/>
      <c r="Q194" s="22"/>
      <c r="R194" s="170"/>
      <c r="S194" s="213">
        <f t="shared" si="84"/>
        <v>1</v>
      </c>
      <c r="T194" s="195" t="str">
        <f t="shared" si="62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3"/>
        <v>https://d0f6bd738d7f1b3e5a7ca70fe4ff75f0.us-east-1.aws.found.io/app/kibana#/discover/Steve-Slow-Train-Analysis-(2080s-and-2083s)?_g=(refreshInterval:(display:Off,pause:!f,section:0,value:0),time:(from:'2017-08-25T16:36:21-0600',mode:absolute,to:'2017-08-25T18:59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197" t="str">
        <f>IF(AA194&lt;VLOOKUP(AG194,Variables!$AC$3:$AD$8,2,FALSE),"Y","N")</f>
        <v>N</v>
      </c>
      <c r="X194" s="197">
        <f t="shared" si="76"/>
        <v>1</v>
      </c>
      <c r="Y194" s="197">
        <f t="shared" si="97"/>
        <v>5.8638000000000003</v>
      </c>
      <c r="Z194" s="197">
        <f t="shared" si="98"/>
        <v>6.8199999999999997E-2</v>
      </c>
      <c r="AA194" s="197">
        <f t="shared" si="65"/>
        <v>5.7956000000000003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6">
        <f t="shared" si="66"/>
        <v>834</v>
      </c>
      <c r="AE194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94" s="74" t="str">
        <f t="shared" si="68"/>
        <v>"C:\Program Files (x86)\AstroGrep\AstroGrep.exe" /e /r /s /spath="%USERPROFILE%\AppData\Local\Temp\OnboardLogs" /stypes="app*4043*20170825*" /stext=" 23:.+((SYSTEM_STATE.+slice.+state.+changed )|(ment ac)|(multiple cpu faults)|(system.+state.+changed )|(\[timeout)|(PRM\|1\|D)|(kpr)|(kdp)|(train st.+moving)|(\|lc)|(penalty))"</v>
      </c>
      <c r="AG194" s="209" t="str">
        <f t="shared" si="69"/>
        <v>NW</v>
      </c>
      <c r="AH194" s="78" t="str">
        <f t="shared" si="70"/>
        <v>"%USERPROFILE%\Documents\GitHub\eaglep3\Utilities\RefineRTDCRunTimes.py" --tripid 834-25 --locoid 4043 --swversion DE.1.0.9.0 --startMP 300:58638 --initTime 2017-08-25T17:36:21 --startdatetime 2017-08-25T17:38:35 --delay 1 --endMP 204:682 --enddatetime 2017-08-25T17:59:06 --enforcementcount 1 &gt;&gt;C:\Users\stu\Documents\GitHub\eaglep3-reporting\EC\2017-08-25-refined-times.txt</v>
      </c>
      <c r="AI194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{"issue":{"subject":"","project_id":79,"tracker_id":40,"status_id":1,"priority_id":2,"assigned_to_id":23,"start_date":"2017-08-25","description":"","custom_fields":[{"id":1,"name":"Subdivision","value":"NW"},{"id":4,"name":"Milepost","value":"0.0682"},{"id":17,"name":"Train ID","value":"834-25"},{"id":16,"name":"Locomotive ID","value":"4043"},{"id":130,"name":"Impact","value":""},{"id":150,"name":"Time of Event (Mountain Time)","value":"17:59:06"},{"id":151,"name":"Denver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2"/>
        <v>start /low /b %USERPROFILE%\Documents\GitHub\eaglep3\Utilities\DownloadLogsFromS3.py --loco 4043 --day 2017-08-25</v>
      </c>
      <c r="AN194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23:59:06"},{"id":29,"name":"Sharepoint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599</v>
      </c>
      <c r="B195" s="7">
        <v>4054</v>
      </c>
      <c r="C195" s="21" t="s">
        <v>197</v>
      </c>
      <c r="D195" s="21" t="s">
        <v>945</v>
      </c>
      <c r="E195" s="13">
        <v>42972.728460648148</v>
      </c>
      <c r="F195" s="13">
        <v>42972.744108796294</v>
      </c>
      <c r="G195" s="7">
        <v>1</v>
      </c>
      <c r="H195" s="21" t="s">
        <v>565</v>
      </c>
      <c r="I195" s="13">
        <v>42972.753865740742</v>
      </c>
      <c r="J195" s="7">
        <v>1</v>
      </c>
      <c r="K195" s="89" t="str">
        <f t="shared" si="60"/>
        <v>4053/4054</v>
      </c>
      <c r="L195" s="217" t="str">
        <f>VLOOKUP(A195,'Trips&amp;Operators'!$C$1:$G$99911,5,FALSE)</f>
        <v>MCREYNOLDS KYLE</v>
      </c>
      <c r="M195" s="6">
        <f t="shared" si="61"/>
        <v>9.7569444478722289E-3</v>
      </c>
      <c r="N195" s="7">
        <f t="shared" si="83"/>
        <v>14.05000000493601</v>
      </c>
      <c r="O195" s="7"/>
      <c r="P195" s="7"/>
      <c r="Q195" s="22"/>
      <c r="R195" s="170"/>
      <c r="S195" s="213">
        <f t="shared" si="84"/>
        <v>1</v>
      </c>
      <c r="T195" s="195" t="str">
        <f t="shared" si="62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3"/>
        <v>https://d0f6bd738d7f1b3e5a7ca70fe4ff75f0.us-east-1.aws.found.io/app/kibana#/discover/Steve-Slow-Train-Analysis-(2080s-and-2083s)?_g=(refreshInterval:(display:Off,pause:!f,section:0,value:0),time:(from:'2017-08-25T16:28:59-0600',mode:absolute,to:'2017-08-25T19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5" s="197" t="str">
        <f>IF(AA195&lt;VLOOKUP(AG195,Variables!$AC$3:$AD$8,2,FALSE),"Y","N")</f>
        <v>N</v>
      </c>
      <c r="X195" s="197">
        <f t="shared" si="76"/>
        <v>1</v>
      </c>
      <c r="Y195" s="197">
        <f t="shared" si="97"/>
        <v>9.9900000000000003E-2</v>
      </c>
      <c r="Z195" s="197">
        <f t="shared" si="98"/>
        <v>5.8964999999999996</v>
      </c>
      <c r="AA195" s="197">
        <f t="shared" si="65"/>
        <v>5.7965999999999998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6">
        <f t="shared" si="66"/>
        <v>835</v>
      </c>
      <c r="AE195" s="77" t="str">
        <f t="shared" si="67"/>
        <v>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 &amp; aws s3 cp s3://rtdc.mdm.uploadarchive.raw/RTDC4054/ "%USERPROFILE%\AppData\Local\Temp\OnboardLogs"\RTDC4054\2017-08-26 --exclude "*" --recursive --include "*20170826*" &amp; "%USERPROFILE%\Documents\GitHub\mrs-test-scripts\Headless Mode &amp; Sideloading\WalkAndUnGZ.bat" "%USERPROFILE%\AppData\Local\Temp\OnboardLogs"\RTDC4054\2017-08-26</v>
      </c>
      <c r="AF195" s="74" t="str">
        <f t="shared" si="68"/>
        <v>"C:\Program Files (x86)\AstroGrep\AstroGrep.exe" /e /r /s /spath="%USERPROFILE%\AppData\Local\Temp\OnboardLogs" /stypes="app*4054*20170826*" /stext=" 00:.+((SYSTEM_STATE.+slice.+state.+changed )|(ment ac)|(multiple cpu faults)|(system.+state.+changed )|(\[timeout)|(PRM\|1\|D)|(kpr)|(kdp)|(train st.+moving)|(\|lc)|(penalty))"</v>
      </c>
      <c r="AG195" s="209" t="str">
        <f t="shared" si="69"/>
        <v>NW</v>
      </c>
      <c r="AH195" s="78" t="str">
        <f t="shared" si="70"/>
        <v>"%USERPROFILE%\Documents\GitHub\eaglep3\Utilities\RefineRTDCRunTimes.py" --tripid 835-25 --locoid 4054 --swversion DE.1.0.9.0 --startMP 204:999 --initTime 2017-08-25T17:28:59 --startdatetime 2017-08-25T17:51:31 --delay 1 --endMP 300:58965 --enddatetime 2017-08-25T18:05:34 --enforcementcount 1 &gt;&gt;C:\Users\stu\Documents\GitHub\eaglep3-reporting\EC\2017-08-25-refined-times.txt</v>
      </c>
      <c r="AI195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{"issue":{"subject":"","project_id":79,"tracker_id":40,"status_id":1,"priority_id":2,"assigned_to_id":23,"start_date":"2017-08-25","description":"","custom_fields":[{"id":1,"name":"Subdivision","value":"NW"},{"id":4,"name":"Milepost","value":"5.8965"},{"id":17,"name":"Train ID","value":"835-25"},{"id":16,"name":"Locomotive ID","value":"4054"},{"id":130,"name":"Impact","value":""},{"id":150,"name":"Time of Event (Mountain Time)","value":"18:05:34"},{"id":151,"name":"Denver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2"/>
        <v>start /low /b %USERPROFILE%\Documents\GitHub\eaglep3\Utilities\DownloadLogsFromS3.py --loco 4054 --day 2017-08-25</v>
      </c>
      <c r="AN195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764</v>
      </c>
      <c r="B196" s="7">
        <v>4053</v>
      </c>
      <c r="C196" s="21" t="s">
        <v>197</v>
      </c>
      <c r="D196" s="21" t="s">
        <v>946</v>
      </c>
      <c r="E196" s="13">
        <v>42972.755925925929</v>
      </c>
      <c r="F196" s="13">
        <v>42972.757939814815</v>
      </c>
      <c r="G196" s="7">
        <v>1</v>
      </c>
      <c r="H196" s="21" t="s">
        <v>947</v>
      </c>
      <c r="I196" s="13">
        <v>42972.769641203704</v>
      </c>
      <c r="J196" s="7">
        <v>1</v>
      </c>
      <c r="K196" s="89" t="str">
        <f t="shared" si="60"/>
        <v>4053/4054</v>
      </c>
      <c r="L196" s="217" t="str">
        <f>VLOOKUP(A196,'Trips&amp;Operators'!$C$1:$G$99911,5,FALSE)</f>
        <v>MCREYNOLDS KYLE</v>
      </c>
      <c r="M196" s="6">
        <f t="shared" si="61"/>
        <v>1.17013888884685E-2</v>
      </c>
      <c r="N196" s="7">
        <f t="shared" si="83"/>
        <v>16.84999999939464</v>
      </c>
      <c r="O196" s="7"/>
      <c r="P196" s="7"/>
      <c r="Q196" s="22"/>
      <c r="R196" s="170"/>
      <c r="S196" s="213">
        <f t="shared" si="84"/>
        <v>1</v>
      </c>
      <c r="T196" s="195" t="str">
        <f t="shared" si="62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3"/>
        <v>https://d0f6bd738d7f1b3e5a7ca70fe4ff75f0.us-east-1.aws.found.io/app/kibana#/discover/Steve-Slow-Train-Analysis-(2080s-and-2083s)?_g=(refreshInterval:(display:Off,pause:!f,section:0,value:0),time:(from:'2017-08-25T17:08:32-0600',mode:absolute,to:'2017-08-25T19:28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197" t="str">
        <f>IF(AA196&lt;VLOOKUP(AG196,Variables!$AC$3:$AD$8,2,FALSE),"Y","N")</f>
        <v>N</v>
      </c>
      <c r="X196" s="197">
        <f t="shared" si="76"/>
        <v>1</v>
      </c>
      <c r="Y196" s="197">
        <f t="shared" si="97"/>
        <v>5.8647</v>
      </c>
      <c r="Z196" s="197">
        <f t="shared" si="98"/>
        <v>7.3099999999999998E-2</v>
      </c>
      <c r="AA196" s="197">
        <f t="shared" si="65"/>
        <v>5.7915999999999999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6">
        <f t="shared" si="66"/>
        <v>836</v>
      </c>
      <c r="AE196" s="77" t="str">
        <f t="shared" si="67"/>
        <v>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 &amp; aws s3 cp s3://rtdc.mdm.uploadarchive.raw/RTDC4053/ "%USERPROFILE%\AppData\Local\Temp\OnboardLogs"\RTDC4053\2017-08-26 --exclude "*" --recursive --include "*20170826*" &amp; "%USERPROFILE%\Documents\GitHub\mrs-test-scripts\Headless Mode &amp; Sideloading\WalkAndUnGZ.bat" "%USERPROFILE%\AppData\Local\Temp\OnboardLogs"\RTDC4053\2017-08-26</v>
      </c>
      <c r="AF196" s="74" t="str">
        <f t="shared" si="68"/>
        <v>"C:\Program Files (x86)\AstroGrep\AstroGrep.exe" /e /r /s /spath="%USERPROFILE%\AppData\Local\Temp\OnboardLogs" /stypes="app*4053*20170826*" /stext=" 00:.+((SYSTEM_STATE.+slice.+state.+changed )|(ment ac)|(multiple cpu faults)|(system.+state.+changed )|(\[timeout)|(PRM\|1\|D)|(kpr)|(kdp)|(train st.+moving)|(\|lc)|(penalty))"</v>
      </c>
      <c r="AG196" s="209" t="str">
        <f t="shared" si="69"/>
        <v>NW</v>
      </c>
      <c r="AH196" s="78" t="str">
        <f t="shared" si="70"/>
        <v>"%USERPROFILE%\Documents\GitHub\eaglep3\Utilities\RefineRTDCRunTimes.py" --tripid 836-25 --locoid 4053 --swversion DE.1.0.9.0 --startMP 300:58647 --initTime 2017-08-25T18:08:32 --startdatetime 2017-08-25T18:11:26 --delay 1 --endMP 204:731 --enddatetime 2017-08-25T18:28:17 --enforcementcount 1 &gt;&gt;C:\Users\stu\Documents\GitHub\eaglep3-reporting\EC\2017-08-25-refined-times.txt</v>
      </c>
      <c r="AI196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{"issue":{"subject":"","project_id":79,"tracker_id":40,"status_id":1,"priority_id":2,"assigned_to_id":23,"start_date":"2017-08-25","description":"","custom_fields":[{"id":1,"name":"Subdivision","value":"NW"},{"id":4,"name":"Milepost","value":"0.0731"},{"id":17,"name":"Train ID","value":"836-25"},{"id":16,"name":"Locomotive ID","value":"4053"},{"id":130,"name":"Impact","value":""},{"id":150,"name":"Time of Event (Mountain Time)","value":"18:28:17"},{"id":151,"name":"Denver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2"/>
        <v>start /low /b %USERPROFILE%\Documents\GitHub\eaglep3\Utilities\DownloadLogsFromS3.py --loco 4053 --day 2017-08-25</v>
      </c>
      <c r="AN196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00:28:17"},{"id":29,"name":"Sharepoint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767</v>
      </c>
      <c r="B197" s="7">
        <v>4044</v>
      </c>
      <c r="C197" s="21" t="s">
        <v>197</v>
      </c>
      <c r="D197" s="21" t="s">
        <v>559</v>
      </c>
      <c r="E197" s="13">
        <v>42972.760601851849</v>
      </c>
      <c r="F197" s="13">
        <v>42972.764780092592</v>
      </c>
      <c r="G197" s="7">
        <v>1</v>
      </c>
      <c r="H197" s="21" t="s">
        <v>941</v>
      </c>
      <c r="I197" s="13">
        <v>42972.774340277778</v>
      </c>
      <c r="J197" s="7">
        <v>1</v>
      </c>
      <c r="K197" s="89" t="str">
        <f t="shared" si="60"/>
        <v>4043/4044</v>
      </c>
      <c r="L197" s="217" t="str">
        <f>VLOOKUP(A197,'Trips&amp;Operators'!$C$1:$G$99911,5,FALSE)</f>
        <v>BIRKHOLZ NADINE</v>
      </c>
      <c r="M197" s="6">
        <f t="shared" si="61"/>
        <v>9.560185186273884E-3</v>
      </c>
      <c r="N197" s="7">
        <f t="shared" si="83"/>
        <v>13.766666668234393</v>
      </c>
      <c r="O197" s="7"/>
      <c r="P197" s="7"/>
      <c r="Q197" s="22"/>
      <c r="R197" s="170"/>
      <c r="S197" s="213">
        <f t="shared" si="84"/>
        <v>1</v>
      </c>
      <c r="T197" s="195" t="str">
        <f t="shared" si="62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3"/>
        <v>https://d0f6bd738d7f1b3e5a7ca70fe4ff75f0.us-east-1.aws.found.io/app/kibana#/discover/Steve-Slow-Train-Analysis-(2080s-and-2083s)?_g=(refreshInterval:(display:Off,pause:!f,section:0,value:0),time:(from:'2017-08-25T17:15:16-0600',mode:absolute,to:'2017-08-25T19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197" t="str">
        <f>IF(AA197&lt;VLOOKUP(AG197,Variables!$AC$3:$AD$8,2,FALSE),"Y","N")</f>
        <v>N</v>
      </c>
      <c r="X197" s="197">
        <f t="shared" si="76"/>
        <v>1</v>
      </c>
      <c r="Y197" s="197">
        <f t="shared" si="97"/>
        <v>9.69E-2</v>
      </c>
      <c r="Z197" s="197">
        <f t="shared" si="98"/>
        <v>5.8939000000000004</v>
      </c>
      <c r="AA197" s="197">
        <f t="shared" si="65"/>
        <v>5.7970000000000006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6">
        <f t="shared" si="66"/>
        <v>837</v>
      </c>
      <c r="AE197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197" s="74" t="str">
        <f t="shared" si="68"/>
        <v>"C:\Program Files (x86)\AstroGrep\AstroGrep.exe" /e /r /s /spath="%USERPROFILE%\AppData\Local\Temp\OnboardLogs" /stypes="app*4044*20170826*" /stext=" 00:.+((SYSTEM_STATE.+slice.+state.+changed )|(ment ac)|(multiple cpu faults)|(system.+state.+changed )|(\[timeout)|(PRM\|1\|D)|(kpr)|(kdp)|(train st.+moving)|(\|lc)|(penalty))"</v>
      </c>
      <c r="AG197" s="209" t="str">
        <f t="shared" si="69"/>
        <v>NW</v>
      </c>
      <c r="AH197" s="78" t="str">
        <f t="shared" si="70"/>
        <v>"%USERPROFILE%\Documents\GitHub\eaglep3\Utilities\RefineRTDCRunTimes.py" --tripid 837-25 --locoid 4044 --swversion DE.1.0.9.0 --startMP 204:969 --initTime 2017-08-25T18:15:16 --startdatetime 2017-08-25T18:21:17 --delay 1 --endMP 300:58939 --enddatetime 2017-08-25T18:35:03 --enforcementcount 1 &gt;&gt;C:\Users\stu\Documents\GitHub\eaglep3-reporting\EC\2017-08-25-refined-times.txt</v>
      </c>
      <c r="AI197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{"issue":{"subject":"","project_id":79,"tracker_id":40,"status_id":1,"priority_id":2,"assigned_to_id":23,"start_date":"2017-08-25","description":"","custom_fields":[{"id":1,"name":"Subdivision","value":"NW"},{"id":4,"name":"Milepost","value":"5.8939"},{"id":17,"name":"Train ID","value":"837-25"},{"id":16,"name":"Locomotive ID","value":"4044"},{"id":130,"name":"Impact","value":""},{"id":150,"name":"Time of Event (Mountain Time)","value":"18:35:03"},{"id":151,"name":"Denver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2"/>
        <v>start /low /b %USERPROFILE%\Documents\GitHub\eaglep3\Utilities\DownloadLogsFromS3.py --loco 4044 --day 2017-08-25</v>
      </c>
      <c r="AN197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601</v>
      </c>
      <c r="B198" s="7">
        <v>4043</v>
      </c>
      <c r="C198" s="21" t="s">
        <v>197</v>
      </c>
      <c r="D198" s="21" t="s">
        <v>948</v>
      </c>
      <c r="E198" s="13">
        <v>42972.774525462963</v>
      </c>
      <c r="F198" s="13">
        <v>42972.776759259257</v>
      </c>
      <c r="G198" s="7">
        <v>2</v>
      </c>
      <c r="H198" s="21" t="s">
        <v>949</v>
      </c>
      <c r="I198" s="13">
        <v>42972.791018518517</v>
      </c>
      <c r="J198" s="7">
        <v>1</v>
      </c>
      <c r="K198" s="89" t="str">
        <f t="shared" si="60"/>
        <v>4043/4044</v>
      </c>
      <c r="L198" s="217" t="str">
        <f>VLOOKUP(A198,'Trips&amp;Operators'!$C$1:$G$99911,5,FALSE)</f>
        <v>BIRKHOLZ NADINE</v>
      </c>
      <c r="M198" s="6">
        <f t="shared" si="61"/>
        <v>1.4259259260143153E-2</v>
      </c>
      <c r="N198" s="7">
        <f t="shared" si="83"/>
        <v>20.533333334606141</v>
      </c>
      <c r="O198" s="7"/>
      <c r="P198" s="7"/>
      <c r="Q198" s="22"/>
      <c r="R198" s="170"/>
      <c r="S198" s="213">
        <f t="shared" si="84"/>
        <v>1</v>
      </c>
      <c r="T198" s="195" t="str">
        <f t="shared" si="62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3"/>
        <v>https://d0f6bd738d7f1b3e5a7ca70fe4ff75f0.us-east-1.aws.found.io/app/kibana#/discover/Steve-Slow-Train-Analysis-(2080s-and-2083s)?_g=(refreshInterval:(display:Off,pause:!f,section:0,value:0),time:(from:'2017-08-25T17:35:19-0600',mode:absolute,to:'2017-08-25T19:59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197" t="str">
        <f>IF(AA198&lt;VLOOKUP(AG198,Variables!$AC$3:$AD$8,2,FALSE),"Y","N")</f>
        <v>N</v>
      </c>
      <c r="X198" s="197">
        <f t="shared" si="76"/>
        <v>1</v>
      </c>
      <c r="Y198" s="197">
        <f t="shared" si="97"/>
        <v>5.8630000000000004</v>
      </c>
      <c r="Z198" s="197">
        <f t="shared" si="98"/>
        <v>6.6299999999999998E-2</v>
      </c>
      <c r="AA198" s="197">
        <f t="shared" si="65"/>
        <v>5.7967000000000004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6">
        <f t="shared" si="66"/>
        <v>838</v>
      </c>
      <c r="AE198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198" s="74" t="str">
        <f t="shared" si="68"/>
        <v>"C:\Program Files (x86)\AstroGrep\AstroGrep.exe" /e /r /s /spath="%USERPROFILE%\AppData\Local\Temp\OnboardLogs" /stypes="app*4043*20170826*" /stext=" 00:.+((SYSTEM_STATE.+slice.+state.+changed )|(ment ac)|(multiple cpu faults)|(system.+state.+changed )|(\[timeout)|(PRM\|1\|D)|(kpr)|(kdp)|(train st.+moving)|(\|lc)|(penalty))"</v>
      </c>
      <c r="AG198" s="209" t="str">
        <f t="shared" si="69"/>
        <v>NW</v>
      </c>
      <c r="AH198" s="78" t="str">
        <f t="shared" si="70"/>
        <v>"%USERPROFILE%\Documents\GitHub\eaglep3\Utilities\RefineRTDCRunTimes.py" --tripid 838-25 --locoid 4043 --swversion DE.1.0.9.0 --startMP 300:58630 --initTime 2017-08-25T18:35:19 --startdatetime 2017-08-25T18:38:32 --delay 2 --endMP 204:663 --enddatetime 2017-08-25T18:59:04 --enforcementcount 1 &gt;&gt;C:\Users\stu\Documents\GitHub\eaglep3-reporting\EC\2017-08-25-refined-times.txt</v>
      </c>
      <c r="AI198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{"issue":{"subject":"","project_id":79,"tracker_id":40,"status_id":1,"priority_id":2,"assigned_to_id":23,"start_date":"2017-08-25","description":"","custom_fields":[{"id":1,"name":"Subdivision","value":"NW"},{"id":4,"name":"Milepost","value":"0.0663"},{"id":17,"name":"Train ID","value":"838-25"},{"id":16,"name":"Locomotive ID","value":"4043"},{"id":130,"name":"Impact","value":""},{"id":150,"name":"Time of Event (Mountain Time)","value":"18:59:04"},{"id":151,"name":"Denver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2"/>
        <v>start /low /b %USERPROFILE%\Documents\GitHub\eaglep3\Utilities\DownloadLogsFromS3.py --loco 4043 --day 2017-08-25</v>
      </c>
      <c r="AN198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00:59:04"},{"id":29,"name":"Sharepoint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769</v>
      </c>
      <c r="B199" s="7">
        <v>4054</v>
      </c>
      <c r="C199" s="21" t="s">
        <v>197</v>
      </c>
      <c r="D199" s="21" t="s">
        <v>927</v>
      </c>
      <c r="E199" s="13">
        <v>42972.770856481482</v>
      </c>
      <c r="F199" s="13">
        <v>42972.785601851851</v>
      </c>
      <c r="G199" s="7">
        <v>0</v>
      </c>
      <c r="H199" s="21" t="s">
        <v>557</v>
      </c>
      <c r="I199" s="13">
        <v>42972.795590277776</v>
      </c>
      <c r="J199" s="7">
        <v>1</v>
      </c>
      <c r="K199" s="89" t="str">
        <f t="shared" si="60"/>
        <v>4053/4054</v>
      </c>
      <c r="L199" s="217" t="str">
        <f>VLOOKUP(A199,'Trips&amp;Operators'!$C$1:$G$99911,5,FALSE)</f>
        <v>MCREYNOLDS KYLE</v>
      </c>
      <c r="M199" s="6">
        <f t="shared" si="61"/>
        <v>9.9884259252576157E-3</v>
      </c>
      <c r="N199" s="7">
        <f t="shared" si="83"/>
        <v>14.383333332370967</v>
      </c>
      <c r="O199" s="7"/>
      <c r="P199" s="7"/>
      <c r="Q199" s="22"/>
      <c r="R199" s="170"/>
      <c r="S199" s="213">
        <f t="shared" si="84"/>
        <v>1</v>
      </c>
      <c r="T199" s="195" t="str">
        <f t="shared" si="62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3"/>
        <v>https://d0f6bd738d7f1b3e5a7ca70fe4ff75f0.us-east-1.aws.found.io/app/kibana#/discover/Steve-Slow-Train-Analysis-(2080s-and-2083s)?_g=(refreshInterval:(display:Off,pause:!f,section:0,value:0),time:(from:'2017-08-25T17:30:02-0600',mode:absolute,to:'2017-08-25T20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9" s="197" t="str">
        <f>IF(AA199&lt;VLOOKUP(AG199,Variables!$AC$3:$AD$8,2,FALSE),"Y","N")</f>
        <v>N</v>
      </c>
      <c r="X199" s="197">
        <f t="shared" si="76"/>
        <v>1</v>
      </c>
      <c r="Y199" s="197">
        <f t="shared" si="97"/>
        <v>9.9000000000000005E-2</v>
      </c>
      <c r="Z199" s="197">
        <f t="shared" si="98"/>
        <v>5.8928000000000003</v>
      </c>
      <c r="AA199" s="197">
        <f t="shared" si="65"/>
        <v>5.7938000000000001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6">
        <f t="shared" si="66"/>
        <v>839</v>
      </c>
      <c r="AE199" s="77" t="str">
        <f t="shared" si="67"/>
        <v>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 &amp; aws s3 cp s3://rtdc.mdm.uploadarchive.raw/RTDC4054/ "%USERPROFILE%\AppData\Local\Temp\OnboardLogs"\RTDC4054\2017-08-26 --exclude "*" --recursive --include "*20170826*" &amp; "%USERPROFILE%\Documents\GitHub\mrs-test-scripts\Headless Mode &amp; Sideloading\WalkAndUnGZ.bat" "%USERPROFILE%\AppData\Local\Temp\OnboardLogs"\RTDC4054\2017-08-26</v>
      </c>
      <c r="AF199" s="74" t="str">
        <f t="shared" si="68"/>
        <v>"C:\Program Files (x86)\AstroGrep\AstroGrep.exe" /e /r /s /spath="%USERPROFILE%\AppData\Local\Temp\OnboardLogs" /stypes="app*4054*20170826*" /stext=" 01:.+((SYSTEM_STATE.+slice.+state.+changed )|(ment ac)|(multiple cpu faults)|(system.+state.+changed )|(\[timeout)|(PRM\|1\|D)|(kpr)|(kdp)|(train st.+moving)|(\|lc)|(penalty))"</v>
      </c>
      <c r="AG199" s="209" t="str">
        <f t="shared" si="69"/>
        <v>NW</v>
      </c>
      <c r="AH199" s="78" t="str">
        <f t="shared" si="70"/>
        <v>"%USERPROFILE%\Documents\GitHub\eaglep3\Utilities\RefineRTDCRunTimes.py" --tripid 839-25 --locoid 4054 --swversion DE.1.0.9.0 --startMP 204:990 --initTime 2017-08-25T18:30:02 --startdatetime 2017-08-25T18:51:16 --delay 0 --endMP 300:58928 --enddatetime 2017-08-25T19:05:39 --enforcementcount 1 &gt;&gt;C:\Users\stu\Documents\GitHub\eaglep3-reporting\EC\2017-08-25-refined-times.txt</v>
      </c>
      <c r="AI199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{"issue":{"subject":"","project_id":79,"tracker_id":40,"status_id":1,"priority_id":2,"assigned_to_id":23,"start_date":"2017-08-25","description":"","custom_fields":[{"id":1,"name":"Subdivision","value":"NW"},{"id":4,"name":"Milepost","value":"5.8928"},{"id":17,"name":"Train ID","value":"839-25"},{"id":16,"name":"Locomotive ID","value":"4054"},{"id":130,"name":"Impact","value":""},{"id":150,"name":"Time of Event (Mountain Time)","value":"19:05:39"},{"id":151,"name":"Denver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2"/>
        <v>start /low /b %USERPROFILE%\Documents\GitHub\eaglep3\Utilities\DownloadLogsFromS3.py --loco 4054 --day 2017-08-25</v>
      </c>
      <c r="AN199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01:05:39"},{"id":29,"name":"Sharepoint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779</v>
      </c>
      <c r="B200" s="7">
        <v>4043</v>
      </c>
      <c r="C200" s="21" t="s">
        <v>197</v>
      </c>
      <c r="D200" s="21" t="s">
        <v>494</v>
      </c>
      <c r="E200" s="13">
        <v>42972.817013888889</v>
      </c>
      <c r="F200" s="13">
        <v>42972.818645833337</v>
      </c>
      <c r="G200" s="7">
        <v>1</v>
      </c>
      <c r="H200" s="21" t="s">
        <v>397</v>
      </c>
      <c r="I200" s="13">
        <v>42972.830127314817</v>
      </c>
      <c r="J200" s="7">
        <v>1</v>
      </c>
      <c r="K200" s="89" t="str">
        <f t="shared" si="60"/>
        <v>4043/4044</v>
      </c>
      <c r="L200" s="217" t="str">
        <f>VLOOKUP(A200,'Trips&amp;Operators'!$C$1:$G$99911,5,FALSE)</f>
        <v>BIRKHOLZ NADINE</v>
      </c>
      <c r="M200" s="6">
        <f t="shared" si="61"/>
        <v>1.1481481480586808E-2</v>
      </c>
      <c r="N200" s="7">
        <f t="shared" si="83"/>
        <v>16.533333332045004</v>
      </c>
      <c r="O200" s="7"/>
      <c r="P200" s="7"/>
      <c r="Q200" s="22"/>
      <c r="R200" s="170"/>
      <c r="S200" s="213">
        <f t="shared" si="84"/>
        <v>1</v>
      </c>
      <c r="T200" s="195" t="str">
        <f t="shared" si="62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3"/>
        <v>https://d0f6bd738d7f1b3e5a7ca70fe4ff75f0.us-east-1.aws.found.io/app/kibana#/discover/Steve-Slow-Train-Analysis-(2080s-and-2083s)?_g=(refreshInterval:(display:Off,pause:!f,section:0,value:0),time:(from:'2017-08-25T18:36:30-0600',mode:absolute,to:'2017-08-25T20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0" s="197" t="str">
        <f>IF(AA200&lt;VLOOKUP(AG200,Variables!$AC$3:$AD$8,2,FALSE),"Y","N")</f>
        <v>N</v>
      </c>
      <c r="X200" s="197">
        <f t="shared" si="76"/>
        <v>1</v>
      </c>
      <c r="Y200" s="197">
        <f t="shared" si="97"/>
        <v>5.8619000000000003</v>
      </c>
      <c r="Z200" s="197">
        <f t="shared" si="98"/>
        <v>6.8000000000000005E-2</v>
      </c>
      <c r="AA200" s="197">
        <f t="shared" si="65"/>
        <v>5.7939000000000007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6">
        <f t="shared" si="66"/>
        <v>840</v>
      </c>
      <c r="AE200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200" s="74" t="str">
        <f t="shared" si="68"/>
        <v>"C:\Program Files (x86)\AstroGrep\AstroGrep.exe" /e /r /s /spath="%USERPROFILE%\AppData\Local\Temp\OnboardLogs" /stypes="app*4043*20170826*" /stext=" 01:.+((SYSTEM_STATE.+slice.+state.+changed )|(ment ac)|(multiple cpu faults)|(system.+state.+changed )|(\[timeout)|(PRM\|1\|D)|(kpr)|(kdp)|(train st.+moving)|(\|lc)|(penalty))"</v>
      </c>
      <c r="AG200" s="209" t="str">
        <f t="shared" si="69"/>
        <v>NW</v>
      </c>
      <c r="AH200" s="78" t="str">
        <f t="shared" si="70"/>
        <v>"%USERPROFILE%\Documents\GitHub\eaglep3\Utilities\RefineRTDCRunTimes.py" --tripid 840-25 --locoid 4043 --swversion DE.1.0.9.0 --startMP 300:58619 --initTime 2017-08-25T19:36:30 --startdatetime 2017-08-25T19:38:51 --delay 1 --endMP 204:680 --enddatetime 2017-08-25T19:55:23 --enforcementcount 1 &gt;&gt;C:\Users\stu\Documents\GitHub\eaglep3-reporting\EC\2017-08-25-refined-times.txt</v>
      </c>
      <c r="AI200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{"issue":{"subject":"","project_id":79,"tracker_id":40,"status_id":1,"priority_id":2,"assigned_to_id":23,"start_date":"2017-08-25","description":"","custom_fields":[{"id":1,"name":"Subdivision","value":"NW"},{"id":4,"name":"Milepost","value":"0.068"},{"id":17,"name":"Train ID","value":"840-25"},{"id":16,"name":"Locomotive ID","value":"4043"},{"id":130,"name":"Impact","value":""},{"id":150,"name":"Time of Event (Mountain Time)","value":"19:55:23"},{"id":151,"name":"Denver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2"/>
        <v>start /low /b %USERPROFILE%\Documents\GitHub\eaglep3\Utilities\DownloadLogsFromS3.py --loco 4043 --day 2017-08-25</v>
      </c>
      <c r="AN200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01:55:23"},{"id":29,"name":"Sharepoint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603</v>
      </c>
      <c r="B201" s="7">
        <v>4044</v>
      </c>
      <c r="C201" s="21" t="s">
        <v>197</v>
      </c>
      <c r="D201" s="21" t="s">
        <v>950</v>
      </c>
      <c r="E201" s="13">
        <v>42972.799432870372</v>
      </c>
      <c r="F201" s="13">
        <v>42972.806458333333</v>
      </c>
      <c r="G201" s="7">
        <v>1</v>
      </c>
      <c r="H201" s="21" t="s">
        <v>563</v>
      </c>
      <c r="I201" s="13">
        <v>42972.815555555557</v>
      </c>
      <c r="J201" s="7">
        <v>1</v>
      </c>
      <c r="K201" s="89" t="str">
        <f t="shared" si="60"/>
        <v>4043/4044</v>
      </c>
      <c r="L201" s="217" t="str">
        <f>VLOOKUP(A201,'Trips&amp;Operators'!$C$1:$G$99911,5,FALSE)</f>
        <v>BIRKHOLZ NADINE</v>
      </c>
      <c r="M201" s="6">
        <f t="shared" si="61"/>
        <v>9.0972222242271528E-3</v>
      </c>
      <c r="N201" s="7">
        <f t="shared" si="83"/>
        <v>13.1000000028871</v>
      </c>
      <c r="O201" s="7"/>
      <c r="P201" s="7"/>
      <c r="Q201" s="22"/>
      <c r="R201" s="170"/>
      <c r="S201" s="213">
        <f t="shared" si="84"/>
        <v>1</v>
      </c>
      <c r="T201" s="195" t="str">
        <f t="shared" si="62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3"/>
        <v>https://d0f6bd738d7f1b3e5a7ca70fe4ff75f0.us-east-1.aws.found.io/app/kibana#/discover/Steve-Slow-Train-Analysis-(2080s-and-2083s)?_g=(refreshInterval:(display:Off,pause:!f,section:0,value:0),time:(from:'2017-08-25T18:11:11-0600',mode:absolute,to:'2017-08-25T20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197" t="str">
        <f>IF(AA201&lt;VLOOKUP(AG201,Variables!$AC$3:$AD$8,2,FALSE),"Y","N")</f>
        <v>N</v>
      </c>
      <c r="X201" s="197">
        <f t="shared" si="76"/>
        <v>1</v>
      </c>
      <c r="Y201" s="197">
        <f t="shared" si="97"/>
        <v>9.9199999999999997E-2</v>
      </c>
      <c r="Z201" s="197">
        <f t="shared" si="98"/>
        <v>5.8929</v>
      </c>
      <c r="AA201" s="197">
        <f t="shared" si="65"/>
        <v>5.7937000000000003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6">
        <f t="shared" si="66"/>
        <v>841</v>
      </c>
      <c r="AE201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201" s="74" t="str">
        <f t="shared" si="68"/>
        <v>"C:\Program Files (x86)\AstroGrep\AstroGrep.exe" /e /r /s /spath="%USERPROFILE%\AppData\Local\Temp\OnboardLogs" /stypes="app*4044*20170826*" /stext=" 01:.+((SYSTEM_STATE.+slice.+state.+changed )|(ment ac)|(multiple cpu faults)|(system.+state.+changed )|(\[timeout)|(PRM\|1\|D)|(kpr)|(kdp)|(train st.+moving)|(\|lc)|(penalty))"</v>
      </c>
      <c r="AG201" s="209" t="str">
        <f t="shared" si="69"/>
        <v>NW</v>
      </c>
      <c r="AH201" s="78" t="str">
        <f t="shared" si="70"/>
        <v>"%USERPROFILE%\Documents\GitHub\eaglep3\Utilities\RefineRTDCRunTimes.py" --tripid 841-25 --locoid 4044 --swversion DE.1.0.9.0 --startMP 204:992 --initTime 2017-08-25T19:11:11 --startdatetime 2017-08-25T19:21:18 --delay 1 --endMP 300:58929 --enddatetime 2017-08-25T19:34:24 --enforcementcount 1 &gt;&gt;C:\Users\stu\Documents\GitHub\eaglep3-reporting\EC\2017-08-25-refined-times.txt</v>
      </c>
      <c r="AI201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{"issue":{"subject":"","project_id":79,"tracker_id":40,"status_id":1,"priority_id":2,"assigned_to_id":23,"start_date":"2017-08-25","description":"","custom_fields":[{"id":1,"name":"Subdivision","value":"NW"},{"id":4,"name":"Milepost","value":"5.8929"},{"id":17,"name":"Train ID","value":"841-25"},{"id":16,"name":"Locomotive ID","value":"4044"},{"id":130,"name":"Impact","value":""},{"id":150,"name":"Time of Event (Mountain Time)","value":"19:34:24"},{"id":151,"name":"Denver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2"/>
        <v>start /low /b %USERPROFILE%\Documents\GitHub\eaglep3\Utilities\DownloadLogsFromS3.py --loco 4044 --day 2017-08-25</v>
      </c>
      <c r="AN201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01:34:24"},{"id":29,"name":"Sharepoint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786</v>
      </c>
      <c r="B202" s="7">
        <v>4043</v>
      </c>
      <c r="C202" s="21" t="s">
        <v>197</v>
      </c>
      <c r="D202" s="21" t="s">
        <v>951</v>
      </c>
      <c r="E202" s="13">
        <v>42972.859131944446</v>
      </c>
      <c r="F202" s="13">
        <v>42972.860636574071</v>
      </c>
      <c r="G202" s="7">
        <v>1</v>
      </c>
      <c r="H202" s="21" t="s">
        <v>909</v>
      </c>
      <c r="I202" s="13">
        <v>42972.871840277781</v>
      </c>
      <c r="J202" s="7">
        <v>1</v>
      </c>
      <c r="K202" s="89" t="str">
        <f t="shared" si="60"/>
        <v>4043/4044</v>
      </c>
      <c r="L202" s="217" t="str">
        <f>VLOOKUP(A202,'Trips&amp;Operators'!$C$1:$G$99911,5,FALSE)</f>
        <v>BIRKHOLZ NADINE</v>
      </c>
      <c r="M202" s="6">
        <f t="shared" si="61"/>
        <v>1.1203703710634727E-2</v>
      </c>
      <c r="N202" s="7">
        <f t="shared" si="83"/>
        <v>16.133333343314007</v>
      </c>
      <c r="O202" s="7"/>
      <c r="P202" s="7"/>
      <c r="Q202" s="22"/>
      <c r="R202" s="170"/>
      <c r="S202" s="213">
        <f t="shared" si="84"/>
        <v>1</v>
      </c>
      <c r="T202" s="195" t="str">
        <f t="shared" si="62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3"/>
        <v>https://d0f6bd738d7f1b3e5a7ca70fe4ff75f0.us-east-1.aws.found.io/app/kibana#/discover/Steve-Slow-Train-Analysis-(2080s-and-2083s)?_g=(refreshInterval:(display:Off,pause:!f,section:0,value:0),time:(from:'2017-08-25T19:37:09-0600',mode:absolute,to:'2017-08-25T21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2" s="197" t="str">
        <f>IF(AA202&lt;VLOOKUP(AG202,Variables!$AC$3:$AD$8,2,FALSE),"Y","N")</f>
        <v>N</v>
      </c>
      <c r="X202" s="197">
        <f t="shared" si="76"/>
        <v>1</v>
      </c>
      <c r="Y202" s="197">
        <f t="shared" si="97"/>
        <v>5.8624000000000001</v>
      </c>
      <c r="Z202" s="197">
        <f t="shared" si="98"/>
        <v>6.9599999999999995E-2</v>
      </c>
      <c r="AA202" s="197">
        <f t="shared" si="65"/>
        <v>5.7927999999999997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6">
        <f t="shared" si="66"/>
        <v>842</v>
      </c>
      <c r="AE202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202" s="74" t="str">
        <f t="shared" si="68"/>
        <v>"C:\Program Files (x86)\AstroGrep\AstroGrep.exe" /e /r /s /spath="%USERPROFILE%\AppData\Local\Temp\OnboardLogs" /stypes="app*4043*20170826*" /stext=" 02:.+((SYSTEM_STATE.+slice.+state.+changed )|(ment ac)|(multiple cpu faults)|(system.+state.+changed )|(\[timeout)|(PRM\|1\|D)|(kpr)|(kdp)|(train st.+moving)|(\|lc)|(penalty))"</v>
      </c>
      <c r="AG202" s="209" t="str">
        <f t="shared" si="69"/>
        <v>NW</v>
      </c>
      <c r="AH202" s="78" t="str">
        <f t="shared" si="70"/>
        <v>"%USERPROFILE%\Documents\GitHub\eaglep3\Utilities\RefineRTDCRunTimes.py" --tripid 842-25 --locoid 4043 --swversion DE.1.0.9.0 --startMP 300:58624 --initTime 2017-08-25T20:37:09 --startdatetime 2017-08-25T20:39:19 --delay 1 --endMP 204:696 --enddatetime 2017-08-25T20:55:27 --enforcementcount 1 &gt;&gt;C:\Users\stu\Documents\GitHub\eaglep3-reporting\EC\2017-08-25-refined-times.txt</v>
      </c>
      <c r="AI202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{"issue":{"subject":"","project_id":79,"tracker_id":40,"status_id":1,"priority_id":2,"assigned_to_id":23,"start_date":"2017-08-25","description":"","custom_fields":[{"id":1,"name":"Subdivision","value":"NW"},{"id":4,"name":"Milepost","value":"0.0696"},{"id":17,"name":"Train ID","value":"842-25"},{"id":16,"name":"Locomotive ID","value":"4043"},{"id":130,"name":"Impact","value":""},{"id":150,"name":"Time of Event (Mountain Time)","value":"20:55:27"},{"id":151,"name":"Denver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2"/>
        <v>start /low /b %USERPROFILE%\Documents\GitHub\eaglep3\Utilities\DownloadLogsFromS3.py --loco 4043 --day 2017-08-25</v>
      </c>
      <c r="AN202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02:55:27"},{"id":29,"name":"Sharepoint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783</v>
      </c>
      <c r="B203" s="7">
        <v>4044</v>
      </c>
      <c r="C203" s="21" t="s">
        <v>197</v>
      </c>
      <c r="D203" s="21" t="s">
        <v>559</v>
      </c>
      <c r="E203" s="13">
        <v>42972.833831018521</v>
      </c>
      <c r="F203" s="13">
        <v>42972.848136574074</v>
      </c>
      <c r="G203" s="7">
        <v>14</v>
      </c>
      <c r="H203" s="21" t="s">
        <v>941</v>
      </c>
      <c r="I203" s="13">
        <v>42972.858136574076</v>
      </c>
      <c r="J203" s="7">
        <v>1</v>
      </c>
      <c r="K203" s="89" t="str">
        <f t="shared" si="60"/>
        <v>4043/4044</v>
      </c>
      <c r="L203" s="217" t="str">
        <f>VLOOKUP(A203,'Trips&amp;Operators'!$C$1:$G$99911,5,FALSE)</f>
        <v>BIRKHOLZ NADINE</v>
      </c>
      <c r="M203" s="6">
        <f t="shared" si="61"/>
        <v>1.0000000002037268E-2</v>
      </c>
      <c r="N203" s="7">
        <f t="shared" si="83"/>
        <v>14.400000002933666</v>
      </c>
      <c r="O203" s="7"/>
      <c r="P203" s="7"/>
      <c r="Q203" s="22"/>
      <c r="R203" s="170"/>
      <c r="S203" s="213">
        <f t="shared" si="84"/>
        <v>1</v>
      </c>
      <c r="T203" s="195" t="str">
        <f t="shared" si="62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3"/>
        <v>https://d0f6bd738d7f1b3e5a7ca70fe4ff75f0.us-east-1.aws.found.io/app/kibana#/discover/Steve-Slow-Train-Analysis-(2080s-and-2083s)?_g=(refreshInterval:(display:Off,pause:!f,section:0,value:0),time:(from:'2017-08-25T19:00:43-0600',mode:absolute,to:'2017-08-25T21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197" t="str">
        <f>IF(AA203&lt;VLOOKUP(AG203,Variables!$AC$3:$AD$8,2,FALSE),"Y","N")</f>
        <v>N</v>
      </c>
      <c r="X203" s="197">
        <f t="shared" si="76"/>
        <v>1</v>
      </c>
      <c r="Y203" s="197">
        <f t="shared" si="97"/>
        <v>9.69E-2</v>
      </c>
      <c r="Z203" s="197">
        <f t="shared" si="98"/>
        <v>5.8939000000000004</v>
      </c>
      <c r="AA203" s="197">
        <f t="shared" si="65"/>
        <v>5.7970000000000006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6">
        <f t="shared" si="66"/>
        <v>843</v>
      </c>
      <c r="AE203" s="77" t="str">
        <f t="shared" si="67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203" s="74" t="str">
        <f t="shared" si="68"/>
        <v>"C:\Program Files (x86)\AstroGrep\AstroGrep.exe" /e /r /s /spath="%USERPROFILE%\AppData\Local\Temp\OnboardLogs" /stypes="app*4044*20170826*" /stext=" 02:.+((SYSTEM_STATE.+slice.+state.+changed )|(ment ac)|(multiple cpu faults)|(system.+state.+changed )|(\[timeout)|(PRM\|1\|D)|(kpr)|(kdp)|(train st.+moving)|(\|lc)|(penalty))"</v>
      </c>
      <c r="AG203" s="209" t="str">
        <f t="shared" si="69"/>
        <v>NW</v>
      </c>
      <c r="AH203" s="78" t="str">
        <f t="shared" si="70"/>
        <v>"%USERPROFILE%\Documents\GitHub\eaglep3\Utilities\RefineRTDCRunTimes.py" --tripid 843-25 --locoid 4044 --swversion DE.1.0.9.0 --startMP 204:969 --initTime 2017-08-25T20:00:43 --startdatetime 2017-08-25T20:21:19 --delay 14 --endMP 300:58939 --enddatetime 2017-08-25T20:35:43 --enforcementcount 1 &gt;&gt;C:\Users\stu\Documents\GitHub\eaglep3-reporting\EC\2017-08-25-refined-times.txt</v>
      </c>
      <c r="AI203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{"issue":{"subject":"","project_id":79,"tracker_id":40,"status_id":1,"priority_id":2,"assigned_to_id":23,"start_date":"2017-08-25","description":"","custom_fields":[{"id":1,"name":"Subdivision","value":"NW"},{"id":4,"name":"Milepost","value":"5.8939"},{"id":17,"name":"Train ID","value":"843-25"},{"id":16,"name":"Locomotive ID","value":"4044"},{"id":130,"name":"Impact","value":""},{"id":150,"name":"Time of Event (Mountain Time)","value":"20:35:43"},{"id":151,"name":"Denver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2"/>
        <v>start /low /b %USERPROFILE%\Documents\GitHub\eaglep3\Utilities\DownloadLogsFromS3.py --loco 4044 --day 2017-08-25</v>
      </c>
      <c r="AN203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02:35:43"},{"id":29,"name":"Sharepoint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790</v>
      </c>
      <c r="B204" s="7">
        <v>4043</v>
      </c>
      <c r="C204" s="21" t="s">
        <v>197</v>
      </c>
      <c r="D204" s="21" t="s">
        <v>555</v>
      </c>
      <c r="E204" s="13">
        <v>42972.901203703703</v>
      </c>
      <c r="F204" s="13">
        <v>42972.902812499997</v>
      </c>
      <c r="G204" s="7">
        <v>1</v>
      </c>
      <c r="H204" s="21" t="s">
        <v>493</v>
      </c>
      <c r="I204" s="13">
        <v>42972.913611111115</v>
      </c>
      <c r="J204" s="7">
        <v>1</v>
      </c>
      <c r="K204" s="89" t="str">
        <f t="shared" si="60"/>
        <v>4043/4044</v>
      </c>
      <c r="L204" s="217" t="str">
        <f>VLOOKUP(A204,'Trips&amp;Operators'!$C$1:$G$99911,5,FALSE)</f>
        <v>BIRKHOLZ NADINE</v>
      </c>
      <c r="M204" s="6">
        <f t="shared" si="61"/>
        <v>1.0798611117934342E-2</v>
      </c>
      <c r="N204" s="7">
        <f t="shared" si="83"/>
        <v>15.550000009825453</v>
      </c>
      <c r="O204" s="7"/>
      <c r="P204" s="7"/>
      <c r="Q204" s="22"/>
      <c r="R204" s="170"/>
      <c r="S204" s="213">
        <f t="shared" si="84"/>
        <v>1</v>
      </c>
      <c r="T204" s="195" t="str">
        <f t="shared" si="62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3"/>
        <v>https://d0f6bd738d7f1b3e5a7ca70fe4ff75f0.us-east-1.aws.found.io/app/kibana#/discover/Steve-Slow-Train-Analysis-(2080s-and-2083s)?_g=(refreshInterval:(display:Off,pause:!f,section:0,value:0),time:(from:'2017-08-25T20:37:44-0600',mode:absolute,to:'2017-08-25T22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4" s="197" t="str">
        <f>IF(AA204&lt;VLOOKUP(AG204,Variables!$AC$3:$AD$8,2,FALSE),"Y","N")</f>
        <v>N</v>
      </c>
      <c r="X204" s="197">
        <f t="shared" si="76"/>
        <v>1</v>
      </c>
      <c r="Y204" s="197">
        <f t="shared" si="97"/>
        <v>5.8620999999999999</v>
      </c>
      <c r="Z204" s="197">
        <f t="shared" si="98"/>
        <v>6.7699999999999996E-2</v>
      </c>
      <c r="AA204" s="197">
        <f t="shared" si="65"/>
        <v>5.7943999999999996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6">
        <f t="shared" si="66"/>
        <v>844</v>
      </c>
      <c r="AE204" s="77" t="str">
        <f t="shared" si="67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204" s="74" t="str">
        <f t="shared" si="68"/>
        <v>"C:\Program Files (x86)\AstroGrep\AstroGrep.exe" /e /r /s /spath="%USERPROFILE%\AppData\Local\Temp\OnboardLogs" /stypes="app*4043*20170826*" /stext=" 03:.+((SYSTEM_STATE.+slice.+state.+changed )|(ment ac)|(multiple cpu faults)|(system.+state.+changed )|(\[timeout)|(PRM\|1\|D)|(kpr)|(kdp)|(train st.+moving)|(\|lc)|(penalty))"</v>
      </c>
      <c r="AG204" s="209" t="str">
        <f t="shared" si="69"/>
        <v>NW</v>
      </c>
      <c r="AH204" s="78" t="str">
        <f t="shared" si="70"/>
        <v>"%USERPROFILE%\Documents\GitHub\eaglep3\Utilities\RefineRTDCRunTimes.py" --tripid 844-25 --locoid 4043 --swversion DE.1.0.9.0 --startMP 300:58621 --initTime 2017-08-25T21:37:44 --startdatetime 2017-08-25T21:40:03 --delay 1 --endMP 204:677 --enddatetime 2017-08-25T21:55:36 --enforcementcount 1 &gt;&gt;C:\Users\stu\Documents\GitHub\eaglep3-reporting\EC\2017-08-25-refined-times.txt</v>
      </c>
      <c r="AI204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{"issue":{"subject":"","project_id":79,"tracker_id":40,"status_id":1,"priority_id":2,"assigned_to_id":23,"start_date":"2017-08-25","description":"","custom_fields":[{"id":1,"name":"Subdivision","value":"NW"},{"id":4,"name":"Milepost","value":"0.0677"},{"id":17,"name":"Train ID","value":"844-25"},{"id":16,"name":"Locomotive ID","value":"4043"},{"id":130,"name":"Impact","value":""},{"id":150,"name":"Time of Event (Mountain Time)","value":"21:55:36"},{"id":151,"name":"Denver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2"/>
        <v>start /low /b %USERPROFILE%\Documents\GitHub\eaglep3\Utilities\DownloadLogsFromS3.py --loco 4043 --day 2017-08-25</v>
      </c>
      <c r="AN204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03:55:36"},{"id":29,"name":"Sharepoint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789</v>
      </c>
      <c r="B205" s="7">
        <v>4044</v>
      </c>
      <c r="C205" s="21" t="s">
        <v>197</v>
      </c>
      <c r="D205" s="21" t="s">
        <v>929</v>
      </c>
      <c r="E205" s="13">
        <v>42972.876562500001</v>
      </c>
      <c r="F205" s="13">
        <v>42972.889791666668</v>
      </c>
      <c r="G205" s="7">
        <v>1</v>
      </c>
      <c r="H205" s="21" t="s">
        <v>937</v>
      </c>
      <c r="I205" s="13">
        <v>42972.899814814817</v>
      </c>
      <c r="J205" s="7">
        <v>1</v>
      </c>
      <c r="K205" s="89" t="str">
        <f t="shared" ref="K205:K241" si="99">IF(ISEVEN(B205),(B205-1)&amp;"/"&amp;B205,B205&amp;"/"&amp;(B205+1))</f>
        <v>4043/4044</v>
      </c>
      <c r="L205" s="217" t="str">
        <f>VLOOKUP(A205,'Trips&amp;Operators'!$C$1:$G$99911,5,FALSE)</f>
        <v>BIRKHOLZ NADINE</v>
      </c>
      <c r="M205" s="6">
        <f t="shared" ref="M205:M241" si="100">I205-F205</f>
        <v>1.0023148148320615E-2</v>
      </c>
      <c r="N205" s="7">
        <f t="shared" si="83"/>
        <v>14.433333333581686</v>
      </c>
      <c r="O205" s="7"/>
      <c r="P205" s="7"/>
      <c r="Q205" s="22"/>
      <c r="R205" s="170"/>
      <c r="S205" s="213">
        <f t="shared" si="84"/>
        <v>1</v>
      </c>
      <c r="T205" s="195" t="str">
        <f t="shared" ref="T205:T241" si="101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1" si="10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-25T20:02:15-0600',mode:absolute,to:'2017-08-25T22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5" s="197" t="str">
        <f>IF(AA205&lt;VLOOKUP(AG205,Variables!$AC$3:$AD$8,2,FALSE),"Y","N")</f>
        <v>N</v>
      </c>
      <c r="X205" s="197">
        <f t="shared" si="76"/>
        <v>1</v>
      </c>
      <c r="Y205" s="197">
        <f t="shared" si="97"/>
        <v>9.7600000000000006E-2</v>
      </c>
      <c r="Z205" s="197">
        <f t="shared" si="98"/>
        <v>5.8940999999999999</v>
      </c>
      <c r="AA205" s="197">
        <f t="shared" ref="AA205:AA268" si="103">ABS(Z205-Y205)</f>
        <v>5.7965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6">
        <f t="shared" ref="AD205:AD241" si="104">VALUE(LEFT(A205,LEN(A205)-3))</f>
        <v>845</v>
      </c>
      <c r="AE205" s="77" t="str">
        <f t="shared" ref="AE205:AE241" si="10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205" s="74" t="str">
        <f t="shared" ref="AF205:AF241" si="10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/stypes="app*4044*20170826*" /stext=" 03:.+((SYSTEM_STATE.+slice.+state.+changed )|(ment ac)|(multiple cpu faults)|(system.+state.+changed )|(\[timeout)|(PRM\|1\|D)|(kpr)|(kdp)|(train st.+moving)|(\|lc)|(penalty))"</v>
      </c>
      <c r="AG205" s="209" t="str">
        <f t="shared" ref="AG205:AG241" si="107">DetSubdiv(A205)</f>
        <v>NW</v>
      </c>
      <c r="AH205" s="78" t="str">
        <f t="shared" si="70"/>
        <v>"%USERPROFILE%\Documents\GitHub\eaglep3\Utilities\RefineRTDCRunTimes.py" --tripid 845-25 --locoid 4044 --swversion DE.1.0.9.0 --startMP 204:976 --initTime 2017-08-25T21:02:15 --startdatetime 2017-08-25T21:21:18 --delay 1 --endMP 300:58941 --enddatetime 2017-08-25T21:35:44 --enforcementcount 1 &gt;&gt;C:\Users\stu\Documents\GitHub\eaglep3-reporting\EC\2017-08-25-refined-times.txt</v>
      </c>
      <c r="AI205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{"issue":{"subject":"","project_id":79,"tracker_id":40,"status_id":1,"priority_id":2,"assigned_to_id":23,"start_date":"2017-08-25","description":"","custom_fields":[{"id":1,"name":"Subdivision","value":"NW"},{"id":4,"name":"Milepost","value":"5.8941"},{"id":17,"name":"Train ID","value":"845-25"},{"id":16,"name":"Locomotive ID","value":"4044"},{"id":130,"name":"Impact","value":""},{"id":150,"name":"Time of Event (Mountain Time)","value":"21:35:44"},{"id":151,"name":"Denver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2"/>
        <v>start /low /b %USERPROFILE%\Documents\GitHub\eaglep3\Utilities\DownloadLogsFromS3.py --loco 4044 --day 2017-08-25</v>
      </c>
      <c r="AN205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03:35:44"},{"id":29,"name":"Sharepoint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607</v>
      </c>
      <c r="B206" s="7">
        <v>4044</v>
      </c>
      <c r="C206" s="21" t="s">
        <v>197</v>
      </c>
      <c r="D206" s="21" t="s">
        <v>952</v>
      </c>
      <c r="E206" s="13">
        <v>42972.917175925926</v>
      </c>
      <c r="F206" s="13">
        <v>42972.931435185186</v>
      </c>
      <c r="G206" s="7">
        <v>1</v>
      </c>
      <c r="H206" s="21" t="s">
        <v>953</v>
      </c>
      <c r="I206" s="13">
        <v>42972.942465277774</v>
      </c>
      <c r="J206" s="7">
        <v>1</v>
      </c>
      <c r="K206" s="89" t="str">
        <f t="shared" si="99"/>
        <v>4043/4044</v>
      </c>
      <c r="L206" s="217" t="str">
        <f>VLOOKUP(A206,'Trips&amp;Operators'!$C$1:$G$99911,5,FALSE)</f>
        <v>MCREYNOLDS KYLE</v>
      </c>
      <c r="M206" s="6">
        <f t="shared" si="100"/>
        <v>1.1030092588043772E-2</v>
      </c>
      <c r="N206" s="7">
        <f t="shared" si="83"/>
        <v>15.883333326783031</v>
      </c>
      <c r="O206" s="7"/>
      <c r="P206" s="7"/>
      <c r="Q206" s="22"/>
      <c r="R206" s="170"/>
      <c r="S206" s="213">
        <f t="shared" si="84"/>
        <v>1</v>
      </c>
      <c r="T206" s="195" t="str">
        <f t="shared" si="101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102"/>
        <v>https://d0f6bd738d7f1b3e5a7ca70fe4ff75f0.us-east-1.aws.found.io/app/kibana#/discover/Steve-Slow-Train-Analysis-(2080s-and-2083s)?_g=(refreshInterval:(display:Off,pause:!f,section:0,value:0),time:(from:'2017-08-25T21:00:44-0600',mode:absolute,to:'2017-08-25T23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197" t="str">
        <f>IF(AA206&lt;VLOOKUP(AG206,Variables!$AC$3:$AD$8,2,FALSE),"Y","N")</f>
        <v>N</v>
      </c>
      <c r="X206" s="197">
        <f t="shared" si="76"/>
        <v>2</v>
      </c>
      <c r="Y206" s="197">
        <f t="shared" si="97"/>
        <v>9.8100000000000007E-2</v>
      </c>
      <c r="Z206" s="197">
        <f t="shared" si="98"/>
        <v>5.8943000000000003</v>
      </c>
      <c r="AA206" s="197">
        <f t="shared" si="103"/>
        <v>5.7962000000000007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6">
        <f t="shared" si="104"/>
        <v>847</v>
      </c>
      <c r="AE206" s="77" t="str">
        <f t="shared" si="105"/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AF206" s="74" t="str">
        <f t="shared" si="106"/>
        <v>"C:\Program Files (x86)\AstroGrep\AstroGrep.exe" /e /r /s /spath="%USERPROFILE%\AppData\Local\Temp\OnboardLogs" /stypes="app*4044*20170826*" /stext=" 04:.+((SYSTEM_STATE.+slice.+state.+changed )|(ment ac)|(multiple cpu faults)|(system.+state.+changed )|(\[timeout)|(PRM\|1\|D)|(kpr)|(kdp)|(train st.+moving)|(\|lc)|(penalty))"</v>
      </c>
      <c r="AG206" s="209" t="str">
        <f t="shared" si="107"/>
        <v>NW</v>
      </c>
      <c r="AH206" s="78" t="str">
        <f t="shared" si="70"/>
        <v>"%USERPROFILE%\Documents\GitHub\eaglep3\Utilities\RefineRTDCRunTimes.py" --tripid 847-25 --locoid 4044 --swversion DE.1.0.9.0 --startMP 204:981 --initTime 2017-08-25T22:00:44 --startdatetime 2017-08-25T22:21:16 --delay 1 --endMP 300:58943 --enddatetime 2017-08-25T22:37:09 --enforcementcount 1 &gt;&gt;C:\Users\stu\Documents\GitHub\eaglep3-reporting\EC\2017-08-25-refined-times.txt</v>
      </c>
      <c r="AI206" s="96" t="str">
        <f t="shared" si="71"/>
        <v>echo {"issue":{"subject":"","project_id":79,"tracker_id":40,"status_id":1,"priority_id":2,"assigned_to_id":23,"start_date":"2017-08-25","description":"","custom_fields":[{"id":1,"name":"Subdivision","value":"NW"},{"id":4,"name":"Milepost","value":"5.8943"},{"id":17,"name":"Train ID","value":"847-25"},{"id":16,"name":"Locomotive ID","value":"4044"},{"id":130,"name":"Impact","value":""},{"id":150,"name":"Time of Event (Mountain Time)","value":"22:37:09"},{"id":151,"name":"Denver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2"/>
        <v>start /low /b %USERPROFILE%\Documents\GitHub\eaglep3\Utilities\DownloadLogsFromS3.py --loco 4044 --day 2017-08-25</v>
      </c>
      <c r="AN206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04:37:09"},{"id":29,"name":"Sharepoint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810</v>
      </c>
      <c r="B207" s="7">
        <v>4051</v>
      </c>
      <c r="C207" s="21" t="s">
        <v>197</v>
      </c>
      <c r="D207" s="21" t="s">
        <v>878</v>
      </c>
      <c r="E207" s="13">
        <v>42973.113344907404</v>
      </c>
      <c r="F207" s="13">
        <v>42973.117881944447</v>
      </c>
      <c r="G207" s="7">
        <v>6</v>
      </c>
      <c r="H207" s="21" t="s">
        <v>452</v>
      </c>
      <c r="I207" s="13">
        <v>42973.123680555553</v>
      </c>
      <c r="J207" s="7">
        <v>1</v>
      </c>
      <c r="K207" s="89" t="str">
        <f t="shared" si="99"/>
        <v>4051/4052</v>
      </c>
      <c r="L207" s="217" t="str">
        <f>VLOOKUP(A207,'Trips&amp;Operators'!$C$1:$G$99911,5,FALSE)</f>
        <v>MAELZER KURT</v>
      </c>
      <c r="M207" s="6">
        <f t="shared" si="100"/>
        <v>5.798611106001772E-3</v>
      </c>
      <c r="N207" s="7">
        <f t="shared" si="83"/>
        <v>8.3499999926425517</v>
      </c>
      <c r="O207" s="7"/>
      <c r="P207" s="7"/>
      <c r="Q207" s="22"/>
      <c r="R207" s="170"/>
      <c r="S207" s="213">
        <f t="shared" si="84"/>
        <v>1</v>
      </c>
      <c r="T207" s="195" t="str">
        <f t="shared" si="101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102"/>
        <v>https://d0f6bd738d7f1b3e5a7ca70fe4ff75f0.us-east-1.aws.found.io/app/kibana#/discover/Steve-Slow-Train-Analysis-(2080s-and-2083s)?_g=(refreshInterval:(display:Off,pause:!f,section:0,value:0),time:(from:'2017-08-26T01:43:13-0600',mode:absolute,to:'2017-08-26T03:58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197" t="str">
        <f>IF(AA207&lt;VLOOKUP(AG207,Variables!$AC$3:$AD$8,2,FALSE),"Y","N")</f>
        <v>Y</v>
      </c>
      <c r="X207" s="197">
        <f t="shared" si="76"/>
        <v>-547</v>
      </c>
      <c r="Y207" s="197">
        <f t="shared" si="97"/>
        <v>2.1890000000000001</v>
      </c>
      <c r="Z207" s="197">
        <f t="shared" si="98"/>
        <v>1.2999999999999999E-2</v>
      </c>
      <c r="AA207" s="197">
        <f t="shared" si="103"/>
        <v>2.1760000000000002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6">
        <f t="shared" si="104"/>
        <v>300</v>
      </c>
      <c r="AE207" s="77" t="str">
        <f t="shared" si="105"/>
        <v>aws s3 cp s3://rtdc.mdm.uploadarchive.raw/RTDC4051/ "%USERPROFILE%\AppData\Local\Temp\OnboardLogs"\RTDC4051\2017-08-26 --exclude "*" --recursive --include "*20170826*" &amp; "%USERPROFILE%\Documents\GitHub\mrs-test-scripts\Headless Mode &amp; Sideloading\WalkAndUnGZ.bat" "%USERPROFILE%\AppData\Local\Temp\OnboardLogs"\RTDC4051\2017-08-26 &amp; aws s3 cp s3://rtdc.mdm.uploadarchive.raw/RTDC4051/ "%USERPROFILE%\AppData\Local\Temp\OnboardLogs"\RTDC4051\2017-08-27 --exclude "*" --recursive --include "*20170827*" &amp; "%USERPROFILE%\Documents\GitHub\mrs-test-scripts\Headless Mode &amp; Sideloading\WalkAndUnGZ.bat" "%USERPROFILE%\AppData\Local\Temp\OnboardLogs"\RTDC4051\2017-08-27</v>
      </c>
      <c r="AF207" s="74" t="str">
        <f t="shared" si="106"/>
        <v>"C:\Program Files (x86)\AstroGrep\AstroGrep.exe" /e /r /s /spath="%USERPROFILE%\AppData\Local\Temp\OnboardLogs" /stypes="app*4051*20170826*" /stext=" 08:.+((SYSTEM_STATE.+slice.+state.+changed )|(ment ac)|(multiple cpu faults)|(system.+state.+changed )|(\[timeout)|(PRM\|1\|D)|(kpr)|(kdp)|(train st.+moving)|(\|lc)|(penalty))"</v>
      </c>
      <c r="AG207" s="209" t="str">
        <f t="shared" si="107"/>
        <v>Other</v>
      </c>
      <c r="AH207" s="78" t="str">
        <f t="shared" si="70"/>
        <v>"%USERPROFILE%\Documents\GitHub\eaglep3\Utilities\RefineRTDCRunTimes.py" --tripid 300-26 --locoid 4051 --swversion DE.1.0.9.0 --startMP 300:21890 --initTime 2017-08-26T02:43:13 --startdatetime 2017-08-26T02:49:45 --delay 6 --endMP 204:130 --enddatetime 2017-08-26T02:58:06 --enforcementcount 1 &gt;&gt;C:\Users\stu\Documents\GitHub\eaglep3-reporting\EC\2017-08-25-refined-times.txt</v>
      </c>
      <c r="AI207" s="96" t="str">
        <f t="shared" si="71"/>
        <v>echo {"issue":{"subject":"","project_id":79,"tracker_id":40,"status_id":1,"priority_id":2,"assigned_to_id":23,"start_date":"2017-08-26","description":"","custom_fields":[{"id":1,"name":"Subdivision","value":"Other"},{"id":4,"name":"Milepost","value":"0.013"},{"id":17,"name":"Train ID","value":"300-26"},{"id":16,"name":"Locomotive ID","value":"4051"},{"id":130,"name":"Impact","value":""},{"id":150,"name":"Time of Event (Mountain Time)","value":"02:58:06"},{"id":151,"name":"Denver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2"/>
        <v>start /low /b %USERPROFILE%\Documents\GitHub\eaglep3\Utilities\DownloadLogsFromS3.py --loco 4051 --day 2017-08-26</v>
      </c>
      <c r="AN207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08:58:06"},{"id":29,"name":"Sharepoint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771</v>
      </c>
      <c r="B208" s="7">
        <v>4014</v>
      </c>
      <c r="C208" s="21" t="s">
        <v>197</v>
      </c>
      <c r="D208" s="21" t="s">
        <v>374</v>
      </c>
      <c r="E208" s="13">
        <v>42972.778240740743</v>
      </c>
      <c r="F208" s="13">
        <v>42972.779351851852</v>
      </c>
      <c r="G208" s="7">
        <v>1</v>
      </c>
      <c r="H208" s="21" t="s">
        <v>545</v>
      </c>
      <c r="I208" s="13">
        <v>42972.786932870367</v>
      </c>
      <c r="J208" s="7">
        <v>1</v>
      </c>
      <c r="K208" s="89" t="str">
        <f t="shared" si="99"/>
        <v>4013/4014</v>
      </c>
      <c r="L208" s="217" t="str">
        <f>VLOOKUP(A208,'Trips&amp;Operators'!$C$1:$G$99911,5,FALSE)</f>
        <v>GUNTHIER ERIC</v>
      </c>
      <c r="M208" s="6">
        <f t="shared" si="100"/>
        <v>7.5810185153386556E-3</v>
      </c>
      <c r="N208" s="7">
        <f t="shared" si="83"/>
        <v>10.916666662087664</v>
      </c>
      <c r="O208" s="7"/>
      <c r="P208" s="7"/>
      <c r="Q208" s="22"/>
      <c r="R208" s="170"/>
      <c r="S208" s="213">
        <f t="shared" si="84"/>
        <v>1</v>
      </c>
      <c r="T208" s="195" t="str">
        <f t="shared" si="101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102"/>
        <v>https://d0f6bd738d7f1b3e5a7ca70fe4ff75f0.us-east-1.aws.found.io/app/kibana#/discover/Steve-Slow-Train-Analysis-(2080s-and-2083s)?_g=(refreshInterval:(display:Off,pause:!f,section:0,value:0),time:(from:'2017-08-25T17:40:40-0600',mode:absolute,to:'2017-08-25T19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8" s="197" t="str">
        <f>IF(AA208&lt;VLOOKUP(AG208,Variables!$AC$3:$AD$8,2,FALSE),"Y","N")</f>
        <v>Y</v>
      </c>
      <c r="X208" s="197">
        <f t="shared" si="76"/>
        <v>1</v>
      </c>
      <c r="Y208" s="197">
        <f t="shared" si="97"/>
        <v>4.6399999999999997E-2</v>
      </c>
      <c r="Z208" s="197">
        <f t="shared" si="98"/>
        <v>2.331</v>
      </c>
      <c r="AA208" s="197">
        <f t="shared" si="103"/>
        <v>2.2846000000000002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6">
        <f t="shared" si="104"/>
        <v>301</v>
      </c>
      <c r="AE208" s="77" t="str">
        <f t="shared" si="105"/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AF208" s="74" t="str">
        <f t="shared" si="106"/>
        <v>"C:\Program Files (x86)\AstroGrep\AstroGrep.exe" /e /r /s /spath="%USERPROFILE%\AppData\Local\Temp\OnboardLogs" /stypes="app*4014*20170826*" /stext=" 00:.+((SYSTEM_STATE.+slice.+state.+changed )|(ment ac)|(multiple cpu faults)|(system.+state.+changed )|(\[timeout)|(PRM\|1\|D)|(kpr)|(kdp)|(train st.+moving)|(\|lc)|(penalty))"</v>
      </c>
      <c r="AG208" s="209" t="str">
        <f t="shared" si="107"/>
        <v>Other</v>
      </c>
      <c r="AH208" s="78" t="str">
        <f t="shared" si="70"/>
        <v>"%USERPROFILE%\Documents\GitHub\eaglep3\Utilities\RefineRTDCRunTimes.py" --tripid 301-25 --locoid 4014 --swversion DE.1.0.9.0 --startMP 204:464 --initTime 2017-08-25T18:40:40 --startdatetime 2017-08-25T18:42:16 --delay 1 --endMP 300:23310 --enddatetime 2017-08-25T18:53:11 --enforcementcount 1 &gt;&gt;C:\Users\stu\Documents\GitHub\eaglep3-reporting\EC\2017-08-25-refined-times.txt</v>
      </c>
      <c r="AI208" s="96" t="str">
        <f t="shared" si="71"/>
        <v>echo {"issue":{"subject":"","project_id":79,"tracker_id":40,"status_id":1,"priority_id":2,"assigned_to_id":23,"start_date":"2017-08-25","description":"","custom_fields":[{"id":1,"name":"Subdivision","value":"Other"},{"id":4,"name":"Milepost","value":"2.331"},{"id":17,"name":"Train ID","value":"301-25"},{"id":16,"name":"Locomotive ID","value":"4014"},{"id":130,"name":"Impact","value":""},{"id":150,"name":"Time of Event (Mountain Time)","value":"18:53:11"},{"id":151,"name":"Denver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2"/>
        <v>start /low /b %USERPROFILE%\Documents\GitHub\eaglep3\Utilities\DownloadLogsFromS3.py --loco 4014 --day 2017-08-25</v>
      </c>
      <c r="AN208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609</v>
      </c>
      <c r="B209" s="7">
        <v>4029</v>
      </c>
      <c r="C209" s="21" t="s">
        <v>197</v>
      </c>
      <c r="D209" s="21" t="s">
        <v>879</v>
      </c>
      <c r="E209" s="13">
        <v>42972.135162037041</v>
      </c>
      <c r="F209" s="13">
        <v>42972.138877314814</v>
      </c>
      <c r="G209" s="7">
        <v>5</v>
      </c>
      <c r="H209" s="21" t="s">
        <v>391</v>
      </c>
      <c r="I209" s="13">
        <v>42972.145439814813</v>
      </c>
      <c r="J209" s="7">
        <v>1</v>
      </c>
      <c r="K209" s="89" t="str">
        <f t="shared" si="99"/>
        <v>4029/4030</v>
      </c>
      <c r="L209" s="217" t="str">
        <f>VLOOKUP(A209,'Trips&amp;Operators'!$C$1:$G$99911,5,FALSE)</f>
        <v>WILLIAMS DONTE</v>
      </c>
      <c r="M209" s="6">
        <f t="shared" si="100"/>
        <v>6.5624999988358468E-3</v>
      </c>
      <c r="N209" s="7">
        <f t="shared" si="83"/>
        <v>9.4499999983236194</v>
      </c>
      <c r="O209" s="7"/>
      <c r="P209" s="7"/>
      <c r="Q209" s="22"/>
      <c r="R209" s="170"/>
      <c r="S209" s="213">
        <f t="shared" si="84"/>
        <v>1</v>
      </c>
      <c r="T209" s="195" t="str">
        <f t="shared" si="101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102"/>
        <v>https://d0f6bd738d7f1b3e5a7ca70fe4ff75f0.us-east-1.aws.found.io/app/kibana#/discover/Steve-Slow-Train-Analysis-(2080s-and-2083s)?_g=(refreshInterval:(display:Off,pause:!f,section:0,value:0),time:(from:'2017-08-25T02:14:38-0600',mode:absolute,to:'2017-08-25T04:29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9" s="197" t="str">
        <f>IF(AA209&lt;VLOOKUP(AG209,Variables!$AC$3:$AD$8,2,FALSE),"Y","N")</f>
        <v>Y</v>
      </c>
      <c r="X209" s="197">
        <f t="shared" si="76"/>
        <v>1</v>
      </c>
      <c r="Y209" s="197">
        <f t="shared" si="97"/>
        <v>2.3714</v>
      </c>
      <c r="Z209" s="197">
        <f t="shared" si="98"/>
        <v>1.5599999999999999E-2</v>
      </c>
      <c r="AA209" s="197">
        <f t="shared" si="103"/>
        <v>2.3557999999999999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6">
        <f t="shared" si="104"/>
        <v>302</v>
      </c>
      <c r="AE209" s="77" t="str">
        <f t="shared" si="105"/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AF209" s="74" t="str">
        <f t="shared" si="106"/>
        <v>"C:\Program Files (x86)\AstroGrep\AstroGrep.exe" /e /r /s /spath="%USERPROFILE%\AppData\Local\Temp\OnboardLogs" /stypes="app*4029*20170825*" /stext=" 09:.+((SYSTEM_STATE.+slice.+state.+changed )|(ment ac)|(multiple cpu faults)|(system.+state.+changed )|(\[timeout)|(PRM\|1\|D)|(kpr)|(kdp)|(train st.+moving)|(\|lc)|(penalty))"</v>
      </c>
      <c r="AG209" s="209" t="str">
        <f t="shared" si="107"/>
        <v>Other</v>
      </c>
      <c r="AH209" s="78" t="str">
        <f t="shared" si="70"/>
        <v>"%USERPROFILE%\Documents\GitHub\eaglep3\Utilities\RefineRTDCRunTimes.py" --tripid 302-25 --locoid 4029 --swversion DE.1.0.9.0 --startMP 300:23714 --initTime 2017-08-25T03:14:38 --startdatetime 2017-08-25T03:19:59 --delay 5 --endMP 204:156 --enddatetime 2017-08-25T03:29:26 --enforcementcount 1 &gt;&gt;C:\Users\stu\Documents\GitHub\eaglep3-reporting\EC\2017-08-25-refined-times.txt</v>
      </c>
      <c r="AI209" s="96" t="str">
        <f t="shared" si="71"/>
        <v>echo {"issue":{"subject":"","project_id":79,"tracker_id":40,"status_id":1,"priority_id":2,"assigned_to_id":23,"start_date":"2017-08-25","description":"","custom_fields":[{"id":1,"name":"Subdivision","value":"Other"},{"id":4,"name":"Milepost","value":"0.0156"},{"id":17,"name":"Train ID","value":"302-25"},{"id":16,"name":"Locomotive ID","value":"4029"},{"id":130,"name":"Impact","value":""},{"id":150,"name":"Time of Event (Mountain Time)","value":"03:29:26"},{"id":151,"name":"Denver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2"/>
        <v>start /low /b %USERPROFILE%\Documents\GitHub\eaglep3\Utilities\DownloadLogsFromS3.py --loco 4029 --day 2017-08-25</v>
      </c>
      <c r="AN209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09:29:26"},{"id":29,"name":"Sharepoint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775</v>
      </c>
      <c r="B210" s="7">
        <v>4042</v>
      </c>
      <c r="C210" s="21" t="s">
        <v>197</v>
      </c>
      <c r="D210" s="21" t="s">
        <v>374</v>
      </c>
      <c r="E210" s="13">
        <v>42972.796655092592</v>
      </c>
      <c r="F210" s="13">
        <v>42972.799814814818</v>
      </c>
      <c r="G210" s="7">
        <v>1</v>
      </c>
      <c r="H210" s="21" t="s">
        <v>396</v>
      </c>
      <c r="I210" s="13">
        <v>42972.806134259263</v>
      </c>
      <c r="J210" s="7">
        <v>1</v>
      </c>
      <c r="K210" s="89" t="str">
        <f t="shared" si="99"/>
        <v>4041/4042</v>
      </c>
      <c r="L210" s="217" t="str">
        <f>VLOOKUP(A210,'Trips&amp;Operators'!$C$1:$G$99911,5,FALSE)</f>
        <v>LEVIN SCOTT</v>
      </c>
      <c r="M210" s="6">
        <f t="shared" si="100"/>
        <v>6.3194444446708076E-3</v>
      </c>
      <c r="N210" s="7">
        <f t="shared" si="83"/>
        <v>9.1000000003259629</v>
      </c>
      <c r="O210" s="7"/>
      <c r="P210" s="7"/>
      <c r="Q210" s="22"/>
      <c r="R210" s="170"/>
      <c r="S210" s="213">
        <f t="shared" si="84"/>
        <v>1</v>
      </c>
      <c r="T210" s="195" t="str">
        <f t="shared" si="101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102"/>
        <v>https://d0f6bd738d7f1b3e5a7ca70fe4ff75f0.us-east-1.aws.found.io/app/kibana#/discover/Steve-Slow-Train-Analysis-(2080s-and-2083s)?_g=(refreshInterval:(display:Off,pause:!f,section:0,value:0),time:(from:'2017-08-25T18:07:11-0600',mode:absolute,to:'2017-08-25T20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197" t="str">
        <f>IF(AA210&lt;VLOOKUP(AG210,Variables!$AC$3:$AD$8,2,FALSE),"Y","N")</f>
        <v>Y</v>
      </c>
      <c r="X210" s="197">
        <f t="shared" si="76"/>
        <v>1</v>
      </c>
      <c r="Y210" s="197">
        <f t="shared" si="97"/>
        <v>4.6399999999999997E-2</v>
      </c>
      <c r="Z210" s="197">
        <f t="shared" si="98"/>
        <v>2.3308</v>
      </c>
      <c r="AA210" s="197">
        <f t="shared" si="103"/>
        <v>2.2843999999999998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6">
        <f t="shared" si="104"/>
        <v>303</v>
      </c>
      <c r="AE210" s="77" t="str">
        <f t="shared" si="105"/>
        <v>aws s3 cp s3://rtdc.mdm.uploadarchive.raw/RTDC4042/ "%USERPROFILE%\AppData\Local\Temp\OnboardLogs"\RTDC4042\2017-08-25 --exclude "*" --recursive --include "*20170825*" &amp; "%USERPROFILE%\Documents\GitHub\mrs-test-scripts\Headless Mode &amp; Sideloading\WalkAndUnGZ.bat" "%USERPROFILE%\AppData\Local\Temp\OnboardLogs"\RTDC4042\2017-08-25 &amp; aws s3 cp s3://rtdc.mdm.uploadarchive.raw/RTDC4042/ "%USERPROFILE%\AppData\Local\Temp\OnboardLogs"\RTDC4042\2017-08-26 --exclude "*" --recursive --include "*20170826*" &amp; "%USERPROFILE%\Documents\GitHub\mrs-test-scripts\Headless Mode &amp; Sideloading\WalkAndUnGZ.bat" "%USERPROFILE%\AppData\Local\Temp\OnboardLogs"\RTDC4042\2017-08-26</v>
      </c>
      <c r="AF210" s="74" t="str">
        <f t="shared" si="106"/>
        <v>"C:\Program Files (x86)\AstroGrep\AstroGrep.exe" /e /r /s /spath="%USERPROFILE%\AppData\Local\Temp\OnboardLogs" /stypes="app*4042*20170826*" /stext=" 01:.+((SYSTEM_STATE.+slice.+state.+changed )|(ment ac)|(multiple cpu faults)|(system.+state.+changed )|(\[timeout)|(PRM\|1\|D)|(kpr)|(kdp)|(train st.+moving)|(\|lc)|(penalty))"</v>
      </c>
      <c r="AG210" s="209" t="str">
        <f t="shared" si="107"/>
        <v>Other</v>
      </c>
      <c r="AH210" s="78" t="str">
        <f t="shared" si="70"/>
        <v>"%USERPROFILE%\Documents\GitHub\eaglep3\Utilities\RefineRTDCRunTimes.py" --tripid 303-25 --locoid 4042 --swversion DE.1.0.9.0 --startMP 204:464 --initTime 2017-08-25T19:07:11 --startdatetime 2017-08-25T19:11:44 --delay 1 --endMP 300:23308 --enddatetime 2017-08-25T19:20:50 --enforcementcount 1 &gt;&gt;C:\Users\stu\Documents\GitHub\eaglep3-reporting\EC\2017-08-25-refined-times.txt</v>
      </c>
      <c r="AI210" s="96" t="str">
        <f t="shared" si="71"/>
        <v>echo {"issue":{"subject":"","project_id":79,"tracker_id":40,"status_id":1,"priority_id":2,"assigned_to_id":23,"start_date":"2017-08-25","description":"","custom_fields":[{"id":1,"name":"Subdivision","value":"Other"},{"id":4,"name":"Milepost","value":"2.3308"},{"id":17,"name":"Train ID","value":"303-25"},{"id":16,"name":"Locomotive ID","value":"4042"},{"id":130,"name":"Impact","value":""},{"id":150,"name":"Time of Event (Mountain Time)","value":"19:20:50"},{"id":151,"name":"Denver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2"/>
        <v>start /low /b %USERPROFILE%\Documents\GitHub\eaglep3\Utilities\DownloadLogsFromS3.py --loco 4042 --day 2017-08-25</v>
      </c>
      <c r="AN210" s="151" t="str">
        <f t="shared" si="7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613</v>
      </c>
      <c r="B211" s="7">
        <v>4063</v>
      </c>
      <c r="C211" s="21" t="s">
        <v>197</v>
      </c>
      <c r="D211" s="21" t="s">
        <v>880</v>
      </c>
      <c r="E211" s="13">
        <v>42972.160254629627</v>
      </c>
      <c r="F211" s="13">
        <v>42972.163425925923</v>
      </c>
      <c r="G211" s="7">
        <v>4</v>
      </c>
      <c r="H211" s="21" t="s">
        <v>862</v>
      </c>
      <c r="I211" s="13">
        <v>42972.168946759259</v>
      </c>
      <c r="J211" s="7">
        <v>1</v>
      </c>
      <c r="K211" s="89" t="str">
        <f t="shared" si="99"/>
        <v>4063/4064</v>
      </c>
      <c r="L211" s="217" t="str">
        <f>VLOOKUP(A211,'Trips&amp;Operators'!$C$1:$G$99911,5,FALSE)</f>
        <v>BONDS REYNALDO</v>
      </c>
      <c r="M211" s="6">
        <f t="shared" si="100"/>
        <v>5.5208333360496908E-3</v>
      </c>
      <c r="N211" s="7">
        <f t="shared" ref="N211:N241" si="108">24*60*SUM($M211:$M211)</f>
        <v>7.9500000039115548</v>
      </c>
      <c r="O211" s="7"/>
      <c r="P211" s="7"/>
      <c r="Q211" s="22"/>
      <c r="R211" s="170"/>
      <c r="S211" s="213">
        <f t="shared" ref="S211:S241" si="109">1/IF(AG211="EC",12,1)*SUM(U211:U211)</f>
        <v>1</v>
      </c>
      <c r="T211" s="195" t="str">
        <f t="shared" si="101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102"/>
        <v>https://d0f6bd738d7f1b3e5a7ca70fe4ff75f0.us-east-1.aws.found.io/app/kibana#/discover/Steve-Slow-Train-Analysis-(2080s-and-2083s)?_g=(refreshInterval:(display:Off,pause:!f,section:0,value:0),time:(from:'2017-08-25T02:50:46-0600',mode:absolute,to:'2017-08-25T05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1" s="197" t="str">
        <f>IF(AA211&lt;VLOOKUP(AG211,Variables!$AC$3:$AD$8,2,FALSE),"Y","N")</f>
        <v>Y</v>
      </c>
      <c r="X211" s="197">
        <f t="shared" si="76"/>
        <v>1</v>
      </c>
      <c r="Y211" s="197">
        <f t="shared" si="97"/>
        <v>2.3464</v>
      </c>
      <c r="Z211" s="197">
        <f t="shared" si="98"/>
        <v>1.6299999999999999E-2</v>
      </c>
      <c r="AA211" s="197">
        <f t="shared" si="103"/>
        <v>2.3300999999999998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6">
        <f t="shared" si="104"/>
        <v>304</v>
      </c>
      <c r="AE211" s="77" t="str">
        <f t="shared" si="105"/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AF211" s="74" t="str">
        <f t="shared" si="106"/>
        <v>"C:\Program Files (x86)\AstroGrep\AstroGrep.exe" /e /r /s /spath="%USERPROFILE%\AppData\Local\Temp\OnboardLogs" /stypes="app*4063*20170825*" /stext=" 10:.+((SYSTEM_STATE.+slice.+state.+changed )|(ment ac)|(multiple cpu faults)|(system.+state.+changed )|(\[timeout)|(PRM\|1\|D)|(kpr)|(kdp)|(train st.+moving)|(\|lc)|(penalty))"</v>
      </c>
      <c r="AG211" s="209" t="str">
        <f t="shared" si="107"/>
        <v>Other</v>
      </c>
      <c r="AH211" s="78" t="str">
        <f t="shared" si="70"/>
        <v>"%USERPROFILE%\Documents\GitHub\eaglep3\Utilities\RefineRTDCRunTimes.py" --tripid 304-25 --locoid 4063 --swversion DE.1.0.9.0 --startMP 300:23464 --initTime 2017-08-25T03:50:46 --startdatetime 2017-08-25T03:55:20 --delay 4 --endMP 204:163 --enddatetime 2017-08-25T04:03:17 --enforcementcount 1 &gt;&gt;C:\Users\stu\Documents\GitHub\eaglep3-reporting\EC\2017-08-25-refined-times.txt</v>
      </c>
      <c r="AI211" s="96" t="str">
        <f t="shared" si="71"/>
        <v>echo {"issue":{"subject":"","project_id":79,"tracker_id":40,"status_id":1,"priority_id":2,"assigned_to_id":23,"start_date":"2017-08-25","description":"","custom_fields":[{"id":1,"name":"Subdivision","value":"Other"},{"id":4,"name":"Milepost","value":"0.0163"},{"id":17,"name":"Train ID","value":"304-25"},{"id":16,"name":"Locomotive ID","value":"4063"},{"id":130,"name":"Impact","value":""},{"id":150,"name":"Time of Event (Mountain Time)","value":"04:03:17"},{"id":151,"name":"Denver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2"/>
        <v>start /low /b %USERPROFILE%\Documents\GitHub\eaglep3\Utilities\DownloadLogsFromS3.py --loco 4063 --day 2017-08-25</v>
      </c>
      <c r="AN211" s="151" t="str">
        <f t="shared" si="7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10:03:17"},{"id":29,"name":"Sharepoint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780</v>
      </c>
      <c r="B212" s="7">
        <v>4058</v>
      </c>
      <c r="C212" s="21" t="s">
        <v>197</v>
      </c>
      <c r="D212" s="21" t="s">
        <v>881</v>
      </c>
      <c r="E212" s="13">
        <v>42972.817511574074</v>
      </c>
      <c r="F212" s="13">
        <v>42972.819039351853</v>
      </c>
      <c r="G212" s="7">
        <v>1</v>
      </c>
      <c r="H212" s="21" t="s">
        <v>882</v>
      </c>
      <c r="I212" s="13">
        <v>42972.825069444443</v>
      </c>
      <c r="J212" s="7">
        <v>1</v>
      </c>
      <c r="K212" s="89" t="str">
        <f t="shared" si="99"/>
        <v>4057/4058</v>
      </c>
      <c r="L212" s="217" t="str">
        <f>VLOOKUP(A212,'Trips&amp;Operators'!$C$1:$G$99911,5,FALSE)</f>
        <v>HOLCOMB KAMDEN</v>
      </c>
      <c r="M212" s="6">
        <f t="shared" si="100"/>
        <v>6.0300925906631164E-3</v>
      </c>
      <c r="N212" s="7">
        <f t="shared" si="108"/>
        <v>8.6833333305548877</v>
      </c>
      <c r="O212" s="7"/>
      <c r="P212" s="7"/>
      <c r="Q212" s="22"/>
      <c r="R212" s="170"/>
      <c r="S212" s="213">
        <f t="shared" si="109"/>
        <v>1</v>
      </c>
      <c r="T212" s="195" t="str">
        <f t="shared" si="101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102"/>
        <v>https://d0f6bd738d7f1b3e5a7ca70fe4ff75f0.us-east-1.aws.found.io/app/kibana#/discover/Steve-Slow-Train-Analysis-(2080s-and-2083s)?_g=(refreshInterval:(display:Off,pause:!f,section:0,value:0),time:(from:'2017-08-25T18:37:13-0600',mode:absolute,to:'2017-08-25T20:48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2" s="197" t="str">
        <f>IF(AA212&lt;VLOOKUP(AG212,Variables!$AC$3:$AD$8,2,FALSE),"Y","N")</f>
        <v>Y</v>
      </c>
      <c r="X212" s="197">
        <f t="shared" si="76"/>
        <v>1</v>
      </c>
      <c r="Y212" s="197">
        <f t="shared" si="97"/>
        <v>4.2000000000000003E-2</v>
      </c>
      <c r="Z212" s="197">
        <f t="shared" si="98"/>
        <v>2.3319999999999999</v>
      </c>
      <c r="AA212" s="197">
        <f t="shared" si="103"/>
        <v>2.29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6">
        <f t="shared" si="104"/>
        <v>305</v>
      </c>
      <c r="AE212" s="77" t="str">
        <f t="shared" si="105"/>
        <v>aws s3 cp s3://rtdc.mdm.uploadarchive.raw/RTDC4058/ "%USERPROFILE%\AppData\Local\Temp\OnboardLogs"\RTDC4058\2017-08-25 --exclude "*" --recursive --include "*20170825*" &amp; "%USERPROFILE%\Documents\GitHub\mrs-test-scripts\Headless Mode &amp; Sideloading\WalkAndUnGZ.bat" "%USERPROFILE%\AppData\Local\Temp\OnboardLogs"\RTDC4058\2017-08-25 &amp; aws s3 cp s3://rtdc.mdm.uploadarchive.raw/RTDC4058/ "%USERPROFILE%\AppData\Local\Temp\OnboardLogs"\RTDC4058\2017-08-26 --exclude "*" --recursive --include "*20170826*" &amp; "%USERPROFILE%\Documents\GitHub\mrs-test-scripts\Headless Mode &amp; Sideloading\WalkAndUnGZ.bat" "%USERPROFILE%\AppData\Local\Temp\OnboardLogs"\RTDC4058\2017-08-26</v>
      </c>
      <c r="AF212" s="74" t="str">
        <f t="shared" si="106"/>
        <v>"C:\Program Files (x86)\AstroGrep\AstroGrep.exe" /e /r /s /spath="%USERPROFILE%\AppData\Local\Temp\OnboardLogs" /stypes="app*4058*20170826*" /stext=" 01:.+((SYSTEM_STATE.+slice.+state.+changed )|(ment ac)|(multiple cpu faults)|(system.+state.+changed )|(\[timeout)|(PRM\|1\|D)|(kpr)|(kdp)|(train st.+moving)|(\|lc)|(penalty))"</v>
      </c>
      <c r="AG212" s="209" t="str">
        <f t="shared" si="107"/>
        <v>Other</v>
      </c>
      <c r="AH212" s="78" t="str">
        <f t="shared" ref="AH212:AH241" si="110"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"&amp;J212&amp;IF(outputrefinedruntimes," &gt;&gt;"&amp;RefinedRTDCRunTimesOutputFile,"")</f>
        <v>"%USERPROFILE%\Documents\GitHub\eaglep3\Utilities\RefineRTDCRunTimes.py" --tripid 305-25 --locoid 4058 --swversion DE.1.0.9.0 --startMP 204:420 --initTime 2017-08-25T19:37:13 --startdatetime 2017-08-25T19:39:25 --delay 1 --endMP 300:23320 --enddatetime 2017-08-25T19:48:06 --enforcementcount 1 &gt;&gt;C:\Users\stu\Documents\GitHub\eaglep3-reporting\EC\2017-08-25-refined-times.txt</v>
      </c>
      <c r="AI212" s="96" t="str">
        <f t="shared" ref="AI212:AI241" si="111"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Z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{"issue":{"subject":"","project_id":79,"tracker_id":40,"status_id":1,"priority_id":2,"assigned_to_id":23,"start_date":"2017-08-25","description":"","custom_fields":[{"id":1,"name":"Subdivision","value":"Other"},{"id":4,"name":"Milepost","value":"2.332"},{"id":17,"name":"Train ID","value":"305-25"},{"id":16,"name":"Locomotive ID","value":"4058"},{"id":130,"name":"Impact","value":""},{"id":150,"name":"Time of Event (Mountain Time)","value":"19:48:06"},{"id":151,"name":"Denver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ref="AM212:AM241" si="112">"start /low /b "&amp;dls3logs&amp;" --loco "&amp;B212&amp;" --day "&amp;TEXT(F212,"YYYY-MM-DD")</f>
        <v>start /low /b %USERPROFILE%\Documents\GitHub\eaglep3\Utilities\DownloadLogsFromS3.py --loco 4058 --day 2017-08-25</v>
      </c>
      <c r="AN212" s="151" t="str">
        <f t="shared" ref="AN212:AN241" si="113">"echo {""issue"":{""subject"":"""&amp;R212&amp;""",""project_id"":30,""tracker_id"":4,""status_id"":"&amp;redmine_status_wcr&amp;",""priority_id"":"&amp;redmine_priority_wcr&amp;",""assigned_to_id"":"&amp;redmine_assignee_wcr&amp;",""start_date"":"""&amp;TEXT(I212-utc_offset/24,"YYYY-mm-dd")&amp;""",""description"":"""&amp;AJ212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01:48:06"},{"id":29,"name":"Sharepoint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614</v>
      </c>
      <c r="B213" s="7">
        <v>4031</v>
      </c>
      <c r="C213" s="21" t="s">
        <v>197</v>
      </c>
      <c r="D213" s="21" t="s">
        <v>883</v>
      </c>
      <c r="E213" s="13">
        <v>42972.166030092594</v>
      </c>
      <c r="F213" s="13">
        <v>42972.170324074075</v>
      </c>
      <c r="G213" s="7">
        <v>5</v>
      </c>
      <c r="H213" s="21" t="s">
        <v>340</v>
      </c>
      <c r="I213" s="13">
        <v>42972.180717592593</v>
      </c>
      <c r="J213" s="7">
        <v>1</v>
      </c>
      <c r="K213" s="89" t="str">
        <f t="shared" si="99"/>
        <v>4031/4032</v>
      </c>
      <c r="L213" s="217" t="str">
        <f>VLOOKUP(A213,'Trips&amp;Operators'!$C$1:$G$99911,5,FALSE)</f>
        <v>GEBRETEKLE DAGNEW</v>
      </c>
      <c r="M213" s="6">
        <f t="shared" si="100"/>
        <v>1.0393518517958E-2</v>
      </c>
      <c r="N213" s="7">
        <f t="shared" si="108"/>
        <v>14.96666666585952</v>
      </c>
      <c r="O213" s="7"/>
      <c r="P213" s="7"/>
      <c r="Q213" s="22"/>
      <c r="R213" s="170"/>
      <c r="S213" s="213">
        <f t="shared" si="109"/>
        <v>1</v>
      </c>
      <c r="T213" s="195" t="str">
        <f t="shared" si="101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102"/>
        <v>https://d0f6bd738d7f1b3e5a7ca70fe4ff75f0.us-east-1.aws.found.io/app/kibana#/discover/Steve-Slow-Train-Analysis-(2080s-and-2083s)?_g=(refreshInterval:(display:Off,pause:!f,section:0,value:0),time:(from:'2017-08-25T02:59:05-0600',mode:absolute,to:'2017-08-25T05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3" s="197" t="str">
        <f>IF(AA213&lt;VLOOKUP(AG213,Variables!$AC$3:$AD$8,2,FALSE),"Y","N")</f>
        <v>Y</v>
      </c>
      <c r="X213" s="197">
        <f t="shared" si="76"/>
        <v>1</v>
      </c>
      <c r="Y213" s="197">
        <f t="shared" si="97"/>
        <v>2.3275000000000001</v>
      </c>
      <c r="Z213" s="197">
        <f t="shared" si="98"/>
        <v>1.43E-2</v>
      </c>
      <c r="AA213" s="197">
        <f t="shared" si="103"/>
        <v>2.3132000000000001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6">
        <f t="shared" si="104"/>
        <v>306</v>
      </c>
      <c r="AE213" s="77" t="str">
        <f t="shared" si="105"/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AF213" s="74" t="str">
        <f t="shared" si="106"/>
        <v>"C:\Program Files (x86)\AstroGrep\AstroGrep.exe" /e /r /s /spath="%USERPROFILE%\AppData\Local\Temp\OnboardLogs" /stypes="app*4031*20170825*" /stext=" 10:.+((SYSTEM_STATE.+slice.+state.+changed )|(ment ac)|(multiple cpu faults)|(system.+state.+changed )|(\[timeout)|(PRM\|1\|D)|(kpr)|(kdp)|(train st.+moving)|(\|lc)|(penalty))"</v>
      </c>
      <c r="AG213" s="209" t="str">
        <f t="shared" si="107"/>
        <v>Other</v>
      </c>
      <c r="AH213" s="78" t="str">
        <f t="shared" si="110"/>
        <v>"%USERPROFILE%\Documents\GitHub\eaglep3\Utilities\RefineRTDCRunTimes.py" --tripid 306-25 --locoid 4031 --swversion DE.1.0.9.0 --startMP 300:23275 --initTime 2017-08-25T03:59:05 --startdatetime 2017-08-25T04:05:16 --delay 5 --endMP 204:143 --enddatetime 2017-08-25T04:20:14 --enforcementcount 1 &gt;&gt;C:\Users\stu\Documents\GitHub\eaglep3-reporting\EC\2017-08-25-refined-times.txt</v>
      </c>
      <c r="AI213" s="96" t="str">
        <f t="shared" si="111"/>
        <v>echo {"issue":{"subject":"","project_id":79,"tracker_id":40,"status_id":1,"priority_id":2,"assigned_to_id":23,"start_date":"2017-08-25","description":"","custom_fields":[{"id":1,"name":"Subdivision","value":"Other"},{"id":4,"name":"Milepost","value":"0.0143"},{"id":17,"name":"Train ID","value":"306-25"},{"id":16,"name":"Locomotive ID","value":"4031"},{"id":130,"name":"Impact","value":""},{"id":150,"name":"Time of Event (Mountain Time)","value":"04:20:14"},{"id":151,"name":"Denver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12"/>
        <v>start /low /b %USERPROFILE%\Documents\GitHub\eaglep3\Utilities\DownloadLogsFromS3.py --loco 4031 --day 2017-08-25</v>
      </c>
      <c r="AN213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10:20:14"},{"id":29,"name":"Sharepoint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804</v>
      </c>
      <c r="B214" s="7">
        <v>4030</v>
      </c>
      <c r="C214" s="21" t="s">
        <v>197</v>
      </c>
      <c r="D214" s="21" t="s">
        <v>366</v>
      </c>
      <c r="E214" s="13">
        <v>42973.047210648147</v>
      </c>
      <c r="F214" s="13">
        <v>42973.04859953704</v>
      </c>
      <c r="G214" s="7">
        <v>0</v>
      </c>
      <c r="H214" s="21" t="s">
        <v>545</v>
      </c>
      <c r="I214" s="13">
        <v>42973.056076388886</v>
      </c>
      <c r="J214" s="7">
        <v>1</v>
      </c>
      <c r="K214" s="89" t="str">
        <f t="shared" si="99"/>
        <v>4029/4030</v>
      </c>
      <c r="L214" s="217" t="str">
        <f>VLOOKUP(A214,'Trips&amp;Operators'!$C$1:$G$99911,5,FALSE)</f>
        <v>WEST BRYAN</v>
      </c>
      <c r="M214" s="6">
        <f t="shared" si="100"/>
        <v>7.4768518461496569E-3</v>
      </c>
      <c r="N214" s="7">
        <f t="shared" si="108"/>
        <v>10.766666658455506</v>
      </c>
      <c r="O214" s="7"/>
      <c r="P214" s="7"/>
      <c r="Q214" s="22"/>
      <c r="R214" s="170"/>
      <c r="S214" s="213">
        <f t="shared" si="109"/>
        <v>1</v>
      </c>
      <c r="T214" s="195" t="str">
        <f t="shared" si="101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102"/>
        <v>https://d0f6bd738d7f1b3e5a7ca70fe4ff75f0.us-east-1.aws.found.io/app/kibana#/discover/Steve-Slow-Train-Analysis-(2080s-and-2083s)?_g=(refreshInterval:(display:Off,pause:!f,section:0,value:0),time:(from:'2017-08-26T00:07:59-0600',mode:absolute,to:'2017-08-26T02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4" s="197" t="str">
        <f>IF(AA214&lt;VLOOKUP(AG214,Variables!$AC$3:$AD$8,2,FALSE),"Y","N")</f>
        <v>Y</v>
      </c>
      <c r="X214" s="197">
        <f t="shared" si="76"/>
        <v>1</v>
      </c>
      <c r="Y214" s="197">
        <f t="shared" si="97"/>
        <v>4.58E-2</v>
      </c>
      <c r="Z214" s="197">
        <f t="shared" si="98"/>
        <v>2.331</v>
      </c>
      <c r="AA214" s="197">
        <f t="shared" si="103"/>
        <v>2.2852000000000001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6">
        <f t="shared" si="104"/>
        <v>307</v>
      </c>
      <c r="AE214" s="77" t="str">
        <f t="shared" si="105"/>
        <v>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 &amp; aws s3 cp s3://rtdc.mdm.uploadarchive.raw/RTDC4030/ "%USERPROFILE%\AppData\Local\Temp\OnboardLogs"\RTDC4030\2017-08-27 --exclude "*" --recursive --include "*20170827*" &amp; "%USERPROFILE%\Documents\GitHub\mrs-test-scripts\Headless Mode &amp; Sideloading\WalkAndUnGZ.bat" "%USERPROFILE%\AppData\Local\Temp\OnboardLogs"\RTDC4030\2017-08-27</v>
      </c>
      <c r="AF214" s="74" t="str">
        <f t="shared" si="106"/>
        <v>"C:\Program Files (x86)\AstroGrep\AstroGrep.exe" /e /r /s /spath="%USERPROFILE%\AppData\Local\Temp\OnboardLogs" /stypes="app*4030*20170826*" /stext=" 07:.+((SYSTEM_STATE.+slice.+state.+changed )|(ment ac)|(multiple cpu faults)|(system.+state.+changed )|(\[timeout)|(PRM\|1\|D)|(kpr)|(kdp)|(train st.+moving)|(\|lc)|(penalty))"</v>
      </c>
      <c r="AG214" s="209" t="str">
        <f t="shared" si="107"/>
        <v>Other</v>
      </c>
      <c r="AH214" s="78" t="str">
        <f t="shared" si="110"/>
        <v>"%USERPROFILE%\Documents\GitHub\eaglep3\Utilities\RefineRTDCRunTimes.py" --tripid 307-25 --locoid 4030 --swversion DE.1.0.9.0 --startMP 204:458 --initTime 2017-08-26T01:07:59 --startdatetime 2017-08-26T01:09:59 --delay 0 --endMP 300:23310 --enddatetime 2017-08-26T01:20:45 --enforcementcount 1 &gt;&gt;C:\Users\stu\Documents\GitHub\eaglep3-reporting\EC\2017-08-25-refined-times.txt</v>
      </c>
      <c r="AI214" s="96" t="str">
        <f t="shared" si="111"/>
        <v>echo {"issue":{"subject":"","project_id":79,"tracker_id":40,"status_id":1,"priority_id":2,"assigned_to_id":23,"start_date":"2017-08-26","description":"","custom_fields":[{"id":1,"name":"Subdivision","value":"Other"},{"id":4,"name":"Milepost","value":"2.331"},{"id":17,"name":"Train ID","value":"307-25"},{"id":16,"name":"Locomotive ID","value":"4030"},{"id":130,"name":"Impact","value":""},{"id":150,"name":"Time of Event (Mountain Time)","value":"01:20:45"},{"id":151,"name":"Denver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12"/>
        <v>start /low /b %USERPROFILE%\Documents\GitHub\eaglep3\Utilities\DownloadLogsFromS3.py --loco 4030 --day 2017-08-26</v>
      </c>
      <c r="AN214" s="151" t="str">
        <f t="shared" si="11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07:20:45"},{"id":29,"name":"Sharepoint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618</v>
      </c>
      <c r="B215" s="7">
        <v>4013</v>
      </c>
      <c r="C215" s="21" t="s">
        <v>197</v>
      </c>
      <c r="D215" s="21" t="s">
        <v>884</v>
      </c>
      <c r="E215" s="13">
        <v>42972.178715277776</v>
      </c>
      <c r="F215" s="13">
        <v>42972.182511574072</v>
      </c>
      <c r="G215" s="7">
        <v>5</v>
      </c>
      <c r="H215" s="21" t="s">
        <v>338</v>
      </c>
      <c r="I215" s="13">
        <v>42972.191388888888</v>
      </c>
      <c r="J215" s="7">
        <v>1</v>
      </c>
      <c r="K215" s="89" t="str">
        <f t="shared" si="99"/>
        <v>4013/4014</v>
      </c>
      <c r="L215" s="217" t="str">
        <f>VLOOKUP(A215,'Trips&amp;Operators'!$C$1:$G$99911,5,FALSE)</f>
        <v>DAVIS WENDY</v>
      </c>
      <c r="M215" s="6">
        <f t="shared" si="100"/>
        <v>8.8773148163454607E-3</v>
      </c>
      <c r="N215" s="7">
        <f t="shared" si="108"/>
        <v>12.783333335537463</v>
      </c>
      <c r="O215" s="7"/>
      <c r="P215" s="7"/>
      <c r="Q215" s="22"/>
      <c r="R215" s="170"/>
      <c r="S215" s="213">
        <f t="shared" si="109"/>
        <v>1</v>
      </c>
      <c r="T215" s="195" t="str">
        <f t="shared" si="101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102"/>
        <v>https://d0f6bd738d7f1b3e5a7ca70fe4ff75f0.us-east-1.aws.found.io/app/kibana#/discover/Steve-Slow-Train-Analysis-(2080s-and-2083s)?_g=(refreshInterval:(display:Off,pause:!f,section:0,value:0),time:(from:'2017-08-25T03:17:21-0600',mode:absolute,to:'2017-08-25T05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5" s="197" t="str">
        <f>IF(AA215&lt;VLOOKUP(AG215,Variables!$AC$3:$AD$8,2,FALSE),"Y","N")</f>
        <v>Y</v>
      </c>
      <c r="X215" s="197">
        <f t="shared" si="76"/>
        <v>1</v>
      </c>
      <c r="Y215" s="197">
        <f t="shared" si="97"/>
        <v>2.3420999999999998</v>
      </c>
      <c r="Z215" s="197">
        <f t="shared" si="98"/>
        <v>1.4999999999999999E-2</v>
      </c>
      <c r="AA215" s="197">
        <f t="shared" si="103"/>
        <v>2.3270999999999997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6">
        <f t="shared" si="104"/>
        <v>308</v>
      </c>
      <c r="AE215" s="77" t="str">
        <f t="shared" si="105"/>
        <v>aws s3 cp s3://rtdc.mdm.uploadarchive.raw/RTDC4013/ "%USERPROFILE%\AppData\Local\Temp\OnboardLogs"\RTDC4013\2017-08-25 --exclude "*" --recursive --include "*20170825*" &amp; "%USERPROFILE%\Documents\GitHub\mrs-test-scripts\Headless Mode &amp; Sideloading\WalkAndUnGZ.bat" "%USERPROFILE%\AppData\Local\Temp\OnboardLogs"\RTDC4013\2017-08-25 &amp; aws s3 cp s3://rtdc.mdm.uploadarchive.raw/RTDC4013/ "%USERPROFILE%\AppData\Local\Temp\OnboardLogs"\RTDC4013\2017-08-26 --exclude "*" --recursive --include "*20170826*" &amp; "%USERPROFILE%\Documents\GitHub\mrs-test-scripts\Headless Mode &amp; Sideloading\WalkAndUnGZ.bat" "%USERPROFILE%\AppData\Local\Temp\OnboardLogs"\RTDC4013\2017-08-26</v>
      </c>
      <c r="AF215" s="74" t="str">
        <f t="shared" si="106"/>
        <v>"C:\Program Files (x86)\AstroGrep\AstroGrep.exe" /e /r /s /spath="%USERPROFILE%\AppData\Local\Temp\OnboardLogs" /stypes="app*4013*20170825*" /stext=" 10:.+((SYSTEM_STATE.+slice.+state.+changed )|(ment ac)|(multiple cpu faults)|(system.+state.+changed )|(\[timeout)|(PRM\|1\|D)|(kpr)|(kdp)|(train st.+moving)|(\|lc)|(penalty))"</v>
      </c>
      <c r="AG215" s="209" t="str">
        <f t="shared" si="107"/>
        <v>Other</v>
      </c>
      <c r="AH215" s="78" t="str">
        <f t="shared" si="110"/>
        <v>"%USERPROFILE%\Documents\GitHub\eaglep3\Utilities\RefineRTDCRunTimes.py" --tripid 308-25 --locoid 4013 --swversion DE.1.0.9.0 --startMP 300:23421 --initTime 2017-08-25T04:17:21 --startdatetime 2017-08-25T04:22:49 --delay 5 --endMP 204:150 --enddatetime 2017-08-25T04:35:36 --enforcementcount 1 &gt;&gt;C:\Users\stu\Documents\GitHub\eaglep3-reporting\EC\2017-08-25-refined-times.txt</v>
      </c>
      <c r="AI215" s="96" t="str">
        <f t="shared" si="111"/>
        <v>echo {"issue":{"subject":"","project_id":79,"tracker_id":40,"status_id":1,"priority_id":2,"assigned_to_id":23,"start_date":"2017-08-25","description":"","custom_fields":[{"id":1,"name":"Subdivision","value":"Other"},{"id":4,"name":"Milepost","value":"0.015"},{"id":17,"name":"Train ID","value":"308-25"},{"id":16,"name":"Locomotive ID","value":"4013"},{"id":130,"name":"Impact","value":""},{"id":150,"name":"Time of Event (Mountain Time)","value":"04:35:36"},{"id":151,"name":"Denver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12"/>
        <v>start /low /b %USERPROFILE%\Documents\GitHub\eaglep3\Utilities\DownloadLogsFromS3.py --loco 4013 --day 2017-08-25</v>
      </c>
      <c r="AN215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10:35:36"},{"id":29,"name":"Sharepoint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806</v>
      </c>
      <c r="B216" s="7">
        <v>4064</v>
      </c>
      <c r="C216" s="21" t="s">
        <v>197</v>
      </c>
      <c r="D216" s="21" t="s">
        <v>885</v>
      </c>
      <c r="E216" s="13">
        <v>42973.069004629629</v>
      </c>
      <c r="F216" s="13">
        <v>42973.071527777778</v>
      </c>
      <c r="G216" s="7">
        <v>1</v>
      </c>
      <c r="H216" s="21" t="s">
        <v>544</v>
      </c>
      <c r="I216" s="13">
        <v>42973.081377314818</v>
      </c>
      <c r="J216" s="7">
        <v>1</v>
      </c>
      <c r="K216" s="89" t="str">
        <f t="shared" si="99"/>
        <v>4063/4064</v>
      </c>
      <c r="L216" s="217" t="str">
        <f>VLOOKUP(A216,'Trips&amp;Operators'!$C$1:$G$99911,5,FALSE)</f>
        <v>PERKINS DARREN</v>
      </c>
      <c r="M216" s="6">
        <f t="shared" si="100"/>
        <v>9.8495370402815752E-3</v>
      </c>
      <c r="N216" s="7">
        <f t="shared" si="108"/>
        <v>14.183333338005468</v>
      </c>
      <c r="O216" s="7"/>
      <c r="P216" s="7"/>
      <c r="Q216" s="22"/>
      <c r="R216" s="170"/>
      <c r="S216" s="213">
        <f t="shared" si="109"/>
        <v>1</v>
      </c>
      <c r="T216" s="195" t="str">
        <f t="shared" si="101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102"/>
        <v>https://d0f6bd738d7f1b3e5a7ca70fe4ff75f0.us-east-1.aws.found.io/app/kibana#/discover/Steve-Slow-Train-Analysis-(2080s-and-2083s)?_g=(refreshInterval:(display:Off,pause:!f,section:0,value:0),time:(from:'2017-08-26T00:39:22-0600',mode:absolute,to:'2017-08-26T02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6" s="197" t="str">
        <f>IF(AA216&lt;VLOOKUP(AG216,Variables!$AC$3:$AD$8,2,FALSE),"Y","N")</f>
        <v>Y</v>
      </c>
      <c r="X216" s="197">
        <f t="shared" si="76"/>
        <v>1</v>
      </c>
      <c r="Y216" s="197">
        <f t="shared" si="97"/>
        <v>4.1599999999999998E-2</v>
      </c>
      <c r="Z216" s="197">
        <f t="shared" si="98"/>
        <v>2.3306</v>
      </c>
      <c r="AA216" s="197">
        <f t="shared" si="103"/>
        <v>2.2890000000000001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6">
        <f t="shared" si="104"/>
        <v>309</v>
      </c>
      <c r="AE216" s="77" t="str">
        <f t="shared" si="105"/>
        <v>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 &amp; 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</v>
      </c>
      <c r="AF216" s="74" t="str">
        <f t="shared" si="106"/>
        <v>"C:\Program Files (x86)\AstroGrep\AstroGrep.exe" /e /r /s /spath="%USERPROFILE%\AppData\Local\Temp\OnboardLogs" /stypes="app*4064*20170826*" /stext=" 07:.+((SYSTEM_STATE.+slice.+state.+changed )|(ment ac)|(multiple cpu faults)|(system.+state.+changed )|(\[timeout)|(PRM\|1\|D)|(kpr)|(kdp)|(train st.+moving)|(\|lc)|(penalty))"</v>
      </c>
      <c r="AG216" s="209" t="str">
        <f t="shared" si="107"/>
        <v>Other</v>
      </c>
      <c r="AH216" s="78" t="str">
        <f t="shared" si="110"/>
        <v>"%USERPROFILE%\Documents\GitHub\eaglep3\Utilities\RefineRTDCRunTimes.py" --tripid 309-25 --locoid 4064 --swversion DE.1.0.9.0 --startMP 204:416 --initTime 2017-08-26T01:39:22 --startdatetime 2017-08-26T01:43:00 --delay 1 --endMP 300:23306 --enddatetime 2017-08-26T01:57:11 --enforcementcount 1 &gt;&gt;C:\Users\stu\Documents\GitHub\eaglep3-reporting\EC\2017-08-25-refined-times.txt</v>
      </c>
      <c r="AI216" s="96" t="str">
        <f t="shared" si="111"/>
        <v>echo {"issue":{"subject":"","project_id":79,"tracker_id":40,"status_id":1,"priority_id":2,"assigned_to_id":23,"start_date":"2017-08-26","description":"","custom_fields":[{"id":1,"name":"Subdivision","value":"Other"},{"id":4,"name":"Milepost","value":"2.3306"},{"id":17,"name":"Train ID","value":"309-25"},{"id":16,"name":"Locomotive ID","value":"4064"},{"id":130,"name":"Impact","value":""},{"id":150,"name":"Time of Event (Mountain Time)","value":"01:57:11"},{"id":151,"name":"Denver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12"/>
        <v>start /low /b %USERPROFILE%\Documents\GitHub\eaglep3\Utilities\DownloadLogsFromS3.py --loco 4064 --day 2017-08-26</v>
      </c>
      <c r="AN216" s="151" t="str">
        <f t="shared" si="11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07:57:11"},{"id":29,"name":"Sharepoint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622</v>
      </c>
      <c r="B217" s="7">
        <v>4041</v>
      </c>
      <c r="C217" s="21" t="s">
        <v>197</v>
      </c>
      <c r="D217" s="21" t="s">
        <v>886</v>
      </c>
      <c r="E217" s="13">
        <v>42972.199664351851</v>
      </c>
      <c r="F217" s="13">
        <v>42972.204293981478</v>
      </c>
      <c r="G217" s="7">
        <v>6</v>
      </c>
      <c r="H217" s="21" t="s">
        <v>338</v>
      </c>
      <c r="I217" s="13">
        <v>42972.210243055553</v>
      </c>
      <c r="J217" s="7">
        <v>1</v>
      </c>
      <c r="K217" s="89" t="str">
        <f t="shared" si="99"/>
        <v>4041/4042</v>
      </c>
      <c r="L217" s="217" t="str">
        <f>VLOOKUP(A217,'Trips&amp;Operators'!$C$1:$G$99911,5,FALSE)</f>
        <v>DAVIDSON DAVID</v>
      </c>
      <c r="M217" s="6">
        <f t="shared" si="100"/>
        <v>5.9490740750334226E-3</v>
      </c>
      <c r="N217" s="7">
        <f t="shared" si="108"/>
        <v>8.5666666680481285</v>
      </c>
      <c r="O217" s="7"/>
      <c r="P217" s="7"/>
      <c r="Q217" s="22"/>
      <c r="R217" s="170"/>
      <c r="S217" s="213">
        <f t="shared" si="109"/>
        <v>1</v>
      </c>
      <c r="T217" s="195" t="str">
        <f t="shared" si="101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102"/>
        <v>https://d0f6bd738d7f1b3e5a7ca70fe4ff75f0.us-east-1.aws.found.io/app/kibana#/discover/Steve-Slow-Train-Analysis-(2080s-and-2083s)?_g=(refreshInterval:(display:Off,pause:!f,section:0,value:0),time:(from:'2017-08-25T03:47:31-0600',mode:absolute,to:'2017-08-25T06:02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197" t="str">
        <f>IF(AA217&lt;VLOOKUP(AG217,Variables!$AC$3:$AD$8,2,FALSE),"Y","N")</f>
        <v>Y</v>
      </c>
      <c r="X217" s="197">
        <f t="shared" si="76"/>
        <v>1</v>
      </c>
      <c r="Y217" s="197">
        <f t="shared" si="97"/>
        <v>2.3361999999999998</v>
      </c>
      <c r="Z217" s="197">
        <f t="shared" si="98"/>
        <v>1.4999999999999999E-2</v>
      </c>
      <c r="AA217" s="197">
        <f t="shared" si="103"/>
        <v>2.3211999999999997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6">
        <f t="shared" si="104"/>
        <v>310</v>
      </c>
      <c r="AE217" s="77" t="str">
        <f t="shared" si="105"/>
        <v>aws s3 cp s3://rtdc.mdm.uploadarchive.raw/RTDC4041/ "%USERPROFILE%\AppData\Local\Temp\OnboardLogs"\RTDC4041\2017-08-25 --exclude "*" --recursive --include "*20170825*" &amp; "%USERPROFILE%\Documents\GitHub\mrs-test-scripts\Headless Mode &amp; Sideloading\WalkAndUnGZ.bat" "%USERPROFILE%\AppData\Local\Temp\OnboardLogs"\RTDC4041\2017-08-25 &amp; aws s3 cp s3://rtdc.mdm.uploadarchive.raw/RTDC4041/ "%USERPROFILE%\AppData\Local\Temp\OnboardLogs"\RTDC4041\2017-08-26 --exclude "*" --recursive --include "*20170826*" &amp; "%USERPROFILE%\Documents\GitHub\mrs-test-scripts\Headless Mode &amp; Sideloading\WalkAndUnGZ.bat" "%USERPROFILE%\AppData\Local\Temp\OnboardLogs"\RTDC4041\2017-08-26</v>
      </c>
      <c r="AF217" s="74" t="str">
        <f t="shared" si="106"/>
        <v>"C:\Program Files (x86)\AstroGrep\AstroGrep.exe" /e /r /s /spath="%USERPROFILE%\AppData\Local\Temp\OnboardLogs" /stypes="app*4041*20170825*" /stext=" 11:.+((SYSTEM_STATE.+slice.+state.+changed )|(ment ac)|(multiple cpu faults)|(system.+state.+changed )|(\[timeout)|(PRM\|1\|D)|(kpr)|(kdp)|(train st.+moving)|(\|lc)|(penalty))"</v>
      </c>
      <c r="AG217" s="209" t="str">
        <f t="shared" si="107"/>
        <v>Other</v>
      </c>
      <c r="AH217" s="78" t="str">
        <f t="shared" si="110"/>
        <v>"%USERPROFILE%\Documents\GitHub\eaglep3\Utilities\RefineRTDCRunTimes.py" --tripid 310-25 --locoid 4041 --swversion DE.1.0.9.0 --startMP 300:23362 --initTime 2017-08-25T04:47:31 --startdatetime 2017-08-25T04:54:11 --delay 6 --endMP 204:150 --enddatetime 2017-08-25T05:02:45 --enforcementcount 1 &gt;&gt;C:\Users\stu\Documents\GitHub\eaglep3-reporting\EC\2017-08-25-refined-times.txt</v>
      </c>
      <c r="AI217" s="96" t="str">
        <f t="shared" si="111"/>
        <v>echo {"issue":{"subject":"","project_id":79,"tracker_id":40,"status_id":1,"priority_id":2,"assigned_to_id":23,"start_date":"2017-08-25","description":"","custom_fields":[{"id":1,"name":"Subdivision","value":"Other"},{"id":4,"name":"Milepost","value":"0.015"},{"id":17,"name":"Train ID","value":"310-25"},{"id":16,"name":"Locomotive ID","value":"4041"},{"id":130,"name":"Impact","value":""},{"id":150,"name":"Time of Event (Mountain Time)","value":"05:02:45"},{"id":151,"name":"Denver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12"/>
        <v>start /low /b %USERPROFILE%\Documents\GitHub\eaglep3\Utilities\DownloadLogsFromS3.py --loco 4041 --day 2017-08-25</v>
      </c>
      <c r="AN217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11:02:45"},{"id":29,"name":"Sharepoint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808</v>
      </c>
      <c r="B218" s="7">
        <v>4032</v>
      </c>
      <c r="C218" s="21" t="s">
        <v>197</v>
      </c>
      <c r="D218" s="21" t="s">
        <v>337</v>
      </c>
      <c r="E218" s="13">
        <v>42973.088958333334</v>
      </c>
      <c r="F218" s="13">
        <v>42973.089953703704</v>
      </c>
      <c r="G218" s="7">
        <v>1</v>
      </c>
      <c r="H218" s="21" t="s">
        <v>342</v>
      </c>
      <c r="I218" s="13">
        <v>42973.100104166668</v>
      </c>
      <c r="J218" s="7">
        <v>1</v>
      </c>
      <c r="K218" s="89" t="str">
        <f t="shared" si="99"/>
        <v>4031/4032</v>
      </c>
      <c r="L218" s="217" t="str">
        <f>VLOOKUP(A218,'Trips&amp;Operators'!$C$1:$G$99911,5,FALSE)</f>
        <v>FORTUNATO FRANK</v>
      </c>
      <c r="M218" s="6">
        <f t="shared" si="100"/>
        <v>1.0150462963792961E-2</v>
      </c>
      <c r="N218" s="7">
        <f t="shared" si="108"/>
        <v>14.616666667861864</v>
      </c>
      <c r="O218" s="7"/>
      <c r="P218" s="7"/>
      <c r="Q218" s="22"/>
      <c r="R218" s="170"/>
      <c r="S218" s="213">
        <f t="shared" si="109"/>
        <v>1</v>
      </c>
      <c r="T218" s="195" t="str">
        <f t="shared" si="101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102"/>
        <v>https://d0f6bd738d7f1b3e5a7ca70fe4ff75f0.us-east-1.aws.found.io/app/kibana#/discover/Steve-Slow-Train-Analysis-(2080s-and-2083s)?_g=(refreshInterval:(display:Off,pause:!f,section:0,value:0),time:(from:'2017-08-26T01:08:06-0600',mode:absolute,to:'2017-08-26T03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8" s="197" t="str">
        <f>IF(AA218&lt;VLOOKUP(AG218,Variables!$AC$3:$AD$8,2,FALSE),"Y","N")</f>
        <v>Y</v>
      </c>
      <c r="X218" s="197">
        <f t="shared" si="76"/>
        <v>1</v>
      </c>
      <c r="Y218" s="197">
        <f t="shared" ref="Y218:Y241" si="114">RIGHT(D218,LEN(D218)-4)/10000</f>
        <v>4.4600000000000001E-2</v>
      </c>
      <c r="Z218" s="197">
        <f t="shared" ref="Z218:Z241" si="115">RIGHT(H218,LEN(H218)-4)/10000</f>
        <v>2.3346</v>
      </c>
      <c r="AA218" s="197">
        <f t="shared" si="103"/>
        <v>2.29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6">
        <f t="shared" si="104"/>
        <v>311</v>
      </c>
      <c r="AE218" s="77" t="str">
        <f t="shared" si="105"/>
        <v>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 &amp; aws s3 cp s3://rtdc.mdm.uploadarchive.raw/RTDC4032/ "%USERPROFILE%\AppData\Local\Temp\OnboardLogs"\RTDC4032\2017-08-27 --exclude "*" --recursive --include "*20170827*" &amp; "%USERPROFILE%\Documents\GitHub\mrs-test-scripts\Headless Mode &amp; Sideloading\WalkAndUnGZ.bat" "%USERPROFILE%\AppData\Local\Temp\OnboardLogs"\RTDC4032\2017-08-27</v>
      </c>
      <c r="AF218" s="74" t="str">
        <f t="shared" si="106"/>
        <v>"C:\Program Files (x86)\AstroGrep\AstroGrep.exe" /e /r /s /spath="%USERPROFILE%\AppData\Local\Temp\OnboardLogs" /stypes="app*4032*20170826*" /stext=" 08:.+((SYSTEM_STATE.+slice.+state.+changed )|(ment ac)|(multiple cpu faults)|(system.+state.+changed )|(\[timeout)|(PRM\|1\|D)|(kpr)|(kdp)|(train st.+moving)|(\|lc)|(penalty))"</v>
      </c>
      <c r="AG218" s="209" t="str">
        <f t="shared" si="107"/>
        <v>Other</v>
      </c>
      <c r="AH218" s="78" t="str">
        <f t="shared" si="110"/>
        <v>"%USERPROFILE%\Documents\GitHub\eaglep3\Utilities\RefineRTDCRunTimes.py" --tripid 311-25 --locoid 4032 --swversion DE.1.0.9.0 --startMP 204:446 --initTime 2017-08-26T02:08:06 --startdatetime 2017-08-26T02:09:32 --delay 1 --endMP 300:23346 --enddatetime 2017-08-26T02:24:09 --enforcementcount 1 &gt;&gt;C:\Users\stu\Documents\GitHub\eaglep3-reporting\EC\2017-08-25-refined-times.txt</v>
      </c>
      <c r="AI218" s="96" t="str">
        <f t="shared" si="111"/>
        <v>echo {"issue":{"subject":"","project_id":79,"tracker_id":40,"status_id":1,"priority_id":2,"assigned_to_id":23,"start_date":"2017-08-26","description":"","custom_fields":[{"id":1,"name":"Subdivision","value":"Other"},{"id":4,"name":"Milepost","value":"2.3346"},{"id":17,"name":"Train ID","value":"311-25"},{"id":16,"name":"Locomotive ID","value":"4032"},{"id":130,"name":"Impact","value":""},{"id":150,"name":"Time of Event (Mountain Time)","value":"02:24:09"},{"id":151,"name":"Denver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12"/>
        <v>start /low /b %USERPROFILE%\Documents\GitHub\eaglep3\Utilities\DownloadLogsFromS3.py --loco 4032 --day 2017-08-26</v>
      </c>
      <c r="AN218" s="151" t="str">
        <f t="shared" si="11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08:24:09"},{"id":29,"name":"Sharepoint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632</v>
      </c>
      <c r="B219" s="7">
        <v>4057</v>
      </c>
      <c r="C219" s="21" t="s">
        <v>197</v>
      </c>
      <c r="D219" s="21" t="s">
        <v>887</v>
      </c>
      <c r="E219" s="13">
        <v>42972.226921296293</v>
      </c>
      <c r="F219" s="13">
        <v>42972.229537037034</v>
      </c>
      <c r="G219" s="7">
        <v>3</v>
      </c>
      <c r="H219" s="21" t="s">
        <v>338</v>
      </c>
      <c r="I219" s="13">
        <v>42972.234479166669</v>
      </c>
      <c r="J219" s="7">
        <v>1</v>
      </c>
      <c r="K219" s="89" t="str">
        <f t="shared" si="99"/>
        <v>4057/4058</v>
      </c>
      <c r="L219" s="217" t="str">
        <f>VLOOKUP(A219,'Trips&amp;Operators'!$C$1:$G$99911,5,FALSE)</f>
        <v>LOZA FIDEL</v>
      </c>
      <c r="M219" s="6">
        <f t="shared" si="100"/>
        <v>4.9421296353102662E-3</v>
      </c>
      <c r="N219" s="7">
        <f t="shared" si="108"/>
        <v>7.1166666748467833</v>
      </c>
      <c r="O219" s="7"/>
      <c r="P219" s="7"/>
      <c r="Q219" s="22"/>
      <c r="R219" s="170"/>
      <c r="S219" s="213">
        <f t="shared" si="109"/>
        <v>1</v>
      </c>
      <c r="T219" s="195" t="str">
        <f t="shared" si="101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102"/>
        <v>https://d0f6bd738d7f1b3e5a7ca70fe4ff75f0.us-east-1.aws.found.io/app/kibana#/discover/Steve-Slow-Train-Analysis-(2080s-and-2083s)?_g=(refreshInterval:(display:Off,pause:!f,section:0,value:0),time:(from:'2017-08-25T04:26:46-0600',mode:absolute,to:'2017-08-25T06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9" s="197" t="str">
        <f>IF(AA219&lt;VLOOKUP(AG219,Variables!$AC$3:$AD$8,2,FALSE),"Y","N")</f>
        <v>Y</v>
      </c>
      <c r="X219" s="197">
        <f t="shared" ref="X219:X241" si="116">VALUE(LEFT(AD219,4))-VALUE(LEFT(AD218,4))</f>
        <v>1</v>
      </c>
      <c r="Y219" s="197">
        <f t="shared" si="114"/>
        <v>2.3288000000000002</v>
      </c>
      <c r="Z219" s="197">
        <f t="shared" si="115"/>
        <v>1.4999999999999999E-2</v>
      </c>
      <c r="AA219" s="197">
        <f t="shared" si="103"/>
        <v>2.3138000000000001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6">
        <f t="shared" si="104"/>
        <v>312</v>
      </c>
      <c r="AE219" s="77" t="str">
        <f t="shared" si="105"/>
        <v>aws s3 cp s3://rtdc.mdm.uploadarchive.raw/RTDC4057/ "%USERPROFILE%\AppData\Local\Temp\OnboardLogs"\RTDC4057\2017-08-25 --exclude "*" --recursive --include "*20170825*" &amp; "%USERPROFILE%\Documents\GitHub\mrs-test-scripts\Headless Mode &amp; Sideloading\WalkAndUnGZ.bat" "%USERPROFILE%\AppData\Local\Temp\OnboardLogs"\RTDC4057\2017-08-25 &amp; aws s3 cp s3://rtdc.mdm.uploadarchive.raw/RTDC4057/ "%USERPROFILE%\AppData\Local\Temp\OnboardLogs"\RTDC4057\2017-08-26 --exclude "*" --recursive --include "*20170826*" &amp; "%USERPROFILE%\Documents\GitHub\mrs-test-scripts\Headless Mode &amp; Sideloading\WalkAndUnGZ.bat" "%USERPROFILE%\AppData\Local\Temp\OnboardLogs"\RTDC4057\2017-08-26</v>
      </c>
      <c r="AF219" s="74" t="str">
        <f t="shared" si="106"/>
        <v>"C:\Program Files (x86)\AstroGrep\AstroGrep.exe" /e /r /s /spath="%USERPROFILE%\AppData\Local\Temp\OnboardLogs" /stypes="app*4057*20170825*" /stext=" 11:.+((SYSTEM_STATE.+slice.+state.+changed )|(ment ac)|(multiple cpu faults)|(system.+state.+changed )|(\[timeout)|(PRM\|1\|D)|(kpr)|(kdp)|(train st.+moving)|(\|lc)|(penalty))"</v>
      </c>
      <c r="AG219" s="209" t="str">
        <f t="shared" si="107"/>
        <v>Other</v>
      </c>
      <c r="AH219" s="78" t="str">
        <f t="shared" si="110"/>
        <v>"%USERPROFILE%\Documents\GitHub\eaglep3\Utilities\RefineRTDCRunTimes.py" --tripid 312-25 --locoid 4057 --swversion DE.1.0.9.0 --startMP 300:23288 --initTime 2017-08-25T05:26:46 --startdatetime 2017-08-25T05:30:32 --delay 3 --endMP 204:150 --enddatetime 2017-08-25T05:37:39 --enforcementcount 1 &gt;&gt;C:\Users\stu\Documents\GitHub\eaglep3-reporting\EC\2017-08-25-refined-times.txt</v>
      </c>
      <c r="AI219" s="96" t="str">
        <f t="shared" si="111"/>
        <v>echo {"issue":{"subject":"","project_id":79,"tracker_id":40,"status_id":1,"priority_id":2,"assigned_to_id":23,"start_date":"2017-08-25","description":"","custom_fields":[{"id":1,"name":"Subdivision","value":"Other"},{"id":4,"name":"Milepost","value":"0.015"},{"id":17,"name":"Train ID","value":"312-25"},{"id":16,"name":"Locomotive ID","value":"4057"},{"id":130,"name":"Impact","value":""},{"id":150,"name":"Time of Event (Mountain Time)","value":"05:37:39"},{"id":151,"name":"Denver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12"/>
        <v>start /low /b %USERPROFILE%\Documents\GitHub\eaglep3\Utilities\DownloadLogsFromS3.py --loco 4057 --day 2017-08-25</v>
      </c>
      <c r="AN219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11:37:39"},{"id":29,"name":"Sharepoint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521</v>
      </c>
      <c r="B220" s="7">
        <v>4066</v>
      </c>
      <c r="C220" s="21" t="s">
        <v>197</v>
      </c>
      <c r="D220" s="21" t="s">
        <v>366</v>
      </c>
      <c r="E220" s="13">
        <v>42972.089594907404</v>
      </c>
      <c r="F220" s="13">
        <v>42972.092291666668</v>
      </c>
      <c r="G220" s="7">
        <v>1</v>
      </c>
      <c r="H220" s="21" t="s">
        <v>342</v>
      </c>
      <c r="I220" s="13">
        <v>42972.101087962961</v>
      </c>
      <c r="J220" s="7">
        <v>1</v>
      </c>
      <c r="K220" s="89" t="str">
        <f t="shared" si="99"/>
        <v>4065/4066</v>
      </c>
      <c r="L220" s="217" t="str">
        <f>VLOOKUP(A220,'Trips&amp;Operators'!$C$1:$G$99911,5,FALSE)</f>
        <v>FORTUNATO FRANK</v>
      </c>
      <c r="M220" s="6">
        <f t="shared" si="100"/>
        <v>8.7962962934398092E-3</v>
      </c>
      <c r="N220" s="7">
        <f t="shared" si="108"/>
        <v>12.666666662553325</v>
      </c>
      <c r="O220" s="7"/>
      <c r="P220" s="7"/>
      <c r="Q220" s="22"/>
      <c r="R220" s="170"/>
      <c r="S220" s="213">
        <f t="shared" si="109"/>
        <v>1</v>
      </c>
      <c r="T220" s="195" t="str">
        <f t="shared" si="101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102"/>
        <v>https://d0f6bd738d7f1b3e5a7ca70fe4ff75f0.us-east-1.aws.found.io/app/kibana#/discover/Steve-Slow-Train-Analysis-(2080s-and-2083s)?_g=(refreshInterval:(display:Off,pause:!f,section:0,value:0),time:(from:'2017-08-25T01:09:01-0600',mode:absolute,to:'2017-08-25T03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0" s="197" t="str">
        <f>IF(AA220&lt;VLOOKUP(AG220,Variables!$AC$3:$AD$8,2,FALSE),"Y","N")</f>
        <v>Y</v>
      </c>
      <c r="X220" s="197">
        <f t="shared" si="116"/>
        <v>1</v>
      </c>
      <c r="Y220" s="197">
        <f t="shared" si="114"/>
        <v>4.58E-2</v>
      </c>
      <c r="Z220" s="197">
        <f t="shared" si="115"/>
        <v>2.3346</v>
      </c>
      <c r="AA220" s="197">
        <f t="shared" si="103"/>
        <v>2.2888000000000002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6">
        <f t="shared" si="104"/>
        <v>313</v>
      </c>
      <c r="AE220" s="77" t="str">
        <f t="shared" si="105"/>
        <v>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 &amp; 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</v>
      </c>
      <c r="AF220" s="74" t="str">
        <f t="shared" si="106"/>
        <v>"C:\Program Files (x86)\AstroGrep\AstroGrep.exe" /e /r /s /spath="%USERPROFILE%\AppData\Local\Temp\OnboardLogs" /stypes="app*4066*20170825*" /stext=" 08:.+((SYSTEM_STATE.+slice.+state.+changed )|(ment ac)|(multiple cpu faults)|(system.+state.+changed )|(\[timeout)|(PRM\|1\|D)|(kpr)|(kdp)|(train st.+moving)|(\|lc)|(penalty))"</v>
      </c>
      <c r="AG220" s="209" t="str">
        <f t="shared" si="107"/>
        <v>Other</v>
      </c>
      <c r="AH220" s="78" t="str">
        <f t="shared" si="110"/>
        <v>"%USERPROFILE%\Documents\GitHub\eaglep3\Utilities\RefineRTDCRunTimes.py" --tripid 313-24 --locoid 4066 --swversion DE.1.0.9.0 --startMP 204:458 --initTime 2017-08-25T02:09:01 --startdatetime 2017-08-25T02:12:54 --delay 1 --endMP 300:23346 --enddatetime 2017-08-25T02:25:34 --enforcementcount 1 &gt;&gt;C:\Users\stu\Documents\GitHub\eaglep3-reporting\EC\2017-08-25-refined-times.txt</v>
      </c>
      <c r="AI220" s="96" t="str">
        <f t="shared" si="111"/>
        <v>echo {"issue":{"subject":"","project_id":79,"tracker_id":40,"status_id":1,"priority_id":2,"assigned_to_id":23,"start_date":"2017-08-25","description":"","custom_fields":[{"id":1,"name":"Subdivision","value":"Other"},{"id":4,"name":"Milepost","value":"2.3346"},{"id":17,"name":"Train ID","value":"313-24"},{"id":16,"name":"Locomotive ID","value":"4066"},{"id":130,"name":"Impact","value":""},{"id":150,"name":"Time of Event (Mountain Time)","value":"02:25:34"},{"id":151,"name":"Denver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12"/>
        <v>start /low /b %USERPROFILE%\Documents\GitHub\eaglep3\Utilities\DownloadLogsFromS3.py --loco 4066 --day 2017-08-25</v>
      </c>
      <c r="AN220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08:25:34"},{"id":29,"name":"Sharepoint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809</v>
      </c>
      <c r="B221" s="7">
        <v>4002</v>
      </c>
      <c r="C221" s="21" t="s">
        <v>197</v>
      </c>
      <c r="D221" s="21" t="s">
        <v>393</v>
      </c>
      <c r="E221" s="13">
        <v>42973.109756944446</v>
      </c>
      <c r="F221" s="13">
        <v>42973.111064814817</v>
      </c>
      <c r="G221" s="7">
        <v>1</v>
      </c>
      <c r="H221" s="21" t="s">
        <v>342</v>
      </c>
      <c r="I221" s="13">
        <v>42973.11891203704</v>
      </c>
      <c r="J221" s="7">
        <v>1</v>
      </c>
      <c r="K221" s="89" t="str">
        <f t="shared" si="99"/>
        <v>4001/4002</v>
      </c>
      <c r="L221" s="217" t="str">
        <f>VLOOKUP(A221,'Trips&amp;Operators'!$C$1:$G$99911,5,FALSE)</f>
        <v>LAMAR NEKESHA</v>
      </c>
      <c r="M221" s="6">
        <f t="shared" si="100"/>
        <v>7.8472222230629995E-3</v>
      </c>
      <c r="N221" s="7">
        <f t="shared" si="108"/>
        <v>11.300000001210719</v>
      </c>
      <c r="O221" s="7"/>
      <c r="P221" s="7"/>
      <c r="Q221" s="22"/>
      <c r="R221" s="170"/>
      <c r="S221" s="213">
        <f t="shared" si="109"/>
        <v>1</v>
      </c>
      <c r="T221" s="195" t="str">
        <f t="shared" si="101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102"/>
        <v>https://d0f6bd738d7f1b3e5a7ca70fe4ff75f0.us-east-1.aws.found.io/app/kibana#/discover/Steve-Slow-Train-Analysis-(2080s-and-2083s)?_g=(refreshInterval:(display:Off,pause:!f,section:0,value:0),time:(from:'2017-08-26T01:38:03-0600',mode:absolute,to:'2017-08-26T03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1" s="197" t="str">
        <f>IF(AA221&lt;VLOOKUP(AG221,Variables!$AC$3:$AD$8,2,FALSE),"Y","N")</f>
        <v>Y</v>
      </c>
      <c r="X221" s="197">
        <f t="shared" si="116"/>
        <v>0</v>
      </c>
      <c r="Y221" s="197">
        <f t="shared" si="114"/>
        <v>4.6699999999999998E-2</v>
      </c>
      <c r="Z221" s="197">
        <f t="shared" si="115"/>
        <v>2.3346</v>
      </c>
      <c r="AA221" s="197">
        <f t="shared" si="103"/>
        <v>2.2879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6">
        <f t="shared" si="104"/>
        <v>313</v>
      </c>
      <c r="AE221" s="77" t="str">
        <f t="shared" si="105"/>
        <v>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 &amp; aws s3 cp s3://rtdc.mdm.uploadarchive.raw/RTDC4002/ "%USERPROFILE%\AppData\Local\Temp\OnboardLogs"\RTDC4002\2017-08-27 --exclude "*" --recursive --include "*20170827*" &amp; "%USERPROFILE%\Documents\GitHub\mrs-test-scripts\Headless Mode &amp; Sideloading\WalkAndUnGZ.bat" "%USERPROFILE%\AppData\Local\Temp\OnboardLogs"\RTDC4002\2017-08-27</v>
      </c>
      <c r="AF221" s="74" t="str">
        <f t="shared" si="106"/>
        <v>"C:\Program Files (x86)\AstroGrep\AstroGrep.exe" /e /r /s /spath="%USERPROFILE%\AppData\Local\Temp\OnboardLogs" /stypes="app*4002*20170826*" /stext=" 08:.+((SYSTEM_STATE.+slice.+state.+changed )|(ment ac)|(multiple cpu faults)|(system.+state.+changed )|(\[timeout)|(PRM\|1\|D)|(kpr)|(kdp)|(train st.+moving)|(\|lc)|(penalty))"</v>
      </c>
      <c r="AG221" s="209" t="str">
        <f t="shared" si="107"/>
        <v>Other</v>
      </c>
      <c r="AH221" s="78" t="str">
        <f t="shared" si="110"/>
        <v>"%USERPROFILE%\Documents\GitHub\eaglep3\Utilities\RefineRTDCRunTimes.py" --tripid 313-25 --locoid 4002 --swversion DE.1.0.9.0 --startMP 204:467 --initTime 2017-08-26T02:38:03 --startdatetime 2017-08-26T02:39:56 --delay 1 --endMP 300:23346 --enddatetime 2017-08-26T02:51:14 --enforcementcount 1 &gt;&gt;C:\Users\stu\Documents\GitHub\eaglep3-reporting\EC\2017-08-25-refined-times.txt</v>
      </c>
      <c r="AI221" s="96" t="str">
        <f t="shared" si="111"/>
        <v>echo {"issue":{"subject":"","project_id":79,"tracker_id":40,"status_id":1,"priority_id":2,"assigned_to_id":23,"start_date":"2017-08-26","description":"","custom_fields":[{"id":1,"name":"Subdivision","value":"Other"},{"id":4,"name":"Milepost","value":"2.3346"},{"id":17,"name":"Train ID","value":"313-25"},{"id":16,"name":"Locomotive ID","value":"4002"},{"id":130,"name":"Impact","value":""},{"id":150,"name":"Time of Event (Mountain Time)","value":"02:51:14"},{"id":151,"name":"Denver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12"/>
        <v>start /low /b %USERPROFILE%\Documents\GitHub\eaglep3\Utilities\DownloadLogsFromS3.py --loco 4002 --day 2017-08-26</v>
      </c>
      <c r="AN221" s="151" t="str">
        <f t="shared" si="11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08:51:14"},{"id":29,"name":"Sharepoint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625</v>
      </c>
      <c r="B222" s="7">
        <v>4050</v>
      </c>
      <c r="C222" s="21" t="s">
        <v>197</v>
      </c>
      <c r="D222" s="21" t="s">
        <v>954</v>
      </c>
      <c r="E222" s="13">
        <v>42972.200624999998</v>
      </c>
      <c r="F222" s="13">
        <v>42972.206076388888</v>
      </c>
      <c r="G222" s="7">
        <v>7</v>
      </c>
      <c r="H222" s="21" t="s">
        <v>550</v>
      </c>
      <c r="I222" s="13">
        <v>42972.211851851855</v>
      </c>
      <c r="J222" s="7">
        <v>1</v>
      </c>
      <c r="K222" s="89" t="str">
        <f t="shared" si="99"/>
        <v>4049/4050</v>
      </c>
      <c r="L222" s="217" t="str">
        <f>VLOOKUP(A222,'Trips&amp;Operators'!$C$1:$G$99911,5,FALSE)</f>
        <v>GUZMAN DANNY</v>
      </c>
      <c r="M222" s="6">
        <f t="shared" si="100"/>
        <v>5.7754629669943824E-3</v>
      </c>
      <c r="N222" s="7">
        <f t="shared" si="108"/>
        <v>8.3166666724719107</v>
      </c>
      <c r="O222" s="7"/>
      <c r="P222" s="7"/>
      <c r="Q222" s="22"/>
      <c r="R222" s="170"/>
      <c r="S222" s="213">
        <f t="shared" si="109"/>
        <v>0</v>
      </c>
      <c r="T222" s="195" t="str">
        <f t="shared" si="101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102"/>
        <v>https://d0f6bd738d7f1b3e5a7ca70fe4ff75f0.us-east-1.aws.found.io/app/kibana#/discover/Steve-Slow-Train-Analysis-(2080s-and-2083s)?_g=(refreshInterval:(display:Off,pause:!f,section:0,value:0),time:(from:'2017-08-25T03:48:54-0600',mode:absolute,to:'2017-08-25T06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2" s="197" t="str">
        <f>IF(AA222&lt;VLOOKUP(AG222,Variables!$AC$3:$AD$8,2,FALSE),"Y","N")</f>
        <v>Y</v>
      </c>
      <c r="X222" s="197">
        <f t="shared" si="116"/>
        <v>588</v>
      </c>
      <c r="Y222" s="197">
        <f t="shared" si="114"/>
        <v>3.0160999999999998</v>
      </c>
      <c r="Z222" s="197">
        <f t="shared" si="115"/>
        <v>5.8936999999999999</v>
      </c>
      <c r="AA222" s="197">
        <f t="shared" si="103"/>
        <v>2.8776000000000002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6">
        <f t="shared" si="104"/>
        <v>901</v>
      </c>
      <c r="AE222" s="77" t="str">
        <f t="shared" si="105"/>
        <v>aws s3 cp s3://rtdc.mdm.uploadarchive.raw/RTDC4050/ "%USERPROFILE%\AppData\Local\Temp\OnboardLogs"\RTDC4050\2017-08-25 --exclude "*" --recursive --include "*20170825*" &amp; "%USERPROFILE%\Documents\GitHub\mrs-test-scripts\Headless Mode &amp; Sideloading\WalkAndUnGZ.bat" "%USERPROFILE%\AppData\Local\Temp\OnboardLogs"\RTDC4050\2017-08-25 &amp; aws s3 cp s3://rtdc.mdm.uploadarchive.raw/RTDC4050/ "%USERPROFILE%\AppData\Local\Temp\OnboardLogs"\RTDC4050\2017-08-26 --exclude "*" --recursive --include "*20170826*" &amp; "%USERPROFILE%\Documents\GitHub\mrs-test-scripts\Headless Mode &amp; Sideloading\WalkAndUnGZ.bat" "%USERPROFILE%\AppData\Local\Temp\OnboardLogs"\RTDC4050\2017-08-26</v>
      </c>
      <c r="AF222" s="74" t="str">
        <f t="shared" si="106"/>
        <v>"C:\Program Files (x86)\AstroGrep\AstroGrep.exe" /e /r /s /spath="%USERPROFILE%\AppData\Local\Temp\OnboardLogs" /stypes="app*4050*20170825*" /stext=" 11:.+((SYSTEM_STATE.+slice.+state.+changed )|(ment ac)|(multiple cpu faults)|(system.+state.+changed )|(\[timeout)|(PRM\|1\|D)|(kpr)|(kdp)|(train st.+moving)|(\|lc)|(penalty))"</v>
      </c>
      <c r="AG222" s="209" t="str">
        <f t="shared" si="107"/>
        <v>Other</v>
      </c>
      <c r="AH222" s="78" t="str">
        <f t="shared" si="110"/>
        <v>"%USERPROFILE%\Documents\GitHub\eaglep3\Utilities\RefineRTDCRunTimes.py" --tripid 901-25 --locoid 4050 --swversion DE.1.0.9.0 --startMP 300:30161 --initTime 2017-08-25T04:48:54 --startdatetime 2017-08-25T04:56:45 --delay 7 --endMP 300:58937 --enddatetime 2017-08-25T05:05:04 --enforcementcount 1 &gt;&gt;C:\Users\stu\Documents\GitHub\eaglep3-reporting\EC\2017-08-25-refined-times.txt</v>
      </c>
      <c r="AI222" s="96" t="str">
        <f t="shared" si="111"/>
        <v>echo {"issue":{"subject":"","project_id":79,"tracker_id":40,"status_id":1,"priority_id":2,"assigned_to_id":23,"start_date":"2017-08-25","description":"","custom_fields":[{"id":1,"name":"Subdivision","value":"Other"},{"id":4,"name":"Milepost","value":"5.8937"},{"id":17,"name":"Train ID","value":"901-25"},{"id":16,"name":"Locomotive ID","value":"4050"},{"id":130,"name":"Impact","value":""},{"id":150,"name":"Time of Event (Mountain Time)","value":"05:05:04"},{"id":151,"name":"Denver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12"/>
        <v>start /low /b %USERPROFILE%\Documents\GitHub\eaglep3\Utilities\DownloadLogsFromS3.py --loco 4050 --day 2017-08-25</v>
      </c>
      <c r="AN222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11:05:04"},{"id":29,"name":"Sharepoint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638</v>
      </c>
      <c r="B223" s="7">
        <v>4043</v>
      </c>
      <c r="C223" s="21" t="s">
        <v>197</v>
      </c>
      <c r="D223" s="21" t="s">
        <v>887</v>
      </c>
      <c r="E223" s="13">
        <v>42972.248773148145</v>
      </c>
      <c r="F223" s="13">
        <v>42972.252465277779</v>
      </c>
      <c r="G223" s="7">
        <v>5</v>
      </c>
      <c r="H223" s="21" t="s">
        <v>453</v>
      </c>
      <c r="I223" s="13">
        <v>42972.257824074077</v>
      </c>
      <c r="J223" s="7">
        <v>1</v>
      </c>
      <c r="K223" s="89" t="str">
        <f t="shared" si="99"/>
        <v>4043/4044</v>
      </c>
      <c r="L223" s="217" t="str">
        <f>VLOOKUP(A223,'Trips&amp;Operators'!$C$1:$G$99911,5,FALSE)</f>
        <v>TOUSIGNAUT CARL</v>
      </c>
      <c r="M223" s="6">
        <f t="shared" si="100"/>
        <v>5.3587962975143455E-3</v>
      </c>
      <c r="N223" s="7">
        <f t="shared" si="108"/>
        <v>7.7166666684206575</v>
      </c>
      <c r="O223" s="7"/>
      <c r="P223" s="7"/>
      <c r="Q223" s="22"/>
      <c r="R223" s="170"/>
      <c r="S223" s="213">
        <f t="shared" si="109"/>
        <v>1</v>
      </c>
      <c r="T223" s="195" t="str">
        <f t="shared" si="101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102"/>
        <v>https://d0f6bd738d7f1b3e5a7ca70fe4ff75f0.us-east-1.aws.found.io/app/kibana#/discover/Steve-Slow-Train-Analysis-(2080s-and-2083s)?_g=(refreshInterval:(display:Off,pause:!f,section:0,value:0),time:(from:'2017-08-25T04:58:14-0600',mode:absolute,to:'2017-08-25T07:11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3" s="197" t="str">
        <f>IF(AA223&lt;VLOOKUP(AG223,Variables!$AC$3:$AD$8,2,FALSE),"Y","N")</f>
        <v>Y</v>
      </c>
      <c r="X223" s="197">
        <f t="shared" si="116"/>
        <v>1</v>
      </c>
      <c r="Y223" s="197">
        <f t="shared" si="114"/>
        <v>2.3288000000000002</v>
      </c>
      <c r="Z223" s="197">
        <f t="shared" si="115"/>
        <v>6.8400000000000002E-2</v>
      </c>
      <c r="AA223" s="197">
        <f t="shared" si="103"/>
        <v>2.2604000000000002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6">
        <f t="shared" si="104"/>
        <v>902</v>
      </c>
      <c r="AE223" s="77" t="str">
        <f t="shared" si="105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223" s="74" t="str">
        <f t="shared" si="106"/>
        <v>"C:\Program Files (x86)\AstroGrep\AstroGrep.exe" /e /r /s /spath="%USERPROFILE%\AppData\Local\Temp\OnboardLogs" /stypes="app*4043*20170825*" /stext=" 12:.+((SYSTEM_STATE.+slice.+state.+changed )|(ment ac)|(multiple cpu faults)|(system.+state.+changed )|(\[timeout)|(PRM\|1\|D)|(kpr)|(kdp)|(train st.+moving)|(\|lc)|(penalty))"</v>
      </c>
      <c r="AG223" s="209" t="str">
        <f t="shared" si="107"/>
        <v>Other</v>
      </c>
      <c r="AH223" s="78" t="str">
        <f t="shared" si="110"/>
        <v>"%USERPROFILE%\Documents\GitHub\eaglep3\Utilities\RefineRTDCRunTimes.py" --tripid 902-25 --locoid 4043 --swversion DE.1.0.9.0 --startMP 300:23288 --initTime 2017-08-25T05:58:14 --startdatetime 2017-08-25T06:03:33 --delay 5 --endMP 204:684 --enddatetime 2017-08-25T06:11:16 --enforcementcount 1 &gt;&gt;C:\Users\stu\Documents\GitHub\eaglep3-reporting\EC\2017-08-25-refined-times.txt</v>
      </c>
      <c r="AI223" s="96" t="str">
        <f t="shared" si="111"/>
        <v>echo {"issue":{"subject":"","project_id":79,"tracker_id":40,"status_id":1,"priority_id":2,"assigned_to_id":23,"start_date":"2017-08-25","description":"","custom_fields":[{"id":1,"name":"Subdivision","value":"Other"},{"id":4,"name":"Milepost","value":"0.0684"},{"id":17,"name":"Train ID","value":"902-25"},{"id":16,"name":"Locomotive ID","value":"4043"},{"id":130,"name":"Impact","value":""},{"id":150,"name":"Time of Event (Mountain Time)","value":"06:11:16"},{"id":151,"name":"Denver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12"/>
        <v>start /low /b %USERPROFILE%\Documents\GitHub\eaglep3\Utilities\DownloadLogsFromS3.py --loco 4043 --day 2017-08-25</v>
      </c>
      <c r="AN223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12:11:16"},{"id":29,"name":"Sharepoint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664</v>
      </c>
      <c r="B224" s="7">
        <v>4050</v>
      </c>
      <c r="C224" s="21" t="s">
        <v>197</v>
      </c>
      <c r="D224" s="21" t="s">
        <v>357</v>
      </c>
      <c r="E224" s="13">
        <v>42972.353622685187</v>
      </c>
      <c r="F224" s="13">
        <v>42972.354953703703</v>
      </c>
      <c r="G224" s="7">
        <v>0</v>
      </c>
      <c r="H224" s="21" t="s">
        <v>955</v>
      </c>
      <c r="I224" s="13">
        <v>42972.36042824074</v>
      </c>
      <c r="J224" s="7">
        <v>1</v>
      </c>
      <c r="K224" s="89" t="str">
        <f t="shared" si="99"/>
        <v>4049/4050</v>
      </c>
      <c r="L224" s="217" t="str">
        <f>VLOOKUP(A224,'Trips&amp;Operators'!$C$1:$G$99911,5,FALSE)</f>
        <v>GUZMAN DANNY</v>
      </c>
      <c r="M224" s="6">
        <f t="shared" si="100"/>
        <v>5.4745370362070389E-3</v>
      </c>
      <c r="N224" s="7">
        <f t="shared" si="108"/>
        <v>7.883333332138136</v>
      </c>
      <c r="O224" s="7"/>
      <c r="P224" s="7"/>
      <c r="Q224" s="22"/>
      <c r="R224" s="170"/>
      <c r="S224" s="213">
        <f t="shared" si="109"/>
        <v>1</v>
      </c>
      <c r="T224" s="195" t="str">
        <f t="shared" si="101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102"/>
        <v>https://d0f6bd738d7f1b3e5a7ca70fe4ff75f0.us-east-1.aws.found.io/app/kibana#/discover/Steve-Slow-Train-Analysis-(2080s-and-2083s)?_g=(refreshInterval:(display:Off,pause:!f,section:0,value:0),time:(from:'2017-08-25T07:29:13-0600',mode:absolute,to:'2017-08-25T09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4" s="197" t="str">
        <f>IF(AA224&lt;VLOOKUP(AG224,Variables!$AC$3:$AD$8,2,FALSE),"Y","N")</f>
        <v>Y</v>
      </c>
      <c r="X224" s="197">
        <f t="shared" si="116"/>
        <v>1</v>
      </c>
      <c r="Y224" s="197">
        <f t="shared" si="114"/>
        <v>4.5499999999999999E-2</v>
      </c>
      <c r="Z224" s="197">
        <f t="shared" si="115"/>
        <v>2.4232999999999998</v>
      </c>
      <c r="AA224" s="197">
        <f t="shared" si="103"/>
        <v>2.3777999999999997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6">
        <f t="shared" si="104"/>
        <v>903</v>
      </c>
      <c r="AE224" s="77" t="str">
        <f t="shared" si="105"/>
        <v>aws s3 cp s3://rtdc.mdm.uploadarchive.raw/RTDC4050/ "%USERPROFILE%\AppData\Local\Temp\OnboardLogs"\RTDC4050\2017-08-25 --exclude "*" --recursive --include "*20170825*" &amp; "%USERPROFILE%\Documents\GitHub\mrs-test-scripts\Headless Mode &amp; Sideloading\WalkAndUnGZ.bat" "%USERPROFILE%\AppData\Local\Temp\OnboardLogs"\RTDC4050\2017-08-25 &amp; aws s3 cp s3://rtdc.mdm.uploadarchive.raw/RTDC4050/ "%USERPROFILE%\AppData\Local\Temp\OnboardLogs"\RTDC4050\2017-08-26 --exclude "*" --recursive --include "*20170826*" &amp; "%USERPROFILE%\Documents\GitHub\mrs-test-scripts\Headless Mode &amp; Sideloading\WalkAndUnGZ.bat" "%USERPROFILE%\AppData\Local\Temp\OnboardLogs"\RTDC4050\2017-08-26</v>
      </c>
      <c r="AF224" s="74" t="str">
        <f t="shared" si="106"/>
        <v>"C:\Program Files (x86)\AstroGrep\AstroGrep.exe" /e /r /s /spath="%USERPROFILE%\AppData\Local\Temp\OnboardLogs" /stypes="app*4050*20170825*" /stext=" 14:.+((SYSTEM_STATE.+slice.+state.+changed )|(ment ac)|(multiple cpu faults)|(system.+state.+changed )|(\[timeout)|(PRM\|1\|D)|(kpr)|(kdp)|(train st.+moving)|(\|lc)|(penalty))"</v>
      </c>
      <c r="AG224" s="209" t="str">
        <f t="shared" si="107"/>
        <v>Other</v>
      </c>
      <c r="AH224" s="78" t="str">
        <f t="shared" si="110"/>
        <v>"%USERPROFILE%\Documents\GitHub\eaglep3\Utilities\RefineRTDCRunTimes.py" --tripid 903-25 --locoid 4050 --swversion DE.1.0.9.0 --startMP 204:455 --initTime 2017-08-25T08:29:13 --startdatetime 2017-08-25T08:31:08 --delay 0 --endMP 300:24233 --enddatetime 2017-08-25T08:39:01 --enforcementcount 1 &gt;&gt;C:\Users\stu\Documents\GitHub\eaglep3-reporting\EC\2017-08-25-refined-times.txt</v>
      </c>
      <c r="AI224" s="96" t="str">
        <f t="shared" si="111"/>
        <v>echo {"issue":{"subject":"","project_id":79,"tracker_id":40,"status_id":1,"priority_id":2,"assigned_to_id":23,"start_date":"2017-08-25","description":"","custom_fields":[{"id":1,"name":"Subdivision","value":"Other"},{"id":4,"name":"Milepost","value":"2.4233"},{"id":17,"name":"Train ID","value":"903-25"},{"id":16,"name":"Locomotive ID","value":"4050"},{"id":130,"name":"Impact","value":""},{"id":150,"name":"Time of Event (Mountain Time)","value":"08:39:01"},{"id":151,"name":"Denver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12"/>
        <v>start /low /b %USERPROFILE%\Documents\GitHub\eaglep3\Utilities\DownloadLogsFromS3.py --loco 4050 --day 2017-08-25</v>
      </c>
      <c r="AN224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14:39:01"},{"id":29,"name":"Sharepoint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732</v>
      </c>
      <c r="B225" s="7">
        <v>4053</v>
      </c>
      <c r="C225" s="21" t="s">
        <v>197</v>
      </c>
      <c r="D225" s="21" t="s">
        <v>956</v>
      </c>
      <c r="E225" s="13">
        <v>42972.646967592591</v>
      </c>
      <c r="F225" s="13">
        <v>42972.650717592594</v>
      </c>
      <c r="G225" s="7">
        <v>5</v>
      </c>
      <c r="H225" s="21" t="s">
        <v>556</v>
      </c>
      <c r="I225" s="13">
        <v>42972.656215277777</v>
      </c>
      <c r="J225" s="7">
        <v>1</v>
      </c>
      <c r="K225" s="89" t="str">
        <f t="shared" si="99"/>
        <v>4053/4054</v>
      </c>
      <c r="L225" s="217" t="str">
        <f>VLOOKUP(A225,'Trips&amp;Operators'!$C$1:$G$99911,5,FALSE)</f>
        <v>MCREYNOLDS KYLE</v>
      </c>
      <c r="M225" s="6">
        <f t="shared" si="100"/>
        <v>5.4976851824903861E-3</v>
      </c>
      <c r="N225" s="7">
        <f t="shared" si="108"/>
        <v>7.9166666627861559</v>
      </c>
      <c r="O225" s="7"/>
      <c r="P225" s="7"/>
      <c r="Q225" s="22"/>
      <c r="R225" s="170"/>
      <c r="S225" s="213">
        <f t="shared" si="109"/>
        <v>1</v>
      </c>
      <c r="T225" s="195" t="str">
        <f t="shared" si="101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102"/>
        <v>https://d0f6bd738d7f1b3e5a7ca70fe4ff75f0.us-east-1.aws.found.io/app/kibana#/discover/Steve-Slow-Train-Analysis-(2080s-and-2083s)?_g=(refreshInterval:(display:Off,pause:!f,section:0,value:0),time:(from:'2017-08-25T14:31:38-0600',mode:absolute,to:'2017-08-25T16:44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5" s="197" t="str">
        <f>IF(AA225&lt;VLOOKUP(AG225,Variables!$AC$3:$AD$8,2,FALSE),"Y","N")</f>
        <v>Y</v>
      </c>
      <c r="X225" s="197">
        <f t="shared" si="116"/>
        <v>1</v>
      </c>
      <c r="Y225" s="197">
        <f t="shared" si="114"/>
        <v>2.3713000000000002</v>
      </c>
      <c r="Z225" s="197">
        <f t="shared" si="115"/>
        <v>6.9099999999999995E-2</v>
      </c>
      <c r="AA225" s="197">
        <f t="shared" si="103"/>
        <v>2.3022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6">
        <f t="shared" si="104"/>
        <v>904</v>
      </c>
      <c r="AE225" s="77" t="str">
        <f t="shared" si="105"/>
        <v>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 &amp; aws s3 cp s3://rtdc.mdm.uploadarchive.raw/RTDC4053/ "%USERPROFILE%\AppData\Local\Temp\OnboardLogs"\RTDC4053\2017-08-26 --exclude "*" --recursive --include "*20170826*" &amp; "%USERPROFILE%\Documents\GitHub\mrs-test-scripts\Headless Mode &amp; Sideloading\WalkAndUnGZ.bat" "%USERPROFILE%\AppData\Local\Temp\OnboardLogs"\RTDC4053\2017-08-26</v>
      </c>
      <c r="AF225" s="74" t="str">
        <f t="shared" si="106"/>
        <v>"C:\Program Files (x86)\AstroGrep\AstroGrep.exe" /e /r /s /spath="%USERPROFILE%\AppData\Local\Temp\OnboardLogs" /stypes="app*4053*20170825*" /stext=" 21:.+((SYSTEM_STATE.+slice.+state.+changed )|(ment ac)|(multiple cpu faults)|(system.+state.+changed )|(\[timeout)|(PRM\|1\|D)|(kpr)|(kdp)|(train st.+moving)|(\|lc)|(penalty))"</v>
      </c>
      <c r="AG225" s="209" t="str">
        <f t="shared" si="107"/>
        <v>Other</v>
      </c>
      <c r="AH225" s="78" t="str">
        <f t="shared" si="110"/>
        <v>"%USERPROFILE%\Documents\GitHub\eaglep3\Utilities\RefineRTDCRunTimes.py" --tripid 904-25 --locoid 4053 --swversion DE.1.0.9.0 --startMP 300:23713 --initTime 2017-08-25T15:31:38 --startdatetime 2017-08-25T15:37:02 --delay 5 --endMP 204:691 --enddatetime 2017-08-25T15:44:57 --enforcementcount 1 &gt;&gt;C:\Users\stu\Documents\GitHub\eaglep3-reporting\EC\2017-08-25-refined-times.txt</v>
      </c>
      <c r="AI225" s="96" t="str">
        <f t="shared" si="111"/>
        <v>echo {"issue":{"subject":"","project_id":79,"tracker_id":40,"status_id":1,"priority_id":2,"assigned_to_id":23,"start_date":"2017-08-25","description":"","custom_fields":[{"id":1,"name":"Subdivision","value":"Other"},{"id":4,"name":"Milepost","value":"0.0691"},{"id":17,"name":"Train ID","value":"904-25"},{"id":16,"name":"Locomotive ID","value":"4053"},{"id":130,"name":"Impact","value":""},{"id":150,"name":"Time of Event (Mountain Time)","value":"15:44:57"},{"id":151,"name":"Denver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12"/>
        <v>start /low /b %USERPROFILE%\Documents\GitHub\eaglep3\Utilities\DownloadLogsFromS3.py --loco 4053 --day 2017-08-25</v>
      </c>
      <c r="AN225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21:44:57"},{"id":29,"name":"Sharepoint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795</v>
      </c>
      <c r="B226" s="7">
        <v>4043</v>
      </c>
      <c r="C226" s="21" t="s">
        <v>197</v>
      </c>
      <c r="D226" s="21" t="s">
        <v>957</v>
      </c>
      <c r="E226" s="13">
        <v>42972.944027777776</v>
      </c>
      <c r="F226" s="13">
        <v>42972.945555555554</v>
      </c>
      <c r="G226" s="7">
        <v>1</v>
      </c>
      <c r="H226" s="21" t="s">
        <v>958</v>
      </c>
      <c r="I226" s="13">
        <v>42972.954189814816</v>
      </c>
      <c r="J226" s="7">
        <v>1</v>
      </c>
      <c r="K226" s="89" t="str">
        <f t="shared" si="99"/>
        <v>4043/4044</v>
      </c>
      <c r="L226" s="217" t="str">
        <f>VLOOKUP(A226,'Trips&amp;Operators'!$C$1:$G$99911,5,FALSE)</f>
        <v>MCREYNOLDS KYLE</v>
      </c>
      <c r="M226" s="6">
        <f t="shared" si="100"/>
        <v>8.6342592621804215E-3</v>
      </c>
      <c r="N226" s="7">
        <f t="shared" si="108"/>
        <v>12.433333337539807</v>
      </c>
      <c r="O226" s="7"/>
      <c r="P226" s="7"/>
      <c r="Q226" s="22"/>
      <c r="R226" s="170"/>
      <c r="S226" s="213">
        <f t="shared" si="109"/>
        <v>0</v>
      </c>
      <c r="T226" s="195" t="str">
        <f t="shared" si="101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102"/>
        <v>https://d0f6bd738d7f1b3e5a7ca70fe4ff75f0.us-east-1.aws.found.io/app/kibana#/discover/Steve-Slow-Train-Analysis-(2080s-and-2083s)?_g=(refreshInterval:(display:Off,pause:!f,section:0,value:0),time:(from:'2017-08-25T21:39:24-0600',mode:absolute,to:'2017-08-25T23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6" s="197" t="str">
        <f>IF(AA226&lt;VLOOKUP(AG226,Variables!$AC$3:$AD$8,2,FALSE),"Y","N")</f>
        <v>Y</v>
      </c>
      <c r="X226" s="197">
        <f t="shared" si="116"/>
        <v>4</v>
      </c>
      <c r="Y226" s="197">
        <f t="shared" si="114"/>
        <v>5.8625999999999996</v>
      </c>
      <c r="Z226" s="197">
        <f t="shared" si="115"/>
        <v>2.8767</v>
      </c>
      <c r="AA226" s="197">
        <f t="shared" si="103"/>
        <v>2.9858999999999996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6">
        <f t="shared" si="104"/>
        <v>908</v>
      </c>
      <c r="AE226" s="77" t="str">
        <f t="shared" si="105"/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AF226" s="74" t="str">
        <f t="shared" si="106"/>
        <v>"C:\Program Files (x86)\AstroGrep\AstroGrep.exe" /e /r /s /spath="%USERPROFILE%\AppData\Local\Temp\OnboardLogs" /stypes="app*4043*20170826*" /stext=" 04:.+((SYSTEM_STATE.+slice.+state.+changed )|(ment ac)|(multiple cpu faults)|(system.+state.+changed )|(\[timeout)|(PRM\|1\|D)|(kpr)|(kdp)|(train st.+moving)|(\|lc)|(penalty))"</v>
      </c>
      <c r="AG226" s="209" t="str">
        <f t="shared" si="107"/>
        <v>Other</v>
      </c>
      <c r="AH226" s="78" t="str">
        <f t="shared" si="110"/>
        <v>"%USERPROFILE%\Documents\GitHub\eaglep3\Utilities\RefineRTDCRunTimes.py" --tripid 908-25 --locoid 4043 --swversion DE.1.0.9.0 --startMP 300:58626 --initTime 2017-08-25T22:39:24 --startdatetime 2017-08-25T22:41:36 --delay 1 --endMP 300:28767 --enddatetime 2017-08-25T22:54:02 --enforcementcount 1 &gt;&gt;C:\Users\stu\Documents\GitHub\eaglep3-reporting\EC\2017-08-25-refined-times.txt</v>
      </c>
      <c r="AI226" s="96" t="str">
        <f t="shared" si="111"/>
        <v>echo {"issue":{"subject":"","project_id":79,"tracker_id":40,"status_id":1,"priority_id":2,"assigned_to_id":23,"start_date":"2017-08-25","description":"","custom_fields":[{"id":1,"name":"Subdivision","value":"Other"},{"id":4,"name":"Milepost","value":"2.8767"},{"id":17,"name":"Train ID","value":"908-25"},{"id":16,"name":"Locomotive ID","value":"4043"},{"id":130,"name":"Impact","value":""},{"id":150,"name":"Time of Event (Mountain Time)","value":"22:54:02"},{"id":151,"name":"Denver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12"/>
        <v>start /low /b %USERPROFILE%\Documents\GitHub\eaglep3\Utilities\DownloadLogsFromS3.py --loco 4043 --day 2017-08-25</v>
      </c>
      <c r="AN226" s="151" t="str">
        <f t="shared" si="11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04:54:02"},{"id":29,"name":"Sharepoint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682</v>
      </c>
      <c r="B227" s="7">
        <v>4051</v>
      </c>
      <c r="C227" s="21" t="s">
        <v>197</v>
      </c>
      <c r="D227" s="21" t="s">
        <v>888</v>
      </c>
      <c r="E227" s="13">
        <v>42972.43818287037</v>
      </c>
      <c r="F227" s="13">
        <v>42972.441064814811</v>
      </c>
      <c r="G227" s="7">
        <v>4</v>
      </c>
      <c r="H227" s="21" t="s">
        <v>889</v>
      </c>
      <c r="I227" s="13">
        <v>42972.44635416667</v>
      </c>
      <c r="J227" s="7">
        <v>1</v>
      </c>
      <c r="K227" s="89" t="str">
        <f t="shared" si="99"/>
        <v>4051/4052</v>
      </c>
      <c r="L227" s="217" t="str">
        <f>VLOOKUP(A227,'Trips&amp;Operators'!$C$1:$G$99911,5,FALSE)</f>
        <v>LOPES KIMBERLY</v>
      </c>
      <c r="M227" s="6">
        <f t="shared" si="100"/>
        <v>5.289351858664304E-3</v>
      </c>
      <c r="N227" s="7">
        <f t="shared" si="108"/>
        <v>7.6166666764765978</v>
      </c>
      <c r="O227" s="7"/>
      <c r="P227" s="7"/>
      <c r="Q227" s="22"/>
      <c r="R227" s="170"/>
      <c r="S227" s="213">
        <f t="shared" si="109"/>
        <v>1</v>
      </c>
      <c r="T227" s="195" t="str">
        <f t="shared" si="101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102"/>
        <v>https://d0f6bd738d7f1b3e5a7ca70fe4ff75f0.us-east-1.aws.found.io/app/kibana#/discover/Steve-Slow-Train-Analysis-(2080s-and-2083s)?_g=(refreshInterval:(display:Off,pause:!f,section:0,value:0),time:(from:'2017-08-25T09:30:59-0600',mode:absolute,to:'2017-08-25T11:42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7" s="197" t="str">
        <f>IF(AA227&lt;VLOOKUP(AG227,Variables!$AC$3:$AD$8,2,FALSE),"Y","N")</f>
        <v>Y</v>
      </c>
      <c r="X227" s="197">
        <f t="shared" si="116"/>
        <v>-858</v>
      </c>
      <c r="Y227" s="197">
        <f t="shared" si="114"/>
        <v>2.3252000000000002</v>
      </c>
      <c r="Z227" s="197">
        <f t="shared" si="115"/>
        <v>6.1000000000000004E-3</v>
      </c>
      <c r="AA227" s="197">
        <f t="shared" si="103"/>
        <v>2.3191000000000002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6">
        <f t="shared" si="104"/>
        <v>50</v>
      </c>
      <c r="AE227" s="77" t="str">
        <f t="shared" si="105"/>
        <v>aws s3 cp s3://rtdc.mdm.uploadarchive.raw/RTDC4051/ "%USERPROFILE%\AppData\Local\Temp\OnboardLogs"\RTDC4051\2017-08-25 --exclude "*" --recursive --include "*20170825*" &amp; "%USERPROFILE%\Documents\GitHub\mrs-test-scripts\Headless Mode &amp; Sideloading\WalkAndUnGZ.bat" "%USERPROFILE%\AppData\Local\Temp\OnboardLogs"\RTDC4051\2017-08-25 &amp; aws s3 cp s3://rtdc.mdm.uploadarchive.raw/RTDC4051/ "%USERPROFILE%\AppData\Local\Temp\OnboardLogs"\RTDC4051\2017-08-26 --exclude "*" --recursive --include "*20170826*" &amp; "%USERPROFILE%\Documents\GitHub\mrs-test-scripts\Headless Mode &amp; Sideloading\WalkAndUnGZ.bat" "%USERPROFILE%\AppData\Local\Temp\OnboardLogs"\RTDC4051\2017-08-26</v>
      </c>
      <c r="AF227" s="74" t="str">
        <f t="shared" si="106"/>
        <v>"C:\Program Files (x86)\AstroGrep\AstroGrep.exe" /e /r /s /spath="%USERPROFILE%\AppData\Local\Temp\OnboardLogs" /stypes="app*4051*20170825*" /stext=" 16:.+((SYSTEM_STATE.+slice.+state.+changed )|(ment ac)|(multiple cpu faults)|(system.+state.+changed )|(\[timeout)|(PRM\|1\|D)|(kpr)|(kdp)|(train st.+moving)|(\|lc)|(penalty))"</v>
      </c>
      <c r="AG227" s="209" t="str">
        <f t="shared" si="107"/>
        <v>Shuttle/Test</v>
      </c>
      <c r="AH227" s="78" t="str">
        <f t="shared" si="110"/>
        <v>"%USERPROFILE%\Documents\GitHub\eaglep3\Utilities\RefineRTDCRunTimes.py" --tripid 50-25 --locoid 4051 --swversion DE.1.0.9.0 --startMP 300:23252 --initTime 2017-08-25T10:30:59 --startdatetime 2017-08-25T10:35:08 --delay 4 --endMP 204:61 --enddatetime 2017-08-25T10:42:45 --enforcementcount 1 &gt;&gt;C:\Users\stu\Documents\GitHub\eaglep3-reporting\EC\2017-08-25-refined-times.txt</v>
      </c>
      <c r="AI227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0.0061"},{"id":17,"name":"Train ID","value":"50-25"},{"id":16,"name":"Locomotive ID","value":"4051"},{"id":130,"name":"Impact","value":""},{"id":150,"name":"Time of Event (Mountain Time)","value":"10:42:45"},{"id":151,"name":"Denver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12"/>
        <v>start /low /b %USERPROFILE%\Documents\GitHub\eaglep3\Utilities\DownloadLogsFromS3.py --loco 4051 --day 2017-08-25</v>
      </c>
      <c r="AN227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16:42:45"},{"id":29,"name":"Sharepoint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610</v>
      </c>
      <c r="B228" s="7">
        <v>4002</v>
      </c>
      <c r="C228" s="21" t="s">
        <v>197</v>
      </c>
      <c r="D228" s="21" t="s">
        <v>370</v>
      </c>
      <c r="E228" s="13">
        <v>42972.140763888892</v>
      </c>
      <c r="F228" s="13">
        <v>42972.14634259259</v>
      </c>
      <c r="G228" s="7">
        <v>1</v>
      </c>
      <c r="H228" s="21" t="s">
        <v>370</v>
      </c>
      <c r="I228" s="13">
        <v>42972.147314814814</v>
      </c>
      <c r="J228" s="7">
        <v>1</v>
      </c>
      <c r="K228" s="89" t="str">
        <f t="shared" si="99"/>
        <v>4001/4002</v>
      </c>
      <c r="L228" s="217" t="str">
        <f>VLOOKUP(A228,'Trips&amp;Operators'!$C$1:$G$99911,5,FALSE)</f>
        <v>SPECTOR MICHAEL</v>
      </c>
      <c r="M228" s="6">
        <f t="shared" si="100"/>
        <v>9.7222222393611446E-4</v>
      </c>
      <c r="N228" s="7">
        <f t="shared" si="108"/>
        <v>1.4000000024680048</v>
      </c>
      <c r="O228" s="7"/>
      <c r="P228" s="7"/>
      <c r="Q228" s="22"/>
      <c r="R228" s="170"/>
      <c r="S228" s="213">
        <f t="shared" si="109"/>
        <v>0</v>
      </c>
      <c r="T228" s="195" t="str">
        <f t="shared" si="101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102"/>
        <v>https://d0f6bd738d7f1b3e5a7ca70fe4ff75f0.us-east-1.aws.found.io/app/kibana#/discover/Steve-Slow-Train-Analysis-(2080s-and-2083s)?_g=(refreshInterval:(display:Off,pause:!f,section:0,value:0),time:(from:'2017-08-25T02:22:42-0600',mode:absolute,to:'2017-08-25T04:32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8" s="197" t="str">
        <f>IF(AA228&lt;VLOOKUP(AG228,Variables!$AC$3:$AD$8,2,FALSE),"Y","N")</f>
        <v>Y</v>
      </c>
      <c r="X228" s="197">
        <f t="shared" si="116"/>
        <v>1</v>
      </c>
      <c r="Y228" s="197">
        <f t="shared" si="114"/>
        <v>4.4900000000000002E-2</v>
      </c>
      <c r="Z228" s="197">
        <f t="shared" si="115"/>
        <v>4.4900000000000002E-2</v>
      </c>
      <c r="AA228" s="197">
        <f t="shared" si="103"/>
        <v>0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6">
        <f t="shared" si="104"/>
        <v>51</v>
      </c>
      <c r="AE228" s="77" t="str">
        <f t="shared" si="105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228" s="74" t="str">
        <f t="shared" si="106"/>
        <v>"C:\Program Files (x86)\AstroGrep\AstroGrep.exe" /e /r /s /spath="%USERPROFILE%\AppData\Local\Temp\OnboardLogs" /stypes="app*4002*20170825*" /stext=" 09:.+((SYSTEM_STATE.+slice.+state.+changed )|(ment ac)|(multiple cpu faults)|(system.+state.+changed )|(\[timeout)|(PRM\|1\|D)|(kpr)|(kdp)|(train st.+moving)|(\|lc)|(penalty))"</v>
      </c>
      <c r="AG228" s="209" t="str">
        <f t="shared" si="107"/>
        <v>Shuttle/Test</v>
      </c>
      <c r="AH228" s="78" t="str">
        <f t="shared" si="110"/>
        <v>"%USERPROFILE%\Documents\GitHub\eaglep3\Utilities\RefineRTDCRunTimes.py" --tripid 51-25 --locoid 4002 --swversion DE.1.0.9.0 --startMP 204:449 --initTime 2017-08-25T03:22:42 --startdatetime 2017-08-25T03:30:44 --delay 1 --endMP 204:449 --enddatetime 2017-08-25T03:32:08 --enforcementcount 1 &gt;&gt;C:\Users\stu\Documents\GitHub\eaglep3-reporting\EC\2017-08-25-refined-times.txt</v>
      </c>
      <c r="AI228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0.0449"},{"id":17,"name":"Train ID","value":"51-25"},{"id":16,"name":"Locomotive ID","value":"4002"},{"id":130,"name":"Impact","value":""},{"id":150,"name":"Time of Event (Mountain Time)","value":"03:32:08"},{"id":151,"name":"Denver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12"/>
        <v>start /low /b %USERPROFILE%\Documents\GitHub\eaglep3\Utilities\DownloadLogsFromS3.py --loco 4002 --day 2017-08-25</v>
      </c>
      <c r="AN228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09:32:08"},{"id":29,"name":"Sharepoint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610</v>
      </c>
      <c r="B229" s="7">
        <v>4002</v>
      </c>
      <c r="C229" s="21" t="s">
        <v>197</v>
      </c>
      <c r="D229" s="21" t="s">
        <v>349</v>
      </c>
      <c r="E229" s="13">
        <v>42972.14439814815</v>
      </c>
      <c r="F229" s="13">
        <v>42972.14634259259</v>
      </c>
      <c r="G229" s="7">
        <v>1</v>
      </c>
      <c r="H229" s="21" t="s">
        <v>890</v>
      </c>
      <c r="I229" s="13">
        <v>42972.147314814814</v>
      </c>
      <c r="J229" s="7">
        <v>1</v>
      </c>
      <c r="K229" s="89" t="str">
        <f t="shared" si="99"/>
        <v>4001/4002</v>
      </c>
      <c r="L229" s="217" t="str">
        <f>VLOOKUP(A229,'Trips&amp;Operators'!$C$1:$G$99911,5,FALSE)</f>
        <v>SPECTOR MICHAEL</v>
      </c>
      <c r="M229" s="6">
        <f t="shared" si="100"/>
        <v>9.7222222393611446E-4</v>
      </c>
      <c r="N229" s="7">
        <f t="shared" si="108"/>
        <v>1.4000000024680048</v>
      </c>
      <c r="O229" s="7"/>
      <c r="P229" s="7"/>
      <c r="Q229" s="22"/>
      <c r="R229" s="170"/>
      <c r="S229" s="213">
        <f t="shared" si="109"/>
        <v>0</v>
      </c>
      <c r="T229" s="195" t="str">
        <f t="shared" si="101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102"/>
        <v>https://d0f6bd738d7f1b3e5a7ca70fe4ff75f0.us-east-1.aws.found.io/app/kibana#/discover/Steve-Slow-Train-Analysis-(2080s-and-2083s)?_g=(refreshInterval:(display:Off,pause:!f,section:0,value:0),time:(from:'2017-08-25T02:27:56-0600',mode:absolute,to:'2017-08-25T04:32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9" s="197" t="str">
        <f>IF(AA229&lt;VLOOKUP(AG229,Variables!$AC$3:$AD$8,2,FALSE),"Y","N")</f>
        <v>Y</v>
      </c>
      <c r="X229" s="197">
        <f t="shared" si="116"/>
        <v>0</v>
      </c>
      <c r="Y229" s="197">
        <f t="shared" si="114"/>
        <v>4.6199999999999998E-2</v>
      </c>
      <c r="Z229" s="197">
        <f t="shared" si="115"/>
        <v>0.35299999999999998</v>
      </c>
      <c r="AA229" s="197">
        <f t="shared" si="103"/>
        <v>0.30679999999999996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6">
        <f t="shared" si="104"/>
        <v>51</v>
      </c>
      <c r="AE229" s="77" t="str">
        <f t="shared" si="105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229" s="74" t="str">
        <f t="shared" si="106"/>
        <v>"C:\Program Files (x86)\AstroGrep\AstroGrep.exe" /e /r /s /spath="%USERPROFILE%\AppData\Local\Temp\OnboardLogs" /stypes="app*4002*20170825*" /stext=" 09:.+((SYSTEM_STATE.+slice.+state.+changed )|(ment ac)|(multiple cpu faults)|(system.+state.+changed )|(\[timeout)|(PRM\|1\|D)|(kpr)|(kdp)|(train st.+moving)|(\|lc)|(penalty))"</v>
      </c>
      <c r="AG229" s="209" t="str">
        <f t="shared" si="107"/>
        <v>Shuttle/Test</v>
      </c>
      <c r="AH229" s="78" t="str">
        <f t="shared" si="110"/>
        <v>"%USERPROFILE%\Documents\GitHub\eaglep3\Utilities\RefineRTDCRunTimes.py" --tripid 51-25 --locoid 4002 --swversion DE.1.0.9.0 --startMP 204:462 --initTime 2017-08-25T03:27:56 --startdatetime 2017-08-25T03:30:44 --delay 1 --endMP 204:3530 --enddatetime 2017-08-25T03:32:08 --enforcementcount 1 &gt;&gt;C:\Users\stu\Documents\GitHub\eaglep3-reporting\EC\2017-08-25-refined-times.txt</v>
      </c>
      <c r="AI229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0.353"},{"id":17,"name":"Train ID","value":"51-25"},{"id":16,"name":"Locomotive ID","value":"4002"},{"id":130,"name":"Impact","value":""},{"id":150,"name":"Time of Event (Mountain Time)","value":"03:32:08"},{"id":151,"name":"Denver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12"/>
        <v>start /low /b %USERPROFILE%\Documents\GitHub\eaglep3\Utilities\DownloadLogsFromS3.py --loco 4002 --day 2017-08-25</v>
      </c>
      <c r="AN229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09:32:08"},{"id":29,"name":"Sharepoint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611</v>
      </c>
      <c r="B230" s="7">
        <v>4001</v>
      </c>
      <c r="C230" s="21" t="s">
        <v>197</v>
      </c>
      <c r="D230" s="21" t="s">
        <v>891</v>
      </c>
      <c r="E230" s="13">
        <v>42972.148078703707</v>
      </c>
      <c r="F230" s="13">
        <v>42972.149699074071</v>
      </c>
      <c r="G230" s="7">
        <v>1</v>
      </c>
      <c r="H230" s="21" t="s">
        <v>892</v>
      </c>
      <c r="I230" s="13">
        <v>42972.150682870371</v>
      </c>
      <c r="J230" s="7">
        <v>1</v>
      </c>
      <c r="K230" s="89" t="str">
        <f t="shared" si="99"/>
        <v>4001/4002</v>
      </c>
      <c r="L230" s="217" t="str">
        <f>VLOOKUP(A230,'Trips&amp;Operators'!$C$1:$G$99911,5,FALSE)</f>
        <v>SPECTOR MICHAEL</v>
      </c>
      <c r="M230" s="6">
        <f t="shared" si="100"/>
        <v>9.8379630071576685E-4</v>
      </c>
      <c r="N230" s="7">
        <f t="shared" si="108"/>
        <v>1.4166666730307043</v>
      </c>
      <c r="O230" s="7"/>
      <c r="P230" s="7"/>
      <c r="Q230" s="22"/>
      <c r="R230" s="170"/>
      <c r="S230" s="213">
        <f t="shared" si="109"/>
        <v>0</v>
      </c>
      <c r="T230" s="195" t="str">
        <f t="shared" si="101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102"/>
        <v>https://d0f6bd738d7f1b3e5a7ca70fe4ff75f0.us-east-1.aws.found.io/app/kibana#/discover/Steve-Slow-Train-Analysis-(2080s-and-2083s)?_g=(refreshInterval:(display:Off,pause:!f,section:0,value:0),time:(from:'2017-08-25T02:33:14-0600',mode:absolute,to:'2017-08-25T04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0" s="197" t="str">
        <f>IF(AA230&lt;VLOOKUP(AG230,Variables!$AC$3:$AD$8,2,FALSE),"Y","N")</f>
        <v>Y</v>
      </c>
      <c r="X230" s="197">
        <f t="shared" si="116"/>
        <v>1</v>
      </c>
      <c r="Y230" s="197">
        <f t="shared" si="114"/>
        <v>0.3231</v>
      </c>
      <c r="Z230" s="197">
        <f t="shared" si="115"/>
        <v>0.11990000000000001</v>
      </c>
      <c r="AA230" s="197">
        <f t="shared" si="103"/>
        <v>0.20319999999999999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6">
        <f t="shared" si="104"/>
        <v>52</v>
      </c>
      <c r="AE230" s="77" t="str">
        <f t="shared" si="105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230" s="74" t="str">
        <f t="shared" si="106"/>
        <v>"C:\Program Files (x86)\AstroGrep\AstroGrep.exe" /e /r /s /spath="%USERPROFILE%\AppData\Local\Temp\OnboardLogs" /stypes="app*4001*20170825*" /stext=" 09:.+((SYSTEM_STATE.+slice.+state.+changed )|(ment ac)|(multiple cpu faults)|(system.+state.+changed )|(\[timeout)|(PRM\|1\|D)|(kpr)|(kdp)|(train st.+moving)|(\|lc)|(penalty))"</v>
      </c>
      <c r="AG230" s="209" t="str">
        <f t="shared" si="107"/>
        <v>Shuttle/Test</v>
      </c>
      <c r="AH230" s="78" t="str">
        <f t="shared" si="110"/>
        <v>"%USERPROFILE%\Documents\GitHub\eaglep3\Utilities\RefineRTDCRunTimes.py" --tripid 52-25 --locoid 4001 --swversion DE.1.0.9.0 --startMP 204:3231 --initTime 2017-08-25T03:33:14 --startdatetime 2017-08-25T03:35:34 --delay 1 --endMP 204:1199 --enddatetime 2017-08-25T03:36:59 --enforcementcount 1 &gt;&gt;C:\Users\stu\Documents\GitHub\eaglep3-reporting\EC\2017-08-25-refined-times.txt</v>
      </c>
      <c r="AI230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0.1199"},{"id":17,"name":"Train ID","value":"52-25"},{"id":16,"name":"Locomotive ID","value":"4001"},{"id":130,"name":"Impact","value":""},{"id":150,"name":"Time of Event (Mountain Time)","value":"03:36:59"},{"id":151,"name":"Denver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12"/>
        <v>start /low /b %USERPROFILE%\Documents\GitHub\eaglep3\Utilities\DownloadLogsFromS3.py --loco 4001 --day 2017-08-25</v>
      </c>
      <c r="AN230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09:36:59"},{"id":29,"name":"Sharepoint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693</v>
      </c>
      <c r="B231" s="7">
        <v>4052</v>
      </c>
      <c r="C231" s="21" t="s">
        <v>197</v>
      </c>
      <c r="D231" s="21" t="s">
        <v>893</v>
      </c>
      <c r="E231" s="13">
        <v>42972.476331018515</v>
      </c>
      <c r="F231" s="13">
        <v>42972.478171296294</v>
      </c>
      <c r="G231" s="7">
        <v>1</v>
      </c>
      <c r="H231" s="21" t="s">
        <v>894</v>
      </c>
      <c r="I231" s="13">
        <v>42972.48704861111</v>
      </c>
      <c r="J231" s="7">
        <v>1</v>
      </c>
      <c r="K231" s="89" t="str">
        <f t="shared" si="99"/>
        <v>4051/4052</v>
      </c>
      <c r="L231" s="217" t="str">
        <f>VLOOKUP(A231,'Trips&amp;Operators'!$C$1:$G$99911,5,FALSE)</f>
        <v>GEBRETEKLE DAGNEW</v>
      </c>
      <c r="M231" s="6">
        <f t="shared" si="100"/>
        <v>8.8773148163454607E-3</v>
      </c>
      <c r="N231" s="7">
        <f t="shared" si="108"/>
        <v>12.783333335537463</v>
      </c>
      <c r="O231" s="7"/>
      <c r="P231" s="7"/>
      <c r="Q231" s="22"/>
      <c r="R231" s="170"/>
      <c r="S231" s="213">
        <f t="shared" si="109"/>
        <v>1</v>
      </c>
      <c r="T231" s="195" t="str">
        <f t="shared" si="101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102"/>
        <v>https://d0f6bd738d7f1b3e5a7ca70fe4ff75f0.us-east-1.aws.found.io/app/kibana#/discover/Steve-Slow-Train-Analysis-(2080s-and-2083s)?_g=(refreshInterval:(display:Off,pause:!f,section:0,value:0),time:(from:'2017-08-25T10:25:55-0600',mode:absolute,to:'2017-08-25T12:41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1" s="197" t="str">
        <f>IF(AA231&lt;VLOOKUP(AG231,Variables!$AC$3:$AD$8,2,FALSE),"Y","N")</f>
        <v>Y</v>
      </c>
      <c r="X231" s="197">
        <f t="shared" si="116"/>
        <v>5</v>
      </c>
      <c r="Y231" s="197">
        <f t="shared" si="114"/>
        <v>3.8100000000000002E-2</v>
      </c>
      <c r="Z231" s="197">
        <f t="shared" si="115"/>
        <v>2.4222000000000001</v>
      </c>
      <c r="AA231" s="197">
        <f t="shared" si="103"/>
        <v>2.3841000000000001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6">
        <f t="shared" si="104"/>
        <v>57</v>
      </c>
      <c r="AE231" s="77" t="str">
        <f t="shared" si="105"/>
        <v>aws s3 cp s3://rtdc.mdm.uploadarchive.raw/RTDC4052/ "%USERPROFILE%\AppData\Local\Temp\OnboardLogs"\RTDC4052\2017-08-25 --exclude "*" --recursive --include "*20170825*" &amp; "%USERPROFILE%\Documents\GitHub\mrs-test-scripts\Headless Mode &amp; Sideloading\WalkAndUnGZ.bat" "%USERPROFILE%\AppData\Local\Temp\OnboardLogs"\RTDC4052\2017-08-25 &amp; aws s3 cp s3://rtdc.mdm.uploadarchive.raw/RTDC4052/ "%USERPROFILE%\AppData\Local\Temp\OnboardLogs"\RTDC4052\2017-08-26 --exclude "*" --recursive --include "*20170826*" &amp; "%USERPROFILE%\Documents\GitHub\mrs-test-scripts\Headless Mode &amp; Sideloading\WalkAndUnGZ.bat" "%USERPROFILE%\AppData\Local\Temp\OnboardLogs"\RTDC4052\2017-08-26</v>
      </c>
      <c r="AF231" s="74" t="str">
        <f t="shared" si="106"/>
        <v>"C:\Program Files (x86)\AstroGrep\AstroGrep.exe" /e /r /s /spath="%USERPROFILE%\AppData\Local\Temp\OnboardLogs" /stypes="app*4052*20170825*" /stext=" 17:.+((SYSTEM_STATE.+slice.+state.+changed )|(ment ac)|(multiple cpu faults)|(system.+state.+changed )|(\[timeout)|(PRM\|1\|D)|(kpr)|(kdp)|(train st.+moving)|(\|lc)|(penalty))"</v>
      </c>
      <c r="AG231" s="209" t="str">
        <f t="shared" si="107"/>
        <v>Shuttle/Test</v>
      </c>
      <c r="AH231" s="78" t="str">
        <f t="shared" si="110"/>
        <v>"%USERPROFILE%\Documents\GitHub\eaglep3\Utilities\RefineRTDCRunTimes.py" --tripid 57-25 --locoid 4052 --swversion DE.1.0.9.0 --startMP 204:381 --initTime 2017-08-25T11:25:55 --startdatetime 2017-08-25T11:28:34 --delay 1 --endMP 300:24222 --enddatetime 2017-08-25T11:41:21 --enforcementcount 1 &gt;&gt;C:\Users\stu\Documents\GitHub\eaglep3-reporting\EC\2017-08-25-refined-times.txt</v>
      </c>
      <c r="AI231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2.4222"},{"id":17,"name":"Train ID","value":"57-25"},{"id":16,"name":"Locomotive ID","value":"4052"},{"id":130,"name":"Impact","value":""},{"id":150,"name":"Time of Event (Mountain Time)","value":"11:41:21"},{"id":151,"name":"Denver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12"/>
        <v>start /low /b %USERPROFILE%\Documents\GitHub\eaglep3\Utilities\DownloadLogsFromS3.py --loco 4052 --day 2017-08-25</v>
      </c>
      <c r="AN231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17:41:21"},{"id":29,"name":"Sharepoint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697</v>
      </c>
      <c r="B232" s="7">
        <v>4051</v>
      </c>
      <c r="C232" s="21" t="s">
        <v>197</v>
      </c>
      <c r="D232" s="21" t="s">
        <v>895</v>
      </c>
      <c r="E232" s="13">
        <v>42972.493877314817</v>
      </c>
      <c r="F232" s="13">
        <v>42972.498148148145</v>
      </c>
      <c r="G232" s="7">
        <v>6</v>
      </c>
      <c r="H232" s="21" t="s">
        <v>896</v>
      </c>
      <c r="I232" s="13">
        <v>42972.503842592596</v>
      </c>
      <c r="J232" s="7">
        <v>1</v>
      </c>
      <c r="K232" s="89" t="str">
        <f t="shared" si="99"/>
        <v>4051/4052</v>
      </c>
      <c r="L232" s="217" t="str">
        <f>VLOOKUP(A232,'Trips&amp;Operators'!$C$1:$G$99911,5,FALSE)</f>
        <v>NICHOLSON WESLEY</v>
      </c>
      <c r="M232" s="6">
        <f t="shared" si="100"/>
        <v>5.6944444513646886E-3</v>
      </c>
      <c r="N232" s="7">
        <f t="shared" si="108"/>
        <v>8.2000000099651515</v>
      </c>
      <c r="O232" s="7"/>
      <c r="P232" s="7"/>
      <c r="Q232" s="22"/>
      <c r="R232" s="170"/>
      <c r="S232" s="213">
        <f t="shared" si="109"/>
        <v>1</v>
      </c>
      <c r="T232" s="195" t="str">
        <f t="shared" si="101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102"/>
        <v>https://d0f6bd738d7f1b3e5a7ca70fe4ff75f0.us-east-1.aws.found.io/app/kibana#/discover/Steve-Slow-Train-Analysis-(2080s-and-2083s)?_g=(refreshInterval:(display:Off,pause:!f,section:0,value:0),time:(from:'2017-08-25T10:51:11-0600',mode:absolute,to:'2017-08-25T13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2" s="197" t="str">
        <f>IF(AA232&lt;VLOOKUP(AG232,Variables!$AC$3:$AD$8,2,FALSE),"Y","N")</f>
        <v>Y</v>
      </c>
      <c r="X232" s="197">
        <f t="shared" si="116"/>
        <v>1</v>
      </c>
      <c r="Y232" s="197">
        <f t="shared" si="114"/>
        <v>2.3877000000000002</v>
      </c>
      <c r="Z232" s="197">
        <f t="shared" si="115"/>
        <v>1.2200000000000001E-2</v>
      </c>
      <c r="AA232" s="197">
        <f t="shared" si="103"/>
        <v>2.3755000000000002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6">
        <f t="shared" si="104"/>
        <v>58</v>
      </c>
      <c r="AE232" s="77" t="str">
        <f t="shared" si="105"/>
        <v>aws s3 cp s3://rtdc.mdm.uploadarchive.raw/RTDC4051/ "%USERPROFILE%\AppData\Local\Temp\OnboardLogs"\RTDC4051\2017-08-25 --exclude "*" --recursive --include "*20170825*" &amp; "%USERPROFILE%\Documents\GitHub\mrs-test-scripts\Headless Mode &amp; Sideloading\WalkAndUnGZ.bat" "%USERPROFILE%\AppData\Local\Temp\OnboardLogs"\RTDC4051\2017-08-25 &amp; aws s3 cp s3://rtdc.mdm.uploadarchive.raw/RTDC4051/ "%USERPROFILE%\AppData\Local\Temp\OnboardLogs"\RTDC4051\2017-08-26 --exclude "*" --recursive --include "*20170826*" &amp; "%USERPROFILE%\Documents\GitHub\mrs-test-scripts\Headless Mode &amp; Sideloading\WalkAndUnGZ.bat" "%USERPROFILE%\AppData\Local\Temp\OnboardLogs"\RTDC4051\2017-08-26</v>
      </c>
      <c r="AF232" s="74" t="str">
        <f t="shared" si="106"/>
        <v>"C:\Program Files (x86)\AstroGrep\AstroGrep.exe" /e /r /s /spath="%USERPROFILE%\AppData\Local\Temp\OnboardLogs" /stypes="app*4051*20170825*" /stext=" 18:.+((SYSTEM_STATE.+slice.+state.+changed )|(ment ac)|(multiple cpu faults)|(system.+state.+changed )|(\[timeout)|(PRM\|1\|D)|(kpr)|(kdp)|(train st.+moving)|(\|lc)|(penalty))"</v>
      </c>
      <c r="AG232" s="209" t="str">
        <f t="shared" si="107"/>
        <v>Shuttle/Test</v>
      </c>
      <c r="AH232" s="78" t="str">
        <f t="shared" si="110"/>
        <v>"%USERPROFILE%\Documents\GitHub\eaglep3\Utilities\RefineRTDCRunTimes.py" --tripid 58-25 --locoid 4051 --swversion DE.1.0.9.0 --startMP 300:23877 --initTime 2017-08-25T11:51:11 --startdatetime 2017-08-25T11:57:20 --delay 6 --endMP 204:122 --enddatetime 2017-08-25T12:05:32 --enforcementcount 1 &gt;&gt;C:\Users\stu\Documents\GitHub\eaglep3-reporting\EC\2017-08-25-refined-times.txt</v>
      </c>
      <c r="AI232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0.0122"},{"id":17,"name":"Train ID","value":"58-25"},{"id":16,"name":"Locomotive ID","value":"4051"},{"id":130,"name":"Impact","value":""},{"id":150,"name":"Time of Event (Mountain Time)","value":"12:05:32"},{"id":151,"name":"Denver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12"/>
        <v>start /low /b %USERPROFILE%\Documents\GitHub\eaglep3\Utilities\DownloadLogsFromS3.py --loco 4051 --day 2017-08-25</v>
      </c>
      <c r="AN232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18:05:32"},{"id":29,"name":"Sharepoint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709</v>
      </c>
      <c r="B233" s="7">
        <v>4052</v>
      </c>
      <c r="C233" s="21" t="s">
        <v>197</v>
      </c>
      <c r="D233" s="21" t="s">
        <v>384</v>
      </c>
      <c r="E233" s="13">
        <v>42972.53601851852</v>
      </c>
      <c r="F233" s="13">
        <v>42972.53800925926</v>
      </c>
      <c r="G233" s="7">
        <v>1</v>
      </c>
      <c r="H233" s="21" t="s">
        <v>894</v>
      </c>
      <c r="I233" s="13">
        <v>42972.544386574074</v>
      </c>
      <c r="J233" s="7">
        <v>1</v>
      </c>
      <c r="K233" s="89" t="str">
        <f t="shared" si="99"/>
        <v>4051/4052</v>
      </c>
      <c r="L233" s="217" t="str">
        <f>VLOOKUP(A233,'Trips&amp;Operators'!$C$1:$G$99911,5,FALSE)</f>
        <v>LOZA FIDEL</v>
      </c>
      <c r="M233" s="6">
        <f t="shared" si="100"/>
        <v>6.3773148140171543E-3</v>
      </c>
      <c r="N233" s="7">
        <f t="shared" si="108"/>
        <v>9.1833333321847022</v>
      </c>
      <c r="O233" s="7"/>
      <c r="P233" s="7"/>
      <c r="Q233" s="22"/>
      <c r="R233" s="170"/>
      <c r="S233" s="213">
        <f t="shared" si="109"/>
        <v>1</v>
      </c>
      <c r="T233" s="195" t="str">
        <f t="shared" si="101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102"/>
        <v>https://d0f6bd738d7f1b3e5a7ca70fe4ff75f0.us-east-1.aws.found.io/app/kibana#/discover/Steve-Slow-Train-Analysis-(2080s-and-2083s)?_g=(refreshInterval:(display:Off,pause:!f,section:0,value:0),time:(from:'2017-08-25T11:51:52-0600',mode:absolute,to:'2017-08-25T14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3" s="197" t="str">
        <f>IF(AA233&lt;VLOOKUP(AG233,Variables!$AC$3:$AD$8,2,FALSE),"Y","N")</f>
        <v>Y</v>
      </c>
      <c r="X233" s="197">
        <f t="shared" si="116"/>
        <v>1</v>
      </c>
      <c r="Y233" s="197">
        <f t="shared" si="114"/>
        <v>4.4400000000000002E-2</v>
      </c>
      <c r="Z233" s="197">
        <f t="shared" si="115"/>
        <v>2.4222000000000001</v>
      </c>
      <c r="AA233" s="197">
        <f t="shared" si="103"/>
        <v>2.3778000000000001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6">
        <f t="shared" si="104"/>
        <v>59</v>
      </c>
      <c r="AE233" s="77" t="str">
        <f t="shared" si="105"/>
        <v>aws s3 cp s3://rtdc.mdm.uploadarchive.raw/RTDC4052/ "%USERPROFILE%\AppData\Local\Temp\OnboardLogs"\RTDC4052\2017-08-25 --exclude "*" --recursive --include "*20170825*" &amp; "%USERPROFILE%\Documents\GitHub\mrs-test-scripts\Headless Mode &amp; Sideloading\WalkAndUnGZ.bat" "%USERPROFILE%\AppData\Local\Temp\OnboardLogs"\RTDC4052\2017-08-25 &amp; aws s3 cp s3://rtdc.mdm.uploadarchive.raw/RTDC4052/ "%USERPROFILE%\AppData\Local\Temp\OnboardLogs"\RTDC4052\2017-08-26 --exclude "*" --recursive --include "*20170826*" &amp; "%USERPROFILE%\Documents\GitHub\mrs-test-scripts\Headless Mode &amp; Sideloading\WalkAndUnGZ.bat" "%USERPROFILE%\AppData\Local\Temp\OnboardLogs"\RTDC4052\2017-08-26</v>
      </c>
      <c r="AF233" s="74" t="str">
        <f t="shared" si="106"/>
        <v>"C:\Program Files (x86)\AstroGrep\AstroGrep.exe" /e /r /s /spath="%USERPROFILE%\AppData\Local\Temp\OnboardLogs" /stypes="app*4052*20170825*" /stext=" 19:.+((SYSTEM_STATE.+slice.+state.+changed )|(ment ac)|(multiple cpu faults)|(system.+state.+changed )|(\[timeout)|(PRM\|1\|D)|(kpr)|(kdp)|(train st.+moving)|(\|lc)|(penalty))"</v>
      </c>
      <c r="AG233" s="209" t="str">
        <f t="shared" si="107"/>
        <v>Shuttle/Test</v>
      </c>
      <c r="AH233" s="78" t="str">
        <f t="shared" si="110"/>
        <v>"%USERPROFILE%\Documents\GitHub\eaglep3\Utilities\RefineRTDCRunTimes.py" --tripid 59-25 --locoid 4052 --swversion DE.1.0.9.0 --startMP 204:444 --initTime 2017-08-25T12:51:52 --startdatetime 2017-08-25T12:54:44 --delay 1 --endMP 300:24222 --enddatetime 2017-08-25T13:03:55 --enforcementcount 1 &gt;&gt;C:\Users\stu\Documents\GitHub\eaglep3-reporting\EC\2017-08-25-refined-times.txt</v>
      </c>
      <c r="AI233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2.4222"},{"id":17,"name":"Train ID","value":"59-25"},{"id":16,"name":"Locomotive ID","value":"4052"},{"id":130,"name":"Impact","value":""},{"id":150,"name":"Time of Event (Mountain Time)","value":"13:03:55"},{"id":151,"name":"Denver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12"/>
        <v>start /low /b %USERPROFILE%\Documents\GitHub\eaglep3\Utilities\DownloadLogsFromS3.py --loco 4052 --day 2017-08-25</v>
      </c>
      <c r="AN233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19:03:55"},{"id":29,"name":"Sharepoint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641</v>
      </c>
      <c r="B234" s="7">
        <v>4002</v>
      </c>
      <c r="C234" s="21" t="s">
        <v>197</v>
      </c>
      <c r="D234" s="21" t="s">
        <v>897</v>
      </c>
      <c r="E234" s="13">
        <v>42972.260891203703</v>
      </c>
      <c r="F234" s="13">
        <v>42972.264699074076</v>
      </c>
      <c r="G234" s="7">
        <v>1</v>
      </c>
      <c r="H234" s="21" t="s">
        <v>898</v>
      </c>
      <c r="I234" s="13">
        <v>42972.265416666669</v>
      </c>
      <c r="J234" s="7">
        <v>1</v>
      </c>
      <c r="K234" s="89" t="str">
        <f t="shared" si="99"/>
        <v>4001/4002</v>
      </c>
      <c r="L234" s="217" t="str">
        <f>VLOOKUP(A234,'Trips&amp;Operators'!$C$1:$G$99911,5,FALSE)</f>
        <v>SPECTOR MICHAEL</v>
      </c>
      <c r="M234" s="6">
        <f t="shared" si="100"/>
        <v>7.1759259299142286E-4</v>
      </c>
      <c r="N234" s="7">
        <f t="shared" si="108"/>
        <v>1.0333333339076489</v>
      </c>
      <c r="O234" s="7"/>
      <c r="P234" s="7"/>
      <c r="Q234" s="22"/>
      <c r="R234" s="170"/>
      <c r="S234" s="213">
        <f t="shared" si="109"/>
        <v>0</v>
      </c>
      <c r="T234" s="195" t="str">
        <f t="shared" si="101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102"/>
        <v>https://d0f6bd738d7f1b3e5a7ca70fe4ff75f0.us-east-1.aws.found.io/app/kibana#/discover/Steve-Slow-Train-Analysis-(2080s-and-2083s)?_g=(refreshInterval:(display:Off,pause:!f,section:0,value:0),time:(from:'2017-08-25T05:15:41-0600',mode:absolute,to:'2017-08-25T07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4" s="197" t="str">
        <f>IF(AA234&lt;VLOOKUP(AG234,Variables!$AC$3:$AD$8,2,FALSE),"Y","N")</f>
        <v>Y</v>
      </c>
      <c r="X234" s="197">
        <f t="shared" si="116"/>
        <v>8</v>
      </c>
      <c r="Y234" s="197">
        <f t="shared" si="114"/>
        <v>0.15179999999999999</v>
      </c>
      <c r="Z234" s="197">
        <f t="shared" si="115"/>
        <v>0.35320000000000001</v>
      </c>
      <c r="AA234" s="197">
        <f t="shared" si="103"/>
        <v>0.20140000000000002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6">
        <f t="shared" si="104"/>
        <v>67</v>
      </c>
      <c r="AE234" s="77" t="str">
        <f t="shared" si="105"/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AF234" s="74" t="str">
        <f t="shared" si="106"/>
        <v>"C:\Program Files (x86)\AstroGrep\AstroGrep.exe" /e /r /s /spath="%USERPROFILE%\AppData\Local\Temp\OnboardLogs" /stypes="app*4002*20170825*" /stext=" 12:.+((SYSTEM_STATE.+slice.+state.+changed )|(ment ac)|(multiple cpu faults)|(system.+state.+changed )|(\[timeout)|(PRM\|1\|D)|(kpr)|(kdp)|(train st.+moving)|(\|lc)|(penalty))"</v>
      </c>
      <c r="AG234" s="209" t="str">
        <f t="shared" si="107"/>
        <v>Shuttle/Test</v>
      </c>
      <c r="AH234" s="78" t="str">
        <f t="shared" si="110"/>
        <v>"%USERPROFILE%\Documents\GitHub\eaglep3\Utilities\RefineRTDCRunTimes.py" --tripid 67-25 --locoid 4002 --swversion DE.1.0.9.0 --startMP 204:1518 --initTime 2017-08-25T06:15:41 --startdatetime 2017-08-25T06:21:10 --delay 1 --endMP 204:3532 --enddatetime 2017-08-25T06:22:12 --enforcementcount 1 &gt;&gt;C:\Users\stu\Documents\GitHub\eaglep3-reporting\EC\2017-08-25-refined-times.txt</v>
      </c>
      <c r="AI234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0.3532"},{"id":17,"name":"Train ID","value":"67-25"},{"id":16,"name":"Locomotive ID","value":"4002"},{"id":130,"name":"Impact","value":""},{"id":150,"name":"Time of Event (Mountain Time)","value":"06:22:12"},{"id":151,"name":"Denver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12"/>
        <v>start /low /b %USERPROFILE%\Documents\GitHub\eaglep3\Utilities\DownloadLogsFromS3.py --loco 4002 --day 2017-08-25</v>
      </c>
      <c r="AN234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643</v>
      </c>
      <c r="B235" s="7">
        <v>4001</v>
      </c>
      <c r="C235" s="21" t="s">
        <v>197</v>
      </c>
      <c r="D235" s="21" t="s">
        <v>899</v>
      </c>
      <c r="E235" s="13">
        <v>42972.266261574077</v>
      </c>
      <c r="F235" s="13">
        <v>42972.267511574071</v>
      </c>
      <c r="G235" s="7">
        <v>1</v>
      </c>
      <c r="H235" s="21" t="s">
        <v>432</v>
      </c>
      <c r="I235" s="13">
        <v>42972.269085648149</v>
      </c>
      <c r="J235" s="7">
        <v>1</v>
      </c>
      <c r="K235" s="89" t="str">
        <f t="shared" si="99"/>
        <v>4001/4002</v>
      </c>
      <c r="L235" s="217" t="str">
        <f>VLOOKUP(A235,'Trips&amp;Operators'!$C$1:$G$99911,5,FALSE)</f>
        <v>SPECTOR MICHAEL</v>
      </c>
      <c r="M235" s="6">
        <f t="shared" si="100"/>
        <v>1.5740740782348439E-3</v>
      </c>
      <c r="N235" s="7">
        <f t="shared" si="108"/>
        <v>2.2666666726581752</v>
      </c>
      <c r="O235" s="7"/>
      <c r="P235" s="7"/>
      <c r="Q235" s="22"/>
      <c r="R235" s="170"/>
      <c r="S235" s="213">
        <f t="shared" si="109"/>
        <v>0</v>
      </c>
      <c r="T235" s="195" t="str">
        <f t="shared" si="101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102"/>
        <v>https://d0f6bd738d7f1b3e5a7ca70fe4ff75f0.us-east-1.aws.found.io/app/kibana#/discover/Steve-Slow-Train-Analysis-(2080s-and-2083s)?_g=(refreshInterval:(display:Off,pause:!f,section:0,value:0),time:(from:'2017-08-25T05:23:25-0600',mode:absolute,to:'2017-08-25T07:27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5" s="197" t="str">
        <f>IF(AA235&lt;VLOOKUP(AG235,Variables!$AC$3:$AD$8,2,FALSE),"Y","N")</f>
        <v>Y</v>
      </c>
      <c r="X235" s="197">
        <f t="shared" si="116"/>
        <v>1</v>
      </c>
      <c r="Y235" s="197">
        <f t="shared" si="114"/>
        <v>0.32029999999999997</v>
      </c>
      <c r="Z235" s="197">
        <f t="shared" si="115"/>
        <v>1.3899999999999999E-2</v>
      </c>
      <c r="AA235" s="197">
        <f t="shared" si="103"/>
        <v>0.30639999999999995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6">
        <f t="shared" si="104"/>
        <v>68</v>
      </c>
      <c r="AE235" s="77" t="str">
        <f t="shared" si="105"/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AF235" s="74" t="str">
        <f t="shared" si="106"/>
        <v>"C:\Program Files (x86)\AstroGrep\AstroGrep.exe" /e /r /s /spath="%USERPROFILE%\AppData\Local\Temp\OnboardLogs" /stypes="app*4001*20170825*" /stext=" 12:.+((SYSTEM_STATE.+slice.+state.+changed )|(ment ac)|(multiple cpu faults)|(system.+state.+changed )|(\[timeout)|(PRM\|1\|D)|(kpr)|(kdp)|(train st.+moving)|(\|lc)|(penalty))"</v>
      </c>
      <c r="AG235" s="209" t="str">
        <f t="shared" si="107"/>
        <v>Shuttle/Test</v>
      </c>
      <c r="AH235" s="78" t="str">
        <f t="shared" si="110"/>
        <v>"%USERPROFILE%\Documents\GitHub\eaglep3\Utilities\RefineRTDCRunTimes.py" --tripid 68-25 --locoid 4001 --swversion DE.1.0.9.0 --startMP 204:3203 --initTime 2017-08-25T06:23:25 --startdatetime 2017-08-25T06:25:13 --delay 1 --endMP 204:139 --enddatetime 2017-08-25T06:27:29 --enforcementcount 1 &gt;&gt;C:\Users\stu\Documents\GitHub\eaglep3-reporting\EC\2017-08-25-refined-times.txt</v>
      </c>
      <c r="AI235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0.0139"},{"id":17,"name":"Train ID","value":"68-25"},{"id":16,"name":"Locomotive ID","value":"4001"},{"id":130,"name":"Impact","value":""},{"id":150,"name":"Time of Event (Mountain Time)","value":"06:27:29"},{"id":151,"name":"Denver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12"/>
        <v>start /low /b %USERPROFILE%\Documents\GitHub\eaglep3\Utilities\DownloadLogsFromS3.py --loco 4001 --day 2017-08-25</v>
      </c>
      <c r="AN235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12:27:29"},{"id":29,"name":"Sharepoint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747</v>
      </c>
      <c r="B236" s="7">
        <v>4028</v>
      </c>
      <c r="C236" s="21" t="s">
        <v>197</v>
      </c>
      <c r="D236" s="21" t="s">
        <v>900</v>
      </c>
      <c r="E236" s="13">
        <v>42972.687511574077</v>
      </c>
      <c r="F236" s="13">
        <v>42972.704571759263</v>
      </c>
      <c r="G236" s="7">
        <v>2</v>
      </c>
      <c r="H236" s="21" t="s">
        <v>901</v>
      </c>
      <c r="I236" s="13">
        <v>42972.71297453704</v>
      </c>
      <c r="J236" s="7">
        <v>1</v>
      </c>
      <c r="K236" s="89" t="str">
        <f t="shared" si="99"/>
        <v>4027/4028</v>
      </c>
      <c r="L236" s="217" t="str">
        <f>VLOOKUP(A236,'Trips&amp;Operators'!$C$1:$G$99911,5,FALSE)</f>
        <v>NEWELL JAMES</v>
      </c>
      <c r="M236" s="6">
        <f t="shared" si="100"/>
        <v>8.4027777775190771E-3</v>
      </c>
      <c r="N236" s="7">
        <f t="shared" si="108"/>
        <v>12.099999999627471</v>
      </c>
      <c r="O236" s="7"/>
      <c r="P236" s="7"/>
      <c r="Q236" s="22"/>
      <c r="R236" s="170"/>
      <c r="S236" s="213">
        <f t="shared" si="109"/>
        <v>1</v>
      </c>
      <c r="T236" s="195" t="str">
        <f t="shared" si="101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102"/>
        <v>https://d0f6bd738d7f1b3e5a7ca70fe4ff75f0.us-east-1.aws.found.io/app/kibana#/discover/Steve-Slow-Train-Analysis-(2080s-and-2083s)?_g=(refreshInterval:(display:Off,pause:!f,section:0,value:0),time:(from:'2017-08-25T15:30:01-0600',mode:absolute,to:'2017-08-25T18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6" s="197" t="str">
        <f>IF(AA236&lt;VLOOKUP(AG236,Variables!$AC$3:$AD$8,2,FALSE),"Y","N")</f>
        <v>Y</v>
      </c>
      <c r="X236" s="197">
        <f t="shared" si="116"/>
        <v>7</v>
      </c>
      <c r="Y236" s="197">
        <f t="shared" si="114"/>
        <v>0.15260000000000001</v>
      </c>
      <c r="Z236" s="197">
        <f t="shared" si="115"/>
        <v>2.3302</v>
      </c>
      <c r="AA236" s="197">
        <f t="shared" si="103"/>
        <v>2.1776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6">
        <f t="shared" si="104"/>
        <v>75</v>
      </c>
      <c r="AE236" s="77" t="str">
        <f t="shared" si="105"/>
        <v>aws s3 cp s3://rtdc.mdm.uploadarchive.raw/RTDC4028/ "%USERPROFILE%\AppData\Local\Temp\OnboardLogs"\RTDC4028\2017-08-25 --exclude "*" --recursive --include "*20170825*" &amp; "%USERPROFILE%\Documents\GitHub\mrs-test-scripts\Headless Mode &amp; Sideloading\WalkAndUnGZ.bat" "%USERPROFILE%\AppData\Local\Temp\OnboardLogs"\RTDC4028\2017-08-25 &amp; aws s3 cp s3://rtdc.mdm.uploadarchive.raw/RTDC4028/ "%USERPROFILE%\AppData\Local\Temp\OnboardLogs"\RTDC4028\2017-08-26 --exclude "*" --recursive --include "*20170826*" &amp; "%USERPROFILE%\Documents\GitHub\mrs-test-scripts\Headless Mode &amp; Sideloading\WalkAndUnGZ.bat" "%USERPROFILE%\AppData\Local\Temp\OnboardLogs"\RTDC4028\2017-08-26</v>
      </c>
      <c r="AF236" s="74" t="str">
        <f t="shared" si="106"/>
        <v>"C:\Program Files (x86)\AstroGrep\AstroGrep.exe" /e /r /s /spath="%USERPROFILE%\AppData\Local\Temp\OnboardLogs" /stypes="app*4028*20170825*" /stext=" 23:.+((SYSTEM_STATE.+slice.+state.+changed )|(ment ac)|(multiple cpu faults)|(system.+state.+changed )|(\[timeout)|(PRM\|1\|D)|(kpr)|(kdp)|(train st.+moving)|(\|lc)|(penalty))"</v>
      </c>
      <c r="AG236" s="209" t="str">
        <f t="shared" si="107"/>
        <v>Shuttle/Test</v>
      </c>
      <c r="AH236" s="78" t="str">
        <f t="shared" si="110"/>
        <v>"%USERPROFILE%\Documents\GitHub\eaglep3\Utilities\RefineRTDCRunTimes.py" --tripid 75-25 --locoid 4028 --swversion DE.1.0.9.0 --startMP 204:1526 --initTime 2017-08-25T16:30:01 --startdatetime 2017-08-25T16:54:35 --delay 2 --endMP 300:23302 --enddatetime 2017-08-25T17:06:41 --enforcementcount 1 &gt;&gt;C:\Users\stu\Documents\GitHub\eaglep3-reporting\EC\2017-08-25-refined-times.txt</v>
      </c>
      <c r="AI236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2.3302"},{"id":17,"name":"Train ID","value":"75-25"},{"id":16,"name":"Locomotive ID","value":"4028"},{"id":130,"name":"Impact","value":""},{"id":150,"name":"Time of Event (Mountain Time)","value":"17:06:41"},{"id":151,"name":"Denver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12"/>
        <v>start /low /b %USERPROFILE%\Documents\GitHub\eaglep3\Utilities\DownloadLogsFromS3.py --loco 4028 --day 2017-08-25</v>
      </c>
      <c r="AN236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651</v>
      </c>
      <c r="B237" s="7">
        <v>4027</v>
      </c>
      <c r="C237" s="21" t="s">
        <v>197</v>
      </c>
      <c r="D237" s="21" t="s">
        <v>902</v>
      </c>
      <c r="E237" s="13">
        <v>42972.308807870373</v>
      </c>
      <c r="F237" s="13">
        <v>42972.310659722221</v>
      </c>
      <c r="G237" s="7">
        <v>1</v>
      </c>
      <c r="H237" s="21" t="s">
        <v>903</v>
      </c>
      <c r="I237" s="13">
        <v>42972.311840277776</v>
      </c>
      <c r="J237" s="7">
        <v>1</v>
      </c>
      <c r="K237" s="89" t="str">
        <f t="shared" si="99"/>
        <v>4027/4028</v>
      </c>
      <c r="L237" s="217" t="str">
        <f>VLOOKUP(A237,'Trips&amp;Operators'!$C$1:$G$99911,5,FALSE)</f>
        <v>SPECTOR MICHAEL</v>
      </c>
      <c r="M237" s="6">
        <f t="shared" si="100"/>
        <v>1.1805555550381541E-3</v>
      </c>
      <c r="N237" s="7">
        <f t="shared" si="108"/>
        <v>1.6999999992549419</v>
      </c>
      <c r="O237" s="7"/>
      <c r="P237" s="7"/>
      <c r="Q237" s="22"/>
      <c r="R237" s="170"/>
      <c r="S237" s="213">
        <f t="shared" si="109"/>
        <v>0</v>
      </c>
      <c r="T237" s="195" t="str">
        <f t="shared" si="101"/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102"/>
        <v>https://d0f6bd738d7f1b3e5a7ca70fe4ff75f0.us-east-1.aws.found.io/app/kibana#/discover/Steve-Slow-Train-Analysis-(2080s-and-2083s)?_g=(refreshInterval:(display:Off,pause:!f,section:0,value:0),time:(from:'2017-08-25T06:24:41-0600',mode:absolute,to:'2017-08-25T08:29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7" s="197" t="str">
        <f>IF(AA237&lt;VLOOKUP(AG237,Variables!$AC$3:$AD$8,2,FALSE),"Y","N")</f>
        <v>Y</v>
      </c>
      <c r="X237" s="197">
        <f t="shared" si="116"/>
        <v>1</v>
      </c>
      <c r="Y237" s="197">
        <f t="shared" si="114"/>
        <v>0.30969999999999998</v>
      </c>
      <c r="Z237" s="197">
        <f t="shared" si="115"/>
        <v>0.12089999999999999</v>
      </c>
      <c r="AA237" s="197">
        <f t="shared" si="103"/>
        <v>0.18879999999999997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6">
        <f t="shared" si="104"/>
        <v>76</v>
      </c>
      <c r="AE237" s="77" t="str">
        <f t="shared" si="105"/>
        <v>aws s3 cp s3://rtdc.mdm.uploadarchive.raw/RTDC4027/ "%USERPROFILE%\AppData\Local\Temp\OnboardLogs"\RTDC4027\2017-08-25 --exclude "*" --recursive --include "*20170825*" &amp; "%USERPROFILE%\Documents\GitHub\mrs-test-scripts\Headless Mode &amp; Sideloading\WalkAndUnGZ.bat" "%USERPROFILE%\AppData\Local\Temp\OnboardLogs"\RTDC4027\2017-08-25 &amp; aws s3 cp s3://rtdc.mdm.uploadarchive.raw/RTDC4027/ "%USERPROFILE%\AppData\Local\Temp\OnboardLogs"\RTDC4027\2017-08-26 --exclude "*" --recursive --include "*20170826*" &amp; "%USERPROFILE%\Documents\GitHub\mrs-test-scripts\Headless Mode &amp; Sideloading\WalkAndUnGZ.bat" "%USERPROFILE%\AppData\Local\Temp\OnboardLogs"\RTDC4027\2017-08-26</v>
      </c>
      <c r="AF237" s="74" t="str">
        <f t="shared" si="106"/>
        <v>"C:\Program Files (x86)\AstroGrep\AstroGrep.exe" /e /r /s /spath="%USERPROFILE%\AppData\Local\Temp\OnboardLogs" /stypes="app*4027*20170825*" /stext=" 13:.+((SYSTEM_STATE.+slice.+state.+changed )|(ment ac)|(multiple cpu faults)|(system.+state.+changed )|(\[timeout)|(PRM\|1\|D)|(kpr)|(kdp)|(train st.+moving)|(\|lc)|(penalty))"</v>
      </c>
      <c r="AG237" s="209" t="str">
        <f t="shared" si="107"/>
        <v>Shuttle/Test</v>
      </c>
      <c r="AH237" s="78" t="str">
        <f t="shared" si="110"/>
        <v>"%USERPROFILE%\Documents\GitHub\eaglep3\Utilities\RefineRTDCRunTimes.py" --tripid 76-25 --locoid 4027 --swversion DE.1.0.9.0 --startMP 204:3097 --initTime 2017-08-25T07:24:41 --startdatetime 2017-08-25T07:27:21 --delay 1 --endMP 204:1209 --enddatetime 2017-08-25T07:29:03 --enforcementcount 1 &gt;&gt;C:\Users\stu\Documents\GitHub\eaglep3-reporting\EC\2017-08-25-refined-times.txt</v>
      </c>
      <c r="AI237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0.1209"},{"id":17,"name":"Train ID","value":"76-25"},{"id":16,"name":"Locomotive ID","value":"4027"},{"id":130,"name":"Impact","value":""},{"id":150,"name":"Time of Event (Mountain Time)","value":"07:29:03"},{"id":151,"name":"Denver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12"/>
        <v>start /low /b %USERPROFILE%\Documents\GitHub\eaglep3\Utilities\DownloadLogsFromS3.py --loco 4027 --day 2017-08-25</v>
      </c>
      <c r="AN237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13:29:03"},{"id":29,"name":"Sharepoint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651</v>
      </c>
      <c r="B238" s="7">
        <v>4027</v>
      </c>
      <c r="C238" s="21" t="s">
        <v>197</v>
      </c>
      <c r="D238" s="21">
        <v>8.5055555555555546</v>
      </c>
      <c r="E238" s="13">
        <v>42972.288831018515</v>
      </c>
      <c r="F238" s="13">
        <v>42972.310659722221</v>
      </c>
      <c r="G238" s="7">
        <v>1</v>
      </c>
      <c r="H238" s="21">
        <v>8.5069444444444446</v>
      </c>
      <c r="I238" s="13">
        <v>42972.311840277776</v>
      </c>
      <c r="J238" s="7">
        <v>1</v>
      </c>
      <c r="K238" s="89" t="str">
        <f t="shared" si="99"/>
        <v>4027/4028</v>
      </c>
      <c r="L238" s="217" t="str">
        <f>VLOOKUP(A238,'Trips&amp;Operators'!$C$1:$G$99911,5,FALSE)</f>
        <v>SPECTOR MICHAEL</v>
      </c>
      <c r="M238" s="6">
        <f t="shared" si="100"/>
        <v>1.1805555550381541E-3</v>
      </c>
      <c r="N238" s="7">
        <f t="shared" si="108"/>
        <v>1.6999999992549419</v>
      </c>
      <c r="O238" s="7"/>
      <c r="P238" s="7"/>
      <c r="Q238" s="22"/>
      <c r="R238" s="170"/>
      <c r="S238" s="213">
        <f t="shared" si="109"/>
        <v>0</v>
      </c>
      <c r="T238" s="195" t="str">
        <f t="shared" si="101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102"/>
        <v>https://d0f6bd738d7f1b3e5a7ca70fe4ff75f0.us-east-1.aws.found.io/app/kibana#/discover/Steve-Slow-Train-Analysis-(2080s-and-2083s)?_g=(refreshInterval:(display:Off,pause:!f,section:0,value:0),time:(from:'2017-08-25T05:55:55-0600',mode:absolute,to:'2017-08-25T08:29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8" s="197" t="str">
        <f>IF(AA238&lt;VLOOKUP(AG238,Variables!$AC$3:$AD$8,2,FALSE),"Y","N")</f>
        <v>N</v>
      </c>
      <c r="X238" s="197">
        <f t="shared" si="116"/>
        <v>0</v>
      </c>
      <c r="Y238" s="197">
        <f t="shared" si="114"/>
        <v>55555555.555500001</v>
      </c>
      <c r="Z238" s="197">
        <f t="shared" si="115"/>
        <v>69444444.444399998</v>
      </c>
      <c r="AA238" s="197">
        <f t="shared" si="103"/>
        <v>13888888.888899997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206">
        <f t="shared" si="104"/>
        <v>76</v>
      </c>
      <c r="AE238" s="77" t="str">
        <f t="shared" si="105"/>
        <v>aws s3 cp s3://rtdc.mdm.uploadarchive.raw/RTDC4027/ "%USERPROFILE%\AppData\Local\Temp\OnboardLogs"\RTDC4027\2017-08-25 --exclude "*" --recursive --include "*20170825*" &amp; "%USERPROFILE%\Documents\GitHub\mrs-test-scripts\Headless Mode &amp; Sideloading\WalkAndUnGZ.bat" "%USERPROFILE%\AppData\Local\Temp\OnboardLogs"\RTDC4027\2017-08-25 &amp; aws s3 cp s3://rtdc.mdm.uploadarchive.raw/RTDC4027/ "%USERPROFILE%\AppData\Local\Temp\OnboardLogs"\RTDC4027\2017-08-26 --exclude "*" --recursive --include "*20170826*" &amp; "%USERPROFILE%\Documents\GitHub\mrs-test-scripts\Headless Mode &amp; Sideloading\WalkAndUnGZ.bat" "%USERPROFILE%\AppData\Local\Temp\OnboardLogs"\RTDC4027\2017-08-26</v>
      </c>
      <c r="AF238" s="74" t="str">
        <f t="shared" si="106"/>
        <v>"C:\Program Files (x86)\AstroGrep\AstroGrep.exe" /e /r /s /spath="%USERPROFILE%\AppData\Local\Temp\OnboardLogs" /stypes="app*4027*20170825*" /stext=" 13:.+((SYSTEM_STATE.+slice.+state.+changed )|(ment ac)|(multiple cpu faults)|(system.+state.+changed )|(\[timeout)|(PRM\|1\|D)|(kpr)|(kdp)|(train st.+moving)|(\|lc)|(penalty))"</v>
      </c>
      <c r="AG238" s="209" t="str">
        <f t="shared" si="107"/>
        <v>Shuttle/Test</v>
      </c>
      <c r="AH238" s="78" t="str">
        <f t="shared" si="110"/>
        <v>"%USERPROFILE%\Documents\GitHub\eaglep3\Utilities\RefineRTDCRunTimes.py" --tripid 76-25 --locoid 4027 --swversion DE.1.0.9.0 --startMP 8.50555555555555 --initTime 2017-08-25T06:55:55 --startdatetime 2017-08-25T07:27:21 --delay 1 --endMP 8.50694444444444 --enddatetime 2017-08-25T07:29:03 --enforcementcount 1 &gt;&gt;C:\Users\stu\Documents\GitHub\eaglep3-reporting\EC\2017-08-25-refined-times.txt</v>
      </c>
      <c r="AI238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69444444.4444"},{"id":17,"name":"Train ID","value":"76-25"},{"id":16,"name":"Locomotive ID","value":"4027"},{"id":130,"name":"Impact","value":""},{"id":150,"name":"Time of Event (Mountain Time)","value":"07:29:03"},{"id":151,"name":"Denver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12"/>
        <v>start /low /b %USERPROFILE%\Documents\GitHub\eaglep3\Utilities\DownloadLogsFromS3.py --loco 4027 --day 2017-08-25</v>
      </c>
      <c r="AN238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13:29:03"},{"id":29,"name":"Sharepoint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s="20" customFormat="1" x14ac:dyDescent="0.25">
      <c r="A239" s="32" t="s">
        <v>651</v>
      </c>
      <c r="B239" s="7">
        <v>4028</v>
      </c>
      <c r="C239" s="21" t="s">
        <v>197</v>
      </c>
      <c r="D239" s="21" t="s">
        <v>904</v>
      </c>
      <c r="E239" s="13">
        <v>42972.299722222226</v>
      </c>
      <c r="F239" s="13">
        <v>42972.310659722221</v>
      </c>
      <c r="G239" s="7">
        <v>1</v>
      </c>
      <c r="H239" s="21" t="s">
        <v>905</v>
      </c>
      <c r="I239" s="13">
        <v>42972.311840277776</v>
      </c>
      <c r="J239" s="7">
        <v>1</v>
      </c>
      <c r="K239" s="89" t="str">
        <f t="shared" si="99"/>
        <v>4027/4028</v>
      </c>
      <c r="L239" s="217" t="str">
        <f>VLOOKUP(A239,'Trips&amp;Operators'!$C$1:$G$99911,5,FALSE)</f>
        <v>SPECTOR MICHAEL</v>
      </c>
      <c r="M239" s="6">
        <f t="shared" si="100"/>
        <v>1.1805555550381541E-3</v>
      </c>
      <c r="N239" s="7">
        <f t="shared" si="108"/>
        <v>1.6999999992549419</v>
      </c>
      <c r="O239" s="7"/>
      <c r="P239" s="7"/>
      <c r="Q239" s="22"/>
      <c r="R239" s="170"/>
      <c r="S239" s="213">
        <f t="shared" si="109"/>
        <v>0</v>
      </c>
      <c r="T239" s="195" t="str">
        <f t="shared" si="101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102"/>
        <v>https://d0f6bd738d7f1b3e5a7ca70fe4ff75f0.us-east-1.aws.found.io/app/kibana#/discover/Steve-Slow-Train-Analysis-(2080s-and-2083s)?_g=(refreshInterval:(display:Off,pause:!f,section:0,value:0),time:(from:'2017-08-25T06:11:36-0600',mode:absolute,to:'2017-08-25T08:29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9" s="197" t="str">
        <f>IF(AA239&lt;VLOOKUP(AG239,Variables!$AC$3:$AD$8,2,FALSE),"Y","N")</f>
        <v>Y</v>
      </c>
      <c r="X239" s="197">
        <f t="shared" si="116"/>
        <v>0</v>
      </c>
      <c r="Y239" s="197">
        <f t="shared" si="114"/>
        <v>3.1399999999999997E-2</v>
      </c>
      <c r="Z239" s="197">
        <f t="shared" si="115"/>
        <v>0.3574</v>
      </c>
      <c r="AA239" s="197">
        <f t="shared" si="103"/>
        <v>0.32600000000000001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206">
        <f t="shared" si="104"/>
        <v>76</v>
      </c>
      <c r="AE239" s="77" t="str">
        <f t="shared" si="105"/>
        <v>aws s3 cp s3://rtdc.mdm.uploadarchive.raw/RTDC4028/ "%USERPROFILE%\AppData\Local\Temp\OnboardLogs"\RTDC4028\2017-08-25 --exclude "*" --recursive --include "*20170825*" &amp; "%USERPROFILE%\Documents\GitHub\mrs-test-scripts\Headless Mode &amp; Sideloading\WalkAndUnGZ.bat" "%USERPROFILE%\AppData\Local\Temp\OnboardLogs"\RTDC4028\2017-08-25 &amp; aws s3 cp s3://rtdc.mdm.uploadarchive.raw/RTDC4028/ "%USERPROFILE%\AppData\Local\Temp\OnboardLogs"\RTDC4028\2017-08-26 --exclude "*" --recursive --include "*20170826*" &amp; "%USERPROFILE%\Documents\GitHub\mrs-test-scripts\Headless Mode &amp; Sideloading\WalkAndUnGZ.bat" "%USERPROFILE%\AppData\Local\Temp\OnboardLogs"\RTDC4028\2017-08-26</v>
      </c>
      <c r="AF239" s="74" t="str">
        <f t="shared" si="106"/>
        <v>"C:\Program Files (x86)\AstroGrep\AstroGrep.exe" /e /r /s /spath="%USERPROFILE%\AppData\Local\Temp\OnboardLogs" /stypes="app*4028*20170825*" /stext=" 13:.+((SYSTEM_STATE.+slice.+state.+changed )|(ment ac)|(multiple cpu faults)|(system.+state.+changed )|(\[timeout)|(PRM\|1\|D)|(kpr)|(kdp)|(train st.+moving)|(\|lc)|(penalty))"</v>
      </c>
      <c r="AG239" s="209" t="str">
        <f t="shared" si="107"/>
        <v>Shuttle/Test</v>
      </c>
      <c r="AH239" s="78" t="str">
        <f t="shared" si="110"/>
        <v>"%USERPROFILE%\Documents\GitHub\eaglep3\Utilities\RefineRTDCRunTimes.py" --tripid 76-25 --locoid 4028 --swversion DE.1.0.9.0 --startMP 204:314 --initTime 2017-08-25T07:11:36 --startdatetime 2017-08-25T07:27:21 --delay 1 --endMP 204:3574 --enddatetime 2017-08-25T07:29:03 --enforcementcount 1 &gt;&gt;C:\Users\stu\Documents\GitHub\eaglep3-reporting\EC\2017-08-25-refined-times.txt</v>
      </c>
      <c r="AI239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0.3574"},{"id":17,"name":"Train ID","value":"76-25"},{"id":16,"name":"Locomotive ID","value":"4028"},{"id":130,"name":"Impact","value":""},{"id":150,"name":"Time of Event (Mountain Time)","value":"07:29:03"},{"id":151,"name":"Denver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112"/>
        <v>start /low /b %USERPROFILE%\Documents\GitHub\eaglep3\Utilities\DownloadLogsFromS3.py --loco 4028 --day 2017-08-25</v>
      </c>
      <c r="AN239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13:29:03"},{"id":29,"name":"Sharepoint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 s="32" t="s">
        <v>651</v>
      </c>
      <c r="B240" s="7">
        <v>4055</v>
      </c>
      <c r="C240" s="21" t="s">
        <v>197</v>
      </c>
      <c r="D240" s="21" t="s">
        <v>906</v>
      </c>
      <c r="E240" s="13">
        <v>42972.739131944443</v>
      </c>
      <c r="F240" s="13">
        <v>42972.744641203702</v>
      </c>
      <c r="G240" s="7">
        <v>7</v>
      </c>
      <c r="H240" s="21" t="s">
        <v>907</v>
      </c>
      <c r="I240" s="13">
        <v>42972.75136574074</v>
      </c>
      <c r="J240" s="7">
        <v>1</v>
      </c>
      <c r="K240" s="89" t="str">
        <f t="shared" si="99"/>
        <v>4055/4056</v>
      </c>
      <c r="L240" s="217" t="str">
        <f>VLOOKUP(A240,'Trips&amp;Operators'!$C$1:$G$99911,5,FALSE)</f>
        <v>SPECTOR MICHAEL</v>
      </c>
      <c r="M240" s="6">
        <f t="shared" si="100"/>
        <v>6.7245370373711921E-3</v>
      </c>
      <c r="N240" s="7">
        <f t="shared" si="108"/>
        <v>9.6833333338145167</v>
      </c>
      <c r="O240" s="7"/>
      <c r="P240" s="7"/>
      <c r="Q240" s="22"/>
      <c r="R240" s="170"/>
      <c r="S240" s="213">
        <f t="shared" si="109"/>
        <v>1</v>
      </c>
      <c r="T240" s="195" t="str">
        <f t="shared" si="101"/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102"/>
        <v>https://d0f6bd738d7f1b3e5a7ca70fe4ff75f0.us-east-1.aws.found.io/app/kibana#/discover/Steve-Slow-Train-Analysis-(2080s-and-2083s)?_g=(refreshInterval:(display:Off,pause:!f,section:0,value:0),time:(from:'2017-08-25T16:44:21-0600',mode:absolute,to:'2017-08-25T19:01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0" s="197" t="str">
        <f>IF(AA240&lt;VLOOKUP(AG240,Variables!$AC$3:$AD$8,2,FALSE),"Y","N")</f>
        <v>Y</v>
      </c>
      <c r="X240" s="197">
        <f t="shared" si="116"/>
        <v>0</v>
      </c>
      <c r="Y240" s="197">
        <f t="shared" si="114"/>
        <v>2.3254000000000001</v>
      </c>
      <c r="Z240" s="197">
        <f t="shared" si="115"/>
        <v>0.18990000000000001</v>
      </c>
      <c r="AA240" s="197">
        <f t="shared" si="103"/>
        <v>2.1355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206">
        <f t="shared" si="104"/>
        <v>76</v>
      </c>
      <c r="AE240" s="77" t="str">
        <f t="shared" si="105"/>
        <v>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 &amp; aws s3 cp s3://rtdc.mdm.uploadarchive.raw/RTDC4055/ "%USERPROFILE%\AppData\Local\Temp\OnboardLogs"\RTDC4055\2017-08-26 --exclude "*" --recursive --include "*20170826*" &amp; "%USERPROFILE%\Documents\GitHub\mrs-test-scripts\Headless Mode &amp; Sideloading\WalkAndUnGZ.bat" "%USERPROFILE%\AppData\Local\Temp\OnboardLogs"\RTDC4055\2017-08-26</v>
      </c>
      <c r="AF240" s="74" t="str">
        <f t="shared" si="106"/>
        <v>"C:\Program Files (x86)\AstroGrep\AstroGrep.exe" /e /r /s /spath="%USERPROFILE%\AppData\Local\Temp\OnboardLogs" /stypes="app*4055*20170826*" /stext=" 00:.+((SYSTEM_STATE.+slice.+state.+changed )|(ment ac)|(multiple cpu faults)|(system.+state.+changed )|(\[timeout)|(PRM\|1\|D)|(kpr)|(kdp)|(train st.+moving)|(\|lc)|(penalty))"</v>
      </c>
      <c r="AG240" s="209" t="str">
        <f t="shared" si="107"/>
        <v>Shuttle/Test</v>
      </c>
      <c r="AH240" s="78" t="str">
        <f t="shared" si="110"/>
        <v>"%USERPROFILE%\Documents\GitHub\eaglep3\Utilities\RefineRTDCRunTimes.py" --tripid 76-25 --locoid 4055 --swversion DE.1.0.9.0 --startMP 300:23254 --initTime 2017-08-25T17:44:21 --startdatetime 2017-08-25T17:52:17 --delay 7 --endMP 204:1899 --enddatetime 2017-08-25T18:01:58 --enforcementcount 1 &gt;&gt;C:\Users\stu\Documents\GitHub\eaglep3-reporting\EC\2017-08-25-refined-times.txt</v>
      </c>
      <c r="AI240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0.1899"},{"id":17,"name":"Train ID","value":"76-25"},{"id":16,"name":"Locomotive ID","value":"4055"},{"id":130,"name":"Impact","value":""},{"id":150,"name":"Time of Event (Mountain Time)","value":"18:01:58"},{"id":151,"name":"Denver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112"/>
        <v>start /low /b %USERPROFILE%\Documents\GitHub\eaglep3\Utilities\DownloadLogsFromS3.py --loco 4055 --day 2017-08-25</v>
      </c>
      <c r="AN240" s="151" t="str">
        <f t="shared" si="113"/>
        <v>echo {"issue":{"subject":"","project_id":30,"tracker_id":4,"status_id":1,"priority_id":1,"assigned_to_id":10,"start_date":"2017-08-26","description":"","custom_fields":[{"id":30,"name":"Category","value":"Issue"},{"id":3,"name":"Functional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UTC","value":"2017-08-26 00:01:58"},{"id":29,"name":"Sharepoint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91" x14ac:dyDescent="0.25">
      <c r="A241" s="32" t="s">
        <v>759</v>
      </c>
      <c r="B241" s="7">
        <v>4012</v>
      </c>
      <c r="C241" s="21" t="s">
        <v>197</v>
      </c>
      <c r="D241" s="21" t="s">
        <v>908</v>
      </c>
      <c r="E241" s="13">
        <v>42972.731365740743</v>
      </c>
      <c r="F241" s="13">
        <v>42972.736932870372</v>
      </c>
      <c r="G241" s="7">
        <v>1</v>
      </c>
      <c r="H241" s="21" t="s">
        <v>545</v>
      </c>
      <c r="I241" s="13">
        <v>42972.745555555557</v>
      </c>
      <c r="J241" s="7">
        <v>1</v>
      </c>
      <c r="K241" s="89" t="str">
        <f t="shared" si="99"/>
        <v>4011/4012</v>
      </c>
      <c r="L241" s="217" t="str">
        <f>VLOOKUP(A241,'Trips&amp;Operators'!$C$1:$G$99911,5,FALSE)</f>
        <v>CASSIDY BRANDON</v>
      </c>
      <c r="M241" s="6">
        <f t="shared" si="100"/>
        <v>8.6226851854007691E-3</v>
      </c>
      <c r="N241" s="7">
        <f t="shared" si="108"/>
        <v>12.416666666977108</v>
      </c>
      <c r="O241" s="7"/>
      <c r="P241" s="7"/>
      <c r="Q241" s="22"/>
      <c r="R241" s="170"/>
      <c r="S241" s="213">
        <f t="shared" si="109"/>
        <v>1</v>
      </c>
      <c r="T241" s="195" t="str">
        <f t="shared" si="101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196" t="str">
        <f t="shared" si="102"/>
        <v>https://d0f6bd738d7f1b3e5a7ca70fe4ff75f0.us-east-1.aws.found.io/app/kibana#/discover/Steve-Slow-Train-Analysis-(2080s-and-2083s)?_g=(refreshInterval:(display:Off,pause:!f,section:0,value:0),time:(from:'2017-08-25T16:33:10-0600',mode:absolute,to:'2017-08-25T18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1" s="197" t="str">
        <f>IF(AA241&lt;VLOOKUP(AG241,Variables!$AC$3:$AD$8,2,FALSE),"Y","N")</f>
        <v>Y</v>
      </c>
      <c r="X241" s="197">
        <f t="shared" si="116"/>
        <v>1</v>
      </c>
      <c r="Y241" s="197">
        <f t="shared" si="114"/>
        <v>0.11840000000000001</v>
      </c>
      <c r="Z241" s="197">
        <f t="shared" si="115"/>
        <v>2.331</v>
      </c>
      <c r="AA241" s="197">
        <f t="shared" si="103"/>
        <v>2.2126000000000001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206">
        <f t="shared" si="104"/>
        <v>77</v>
      </c>
      <c r="AE241" s="77" t="str">
        <f t="shared" si="105"/>
        <v>aws s3 cp s3://rtdc.mdm.uploadarchive.raw/RTDC4012/ "%USERPROFILE%\AppData\Local\Temp\OnboardLogs"\RTDC4012\2017-08-25 --exclude "*" --recursive --include "*20170825*" &amp; "%USERPROFILE%\Documents\GitHub\mrs-test-scripts\Headless Mode &amp; Sideloading\WalkAndUnGZ.bat" "%USERPROFILE%\AppData\Local\Temp\OnboardLogs"\RTDC4012\2017-08-25 &amp; aws s3 cp s3://rtdc.mdm.uploadarchive.raw/RTDC4012/ "%USERPROFILE%\AppData\Local\Temp\OnboardLogs"\RTDC4012\2017-08-26 --exclude "*" --recursive --include "*20170826*" &amp; "%USERPROFILE%\Documents\GitHub\mrs-test-scripts\Headless Mode &amp; Sideloading\WalkAndUnGZ.bat" "%USERPROFILE%\AppData\Local\Temp\OnboardLogs"\RTDC4012\2017-08-26</v>
      </c>
      <c r="AF241" s="74" t="str">
        <f t="shared" si="106"/>
        <v>"C:\Program Files (x86)\AstroGrep\AstroGrep.exe" /e /r /s /spath="%USERPROFILE%\AppData\Local\Temp\OnboardLogs" /stypes="app*4012*20170825*" /stext=" 23:.+((SYSTEM_STATE.+slice.+state.+changed )|(ment ac)|(multiple cpu faults)|(system.+state.+changed )|(\[timeout)|(PRM\|1\|D)|(kpr)|(kdp)|(train st.+moving)|(\|lc)|(penalty))"</v>
      </c>
      <c r="AG241" s="209" t="str">
        <f t="shared" si="107"/>
        <v>Shuttle/Test</v>
      </c>
      <c r="AH241" s="78" t="str">
        <f t="shared" si="110"/>
        <v>"%USERPROFILE%\Documents\GitHub\eaglep3\Utilities\RefineRTDCRunTimes.py" --tripid 77-25 --locoid 4012 --swversion DE.1.0.9.0 --startMP 204:1184 --initTime 2017-08-25T17:33:10 --startdatetime 2017-08-25T17:41:11 --delay 1 --endMP 300:23310 --enddatetime 2017-08-25T17:53:36 --enforcementcount 1 &gt;&gt;C:\Users\stu\Documents\GitHub\eaglep3-reporting\EC\2017-08-25-refined-times.txt</v>
      </c>
      <c r="AI241" s="96" t="str">
        <f t="shared" si="111"/>
        <v>echo {"issue":{"subject":"","project_id":79,"tracker_id":40,"status_id":1,"priority_id":2,"assigned_to_id":23,"start_date":"2017-08-25","description":"","custom_fields":[{"id":1,"name":"Subdivision","value":"Shuttle/Test"},{"id":4,"name":"Milepost","value":"2.331"},{"id":17,"name":"Train ID","value":"77-25"},{"id":16,"name":"Locomotive ID","value":"4012"},{"id":130,"name":"Impact","value":""},{"id":150,"name":"Time of Event (Mountain Time)","value":"17:53:36"},{"id":151,"name":"Denver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112"/>
        <v>start /low /b %USERPROFILE%\Documents\GitHub\eaglep3\Utilities\DownloadLogsFromS3.py --loco 4012 --day 2017-08-25</v>
      </c>
      <c r="AN241" s="151" t="str">
        <f t="shared" si="113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23:53:36"},{"id":29,"name":"Sharepoint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</sheetData>
  <autoFilter ref="A12:AG259">
    <sortState ref="A13:AG259">
      <sortCondition ref="AG13:AG241"/>
      <sortCondition ref="AD13:AD241"/>
    </sortState>
  </autoFilter>
  <sortState ref="A13:AN214">
    <sortCondition ref="AG13:AG214"/>
    <sortCondition ref="AD13:AD214"/>
  </sortState>
  <mergeCells count="1">
    <mergeCell ref="A11:P11"/>
  </mergeCells>
  <conditionalFormatting sqref="W11:W12 W265:X1048576 W13:X241">
    <cfRule type="cellIs" dxfId="10" priority="415" operator="equal">
      <formula>"Y"</formula>
    </cfRule>
  </conditionalFormatting>
  <conditionalFormatting sqref="X265:X1048576 X13:X241">
    <cfRule type="cellIs" dxfId="9" priority="398" operator="greaterThan">
      <formula>1</formula>
    </cfRule>
  </conditionalFormatting>
  <conditionalFormatting sqref="X265:X1048576 X12:X241">
    <cfRule type="cellIs" dxfId="8" priority="395" operator="equal">
      <formula>0</formula>
    </cfRule>
  </conditionalFormatting>
  <conditionalFormatting sqref="A13:S24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O35" sqref="O3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COUNTIF($O$7:$O$258,"=Y")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COUNTA($O$7:$O$258)-O2</f>
        <v>40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- 2017-08-25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365</v>
      </c>
      <c r="X6" s="208" t="s">
        <v>358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42972.676145833335</v>
      </c>
      <c r="B7" s="30" t="s">
        <v>568</v>
      </c>
      <c r="C7" s="30" t="s">
        <v>594</v>
      </c>
      <c r="D7" s="30" t="s">
        <v>96</v>
      </c>
      <c r="E7" s="30" t="s">
        <v>187</v>
      </c>
      <c r="F7" s="42">
        <v>0</v>
      </c>
      <c r="G7" s="42">
        <v>146</v>
      </c>
      <c r="H7" s="42">
        <v>27333</v>
      </c>
      <c r="I7" s="42">
        <v>27215</v>
      </c>
      <c r="J7" s="30" t="s">
        <v>188</v>
      </c>
      <c r="K7" s="42">
        <v>27350</v>
      </c>
      <c r="L7" s="131" t="s">
        <v>51</v>
      </c>
      <c r="M7" s="132">
        <f t="shared" ref="M7:M47" si="0">CONVERT((I7-K7)/10000,"mi","ft")*IF(L7="Increasing Mileposts (1)",-1,1)</f>
        <v>-71.28</v>
      </c>
      <c r="N7" s="133" t="str">
        <f>VLOOKUP(C7,'Trips&amp;Operators'!$C$1:$G$99911,5,FALSE)</f>
        <v>THOMPSON LESTER</v>
      </c>
      <c r="O7" s="203" t="s">
        <v>180</v>
      </c>
      <c r="P7" s="134" t="s">
        <v>388</v>
      </c>
      <c r="Q7" s="30"/>
      <c r="R7" s="81" t="str">
        <f>VLOOKUP(C7,'Train Runs'!$A$13:$AE$9918,31,0)</f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S7" s="84" t="str">
        <f>VLOOKUP(C7,'Train Runs'!$A$13:$AE$9918,22,0)</f>
        <v>https://d0f6bd738d7f1b3e5a7ca70fe4ff75f0.us-east-1.aws.found.io/app/kibana#/discover/Steve-Slow-Train-Analysis-(2080s-and-2083s)?_g=(refreshInterval:(display:Off,pause:!f,section:0,value:0),time:(from:'2017-08-25T14:40:43-0600',mode:absolute,to:'2017-08-25T17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" s="86" t="str">
        <f t="shared" ref="T7:T4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/stypes="*4063*201708252*" /stext=" 22:.+((SYSTEM_STATE.+slice.+state.+changed )|(ment ac)|(multiple cpu faults)|(system.+state.+changed )|(\[timeout)|(PRM\|1\|D)|(kpr)|(kdp)|(train st.+moving)|(\|lc)|(penalty))"</v>
      </c>
      <c r="U7" s="9" t="str">
        <f t="shared" ref="U7:U47" si="2">MID(B7,13,4)</f>
        <v>4063</v>
      </c>
      <c r="V7" s="31">
        <f t="shared" ref="V7:V47" si="3">A7-utc_offset/24</f>
        <v>42972.926145833335</v>
      </c>
      <c r="W7" s="45" t="str">
        <f t="shared" ref="W7:W47" si="4">DetSubdiv(C7)</f>
        <v>EC</v>
      </c>
      <c r="X7" s="22">
        <f t="shared" ref="X7:X47" si="5">VALUE(LEFT(C7,LEN(C7)-3))</f>
        <v>190</v>
      </c>
      <c r="Y7" s="96" t="str">
        <f t="shared" ref="Y7:Y4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Arrival","project_id":79,"tracker_id":40,"status_id":1,"priority_id":2,"assigned_to_id":23,"start_date":"2017-08-25","description":"","custom_fields":[{"id":1,"name":"Subdivision","value":"EC"},{"id":4,"name":"Milepost","value":"2.735"},{"id":17,"name":"Train ID","value":"190-25"},{"id":16,"name":"Locomotive ID","value":"4063"},{"id":130,"name":"Impact","value":""},{"id":150,"name":"Time of Event (Mountain Time)","value":"16:13:39"},{"id":151,"name":"Denver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/c/Users/stu/AppData/Local/Temp/OnboardLogs/RTDC4063 --include="*4063*201708252*"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"%USERPROFILE%\AppData\Local\Temp\OnboardLogs"\RTDC4063\*4063*201708252* &gt;&gt; 2017-08-25-SliceDisagreementCheck.txt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4063 --day 2017-08-25</v>
      </c>
    </row>
    <row r="8" spans="1:32" s="1" customFormat="1" x14ac:dyDescent="0.25">
      <c r="A8" s="31">
        <v>42972.737962962965</v>
      </c>
      <c r="B8" s="30" t="s">
        <v>595</v>
      </c>
      <c r="C8" s="30" t="s">
        <v>596</v>
      </c>
      <c r="D8" s="30" t="s">
        <v>49</v>
      </c>
      <c r="E8" s="30" t="s">
        <v>187</v>
      </c>
      <c r="F8" s="42">
        <v>0</v>
      </c>
      <c r="G8" s="42">
        <v>164</v>
      </c>
      <c r="H8" s="42">
        <v>31975</v>
      </c>
      <c r="I8" s="42">
        <v>31709</v>
      </c>
      <c r="J8" s="30" t="s">
        <v>188</v>
      </c>
      <c r="K8" s="42">
        <v>30970</v>
      </c>
      <c r="L8" s="131" t="s">
        <v>51</v>
      </c>
      <c r="M8" s="132">
        <f t="shared" si="0"/>
        <v>390.19200000000001</v>
      </c>
      <c r="N8" s="133" t="str">
        <f>VLOOKUP(C8,'Trips&amp;Operators'!$C$1:$G$99911,5,FALSE)</f>
        <v>HOLCOMB KAMDEN</v>
      </c>
      <c r="O8" s="203" t="s">
        <v>180</v>
      </c>
      <c r="P8" s="134" t="s">
        <v>983</v>
      </c>
      <c r="Q8" s="30"/>
      <c r="R8" s="81" t="str">
        <f>VLOOKUP(C8,'Train Runs'!$A$13:$AE$9918,31,0)</f>
        <v>aws s3 cp s3://rtdc.mdm.uploadarchive.raw/RTDC4057/ "%USERPROFILE%\AppData\Local\Temp\OnboardLogs"\RTDC4057\2017-08-25 --exclude "*" --recursive --include "*20170825*" &amp; "%USERPROFILE%\Documents\GitHub\mrs-test-scripts\Headless Mode &amp; Sideloading\WalkAndUnGZ.bat" "%USERPROFILE%\AppData\Local\Temp\OnboardLogs"\RTDC4057\2017-08-25 &amp; aws s3 cp s3://rtdc.mdm.uploadarchive.raw/RTDC4057/ "%USERPROFILE%\AppData\Local\Temp\OnboardLogs"\RTDC4057\2017-08-26 --exclude "*" --recursive --include "*20170826*" &amp; "%USERPROFILE%\Documents\GitHub\mrs-test-scripts\Headless Mode &amp; Sideloading\WalkAndUnGZ.bat" "%USERPROFILE%\AppData\Local\Temp\OnboardLogs"\RTDC4057\2017-08-26</v>
      </c>
      <c r="S8" s="84" t="str">
        <f>VLOOKUP(C8,'Train Runs'!$A$13:$AE$9918,22,0)</f>
        <v>https://d0f6bd738d7f1b3e5a7ca70fe4ff75f0.us-east-1.aws.found.io/app/kibana#/discover/Steve-Slow-Train-Analysis-(2080s-and-2083s)?_g=(refreshInterval:(display:Off,pause:!f,section:0,value:0),time:(from:'2017-08-25T16:03:56-0600',mode:absolute,to:'2017-08-25T18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8" s="86" t="str">
        <f t="shared" si="1"/>
        <v>"C:\Program Files (x86)\AstroGrep\AstroGrep.exe" /e /r /s /spath="%USERPROFILE%\AppData\Local\Temp\OnboardLogs" /stypes="*4057*201708252*"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4057</v>
      </c>
      <c r="V8" s="31">
        <f t="shared" si="3"/>
        <v>42972.987962962965</v>
      </c>
      <c r="W8" s="45" t="str">
        <f t="shared" si="4"/>
        <v>EC</v>
      </c>
      <c r="X8" s="22">
        <f t="shared" si="5"/>
        <v>202</v>
      </c>
      <c r="Y8" s="96" t="str">
        <f t="shared" si="6"/>
        <v>echo {"issue":{"subject":"Form C","project_id":79,"tracker_id":40,"status_id":1,"priority_id":2,"assigned_to_id":23,"start_date":"2017-08-25","description":"","custom_fields":[{"id":1,"name":"Subdivision","value":"EC"},{"id":4,"name":"Milepost","value":"3.097"},{"id":17,"name":"Train ID","value":"202-25"},{"id":16,"name":"Locomotive ID","value":"4057"},{"id":130,"name":"Impact","value":""},{"id":150,"name":"Time of Event (Mountain Time)","value":"17:42:40"},{"id":151,"name":"Denver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/c/Users/stu/AppData/Local/Temp/OnboardLogs/RTDC4057 --include="*4057*201708252*"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"%USERPROFILE%\AppData\Local\Temp\OnboardLogs"\RTDC4057\*4057*201708252* &gt;&gt; 2017-08-25-SliceDisagreementCheck.txt</v>
      </c>
      <c r="AE8" s="145" t="str">
        <f t="shared" ref="AE8:AE47" si="9">"start /low /b "&amp;dls3logs&amp;" --loco "&amp;U8&amp;" --day "&amp;TEXT(V8,"YYYY-MM-DD")</f>
        <v>start /low /b %USERPROFILE%\Documents\GitHub\eaglep3\Utilities\DownloadLogsFromS3.py --loco 4057 --day 2017-08-25</v>
      </c>
    </row>
    <row r="9" spans="1:32" s="1" customFormat="1" x14ac:dyDescent="0.25">
      <c r="A9" s="31">
        <v>42972.776863425926</v>
      </c>
      <c r="B9" s="30" t="s">
        <v>498</v>
      </c>
      <c r="C9" s="30" t="s">
        <v>600</v>
      </c>
      <c r="D9" s="30" t="s">
        <v>49</v>
      </c>
      <c r="E9" s="30" t="s">
        <v>187</v>
      </c>
      <c r="F9" s="42">
        <v>300</v>
      </c>
      <c r="G9" s="42">
        <v>351</v>
      </c>
      <c r="H9" s="42">
        <v>31346</v>
      </c>
      <c r="I9" s="42">
        <v>32132</v>
      </c>
      <c r="J9" s="30" t="s">
        <v>188</v>
      </c>
      <c r="K9" s="42">
        <v>33137</v>
      </c>
      <c r="L9" s="131" t="s">
        <v>50</v>
      </c>
      <c r="M9" s="132">
        <f t="shared" si="0"/>
        <v>530.64</v>
      </c>
      <c r="N9" s="133" t="str">
        <f>VLOOKUP(C9,'Trips&amp;Operators'!$C$1:$G$99911,5,FALSE)</f>
        <v>FORTUNATO FRANK</v>
      </c>
      <c r="O9" s="203" t="s">
        <v>180</v>
      </c>
      <c r="P9" s="134" t="s">
        <v>388</v>
      </c>
      <c r="Q9" s="30"/>
      <c r="R9" s="81" t="str">
        <f>VLOOKUP(C9,'Train Runs'!$A$13:$AE$9918,31,0)</f>
        <v>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 &amp; aws s3 cp s3://rtdc.mdm.uploadarchive.raw/RTDC4032/ "%USERPROFILE%\AppData\Local\Temp\OnboardLogs"\RTDC4032\2017-08-26 --exclude "*" --recursive --include "*20170826*" &amp; "%USERPROFILE%\Documents\GitHub\mrs-test-scripts\Headless Mode &amp; Sideloading\WalkAndUnGZ.bat" "%USERPROFILE%\AppData\Local\Temp\OnboardLogs"\RTDC4032\2017-08-26</v>
      </c>
      <c r="S9" s="84" t="str">
        <f>VLOOKUP(C9,'Train Runs'!$A$13:$AE$9918,22,0)</f>
        <v>https://d0f6bd738d7f1b3e5a7ca70fe4ff75f0.us-east-1.aws.found.io/app/kibana#/discover/Steve-Slow-Train-Analysis-(2080s-and-2083s)?_g=(refreshInterval:(display:Off,pause:!f,section:0,value:0),time:(from:'2017-08-25T17:26:13-0600',mode:absolute,to:'2017-08-25T20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86" t="str">
        <f t="shared" si="1"/>
        <v>"C:\Program Files (x86)\AstroGrep\AstroGrep.exe" /e /r /s /spath="%USERPROFILE%\AppData\Local\Temp\OnboardLogs" /stypes="*4032*201708260*" /stext=" 00:.+((SYSTEM_STATE.+slice.+state.+changed )|(ment ac)|(multiple cpu faults)|(system.+state.+changed )|(\[timeout)|(PRM\|1\|D)|(kpr)|(kdp)|(train st.+moving)|(\|lc)|(penalty))"</v>
      </c>
      <c r="U9" s="9" t="str">
        <f t="shared" si="2"/>
        <v>4032</v>
      </c>
      <c r="V9" s="31">
        <f t="shared" si="3"/>
        <v>42973.026863425926</v>
      </c>
      <c r="W9" s="45" t="str">
        <f t="shared" si="4"/>
        <v>EC</v>
      </c>
      <c r="X9" s="22">
        <f t="shared" si="5"/>
        <v>219</v>
      </c>
      <c r="Y9" s="96" t="str">
        <f t="shared" si="6"/>
        <v>echo {"issue":{"subject":"Early Arrival","project_id":79,"tracker_id":40,"status_id":1,"priority_id":2,"assigned_to_id":23,"start_date":"2017-08-25","description":"","custom_fields":[{"id":1,"name":"Subdivision","value":"EC"},{"id":4,"name":"Milepost","value":"3.3137"},{"id":17,"name":"Train ID","value":"219-25"},{"id":16,"name":"Locomotive ID","value":"4032"},{"id":130,"name":"Impact","value":""},{"id":150,"name":"Time of Event (Mountain Time)","value":"18:38:41"},{"id":151,"name":"Denver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/c/Users/stu/AppData/Local/Temp/OnboardLogs/RTDC4032 --include="*4032*201708260*"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"%USERPROFILE%\AppData\Local\Temp\OnboardLogs"\RTDC4032\*4032*201708260* &gt;&gt; 2017-08-25-SliceDisagreementCheck.txt</v>
      </c>
      <c r="AE9" s="145" t="str">
        <f t="shared" si="9"/>
        <v>start /low /b %USERPROFILE%\Documents\GitHub\eaglep3\Utilities\DownloadLogsFromS3.py --loco 4032 --day 2017-08-26</v>
      </c>
    </row>
    <row r="10" spans="1:32" s="1" customFormat="1" x14ac:dyDescent="0.25">
      <c r="A10" s="31">
        <v>42972.609398148146</v>
      </c>
      <c r="B10" s="30" t="s">
        <v>497</v>
      </c>
      <c r="C10" s="30" t="s">
        <v>591</v>
      </c>
      <c r="D10" s="30" t="s">
        <v>49</v>
      </c>
      <c r="E10" s="30" t="s">
        <v>187</v>
      </c>
      <c r="F10" s="42">
        <v>390</v>
      </c>
      <c r="G10" s="42">
        <v>440</v>
      </c>
      <c r="H10" s="42">
        <v>58335</v>
      </c>
      <c r="I10" s="42">
        <v>56839</v>
      </c>
      <c r="J10" s="30" t="s">
        <v>188</v>
      </c>
      <c r="K10" s="42">
        <v>58301</v>
      </c>
      <c r="L10" s="131" t="s">
        <v>51</v>
      </c>
      <c r="M10" s="132">
        <f t="shared" si="0"/>
        <v>-771.93600000000004</v>
      </c>
      <c r="N10" s="133" t="str">
        <f>VLOOKUP(C10,'Trips&amp;Operators'!$C$1:$G$99911,5,FALSE)</f>
        <v>BERLING GARY</v>
      </c>
      <c r="O10" s="203" t="s">
        <v>180</v>
      </c>
      <c r="P10" s="134" t="s">
        <v>388</v>
      </c>
      <c r="Q10" s="30"/>
      <c r="R10" s="81" t="str">
        <f>VLOOKUP(C10,'Train Runs'!$A$13:$AE$9918,31,0)</f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S10" s="84" t="str">
        <f>VLOOKUP(C10,'Train Runs'!$A$13:$AE$9918,22,0)</f>
        <v>https://d0f6bd738d7f1b3e5a7ca70fe4ff75f0.us-east-1.aws.found.io/app/kibana#/discover/Steve-Slow-Train-Analysis-(2080s-and-2083s)?_g=(refreshInterval:(display:Off,pause:!f,section:0,value:0),time:(from:'2017-08-25T13:00:46-0600',mode:absolute,to:'2017-08-25T15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86" t="str">
        <f t="shared" si="1"/>
        <v>"C:\Program Files (x86)\AstroGrep\AstroGrep.exe" /e /r /s /spath="%USERPROFILE%\AppData\Local\Temp\OnboardLogs" /stypes="*4031*201708252*" /stext=" 20:.+((SYSTEM_STATE.+slice.+state.+changed )|(ment ac)|(multiple cpu faults)|(system.+state.+changed )|(\[timeout)|(PRM\|1\|D)|(kpr)|(kdp)|(train st.+moving)|(\|lc)|(penalty))"</v>
      </c>
      <c r="U10" s="9" t="str">
        <f t="shared" si="2"/>
        <v>4031</v>
      </c>
      <c r="V10" s="31">
        <f t="shared" si="3"/>
        <v>42972.859398148146</v>
      </c>
      <c r="W10" s="45" t="str">
        <f t="shared" si="4"/>
        <v>EC</v>
      </c>
      <c r="X10" s="22">
        <f t="shared" si="5"/>
        <v>178</v>
      </c>
      <c r="Y10" s="96" t="str">
        <f t="shared" si="6"/>
        <v>echo {"issue":{"subject":"Early Arrival","project_id":79,"tracker_id":40,"status_id":1,"priority_id":2,"assigned_to_id":23,"start_date":"2017-08-25","description":"","custom_fields":[{"id":1,"name":"Subdivision","value":"EC"},{"id":4,"name":"Milepost","value":"5.8301"},{"id":17,"name":"Train ID","value":"178-25"},{"id":16,"name":"Locomotive ID","value":"4031"},{"id":130,"name":"Impact","value":""},{"id":150,"name":"Time of Event (Mountain Time)","value":"14:37:32"},{"id":151,"name":"Denver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/c/Users/stu/AppData/Local/Temp/OnboardLogs/RTDC4031 --include="*4031*201708252*"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"%USERPROFILE%\AppData\Local\Temp\OnboardLogs"\RTDC4031\*4031*201708252* &gt;&gt; 2017-08-25-SliceDisagreementCheck.txt</v>
      </c>
      <c r="AE10" s="145" t="str">
        <f t="shared" si="9"/>
        <v>start /low /b %USERPROFILE%\Documents\GitHub\eaglep3\Utilities\DownloadLogsFromS3.py --loco 4031 --day 2017-08-25</v>
      </c>
    </row>
    <row r="11" spans="1:32" s="1" customFormat="1" x14ac:dyDescent="0.25">
      <c r="A11" s="31">
        <v>42972.327974537038</v>
      </c>
      <c r="B11" s="30" t="s">
        <v>455</v>
      </c>
      <c r="C11" s="30" t="s">
        <v>578</v>
      </c>
      <c r="D11" s="30" t="s">
        <v>49</v>
      </c>
      <c r="E11" s="30" t="s">
        <v>187</v>
      </c>
      <c r="F11" s="42">
        <v>400</v>
      </c>
      <c r="G11" s="42">
        <v>451</v>
      </c>
      <c r="H11" s="42">
        <v>59144</v>
      </c>
      <c r="I11" s="42">
        <v>58144</v>
      </c>
      <c r="J11" s="30" t="s">
        <v>188</v>
      </c>
      <c r="K11" s="42">
        <v>58904</v>
      </c>
      <c r="L11" s="131" t="s">
        <v>51</v>
      </c>
      <c r="M11" s="132">
        <f t="shared" si="0"/>
        <v>-401.28</v>
      </c>
      <c r="N11" s="133" t="str">
        <f>VLOOKUP(C11,'Trips&amp;Operators'!$C$1:$G$99911,5,FALSE)</f>
        <v>DAVIS WENDY</v>
      </c>
      <c r="O11" s="203" t="s">
        <v>180</v>
      </c>
      <c r="P11" s="134" t="s">
        <v>388</v>
      </c>
      <c r="Q11" s="30"/>
      <c r="R11" s="81" t="str">
        <f>VLOOKUP(C11,'Train Runs'!$A$13:$AE$9918,31,0)</f>
        <v>aws s3 cp s3://rtdc.mdm.uploadarchive.raw/RTDC4013/ "%USERPROFILE%\AppData\Local\Temp\OnboardLogs"\RTDC4013\2017-08-25 --exclude "*" --recursive --include "*20170825*" &amp; "%USERPROFILE%\Documents\GitHub\mrs-test-scripts\Headless Mode &amp; Sideloading\WalkAndUnGZ.bat" "%USERPROFILE%\AppData\Local\Temp\OnboardLogs"\RTDC4013\2017-08-25 &amp; aws s3 cp s3://rtdc.mdm.uploadarchive.raw/RTDC4013/ "%USERPROFILE%\AppData\Local\Temp\OnboardLogs"\RTDC4013\2017-08-26 --exclude "*" --recursive --include "*20170826*" &amp; "%USERPROFILE%\Documents\GitHub\mrs-test-scripts\Headless Mode &amp; Sideloading\WalkAndUnGZ.bat" "%USERPROFILE%\AppData\Local\Temp\OnboardLogs"\RTDC4013\2017-08-26</v>
      </c>
      <c r="S11" s="84" t="str">
        <f>VLOOKUP(C11,'Train Runs'!$A$13:$AE$9918,22,0)</f>
        <v>https://d0f6bd738d7f1b3e5a7ca70fe4ff75f0.us-east-1.aws.found.io/app/kibana#/discover/Steve-Slow-Train-Analysis-(2080s-and-2083s)?_g=(refreshInterval:(display:Off,pause:!f,section:0,value:0),time:(from:'2017-08-25T06:23:44-0600',mode:absolute,to:'2017-08-25T09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86" t="str">
        <f t="shared" si="1"/>
        <v>"C:\Program Files (x86)\AstroGrep\AstroGrep.exe" /e /r /s /spath="%USERPROFILE%\AppData\Local\Temp\OnboardLogs" /stypes="*4013*201708251*" /stext=" 13:.+((SYSTEM_STATE.+slice.+state.+changed )|(ment ac)|(multiple cpu faults)|(system.+state.+changed )|(\[timeout)|(PRM\|1\|D)|(kpr)|(kdp)|(train st.+moving)|(\|lc)|(penalty))"</v>
      </c>
      <c r="U11" s="9" t="str">
        <f t="shared" si="2"/>
        <v>4013</v>
      </c>
      <c r="V11" s="31">
        <f t="shared" si="3"/>
        <v>42972.577974537038</v>
      </c>
      <c r="W11" s="45" t="str">
        <f t="shared" si="4"/>
        <v>EC</v>
      </c>
      <c r="X11" s="22">
        <f t="shared" si="5"/>
        <v>124</v>
      </c>
      <c r="Y11" s="96" t="str">
        <f t="shared" si="6"/>
        <v>echo {"issue":{"subject":"Early Arrival","project_id":79,"tracker_id":40,"status_id":1,"priority_id":2,"assigned_to_id":23,"start_date":"2017-08-25","description":"","custom_fields":[{"id":1,"name":"Subdivision","value":"EC"},{"id":4,"name":"Milepost","value":"5.8904"},{"id":17,"name":"Train ID","value":"124-25"},{"id":16,"name":"Locomotive ID","value":"4013"},{"id":130,"name":"Impact","value":""},{"id":150,"name":"Time of Event (Mountain Time)","value":"07:52:17"},{"id":151,"name":"Denver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/c/Users/stu/AppData/Local/Temp/OnboardLogs/RTDC4013 --include="*4013*201708251*"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"%USERPROFILE%\AppData\Local\Temp\OnboardLogs"\RTDC4013\*4013*201708251* &gt;&gt; 2017-08-25-SliceDisagreementCheck.txt</v>
      </c>
      <c r="AE11" s="145" t="str">
        <f t="shared" si="9"/>
        <v>start /low /b %USERPROFILE%\Documents\GitHub\eaglep3\Utilities\DownloadLogsFromS3.py --loco 4013 --day 2017-08-25</v>
      </c>
    </row>
    <row r="12" spans="1:32" x14ac:dyDescent="0.25">
      <c r="A12" s="31">
        <v>42972.556168981479</v>
      </c>
      <c r="B12" s="30" t="s">
        <v>438</v>
      </c>
      <c r="C12" s="30" t="s">
        <v>587</v>
      </c>
      <c r="D12" s="30" t="s">
        <v>49</v>
      </c>
      <c r="E12" s="30" t="s">
        <v>187</v>
      </c>
      <c r="F12" s="42">
        <v>140</v>
      </c>
      <c r="G12" s="42">
        <v>190</v>
      </c>
      <c r="H12" s="42">
        <v>63746</v>
      </c>
      <c r="I12" s="42">
        <v>63490</v>
      </c>
      <c r="J12" s="30" t="s">
        <v>188</v>
      </c>
      <c r="K12" s="42">
        <v>63309</v>
      </c>
      <c r="L12" s="131" t="s">
        <v>51</v>
      </c>
      <c r="M12" s="132">
        <f t="shared" si="0"/>
        <v>95.567999999999998</v>
      </c>
      <c r="N12" s="133" t="str">
        <f>VLOOKUP(C12,'Trips&amp;Operators'!$C$1:$G$99911,5,FALSE)</f>
        <v>BARRON PERLA</v>
      </c>
      <c r="O12" s="203" t="s">
        <v>180</v>
      </c>
      <c r="P12" s="134" t="s">
        <v>388</v>
      </c>
      <c r="Q12" s="30"/>
      <c r="R12" s="81" t="str">
        <f>VLOOKUP(C12,'Train Runs'!$A$13:$AE$9918,31,0)</f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S12" s="84" t="str">
        <f>VLOOKUP(C12,'Train Runs'!$A$13:$AE$9918,22,0)</f>
        <v>https://d0f6bd738d7f1b3e5a7ca70fe4ff75f0.us-east-1.aws.found.io/app/kibana#/discover/Steve-Slow-Train-Analysis-(2080s-and-2083s)?_g=(refreshInterval:(display:Off,pause:!f,section:0,value:0),time:(from:'2017-08-25T11:48:41-0600',mode:absolute,to:'2017-08-25T14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2" s="86" t="str">
        <f t="shared" si="1"/>
        <v>"C:\Program Files (x86)\AstroGrep\AstroGrep.exe" /e /r /s /spath="%USERPROFILE%\AppData\Local\Temp\OnboardLogs" /stypes="*4001*201708251*"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4001</v>
      </c>
      <c r="V12" s="31">
        <f t="shared" si="3"/>
        <v>42972.806168981479</v>
      </c>
      <c r="W12" s="45" t="str">
        <f t="shared" si="4"/>
        <v>EC</v>
      </c>
      <c r="X12" s="22">
        <f t="shared" si="5"/>
        <v>168</v>
      </c>
      <c r="Y12" s="96" t="str">
        <f t="shared" si="6"/>
        <v>echo {"issue":{"subject":"Early Arrival","project_id":79,"tracker_id":40,"status_id":1,"priority_id":2,"assigned_to_id":23,"start_date":"2017-08-25","description":"","custom_fields":[{"id":1,"name":"Subdivision","value":"EC"},{"id":4,"name":"Milepost","value":"6.3309"},{"id":17,"name":"Train ID","value":"168-25"},{"id":16,"name":"Locomotive ID","value":"4001"},{"id":130,"name":"Impact","value":""},{"id":150,"name":"Time of Event (Mountain Time)","value":"13:20:53"},{"id":151,"name":"Denver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/c/Users/stu/AppData/Local/Temp/OnboardLogs/RTDC4001 --include="*4001*201708251*"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"%USERPROFILE%\AppData\Local\Temp\OnboardLogs"\RTDC4001\*4001*201708251* &gt;&gt; 2017-08-25-SliceDisagreementCheck.txt</v>
      </c>
      <c r="AE12" s="145" t="str">
        <f t="shared" si="9"/>
        <v>start /low /b %USERPROFILE%\Documents\GitHub\eaglep3\Utilities\DownloadLogsFromS3.py --loco 4001 --day 2017-08-25</v>
      </c>
      <c r="AF12" s="1"/>
    </row>
    <row r="13" spans="1:32" x14ac:dyDescent="0.25">
      <c r="A13" s="31">
        <v>42973.051516203705</v>
      </c>
      <c r="B13" s="30" t="s">
        <v>568</v>
      </c>
      <c r="C13" s="30" t="s">
        <v>608</v>
      </c>
      <c r="D13" s="30" t="s">
        <v>49</v>
      </c>
      <c r="E13" s="30" t="s">
        <v>187</v>
      </c>
      <c r="F13" s="42">
        <v>360</v>
      </c>
      <c r="G13" s="42">
        <v>419</v>
      </c>
      <c r="H13" s="42">
        <v>109617</v>
      </c>
      <c r="I13" s="42">
        <v>108692</v>
      </c>
      <c r="J13" s="30" t="s">
        <v>188</v>
      </c>
      <c r="K13" s="42">
        <v>109135</v>
      </c>
      <c r="L13" s="131" t="s">
        <v>51</v>
      </c>
      <c r="M13" s="132">
        <f t="shared" si="0"/>
        <v>-233.904</v>
      </c>
      <c r="N13" s="133" t="str">
        <f>VLOOKUP(C13,'Trips&amp;Operators'!$C$1:$G$99911,5,FALSE)</f>
        <v>PERKINS DARREN</v>
      </c>
      <c r="O13" s="203" t="s">
        <v>180</v>
      </c>
      <c r="P13" s="134" t="s">
        <v>388</v>
      </c>
      <c r="Q13" s="30"/>
      <c r="R13" s="81" t="str">
        <f>VLOOKUP(C13,'Train Runs'!$A$13:$AE$9918,31,0)</f>
        <v>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 &amp; 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</v>
      </c>
      <c r="S13" s="84" t="str">
        <f>VLOOKUP(C13,'Train Runs'!$A$13:$AE$9918,22,0)</f>
        <v>https://d0f6bd738d7f1b3e5a7ca70fe4ff75f0.us-east-1.aws.found.io/app/kibana#/discover/Steve-Slow-Train-Analysis-(2080s-and-2083s)?_g=(refreshInterval:(display:Off,pause:!f,section:0,value:0),time:(from:'2017-08-25T23:39:16-0600',mode:absolute,to:'2017-08-26T02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3" s="86" t="str">
        <f t="shared" si="1"/>
        <v>"C:\Program Files (x86)\AstroGrep\AstroGrep.exe" /e /r /s /spath="%USERPROFILE%\AppData\Local\Temp\OnboardLogs" /stypes="*4063*201708260*" /stext=" 07:.+((SYSTEM_STATE.+slice.+state.+changed )|(ment ac)|(multiple cpu faults)|(system.+state.+changed )|(\[timeout)|(PRM\|1\|D)|(kpr)|(kdp)|(train st.+moving)|(\|lc)|(penalty))"</v>
      </c>
      <c r="U13" s="9" t="str">
        <f t="shared" si="2"/>
        <v>4063</v>
      </c>
      <c r="V13" s="31">
        <f t="shared" si="3"/>
        <v>42973.301516203705</v>
      </c>
      <c r="W13" s="45" t="str">
        <f t="shared" si="4"/>
        <v>EC</v>
      </c>
      <c r="X13" s="22">
        <f t="shared" si="5"/>
        <v>242</v>
      </c>
      <c r="Y13" s="96" t="str">
        <f t="shared" si="6"/>
        <v>echo {"issue":{"subject":"Early Arrival","project_id":79,"tracker_id":40,"status_id":1,"priority_id":2,"assigned_to_id":23,"start_date":"2017-08-26","description":"","custom_fields":[{"id":1,"name":"Subdivision","value":"EC"},{"id":4,"name":"Milepost","value":"10.9135"},{"id":17,"name":"Train ID","value":"242-25"},{"id":16,"name":"Locomotive ID","value":"4063"},{"id":130,"name":"Impact","value":""},{"id":150,"name":"Time of Event (Mountain Time)","value":"01:14:11"},{"id":151,"name":"Denver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/c/Users/stu/AppData/Local/Temp/OnboardLogs/RTDC4063 --include="*4063*201708260*"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"%USERPROFILE%\AppData\Local\Temp\OnboardLogs"\RTDC4063\*4063*201708260* &gt;&gt; 2017-08-25-SliceDisagreementCheck.txt</v>
      </c>
      <c r="AE13" s="145" t="str">
        <f t="shared" si="9"/>
        <v>start /low /b %USERPROFILE%\Documents\GitHub\eaglep3\Utilities\DownloadLogsFromS3.py --loco 4063 --day 2017-08-26</v>
      </c>
      <c r="AF13" s="1"/>
    </row>
    <row r="14" spans="1:32" x14ac:dyDescent="0.25">
      <c r="A14" s="31">
        <v>42972.811840277776</v>
      </c>
      <c r="B14" s="30" t="s">
        <v>568</v>
      </c>
      <c r="C14" s="30" t="s">
        <v>602</v>
      </c>
      <c r="D14" s="30" t="s">
        <v>49</v>
      </c>
      <c r="E14" s="30" t="s">
        <v>187</v>
      </c>
      <c r="F14" s="42">
        <v>370</v>
      </c>
      <c r="G14" s="42">
        <v>420</v>
      </c>
      <c r="H14" s="42">
        <v>110249</v>
      </c>
      <c r="I14" s="42">
        <v>109024</v>
      </c>
      <c r="J14" s="30" t="s">
        <v>188</v>
      </c>
      <c r="K14" s="42">
        <v>109135</v>
      </c>
      <c r="L14" s="131" t="s">
        <v>51</v>
      </c>
      <c r="M14" s="132">
        <f t="shared" si="0"/>
        <v>-58.607999999999997</v>
      </c>
      <c r="N14" s="133" t="str">
        <f>VLOOKUP(C14,'Trips&amp;Operators'!$C$1:$G$99911,5,FALSE)</f>
        <v>PERKINS DARREN</v>
      </c>
      <c r="O14" s="203" t="s">
        <v>180</v>
      </c>
      <c r="P14" s="134" t="s">
        <v>388</v>
      </c>
      <c r="Q14" s="30"/>
      <c r="R14" s="81" t="str">
        <f>VLOOKUP(C14,'Train Runs'!$A$13:$AE$9918,31,0)</f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S14" s="84" t="str">
        <f>VLOOKUP(C14,'Train Runs'!$A$13:$AE$9918,22,0)</f>
        <v>https://d0f6bd738d7f1b3e5a7ca70fe4ff75f0.us-east-1.aws.found.io/app/kibana#/discover/Steve-Slow-Train-Analysis-(2080s-and-2083s)?_g=(refreshInterval:(display:Off,pause:!f,section:0,value:0),time:(from:'2017-08-25T17:58:17-0600',mode:absolute,to:'2017-08-25T20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4" s="86" t="str">
        <f t="shared" si="1"/>
        <v>"C:\Program Files (x86)\AstroGrep\AstroGrep.exe" /e /r /s /spath="%USERPROFILE%\AppData\Local\Temp\OnboardLogs" /stypes="*4063*201708260*" /stext=" 01:.+((SYSTEM_STATE.+slice.+state.+changed )|(ment ac)|(multiple cpu faults)|(system.+state.+changed )|(\[timeout)|(PRM\|1\|D)|(kpr)|(kdp)|(train st.+moving)|(\|lc)|(penalty))"</v>
      </c>
      <c r="U14" s="9" t="str">
        <f t="shared" si="2"/>
        <v>4063</v>
      </c>
      <c r="V14" s="31">
        <f t="shared" si="3"/>
        <v>42973.061840277776</v>
      </c>
      <c r="W14" s="45" t="str">
        <f t="shared" si="4"/>
        <v>EC</v>
      </c>
      <c r="X14" s="22">
        <f t="shared" si="5"/>
        <v>218</v>
      </c>
      <c r="Y14" s="96" t="str">
        <f t="shared" si="6"/>
        <v>echo {"issue":{"subject":"Early Arrival","project_id":79,"tracker_id":40,"status_id":1,"priority_id":2,"assigned_to_id":23,"start_date":"2017-08-25","description":"","custom_fields":[{"id":1,"name":"Subdivision","value":"EC"},{"id":4,"name":"Milepost","value":"10.9135"},{"id":17,"name":"Train ID","value":"218-25"},{"id":16,"name":"Locomotive ID","value":"4063"},{"id":130,"name":"Impact","value":""},{"id":150,"name":"Time of Event (Mountain Time)","value":"19:29:03"},{"id":151,"name":"Denver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/c/Users/stu/AppData/Local/Temp/OnboardLogs/RTDC4063 --include="*4063*201708260*"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"%USERPROFILE%\AppData\Local\Temp\OnboardLogs"\RTDC4063\*4063*201708260* &gt;&gt; 2017-08-25-SliceDisagreementCheck.txt</v>
      </c>
      <c r="AE14" s="145" t="str">
        <f t="shared" si="9"/>
        <v>start /low /b %USERPROFILE%\Documents\GitHub\eaglep3\Utilities\DownloadLogsFromS3.py --loco 4063 --day 2017-08-26</v>
      </c>
      <c r="AF14" s="1"/>
    </row>
    <row r="15" spans="1:32" x14ac:dyDescent="0.25">
      <c r="A15" s="31">
        <v>42972.635300925926</v>
      </c>
      <c r="B15" s="30" t="s">
        <v>438</v>
      </c>
      <c r="C15" s="30" t="s">
        <v>592</v>
      </c>
      <c r="D15" s="30" t="s">
        <v>49</v>
      </c>
      <c r="E15" s="30" t="s">
        <v>195</v>
      </c>
      <c r="F15" s="42">
        <v>300</v>
      </c>
      <c r="G15" s="42">
        <v>364</v>
      </c>
      <c r="H15" s="42">
        <v>22551</v>
      </c>
      <c r="I15" s="42">
        <v>21663</v>
      </c>
      <c r="J15" s="30" t="s">
        <v>196</v>
      </c>
      <c r="K15" s="42">
        <v>21848</v>
      </c>
      <c r="L15" s="131" t="s">
        <v>51</v>
      </c>
      <c r="M15" s="132">
        <f t="shared" si="0"/>
        <v>-97.68</v>
      </c>
      <c r="N15" s="133" t="str">
        <f>VLOOKUP(C15,'Trips&amp;Operators'!$C$1:$G$99911,5,FALSE)</f>
        <v>BARRON PERLA</v>
      </c>
      <c r="O15" s="203" t="s">
        <v>180</v>
      </c>
      <c r="P15" s="134"/>
      <c r="Q15" s="30"/>
      <c r="R15" s="81" t="str">
        <f>VLOOKUP(C15,'Train Runs'!$A$13:$AE$9918,31,0)</f>
        <v>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 &amp; aws s3 cp s3://rtdc.mdm.uploadarchive.raw/RTDC4001/ "%USERPROFILE%\AppData\Local\Temp\OnboardLogs"\RTDC4001\2017-08-26 --exclude "*" --recursive --include "*20170826*" &amp; "%USERPROFILE%\Documents\GitHub\mrs-test-scripts\Headless Mode &amp; Sideloading\WalkAndUnGZ.bat" "%USERPROFILE%\AppData\Local\Temp\OnboardLogs"\RTDC4001\2017-08-26</v>
      </c>
      <c r="S15" s="84" t="str">
        <f>VLOOKUP(C15,'Train Runs'!$A$13:$AE$9918,22,0)</f>
        <v>https://d0f6bd738d7f1b3e5a7ca70fe4ff75f0.us-east-1.aws.found.io/app/kibana#/discover/Steve-Slow-Train-Analysis-(2080s-and-2083s)?_g=(refreshInterval:(display:Off,pause:!f,section:0,value:0),time:(from:'2017-08-25T13:36:36-0600',mode:absolute,to:'2017-08-25T16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5" s="86" t="str">
        <f t="shared" si="1"/>
        <v>"C:\Program Files (x86)\AstroGrep\AstroGrep.exe" /e /r /s /spath="%USERPROFILE%\AppData\Local\Temp\OnboardLogs" /stypes="*4001*201708252*"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4001</v>
      </c>
      <c r="V15" s="31">
        <f t="shared" si="3"/>
        <v>42972.885300925926</v>
      </c>
      <c r="W15" s="45" t="str">
        <f t="shared" si="4"/>
        <v>EC</v>
      </c>
      <c r="X15" s="22">
        <f t="shared" si="5"/>
        <v>182</v>
      </c>
      <c r="Y15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{"issue":{"subject":"","project_id":79,"tracker_id":40,"status_id":1,"priority_id":2,"assigned_to_id":23,"start_date":"2017-08-25","description":"","custom_fields":[{"id":1,"name":"Subdivision","value":"EC"},{"id":4,"name":"Milepost","value":"2.1848"},{"id":17,"name":"Train ID","value":"182-25"},{"id":16,"name":"Locomotive ID","value":"4001"},{"id":130,"name":"Impact","value":""},{"id":150,"name":"Time of Event (Mountain Time)","value":"15:14:50"},{"id":151,"name":"Denver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/c/Users/stu/AppData/Local/Temp/OnboardLogs/RTDC4001 --include="*4001*201708252*"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"%USERPROFILE%\AppData\Local\Temp\OnboardLogs"\RTDC4001\*4001*201708252* &gt;&gt; 2017-08-25-SliceDisagreementCheck.txt</v>
      </c>
      <c r="AE15" s="145" t="str">
        <f t="shared" si="9"/>
        <v>start /low /b %USERPROFILE%\Documents\GitHub\eaglep3\Utilities\DownloadLogsFromS3.py --loco 4001 --day 2017-08-25</v>
      </c>
      <c r="AF15" s="1"/>
    </row>
    <row r="16" spans="1:32" x14ac:dyDescent="0.25">
      <c r="A16" s="31">
        <v>42972.286296296297</v>
      </c>
      <c r="B16" s="30" t="s">
        <v>457</v>
      </c>
      <c r="C16" s="30" t="s">
        <v>572</v>
      </c>
      <c r="D16" s="30" t="s">
        <v>49</v>
      </c>
      <c r="E16" s="30" t="s">
        <v>195</v>
      </c>
      <c r="F16" s="42">
        <v>200</v>
      </c>
      <c r="G16" s="42">
        <v>278</v>
      </c>
      <c r="H16" s="42">
        <v>26679</v>
      </c>
      <c r="I16" s="42">
        <v>27218</v>
      </c>
      <c r="J16" s="30" t="s">
        <v>196</v>
      </c>
      <c r="K16" s="42">
        <v>27333</v>
      </c>
      <c r="L16" s="131" t="s">
        <v>50</v>
      </c>
      <c r="M16" s="132">
        <f t="shared" si="0"/>
        <v>60.72</v>
      </c>
      <c r="N16" s="133" t="str">
        <f>VLOOKUP(C16,'Trips&amp;Operators'!$C$1:$G$99911,5,FALSE)</f>
        <v>STARKS ANGELINA</v>
      </c>
      <c r="O16" s="203" t="s">
        <v>180</v>
      </c>
      <c r="P16" s="134"/>
      <c r="Q16" s="30"/>
      <c r="R16" s="81" t="str">
        <f>VLOOKUP(C16,'Train Runs'!$A$13:$AE$9918,31,0)</f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S16" s="84" t="str">
        <f>VLOOKUP(C16,'Train Runs'!$A$13:$AE$9918,22,0)</f>
        <v>https://d0f6bd738d7f1b3e5a7ca70fe4ff75f0.us-east-1.aws.found.io/app/kibana#/discover/Steve-Slow-Train-Analysis-(2080s-and-2083s)?_g=(refreshInterval:(display:Off,pause:!f,section:0,value:0),time:(from:'2017-08-25T05:38:56-0600',mode:absolute,to:'2017-08-25T08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6" s="86" t="str">
        <f t="shared" si="1"/>
        <v>"C:\Program Files (x86)\AstroGrep\AstroGrep.exe" /e /r /s /spath="%USERPROFILE%\AppData\Local\Temp\OnboardLogs" /stypes="*4002*201708251*"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4002</v>
      </c>
      <c r="V16" s="31">
        <f t="shared" si="3"/>
        <v>42972.536296296297</v>
      </c>
      <c r="W16" s="45" t="str">
        <f t="shared" si="4"/>
        <v>EC</v>
      </c>
      <c r="X16" s="22">
        <f t="shared" si="5"/>
        <v>125</v>
      </c>
      <c r="Y16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{"issue":{"subject":"","project_id":79,"tracker_id":40,"status_id":1,"priority_id":2,"assigned_to_id":23,"start_date":"2017-08-25","description":"","custom_fields":[{"id":1,"name":"Subdivision","value":"EC"},{"id":4,"name":"Milepost","value":"2.7333"},{"id":17,"name":"Train ID","value":"125-25"},{"id":16,"name":"Locomotive ID","value":"4002"},{"id":130,"name":"Impact","value":""},{"id":150,"name":"Time of Event (Mountain Time)","value":"06:52:16"},{"id":151,"name":"Denver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/c/Users/stu/AppData/Local/Temp/OnboardLogs/RTDC4002 --include="*4002*201708251*"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"%USERPROFILE%\AppData\Local\Temp\OnboardLogs"\RTDC4002\*4002*201708251* &gt;&gt; 2017-08-25-SliceDisagreementCheck.txt</v>
      </c>
      <c r="AE16" s="145" t="str">
        <f t="shared" si="9"/>
        <v>start /low /b %USERPROFILE%\Documents\GitHub\eaglep3\Utilities\DownloadLogsFromS3.py --loco 4002 --day 2017-08-25</v>
      </c>
      <c r="AF16" s="1"/>
    </row>
    <row r="17" spans="1:32" x14ac:dyDescent="0.25">
      <c r="A17" s="31">
        <v>42972.577361111114</v>
      </c>
      <c r="B17" s="30" t="s">
        <v>461</v>
      </c>
      <c r="C17" s="30" t="s">
        <v>589</v>
      </c>
      <c r="D17" s="30" t="s">
        <v>49</v>
      </c>
      <c r="E17" s="30" t="s">
        <v>195</v>
      </c>
      <c r="F17" s="42">
        <v>400</v>
      </c>
      <c r="G17" s="42">
        <v>502</v>
      </c>
      <c r="H17" s="42">
        <v>115747</v>
      </c>
      <c r="I17" s="42">
        <v>117176</v>
      </c>
      <c r="J17" s="30" t="s">
        <v>196</v>
      </c>
      <c r="K17" s="42">
        <v>116838</v>
      </c>
      <c r="L17" s="131" t="s">
        <v>50</v>
      </c>
      <c r="M17" s="132">
        <f t="shared" si="0"/>
        <v>-178.46399999999997</v>
      </c>
      <c r="N17" s="133" t="str">
        <f>VLOOKUP(C17,'Trips&amp;Operators'!$C$1:$G$99911,5,FALSE)</f>
        <v>GUNTHIER ERIC</v>
      </c>
      <c r="O17" s="203" t="s">
        <v>180</v>
      </c>
      <c r="P17" s="134"/>
      <c r="Q17" s="30"/>
      <c r="R17" s="81" t="str">
        <f>VLOOKUP(C17,'Train Runs'!$A$13:$AE$9918,31,0)</f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S17" s="84" t="str">
        <f>VLOOKUP(C17,'Train Runs'!$A$13:$AE$9918,22,0)</f>
        <v>https://d0f6bd738d7f1b3e5a7ca70fe4ff75f0.us-east-1.aws.found.io/app/kibana#/discover/Steve-Slow-Train-Analysis-(2080s-and-2083s)?_g=(refreshInterval:(display:Off,pause:!f,section:0,value:0),time:(from:'2017-08-25T12:25:16-0600',mode:absolute,to:'2017-08-25T15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7" s="86" t="str">
        <f t="shared" si="1"/>
        <v>"C:\Program Files (x86)\AstroGrep\AstroGrep.exe" /e /r /s /spath="%USERPROFILE%\AppData\Local\Temp\OnboardLogs" /stypes="*4014*201708251*" /stext=" 19:.+((SYSTEM_STATE.+slice.+state.+changed )|(ment ac)|(multiple cpu faults)|(system.+state.+changed )|(\[timeout)|(PRM\|1\|D)|(kpr)|(kdp)|(train st.+moving)|(\|lc)|(penalty))"</v>
      </c>
      <c r="U17" s="9" t="str">
        <f t="shared" si="2"/>
        <v>4014</v>
      </c>
      <c r="V17" s="31">
        <f t="shared" si="3"/>
        <v>42972.827361111114</v>
      </c>
      <c r="W17" s="45" t="str">
        <f t="shared" si="4"/>
        <v>EC</v>
      </c>
      <c r="X17" s="22">
        <f t="shared" si="5"/>
        <v>179</v>
      </c>
      <c r="Y17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{"issue":{"subject":"","project_id":79,"tracker_id":40,"status_id":1,"priority_id":2,"assigned_to_id":23,"start_date":"2017-08-25","description":"","custom_fields":[{"id":1,"name":"Subdivision","value":"EC"},{"id":4,"name":"Milepost","value":"11.6838"},{"id":17,"name":"Train ID","value":"179-25"},{"id":16,"name":"Locomotive ID","value":"4014"},{"id":130,"name":"Impact","value":""},{"id":150,"name":"Time of Event (Mountain Time)","value":"13:51:24"},{"id":151,"name":"Denver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/c/Users/stu/AppData/Local/Temp/OnboardLogs/RTDC4014 --include="*4014*201708251*"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"%USERPROFILE%\AppData\Local\Temp\OnboardLogs"\RTDC4014\*4014*201708251* &gt;&gt; 2017-08-25-SliceDisagreementCheck.txt</v>
      </c>
      <c r="AE17" s="145" t="str">
        <f t="shared" si="9"/>
        <v>start /low /b %USERPROFILE%\Documents\GitHub\eaglep3\Utilities\DownloadLogsFromS3.py --loco 4014 --day 2017-08-25</v>
      </c>
      <c r="AF17" s="1"/>
    </row>
    <row r="18" spans="1:32" x14ac:dyDescent="0.25">
      <c r="A18" s="31">
        <v>42972.912372685183</v>
      </c>
      <c r="B18" s="30" t="s">
        <v>435</v>
      </c>
      <c r="C18" s="30" t="s">
        <v>605</v>
      </c>
      <c r="D18" s="30" t="s">
        <v>96</v>
      </c>
      <c r="E18" s="30" t="s">
        <v>195</v>
      </c>
      <c r="F18" s="42">
        <v>600</v>
      </c>
      <c r="G18" s="42">
        <v>652</v>
      </c>
      <c r="H18" s="42">
        <v>123975</v>
      </c>
      <c r="I18" s="42">
        <v>126931</v>
      </c>
      <c r="J18" s="30" t="s">
        <v>196</v>
      </c>
      <c r="K18" s="42">
        <v>119716</v>
      </c>
      <c r="L18" s="131" t="s">
        <v>50</v>
      </c>
      <c r="M18" s="132">
        <f t="shared" si="0"/>
        <v>-3809.52</v>
      </c>
      <c r="N18" s="133" t="str">
        <f>VLOOKUP(C18,'Trips&amp;Operators'!$C$1:$G$99911,5,FALSE)</f>
        <v>WEST BRYAN</v>
      </c>
      <c r="O18" s="203" t="s">
        <v>180</v>
      </c>
      <c r="P18" s="134"/>
      <c r="Q18" s="30"/>
      <c r="R18" s="81" t="str">
        <f>VLOOKUP(C18,'Train Runs'!$A$13:$AE$9918,31,0)</f>
        <v>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 &amp; aws s3 cp s3://rtdc.mdm.uploadarchive.raw/RTDC4030/ "%USERPROFILE%\AppData\Local\Temp\OnboardLogs"\RTDC4030\2017-08-26 --exclude "*" --recursive --include "*20170826*" &amp; "%USERPROFILE%\Documents\GitHub\mrs-test-scripts\Headless Mode &amp; Sideloading\WalkAndUnGZ.bat" "%USERPROFILE%\AppData\Local\Temp\OnboardLogs"\RTDC4030\2017-08-26</v>
      </c>
      <c r="S18" s="84" t="str">
        <f>VLOOKUP(C18,'Train Runs'!$A$13:$AE$9918,22,0)</f>
        <v>https://d0f6bd738d7f1b3e5a7ca70fe4ff75f0.us-east-1.aws.found.io/app/kibana#/discover/Steve-Slow-Train-Analysis-(2080s-and-2083s)?_g=(refreshInterval:(display:Off,pause:!f,section:0,value:0),time:(from:'2017-08-25T20:26:07-0600',mode:absolute,to:'2017-08-25T23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8" s="86" t="str">
        <f t="shared" si="1"/>
        <v>"C:\Program Files (x86)\AstroGrep\AstroGrep.exe" /e /r /s /spath="%USERPROFILE%\AppData\Local\Temp\OnboardLogs" /stypes="*4030*201708260*" /stext=" 03:.+((SYSTEM_STATE.+slice.+state.+changed )|(ment ac)|(multiple cpu faults)|(system.+state.+changed )|(\[timeout)|(PRM\|1\|D)|(kpr)|(kdp)|(train st.+moving)|(\|lc)|(penalty))"</v>
      </c>
      <c r="U18" s="9" t="str">
        <f t="shared" si="2"/>
        <v>4030</v>
      </c>
      <c r="V18" s="31">
        <f t="shared" si="3"/>
        <v>42973.162372685183</v>
      </c>
      <c r="W18" s="45" t="str">
        <f t="shared" si="4"/>
        <v>EC</v>
      </c>
      <c r="X18" s="22">
        <f t="shared" si="5"/>
        <v>231</v>
      </c>
      <c r="Y18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{"issue":{"subject":"","project_id":79,"tracker_id":40,"status_id":1,"priority_id":2,"assigned_to_id":23,"start_date":"2017-08-25","description":"","custom_fields":[{"id":1,"name":"Subdivision","value":"EC"},{"id":4,"name":"Milepost","value":"11.9716"},{"id":17,"name":"Train ID","value":"231-25"},{"id":16,"name":"Locomotive ID","value":"4030"},{"id":130,"name":"Impact","value":""},{"id":150,"name":"Time of Event (Mountain Time)","value":"21:53:49"},{"id":151,"name":"Denver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/c/Users/stu/AppData/Local/Temp/OnboardLogs/RTDC4030 --include="*4030*201708260*"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"%USERPROFILE%\AppData\Local\Temp\OnboardLogs"\RTDC4030\*4030*201708260* &gt;&gt; 2017-08-25-SliceDisagreementCheck.txt</v>
      </c>
      <c r="AE18" s="145" t="str">
        <f t="shared" si="9"/>
        <v>start /low /b %USERPROFILE%\Documents\GitHub\eaglep3\Utilities\DownloadLogsFromS3.py --loco 4030 --day 2017-08-26</v>
      </c>
      <c r="AF18" s="1"/>
    </row>
    <row r="19" spans="1:32" x14ac:dyDescent="0.25">
      <c r="A19" s="31">
        <v>42972.136597222219</v>
      </c>
      <c r="B19" s="30" t="s">
        <v>400</v>
      </c>
      <c r="C19" s="30" t="s">
        <v>567</v>
      </c>
      <c r="D19" s="30" t="s">
        <v>49</v>
      </c>
      <c r="E19" s="30" t="s">
        <v>372</v>
      </c>
      <c r="F19" s="42">
        <v>0</v>
      </c>
      <c r="G19" s="42">
        <v>101</v>
      </c>
      <c r="H19" s="42">
        <v>1187</v>
      </c>
      <c r="I19" s="42">
        <v>1291</v>
      </c>
      <c r="J19" s="30" t="s">
        <v>373</v>
      </c>
      <c r="K19" s="42">
        <v>1692</v>
      </c>
      <c r="L19" s="131" t="s">
        <v>50</v>
      </c>
      <c r="M19" s="132">
        <f t="shared" si="0"/>
        <v>211.72800000000001</v>
      </c>
      <c r="N19" s="133" t="str">
        <f>VLOOKUP(C19,'Trips&amp;Operators'!$C$1:$G$99911,5,FALSE)</f>
        <v>STARKS ANGELINA</v>
      </c>
      <c r="O19" s="203" t="s">
        <v>180</v>
      </c>
      <c r="P19" s="134" t="s">
        <v>980</v>
      </c>
      <c r="Q19" s="30"/>
      <c r="R19" s="81" t="str">
        <f>VLOOKUP(C19,'Train Runs'!$A$13:$AE$9918,31,0)</f>
        <v>aws s3 cp s3://rtdc.mdm.uploadarchive.raw/RTDC4028/ "%USERPROFILE%\AppData\Local\Temp\OnboardLogs"\RTDC4028\2017-08-25 --exclude "*" --recursive --include "*20170825*" &amp; "%USERPROFILE%\Documents\GitHub\mrs-test-scripts\Headless Mode &amp; Sideloading\WalkAndUnGZ.bat" "%USERPROFILE%\AppData\Local\Temp\OnboardLogs"\RTDC4028\2017-08-25 &amp; aws s3 cp s3://rtdc.mdm.uploadarchive.raw/RTDC4028/ "%USERPROFILE%\AppData\Local\Temp\OnboardLogs"\RTDC4028\2017-08-26 --exclude "*" --recursive --include "*20170826*" &amp; "%USERPROFILE%\Documents\GitHub\mrs-test-scripts\Headless Mode &amp; Sideloading\WalkAndUnGZ.bat" "%USERPROFILE%\AppData\Local\Temp\OnboardLogs"\RTDC4028\2017-08-26</v>
      </c>
      <c r="S19" s="84" t="str">
        <f>VLOOKUP(C19,'Train Runs'!$A$13:$AE$9918,22,0)</f>
        <v>https://d0f6bd738d7f1b3e5a7ca70fe4ff75f0.us-east-1.aws.found.io/app/kibana#/discover/Steve-Slow-Train-Analysis-(2080s-and-2083s)?_g=(refreshInterval:(display:Off,pause:!f,section:0,value:0),time:(from:'2017-08-25T02:14:18-0600',mode:absolute,to:'2017-08-25T04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9" s="86" t="str">
        <f t="shared" si="1"/>
        <v>"C:\Program Files (x86)\AstroGrep\AstroGrep.exe" /e /r /s /spath="%USERPROFILE%\AppData\Local\Temp\OnboardLogs" /stypes="*4028*201708250*" /stext=" 09:.+((SYSTEM_STATE.+slice.+state.+changed )|(ment ac)|(multiple cpu faults)|(system.+state.+changed )|(\[timeout)|(PRM\|1\|D)|(kpr)|(kdp)|(train st.+moving)|(\|lc)|(penalty))"</v>
      </c>
      <c r="U19" s="9" t="str">
        <f t="shared" si="2"/>
        <v>4028</v>
      </c>
      <c r="V19" s="31">
        <f t="shared" si="3"/>
        <v>42972.386597222219</v>
      </c>
      <c r="W19" s="45" t="str">
        <f t="shared" si="4"/>
        <v>EC</v>
      </c>
      <c r="X19" s="22">
        <f t="shared" si="5"/>
        <v>101</v>
      </c>
      <c r="Y19" s="96" t="str">
        <f t="shared" si="6"/>
        <v>echo {"issue":{"subject":"Selected wrong track","project_id":79,"tracker_id":40,"status_id":1,"priority_id":2,"assigned_to_id":23,"start_date":"2017-08-25","description":"","custom_fields":[{"id":1,"name":"Subdivision","value":"EC"},{"id":4,"name":"Milepost","value":"0.1692"},{"id":17,"name":"Train ID","value":"101-25"},{"id":16,"name":"Locomotive ID","value":"4028"},{"id":130,"name":"Impact","value":""},{"id":150,"name":"Time of Event (Mountain Time)","value":"03:16:42"},{"id":151,"name":"Denver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/c/Users/stu/AppData/Local/Temp/OnboardLogs/RTDC4028 --include="*4028*201708250*"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"%USERPROFILE%\AppData\Local\Temp\OnboardLogs"\RTDC4028\*4028*201708250* &gt;&gt; 2017-08-25-SliceDisagreementCheck.txt</v>
      </c>
      <c r="AE19" s="145" t="str">
        <f t="shared" si="9"/>
        <v>start /low /b %USERPROFILE%\Documents\GitHub\eaglep3\Utilities\DownloadLogsFromS3.py --loco 4028 --day 2017-08-25</v>
      </c>
      <c r="AF19" s="1"/>
    </row>
    <row r="20" spans="1:32" x14ac:dyDescent="0.25">
      <c r="A20" s="31">
        <v>42972.244317129633</v>
      </c>
      <c r="B20" s="30" t="s">
        <v>568</v>
      </c>
      <c r="C20" s="30" t="s">
        <v>569</v>
      </c>
      <c r="D20" s="30" t="s">
        <v>49</v>
      </c>
      <c r="E20" s="30" t="s">
        <v>181</v>
      </c>
      <c r="F20" s="42">
        <v>0</v>
      </c>
      <c r="G20" s="42">
        <v>74</v>
      </c>
      <c r="H20" s="42">
        <v>276</v>
      </c>
      <c r="I20" s="42">
        <v>198</v>
      </c>
      <c r="J20" s="30" t="s">
        <v>182</v>
      </c>
      <c r="K20" s="42">
        <v>1</v>
      </c>
      <c r="L20" s="131" t="s">
        <v>51</v>
      </c>
      <c r="M20" s="132">
        <f t="shared" si="0"/>
        <v>104.01600000000001</v>
      </c>
      <c r="N20" s="133" t="str">
        <f>VLOOKUP(C20,'Trips&amp;Operators'!$C$1:$G$99911,5,FALSE)</f>
        <v>BONDS REYNALDO</v>
      </c>
      <c r="O20" s="203" t="s">
        <v>180</v>
      </c>
      <c r="P20" s="134"/>
      <c r="Q20" s="30"/>
      <c r="R20" s="81" t="str">
        <f>VLOOKUP(C20,'Train Runs'!$A$13:$AE$9918,31,0)</f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S20" s="84" t="str">
        <f>VLOOKUP(C20,'Train Runs'!$A$13:$AE$9918,22,0)</f>
        <v>https://d0f6bd738d7f1b3e5a7ca70fe4ff75f0.us-east-1.aws.found.io/app/kibana#/discover/Steve-Slow-Train-Analysis-(2080s-and-2083s)?_g=(refreshInterval:(display:Off,pause:!f,section:0,value:0),time:(from:'2017-08-25T04:07:38-0600',mode:absolute,to:'2017-08-25T06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0" s="86" t="str">
        <f t="shared" si="1"/>
        <v>"C:\Program Files (x86)\AstroGrep\AstroGrep.exe" /e /r /s /spath="%USERPROFILE%\AppData\Local\Temp\OnboardLogs" /stypes="*4063*201708251*" /stext=" 11:.+((SYSTEM_STATE.+slice.+state.+changed )|(ment ac)|(multiple cpu faults)|(system.+state.+changed )|(\[timeout)|(PRM\|1\|D)|(kpr)|(kdp)|(train st.+moving)|(\|lc)|(penalty))"</v>
      </c>
      <c r="U20" s="9" t="str">
        <f t="shared" si="2"/>
        <v>4063</v>
      </c>
      <c r="V20" s="31">
        <f t="shared" si="3"/>
        <v>42972.494317129633</v>
      </c>
      <c r="W20" s="45" t="str">
        <f t="shared" si="4"/>
        <v>EC</v>
      </c>
      <c r="X20" s="22">
        <f t="shared" si="5"/>
        <v>106</v>
      </c>
      <c r="Y20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{"issue":{"subject":"","project_id":79,"tracker_id":40,"status_id":1,"priority_id":2,"assigned_to_id":23,"start_date":"2017-08-25","description":"","custom_fields":[{"id":1,"name":"Subdivision","value":"EC"},{"id":4,"name":"Milepost","value":"0.0001"},{"id":17,"name":"Train ID","value":"106-25"},{"id":16,"name":"Locomotive ID","value":"4063"},{"id":130,"name":"Impact","value":""},{"id":150,"name":"Time of Event (Mountain Time)","value":"05:51:49"},{"id":151,"name":"Denver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/c/Users/stu/AppData/Local/Temp/OnboardLogs/RTDC4063 --include="*4063*201708251*"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"%USERPROFILE%\AppData\Local\Temp\OnboardLogs"\RTDC4063\*4063*201708251* &gt;&gt; 2017-08-25-SliceDisagreementCheck.txt</v>
      </c>
      <c r="AE20" s="145" t="str">
        <f t="shared" si="9"/>
        <v>start /low /b %USERPROFILE%\Documents\GitHub\eaglep3\Utilities\DownloadLogsFromS3.py --loco 4063 --day 2017-08-25</v>
      </c>
      <c r="AF20" s="1"/>
    </row>
    <row r="21" spans="1:32" x14ac:dyDescent="0.25">
      <c r="A21" s="31">
        <v>42972.317129629628</v>
      </c>
      <c r="B21" s="30" t="s">
        <v>568</v>
      </c>
      <c r="C21" s="30" t="s">
        <v>575</v>
      </c>
      <c r="D21" s="30" t="s">
        <v>49</v>
      </c>
      <c r="E21" s="30" t="s">
        <v>181</v>
      </c>
      <c r="F21" s="42">
        <v>0</v>
      </c>
      <c r="G21" s="42">
        <v>64</v>
      </c>
      <c r="H21" s="42">
        <v>209</v>
      </c>
      <c r="I21" s="42">
        <v>139</v>
      </c>
      <c r="J21" s="30" t="s">
        <v>182</v>
      </c>
      <c r="K21" s="42">
        <v>1</v>
      </c>
      <c r="L21" s="131" t="s">
        <v>51</v>
      </c>
      <c r="M21" s="132">
        <f t="shared" si="0"/>
        <v>72.864000000000004</v>
      </c>
      <c r="N21" s="133" t="str">
        <f>VLOOKUP(C21,'Trips&amp;Operators'!$C$1:$G$99911,5,FALSE)</f>
        <v>BONDS REYNALDO</v>
      </c>
      <c r="O21" s="203" t="s">
        <v>180</v>
      </c>
      <c r="P21" s="134"/>
      <c r="Q21" s="30"/>
      <c r="R21" s="81" t="str">
        <f>VLOOKUP(C21,'Train Runs'!$A$13:$AE$9918,31,0)</f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S21" s="84" t="str">
        <f>VLOOKUP(C21,'Train Runs'!$A$13:$AE$9918,22,0)</f>
        <v>https://d0f6bd738d7f1b3e5a7ca70fe4ff75f0.us-east-1.aws.found.io/app/kibana#/discover/Steve-Slow-Train-Analysis-(2080s-and-2083s)?_g=(refreshInterval:(display:Off,pause:!f,section:0,value:0),time:(from:'2017-08-25T05:52:42-0600',mode:absolute,to:'2017-08-25T08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1" s="86" t="str">
        <f t="shared" si="1"/>
        <v>"C:\Program Files (x86)\AstroGrep\AstroGrep.exe" /e /r /s /spath="%USERPROFILE%\AppData\Local\Temp\OnboardLogs" /stypes="*4063*201708251*"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4063</v>
      </c>
      <c r="V21" s="31">
        <f t="shared" si="3"/>
        <v>42972.567129629628</v>
      </c>
      <c r="W21" s="45" t="str">
        <f t="shared" si="4"/>
        <v>EC</v>
      </c>
      <c r="X21" s="22">
        <f t="shared" si="5"/>
        <v>120</v>
      </c>
      <c r="Y21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{"issue":{"subject":"","project_id":79,"tracker_id":40,"status_id":1,"priority_id":2,"assigned_to_id":23,"start_date":"2017-08-25","description":"","custom_fields":[{"id":1,"name":"Subdivision","value":"EC"},{"id":4,"name":"Milepost","value":"0.0001"},{"id":17,"name":"Train ID","value":"120-25"},{"id":16,"name":"Locomotive ID","value":"4063"},{"id":130,"name":"Impact","value":""},{"id":150,"name":"Time of Event (Mountain Time)","value":"07:36:40"},{"id":151,"name":"Denver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/c/Users/stu/AppData/Local/Temp/OnboardLogs/RTDC4063 --include="*4063*201708251*"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"%USERPROFILE%\AppData\Local\Temp\OnboardLogs"\RTDC4063\*4063*201708251* &gt;&gt; 2017-08-25-SliceDisagreementCheck.txt</v>
      </c>
      <c r="AE21" s="145" t="str">
        <f t="shared" si="9"/>
        <v>start /low /b %USERPROFILE%\Documents\GitHub\eaglep3\Utilities\DownloadLogsFromS3.py --loco 4063 --day 2017-08-25</v>
      </c>
      <c r="AF21" s="1"/>
    </row>
    <row r="22" spans="1:32" x14ac:dyDescent="0.25">
      <c r="A22" s="31">
        <v>42972.441018518519</v>
      </c>
      <c r="B22" s="30" t="s">
        <v>437</v>
      </c>
      <c r="C22" s="30" t="s">
        <v>584</v>
      </c>
      <c r="D22" s="30" t="s">
        <v>49</v>
      </c>
      <c r="E22" s="30" t="s">
        <v>181</v>
      </c>
      <c r="F22" s="42">
        <v>0</v>
      </c>
      <c r="G22" s="42">
        <v>79</v>
      </c>
      <c r="H22" s="42">
        <v>273</v>
      </c>
      <c r="I22" s="42">
        <v>203</v>
      </c>
      <c r="J22" s="30" t="s">
        <v>182</v>
      </c>
      <c r="K22" s="42">
        <v>1</v>
      </c>
      <c r="L22" s="131" t="s">
        <v>51</v>
      </c>
      <c r="M22" s="132">
        <f t="shared" si="0"/>
        <v>106.65600000000001</v>
      </c>
      <c r="N22" s="133" t="str">
        <f>VLOOKUP(C22,'Trips&amp;Operators'!$C$1:$G$99911,5,FALSE)</f>
        <v>WILLIAMS DONTE</v>
      </c>
      <c r="O22" s="203" t="s">
        <v>180</v>
      </c>
      <c r="P22" s="134"/>
      <c r="Q22" s="30"/>
      <c r="R22" s="81" t="str">
        <f>VLOOKUP(C22,'Train Runs'!$A$13:$AE$9918,31,0)</f>
        <v>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 &amp; aws s3 cp s3://rtdc.mdm.uploadarchive.raw/RTDC4029/ "%USERPROFILE%\AppData\Local\Temp\OnboardLogs"\RTDC4029\2017-08-26 --exclude "*" --recursive --include "*20170826*" &amp; "%USERPROFILE%\Documents\GitHub\mrs-test-scripts\Headless Mode &amp; Sideloading\WalkAndUnGZ.bat" "%USERPROFILE%\AppData\Local\Temp\OnboardLogs"\RTDC4029\2017-08-26</v>
      </c>
      <c r="S22" s="84" t="str">
        <f>VLOOKUP(C22,'Train Runs'!$A$13:$AE$9918,22,0)</f>
        <v>https://d0f6bd738d7f1b3e5a7ca70fe4ff75f0.us-east-1.aws.found.io/app/kibana#/discover/Steve-Slow-Train-Analysis-(2080s-and-2083s)?_g=(refreshInterval:(display:Off,pause:!f,section:0,value:0),time:(from:'2017-08-25T08:49:36-0600',mode:absolute,to:'2017-08-25T11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86" t="str">
        <f t="shared" si="1"/>
        <v>"C:\Program Files (x86)\AstroGrep\AstroGrep.exe" /e /r /s /spath="%USERPROFILE%\AppData\Local\Temp\OnboardLogs" /stypes="*4029*201708251*"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4029</v>
      </c>
      <c r="V22" s="31">
        <f t="shared" si="3"/>
        <v>42972.691018518519</v>
      </c>
      <c r="W22" s="45" t="str">
        <f t="shared" si="4"/>
        <v>EC</v>
      </c>
      <c r="X22" s="22">
        <f t="shared" si="5"/>
        <v>144</v>
      </c>
      <c r="Y22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{"issue":{"subject":"","project_id":79,"tracker_id":40,"status_id":1,"priority_id":2,"assigned_to_id":23,"start_date":"2017-08-25","description":"","custom_fields":[{"id":1,"name":"Subdivision","value":"EC"},{"id":4,"name":"Milepost","value":"0.0001"},{"id":17,"name":"Train ID","value":"144-25"},{"id":16,"name":"Locomotive ID","value":"4029"},{"id":130,"name":"Impact","value":""},{"id":150,"name":"Time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/c/Users/stu/AppData/Local/Temp/OnboardLogs/RTDC4029 --include="*4029*201708251*"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"%USERPROFILE%\AppData\Local\Temp\OnboardLogs"\RTDC4029\*4029*201708251* &gt;&gt; 2017-08-25-SliceDisagreementCheck.txt</v>
      </c>
      <c r="AE22" s="145" t="str">
        <f t="shared" si="9"/>
        <v>start /low /b %USERPROFILE%\Documents\GitHub\eaglep3\Utilities\DownloadLogsFromS3.py --loco 4029 --day 2017-08-25</v>
      </c>
      <c r="AF22" s="1"/>
    </row>
    <row r="23" spans="1:32" x14ac:dyDescent="0.25">
      <c r="A23" s="31">
        <v>42972.608310185184</v>
      </c>
      <c r="B23" s="30" t="s">
        <v>568</v>
      </c>
      <c r="C23" s="30" t="s">
        <v>590</v>
      </c>
      <c r="D23" s="30" t="s">
        <v>49</v>
      </c>
      <c r="E23" s="30" t="s">
        <v>181</v>
      </c>
      <c r="F23" s="42">
        <v>0</v>
      </c>
      <c r="G23" s="42">
        <v>47</v>
      </c>
      <c r="H23" s="42">
        <v>172</v>
      </c>
      <c r="I23" s="42">
        <v>132</v>
      </c>
      <c r="J23" s="30" t="s">
        <v>182</v>
      </c>
      <c r="K23" s="42">
        <v>1</v>
      </c>
      <c r="L23" s="131" t="s">
        <v>51</v>
      </c>
      <c r="M23" s="132">
        <f t="shared" si="0"/>
        <v>69.168000000000006</v>
      </c>
      <c r="N23" s="133" t="str">
        <f>VLOOKUP(C23,'Trips&amp;Operators'!$C$1:$G$99911,5,FALSE)</f>
        <v>ZEWDU DEREJE</v>
      </c>
      <c r="O23" s="203" t="s">
        <v>180</v>
      </c>
      <c r="P23" s="134"/>
      <c r="Q23" s="30"/>
      <c r="R23" s="81" t="str">
        <f>VLOOKUP(C23,'Train Runs'!$A$13:$AE$9918,31,0)</f>
        <v>aws s3 cp s3://rtdc.mdm.uploadarchive.raw/RTDC4063/ "%USERPROFILE%\AppData\Local\Temp\OnboardLogs"\RTDC4063\2017-08-25 --exclude "*" --recursive --include "*20170825*" &amp; "%USERPROFILE%\Documents\GitHub\mrs-test-scripts\Headless Mode &amp; Sideloading\WalkAndUnGZ.bat" "%USERPROFILE%\AppData\Local\Temp\OnboardLogs"\RTDC4063\2017-08-25 &amp; aws s3 cp s3://rtdc.mdm.uploadarchive.raw/RTDC4063/ "%USERPROFILE%\AppData\Local\Temp\OnboardLogs"\RTDC4063\2017-08-26 --exclude "*" --recursive --include "*20170826*" &amp; "%USERPROFILE%\Documents\GitHub\mrs-test-scripts\Headless Mode &amp; Sideloading\WalkAndUnGZ.bat" "%USERPROFILE%\AppData\Local\Temp\OnboardLogs"\RTDC4063\2017-08-26</v>
      </c>
      <c r="S23" s="84" t="str">
        <f>VLOOKUP(C23,'Train Runs'!$A$13:$AE$9918,22,0)</f>
        <v>https://d0f6bd738d7f1b3e5a7ca70fe4ff75f0.us-east-1.aws.found.io/app/kibana#/discover/Steve-Slow-Train-Analysis-(2080s-and-2083s)?_g=(refreshInterval:(display:Off,pause:!f,section:0,value:0),time:(from:'2017-08-25T12:44:25-0600',mode:absolute,to:'2017-08-25T15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3" s="86" t="str">
        <f t="shared" si="1"/>
        <v>"C:\Program Files (x86)\AstroGrep\AstroGrep.exe" /e /r /s /spath="%USERPROFILE%\AppData\Local\Temp\OnboardLogs" /stypes="*4063*201708252*"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4063</v>
      </c>
      <c r="V23" s="31">
        <f t="shared" si="3"/>
        <v>42972.858310185184</v>
      </c>
      <c r="W23" s="45" t="str">
        <f t="shared" si="4"/>
        <v>EC</v>
      </c>
      <c r="X23" s="22">
        <f t="shared" si="5"/>
        <v>176</v>
      </c>
      <c r="Y23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{"issue":{"subject":"","project_id":79,"tracker_id":40,"status_id":1,"priority_id":2,"assigned_to_id":23,"start_date":"2017-08-25","description":"","custom_fields":[{"id":1,"name":"Subdivision","value":"EC"},{"id":4,"name":"Milepost","value":"0.0001"},{"id":17,"name":"Train ID","value":"176-25"},{"id":16,"name":"Locomotive ID","value":"4063"},{"id":130,"name":"Impact","value":""},{"id":150,"name":"Time of Event (Mountain Time)","value":"14:35:58"},{"id":151,"name":"Denver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/c/Users/stu/AppData/Local/Temp/OnboardLogs/RTDC4063 --include="*4063*201708252*"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"%USERPROFILE%\AppData\Local\Temp\OnboardLogs"\RTDC4063\*4063*201708252* &gt;&gt; 2017-08-25-SliceDisagreementCheck.txt</v>
      </c>
      <c r="AE23" s="145" t="str">
        <f t="shared" si="9"/>
        <v>start /low /b %USERPROFILE%\Documents\GitHub\eaglep3\Utilities\DownloadLogsFromS3.py --loco 4063 --day 2017-08-25</v>
      </c>
      <c r="AF23" s="1"/>
    </row>
    <row r="24" spans="1:32" x14ac:dyDescent="0.25">
      <c r="A24" s="31">
        <v>42972.649560185186</v>
      </c>
      <c r="B24" s="30" t="s">
        <v>456</v>
      </c>
      <c r="C24" s="30" t="s">
        <v>593</v>
      </c>
      <c r="D24" s="30" t="s">
        <v>49</v>
      </c>
      <c r="E24" s="30" t="s">
        <v>181</v>
      </c>
      <c r="F24" s="42">
        <v>0</v>
      </c>
      <c r="G24" s="42">
        <v>37</v>
      </c>
      <c r="H24" s="42">
        <v>139</v>
      </c>
      <c r="I24" s="42">
        <v>121</v>
      </c>
      <c r="J24" s="30" t="s">
        <v>182</v>
      </c>
      <c r="K24" s="42">
        <v>1</v>
      </c>
      <c r="L24" s="131" t="s">
        <v>51</v>
      </c>
      <c r="M24" s="132">
        <f t="shared" si="0"/>
        <v>63.36</v>
      </c>
      <c r="N24" s="133" t="str">
        <f>VLOOKUP(C24,'Trips&amp;Operators'!$C$1:$G$99911,5,FALSE)</f>
        <v>LEVIN SCOTT</v>
      </c>
      <c r="O24" s="203" t="s">
        <v>180</v>
      </c>
      <c r="P24" s="134"/>
      <c r="Q24" s="30"/>
      <c r="R24" s="81" t="str">
        <f>VLOOKUP(C24,'Train Runs'!$A$13:$AE$9918,31,0)</f>
        <v>aws s3 cp s3://rtdc.mdm.uploadarchive.raw/RTDC4041/ "%USERPROFILE%\AppData\Local\Temp\OnboardLogs"\RTDC4041\2017-08-25 --exclude "*" --recursive --include "*20170825*" &amp; "%USERPROFILE%\Documents\GitHub\mrs-test-scripts\Headless Mode &amp; Sideloading\WalkAndUnGZ.bat" "%USERPROFILE%\AppData\Local\Temp\OnboardLogs"\RTDC4041\2017-08-25 &amp; aws s3 cp s3://rtdc.mdm.uploadarchive.raw/RTDC4041/ "%USERPROFILE%\AppData\Local\Temp\OnboardLogs"\RTDC4041\2017-08-26 --exclude "*" --recursive --include "*20170826*" &amp; "%USERPROFILE%\Documents\GitHub\mrs-test-scripts\Headless Mode &amp; Sideloading\WalkAndUnGZ.bat" "%USERPROFILE%\AppData\Local\Temp\OnboardLogs"\RTDC4041\2017-08-26</v>
      </c>
      <c r="S24" s="84" t="str">
        <f>VLOOKUP(C24,'Train Runs'!$A$13:$AE$9918,22,0)</f>
        <v>https://d0f6bd738d7f1b3e5a7ca70fe4ff75f0.us-east-1.aws.found.io/app/kibana#/discover/Steve-Slow-Train-Analysis-(2080s-and-2083s)?_g=(refreshInterval:(display:Off,pause:!f,section:0,value:0),time:(from:'2017-08-25T13:53:54-0600',mode:absolute,to:'2017-08-25T16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4" s="86" t="str">
        <f t="shared" si="1"/>
        <v>"C:\Program Files (x86)\AstroGrep\AstroGrep.exe" /e /r /s /spath="%USERPROFILE%\AppData\Local\Temp\OnboardLogs" /stypes="*4041*201708252*"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4041</v>
      </c>
      <c r="V24" s="31">
        <f t="shared" si="3"/>
        <v>42972.899560185186</v>
      </c>
      <c r="W24" s="45" t="str">
        <f t="shared" si="4"/>
        <v>EC</v>
      </c>
      <c r="X24" s="22">
        <f t="shared" si="5"/>
        <v>184</v>
      </c>
      <c r="Y24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{"issue":{"subject":"","project_id":79,"tracker_id":40,"status_id":1,"priority_id":2,"assigned_to_id":23,"start_date":"2017-08-25","description":"","custom_fields":[{"id":1,"name":"Subdivision","value":"EC"},{"id":4,"name":"Milepost","value":"0.0001"},{"id":17,"name":"Train ID","value":"184-25"},{"id":16,"name":"Locomotive ID","value":"4041"},{"id":130,"name":"Impact","value":""},{"id":150,"name":"Time of Event (Mountain Time)","value":"15:35:22"},{"id":151,"name":"Denver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/c/Users/stu/AppData/Local/Temp/OnboardLogs/RTDC4041 --include="*4041*201708252*"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"%USERPROFILE%\AppData\Local\Temp\OnboardLogs"\RTDC4041\*4041*201708252* &gt;&gt; 2017-08-25-SliceDisagreementCheck.txt</v>
      </c>
      <c r="AE24" s="145" t="str">
        <f t="shared" si="9"/>
        <v>start /low /b %USERPROFILE%\Documents\GitHub\eaglep3\Utilities\DownloadLogsFromS3.py --loco 4041 --day 2017-08-25</v>
      </c>
      <c r="AF24" s="1"/>
    </row>
    <row r="25" spans="1:32" x14ac:dyDescent="0.25">
      <c r="A25" s="31">
        <v>42972.815659722219</v>
      </c>
      <c r="B25" s="30" t="s">
        <v>595</v>
      </c>
      <c r="C25" s="30" t="s">
        <v>604</v>
      </c>
      <c r="D25" s="30" t="s">
        <v>49</v>
      </c>
      <c r="E25" s="30" t="s">
        <v>181</v>
      </c>
      <c r="F25" s="42">
        <v>0</v>
      </c>
      <c r="G25" s="42">
        <v>75</v>
      </c>
      <c r="H25" s="42">
        <v>205</v>
      </c>
      <c r="I25" s="42">
        <v>98</v>
      </c>
      <c r="J25" s="30" t="s">
        <v>182</v>
      </c>
      <c r="K25" s="42">
        <v>1</v>
      </c>
      <c r="L25" s="131" t="s">
        <v>51</v>
      </c>
      <c r="M25" s="132">
        <f t="shared" si="0"/>
        <v>51.216000000000001</v>
      </c>
      <c r="N25" s="133" t="str">
        <f>VLOOKUP(C25,'Trips&amp;Operators'!$C$1:$G$99911,5,FALSE)</f>
        <v>HOLCOMB KAMDEN</v>
      </c>
      <c r="O25" s="203" t="s">
        <v>180</v>
      </c>
      <c r="P25" s="134"/>
      <c r="Q25" s="30"/>
      <c r="R25" s="81" t="str">
        <f>VLOOKUP(C25,'Train Runs'!$A$13:$AE$9918,31,0)</f>
        <v>aws s3 cp s3://rtdc.mdm.uploadarchive.raw/RTDC4057/ "%USERPROFILE%\AppData\Local\Temp\OnboardLogs"\RTDC4057\2017-08-25 --exclude "*" --recursive --include "*20170825*" &amp; "%USERPROFILE%\Documents\GitHub\mrs-test-scripts\Headless Mode &amp; Sideloading\WalkAndUnGZ.bat" "%USERPROFILE%\AppData\Local\Temp\OnboardLogs"\RTDC4057\2017-08-25 &amp; aws s3 cp s3://rtdc.mdm.uploadarchive.raw/RTDC4057/ "%USERPROFILE%\AppData\Local\Temp\OnboardLogs"\RTDC4057\2017-08-26 --exclude "*" --recursive --include "*20170826*" &amp; "%USERPROFILE%\Documents\GitHub\mrs-test-scripts\Headless Mode &amp; Sideloading\WalkAndUnGZ.bat" "%USERPROFILE%\AppData\Local\Temp\OnboardLogs"\RTDC4057\2017-08-26</v>
      </c>
      <c r="S25" s="84" t="str">
        <f>VLOOKUP(C25,'Train Runs'!$A$13:$AE$9918,22,0)</f>
        <v>https://d0f6bd738d7f1b3e5a7ca70fe4ff75f0.us-east-1.aws.found.io/app/kibana#/discover/Steve-Slow-Train-Analysis-(2080s-and-2083s)?_g=(refreshInterval:(display:Off,pause:!f,section:0,value:0),time:(from:'2017-08-25T17:53:05-0600',mode:absolute,to:'2017-08-25T20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5" s="86" t="str">
        <f t="shared" si="1"/>
        <v>"C:\Program Files (x86)\AstroGrep\AstroGrep.exe" /e /r /s /spath="%USERPROFILE%\AppData\Local\Temp\OnboardLogs" /stypes="*4057*201708260*"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4057</v>
      </c>
      <c r="V25" s="31">
        <f t="shared" si="3"/>
        <v>42973.065659722219</v>
      </c>
      <c r="W25" s="45" t="str">
        <f t="shared" si="4"/>
        <v>EC</v>
      </c>
      <c r="X25" s="22">
        <f t="shared" si="5"/>
        <v>216</v>
      </c>
      <c r="Y25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{"issue":{"subject":"","project_id":79,"tracker_id":40,"status_id":1,"priority_id":2,"assigned_to_id":23,"start_date":"2017-08-25","description":"","custom_fields":[{"id":1,"name":"Subdivision","value":"EC"},{"id":4,"name":"Milepost","value":"0.0001"},{"id":17,"name":"Train ID","value":"216-25"},{"id":16,"name":"Locomotive ID","value":"4057"},{"id":130,"name":"Impact","value":""},{"id":150,"name":"Time of Event (Mountain Time)","value":"19:34:33"},{"id":151,"name":"Denver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/c/Users/stu/AppData/Local/Temp/OnboardLogs/RTDC4057 --include="*4057*201708260*"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"%USERPROFILE%\AppData\Local\Temp\OnboardLogs"\RTDC4057\*4057*201708260* &gt;&gt; 2017-08-25-SliceDisagreementCheck.txt</v>
      </c>
      <c r="AE25" s="145" t="str">
        <f t="shared" si="9"/>
        <v>start /low /b %USERPROFILE%\Documents\GitHub\eaglep3\Utilities\DownloadLogsFromS3.py --loco 4057 --day 2017-08-26</v>
      </c>
      <c r="AF25" s="1"/>
    </row>
    <row r="26" spans="1:32" x14ac:dyDescent="0.25">
      <c r="A26" s="31">
        <v>42972.920358796298</v>
      </c>
      <c r="B26" s="30" t="s">
        <v>497</v>
      </c>
      <c r="C26" s="30" t="s">
        <v>606</v>
      </c>
      <c r="D26" s="30" t="s">
        <v>49</v>
      </c>
      <c r="E26" s="30" t="s">
        <v>181</v>
      </c>
      <c r="F26" s="42">
        <v>0</v>
      </c>
      <c r="G26" s="42">
        <v>39</v>
      </c>
      <c r="H26" s="42">
        <v>161</v>
      </c>
      <c r="I26" s="42">
        <v>129</v>
      </c>
      <c r="J26" s="30" t="s">
        <v>182</v>
      </c>
      <c r="K26" s="42">
        <v>1</v>
      </c>
      <c r="L26" s="131" t="s">
        <v>51</v>
      </c>
      <c r="M26" s="132">
        <f t="shared" si="0"/>
        <v>67.584000000000003</v>
      </c>
      <c r="N26" s="133" t="str">
        <f>VLOOKUP(C26,'Trips&amp;Operators'!$C$1:$G$99911,5,FALSE)</f>
        <v>FORTUNATO FRANK</v>
      </c>
      <c r="O26" s="203" t="s">
        <v>180</v>
      </c>
      <c r="P26" s="134"/>
      <c r="Q26" s="30"/>
      <c r="R26" s="81" t="str">
        <f>VLOOKUP(C26,'Train Runs'!$A$13:$AE$9918,31,0)</f>
        <v>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 &amp; aws s3 cp s3://rtdc.mdm.uploadarchive.raw/RTDC4031/ "%USERPROFILE%\AppData\Local\Temp\OnboardLogs"\RTDC4031\2017-08-26 --exclude "*" --recursive --include "*20170826*" &amp; "%USERPROFILE%\Documents\GitHub\mrs-test-scripts\Headless Mode &amp; Sideloading\WalkAndUnGZ.bat" "%USERPROFILE%\AppData\Local\Temp\OnboardLogs"\RTDC4031\2017-08-26</v>
      </c>
      <c r="S26" s="84" t="str">
        <f>VLOOKUP(C26,'Train Runs'!$A$13:$AE$9918,22,0)</f>
        <v>https://d0f6bd738d7f1b3e5a7ca70fe4ff75f0.us-east-1.aws.found.io/app/kibana#/discover/Steve-Slow-Train-Analysis-(2080s-and-2083s)?_g=(refreshInterval:(display:Off,pause:!f,section:0,value:0),time:(from:'2017-08-25T20:09:25-0600',mode:absolute,to:'2017-08-25T23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86" t="str">
        <f t="shared" si="1"/>
        <v>"C:\Program Files (x86)\AstroGrep\AstroGrep.exe" /e /r /s /spath="%USERPROFILE%\AppData\Local\Temp\OnboardLogs" /stypes="*4031*201708260*" /stext=" 04:.+((SYSTEM_STATE.+slice.+state.+changed )|(ment ac)|(multiple cpu faults)|(system.+state.+changed )|(\[timeout)|(PRM\|1\|D)|(kpr)|(kdp)|(train st.+moving)|(\|lc)|(penalty))"</v>
      </c>
      <c r="U26" s="9" t="str">
        <f t="shared" si="2"/>
        <v>4031</v>
      </c>
      <c r="V26" s="31">
        <f t="shared" si="3"/>
        <v>42973.170358796298</v>
      </c>
      <c r="W26" s="45" t="str">
        <f t="shared" si="4"/>
        <v>EC</v>
      </c>
      <c r="X26" s="22">
        <f t="shared" si="5"/>
        <v>228</v>
      </c>
      <c r="Y26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{"issue":{"subject":"","project_id":79,"tracker_id":40,"status_id":1,"priority_id":2,"assigned_to_id":23,"start_date":"2017-08-25","description":"","custom_fields":[{"id":1,"name":"Subdivision","value":"EC"},{"id":4,"name":"Milepost","value":"0.0001"},{"id":17,"name":"Train ID","value":"228-25"},{"id":16,"name":"Locomotive ID","value":"4031"},{"id":130,"name":"Impact","value":""},{"id":150,"name":"Time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/c/Users/stu/AppData/Local/Temp/OnboardLogs/RTDC4031 --include="*4031*201708260*"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"%USERPROFILE%\AppData\Local\Temp\OnboardLogs"\RTDC4031\*4031*201708260* &gt;&gt; 2017-08-25-SliceDisagreementCheck.txt</v>
      </c>
      <c r="AE26" s="145" t="str">
        <f t="shared" si="9"/>
        <v>start /low /b %USERPROFILE%\Documents\GitHub\eaglep3\Utilities\DownloadLogsFromS3.py --loco 4031 --day 2017-08-26</v>
      </c>
      <c r="AF26" s="1"/>
    </row>
    <row r="27" spans="1:32" x14ac:dyDescent="0.25">
      <c r="A27" s="31">
        <v>42972.276377314818</v>
      </c>
      <c r="B27" s="30" t="s">
        <v>570</v>
      </c>
      <c r="C27" s="30" t="s">
        <v>571</v>
      </c>
      <c r="D27" s="30" t="s">
        <v>49</v>
      </c>
      <c r="E27" s="30" t="s">
        <v>181</v>
      </c>
      <c r="F27" s="42">
        <v>0</v>
      </c>
      <c r="G27" s="42">
        <v>33</v>
      </c>
      <c r="H27" s="42">
        <v>233415</v>
      </c>
      <c r="I27" s="42">
        <v>233429</v>
      </c>
      <c r="J27" s="30" t="s">
        <v>182</v>
      </c>
      <c r="K27" s="42">
        <v>233491</v>
      </c>
      <c r="L27" s="131" t="s">
        <v>50</v>
      </c>
      <c r="M27" s="132">
        <f t="shared" si="0"/>
        <v>32.735999999999997</v>
      </c>
      <c r="N27" s="133" t="str">
        <f>VLOOKUP(C27,'Trips&amp;Operators'!$C$1:$G$99911,5,FALSE)</f>
        <v>BONDS REYNALDO</v>
      </c>
      <c r="O27" s="203" t="s">
        <v>180</v>
      </c>
      <c r="P27" s="134"/>
      <c r="Q27" s="30"/>
      <c r="R27" s="81" t="str">
        <f>VLOOKUP(C27,'Train Runs'!$A$13:$AE$9918,31,0)</f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S27" s="84" t="str">
        <f>VLOOKUP(C27,'Train Runs'!$A$13:$AE$9918,22,0)</f>
        <v>https://d0f6bd738d7f1b3e5a7ca70fe4ff75f0.us-east-1.aws.found.io/app/kibana#/discover/Steve-Slow-Train-Analysis-(2080s-and-2083s)?_g=(refreshInterval:(display:Off,pause:!f,section:0,value:0),time:(from:'2017-08-25T04:58:12-0600',mode:absolute,to:'2017-08-25T07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7" s="86" t="str">
        <f t="shared" si="1"/>
        <v>"C:\Program Files (x86)\AstroGrep\AstroGrep.exe" /e /r /s /spath="%USERPROFILE%\AppData\Local\Temp\OnboardLogs" /stypes="*4064*201708251*"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4064</v>
      </c>
      <c r="V27" s="31">
        <f t="shared" si="3"/>
        <v>42972.526377314818</v>
      </c>
      <c r="W27" s="45" t="str">
        <f t="shared" si="4"/>
        <v>EC</v>
      </c>
      <c r="X27" s="22">
        <f t="shared" si="5"/>
        <v>119</v>
      </c>
      <c r="Y27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{"issue":{"subject":"","project_id":79,"tracker_id":40,"status_id":1,"priority_id":2,"assigned_to_id":23,"start_date":"2017-08-25","description":"","custom_fields":[{"id":1,"name":"Subdivision","value":"EC"},{"id":4,"name":"Milepost","value":"23.3491"},{"id":17,"name":"Train ID","value":"119-25"},{"id":16,"name":"Locomotive ID","value":"4064"},{"id":130,"name":"Impact","value":""},{"id":150,"name":"Time of Event (Mountain Time)","value":"06:37:59"},{"id":151,"name":"Denver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/c/Users/stu/AppData/Local/Temp/OnboardLogs/RTDC4064 --include="*4064*201708251*"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"%USERPROFILE%\AppData\Local\Temp\OnboardLogs"\RTDC4064\*4064*201708251* &gt;&gt; 2017-08-25-SliceDisagreementCheck.txt</v>
      </c>
      <c r="AE27" s="145" t="str">
        <f t="shared" si="9"/>
        <v>start /low /b %USERPROFILE%\Documents\GitHub\eaglep3\Utilities\DownloadLogsFromS3.py --loco 4064 --day 2017-08-25</v>
      </c>
      <c r="AF27" s="1"/>
    </row>
    <row r="28" spans="1:32" x14ac:dyDescent="0.25">
      <c r="A28" s="31">
        <v>42972.37060185185</v>
      </c>
      <c r="B28" s="30" t="s">
        <v>461</v>
      </c>
      <c r="C28" s="30" t="s">
        <v>580</v>
      </c>
      <c r="D28" s="30" t="s">
        <v>49</v>
      </c>
      <c r="E28" s="30" t="s">
        <v>181</v>
      </c>
      <c r="F28" s="42">
        <v>0</v>
      </c>
      <c r="G28" s="42">
        <v>49</v>
      </c>
      <c r="H28" s="42">
        <v>233307</v>
      </c>
      <c r="I28" s="42">
        <v>233345</v>
      </c>
      <c r="J28" s="30" t="s">
        <v>182</v>
      </c>
      <c r="K28" s="42">
        <v>233491</v>
      </c>
      <c r="L28" s="131" t="s">
        <v>50</v>
      </c>
      <c r="M28" s="132">
        <f t="shared" si="0"/>
        <v>77.087999999999994</v>
      </c>
      <c r="N28" s="133" t="str">
        <f>VLOOKUP(C28,'Trips&amp;Operators'!$C$1:$G$99911,5,FALSE)</f>
        <v>DAVIS WENDY</v>
      </c>
      <c r="O28" s="203" t="s">
        <v>180</v>
      </c>
      <c r="P28" s="134"/>
      <c r="Q28" s="30"/>
      <c r="R28" s="81" t="str">
        <f>VLOOKUP(C28,'Train Runs'!$A$13:$AE$9918,31,0)</f>
        <v>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 &amp; aws s3 cp s3://rtdc.mdm.uploadarchive.raw/RTDC4014/ "%USERPROFILE%\AppData\Local\Temp\OnboardLogs"\RTDC4014\2017-08-26 --exclude "*" --recursive --include "*20170826*" &amp; "%USERPROFILE%\Documents\GitHub\mrs-test-scripts\Headless Mode &amp; Sideloading\WalkAndUnGZ.bat" "%USERPROFILE%\AppData\Local\Temp\OnboardLogs"\RTDC4014\2017-08-26</v>
      </c>
      <c r="S28" s="84" t="str">
        <f>VLOOKUP(C28,'Train Runs'!$A$13:$AE$9918,22,0)</f>
        <v>https://d0f6bd738d7f1b3e5a7ca70fe4ff75f0.us-east-1.aws.found.io/app/kibana#/discover/Steve-Slow-Train-Analysis-(2080s-and-2083s)?_g=(refreshInterval:(display:Off,pause:!f,section:0,value:0),time:(from:'2017-08-25T07:20:49-0600',mode:absolute,to:'2017-08-25T09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8" s="86" t="str">
        <f t="shared" si="1"/>
        <v>"C:\Program Files (x86)\AstroGrep\AstroGrep.exe" /e /r /s /spath="%USERPROFILE%\AppData\Local\Temp\OnboardLogs" /stypes="*4014*201708251*"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4014</v>
      </c>
      <c r="V28" s="31">
        <f t="shared" si="3"/>
        <v>42972.62060185185</v>
      </c>
      <c r="W28" s="45" t="str">
        <f t="shared" si="4"/>
        <v>EC</v>
      </c>
      <c r="X28" s="22">
        <f t="shared" si="5"/>
        <v>137</v>
      </c>
      <c r="Y28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{"issue":{"subject":"","project_id":79,"tracker_id":40,"status_id":1,"priority_id":2,"assigned_to_id":23,"start_date":"2017-08-25","description":"","custom_fields":[{"id":1,"name":"Subdivision","value":"EC"},{"id":4,"name":"Milepost","value":"23.3491"},{"id":17,"name":"Train ID","value":"137-25"},{"id":16,"name":"Locomotive ID","value":"4014"},{"id":130,"name":"Impact","value":""},{"id":150,"name":"Time of Event (Mountain Time)","value":"08:53:40"},{"id":151,"name":"Denver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/c/Users/stu/AppData/Local/Temp/OnboardLogs/RTDC4014 --include="*4014*201708251*"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"%USERPROFILE%\AppData\Local\Temp\OnboardLogs"\RTDC4014\*4014*201708251* &gt;&gt; 2017-08-25-SliceDisagreementCheck.txt</v>
      </c>
      <c r="AE28" s="145" t="str">
        <f t="shared" si="9"/>
        <v>start /low /b %USERPROFILE%\Documents\GitHub\eaglep3\Utilities\DownloadLogsFromS3.py --loco 4014 --day 2017-08-25</v>
      </c>
      <c r="AF28" s="1"/>
    </row>
    <row r="29" spans="1:32" x14ac:dyDescent="0.25">
      <c r="A29" s="31">
        <v>42972.421539351853</v>
      </c>
      <c r="B29" s="30" t="s">
        <v>570</v>
      </c>
      <c r="C29" s="30" t="s">
        <v>582</v>
      </c>
      <c r="D29" s="30" t="s">
        <v>49</v>
      </c>
      <c r="E29" s="30" t="s">
        <v>181</v>
      </c>
      <c r="F29" s="42">
        <v>0</v>
      </c>
      <c r="G29" s="42">
        <v>50</v>
      </c>
      <c r="H29" s="42">
        <v>233306</v>
      </c>
      <c r="I29" s="42">
        <v>233349</v>
      </c>
      <c r="J29" s="30" t="s">
        <v>182</v>
      </c>
      <c r="K29" s="42">
        <v>233491</v>
      </c>
      <c r="L29" s="131" t="s">
        <v>50</v>
      </c>
      <c r="M29" s="132">
        <f t="shared" si="0"/>
        <v>74.975999999999999</v>
      </c>
      <c r="N29" s="133" t="str">
        <f>VLOOKUP(C29,'Trips&amp;Operators'!$C$1:$G$99911,5,FALSE)</f>
        <v>BONDS REYNALDO</v>
      </c>
      <c r="O29" s="203" t="s">
        <v>180</v>
      </c>
      <c r="P29" s="134"/>
      <c r="Q29" s="30"/>
      <c r="R29" s="81" t="str">
        <f>VLOOKUP(C29,'Train Runs'!$A$13:$AE$9918,31,0)</f>
        <v>aws s3 cp s3://rtdc.mdm.uploadarchive.raw/RTDC4064/ "%USERPROFILE%\AppData\Local\Temp\OnboardLogs"\RTDC4064\2017-08-25 --exclude "*" --recursive --include "*20170825*" &amp; "%USERPROFILE%\Documents\GitHub\mrs-test-scripts\Headless Mode &amp; Sideloading\WalkAndUnGZ.bat" "%USERPROFILE%\AppData\Local\Temp\OnboardLogs"\RTDC4064\2017-08-25 &amp; aws s3 cp s3://rtdc.mdm.uploadarchive.raw/RTDC4064/ "%USERPROFILE%\AppData\Local\Temp\OnboardLogs"\RTDC4064\2017-08-26 --exclude "*" --recursive --include "*20170826*" &amp; "%USERPROFILE%\Documents\GitHub\mrs-test-scripts\Headless Mode &amp; Sideloading\WalkAndUnGZ.bat" "%USERPROFILE%\AppData\Local\Temp\OnboardLogs"\RTDC4064\2017-08-26</v>
      </c>
      <c r="S29" s="84" t="str">
        <f>VLOOKUP(C29,'Train Runs'!$A$13:$AE$9918,22,0)</f>
        <v>https://d0f6bd738d7f1b3e5a7ca70fe4ff75f0.us-east-1.aws.found.io/app/kibana#/discover/Steve-Slow-Train-Analysis-(2080s-and-2083s)?_g=(refreshInterval:(display:Off,pause:!f,section:0,value:0),time:(from:'2017-08-25T08:24:13-0600',mode:absolute,to:'2017-08-25T11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9" s="86" t="str">
        <f t="shared" si="1"/>
        <v>"C:\Program Files (x86)\AstroGrep\AstroGrep.exe" /e /r /s /spath="%USERPROFILE%\AppData\Local\Temp\OnboardLogs" /stypes="*4064*201708251*" /stext=" 16:.+((SYSTEM_STATE.+slice.+state.+changed )|(ment ac)|(multiple cpu faults)|(system.+state.+changed )|(\[timeout)|(PRM\|1\|D)|(kpr)|(kdp)|(train st.+moving)|(\|lc)|(penalty))"</v>
      </c>
      <c r="U29" s="9" t="str">
        <f t="shared" si="2"/>
        <v>4064</v>
      </c>
      <c r="V29" s="31">
        <f t="shared" si="3"/>
        <v>42972.671539351853</v>
      </c>
      <c r="W29" s="45" t="str">
        <f t="shared" si="4"/>
        <v>EC</v>
      </c>
      <c r="X29" s="22">
        <f t="shared" si="5"/>
        <v>147</v>
      </c>
      <c r="Y29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{"issue":{"subject":"","project_id":79,"tracker_id":40,"status_id":1,"priority_id":2,"assigned_to_id":23,"start_date":"2017-08-25","description":"","custom_fields":[{"id":1,"name":"Subdivision","value":"EC"},{"id":4,"name":"Milepost","value":"23.3491"},{"id":17,"name":"Train ID","value":"147-25"},{"id":16,"name":"Locomotive ID","value":"4064"},{"id":130,"name":"Impact","value":""},{"id":150,"name":"Time of Event (Mountain Time)","value":"10:07:01"},{"id":151,"name":"Denver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/c/Users/stu/AppData/Local/Temp/OnboardLogs/RTDC4064 --include="*4064*201708251*"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"%USERPROFILE%\AppData\Local\Temp\OnboardLogs"\RTDC4064\*4064*201708251* &gt;&gt; 2017-08-25-SliceDisagreementCheck.txt</v>
      </c>
      <c r="AE29" s="145" t="str">
        <f t="shared" si="9"/>
        <v>start /low /b %USERPROFILE%\Documents\GitHub\eaglep3\Utilities\DownloadLogsFromS3.py --loco 4064 --day 2017-08-25</v>
      </c>
      <c r="AF29" s="1"/>
    </row>
    <row r="30" spans="1:32" x14ac:dyDescent="0.25">
      <c r="A30" s="31">
        <v>42972.746932870374</v>
      </c>
      <c r="B30" s="30" t="s">
        <v>457</v>
      </c>
      <c r="C30" s="30" t="s">
        <v>597</v>
      </c>
      <c r="D30" s="30" t="s">
        <v>49</v>
      </c>
      <c r="E30" s="30" t="s">
        <v>181</v>
      </c>
      <c r="F30" s="42">
        <v>0</v>
      </c>
      <c r="G30" s="42">
        <v>80</v>
      </c>
      <c r="H30" s="42">
        <v>233170</v>
      </c>
      <c r="I30" s="42">
        <v>233240</v>
      </c>
      <c r="J30" s="30" t="s">
        <v>182</v>
      </c>
      <c r="K30" s="42">
        <v>233491</v>
      </c>
      <c r="L30" s="131" t="s">
        <v>50</v>
      </c>
      <c r="M30" s="132">
        <f t="shared" si="0"/>
        <v>132.52799999999999</v>
      </c>
      <c r="N30" s="133" t="str">
        <f>VLOOKUP(C30,'Trips&amp;Operators'!$C$1:$G$99911,5,FALSE)</f>
        <v>BARRON PERLA</v>
      </c>
      <c r="O30" s="203" t="s">
        <v>180</v>
      </c>
      <c r="P30" s="134"/>
      <c r="Q30" s="30"/>
      <c r="R30" s="81" t="str">
        <f>VLOOKUP(C30,'Train Runs'!$A$13:$AE$9918,31,0)</f>
        <v>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 &amp; aws s3 cp s3://rtdc.mdm.uploadarchive.raw/RTDC4002/ "%USERPROFILE%\AppData\Local\Temp\OnboardLogs"\RTDC4002\2017-08-26 --exclude "*" --recursive --include "*20170826*" &amp; "%USERPROFILE%\Documents\GitHub\mrs-test-scripts\Headless Mode &amp; Sideloading\WalkAndUnGZ.bat" "%USERPROFILE%\AppData\Local\Temp\OnboardLogs"\RTDC4002\2017-08-26</v>
      </c>
      <c r="S30" s="84" t="str">
        <f>VLOOKUP(C30,'Train Runs'!$A$13:$AE$9918,22,0)</f>
        <v>https://d0f6bd738d7f1b3e5a7ca70fe4ff75f0.us-east-1.aws.found.io/app/kibana#/discover/Steve-Slow-Train-Analysis-(2080s-and-2083s)?_g=(refreshInterval:(display:Off,pause:!f,section:0,value:0),time:(from:'2017-08-25T16:11:58-0600',mode:absolute,to:'2017-08-25T18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0" s="86" t="str">
        <f t="shared" si="1"/>
        <v>"C:\Program Files (x86)\AstroGrep\AstroGrep.exe" /e /r /s /spath="%USERPROFILE%\AppData\Local\Temp\OnboardLogs" /stypes="*4002*201708252*"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4002</v>
      </c>
      <c r="V30" s="31">
        <f t="shared" si="3"/>
        <v>42972.996932870374</v>
      </c>
      <c r="W30" s="45" t="str">
        <f t="shared" si="4"/>
        <v>EC</v>
      </c>
      <c r="X30" s="22">
        <f t="shared" si="5"/>
        <v>209</v>
      </c>
      <c r="Y30" s="96" t="str">
        <f t="shared" si="6"/>
        <v>echo {"issue":{"subject":"","project_id":79,"tracker_id":40,"status_id":1,"priority_id":2,"assigned_to_id":23,"start_date":"2017-08-25","description":"","custom_fields":[{"id":1,"name":"Subdivision","value":"EC"},{"id":4,"name":"Milepost","value":"23.3491"},{"id":17,"name":"Train ID","value":"209-25"},{"id":16,"name":"Locomotive ID","value":"4002"},{"id":130,"name":"Impact","value":""},{"id":150,"name":"Time of Event (Mountain Time)","value":"17:55:35"},{"id":151,"name":"Denver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/c/Users/stu/AppData/Local/Temp/OnboardLogs/RTDC4002 --include="*4002*201708252*"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"%USERPROFILE%\AppData\Local\Temp\OnboardLogs"\RTDC4002\*4002*201708252* &gt;&gt; 2017-08-25-SliceDisagreementCheck.txt</v>
      </c>
      <c r="AE30" s="145" t="str">
        <f t="shared" si="9"/>
        <v>start /low /b %USERPROFILE%\Documents\GitHub\eaglep3\Utilities\DownloadLogsFromS3.py --loco 4002 --day 2017-08-25</v>
      </c>
      <c r="AF30" s="1"/>
    </row>
    <row r="31" spans="1:32" x14ac:dyDescent="0.25">
      <c r="A31" s="31">
        <v>42972.32675925926</v>
      </c>
      <c r="B31" s="30" t="s">
        <v>576</v>
      </c>
      <c r="C31" s="30" t="s">
        <v>577</v>
      </c>
      <c r="D31" s="30" t="s">
        <v>49</v>
      </c>
      <c r="E31" s="30" t="s">
        <v>195</v>
      </c>
      <c r="F31" s="42">
        <v>450</v>
      </c>
      <c r="G31" s="42">
        <v>511</v>
      </c>
      <c r="H31" s="42">
        <v>16534</v>
      </c>
      <c r="I31" s="42">
        <v>14676</v>
      </c>
      <c r="J31" s="30" t="s">
        <v>196</v>
      </c>
      <c r="K31" s="42">
        <v>14402</v>
      </c>
      <c r="L31" s="131" t="s">
        <v>51</v>
      </c>
      <c r="M31" s="132">
        <f t="shared" si="0"/>
        <v>144.672</v>
      </c>
      <c r="N31" s="133" t="str">
        <f>VLOOKUP(C31,'Trips&amp;Operators'!$C$1:$G$99911,5,FALSE)</f>
        <v>TOUSIGNAUT CARL</v>
      </c>
      <c r="O31" s="203" t="s">
        <v>180</v>
      </c>
      <c r="P31" s="134"/>
      <c r="Q31" s="30"/>
      <c r="R31" s="81" t="str">
        <f>VLOOKUP(C31,'Train Runs'!$A$13:$AE$9918,31,0)</f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S31" s="84" t="str">
        <f>VLOOKUP(C31,'Train Runs'!$A$13:$AE$9918,22,0)</f>
        <v>https://d0f6bd738d7f1b3e5a7ca70fe4ff75f0.us-east-1.aws.found.io/app/kibana#/discover/Steve-Slow-Train-Analysis-(2080s-and-2083s)?_g=(refreshInterval:(display:Off,pause:!f,section:0,value:0),time:(from:'2017-08-25T06:38:14-0600',mode:absolute,to:'2017-08-25T08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86" t="str">
        <f t="shared" si="1"/>
        <v>"C:\Program Files (x86)\AstroGrep\AstroGrep.exe" /e /r /s /spath="%USERPROFILE%\AppData\Local\Temp\OnboardLogs" /stypes="*4043*201708251*" /stext=" 13:.+((SYSTEM_STATE.+slice.+state.+changed )|(ment ac)|(multiple cpu faults)|(system.+state.+changed )|(\[timeout)|(PRM\|1\|D)|(kpr)|(kdp)|(train st.+moving)|(\|lc)|(penalty))"</v>
      </c>
      <c r="U31" s="9" t="str">
        <f t="shared" si="2"/>
        <v>4043</v>
      </c>
      <c r="V31" s="31">
        <f t="shared" si="3"/>
        <v>42972.57675925926</v>
      </c>
      <c r="W31" s="45" t="str">
        <f t="shared" si="4"/>
        <v>NW</v>
      </c>
      <c r="X31" s="22">
        <f t="shared" si="5"/>
        <v>808</v>
      </c>
      <c r="Y31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{"issue":{"subject":"","project_id":79,"tracker_id":40,"status_id":1,"priority_id":2,"assigned_to_id":23,"start_date":"2017-08-25","description":"","custom_fields":[{"id":1,"name":"Subdivision","value":"NW"},{"id":4,"name":"Milepost","value":"1.4402"},{"id":17,"name":"Train ID","value":"808-25"},{"id":16,"name":"Locomotive ID","value":"4043"},{"id":130,"name":"Impact","value":""},{"id":150,"name":"Time of Event (Mountain Time)","value":"07:50:32"},{"id":151,"name":"Denver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/c/Users/stu/AppData/Local/Temp/OnboardLogs/RTDC4043 --include="*4043*201708251*"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"%USERPROFILE%\AppData\Local\Temp\OnboardLogs"\RTDC4043\*4043*201708251* &gt;&gt; 2017-08-25-SliceDisagreementCheck.txt</v>
      </c>
      <c r="AE31" s="145" t="str">
        <f t="shared" si="9"/>
        <v>start /low /b %USERPROFILE%\Documents\GitHub\eaglep3\Utilities\DownloadLogsFromS3.py --loco 4043 --day 2017-08-25</v>
      </c>
      <c r="AF31" s="1"/>
    </row>
    <row r="32" spans="1:32" x14ac:dyDescent="0.25">
      <c r="A32" s="31">
        <v>42972.309814814813</v>
      </c>
      <c r="B32" s="30" t="s">
        <v>573</v>
      </c>
      <c r="C32" s="30" t="s">
        <v>574</v>
      </c>
      <c r="D32" s="30" t="s">
        <v>49</v>
      </c>
      <c r="E32" s="30" t="s">
        <v>195</v>
      </c>
      <c r="F32" s="42">
        <v>300</v>
      </c>
      <c r="G32" s="42">
        <v>351</v>
      </c>
      <c r="H32" s="42">
        <v>20659</v>
      </c>
      <c r="I32" s="42">
        <v>21646</v>
      </c>
      <c r="J32" s="30" t="s">
        <v>196</v>
      </c>
      <c r="K32" s="42">
        <v>21299</v>
      </c>
      <c r="L32" s="131" t="s">
        <v>50</v>
      </c>
      <c r="M32" s="132">
        <f t="shared" si="0"/>
        <v>-183.21600000000001</v>
      </c>
      <c r="N32" s="133" t="str">
        <f>VLOOKUP(C32,'Trips&amp;Operators'!$C$1:$G$99911,5,FALSE)</f>
        <v>TOUSIGNAUT CARL</v>
      </c>
      <c r="O32" s="203" t="s">
        <v>180</v>
      </c>
      <c r="P32" s="134"/>
      <c r="Q32" s="30"/>
      <c r="R32" s="81" t="str">
        <f>VLOOKUP(C32,'Train Runs'!$A$13:$AE$9918,31,0)</f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S32" s="84" t="str">
        <f>VLOOKUP(C32,'Train Runs'!$A$13:$AE$9918,22,0)</f>
        <v>https://d0f6bd738d7f1b3e5a7ca70fe4ff75f0.us-east-1.aws.found.io/app/kibana#/discover/Steve-Slow-Train-Analysis-(2080s-and-2083s)?_g=(refreshInterval:(display:Off,pause:!f,section:0,value:0),time:(from:'2017-08-25T05:57:39-0600',mode:absolute,to:'2017-08-25T08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86" t="str">
        <f t="shared" si="1"/>
        <v>"C:\Program Files (x86)\AstroGrep\AstroGrep.exe" /e /r /s /spath="%USERPROFILE%\AppData\Local\Temp\OnboardLogs" /stypes="*4044*201708251*" /stext=" 13:.+((SYSTEM_STATE.+slice.+state.+changed )|(ment ac)|(multiple cpu faults)|(system.+state.+changed )|(\[timeout)|(PRM\|1\|D)|(kpr)|(kdp)|(train st.+moving)|(\|lc)|(penalty))"</v>
      </c>
      <c r="U32" s="9" t="str">
        <f t="shared" si="2"/>
        <v>4044</v>
      </c>
      <c r="V32" s="31">
        <f t="shared" si="3"/>
        <v>42972.559814814813</v>
      </c>
      <c r="W32" s="45" t="str">
        <f t="shared" si="4"/>
        <v>NW</v>
      </c>
      <c r="X32" s="22">
        <f t="shared" si="5"/>
        <v>807</v>
      </c>
      <c r="Y32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{"issue":{"subject":"","project_id":79,"tracker_id":40,"status_id":1,"priority_id":2,"assigned_to_id":23,"start_date":"2017-08-25","description":"","custom_fields":[{"id":1,"name":"Subdivision","value":"NW"},{"id":4,"name":"Milepost","value":"2.1299"},{"id":17,"name":"Train ID","value":"807-25"},{"id":16,"name":"Locomotive ID","value":"4044"},{"id":130,"name":"Impact","value":""},{"id":150,"name":"Time of Event (Mountain Time)","value":"07:26:08"},{"id":151,"name":"Denver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/c/Users/stu/AppData/Local/Temp/OnboardLogs/RTDC4044 --include="*4044*201708251*"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"%USERPROFILE%\AppData\Local\Temp\OnboardLogs"\RTDC4044\*4044*201708251* &gt;&gt; 2017-08-25-SliceDisagreementCheck.txt</v>
      </c>
      <c r="AE32" s="145" t="str">
        <f t="shared" si="9"/>
        <v>start /low /b %USERPROFILE%\Documents\GitHub\eaglep3\Utilities\DownloadLogsFromS3.py --loco 4044 --day 2017-08-25</v>
      </c>
      <c r="AF32" s="1"/>
    </row>
    <row r="33" spans="1:32" x14ac:dyDescent="0.25">
      <c r="A33" s="31">
        <v>42972.563738425924</v>
      </c>
      <c r="B33" s="30" t="s">
        <v>573</v>
      </c>
      <c r="C33" s="30" t="s">
        <v>588</v>
      </c>
      <c r="D33" s="30" t="s">
        <v>49</v>
      </c>
      <c r="E33" s="30" t="s">
        <v>195</v>
      </c>
      <c r="F33" s="42">
        <v>150</v>
      </c>
      <c r="G33" s="42">
        <v>307</v>
      </c>
      <c r="H33" s="42">
        <v>55822</v>
      </c>
      <c r="I33" s="42">
        <v>56412</v>
      </c>
      <c r="J33" s="30" t="s">
        <v>196</v>
      </c>
      <c r="K33" s="42">
        <v>57008</v>
      </c>
      <c r="L33" s="131" t="s">
        <v>50</v>
      </c>
      <c r="M33" s="132">
        <f t="shared" si="0"/>
        <v>314.68799999999999</v>
      </c>
      <c r="N33" s="133" t="str">
        <f>VLOOKUP(C33,'Trips&amp;Operators'!$C$1:$G$99911,5,FALSE)</f>
        <v>DELGADO DIANAH</v>
      </c>
      <c r="O33" s="203" t="s">
        <v>180</v>
      </c>
      <c r="P33" s="134"/>
      <c r="Q33" s="30"/>
      <c r="R33" s="81" t="str">
        <f>VLOOKUP(C33,'Train Runs'!$A$13:$AE$9918,31,0)</f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S33" s="84" t="str">
        <f>VLOOKUP(C33,'Train Runs'!$A$13:$AE$9918,22,0)</f>
        <v>https://d0f6bd738d7f1b3e5a7ca70fe4ff75f0.us-east-1.aws.found.io/app/kibana#/discover/Steve-Slow-Train-Analysis-(2080s-and-2083s)?_g=(refreshInterval:(display:Off,pause:!f,section:0,value:0),time:(from:'2017-08-25T12:03:13-0600',mode:absolute,to:'2017-08-25T14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86" t="str">
        <f t="shared" si="1"/>
        <v>"C:\Program Files (x86)\AstroGrep\AstroGrep.exe" /e /r /s /spath="%USERPROFILE%\AppData\Local\Temp\OnboardLogs" /stypes="*4044*201708251*" /stext=" 19:.+((SYSTEM_STATE.+slice.+state.+changed )|(ment ac)|(multiple cpu faults)|(system.+state.+changed )|(\[timeout)|(PRM\|1\|D)|(kpr)|(kdp)|(train st.+moving)|(\|lc)|(penalty))"</v>
      </c>
      <c r="U33" s="9" t="str">
        <f t="shared" si="2"/>
        <v>4044</v>
      </c>
      <c r="V33" s="31">
        <f t="shared" si="3"/>
        <v>42972.813738425924</v>
      </c>
      <c r="W33" s="45" t="str">
        <f t="shared" si="4"/>
        <v>NW</v>
      </c>
      <c r="X33" s="22">
        <f t="shared" si="5"/>
        <v>821</v>
      </c>
      <c r="Y33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{"issue":{"subject":"","project_id":79,"tracker_id":40,"status_id":1,"priority_id":2,"assigned_to_id":23,"start_date":"2017-08-25","description":"","custom_fields":[{"id":1,"name":"Subdivision","value":"NW"},{"id":4,"name":"Milepost","value":"5.7008"},{"id":17,"name":"Train ID","value":"821-25"},{"id":16,"name":"Locomotive ID","value":"4044"},{"id":130,"name":"Impact","value":""},{"id":150,"name":"Time of Event (Mountain Time)","value":"13:31:47"},{"id":151,"name":"Denver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/c/Users/stu/AppData/Local/Temp/OnboardLogs/RTDC4044 --include="*4044*201708251*"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"%USERPROFILE%\AppData\Local\Temp\OnboardLogs"\RTDC4044\*4044*201708251* &gt;&gt; 2017-08-25-SliceDisagreementCheck.txt</v>
      </c>
      <c r="AE33" s="145" t="str">
        <f t="shared" si="9"/>
        <v>start /low /b %USERPROFILE%\Documents\GitHub\eaglep3\Utilities\DownloadLogsFromS3.py --loco 4044 --day 2017-08-25</v>
      </c>
      <c r="AF33" s="1"/>
    </row>
    <row r="34" spans="1:32" x14ac:dyDescent="0.25">
      <c r="A34" s="31">
        <v>42972.446979166663</v>
      </c>
      <c r="B34" s="30" t="s">
        <v>576</v>
      </c>
      <c r="C34" s="30" t="s">
        <v>585</v>
      </c>
      <c r="D34" s="30" t="s">
        <v>96</v>
      </c>
      <c r="E34" s="30" t="s">
        <v>195</v>
      </c>
      <c r="F34" s="42">
        <v>150</v>
      </c>
      <c r="G34" s="42">
        <v>208</v>
      </c>
      <c r="H34" s="42">
        <v>56684</v>
      </c>
      <c r="I34" s="42">
        <v>56133</v>
      </c>
      <c r="J34" s="30" t="s">
        <v>196</v>
      </c>
      <c r="K34" s="42">
        <v>59050</v>
      </c>
      <c r="L34" s="131" t="s">
        <v>51</v>
      </c>
      <c r="M34" s="132">
        <f t="shared" si="0"/>
        <v>-1540.1759999999999</v>
      </c>
      <c r="N34" s="133" t="str">
        <f>VLOOKUP(C34,'Trips&amp;Operators'!$C$1:$G$99911,5,FALSE)</f>
        <v>TOUSIGNAUT CARL</v>
      </c>
      <c r="O34" s="203" t="s">
        <v>180</v>
      </c>
      <c r="P34" s="134"/>
      <c r="Q34" s="30"/>
      <c r="R34" s="81" t="str">
        <f>VLOOKUP(C34,'Train Runs'!$A$13:$AE$9918,31,0)</f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S34" s="84" t="str">
        <f>VLOOKUP(C34,'Train Runs'!$A$13:$AE$9918,22,0)</f>
        <v>https://d0f6bd738d7f1b3e5a7ca70fe4ff75f0.us-east-1.aws.found.io/app/kibana#/discover/Steve-Slow-Train-Analysis-(2080s-and-2083s)?_g=(refreshInterval:(display:Off,pause:!f,section:0,value:0),time:(from:'2017-08-25T09:39:02-0600',mode:absolute,to:'2017-08-25T11:58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4" s="86" t="str">
        <f t="shared" si="1"/>
        <v>"C:\Program Files (x86)\AstroGrep\AstroGrep.exe" /e /r /s /spath="%USERPROFILE%\AppData\Local\Temp\OnboardLogs" /stypes="*4043*201708251*" /stext=" 16:.+((SYSTEM_STATE.+slice.+state.+changed )|(ment ac)|(multiple cpu faults)|(system.+state.+changed )|(\[timeout)|(PRM\|1\|D)|(kpr)|(kdp)|(train st.+moving)|(\|lc)|(penalty))"</v>
      </c>
      <c r="U34" s="9" t="str">
        <f t="shared" si="2"/>
        <v>4043</v>
      </c>
      <c r="V34" s="31">
        <f t="shared" si="3"/>
        <v>42972.696979166663</v>
      </c>
      <c r="W34" s="45" t="str">
        <f t="shared" si="4"/>
        <v>NW</v>
      </c>
      <c r="X34" s="22">
        <f t="shared" si="5"/>
        <v>816</v>
      </c>
      <c r="Y34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{"issue":{"subject":"","project_id":79,"tracker_id":40,"status_id":1,"priority_id":2,"assigned_to_id":23,"start_date":"2017-08-25","description":"","custom_fields":[{"id":1,"name":"Subdivision","value":"NW"},{"id":4,"name":"Milepost","value":"5.905"},{"id":17,"name":"Train ID","value":"816-25"},{"id":16,"name":"Locomotive ID","value":"4043"},{"id":130,"name":"Impact","value":""},{"id":150,"name":"Time of Event (Mountain Time)","value":"10:43:39"},{"id":151,"name":"Denver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/c/Users/stu/AppData/Local/Temp/OnboardLogs/RTDC4043 --include="*4043*201708251*"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"%USERPROFILE%\AppData\Local\Temp\OnboardLogs"\RTDC4043\*4043*201708251* &gt;&gt; 2017-08-25-SliceDisagreementCheck.txt</v>
      </c>
      <c r="AE34" s="145" t="str">
        <f t="shared" si="9"/>
        <v>start /low /b %USERPROFILE%\Documents\GitHub\eaglep3\Utilities\DownloadLogsFromS3.py --loco 4043 --day 2017-08-25</v>
      </c>
      <c r="AF34" s="1"/>
    </row>
    <row r="35" spans="1:32" x14ac:dyDescent="0.25">
      <c r="A35" s="31">
        <v>42972.434675925928</v>
      </c>
      <c r="B35" s="30" t="s">
        <v>573</v>
      </c>
      <c r="C35" s="30" t="s">
        <v>583</v>
      </c>
      <c r="D35" s="30" t="s">
        <v>49</v>
      </c>
      <c r="E35" s="30" t="s">
        <v>372</v>
      </c>
      <c r="F35" s="42">
        <v>0</v>
      </c>
      <c r="G35" s="42">
        <v>308</v>
      </c>
      <c r="H35" s="42">
        <v>18815</v>
      </c>
      <c r="I35" s="42">
        <v>19648</v>
      </c>
      <c r="J35" s="30" t="s">
        <v>373</v>
      </c>
      <c r="K35" s="42">
        <v>18990</v>
      </c>
      <c r="L35" s="131" t="s">
        <v>50</v>
      </c>
      <c r="M35" s="132">
        <f t="shared" si="0"/>
        <v>-347.42399999999998</v>
      </c>
      <c r="N35" s="133" t="str">
        <f>VLOOKUP(C35,'Trips&amp;Operators'!$C$1:$G$99911,5,FALSE)</f>
        <v>TOUSIGNAUT CARL</v>
      </c>
      <c r="O35" s="203" t="s">
        <v>375</v>
      </c>
      <c r="P35" s="134" t="s">
        <v>454</v>
      </c>
      <c r="Q35" s="30"/>
      <c r="R35" s="81" t="str">
        <f>VLOOKUP(C35,'Train Runs'!$A$13:$AE$9918,31,0)</f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S35" s="84" t="str">
        <f>VLOOKUP(C35,'Train Runs'!$A$13:$AE$9918,22,0)</f>
        <v>https://d0f6bd738d7f1b3e5a7ca70fe4ff75f0.us-east-1.aws.found.io/app/kibana#/discover/Steve-Slow-Train-Analysis-(2080s-and-2083s)?_g=(refreshInterval:(display:Off,pause:!f,section:0,value:0),time:(from:'2017-08-25T09:00:04-0600',mode:absolute,to:'2017-08-25T11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5" s="86" t="str">
        <f t="shared" si="1"/>
        <v>"C:\Program Files (x86)\AstroGrep\AstroGrep.exe" /e /r /s /spath="%USERPROFILE%\AppData\Local\Temp\OnboardLogs" /stypes="*4044*201708251*" /stext=" 16:.+((SYSTEM_STATE.+slice.+state.+changed )|(ment ac)|(multiple cpu faults)|(system.+state.+changed )|(\[timeout)|(PRM\|1\|D)|(kpr)|(kdp)|(train st.+moving)|(\|lc)|(penalty))"</v>
      </c>
      <c r="U35" s="9" t="str">
        <f t="shared" si="2"/>
        <v>4044</v>
      </c>
      <c r="V35" s="31">
        <f t="shared" si="3"/>
        <v>42972.684675925928</v>
      </c>
      <c r="W35" s="45" t="str">
        <f t="shared" si="4"/>
        <v>NW</v>
      </c>
      <c r="X35" s="22">
        <f t="shared" si="5"/>
        <v>815</v>
      </c>
      <c r="Y35" s="96" t="str">
        <f t="shared" si="6"/>
        <v>echo {"issue":{"subject":"Wi-MAX data drop","project_id":79,"tracker_id":40,"status_id":1,"priority_id":2,"assigned_to_id":23,"start_date":"2017-08-25","description":"","custom_fields":[{"id":1,"name":"Subdivision","value":"NW"},{"id":4,"name":"Milepost","value":"1.899"},{"id":17,"name":"Train ID","value":"815-25"},{"id":16,"name":"Locomotive ID","value":"4044"},{"id":130,"name":"Impact","value":""},{"id":150,"name":"Time of Event (Mountain Time)","value":"10:25:56"},{"id":151,"name":"Denver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/c/Users/stu/AppData/Local/Temp/OnboardLogs/RTDC4044 --include="*4044*201708251*"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"%USERPROFILE%\AppData\Local\Temp\OnboardLogs"\RTDC4044\*4044*201708251* &gt;&gt; 2017-08-25-SliceDisagreementCheck.txt</v>
      </c>
      <c r="AE35" s="145" t="str">
        <f t="shared" si="9"/>
        <v>start /low /b %USERPROFILE%\Documents\GitHub\eaglep3\Utilities\DownloadLogsFromS3.py --loco 4044 --day 2017-08-25</v>
      </c>
      <c r="AF35" s="1"/>
    </row>
    <row r="36" spans="1:32" x14ac:dyDescent="0.25">
      <c r="A36" s="31">
        <v>42972.785150462965</v>
      </c>
      <c r="B36" s="30" t="s">
        <v>576</v>
      </c>
      <c r="C36" s="30" t="s">
        <v>601</v>
      </c>
      <c r="D36" s="30" t="s">
        <v>49</v>
      </c>
      <c r="E36" s="30" t="s">
        <v>372</v>
      </c>
      <c r="F36" s="42">
        <v>0</v>
      </c>
      <c r="G36" s="42">
        <v>274</v>
      </c>
      <c r="H36" s="42">
        <v>20284</v>
      </c>
      <c r="I36" s="42">
        <v>19798</v>
      </c>
      <c r="J36" s="30" t="s">
        <v>373</v>
      </c>
      <c r="K36" s="42">
        <v>19000</v>
      </c>
      <c r="L36" s="131" t="s">
        <v>51</v>
      </c>
      <c r="M36" s="132">
        <f t="shared" si="0"/>
        <v>421.34399999999999</v>
      </c>
      <c r="N36" s="133" t="str">
        <f>VLOOKUP(C36,'Trips&amp;Operators'!$C$1:$G$99911,5,FALSE)</f>
        <v>BIRKHOLZ NADINE</v>
      </c>
      <c r="O36" s="203" t="s">
        <v>180</v>
      </c>
      <c r="P36" s="134" t="s">
        <v>984</v>
      </c>
      <c r="Q36" s="30"/>
      <c r="R36" s="81" t="str">
        <f>VLOOKUP(C36,'Train Runs'!$A$13:$AE$9918,31,0)</f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S36" s="84" t="str">
        <f>VLOOKUP(C36,'Train Runs'!$A$13:$AE$9918,22,0)</f>
        <v>https://d0f6bd738d7f1b3e5a7ca70fe4ff75f0.us-east-1.aws.found.io/app/kibana#/discover/Steve-Slow-Train-Analysis-(2080s-and-2083s)?_g=(refreshInterval:(display:Off,pause:!f,section:0,value:0),time:(from:'2017-08-25T17:35:19-0600',mode:absolute,to:'2017-08-25T19:59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6" s="86" t="str">
        <f t="shared" si="1"/>
        <v>"C:\Program Files (x86)\AstroGrep\AstroGrep.exe" /e /r /s /spath="%USERPROFILE%\AppData\Local\Temp\OnboardLogs" /stypes="*4043*201708260*"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4043</v>
      </c>
      <c r="V36" s="31">
        <f t="shared" si="3"/>
        <v>42973.035150462965</v>
      </c>
      <c r="W36" s="45" t="str">
        <f t="shared" si="4"/>
        <v>NW</v>
      </c>
      <c r="X36" s="22">
        <f t="shared" si="5"/>
        <v>838</v>
      </c>
      <c r="Y36" s="96" t="str">
        <f t="shared" si="6"/>
        <v>echo {"issue":{"subject":"RESTRICTING aspect","project_id":79,"tracker_id":40,"status_id":1,"priority_id":2,"assigned_to_id":23,"start_date":"2017-08-25","description":"","custom_fields":[{"id":1,"name":"Subdivision","value":"NW"},{"id":4,"name":"Milepost","value":"1.9"},{"id":17,"name":"Train ID","value":"838-25"},{"id":16,"name":"Locomotive ID","value":"4043"},{"id":130,"name":"Impact","value":""},{"id":150,"name":"Time of Event (Mountain Time)","value":"18:50:37"},{"id":151,"name":"Denver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/c/Users/stu/AppData/Local/Temp/OnboardLogs/RTDC4043 --include="*4043*201708260*"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"%USERPROFILE%\AppData\Local\Temp\OnboardLogs"\RTDC4043\*4043*201708260* &gt;&gt; 2017-08-25-SliceDisagreementCheck.txt</v>
      </c>
      <c r="AE36" s="145" t="str">
        <f t="shared" si="9"/>
        <v>start /low /b %USERPROFILE%\Documents\GitHub\eaglep3\Utilities\DownloadLogsFromS3.py --loco 4043 --day 2017-08-26</v>
      </c>
      <c r="AF36" s="1"/>
    </row>
    <row r="37" spans="1:32" x14ac:dyDescent="0.25">
      <c r="A37" s="31">
        <v>42972.330601851849</v>
      </c>
      <c r="B37" s="30" t="s">
        <v>576</v>
      </c>
      <c r="C37" s="30" t="s">
        <v>577</v>
      </c>
      <c r="D37" s="30" t="s">
        <v>49</v>
      </c>
      <c r="E37" s="30" t="s">
        <v>181</v>
      </c>
      <c r="F37" s="42">
        <v>0</v>
      </c>
      <c r="G37" s="42">
        <v>108</v>
      </c>
      <c r="H37" s="42">
        <v>974</v>
      </c>
      <c r="I37" s="42">
        <v>871</v>
      </c>
      <c r="J37" s="30" t="s">
        <v>182</v>
      </c>
      <c r="K37" s="42">
        <v>575</v>
      </c>
      <c r="L37" s="131" t="s">
        <v>51</v>
      </c>
      <c r="M37" s="132">
        <f t="shared" si="0"/>
        <v>156.28800000000001</v>
      </c>
      <c r="N37" s="133" t="str">
        <f>VLOOKUP(C37,'Trips&amp;Operators'!$C$1:$G$99911,5,FALSE)</f>
        <v>TOUSIGNAUT CARL</v>
      </c>
      <c r="O37" s="203" t="s">
        <v>180</v>
      </c>
      <c r="P37" s="134"/>
      <c r="Q37" s="30"/>
      <c r="R37" s="81" t="str">
        <f>VLOOKUP(C37,'Train Runs'!$A$13:$AE$9918,31,0)</f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S37" s="84" t="str">
        <f>VLOOKUP(C37,'Train Runs'!$A$13:$AE$9918,22,0)</f>
        <v>https://d0f6bd738d7f1b3e5a7ca70fe4ff75f0.us-east-1.aws.found.io/app/kibana#/discover/Steve-Slow-Train-Analysis-(2080s-and-2083s)?_g=(refreshInterval:(display:Off,pause:!f,section:0,value:0),time:(from:'2017-08-25T06:38:14-0600',mode:absolute,to:'2017-08-25T08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7" s="86" t="str">
        <f t="shared" si="1"/>
        <v>"C:\Program Files (x86)\AstroGrep\AstroGrep.exe" /e /r /s /spath="%USERPROFILE%\AppData\Local\Temp\OnboardLogs" /stypes="*4043*201708251*" /stext=" 13:.+((SYSTEM_STATE.+slice.+state.+changed )|(ment ac)|(multiple cpu faults)|(system.+state.+changed )|(\[timeout)|(PRM\|1\|D)|(kpr)|(kdp)|(train st.+moving)|(\|lc)|(penalty))"</v>
      </c>
      <c r="U37" s="9" t="str">
        <f t="shared" si="2"/>
        <v>4043</v>
      </c>
      <c r="V37" s="31">
        <f t="shared" si="3"/>
        <v>42972.580601851849</v>
      </c>
      <c r="W37" s="45" t="str">
        <f t="shared" si="4"/>
        <v>NW</v>
      </c>
      <c r="X37" s="22">
        <f t="shared" si="5"/>
        <v>808</v>
      </c>
      <c r="Y37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{"issue":{"subject":"","project_id":79,"tracker_id":40,"status_id":1,"priority_id":2,"assigned_to_id":23,"start_date":"2017-08-25","description":"","custom_fields":[{"id":1,"name":"Subdivision","value":"NW"},{"id":4,"name":"Milepost","value":"0.0575"},{"id":17,"name":"Train ID","value":"808-25"},{"id":16,"name":"Locomotive ID","value":"4043"},{"id":130,"name":"Impact","value":""},{"id":150,"name":"Time of Event (Mountain Time)","value":"07:56:04"},{"id":151,"name":"Denver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/c/Users/stu/AppData/Local/Temp/OnboardLogs/RTDC4043 --include="*4043*201708251*"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"%USERPROFILE%\AppData\Local\Temp\OnboardLogs"\RTDC4043\*4043*201708251* &gt;&gt; 2017-08-25-SliceDisagreementCheck.txt</v>
      </c>
      <c r="AE37" s="145" t="str">
        <f t="shared" si="9"/>
        <v>start /low /b %USERPROFILE%\Documents\GitHub\eaglep3\Utilities\DownloadLogsFromS3.py --loco 4043 --day 2017-08-25</v>
      </c>
      <c r="AF37" s="1"/>
    </row>
    <row r="38" spans="1:32" x14ac:dyDescent="0.25">
      <c r="A38" s="31">
        <v>42972.331087962964</v>
      </c>
      <c r="B38" s="30" t="s">
        <v>576</v>
      </c>
      <c r="C38" s="30" t="s">
        <v>577</v>
      </c>
      <c r="D38" s="30" t="s">
        <v>49</v>
      </c>
      <c r="E38" s="30" t="s">
        <v>181</v>
      </c>
      <c r="F38" s="42">
        <v>0</v>
      </c>
      <c r="G38" s="42">
        <v>48</v>
      </c>
      <c r="H38" s="42">
        <v>748</v>
      </c>
      <c r="I38" s="42">
        <v>705</v>
      </c>
      <c r="J38" s="30" t="s">
        <v>182</v>
      </c>
      <c r="K38" s="42">
        <v>575</v>
      </c>
      <c r="L38" s="131" t="s">
        <v>51</v>
      </c>
      <c r="M38" s="132">
        <f t="shared" si="0"/>
        <v>68.64</v>
      </c>
      <c r="N38" s="133" t="str">
        <f>VLOOKUP(C38,'Trips&amp;Operators'!$C$1:$G$99911,5,FALSE)</f>
        <v>TOUSIGNAUT CARL</v>
      </c>
      <c r="O38" s="203" t="s">
        <v>180</v>
      </c>
      <c r="P38" s="134"/>
      <c r="Q38" s="30"/>
      <c r="R38" s="81" t="str">
        <f>VLOOKUP(C38,'Train Runs'!$A$13:$AE$9918,31,0)</f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S38" s="84" t="str">
        <f>VLOOKUP(C38,'Train Runs'!$A$13:$AE$9918,22,0)</f>
        <v>https://d0f6bd738d7f1b3e5a7ca70fe4ff75f0.us-east-1.aws.found.io/app/kibana#/discover/Steve-Slow-Train-Analysis-(2080s-and-2083s)?_g=(refreshInterval:(display:Off,pause:!f,section:0,value:0),time:(from:'2017-08-25T06:38:14-0600',mode:absolute,to:'2017-08-25T08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8" s="86" t="str">
        <f t="shared" si="1"/>
        <v>"C:\Program Files (x86)\AstroGrep\AstroGrep.exe" /e /r /s /spath="%USERPROFILE%\AppData\Local\Temp\OnboardLogs" /stypes="*4043*201708251*"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4043</v>
      </c>
      <c r="V38" s="31">
        <f t="shared" si="3"/>
        <v>42972.581087962964</v>
      </c>
      <c r="W38" s="45" t="str">
        <f t="shared" si="4"/>
        <v>NW</v>
      </c>
      <c r="X38" s="22">
        <f t="shared" si="5"/>
        <v>808</v>
      </c>
      <c r="Y38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{"issue":{"subject":"","project_id":79,"tracker_id":40,"status_id":1,"priority_id":2,"assigned_to_id":23,"start_date":"2017-08-25","description":"","custom_fields":[{"id":1,"name":"Subdivision","value":"NW"},{"id":4,"name":"Milepost","value":"0.0575"},{"id":17,"name":"Train ID","value":"808-25"},{"id":16,"name":"Locomotive ID","value":"4043"},{"id":130,"name":"Impact","value":""},{"id":150,"name":"Time of Event (Mountain Time)","value":"07:56:46"},{"id":151,"name":"Denver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/c/Users/stu/AppData/Local/Temp/OnboardLogs/RTDC4043 --include="*4043*201708251*"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"%USERPROFILE%\AppData\Local\Temp\OnboardLogs"\RTDC4043\*4043*201708251* &gt;&gt; 2017-08-25-SliceDisagreementCheck.txt</v>
      </c>
      <c r="AE38" s="145" t="str">
        <f t="shared" si="9"/>
        <v>start /low /b %USERPROFILE%\Documents\GitHub\eaglep3\Utilities\DownloadLogsFromS3.py --loco 4043 --day 2017-08-25</v>
      </c>
      <c r="AF38" s="1"/>
    </row>
    <row r="39" spans="1:32" x14ac:dyDescent="0.25">
      <c r="A39" s="31">
        <v>42972.457118055558</v>
      </c>
      <c r="B39" s="30" t="s">
        <v>576</v>
      </c>
      <c r="C39" s="30" t="s">
        <v>585</v>
      </c>
      <c r="D39" s="30" t="s">
        <v>49</v>
      </c>
      <c r="E39" s="30" t="s">
        <v>181</v>
      </c>
      <c r="F39" s="42">
        <v>0</v>
      </c>
      <c r="G39" s="42">
        <v>43</v>
      </c>
      <c r="H39" s="42">
        <v>694</v>
      </c>
      <c r="I39" s="42">
        <v>656</v>
      </c>
      <c r="J39" s="30" t="s">
        <v>182</v>
      </c>
      <c r="K39" s="42">
        <v>575</v>
      </c>
      <c r="L39" s="131" t="s">
        <v>51</v>
      </c>
      <c r="M39" s="132">
        <f t="shared" si="0"/>
        <v>42.768000000000001</v>
      </c>
      <c r="N39" s="133" t="str">
        <f>VLOOKUP(C39,'Trips&amp;Operators'!$C$1:$G$99911,5,FALSE)</f>
        <v>TOUSIGNAUT CARL</v>
      </c>
      <c r="O39" s="203" t="s">
        <v>180</v>
      </c>
      <c r="P39" s="134"/>
      <c r="Q39" s="30"/>
      <c r="R39" s="81" t="str">
        <f>VLOOKUP(C39,'Train Runs'!$A$13:$AE$9918,31,0)</f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S39" s="84" t="str">
        <f>VLOOKUP(C39,'Train Runs'!$A$13:$AE$9918,22,0)</f>
        <v>https://d0f6bd738d7f1b3e5a7ca70fe4ff75f0.us-east-1.aws.found.io/app/kibana#/discover/Steve-Slow-Train-Analysis-(2080s-and-2083s)?_g=(refreshInterval:(display:Off,pause:!f,section:0,value:0),time:(from:'2017-08-25T09:39:02-0600',mode:absolute,to:'2017-08-25T11:58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9" s="86" t="str">
        <f t="shared" si="1"/>
        <v>"C:\Program Files (x86)\AstroGrep\AstroGrep.exe" /e /r /s /spath="%USERPROFILE%\AppData\Local\Temp\OnboardLogs" /stypes="*4043*201708251*" /stext=" 16:.+((SYSTEM_STATE.+slice.+state.+changed )|(ment ac)|(multiple cpu faults)|(system.+state.+changed )|(\[timeout)|(PRM\|1\|D)|(kpr)|(kdp)|(train st.+moving)|(\|lc)|(penalty))"</v>
      </c>
      <c r="U39" s="9" t="str">
        <f t="shared" si="2"/>
        <v>4043</v>
      </c>
      <c r="V39" s="31">
        <f t="shared" si="3"/>
        <v>42972.707118055558</v>
      </c>
      <c r="W39" s="45" t="str">
        <f t="shared" si="4"/>
        <v>NW</v>
      </c>
      <c r="X39" s="22">
        <f t="shared" si="5"/>
        <v>816</v>
      </c>
      <c r="Y39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{"issue":{"subject":"","project_id":79,"tracker_id":40,"status_id":1,"priority_id":2,"assigned_to_id":23,"start_date":"2017-08-25","description":"","custom_fields":[{"id":1,"name":"Subdivision","value":"NW"},{"id":4,"name":"Milepost","value":"0.0575"},{"id":17,"name":"Train ID","value":"816-25"},{"id":16,"name":"Locomotive ID","value":"4043"},{"id":130,"name":"Impact","value":""},{"id":150,"name":"Time of Event (Mountain Time)","value":"10:58:15"},{"id":151,"name":"Denver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/c/Users/stu/AppData/Local/Temp/OnboardLogs/RTDC4043 --include="*4043*201708251*"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"%USERPROFILE%\AppData\Local\Temp\OnboardLogs"\RTDC4043\*4043*201708251* &gt;&gt; 2017-08-25-SliceDisagreementCheck.txt</v>
      </c>
      <c r="AE39" s="145" t="str">
        <f t="shared" si="9"/>
        <v>start /low /b %USERPROFILE%\Documents\GitHub\eaglep3\Utilities\DownloadLogsFromS3.py --loco 4043 --day 2017-08-25</v>
      </c>
      <c r="AF39" s="1"/>
    </row>
    <row r="40" spans="1:32" x14ac:dyDescent="0.25">
      <c r="A40" s="31">
        <v>42972.748506944445</v>
      </c>
      <c r="B40" s="30" t="s">
        <v>576</v>
      </c>
      <c r="C40" s="30" t="s">
        <v>598</v>
      </c>
      <c r="D40" s="30" t="s">
        <v>49</v>
      </c>
      <c r="E40" s="30" t="s">
        <v>181</v>
      </c>
      <c r="F40" s="42">
        <v>0</v>
      </c>
      <c r="G40" s="42">
        <v>110</v>
      </c>
      <c r="H40" s="42">
        <v>1084</v>
      </c>
      <c r="I40" s="42">
        <v>971</v>
      </c>
      <c r="J40" s="30" t="s">
        <v>182</v>
      </c>
      <c r="K40" s="42">
        <v>575</v>
      </c>
      <c r="L40" s="131" t="s">
        <v>51</v>
      </c>
      <c r="M40" s="132">
        <f t="shared" si="0"/>
        <v>209.08799999999999</v>
      </c>
      <c r="N40" s="133" t="str">
        <f>VLOOKUP(C40,'Trips&amp;Operators'!$C$1:$G$99911,5,FALSE)</f>
        <v>DELGADO DIANAH</v>
      </c>
      <c r="O40" s="203" t="s">
        <v>180</v>
      </c>
      <c r="P40" s="134"/>
      <c r="Q40" s="30"/>
      <c r="R40" s="81" t="str">
        <f>VLOOKUP(C40,'Train Runs'!$A$13:$AE$9918,31,0)</f>
        <v>aws s3 cp s3://rtdc.mdm.uploadarchive.raw/RTDC4043/ "%USERPROFILE%\AppData\Local\Temp\OnboardLogs"\RTDC4043\2017-08-25 --exclude "*" --recursive --include "*20170825*" &amp; "%USERPROFILE%\Documents\GitHub\mrs-test-scripts\Headless Mode &amp; Sideloading\WalkAndUnGZ.bat" "%USERPROFILE%\AppData\Local\Temp\OnboardLogs"\RTDC4043\2017-08-25 &amp; aws s3 cp s3://rtdc.mdm.uploadarchive.raw/RTDC4043/ "%USERPROFILE%\AppData\Local\Temp\OnboardLogs"\RTDC4043\2017-08-26 --exclude "*" --recursive --include "*20170826*" &amp; "%USERPROFILE%\Documents\GitHub\mrs-test-scripts\Headless Mode &amp; Sideloading\WalkAndUnGZ.bat" "%USERPROFILE%\AppData\Local\Temp\OnboardLogs"\RTDC4043\2017-08-26</v>
      </c>
      <c r="S40" s="84" t="str">
        <f>VLOOKUP(C40,'Train Runs'!$A$13:$AE$9918,22,0)</f>
        <v>https://d0f6bd738d7f1b3e5a7ca70fe4ff75f0.us-east-1.aws.found.io/app/kibana#/discover/Steve-Slow-Train-Analysis-(2080s-and-2083s)?_g=(refreshInterval:(display:Off,pause:!f,section:0,value:0),time:(from:'2017-08-25T16:36:21-0600',mode:absolute,to:'2017-08-25T18:59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0" s="86" t="str">
        <f t="shared" si="1"/>
        <v>"C:\Program Files (x86)\AstroGrep\AstroGrep.exe" /e /r /s /spath="%USERPROFILE%\AppData\Local\Temp\OnboardLogs" /stypes="*4043*201708252*" /stext=" 23:.+((SYSTEM_STATE.+slice.+state.+changed )|(ment ac)|(multiple cpu faults)|(system.+state.+changed )|(\[timeout)|(PRM\|1\|D)|(kpr)|(kdp)|(train st.+moving)|(\|lc)|(penalty))"</v>
      </c>
      <c r="U40" s="9" t="str">
        <f t="shared" si="2"/>
        <v>4043</v>
      </c>
      <c r="V40" s="31">
        <f t="shared" si="3"/>
        <v>42972.998506944445</v>
      </c>
      <c r="W40" s="45" t="str">
        <f t="shared" si="4"/>
        <v>NW</v>
      </c>
      <c r="X40" s="22">
        <f t="shared" si="5"/>
        <v>834</v>
      </c>
      <c r="Y40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{"issue":{"subject":"","project_id":79,"tracker_id":40,"status_id":1,"priority_id":2,"assigned_to_id":23,"start_date":"2017-08-25","description":"","custom_fields":[{"id":1,"name":"Subdivision","value":"NW"},{"id":4,"name":"Milepost","value":"0.0575"},{"id":17,"name":"Train ID","value":"834-25"},{"id":16,"name":"Locomotive ID","value":"4043"},{"id":130,"name":"Impact","value":""},{"id":150,"name":"Time of Event (Mountain Time)","value":"17:57:51"},{"id":151,"name":"Denver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/c/Users/stu/AppData/Local/Temp/OnboardLogs/RTDC4043 --include="*4043*201708252*"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"%USERPROFILE%\AppData\Local\Temp\OnboardLogs"\RTDC4043\*4043*201708252* &gt;&gt; 2017-08-25-SliceDisagreementCheck.txt</v>
      </c>
      <c r="AE40" s="145" t="str">
        <f t="shared" si="9"/>
        <v>start /low /b %USERPROFILE%\Documents\GitHub\eaglep3\Utilities\DownloadLogsFromS3.py --loco 4043 --day 2017-08-25</v>
      </c>
      <c r="AF40" s="1"/>
    </row>
    <row r="41" spans="1:32" x14ac:dyDescent="0.25">
      <c r="A41" s="31">
        <v>42972.316469907404</v>
      </c>
      <c r="B41" s="30" t="s">
        <v>573</v>
      </c>
      <c r="C41" s="30" t="s">
        <v>574</v>
      </c>
      <c r="D41" s="30" t="s">
        <v>49</v>
      </c>
      <c r="E41" s="30" t="s">
        <v>181</v>
      </c>
      <c r="F41" s="42">
        <v>0</v>
      </c>
      <c r="G41" s="42">
        <v>24</v>
      </c>
      <c r="H41" s="42">
        <v>58988</v>
      </c>
      <c r="I41" s="42">
        <v>59008</v>
      </c>
      <c r="J41" s="30" t="s">
        <v>182</v>
      </c>
      <c r="K41" s="42">
        <v>59048</v>
      </c>
      <c r="L41" s="131" t="s">
        <v>50</v>
      </c>
      <c r="M41" s="132">
        <f t="shared" si="0"/>
        <v>21.12</v>
      </c>
      <c r="N41" s="133" t="str">
        <f>VLOOKUP(C41,'Trips&amp;Operators'!$C$1:$G$99911,5,FALSE)</f>
        <v>TOUSIGNAUT CARL</v>
      </c>
      <c r="O41" s="203" t="s">
        <v>180</v>
      </c>
      <c r="P41" s="134"/>
      <c r="Q41" s="30"/>
      <c r="R41" s="81" t="str">
        <f>VLOOKUP(C41,'Train Runs'!$A$13:$AE$9918,31,0)</f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S41" s="84" t="str">
        <f>VLOOKUP(C41,'Train Runs'!$A$13:$AE$9918,22,0)</f>
        <v>https://d0f6bd738d7f1b3e5a7ca70fe4ff75f0.us-east-1.aws.found.io/app/kibana#/discover/Steve-Slow-Train-Analysis-(2080s-and-2083s)?_g=(refreshInterval:(display:Off,pause:!f,section:0,value:0),time:(from:'2017-08-25T05:57:39-0600',mode:absolute,to:'2017-08-25T08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1" s="86" t="str">
        <f t="shared" si="1"/>
        <v>"C:\Program Files (x86)\AstroGrep\AstroGrep.exe" /e /r /s /spath="%USERPROFILE%\AppData\Local\Temp\OnboardLogs" /stypes="*4044*201708251*" /stext=" 13:.+((SYSTEM_STATE.+slice.+state.+changed )|(ment ac)|(multiple cpu faults)|(system.+state.+changed )|(\[timeout)|(PRM\|1\|D)|(kpr)|(kdp)|(train st.+moving)|(\|lc)|(penalty))"</v>
      </c>
      <c r="U41" s="9" t="str">
        <f t="shared" si="2"/>
        <v>4044</v>
      </c>
      <c r="V41" s="31">
        <f t="shared" si="3"/>
        <v>42972.566469907404</v>
      </c>
      <c r="W41" s="45" t="str">
        <f t="shared" si="4"/>
        <v>NW</v>
      </c>
      <c r="X41" s="22">
        <f t="shared" si="5"/>
        <v>807</v>
      </c>
      <c r="Y41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{"issue":{"subject":"","project_id":79,"tracker_id":40,"status_id":1,"priority_id":2,"assigned_to_id":23,"start_date":"2017-08-25","description":"","custom_fields":[{"id":1,"name":"Subdivision","value":"NW"},{"id":4,"name":"Milepost","value":"5.9048"},{"id":17,"name":"Train ID","value":"807-25"},{"id":16,"name":"Locomotive ID","value":"4044"},{"id":130,"name":"Impact","value":""},{"id":150,"name":"Time of Event (Mountain Time)","value":"07:35:43"},{"id":151,"name":"Denver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/c/Users/stu/AppData/Local/Temp/OnboardLogs/RTDC4044 --include="*4044*201708251*"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"%USERPROFILE%\AppData\Local\Temp\OnboardLogs"\RTDC4044\*4044*201708251* &gt;&gt; 2017-08-25-SliceDisagreementCheck.txt</v>
      </c>
      <c r="AE41" s="145" t="str">
        <f t="shared" si="9"/>
        <v>start /low /b %USERPROFILE%\Documents\GitHub\eaglep3\Utilities\DownloadLogsFromS3.py --loco 4044 --day 2017-08-25</v>
      </c>
      <c r="AF41" s="1"/>
    </row>
    <row r="42" spans="1:32" x14ac:dyDescent="0.25">
      <c r="A42" s="31">
        <v>42972.358206018522</v>
      </c>
      <c r="B42" s="30" t="s">
        <v>573</v>
      </c>
      <c r="C42" s="30" t="s">
        <v>579</v>
      </c>
      <c r="D42" s="30" t="s">
        <v>49</v>
      </c>
      <c r="E42" s="30" t="s">
        <v>181</v>
      </c>
      <c r="F42" s="42">
        <v>0</v>
      </c>
      <c r="G42" s="42">
        <v>8</v>
      </c>
      <c r="H42" s="42">
        <v>59037</v>
      </c>
      <c r="I42" s="42">
        <v>59039</v>
      </c>
      <c r="J42" s="30" t="s">
        <v>182</v>
      </c>
      <c r="K42" s="42">
        <v>59048</v>
      </c>
      <c r="L42" s="131" t="s">
        <v>50</v>
      </c>
      <c r="M42" s="132">
        <f t="shared" si="0"/>
        <v>4.7519999999999998</v>
      </c>
      <c r="N42" s="133" t="str">
        <f>VLOOKUP(C42,'Trips&amp;Operators'!$C$1:$G$99911,5,FALSE)</f>
        <v>TOUSIGNAUT CARL</v>
      </c>
      <c r="O42" s="203" t="s">
        <v>180</v>
      </c>
      <c r="P42" s="134"/>
      <c r="Q42" s="30"/>
      <c r="R42" s="81" t="str">
        <f>VLOOKUP(C42,'Train Runs'!$A$13:$AE$9918,31,0)</f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S42" s="84" t="str">
        <f>VLOOKUP(C42,'Train Runs'!$A$13:$AE$9918,22,0)</f>
        <v>https://d0f6bd738d7f1b3e5a7ca70fe4ff75f0.us-east-1.aws.found.io/app/kibana#/discover/Steve-Slow-Train-Analysis-(2080s-and-2083s)?_g=(refreshInterval:(display:Off,pause:!f,section:0,value:0),time:(from:'2017-08-25T07:00:25-0600',mode:absolute,to:'2017-08-25T09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2" s="86" t="str">
        <f t="shared" si="1"/>
        <v>"C:\Program Files (x86)\AstroGrep\AstroGrep.exe" /e /r /s /spath="%USERPROFILE%\AppData\Local\Temp\OnboardLogs" /stypes="*4044*201708251*" /stext=" 14:.+((SYSTEM_STATE.+slice.+state.+changed )|(ment ac)|(multiple cpu faults)|(system.+state.+changed )|(\[timeout)|(PRM\|1\|D)|(kpr)|(kdp)|(train st.+moving)|(\|lc)|(penalty))"</v>
      </c>
      <c r="U42" s="9" t="str">
        <f t="shared" si="2"/>
        <v>4044</v>
      </c>
      <c r="V42" s="31">
        <f t="shared" si="3"/>
        <v>42972.608206018522</v>
      </c>
      <c r="W42" s="45" t="str">
        <f t="shared" si="4"/>
        <v>NW</v>
      </c>
      <c r="X42" s="22">
        <f t="shared" si="5"/>
        <v>811</v>
      </c>
      <c r="Y42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{"issue":{"subject":"","project_id":79,"tracker_id":40,"status_id":1,"priority_id":2,"assigned_to_id":23,"start_date":"2017-08-25","description":"","custom_fields":[{"id":1,"name":"Subdivision","value":"NW"},{"id":4,"name":"Milepost","value":"5.9048"},{"id":17,"name":"Train ID","value":"811-25"},{"id":16,"name":"Locomotive ID","value":"4044"},{"id":130,"name":"Impact","value":""},{"id":150,"name":"Time of Event (Mountain Time)","value":"08:35:49"},{"id":151,"name":"Denver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/c/Users/stu/AppData/Local/Temp/OnboardLogs/RTDC4044 --include="*4044*201708251*"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"%USERPROFILE%\AppData\Local\Temp\OnboardLogs"\RTDC4044\*4044*201708251* &gt;&gt; 2017-08-25-SliceDisagreementCheck.txt</v>
      </c>
      <c r="AE42" s="145" t="str">
        <f t="shared" si="9"/>
        <v>start /low /b %USERPROFILE%\Documents\GitHub\eaglep3\Utilities\DownloadLogsFromS3.py --loco 4044 --day 2017-08-25</v>
      </c>
      <c r="AF42" s="1"/>
    </row>
    <row r="43" spans="1:32" x14ac:dyDescent="0.25">
      <c r="A43" s="31">
        <v>42972.399675925924</v>
      </c>
      <c r="B43" s="30" t="s">
        <v>573</v>
      </c>
      <c r="C43" s="30" t="s">
        <v>581</v>
      </c>
      <c r="D43" s="30" t="s">
        <v>96</v>
      </c>
      <c r="E43" s="30" t="s">
        <v>181</v>
      </c>
      <c r="F43" s="42">
        <v>0</v>
      </c>
      <c r="G43" s="42">
        <v>9</v>
      </c>
      <c r="H43" s="42">
        <v>59048</v>
      </c>
      <c r="I43" s="42">
        <v>0</v>
      </c>
      <c r="J43" s="30" t="s">
        <v>182</v>
      </c>
      <c r="K43" s="42">
        <v>59048</v>
      </c>
      <c r="L43" s="131" t="s">
        <v>50</v>
      </c>
      <c r="M43" s="132">
        <f t="shared" si="0"/>
        <v>31177.344000000001</v>
      </c>
      <c r="N43" s="133" t="str">
        <f>VLOOKUP(C43,'Trips&amp;Operators'!$C$1:$G$99911,5,FALSE)</f>
        <v>TOUSIGNAUT CARL</v>
      </c>
      <c r="O43" s="203" t="s">
        <v>180</v>
      </c>
      <c r="P43" s="134"/>
      <c r="Q43" s="30"/>
      <c r="R43" s="81" t="str">
        <f>VLOOKUP(C43,'Train Runs'!$A$13:$AE$9918,31,0)</f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S43" s="84" t="str">
        <f>VLOOKUP(C43,'Train Runs'!$A$13:$AE$9918,22,0)</f>
        <v>https://d0f6bd738d7f1b3e5a7ca70fe4ff75f0.us-east-1.aws.found.io/app/kibana#/discover/Steve-Slow-Train-Analysis-(2080s-and-2083s)?_g=(refreshInterval:(display:Off,pause:!f,section:0,value:0),time:(from:'2017-08-25T07:59:12-0600',mode:absolute,to:'2017-08-25T10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3" s="86" t="str">
        <f t="shared" si="1"/>
        <v>"C:\Program Files (x86)\AstroGrep\AstroGrep.exe" /e /r /s /spath="%USERPROFILE%\AppData\Local\Temp\OnboardLogs" /stypes="*4044*201708251*" /stext=" 15:.+((SYSTEM_STATE.+slice.+state.+changed )|(ment ac)|(multiple cpu faults)|(system.+state.+changed )|(\[timeout)|(PRM\|1\|D)|(kpr)|(kdp)|(train st.+moving)|(\|lc)|(penalty))"</v>
      </c>
      <c r="U43" s="9" t="str">
        <f t="shared" si="2"/>
        <v>4044</v>
      </c>
      <c r="V43" s="31">
        <f t="shared" si="3"/>
        <v>42972.649675925924</v>
      </c>
      <c r="W43" s="45" t="str">
        <f t="shared" si="4"/>
        <v>NW</v>
      </c>
      <c r="X43" s="22">
        <f t="shared" si="5"/>
        <v>813</v>
      </c>
      <c r="Y43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{"issue":{"subject":"","project_id":79,"tracker_id":40,"status_id":1,"priority_id":2,"assigned_to_id":23,"start_date":"2017-08-25","description":"","custom_fields":[{"id":1,"name":"Subdivision","value":"NW"},{"id":4,"name":"Milepost","value":"5.9048"},{"id":17,"name":"Train ID","value":"813-25"},{"id":16,"name":"Locomotive ID","value":"4044"},{"id":130,"name":"Impact","value":""},{"id":150,"name":"Time of Event (Mountain Time)","value":"09:35:32"},{"id":151,"name":"Denver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/c/Users/stu/AppData/Local/Temp/OnboardLogs/RTDC4044 --include="*4044*201708251*"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"%USERPROFILE%\AppData\Local\Temp\OnboardLogs"\RTDC4044\*4044*201708251* &gt;&gt; 2017-08-25-SliceDisagreementCheck.txt</v>
      </c>
      <c r="AE43" s="145" t="str">
        <f t="shared" si="9"/>
        <v>start /low /b %USERPROFILE%\Documents\GitHub\eaglep3\Utilities\DownloadLogsFromS3.py --loco 4044 --day 2017-08-25</v>
      </c>
      <c r="AF43" s="1"/>
    </row>
    <row r="44" spans="1:32" x14ac:dyDescent="0.25">
      <c r="A44" s="31">
        <v>42972.482997685183</v>
      </c>
      <c r="B44" s="30" t="s">
        <v>573</v>
      </c>
      <c r="C44" s="30" t="s">
        <v>586</v>
      </c>
      <c r="D44" s="30" t="s">
        <v>49</v>
      </c>
      <c r="E44" s="30" t="s">
        <v>181</v>
      </c>
      <c r="F44" s="42">
        <v>0</v>
      </c>
      <c r="G44" s="42">
        <v>37</v>
      </c>
      <c r="H44" s="42">
        <v>58926</v>
      </c>
      <c r="I44" s="42">
        <v>58963</v>
      </c>
      <c r="J44" s="30" t="s">
        <v>182</v>
      </c>
      <c r="K44" s="42">
        <v>59048</v>
      </c>
      <c r="L44" s="131" t="s">
        <v>50</v>
      </c>
      <c r="M44" s="132">
        <f t="shared" si="0"/>
        <v>44.88</v>
      </c>
      <c r="N44" s="133" t="str">
        <f>VLOOKUP(C44,'Trips&amp;Operators'!$C$1:$G$99911,5,FALSE)</f>
        <v>TOUSIGNAUT CARL</v>
      </c>
      <c r="O44" s="203" t="s">
        <v>180</v>
      </c>
      <c r="P44" s="134"/>
      <c r="Q44" s="30"/>
      <c r="R44" s="81" t="str">
        <f>VLOOKUP(C44,'Train Runs'!$A$13:$AE$9918,31,0)</f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S44" s="84" t="str">
        <f>VLOOKUP(C44,'Train Runs'!$A$13:$AE$9918,22,0)</f>
        <v>https://d0f6bd738d7f1b3e5a7ca70fe4ff75f0.us-east-1.aws.found.io/app/kibana#/discover/Steve-Slow-Train-Analysis-(2080s-and-2083s)?_g=(refreshInterval:(display:Off,pause:!f,section:0,value:0),time:(from:'2017-08-25T10:00:40-0600',mode:absolute,to:'2017-08-25T12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4" s="86" t="str">
        <f t="shared" si="1"/>
        <v>"C:\Program Files (x86)\AstroGrep\AstroGrep.exe" /e /r /s /spath="%USERPROFILE%\AppData\Local\Temp\OnboardLogs" /stypes="*4044*201708251*" /stext=" 17:.+((SYSTEM_STATE.+slice.+state.+changed )|(ment ac)|(multiple cpu faults)|(system.+state.+changed )|(\[timeout)|(PRM\|1\|D)|(kpr)|(kdp)|(train st.+moving)|(\|lc)|(penalty))"</v>
      </c>
      <c r="U44" s="9" t="str">
        <f t="shared" si="2"/>
        <v>4044</v>
      </c>
      <c r="V44" s="31">
        <f t="shared" si="3"/>
        <v>42972.732997685183</v>
      </c>
      <c r="W44" s="45" t="str">
        <f t="shared" si="4"/>
        <v>NW</v>
      </c>
      <c r="X44" s="22">
        <f t="shared" si="5"/>
        <v>817</v>
      </c>
      <c r="Y44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{"issue":{"subject":"","project_id":79,"tracker_id":40,"status_id":1,"priority_id":2,"assigned_to_id":23,"start_date":"2017-08-25","description":"","custom_fields":[{"id":1,"name":"Subdivision","value":"NW"},{"id":4,"name":"Milepost","value":"5.9048"},{"id":17,"name":"Train ID","value":"817-25"},{"id":16,"name":"Locomotive ID","value":"4044"},{"id":130,"name":"Impact","value":""},{"id":150,"name":"Time of Event (Mountain Time)","value":"11:35:31"},{"id":151,"name":"Denver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/c/Users/stu/AppData/Local/Temp/OnboardLogs/RTDC4044 --include="*4044*201708251*"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"%USERPROFILE%\AppData\Local\Temp\OnboardLogs"\RTDC4044\*4044*201708251* &gt;&gt; 2017-08-25-SliceDisagreementCheck.txt</v>
      </c>
      <c r="AE44" s="145" t="str">
        <f t="shared" si="9"/>
        <v>start /low /b %USERPROFILE%\Documents\GitHub\eaglep3\Utilities\DownloadLogsFromS3.py --loco 4044 --day 2017-08-25</v>
      </c>
      <c r="AF44" s="1"/>
    </row>
    <row r="45" spans="1:32" x14ac:dyDescent="0.25">
      <c r="A45" s="31">
        <v>42972.753865740742</v>
      </c>
      <c r="B45" s="30" t="s">
        <v>405</v>
      </c>
      <c r="C45" s="30" t="s">
        <v>599</v>
      </c>
      <c r="D45" s="30" t="s">
        <v>49</v>
      </c>
      <c r="E45" s="30" t="s">
        <v>181</v>
      </c>
      <c r="F45" s="42">
        <v>0</v>
      </c>
      <c r="G45" s="42">
        <v>20</v>
      </c>
      <c r="H45" s="42">
        <v>58988</v>
      </c>
      <c r="I45" s="42">
        <v>58997</v>
      </c>
      <c r="J45" s="30" t="s">
        <v>182</v>
      </c>
      <c r="K45" s="42">
        <v>59048</v>
      </c>
      <c r="L45" s="131" t="s">
        <v>50</v>
      </c>
      <c r="M45" s="132">
        <f t="shared" si="0"/>
        <v>26.928000000000001</v>
      </c>
      <c r="N45" s="133" t="str">
        <f>VLOOKUP(C45,'Trips&amp;Operators'!$C$1:$G$99911,5,FALSE)</f>
        <v>MCREYNOLDS KYLE</v>
      </c>
      <c r="O45" s="203" t="s">
        <v>180</v>
      </c>
      <c r="P45" s="134"/>
      <c r="Q45" s="30"/>
      <c r="R45" s="81" t="str">
        <f>VLOOKUP(C45,'Train Runs'!$A$13:$AE$9918,31,0)</f>
        <v>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 &amp; aws s3 cp s3://rtdc.mdm.uploadarchive.raw/RTDC4054/ "%USERPROFILE%\AppData\Local\Temp\OnboardLogs"\RTDC4054\2017-08-26 --exclude "*" --recursive --include "*20170826*" &amp; "%USERPROFILE%\Documents\GitHub\mrs-test-scripts\Headless Mode &amp; Sideloading\WalkAndUnGZ.bat" "%USERPROFILE%\AppData\Local\Temp\OnboardLogs"\RTDC4054\2017-08-26</v>
      </c>
      <c r="S45" s="84" t="str">
        <f>VLOOKUP(C45,'Train Runs'!$A$13:$AE$9918,22,0)</f>
        <v>https://d0f6bd738d7f1b3e5a7ca70fe4ff75f0.us-east-1.aws.found.io/app/kibana#/discover/Steve-Slow-Train-Analysis-(2080s-and-2083s)?_g=(refreshInterval:(display:Off,pause:!f,section:0,value:0),time:(from:'2017-08-25T16:28:59-0600',mode:absolute,to:'2017-08-25T19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5" s="86" t="str">
        <f t="shared" si="1"/>
        <v>"C:\Program Files (x86)\AstroGrep\AstroGrep.exe" /e /r /s /spath="%USERPROFILE%\AppData\Local\Temp\OnboardLogs" /stypes="*4054*201708260*" /stext=" 00:.+((SYSTEM_STATE.+slice.+state.+changed )|(ment ac)|(multiple cpu faults)|(system.+state.+changed )|(\[timeout)|(PRM\|1\|D)|(kpr)|(kdp)|(train st.+moving)|(\|lc)|(penalty))"</v>
      </c>
      <c r="U45" s="9" t="str">
        <f t="shared" si="2"/>
        <v>4054</v>
      </c>
      <c r="V45" s="31">
        <f t="shared" si="3"/>
        <v>42973.003865740742</v>
      </c>
      <c r="W45" s="45" t="str">
        <f t="shared" si="4"/>
        <v>NW</v>
      </c>
      <c r="X45" s="22">
        <f t="shared" si="5"/>
        <v>835</v>
      </c>
      <c r="Y45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{"issue":{"subject":"","project_id":79,"tracker_id":40,"status_id":1,"priority_id":2,"assigned_to_id":23,"start_date":"2017-08-25","description":"","custom_fields":[{"id":1,"name":"Subdivision","value":"NW"},{"id":4,"name":"Milepost","value":"5.9048"},{"id":17,"name":"Train ID","value":"835-25"},{"id":16,"name":"Locomotive ID","value":"4054"},{"id":130,"name":"Impact","value":""},{"id":150,"name":"Time of Event (Mountain Time)","value":"18:05:34"},{"id":151,"name":"Denver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/c/Users/stu/AppData/Local/Temp/OnboardLogs/RTDC4054 --include="*4054*201708260*"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"%USERPROFILE%\AppData\Local\Temp\OnboardLogs"\RTDC4054\*4054*201708260* &gt;&gt; 2017-08-25-SliceDisagreementCheck.txt</v>
      </c>
      <c r="AE45" s="145" t="str">
        <f t="shared" si="9"/>
        <v>start /low /b %USERPROFILE%\Documents\GitHub\eaglep3\Utilities\DownloadLogsFromS3.py --loco 4054 --day 2017-08-26</v>
      </c>
      <c r="AF45" s="1"/>
    </row>
    <row r="46" spans="1:32" x14ac:dyDescent="0.25">
      <c r="A46" s="31">
        <v>42972.815555555557</v>
      </c>
      <c r="B46" s="30" t="s">
        <v>573</v>
      </c>
      <c r="C46" s="30" t="s">
        <v>603</v>
      </c>
      <c r="D46" s="30" t="s">
        <v>49</v>
      </c>
      <c r="E46" s="30" t="s">
        <v>181</v>
      </c>
      <c r="F46" s="42">
        <v>0</v>
      </c>
      <c r="G46" s="42">
        <v>43</v>
      </c>
      <c r="H46" s="42">
        <v>58899</v>
      </c>
      <c r="I46" s="42">
        <v>58937</v>
      </c>
      <c r="J46" s="30" t="s">
        <v>182</v>
      </c>
      <c r="K46" s="42">
        <v>59048</v>
      </c>
      <c r="L46" s="131" t="s">
        <v>50</v>
      </c>
      <c r="M46" s="132">
        <f t="shared" si="0"/>
        <v>58.607999999999997</v>
      </c>
      <c r="N46" s="133" t="str">
        <f>VLOOKUP(C46,'Trips&amp;Operators'!$C$1:$G$99911,5,FALSE)</f>
        <v>BIRKHOLZ NADINE</v>
      </c>
      <c r="O46" s="203" t="s">
        <v>180</v>
      </c>
      <c r="P46" s="134"/>
      <c r="Q46" s="30"/>
      <c r="R46" s="81" t="str">
        <f>VLOOKUP(C46,'Train Runs'!$A$13:$AE$9918,31,0)</f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S46" s="84" t="str">
        <f>VLOOKUP(C46,'Train Runs'!$A$13:$AE$9918,22,0)</f>
        <v>https://d0f6bd738d7f1b3e5a7ca70fe4ff75f0.us-east-1.aws.found.io/app/kibana#/discover/Steve-Slow-Train-Analysis-(2080s-and-2083s)?_g=(refreshInterval:(display:Off,pause:!f,section:0,value:0),time:(from:'2017-08-25T18:11:11-0600',mode:absolute,to:'2017-08-25T20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6" s="86" t="str">
        <f t="shared" si="1"/>
        <v>"C:\Program Files (x86)\AstroGrep\AstroGrep.exe" /e /r /s /spath="%USERPROFILE%\AppData\Local\Temp\OnboardLogs" /stypes="*4044*201708260*" /stext=" 01:.+((SYSTEM_STATE.+slice.+state.+changed )|(ment ac)|(multiple cpu faults)|(system.+state.+changed )|(\[timeout)|(PRM\|1\|D)|(kpr)|(kdp)|(train st.+moving)|(\|lc)|(penalty))"</v>
      </c>
      <c r="U46" s="9" t="str">
        <f t="shared" si="2"/>
        <v>4044</v>
      </c>
      <c r="V46" s="31">
        <f t="shared" si="3"/>
        <v>42973.065555555557</v>
      </c>
      <c r="W46" s="45" t="str">
        <f t="shared" si="4"/>
        <v>NW</v>
      </c>
      <c r="X46" s="22">
        <f t="shared" si="5"/>
        <v>841</v>
      </c>
      <c r="Y46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{"issue":{"subject":"","project_id":79,"tracker_id":40,"status_id":1,"priority_id":2,"assigned_to_id":23,"start_date":"2017-08-25","description":"","custom_fields":[{"id":1,"name":"Subdivision","value":"NW"},{"id":4,"name":"Milepost","value":"5.9048"},{"id":17,"name":"Train ID","value":"841-25"},{"id":16,"name":"Locomotive ID","value":"4044"},{"id":130,"name":"Impact","value":""},{"id":150,"name":"Time of Event (Mountain Time)","value":"19:34:24"},{"id":151,"name":"Denver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/c/Users/stu/AppData/Local/Temp/OnboardLogs/RTDC4044 --include="*4044*201708260*"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"%USERPROFILE%\AppData\Local\Temp\OnboardLogs"\RTDC4044\*4044*201708260* &gt;&gt; 2017-08-25-SliceDisagreementCheck.txt</v>
      </c>
      <c r="AE46" s="145" t="str">
        <f t="shared" si="9"/>
        <v>start /low /b %USERPROFILE%\Documents\GitHub\eaglep3\Utilities\DownloadLogsFromS3.py --loco 4044 --day 2017-08-26</v>
      </c>
      <c r="AF46" s="1"/>
    </row>
    <row r="47" spans="1:32" x14ac:dyDescent="0.25">
      <c r="A47" s="31">
        <v>42972.941180555557</v>
      </c>
      <c r="B47" s="30" t="s">
        <v>573</v>
      </c>
      <c r="C47" s="30" t="s">
        <v>607</v>
      </c>
      <c r="D47" s="30" t="s">
        <v>49</v>
      </c>
      <c r="E47" s="30" t="s">
        <v>181</v>
      </c>
      <c r="F47" s="42">
        <v>0</v>
      </c>
      <c r="G47" s="42">
        <v>131</v>
      </c>
      <c r="H47" s="42">
        <v>57806</v>
      </c>
      <c r="I47" s="42">
        <v>57977</v>
      </c>
      <c r="J47" s="30" t="s">
        <v>182</v>
      </c>
      <c r="K47" s="42">
        <v>59048</v>
      </c>
      <c r="L47" s="131" t="s">
        <v>50</v>
      </c>
      <c r="M47" s="132">
        <f t="shared" si="0"/>
        <v>565.48800000000006</v>
      </c>
      <c r="N47" s="133" t="str">
        <f>VLOOKUP(C47,'Trips&amp;Operators'!$C$1:$G$99911,5,FALSE)</f>
        <v>MCREYNOLDS KYLE</v>
      </c>
      <c r="O47" s="203" t="s">
        <v>180</v>
      </c>
      <c r="P47" s="134"/>
      <c r="Q47" s="30"/>
      <c r="R47" s="81" t="str">
        <f>VLOOKUP(C47,'Train Runs'!$A$13:$AE$9918,31,0)</f>
        <v>aws s3 cp s3://rtdc.mdm.uploadarchive.raw/RTDC4044/ "%USERPROFILE%\AppData\Local\Temp\OnboardLogs"\RTDC4044\2017-08-25 --exclude "*" --recursive --include "*20170825*" &amp; "%USERPROFILE%\Documents\GitHub\mrs-test-scripts\Headless Mode &amp; Sideloading\WalkAndUnGZ.bat" "%USERPROFILE%\AppData\Local\Temp\OnboardLogs"\RTDC4044\2017-08-25 &amp; aws s3 cp s3://rtdc.mdm.uploadarchive.raw/RTDC4044/ "%USERPROFILE%\AppData\Local\Temp\OnboardLogs"\RTDC4044\2017-08-26 --exclude "*" --recursive --include "*20170826*" &amp; "%USERPROFILE%\Documents\GitHub\mrs-test-scripts\Headless Mode &amp; Sideloading\WalkAndUnGZ.bat" "%USERPROFILE%\AppData\Local\Temp\OnboardLogs"\RTDC4044\2017-08-26</v>
      </c>
      <c r="S47" s="84" t="str">
        <f>VLOOKUP(C47,'Train Runs'!$A$13:$AE$9918,22,0)</f>
        <v>https://d0f6bd738d7f1b3e5a7ca70fe4ff75f0.us-east-1.aws.found.io/app/kibana#/discover/Steve-Slow-Train-Analysis-(2080s-and-2083s)?_g=(refreshInterval:(display:Off,pause:!f,section:0,value:0),time:(from:'2017-08-25T21:00:44-0600',mode:absolute,to:'2017-08-25T23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7" s="86" t="str">
        <f t="shared" si="1"/>
        <v>"C:\Program Files (x86)\AstroGrep\AstroGrep.exe" /e /r /s /spath="%USERPROFILE%\AppData\Local\Temp\OnboardLogs" /stypes="*4044*201708260*" /stext=" 04:.+((SYSTEM_STATE.+slice.+state.+changed )|(ment ac)|(multiple cpu faults)|(system.+state.+changed )|(\[timeout)|(PRM\|1\|D)|(kpr)|(kdp)|(train st.+moving)|(\|lc)|(penalty))"</v>
      </c>
      <c r="U47" s="9" t="str">
        <f t="shared" si="2"/>
        <v>4044</v>
      </c>
      <c r="V47" s="31">
        <f t="shared" si="3"/>
        <v>42973.191180555557</v>
      </c>
      <c r="W47" s="45" t="str">
        <f t="shared" si="4"/>
        <v>NW</v>
      </c>
      <c r="X47" s="22">
        <f t="shared" si="5"/>
        <v>847</v>
      </c>
      <c r="Y47" s="96" t="str">
        <f t="shared" si="6"/>
        <v>echo {"issue":{"subject":"","project_id":79,"tracker_id":40,"status_id":1,"priority_id":2,"assigned_to_id":23,"start_date":"2017-08-25","description":"","custom_fields":[{"id":1,"name":"Subdivision","value":"NW"},{"id":4,"name":"Milepost","value":"5.9048"},{"id":17,"name":"Train ID","value":"847-25"},{"id":16,"name":"Locomotive ID","value":"4044"},{"id":130,"name":"Impact","value":""},{"id":150,"name":"Time of Event (Mountain Time)","value":"22:35:18"},{"id":151,"name":"Denver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/c/Users/stu/AppData/Local/Temp/OnboardLogs/RTDC4044 --include="*4044*201708260*"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"%USERPROFILE%\AppData\Local\Temp\OnboardLogs"\RTDC4044\*4044*201708260* &gt;&gt; 2017-08-25-SliceDisagreementCheck.txt</v>
      </c>
      <c r="AE47" s="145" t="str">
        <f t="shared" si="9"/>
        <v>start /low /b %USERPROFILE%\Documents\GitHub\eaglep3\Utilities\DownloadLogsFromS3.py --loco 4044 --day 2017-08-26</v>
      </c>
      <c r="AF47" s="1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47"/>
      <sortCondition ref="E7:E47"/>
      <sortCondition ref="K7:K47"/>
      <sortCondition ref="F7:F47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4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  <x14:dataValidation type="list" allowBlank="1" showInputMessage="1" showErrorMessage="1">
          <x14:formula1>
            <xm:f>'Redmine List Values'!$C$2:$C$15</xm:f>
          </x14:formula1>
          <xm:sqref>AB7:AB47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8"/>
  <sheetViews>
    <sheetView workbookViewId="0">
      <selection activeCell="I7" sqref="I7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9" t="str">
        <f>"Trips that did not appear in PTC Data "&amp;TEXT(Variables!$A$2,"YYYY-mm-dd")</f>
        <v>Trips that did not appear in PTC Data 2017-08-25</v>
      </c>
      <c r="C1" s="219"/>
      <c r="D1" s="219"/>
      <c r="E1" s="219"/>
      <c r="F1" s="219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102</v>
      </c>
      <c r="B3" s="42" t="str">
        <f>A3&amp;"-"&amp;IF(DAY(Variables!$A$2)&lt;10,0,"")&amp;DAY(Variables!$A$2)</f>
        <v>102-25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22102-25%22)),sort:!(Time.ISO8601,asc))</v>
      </c>
      <c r="J3" s="30" t="str">
        <f>VLOOKUP(B3,'Train Runs'!$A$13:$A$99915,1,FALSE)</f>
        <v>102-25</v>
      </c>
    </row>
    <row r="4" spans="1:10" x14ac:dyDescent="0.25">
      <c r="A4" s="195">
        <v>112</v>
      </c>
      <c r="B4" s="42" t="str">
        <f>A4&amp;"-"&amp;IF(DAY(Variables!$A$2)&lt;10,0,"")&amp;DAY(Variables!$A$2)</f>
        <v>112-25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22112-25%22)),sort:!(Time.ISO8601,asc))</v>
      </c>
      <c r="J4" s="30" t="str">
        <f>VLOOKUP(B4,'Train Runs'!$A$13:$A$99915,1,FALSE)</f>
        <v>112-25</v>
      </c>
    </row>
    <row r="5" spans="1:10" x14ac:dyDescent="0.25">
      <c r="A5" s="195">
        <v>819</v>
      </c>
      <c r="B5" s="42" t="str">
        <f>A5&amp;"-"&amp;IF(DAY(Variables!$A$2)&lt;10,0,"")&amp;DAY(Variables!$A$2)</f>
        <v>819-25</v>
      </c>
      <c r="C5" s="135"/>
      <c r="D5" s="153"/>
      <c r="E5" s="30"/>
      <c r="F5" s="21" t="str">
        <f>VLOOKUP(B5,'Trips&amp;Operators'!$C$2:$E$9912,3,FALSE)</f>
        <v>TOUSIGNAUT</v>
      </c>
      <c r="G5" s="21" t="str">
        <f>VLOOKUP(B5,'Trips&amp;Operators'!$C$1:$F$9912,4,FALSE)</f>
        <v>CARL</v>
      </c>
      <c r="H5" s="29" t="str">
        <f>VLOOKUP(B5,'Trips&amp;Operators'!$C$1:$H$9912,5,FALSE)</f>
        <v>TOUSIGNAUT CARL</v>
      </c>
      <c r="I5" s="45" t="str">
        <f t="shared" ref="I5:I2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22819-25%22)),sort:!(Time.ISO8601,asc))</v>
      </c>
      <c r="J5" s="30" t="str">
        <f>VLOOKUP(B5,'Train Runs'!$A$13:$A$99915,1,FALSE)</f>
        <v>819-25</v>
      </c>
    </row>
    <row r="6" spans="1:10" x14ac:dyDescent="0.25">
      <c r="A6" s="195">
        <v>823</v>
      </c>
      <c r="B6" s="42" t="str">
        <f>A6&amp;"-"&amp;IF(DAY(Variables!$A$2)&lt;10,0,"")&amp;DAY(Variables!$A$2)</f>
        <v>823-25</v>
      </c>
      <c r="C6" s="135"/>
      <c r="D6" s="153"/>
      <c r="E6" s="30"/>
      <c r="F6" s="21" t="str">
        <f>VLOOKUP(B6,'Trips&amp;Operators'!$C$2:$E$9912,3,FALSE)</f>
        <v>DELGADO</v>
      </c>
      <c r="G6" s="21" t="str">
        <f>VLOOKUP(B6,'Trips&amp;Operators'!$C$1:$F$9912,4,FALSE)</f>
        <v>DIANAH</v>
      </c>
      <c r="H6" s="29" t="str">
        <f>VLOOKUP(B6,'Trips&amp;Operators'!$C$1:$H$9912,5,FALSE)</f>
        <v>DELGADO DIANAH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22823-25%22)),sort:!(Time.ISO8601,asc))</v>
      </c>
      <c r="J6" s="30" t="str">
        <f>VLOOKUP(B6,'Train Runs'!$A$13:$A$99915,1,FALSE)</f>
        <v>823-25</v>
      </c>
    </row>
    <row r="7" spans="1:10" x14ac:dyDescent="0.25">
      <c r="A7" s="195">
        <v>825</v>
      </c>
      <c r="B7" s="42" t="str">
        <f>A7&amp;"-"&amp;IF(DAY(Variables!$A$2)&lt;10,0,"")&amp;DAY(Variables!$A$2)</f>
        <v>825-25</v>
      </c>
      <c r="C7" s="135"/>
      <c r="D7" s="153"/>
      <c r="E7" s="30"/>
      <c r="F7" s="21" t="str">
        <f>VLOOKUP(B7,'Trips&amp;Operators'!$C$2:$E$9912,3,FALSE)</f>
        <v>DELGADO</v>
      </c>
      <c r="G7" s="21" t="str">
        <f>VLOOKUP(B7,'Trips&amp;Operators'!$C$1:$F$9912,4,FALSE)</f>
        <v>DIANAH</v>
      </c>
      <c r="H7" s="29" t="str">
        <f>VLOOKUP(B7,'Trips&amp;Operators'!$C$1:$H$9912,5,FALSE)</f>
        <v>DELGADO DIANAH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22825-25%22)),sort:!(Time.ISO8601,asc))</v>
      </c>
      <c r="J7" s="30" t="str">
        <f>VLOOKUP(B7,'Train Runs'!$A$13:$A$99915,1,FALSE)</f>
        <v>825-25</v>
      </c>
    </row>
    <row r="8" spans="1:10" x14ac:dyDescent="0.25">
      <c r="A8" s="195"/>
      <c r="B8" s="42" t="str">
        <f>A8&amp;"-"&amp;IF(DAY(Variables!$A$2)&lt;10,0,"")&amp;DAY(Variables!$A$2)</f>
        <v>-25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Runs'!$A$13:$A$99915,1,FALSE)</f>
        <v>#N/A</v>
      </c>
    </row>
    <row r="9" spans="1:10" x14ac:dyDescent="0.25">
      <c r="A9" s="195"/>
      <c r="B9" s="42" t="str">
        <f>A9&amp;"-"&amp;IF(DAY(Variables!$A$2)&lt;10,0,"")&amp;DAY(Variables!$A$2)</f>
        <v>-25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Runs'!$A$13:$A$99915,1,FALSE)</f>
        <v>#N/A</v>
      </c>
    </row>
    <row r="10" spans="1:10" x14ac:dyDescent="0.25">
      <c r="A10" s="195"/>
      <c r="B10" s="42" t="str">
        <f>A10&amp;"-"&amp;IF(DAY(Variables!$A$2)&lt;10,0,"")&amp;DAY(Variables!$A$2)</f>
        <v>-25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Runs'!$A$13:$A$99915,1,FALSE)</f>
        <v>#N/A</v>
      </c>
    </row>
    <row r="11" spans="1:10" x14ac:dyDescent="0.25">
      <c r="A11" s="195"/>
      <c r="B11" s="42" t="str">
        <f>A11&amp;"-"&amp;IF(DAY(Variables!$A$2)&lt;10,0,"")&amp;DAY(Variables!$A$2)</f>
        <v>-25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Runs'!$A$13:$A$99915,1,FALSE)</f>
        <v>#N/A</v>
      </c>
    </row>
    <row r="12" spans="1:10" x14ac:dyDescent="0.25">
      <c r="A12" s="195"/>
      <c r="B12" s="42" t="str">
        <f>A12&amp;"-"&amp;IF(DAY(Variables!$A$2)&lt;10,0,"")&amp;DAY(Variables!$A$2)</f>
        <v>-25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Runs'!$A$13:$A$99915,1,FALSE)</f>
        <v>#N/A</v>
      </c>
    </row>
    <row r="13" spans="1:10" x14ac:dyDescent="0.25">
      <c r="A13" s="195"/>
      <c r="B13" s="42" t="str">
        <f>A13&amp;"-"&amp;IF(DAY(Variables!$A$2)&lt;10,0,"")&amp;DAY(Variables!$A$2)</f>
        <v>-25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Runs'!$A$13:$A$99915,1,FALSE)</f>
        <v>#N/A</v>
      </c>
    </row>
    <row r="14" spans="1:10" x14ac:dyDescent="0.25">
      <c r="A14" s="195"/>
      <c r="B14" s="42" t="str">
        <f>A14&amp;"-"&amp;IF(DAY(Variables!$A$2)&lt;10,0,"")&amp;DAY(Variables!$A$2)</f>
        <v>-25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Runs'!$A$13:$A$99915,1,FALSE)</f>
        <v>#N/A</v>
      </c>
    </row>
    <row r="15" spans="1:10" x14ac:dyDescent="0.25">
      <c r="A15" s="195"/>
      <c r="B15" s="42" t="str">
        <f>A15&amp;"-"&amp;IF(DAY(Variables!$A$2)&lt;10,0,"")&amp;DAY(Variables!$A$2)</f>
        <v>-25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Runs'!$A$13:$A$99915,1,FALSE)</f>
        <v>#N/A</v>
      </c>
    </row>
    <row r="16" spans="1:10" x14ac:dyDescent="0.25">
      <c r="A16" s="195"/>
      <c r="B16" s="42" t="str">
        <f>A16&amp;"-"&amp;IF(DAY(Variables!$A$2)&lt;10,0,"")&amp;DAY(Variables!$A$2)</f>
        <v>-25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Runs'!$A$13:$A$99915,1,FALSE)</f>
        <v>#N/A</v>
      </c>
    </row>
    <row r="17" spans="1:10" x14ac:dyDescent="0.25">
      <c r="A17" s="195"/>
      <c r="B17" s="42" t="str">
        <f>A17&amp;"-"&amp;IF(DAY(Variables!$A$2)&lt;10,0,"")&amp;DAY(Variables!$A$2)</f>
        <v>-25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Runs'!$A$13:$A$99915,1,FALSE)</f>
        <v>#N/A</v>
      </c>
    </row>
    <row r="18" spans="1:10" x14ac:dyDescent="0.25">
      <c r="A18" s="195"/>
      <c r="B18" s="42" t="str">
        <f>A18&amp;"-"&amp;IF(DAY(Variables!$A$2)&lt;10,0,"")&amp;DAY(Variables!$A$2)</f>
        <v>-25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Runs'!$A$13:$A$99915,1,FALSE)</f>
        <v>#N/A</v>
      </c>
    </row>
    <row r="19" spans="1:10" x14ac:dyDescent="0.25">
      <c r="A19" s="195"/>
      <c r="B19" s="42" t="str">
        <f>A19&amp;"-"&amp;IF(DAY(Variables!$A$2)&lt;10,0,"")&amp;DAY(Variables!$A$2)</f>
        <v>-25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9" s="30" t="e">
        <f>VLOOKUP(B19,'Train Runs'!$A$13:$A$99915,1,FALSE)</f>
        <v>#N/A</v>
      </c>
    </row>
    <row r="20" spans="1:10" x14ac:dyDescent="0.25">
      <c r="A20" s="195"/>
      <c r="B20" s="42" t="str">
        <f>A20&amp;"-"&amp;IF(DAY(Variables!$A$2)&lt;10,0,"")&amp;DAY(Variables!$A$2)</f>
        <v>-25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0" s="30" t="e">
        <f>VLOOKUP(B20,'Train Runs'!$A$13:$A$99915,1,FALSE)</f>
        <v>#N/A</v>
      </c>
    </row>
    <row r="21" spans="1:10" x14ac:dyDescent="0.25">
      <c r="A21" s="195"/>
      <c r="B21" s="42" t="str">
        <f>A21&amp;"-"&amp;IF(DAY(Variables!$A$2)&lt;10,0,"")&amp;DAY(Variables!$A$2)</f>
        <v>-25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1" s="30" t="e">
        <f>VLOOKUP(B21,'Train Runs'!$A$13:$A$99915,1,FALSE)</f>
        <v>#N/A</v>
      </c>
    </row>
    <row r="22" spans="1:10" x14ac:dyDescent="0.25">
      <c r="A22" s="195"/>
      <c r="B22" s="42" t="str">
        <f>A22&amp;"-"&amp;IF(DAY(Variables!$A$2)&lt;10,0,"")&amp;DAY(Variables!$A$2)</f>
        <v>-25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2" s="30" t="e">
        <f>VLOOKUP(B22,'Train Runs'!$A$13:$A$99915,1,FALSE)</f>
        <v>#N/A</v>
      </c>
    </row>
    <row r="23" spans="1:10" x14ac:dyDescent="0.25">
      <c r="A23" s="195"/>
      <c r="B23" s="42"/>
      <c r="C23" s="135"/>
      <c r="D23" s="153"/>
      <c r="E23" s="30"/>
      <c r="F23" s="21"/>
      <c r="G23" s="21"/>
      <c r="H23" s="29"/>
      <c r="I23" s="45"/>
      <c r="J23" s="30"/>
    </row>
    <row r="24" spans="1:10" x14ac:dyDescent="0.25">
      <c r="A24" s="195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5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</sheetData>
  <autoFilter ref="A2:J30"/>
  <sortState ref="A3:J109">
    <sortCondition ref="A3:A10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42972.047430555554</v>
      </c>
      <c r="B2" s="20" t="s">
        <v>383</v>
      </c>
      <c r="C2" s="20" t="s">
        <v>499</v>
      </c>
      <c r="D2" s="138">
        <v>3000000</v>
      </c>
      <c r="E2" s="20" t="s">
        <v>439</v>
      </c>
      <c r="F2" s="20" t="s">
        <v>440</v>
      </c>
      <c r="G2" s="8" t="str">
        <f>E2&amp;" "&amp;F2</f>
        <v>FORTUNATO FRANK</v>
      </c>
    </row>
    <row r="3" spans="1:7" x14ac:dyDescent="0.25">
      <c r="A3" s="8">
        <v>42972.049305555556</v>
      </c>
      <c r="B3" s="20" t="s">
        <v>408</v>
      </c>
      <c r="C3" s="20" t="s">
        <v>519</v>
      </c>
      <c r="D3" s="138">
        <v>3490000</v>
      </c>
      <c r="E3" s="20" t="s">
        <v>424</v>
      </c>
      <c r="F3" s="20" t="s">
        <v>425</v>
      </c>
      <c r="G3" s="8" t="str">
        <f t="shared" ref="G3:G66" si="0">E3&amp;" "&amp;F3</f>
        <v>WEST BRYAN</v>
      </c>
    </row>
    <row r="4" spans="1:7" x14ac:dyDescent="0.25">
      <c r="A4" s="8">
        <v>42972.050162037034</v>
      </c>
      <c r="B4" s="20" t="s">
        <v>408</v>
      </c>
      <c r="C4" s="20" t="s">
        <v>519</v>
      </c>
      <c r="D4" s="138">
        <v>3490000</v>
      </c>
      <c r="E4" s="20" t="s">
        <v>424</v>
      </c>
      <c r="F4" s="20" t="s">
        <v>425</v>
      </c>
      <c r="G4" s="8" t="str">
        <f t="shared" si="0"/>
        <v>WEST BRYAN</v>
      </c>
    </row>
    <row r="5" spans="1:7" x14ac:dyDescent="0.25">
      <c r="A5" s="8">
        <v>42972.051261574074</v>
      </c>
      <c r="B5" s="20" t="s">
        <v>408</v>
      </c>
      <c r="C5" s="20" t="s">
        <v>519</v>
      </c>
      <c r="D5" s="138">
        <v>3490000</v>
      </c>
      <c r="E5" s="20" t="s">
        <v>424</v>
      </c>
      <c r="F5" s="20" t="s">
        <v>425</v>
      </c>
      <c r="G5" s="8" t="str">
        <f t="shared" si="0"/>
        <v>WEST BRYAN</v>
      </c>
    </row>
    <row r="6" spans="1:7" x14ac:dyDescent="0.25">
      <c r="A6" s="8">
        <v>42972.068784722222</v>
      </c>
      <c r="B6" s="20" t="s">
        <v>495</v>
      </c>
      <c r="C6" s="20" t="s">
        <v>520</v>
      </c>
      <c r="D6" s="138">
        <v>2620000</v>
      </c>
      <c r="E6" s="20" t="s">
        <v>514</v>
      </c>
      <c r="F6" s="20" t="s">
        <v>515</v>
      </c>
      <c r="G6" s="8" t="str">
        <f t="shared" si="0"/>
        <v>PERKINS DARREN</v>
      </c>
    </row>
    <row r="7" spans="1:7" x14ac:dyDescent="0.25">
      <c r="A7" s="8">
        <v>42972.09034722222</v>
      </c>
      <c r="B7" s="20" t="s">
        <v>458</v>
      </c>
      <c r="C7" s="20" t="s">
        <v>521</v>
      </c>
      <c r="D7" s="138">
        <v>3000000</v>
      </c>
      <c r="E7" s="20" t="s">
        <v>439</v>
      </c>
      <c r="F7" s="20" t="s">
        <v>440</v>
      </c>
      <c r="G7" s="8" t="str">
        <f t="shared" si="0"/>
        <v>FORTUNATO FRANK</v>
      </c>
    </row>
    <row r="8" spans="1:7" x14ac:dyDescent="0.25">
      <c r="A8" s="8">
        <v>42972.135462962964</v>
      </c>
      <c r="B8" s="20" t="s">
        <v>400</v>
      </c>
      <c r="C8" s="20" t="s">
        <v>567</v>
      </c>
      <c r="D8" s="138">
        <v>1110000</v>
      </c>
      <c r="E8" s="20" t="s">
        <v>409</v>
      </c>
      <c r="F8" s="20" t="s">
        <v>410</v>
      </c>
      <c r="G8" s="8" t="str">
        <f t="shared" si="0"/>
        <v>STARKS ANGELINA</v>
      </c>
    </row>
    <row r="9" spans="1:7" ht="15.75" thickBot="1" x14ac:dyDescent="0.3">
      <c r="A9" s="24">
        <v>42972.135937500003</v>
      </c>
      <c r="B9" s="20" t="s">
        <v>437</v>
      </c>
      <c r="C9" s="20" t="s">
        <v>609</v>
      </c>
      <c r="D9" s="138">
        <v>3040000</v>
      </c>
      <c r="E9" s="20" t="s">
        <v>502</v>
      </c>
      <c r="F9" s="20" t="s">
        <v>503</v>
      </c>
      <c r="G9" s="8" t="str">
        <f t="shared" si="0"/>
        <v>WILLIAMS DONTE</v>
      </c>
    </row>
    <row r="10" spans="1:7" x14ac:dyDescent="0.25">
      <c r="A10" s="8">
        <v>42972.141180555554</v>
      </c>
      <c r="B10" s="20" t="s">
        <v>457</v>
      </c>
      <c r="C10" s="20" t="s">
        <v>610</v>
      </c>
      <c r="D10" s="138">
        <v>1090000</v>
      </c>
      <c r="E10" s="20" t="s">
        <v>436</v>
      </c>
      <c r="F10" s="20" t="s">
        <v>191</v>
      </c>
      <c r="G10" s="8" t="str">
        <f t="shared" si="0"/>
        <v>SPECTOR MICHAEL</v>
      </c>
    </row>
    <row r="11" spans="1:7" x14ac:dyDescent="0.25">
      <c r="A11" s="8">
        <v>42972.144699074073</v>
      </c>
      <c r="B11" s="20" t="s">
        <v>457</v>
      </c>
      <c r="C11" s="20" t="s">
        <v>610</v>
      </c>
      <c r="D11" s="138">
        <v>1090000</v>
      </c>
      <c r="E11" s="20" t="s">
        <v>436</v>
      </c>
      <c r="F11" s="20" t="s">
        <v>191</v>
      </c>
      <c r="G11" s="8" t="str">
        <f t="shared" si="0"/>
        <v>SPECTOR MICHAEL</v>
      </c>
    </row>
    <row r="12" spans="1:7" x14ac:dyDescent="0.25">
      <c r="A12" s="8">
        <v>42972.148530092592</v>
      </c>
      <c r="B12" s="20" t="s">
        <v>438</v>
      </c>
      <c r="C12" s="20" t="s">
        <v>611</v>
      </c>
      <c r="D12" s="138">
        <v>1090000</v>
      </c>
      <c r="E12" s="20" t="s">
        <v>436</v>
      </c>
      <c r="F12" s="20" t="s">
        <v>191</v>
      </c>
      <c r="G12" s="8" t="str">
        <f t="shared" si="0"/>
        <v>SPECTOR MICHAEL</v>
      </c>
    </row>
    <row r="13" spans="1:7" x14ac:dyDescent="0.25">
      <c r="A13" s="8">
        <v>42972.15421296296</v>
      </c>
      <c r="B13" s="20" t="s">
        <v>435</v>
      </c>
      <c r="C13" s="20" t="s">
        <v>612</v>
      </c>
      <c r="D13" s="138">
        <v>3040000</v>
      </c>
      <c r="E13" s="20" t="s">
        <v>502</v>
      </c>
      <c r="F13" s="20" t="s">
        <v>503</v>
      </c>
      <c r="G13" s="8" t="str">
        <f t="shared" si="0"/>
        <v>WILLIAMS DONTE</v>
      </c>
    </row>
    <row r="14" spans="1:7" x14ac:dyDescent="0.25">
      <c r="A14" s="8">
        <v>42972.160763888889</v>
      </c>
      <c r="B14" s="20" t="s">
        <v>568</v>
      </c>
      <c r="C14" s="20" t="s">
        <v>613</v>
      </c>
      <c r="D14" s="138">
        <v>940000</v>
      </c>
      <c r="E14" s="20" t="s">
        <v>414</v>
      </c>
      <c r="F14" s="20" t="s">
        <v>415</v>
      </c>
      <c r="G14" s="8" t="str">
        <f t="shared" si="0"/>
        <v>BONDS REYNALDO</v>
      </c>
    </row>
    <row r="15" spans="1:7" x14ac:dyDescent="0.25">
      <c r="A15" s="8">
        <v>42972.166712962964</v>
      </c>
      <c r="B15" s="20" t="s">
        <v>497</v>
      </c>
      <c r="C15" s="20" t="s">
        <v>614</v>
      </c>
      <c r="D15" s="138">
        <v>1100000</v>
      </c>
      <c r="E15" s="20" t="s">
        <v>615</v>
      </c>
      <c r="F15" s="20" t="s">
        <v>616</v>
      </c>
      <c r="G15" s="8" t="str">
        <f t="shared" si="0"/>
        <v>GEBRETEKLE DAGNEW</v>
      </c>
    </row>
    <row r="16" spans="1:7" x14ac:dyDescent="0.25">
      <c r="A16" s="8">
        <v>42972.17119212963</v>
      </c>
      <c r="B16" s="20" t="s">
        <v>570</v>
      </c>
      <c r="C16" s="20" t="s">
        <v>617</v>
      </c>
      <c r="D16" s="138">
        <v>940000</v>
      </c>
      <c r="E16" s="20" t="s">
        <v>414</v>
      </c>
      <c r="F16" s="20" t="s">
        <v>415</v>
      </c>
      <c r="G16" s="8" t="str">
        <f t="shared" si="0"/>
        <v>BONDS REYNALDO</v>
      </c>
    </row>
    <row r="17" spans="1:7" x14ac:dyDescent="0.25">
      <c r="A17" s="8">
        <v>42972.179444444446</v>
      </c>
      <c r="B17" s="20" t="s">
        <v>455</v>
      </c>
      <c r="C17" s="20" t="s">
        <v>618</v>
      </c>
      <c r="D17" s="138">
        <v>1990000</v>
      </c>
      <c r="E17" s="20" t="s">
        <v>351</v>
      </c>
      <c r="F17" s="20" t="s">
        <v>460</v>
      </c>
      <c r="G17" s="8" t="str">
        <f t="shared" si="0"/>
        <v>DAVIS WENDY</v>
      </c>
    </row>
    <row r="18" spans="1:7" x14ac:dyDescent="0.25">
      <c r="A18" s="8">
        <v>42972.183900462966</v>
      </c>
      <c r="B18" s="20" t="s">
        <v>498</v>
      </c>
      <c r="C18" s="20" t="s">
        <v>619</v>
      </c>
      <c r="D18" s="138">
        <v>1100000</v>
      </c>
      <c r="E18" s="20" t="s">
        <v>615</v>
      </c>
      <c r="F18" s="20" t="s">
        <v>616</v>
      </c>
      <c r="G18" s="8" t="str">
        <f t="shared" si="0"/>
        <v>GEBRETEKLE DAGNEW</v>
      </c>
    </row>
    <row r="19" spans="1:7" x14ac:dyDescent="0.25">
      <c r="A19" s="8">
        <v>42972.19263888889</v>
      </c>
      <c r="B19" s="20" t="s">
        <v>437</v>
      </c>
      <c r="C19" s="20" t="s">
        <v>620</v>
      </c>
      <c r="D19" s="138">
        <v>3040000</v>
      </c>
      <c r="E19" s="20" t="s">
        <v>502</v>
      </c>
      <c r="F19" s="20" t="s">
        <v>503</v>
      </c>
      <c r="G19" s="8" t="str">
        <f t="shared" si="0"/>
        <v>WILLIAMS DONTE</v>
      </c>
    </row>
    <row r="20" spans="1:7" x14ac:dyDescent="0.25">
      <c r="A20" s="8">
        <v>42972.193969907406</v>
      </c>
      <c r="B20" s="20" t="s">
        <v>461</v>
      </c>
      <c r="C20" s="20" t="s">
        <v>621</v>
      </c>
      <c r="D20" s="138">
        <v>1990000</v>
      </c>
      <c r="E20" s="20" t="s">
        <v>351</v>
      </c>
      <c r="F20" s="20" t="s">
        <v>460</v>
      </c>
      <c r="G20" s="8" t="str">
        <f t="shared" si="0"/>
        <v>DAVIS WENDY</v>
      </c>
    </row>
    <row r="21" spans="1:7" x14ac:dyDescent="0.25">
      <c r="A21" s="8">
        <v>42972.200729166667</v>
      </c>
      <c r="B21" s="20" t="s">
        <v>456</v>
      </c>
      <c r="C21" s="20" t="s">
        <v>622</v>
      </c>
      <c r="D21" s="138">
        <v>2600000</v>
      </c>
      <c r="E21" s="20" t="s">
        <v>623</v>
      </c>
      <c r="F21" s="20" t="s">
        <v>411</v>
      </c>
      <c r="G21" s="8" t="str">
        <f t="shared" si="0"/>
        <v>DAVIDSON DAVID</v>
      </c>
    </row>
    <row r="22" spans="1:7" x14ac:dyDescent="0.25">
      <c r="A22" s="26">
        <v>42972.201863425929</v>
      </c>
      <c r="B22" s="20" t="s">
        <v>624</v>
      </c>
      <c r="C22" s="20" t="s">
        <v>625</v>
      </c>
      <c r="D22" s="138">
        <v>2970000</v>
      </c>
      <c r="E22" s="20" t="s">
        <v>504</v>
      </c>
      <c r="F22" s="20" t="s">
        <v>505</v>
      </c>
      <c r="G22" s="8" t="str">
        <f t="shared" si="0"/>
        <v>GUZMAN DANNY</v>
      </c>
    </row>
    <row r="23" spans="1:7" x14ac:dyDescent="0.25">
      <c r="A23" s="8">
        <v>42972.207060185188</v>
      </c>
      <c r="B23" s="20" t="s">
        <v>400</v>
      </c>
      <c r="C23" s="20" t="s">
        <v>626</v>
      </c>
      <c r="D23" s="138">
        <v>1110000</v>
      </c>
      <c r="E23" s="20" t="s">
        <v>409</v>
      </c>
      <c r="F23" s="20" t="s">
        <v>410</v>
      </c>
      <c r="G23" s="8" t="str">
        <f t="shared" si="0"/>
        <v>STARKS ANGELINA</v>
      </c>
    </row>
    <row r="24" spans="1:7" x14ac:dyDescent="0.25">
      <c r="A24" s="8">
        <v>42972.212916666664</v>
      </c>
      <c r="B24" s="20" t="s">
        <v>407</v>
      </c>
      <c r="C24" s="20" t="s">
        <v>627</v>
      </c>
      <c r="D24" s="138">
        <v>2600000</v>
      </c>
      <c r="E24" s="20" t="s">
        <v>623</v>
      </c>
      <c r="F24" s="20" t="s">
        <v>411</v>
      </c>
      <c r="G24" s="8" t="str">
        <f t="shared" si="0"/>
        <v>DAVIDSON DAVID</v>
      </c>
    </row>
    <row r="25" spans="1:7" x14ac:dyDescent="0.25">
      <c r="A25" s="8">
        <v>42972.213854166665</v>
      </c>
      <c r="B25" s="20" t="s">
        <v>628</v>
      </c>
      <c r="C25" s="20" t="s">
        <v>629</v>
      </c>
      <c r="D25" s="138">
        <v>2970000</v>
      </c>
      <c r="E25" s="20" t="s">
        <v>504</v>
      </c>
      <c r="F25" s="20" t="s">
        <v>505</v>
      </c>
      <c r="G25" s="8" t="str">
        <f t="shared" si="0"/>
        <v>GUZMAN DANNY</v>
      </c>
    </row>
    <row r="26" spans="1:7" x14ac:dyDescent="0.25">
      <c r="A26" s="8">
        <v>42972.213946759257</v>
      </c>
      <c r="B26" s="20" t="s">
        <v>568</v>
      </c>
      <c r="C26" s="20" t="s">
        <v>569</v>
      </c>
      <c r="D26" s="138">
        <v>940000</v>
      </c>
      <c r="E26" s="20" t="s">
        <v>414</v>
      </c>
      <c r="F26" s="20" t="s">
        <v>415</v>
      </c>
      <c r="G26" s="8" t="str">
        <f t="shared" si="0"/>
        <v>BONDS REYNALDO</v>
      </c>
    </row>
    <row r="27" spans="1:7" x14ac:dyDescent="0.25">
      <c r="A27" s="8">
        <v>42972.214108796295</v>
      </c>
      <c r="B27" s="20" t="s">
        <v>497</v>
      </c>
      <c r="C27" s="20" t="s">
        <v>630</v>
      </c>
      <c r="D27" s="138">
        <v>1100000</v>
      </c>
      <c r="E27" s="20" t="s">
        <v>615</v>
      </c>
      <c r="F27" s="20" t="s">
        <v>616</v>
      </c>
      <c r="G27" s="8" t="str">
        <f t="shared" si="0"/>
        <v>GEBRETEKLE DAGNEW</v>
      </c>
    </row>
    <row r="28" spans="1:7" x14ac:dyDescent="0.25">
      <c r="A28" s="8">
        <v>42972.226550925923</v>
      </c>
      <c r="B28" s="20" t="s">
        <v>435</v>
      </c>
      <c r="C28" s="20" t="s">
        <v>631</v>
      </c>
      <c r="D28" s="138">
        <v>3040000</v>
      </c>
      <c r="E28" s="20" t="s">
        <v>502</v>
      </c>
      <c r="F28" s="20" t="s">
        <v>503</v>
      </c>
      <c r="G28" s="8" t="str">
        <f t="shared" si="0"/>
        <v>WILLIAMS DONTE</v>
      </c>
    </row>
    <row r="29" spans="1:7" x14ac:dyDescent="0.25">
      <c r="A29" s="8">
        <v>42972.227500000001</v>
      </c>
      <c r="B29" s="20" t="s">
        <v>595</v>
      </c>
      <c r="C29" s="20" t="s">
        <v>632</v>
      </c>
      <c r="D29" s="138">
        <v>890000</v>
      </c>
      <c r="E29" s="20" t="s">
        <v>412</v>
      </c>
      <c r="F29" s="20" t="s">
        <v>413</v>
      </c>
      <c r="G29" s="8" t="str">
        <f t="shared" si="0"/>
        <v>LOZA FIDEL</v>
      </c>
    </row>
    <row r="30" spans="1:7" x14ac:dyDescent="0.25">
      <c r="A30" s="8">
        <v>42972.228321759256</v>
      </c>
      <c r="B30" s="20" t="s">
        <v>624</v>
      </c>
      <c r="C30" s="20" t="s">
        <v>633</v>
      </c>
      <c r="D30" s="138">
        <v>2970000</v>
      </c>
      <c r="E30" s="20" t="s">
        <v>504</v>
      </c>
      <c r="F30" s="20" t="s">
        <v>505</v>
      </c>
      <c r="G30" s="8" t="str">
        <f t="shared" si="0"/>
        <v>GUZMAN DANNY</v>
      </c>
    </row>
    <row r="31" spans="1:7" x14ac:dyDescent="0.25">
      <c r="A31" s="8">
        <v>42972.236203703702</v>
      </c>
      <c r="B31" s="20" t="s">
        <v>455</v>
      </c>
      <c r="C31" s="20" t="s">
        <v>634</v>
      </c>
      <c r="D31" s="138">
        <v>1990000</v>
      </c>
      <c r="E31" s="20" t="s">
        <v>351</v>
      </c>
      <c r="F31" s="20" t="s">
        <v>460</v>
      </c>
      <c r="G31" s="8" t="str">
        <f t="shared" si="0"/>
        <v>DAVIS WENDY</v>
      </c>
    </row>
    <row r="32" spans="1:7" x14ac:dyDescent="0.25">
      <c r="A32" s="8">
        <v>42972.237858796296</v>
      </c>
      <c r="B32" s="20" t="s">
        <v>635</v>
      </c>
      <c r="C32" s="20" t="s">
        <v>636</v>
      </c>
      <c r="D32" s="138">
        <v>890000</v>
      </c>
      <c r="E32" s="20" t="s">
        <v>412</v>
      </c>
      <c r="F32" s="20" t="s">
        <v>413</v>
      </c>
      <c r="G32" s="8" t="str">
        <f t="shared" si="0"/>
        <v>LOZA FIDEL</v>
      </c>
    </row>
    <row r="33" spans="1:7" x14ac:dyDescent="0.25">
      <c r="A33" s="8">
        <v>42972.247129629628</v>
      </c>
      <c r="B33" s="20" t="s">
        <v>456</v>
      </c>
      <c r="C33" s="20" t="s">
        <v>637</v>
      </c>
      <c r="D33" s="138">
        <v>2600000</v>
      </c>
      <c r="E33" s="20" t="s">
        <v>623</v>
      </c>
      <c r="F33" s="20" t="s">
        <v>411</v>
      </c>
      <c r="G33" s="8" t="str">
        <f t="shared" si="0"/>
        <v>DAVIDSON DAVID</v>
      </c>
    </row>
    <row r="34" spans="1:7" x14ac:dyDescent="0.25">
      <c r="A34" s="8">
        <v>42972.249016203707</v>
      </c>
      <c r="B34" s="20" t="s">
        <v>570</v>
      </c>
      <c r="C34" s="20" t="s">
        <v>571</v>
      </c>
      <c r="D34" s="138">
        <v>940000</v>
      </c>
      <c r="E34" s="20" t="s">
        <v>414</v>
      </c>
      <c r="F34" s="20" t="s">
        <v>415</v>
      </c>
      <c r="G34" s="8" t="str">
        <f t="shared" si="0"/>
        <v>BONDS REYNALDO</v>
      </c>
    </row>
    <row r="35" spans="1:7" x14ac:dyDescent="0.25">
      <c r="A35" s="8">
        <v>42972.250034722223</v>
      </c>
      <c r="B35" s="20" t="s">
        <v>576</v>
      </c>
      <c r="C35" s="20" t="s">
        <v>638</v>
      </c>
      <c r="D35" s="138">
        <v>3520000</v>
      </c>
      <c r="E35" s="20" t="s">
        <v>418</v>
      </c>
      <c r="F35" s="20" t="s">
        <v>419</v>
      </c>
      <c r="G35" s="8" t="str">
        <f t="shared" si="0"/>
        <v>TOUSIGNAUT CARL</v>
      </c>
    </row>
    <row r="36" spans="1:7" x14ac:dyDescent="0.25">
      <c r="A36" s="8">
        <v>42972.25472222222</v>
      </c>
      <c r="B36" s="20" t="s">
        <v>628</v>
      </c>
      <c r="C36" s="20" t="s">
        <v>639</v>
      </c>
      <c r="D36" s="138">
        <v>2970000</v>
      </c>
      <c r="E36" s="20" t="s">
        <v>504</v>
      </c>
      <c r="F36" s="20" t="s">
        <v>505</v>
      </c>
      <c r="G36" s="8" t="str">
        <f t="shared" si="0"/>
        <v>GUZMAN DANNY</v>
      </c>
    </row>
    <row r="37" spans="1:7" x14ac:dyDescent="0.25">
      <c r="A37" s="8">
        <v>42972.25712962963</v>
      </c>
      <c r="B37" s="20" t="s">
        <v>498</v>
      </c>
      <c r="C37" s="20" t="s">
        <v>640</v>
      </c>
      <c r="D37" s="138">
        <v>1100000</v>
      </c>
      <c r="E37" s="20" t="s">
        <v>615</v>
      </c>
      <c r="F37" s="20" t="s">
        <v>616</v>
      </c>
      <c r="G37" s="8" t="str">
        <f t="shared" si="0"/>
        <v>GEBRETEKLE DAGNEW</v>
      </c>
    </row>
    <row r="38" spans="1:7" x14ac:dyDescent="0.25">
      <c r="A38" s="8">
        <v>42972.261331018519</v>
      </c>
      <c r="B38" s="20" t="s">
        <v>457</v>
      </c>
      <c r="C38" s="20" t="s">
        <v>641</v>
      </c>
      <c r="D38" s="138">
        <v>1090000</v>
      </c>
      <c r="E38" s="20" t="s">
        <v>436</v>
      </c>
      <c r="F38" s="20" t="s">
        <v>191</v>
      </c>
      <c r="G38" s="8" t="str">
        <f t="shared" si="0"/>
        <v>SPECTOR MICHAEL</v>
      </c>
    </row>
    <row r="39" spans="1:7" x14ac:dyDescent="0.25">
      <c r="A39" s="8">
        <v>42972.261608796296</v>
      </c>
      <c r="B39" s="20" t="s">
        <v>573</v>
      </c>
      <c r="C39" s="20" t="s">
        <v>642</v>
      </c>
      <c r="D39" s="138">
        <v>3520000</v>
      </c>
      <c r="E39" s="20" t="s">
        <v>418</v>
      </c>
      <c r="F39" s="20" t="s">
        <v>419</v>
      </c>
      <c r="G39" s="8" t="str">
        <f t="shared" si="0"/>
        <v>TOUSIGNAUT CARL</v>
      </c>
    </row>
    <row r="40" spans="1:7" x14ac:dyDescent="0.25">
      <c r="A40" s="8">
        <v>42972.26666666667</v>
      </c>
      <c r="B40" s="25" t="s">
        <v>438</v>
      </c>
      <c r="C40" s="20" t="s">
        <v>643</v>
      </c>
      <c r="D40" s="138">
        <v>1090000</v>
      </c>
      <c r="E40" s="20" t="s">
        <v>436</v>
      </c>
      <c r="F40" s="20" t="s">
        <v>191</v>
      </c>
      <c r="G40" s="8" t="str">
        <f t="shared" si="0"/>
        <v>SPECTOR MICHAEL</v>
      </c>
    </row>
    <row r="41" spans="1:7" x14ac:dyDescent="0.25">
      <c r="A41" s="8">
        <v>42972.266689814816</v>
      </c>
      <c r="B41" s="20" t="s">
        <v>461</v>
      </c>
      <c r="C41" s="20" t="s">
        <v>644</v>
      </c>
      <c r="D41" s="138">
        <v>1990000</v>
      </c>
      <c r="E41" s="20" t="s">
        <v>351</v>
      </c>
      <c r="F41" s="20" t="s">
        <v>460</v>
      </c>
      <c r="G41" s="8" t="str">
        <f t="shared" si="0"/>
        <v>DAVIS WENDY</v>
      </c>
    </row>
    <row r="42" spans="1:7" x14ac:dyDescent="0.25">
      <c r="A42" s="8">
        <v>42972.267812500002</v>
      </c>
      <c r="B42" s="20" t="s">
        <v>437</v>
      </c>
      <c r="C42" s="20" t="s">
        <v>645</v>
      </c>
      <c r="D42" s="138">
        <v>3040000</v>
      </c>
      <c r="E42" s="20" t="s">
        <v>502</v>
      </c>
      <c r="F42" s="20" t="s">
        <v>503</v>
      </c>
      <c r="G42" s="8" t="str">
        <f t="shared" si="0"/>
        <v>WILLIAMS DONTE</v>
      </c>
    </row>
    <row r="43" spans="1:7" x14ac:dyDescent="0.25">
      <c r="A43" s="8">
        <v>42972.269953703704</v>
      </c>
      <c r="B43" s="20" t="s">
        <v>624</v>
      </c>
      <c r="C43" s="20" t="s">
        <v>646</v>
      </c>
      <c r="D43" s="138">
        <v>2970000</v>
      </c>
      <c r="E43" s="20" t="s">
        <v>504</v>
      </c>
      <c r="F43" s="20" t="s">
        <v>505</v>
      </c>
      <c r="G43" s="8" t="str">
        <f t="shared" si="0"/>
        <v>GUZMAN DANNY</v>
      </c>
    </row>
    <row r="44" spans="1:7" x14ac:dyDescent="0.25">
      <c r="A44" s="8">
        <v>42972.274745370371</v>
      </c>
      <c r="B44" s="20" t="s">
        <v>595</v>
      </c>
      <c r="C44" s="20" t="s">
        <v>647</v>
      </c>
      <c r="D44" s="138">
        <v>890000</v>
      </c>
      <c r="E44" s="20" t="s">
        <v>412</v>
      </c>
      <c r="F44" s="20" t="s">
        <v>413</v>
      </c>
      <c r="G44" s="8" t="str">
        <f t="shared" si="0"/>
        <v>LOZA FIDEL</v>
      </c>
    </row>
    <row r="45" spans="1:7" x14ac:dyDescent="0.25">
      <c r="A45" s="8">
        <v>42972.275243055556</v>
      </c>
      <c r="B45" s="20" t="s">
        <v>576</v>
      </c>
      <c r="C45" s="20" t="s">
        <v>648</v>
      </c>
      <c r="D45" s="138">
        <v>3520000</v>
      </c>
      <c r="E45" s="20" t="s">
        <v>418</v>
      </c>
      <c r="F45" s="20" t="s">
        <v>419</v>
      </c>
      <c r="G45" s="8" t="str">
        <f t="shared" si="0"/>
        <v>TOUSIGNAUT CARL</v>
      </c>
    </row>
    <row r="46" spans="1:7" x14ac:dyDescent="0.25">
      <c r="A46" s="8">
        <v>42972.277685185189</v>
      </c>
      <c r="B46" s="20" t="s">
        <v>457</v>
      </c>
      <c r="C46" s="20" t="s">
        <v>572</v>
      </c>
      <c r="D46" s="138">
        <v>1110000</v>
      </c>
      <c r="E46" s="20" t="s">
        <v>409</v>
      </c>
      <c r="F46" s="20" t="s">
        <v>410</v>
      </c>
      <c r="G46" s="8" t="str">
        <f t="shared" si="0"/>
        <v>STARKS ANGELINA</v>
      </c>
    </row>
    <row r="47" spans="1:7" x14ac:dyDescent="0.25">
      <c r="A47" s="8">
        <v>42972.28665509259</v>
      </c>
      <c r="B47" s="20" t="s">
        <v>497</v>
      </c>
      <c r="C47" s="20" t="s">
        <v>649</v>
      </c>
      <c r="D47" s="138">
        <v>1100000</v>
      </c>
      <c r="E47" s="20" t="s">
        <v>615</v>
      </c>
      <c r="F47" s="20" t="s">
        <v>616</v>
      </c>
      <c r="G47" s="8" t="str">
        <f t="shared" si="0"/>
        <v>GEBRETEKLE DAGNEW</v>
      </c>
    </row>
    <row r="48" spans="1:7" x14ac:dyDescent="0.25">
      <c r="A48" s="8">
        <v>42972.286932870367</v>
      </c>
      <c r="B48" s="20" t="s">
        <v>568</v>
      </c>
      <c r="C48" s="20" t="s">
        <v>575</v>
      </c>
      <c r="D48" s="138">
        <v>940000</v>
      </c>
      <c r="E48" s="20" t="s">
        <v>414</v>
      </c>
      <c r="F48" s="20" t="s">
        <v>415</v>
      </c>
      <c r="G48" s="8" t="str">
        <f t="shared" si="0"/>
        <v>BONDS REYNALDO</v>
      </c>
    </row>
    <row r="49" spans="1:7" x14ac:dyDescent="0.25">
      <c r="A49" s="8">
        <v>42972.288518518515</v>
      </c>
      <c r="B49" s="20" t="s">
        <v>407</v>
      </c>
      <c r="C49" s="20" t="s">
        <v>650</v>
      </c>
      <c r="D49" s="138">
        <v>2600000</v>
      </c>
      <c r="E49" s="20" t="s">
        <v>623</v>
      </c>
      <c r="F49" s="20" t="s">
        <v>411</v>
      </c>
      <c r="G49" s="8" t="str">
        <f t="shared" si="0"/>
        <v>DAVIDSON DAVID</v>
      </c>
    </row>
    <row r="50" spans="1:7" x14ac:dyDescent="0.25">
      <c r="A50" s="8">
        <v>42972.289270833331</v>
      </c>
      <c r="B50" s="20" t="s">
        <v>399</v>
      </c>
      <c r="C50" s="20" t="s">
        <v>651</v>
      </c>
      <c r="D50" s="138">
        <v>1090000</v>
      </c>
      <c r="E50" s="20" t="s">
        <v>436</v>
      </c>
      <c r="F50" s="20" t="s">
        <v>191</v>
      </c>
      <c r="G50" s="8" t="str">
        <f t="shared" si="0"/>
        <v>SPECTOR MICHAEL</v>
      </c>
    </row>
    <row r="51" spans="1:7" x14ac:dyDescent="0.25">
      <c r="A51" s="8">
        <v>42972.290601851855</v>
      </c>
      <c r="B51" s="20" t="s">
        <v>573</v>
      </c>
      <c r="C51" s="20" t="s">
        <v>574</v>
      </c>
      <c r="D51" s="138">
        <v>3520000</v>
      </c>
      <c r="E51" s="20" t="s">
        <v>418</v>
      </c>
      <c r="F51" s="20" t="s">
        <v>419</v>
      </c>
      <c r="G51" s="8" t="str">
        <f t="shared" si="0"/>
        <v>TOUSIGNAUT CARL</v>
      </c>
    </row>
    <row r="52" spans="1:7" x14ac:dyDescent="0.25">
      <c r="A52" s="8">
        <v>42972.295601851853</v>
      </c>
      <c r="B52" s="20" t="s">
        <v>400</v>
      </c>
      <c r="C52" s="20" t="s">
        <v>651</v>
      </c>
      <c r="D52" s="138">
        <v>1090000</v>
      </c>
      <c r="E52" s="20" t="s">
        <v>436</v>
      </c>
      <c r="F52" s="20" t="s">
        <v>191</v>
      </c>
      <c r="G52" s="8" t="str">
        <f t="shared" si="0"/>
        <v>SPECTOR MICHAEL</v>
      </c>
    </row>
    <row r="53" spans="1:7" x14ac:dyDescent="0.25">
      <c r="A53" s="8">
        <v>42972.296620370369</v>
      </c>
      <c r="B53" s="20" t="s">
        <v>628</v>
      </c>
      <c r="C53" s="20" t="s">
        <v>652</v>
      </c>
      <c r="D53" s="138">
        <v>2970000</v>
      </c>
      <c r="E53" s="20" t="s">
        <v>504</v>
      </c>
      <c r="F53" s="20" t="s">
        <v>505</v>
      </c>
      <c r="G53" s="8" t="str">
        <f t="shared" si="0"/>
        <v>GUZMAN DANNY</v>
      </c>
    </row>
    <row r="54" spans="1:7" x14ac:dyDescent="0.25">
      <c r="A54" s="8">
        <v>42972.299039351848</v>
      </c>
      <c r="B54" s="20" t="s">
        <v>435</v>
      </c>
      <c r="C54" s="20" t="s">
        <v>653</v>
      </c>
      <c r="D54" s="138">
        <v>3040000</v>
      </c>
      <c r="E54" s="20" t="s">
        <v>502</v>
      </c>
      <c r="F54" s="20" t="s">
        <v>503</v>
      </c>
      <c r="G54" s="8" t="str">
        <f t="shared" si="0"/>
        <v>WILLIAMS DONTE</v>
      </c>
    </row>
    <row r="55" spans="1:7" x14ac:dyDescent="0.25">
      <c r="A55" s="8">
        <v>42972.300219907411</v>
      </c>
      <c r="B55" s="20" t="s">
        <v>400</v>
      </c>
      <c r="C55" s="20" t="s">
        <v>651</v>
      </c>
      <c r="D55" s="138">
        <v>1090000</v>
      </c>
      <c r="E55" s="20" t="s">
        <v>436</v>
      </c>
      <c r="F55" s="20" t="s">
        <v>191</v>
      </c>
      <c r="G55" s="8" t="str">
        <f t="shared" si="0"/>
        <v>SPECTOR MICHAEL</v>
      </c>
    </row>
    <row r="56" spans="1:7" x14ac:dyDescent="0.25">
      <c r="A56" s="8">
        <v>42972.308622685188</v>
      </c>
      <c r="B56" s="20" t="s">
        <v>455</v>
      </c>
      <c r="C56" s="20" t="s">
        <v>578</v>
      </c>
      <c r="D56" s="138">
        <v>1990000</v>
      </c>
      <c r="E56" s="20" t="s">
        <v>351</v>
      </c>
      <c r="F56" s="20" t="s">
        <v>460</v>
      </c>
      <c r="G56" s="8" t="str">
        <f t="shared" si="0"/>
        <v>DAVIS WENDY</v>
      </c>
    </row>
    <row r="57" spans="1:7" x14ac:dyDescent="0.25">
      <c r="A57" s="8">
        <v>42972.308877314812</v>
      </c>
      <c r="B57" s="20" t="s">
        <v>635</v>
      </c>
      <c r="C57" s="20" t="s">
        <v>654</v>
      </c>
      <c r="D57" s="138">
        <v>890000</v>
      </c>
      <c r="E57" s="20" t="s">
        <v>412</v>
      </c>
      <c r="F57" s="20" t="s">
        <v>413</v>
      </c>
      <c r="G57" s="8" t="str">
        <f t="shared" si="0"/>
        <v>LOZA FIDEL</v>
      </c>
    </row>
    <row r="58" spans="1:7" x14ac:dyDescent="0.25">
      <c r="A58" s="8">
        <v>42972.309201388889</v>
      </c>
      <c r="B58" s="20" t="s">
        <v>399</v>
      </c>
      <c r="C58" s="20" t="s">
        <v>651</v>
      </c>
      <c r="D58" s="138">
        <v>1090000</v>
      </c>
      <c r="E58" s="20" t="s">
        <v>436</v>
      </c>
      <c r="F58" s="20" t="s">
        <v>191</v>
      </c>
      <c r="G58" s="8" t="str">
        <f t="shared" si="0"/>
        <v>SPECTOR MICHAEL</v>
      </c>
    </row>
    <row r="59" spans="1:7" x14ac:dyDescent="0.25">
      <c r="A59" s="8">
        <v>42972.311099537037</v>
      </c>
      <c r="B59" s="20" t="s">
        <v>624</v>
      </c>
      <c r="C59" s="20" t="s">
        <v>655</v>
      </c>
      <c r="D59" s="138">
        <v>2970000</v>
      </c>
      <c r="E59" s="20" t="s">
        <v>504</v>
      </c>
      <c r="F59" s="20" t="s">
        <v>505</v>
      </c>
      <c r="G59" s="8" t="str">
        <f t="shared" si="0"/>
        <v>GUZMAN DANNY</v>
      </c>
    </row>
    <row r="60" spans="1:7" x14ac:dyDescent="0.25">
      <c r="A60" s="8">
        <v>42972.318865740737</v>
      </c>
      <c r="B60" s="20" t="s">
        <v>576</v>
      </c>
      <c r="C60" s="20" t="s">
        <v>577</v>
      </c>
      <c r="D60" s="138">
        <v>3520000</v>
      </c>
      <c r="E60" s="20" t="s">
        <v>418</v>
      </c>
      <c r="F60" s="20" t="s">
        <v>419</v>
      </c>
      <c r="G60" s="8" t="str">
        <f t="shared" si="0"/>
        <v>TOUSIGNAUT CARL</v>
      </c>
    </row>
    <row r="61" spans="1:7" x14ac:dyDescent="0.25">
      <c r="A61" s="8">
        <v>42972.319108796299</v>
      </c>
      <c r="B61" s="20" t="s">
        <v>570</v>
      </c>
      <c r="C61" s="20" t="s">
        <v>656</v>
      </c>
      <c r="D61" s="138">
        <v>940000</v>
      </c>
      <c r="E61" s="20" t="s">
        <v>414</v>
      </c>
      <c r="F61" s="20" t="s">
        <v>415</v>
      </c>
      <c r="G61" s="8" t="str">
        <f t="shared" si="0"/>
        <v>BONDS REYNALDO</v>
      </c>
    </row>
    <row r="62" spans="1:7" x14ac:dyDescent="0.25">
      <c r="A62" s="8">
        <v>42972.31931712963</v>
      </c>
      <c r="B62" s="20" t="s">
        <v>438</v>
      </c>
      <c r="C62" s="20" t="s">
        <v>657</v>
      </c>
      <c r="D62" s="138">
        <v>1110000</v>
      </c>
      <c r="E62" s="20" t="s">
        <v>409</v>
      </c>
      <c r="F62" s="20" t="s">
        <v>410</v>
      </c>
      <c r="G62" s="8" t="str">
        <f t="shared" si="0"/>
        <v>STARKS ANGELINA</v>
      </c>
    </row>
    <row r="63" spans="1:7" x14ac:dyDescent="0.25">
      <c r="A63" s="8">
        <v>42972.319710648146</v>
      </c>
      <c r="B63" s="20" t="s">
        <v>456</v>
      </c>
      <c r="C63" s="20" t="s">
        <v>658</v>
      </c>
      <c r="D63" s="138">
        <v>2600000</v>
      </c>
      <c r="E63" s="20" t="s">
        <v>623</v>
      </c>
      <c r="F63" s="20" t="s">
        <v>411</v>
      </c>
      <c r="G63" s="8" t="str">
        <f t="shared" si="0"/>
        <v>DAVIDSON DAVID</v>
      </c>
    </row>
    <row r="64" spans="1:7" x14ac:dyDescent="0.25">
      <c r="A64" s="26">
        <v>42972.320162037038</v>
      </c>
      <c r="B64" s="20" t="s">
        <v>438</v>
      </c>
      <c r="C64" s="20" t="s">
        <v>659</v>
      </c>
      <c r="D64" s="138">
        <v>1110000</v>
      </c>
      <c r="E64" s="20" t="s">
        <v>409</v>
      </c>
      <c r="F64" s="20" t="s">
        <v>410</v>
      </c>
      <c r="G64" s="8" t="str">
        <f t="shared" si="0"/>
        <v>STARKS ANGELINA</v>
      </c>
    </row>
    <row r="65" spans="1:7" x14ac:dyDescent="0.25">
      <c r="A65" s="8">
        <v>42972.328796296293</v>
      </c>
      <c r="B65" s="20" t="s">
        <v>498</v>
      </c>
      <c r="C65" s="20" t="s">
        <v>660</v>
      </c>
      <c r="D65" s="138">
        <v>1100000</v>
      </c>
      <c r="E65" s="20" t="s">
        <v>615</v>
      </c>
      <c r="F65" s="20" t="s">
        <v>616</v>
      </c>
      <c r="G65" s="8" t="str">
        <f t="shared" si="0"/>
        <v>GEBRETEKLE DAGNEW</v>
      </c>
    </row>
    <row r="66" spans="1:7" x14ac:dyDescent="0.25">
      <c r="A66" s="8">
        <v>42972.334224537037</v>
      </c>
      <c r="B66" s="20" t="s">
        <v>573</v>
      </c>
      <c r="C66" s="20" t="s">
        <v>579</v>
      </c>
      <c r="D66" s="138">
        <v>3520000</v>
      </c>
      <c r="E66" s="20" t="s">
        <v>418</v>
      </c>
      <c r="F66" s="20" t="s">
        <v>419</v>
      </c>
      <c r="G66" s="8" t="str">
        <f t="shared" si="0"/>
        <v>TOUSIGNAUT CARL</v>
      </c>
    </row>
    <row r="67" spans="1:7" x14ac:dyDescent="0.25">
      <c r="A67" s="8">
        <v>42972.33803240741</v>
      </c>
      <c r="B67" s="20" t="s">
        <v>628</v>
      </c>
      <c r="C67" s="20" t="s">
        <v>661</v>
      </c>
      <c r="D67" s="138">
        <v>2970000</v>
      </c>
      <c r="E67" s="20" t="s">
        <v>504</v>
      </c>
      <c r="F67" s="20" t="s">
        <v>505</v>
      </c>
      <c r="G67" s="8" t="str">
        <f t="shared" ref="G67:G130" si="1">E67&amp;" "&amp;F67</f>
        <v>GUZMAN DANNY</v>
      </c>
    </row>
    <row r="68" spans="1:7" x14ac:dyDescent="0.25">
      <c r="A68" s="8">
        <v>42972.338472222225</v>
      </c>
      <c r="B68" s="20" t="s">
        <v>437</v>
      </c>
      <c r="C68" s="20" t="s">
        <v>662</v>
      </c>
      <c r="D68" s="138">
        <v>3040000</v>
      </c>
      <c r="E68" s="20" t="s">
        <v>502</v>
      </c>
      <c r="F68" s="20" t="s">
        <v>503</v>
      </c>
      <c r="G68" s="8" t="str">
        <f t="shared" si="1"/>
        <v>WILLIAMS DONTE</v>
      </c>
    </row>
    <row r="69" spans="1:7" x14ac:dyDescent="0.25">
      <c r="A69" s="8">
        <v>42972.341527777775</v>
      </c>
      <c r="B69" s="20" t="s">
        <v>461</v>
      </c>
      <c r="C69" s="20" t="s">
        <v>580</v>
      </c>
      <c r="D69" s="138">
        <v>1990000</v>
      </c>
      <c r="E69" s="20" t="s">
        <v>351</v>
      </c>
      <c r="F69" s="20" t="s">
        <v>460</v>
      </c>
      <c r="G69" s="8" t="str">
        <f t="shared" si="1"/>
        <v>DAVIS WENDY</v>
      </c>
    </row>
    <row r="70" spans="1:7" x14ac:dyDescent="0.25">
      <c r="A70" s="8">
        <v>42972.347962962966</v>
      </c>
      <c r="B70" s="20" t="s">
        <v>461</v>
      </c>
      <c r="C70" s="20" t="s">
        <v>580</v>
      </c>
      <c r="D70" s="138">
        <v>1990000</v>
      </c>
      <c r="E70" s="20" t="s">
        <v>351</v>
      </c>
      <c r="F70" s="20" t="s">
        <v>460</v>
      </c>
      <c r="G70" s="8" t="str">
        <f t="shared" si="1"/>
        <v>DAVIS WENDY</v>
      </c>
    </row>
    <row r="71" spans="1:7" x14ac:dyDescent="0.25">
      <c r="A71" s="8">
        <v>42972.350694444445</v>
      </c>
      <c r="B71" s="20" t="s">
        <v>595</v>
      </c>
      <c r="C71" s="20" t="s">
        <v>663</v>
      </c>
      <c r="D71" s="138">
        <v>890000</v>
      </c>
      <c r="E71" s="20" t="s">
        <v>412</v>
      </c>
      <c r="F71" s="20" t="s">
        <v>413</v>
      </c>
      <c r="G71" s="8" t="str">
        <f t="shared" si="1"/>
        <v>LOZA FIDEL</v>
      </c>
    </row>
    <row r="72" spans="1:7" x14ac:dyDescent="0.25">
      <c r="A72" s="8">
        <v>42972.352233796293</v>
      </c>
      <c r="B72" s="20" t="s">
        <v>457</v>
      </c>
      <c r="C72" s="20" t="s">
        <v>657</v>
      </c>
      <c r="D72" s="138">
        <v>1110000</v>
      </c>
      <c r="E72" s="20" t="s">
        <v>409</v>
      </c>
      <c r="F72" s="20" t="s">
        <v>410</v>
      </c>
      <c r="G72" s="8" t="str">
        <f t="shared" si="1"/>
        <v>STARKS ANGELINA</v>
      </c>
    </row>
    <row r="73" spans="1:7" x14ac:dyDescent="0.25">
      <c r="A73" s="8">
        <v>42972.353912037041</v>
      </c>
      <c r="B73" s="20" t="s">
        <v>624</v>
      </c>
      <c r="C73" s="20" t="s">
        <v>664</v>
      </c>
      <c r="D73" s="138">
        <v>2970000</v>
      </c>
      <c r="E73" s="20" t="s">
        <v>504</v>
      </c>
      <c r="F73" s="20" t="s">
        <v>505</v>
      </c>
      <c r="G73" s="8" t="str">
        <f t="shared" si="1"/>
        <v>GUZMAN DANNY</v>
      </c>
    </row>
    <row r="74" spans="1:7" x14ac:dyDescent="0.25">
      <c r="A74" s="8">
        <v>42972.359884259262</v>
      </c>
      <c r="B74" s="20" t="s">
        <v>568</v>
      </c>
      <c r="C74" s="20" t="s">
        <v>665</v>
      </c>
      <c r="D74" s="138">
        <v>940000</v>
      </c>
      <c r="E74" s="20" t="s">
        <v>414</v>
      </c>
      <c r="F74" s="20" t="s">
        <v>415</v>
      </c>
      <c r="G74" s="8" t="str">
        <f t="shared" si="1"/>
        <v>BONDS REYNALDO</v>
      </c>
    </row>
    <row r="75" spans="1:7" x14ac:dyDescent="0.25">
      <c r="A75" s="8">
        <v>42972.360046296293</v>
      </c>
      <c r="B75" s="20" t="s">
        <v>576</v>
      </c>
      <c r="C75" s="20" t="s">
        <v>666</v>
      </c>
      <c r="D75" s="138">
        <v>3520000</v>
      </c>
      <c r="E75" s="20" t="s">
        <v>418</v>
      </c>
      <c r="F75" s="20" t="s">
        <v>419</v>
      </c>
      <c r="G75" s="8" t="str">
        <f t="shared" si="1"/>
        <v>TOUSIGNAUT CARL</v>
      </c>
    </row>
    <row r="76" spans="1:7" x14ac:dyDescent="0.25">
      <c r="A76" s="8">
        <v>42972.360231481478</v>
      </c>
      <c r="B76" s="20" t="s">
        <v>497</v>
      </c>
      <c r="C76" s="20" t="s">
        <v>667</v>
      </c>
      <c r="D76" s="138">
        <v>1100000</v>
      </c>
      <c r="E76" s="20" t="s">
        <v>615</v>
      </c>
      <c r="F76" s="20" t="s">
        <v>616</v>
      </c>
      <c r="G76" s="8" t="str">
        <f t="shared" si="1"/>
        <v>GEBRETEKLE DAGNEW</v>
      </c>
    </row>
    <row r="77" spans="1:7" x14ac:dyDescent="0.25">
      <c r="A77" s="8">
        <v>42972.360798611109</v>
      </c>
      <c r="B77" s="20" t="s">
        <v>407</v>
      </c>
      <c r="C77" s="20" t="s">
        <v>668</v>
      </c>
      <c r="D77" s="138">
        <v>2600000</v>
      </c>
      <c r="E77" s="20" t="s">
        <v>623</v>
      </c>
      <c r="F77" s="20" t="s">
        <v>411</v>
      </c>
      <c r="G77" s="8" t="str">
        <f t="shared" si="1"/>
        <v>DAVIDSON DAVID</v>
      </c>
    </row>
    <row r="78" spans="1:7" x14ac:dyDescent="0.25">
      <c r="A78" s="8">
        <v>42972.371990740743</v>
      </c>
      <c r="B78" s="20" t="s">
        <v>435</v>
      </c>
      <c r="C78" s="20" t="s">
        <v>669</v>
      </c>
      <c r="D78" s="138">
        <v>3040000</v>
      </c>
      <c r="E78" s="20" t="s">
        <v>502</v>
      </c>
      <c r="F78" s="20" t="s">
        <v>503</v>
      </c>
      <c r="G78" s="8" t="str">
        <f t="shared" si="1"/>
        <v>WILLIAMS DONTE</v>
      </c>
    </row>
    <row r="79" spans="1:7" x14ac:dyDescent="0.25">
      <c r="A79" s="8">
        <v>42972.374837962961</v>
      </c>
      <c r="B79" s="20" t="s">
        <v>573</v>
      </c>
      <c r="C79" s="20" t="s">
        <v>581</v>
      </c>
      <c r="D79" s="138">
        <v>3520000</v>
      </c>
      <c r="E79" s="20" t="s">
        <v>418</v>
      </c>
      <c r="F79" s="20" t="s">
        <v>419</v>
      </c>
      <c r="G79" s="8" t="str">
        <f t="shared" si="1"/>
        <v>TOUSIGNAUT CARL</v>
      </c>
    </row>
    <row r="80" spans="1:7" x14ac:dyDescent="0.25">
      <c r="A80" s="8">
        <v>42972.38113425926</v>
      </c>
      <c r="B80" s="20" t="s">
        <v>455</v>
      </c>
      <c r="C80" s="20" t="s">
        <v>670</v>
      </c>
      <c r="D80" s="138">
        <v>1990000</v>
      </c>
      <c r="E80" s="20" t="s">
        <v>351</v>
      </c>
      <c r="F80" s="20" t="s">
        <v>460</v>
      </c>
      <c r="G80" s="8" t="str">
        <f t="shared" si="1"/>
        <v>DAVIS WENDY</v>
      </c>
    </row>
    <row r="81" spans="1:7" x14ac:dyDescent="0.25">
      <c r="A81" s="8">
        <v>42972.382928240739</v>
      </c>
      <c r="B81" s="20" t="s">
        <v>635</v>
      </c>
      <c r="C81" s="20" t="s">
        <v>671</v>
      </c>
      <c r="D81" s="138">
        <v>890000</v>
      </c>
      <c r="E81" s="20" t="s">
        <v>412</v>
      </c>
      <c r="F81" s="20" t="s">
        <v>413</v>
      </c>
      <c r="G81" s="8" t="str">
        <f t="shared" si="1"/>
        <v>LOZA FIDEL</v>
      </c>
    </row>
    <row r="82" spans="1:7" x14ac:dyDescent="0.25">
      <c r="A82" s="8">
        <v>42972.385925925926</v>
      </c>
      <c r="B82" s="20" t="s">
        <v>438</v>
      </c>
      <c r="C82" s="20" t="s">
        <v>672</v>
      </c>
      <c r="D82" s="138">
        <v>1110000</v>
      </c>
      <c r="E82" s="20" t="s">
        <v>409</v>
      </c>
      <c r="F82" s="20" t="s">
        <v>410</v>
      </c>
      <c r="G82" s="8" t="str">
        <f t="shared" si="1"/>
        <v>STARKS ANGELINA</v>
      </c>
    </row>
    <row r="83" spans="1:7" x14ac:dyDescent="0.25">
      <c r="A83" s="8">
        <v>42972.392118055555</v>
      </c>
      <c r="B83" s="20" t="s">
        <v>570</v>
      </c>
      <c r="C83" s="20" t="s">
        <v>582</v>
      </c>
      <c r="D83" s="138">
        <v>940000</v>
      </c>
      <c r="E83" s="20" t="s">
        <v>414</v>
      </c>
      <c r="F83" s="20" t="s">
        <v>415</v>
      </c>
      <c r="G83" s="8" t="str">
        <f t="shared" si="1"/>
        <v>BONDS REYNALDO</v>
      </c>
    </row>
    <row r="84" spans="1:7" x14ac:dyDescent="0.25">
      <c r="A84" s="8">
        <v>42972.392511574071</v>
      </c>
      <c r="B84" s="20" t="s">
        <v>456</v>
      </c>
      <c r="C84" s="20" t="s">
        <v>673</v>
      </c>
      <c r="D84" s="138">
        <v>2600000</v>
      </c>
      <c r="E84" s="20" t="s">
        <v>623</v>
      </c>
      <c r="F84" s="20" t="s">
        <v>411</v>
      </c>
      <c r="G84" s="8" t="str">
        <f t="shared" si="1"/>
        <v>DAVIDSON DAVID</v>
      </c>
    </row>
    <row r="85" spans="1:7" x14ac:dyDescent="0.25">
      <c r="A85" s="8">
        <v>42972.401701388888</v>
      </c>
      <c r="B85" s="20" t="s">
        <v>576</v>
      </c>
      <c r="C85" s="20" t="s">
        <v>583</v>
      </c>
      <c r="D85" s="138">
        <v>3520000</v>
      </c>
      <c r="E85" s="20" t="s">
        <v>418</v>
      </c>
      <c r="F85" s="20" t="s">
        <v>419</v>
      </c>
      <c r="G85" s="8" t="str">
        <f t="shared" si="1"/>
        <v>TOUSIGNAUT CARL</v>
      </c>
    </row>
    <row r="86" spans="1:7" x14ac:dyDescent="0.25">
      <c r="A86" s="8">
        <v>42972.401770833334</v>
      </c>
      <c r="B86" s="20" t="s">
        <v>498</v>
      </c>
      <c r="C86" s="20" t="s">
        <v>674</v>
      </c>
      <c r="D86" s="138">
        <v>1100000</v>
      </c>
      <c r="E86" s="20" t="s">
        <v>615</v>
      </c>
      <c r="F86" s="20" t="s">
        <v>616</v>
      </c>
      <c r="G86" s="8" t="str">
        <f t="shared" si="1"/>
        <v>GEBRETEKLE DAGNEW</v>
      </c>
    </row>
    <row r="87" spans="1:7" x14ac:dyDescent="0.25">
      <c r="A87" s="8">
        <v>42972.402673611112</v>
      </c>
      <c r="B87" s="20" t="s">
        <v>576</v>
      </c>
      <c r="C87" s="20" t="s">
        <v>675</v>
      </c>
      <c r="D87" s="138">
        <v>3520000</v>
      </c>
      <c r="E87" s="20" t="s">
        <v>418</v>
      </c>
      <c r="F87" s="20" t="s">
        <v>419</v>
      </c>
      <c r="G87" s="8" t="str">
        <f t="shared" si="1"/>
        <v>TOUSIGNAUT CARL</v>
      </c>
    </row>
    <row r="88" spans="1:7" x14ac:dyDescent="0.25">
      <c r="A88" s="8">
        <v>42972.409930555557</v>
      </c>
      <c r="B88" s="20" t="s">
        <v>437</v>
      </c>
      <c r="C88" s="20" t="s">
        <v>584</v>
      </c>
      <c r="D88" s="138">
        <v>3040000</v>
      </c>
      <c r="E88" s="20" t="s">
        <v>502</v>
      </c>
      <c r="F88" s="20" t="s">
        <v>503</v>
      </c>
      <c r="G88" s="8" t="str">
        <f t="shared" si="1"/>
        <v>WILLIAMS DONTE</v>
      </c>
    </row>
    <row r="89" spans="1:7" x14ac:dyDescent="0.25">
      <c r="A89" s="8">
        <v>42972.412951388891</v>
      </c>
      <c r="B89" s="20" t="s">
        <v>461</v>
      </c>
      <c r="C89" s="20" t="s">
        <v>676</v>
      </c>
      <c r="D89" s="138">
        <v>1990000</v>
      </c>
      <c r="E89" s="20" t="s">
        <v>351</v>
      </c>
      <c r="F89" s="20" t="s">
        <v>460</v>
      </c>
      <c r="G89" s="8" t="str">
        <f t="shared" si="1"/>
        <v>DAVIS WENDY</v>
      </c>
    </row>
    <row r="90" spans="1:7" x14ac:dyDescent="0.25">
      <c r="A90" s="8">
        <v>42972.417245370372</v>
      </c>
      <c r="B90" s="20" t="s">
        <v>573</v>
      </c>
      <c r="C90" s="20" t="s">
        <v>583</v>
      </c>
      <c r="D90" s="138">
        <v>3520000</v>
      </c>
      <c r="E90" s="20" t="s">
        <v>418</v>
      </c>
      <c r="F90" s="20" t="s">
        <v>419</v>
      </c>
      <c r="G90" s="8" t="str">
        <f t="shared" si="1"/>
        <v>TOUSIGNAUT CARL</v>
      </c>
    </row>
    <row r="91" spans="1:7" x14ac:dyDescent="0.25">
      <c r="A91" s="8">
        <v>42972.42046296296</v>
      </c>
      <c r="B91" s="20" t="s">
        <v>595</v>
      </c>
      <c r="C91" s="20" t="s">
        <v>677</v>
      </c>
      <c r="D91" s="138">
        <v>890000</v>
      </c>
      <c r="E91" s="20" t="s">
        <v>412</v>
      </c>
      <c r="F91" s="20" t="s">
        <v>413</v>
      </c>
      <c r="G91" s="8" t="str">
        <f t="shared" si="1"/>
        <v>LOZA FIDEL</v>
      </c>
    </row>
    <row r="92" spans="1:7" x14ac:dyDescent="0.25">
      <c r="A92" s="8">
        <v>42972.422476851854</v>
      </c>
      <c r="B92" s="20" t="s">
        <v>457</v>
      </c>
      <c r="C92" s="20" t="s">
        <v>678</v>
      </c>
      <c r="D92" s="138">
        <v>2970000</v>
      </c>
      <c r="E92" s="20" t="s">
        <v>504</v>
      </c>
      <c r="F92" s="20" t="s">
        <v>505</v>
      </c>
      <c r="G92" s="8" t="str">
        <f t="shared" si="1"/>
        <v>GUZMAN DANNY</v>
      </c>
    </row>
    <row r="93" spans="1:7" x14ac:dyDescent="0.25">
      <c r="A93" s="8">
        <v>42972.432627314818</v>
      </c>
      <c r="B93" s="20" t="s">
        <v>568</v>
      </c>
      <c r="C93" s="20" t="s">
        <v>679</v>
      </c>
      <c r="D93" s="138">
        <v>940000</v>
      </c>
      <c r="E93" s="20" t="s">
        <v>414</v>
      </c>
      <c r="F93" s="20" t="s">
        <v>415</v>
      </c>
      <c r="G93" s="8" t="str">
        <f t="shared" si="1"/>
        <v>BONDS REYNALDO</v>
      </c>
    </row>
    <row r="94" spans="1:7" x14ac:dyDescent="0.25">
      <c r="A94" s="8">
        <v>42972.432662037034</v>
      </c>
      <c r="B94" s="20" t="s">
        <v>497</v>
      </c>
      <c r="C94" s="20" t="s">
        <v>680</v>
      </c>
      <c r="D94" s="138">
        <v>1100000</v>
      </c>
      <c r="E94" s="20" t="s">
        <v>615</v>
      </c>
      <c r="F94" s="20" t="s">
        <v>616</v>
      </c>
      <c r="G94" s="8" t="str">
        <f t="shared" si="1"/>
        <v>GEBRETEKLE DAGNEW</v>
      </c>
    </row>
    <row r="95" spans="1:7" x14ac:dyDescent="0.25">
      <c r="A95" s="8">
        <v>42972.433807870373</v>
      </c>
      <c r="B95" s="20" t="s">
        <v>407</v>
      </c>
      <c r="C95" s="20" t="s">
        <v>681</v>
      </c>
      <c r="D95" s="138">
        <v>2600000</v>
      </c>
      <c r="E95" s="20" t="s">
        <v>623</v>
      </c>
      <c r="F95" s="20" t="s">
        <v>411</v>
      </c>
      <c r="G95" s="8" t="str">
        <f t="shared" si="1"/>
        <v>DAVIDSON DAVID</v>
      </c>
    </row>
    <row r="96" spans="1:7" x14ac:dyDescent="0.25">
      <c r="A96" s="8">
        <v>42972.437835648147</v>
      </c>
      <c r="B96" s="20" t="s">
        <v>500</v>
      </c>
      <c r="C96" s="20" t="s">
        <v>682</v>
      </c>
      <c r="D96" s="138">
        <v>2440000</v>
      </c>
      <c r="E96" s="20" t="s">
        <v>464</v>
      </c>
      <c r="F96" s="20" t="s">
        <v>465</v>
      </c>
      <c r="G96" s="8" t="str">
        <f t="shared" si="1"/>
        <v>LOPES KIMBERLY</v>
      </c>
    </row>
    <row r="97" spans="1:7" x14ac:dyDescent="0.25">
      <c r="A97" s="8">
        <v>42972.438518518517</v>
      </c>
      <c r="B97" s="20" t="s">
        <v>500</v>
      </c>
      <c r="C97" s="20" t="s">
        <v>682</v>
      </c>
      <c r="D97" s="138">
        <v>2440000</v>
      </c>
      <c r="E97" s="20" t="s">
        <v>464</v>
      </c>
      <c r="F97" s="20" t="s">
        <v>465</v>
      </c>
      <c r="G97" s="8" t="str">
        <f t="shared" si="1"/>
        <v>LOPES KIMBERLY</v>
      </c>
    </row>
    <row r="98" spans="1:7" x14ac:dyDescent="0.25">
      <c r="A98" s="8">
        <v>42972.443240740744</v>
      </c>
      <c r="B98" s="20" t="s">
        <v>435</v>
      </c>
      <c r="C98" s="20" t="s">
        <v>683</v>
      </c>
      <c r="D98" s="138">
        <v>1830000</v>
      </c>
      <c r="E98" s="20" t="s">
        <v>462</v>
      </c>
      <c r="F98" s="20" t="s">
        <v>463</v>
      </c>
      <c r="G98" s="8" t="str">
        <f t="shared" si="1"/>
        <v>YORK EDGAR</v>
      </c>
    </row>
    <row r="99" spans="1:7" x14ac:dyDescent="0.25">
      <c r="A99" s="8">
        <v>42972.444224537037</v>
      </c>
      <c r="B99" s="20" t="s">
        <v>576</v>
      </c>
      <c r="C99" s="20" t="s">
        <v>585</v>
      </c>
      <c r="D99" s="138">
        <v>3520000</v>
      </c>
      <c r="E99" s="20" t="s">
        <v>418</v>
      </c>
      <c r="F99" s="20" t="s">
        <v>419</v>
      </c>
      <c r="G99" s="8" t="str">
        <f t="shared" si="1"/>
        <v>TOUSIGNAUT CARL</v>
      </c>
    </row>
    <row r="100" spans="1:7" x14ac:dyDescent="0.25">
      <c r="A100" s="8">
        <v>42972.453935185185</v>
      </c>
      <c r="B100" s="20" t="s">
        <v>455</v>
      </c>
      <c r="C100" s="20" t="s">
        <v>684</v>
      </c>
      <c r="D100" s="138">
        <v>1990000</v>
      </c>
      <c r="E100" s="20" t="s">
        <v>351</v>
      </c>
      <c r="F100" s="20" t="s">
        <v>460</v>
      </c>
      <c r="G100" s="8" t="str">
        <f t="shared" si="1"/>
        <v>DAVIS WENDY</v>
      </c>
    </row>
    <row r="101" spans="1:7" x14ac:dyDescent="0.25">
      <c r="A101" s="8">
        <v>42972.457025462965</v>
      </c>
      <c r="B101" s="20" t="s">
        <v>438</v>
      </c>
      <c r="C101" s="20" t="s">
        <v>685</v>
      </c>
      <c r="D101" s="138">
        <v>2970000</v>
      </c>
      <c r="E101" s="20" t="s">
        <v>504</v>
      </c>
      <c r="F101" s="20" t="s">
        <v>505</v>
      </c>
      <c r="G101" s="8" t="str">
        <f t="shared" si="1"/>
        <v>GUZMAN DANNY</v>
      </c>
    </row>
    <row r="102" spans="1:7" x14ac:dyDescent="0.25">
      <c r="A102" s="8">
        <v>42972.457187499997</v>
      </c>
      <c r="B102" s="20" t="s">
        <v>635</v>
      </c>
      <c r="C102" s="20" t="s">
        <v>686</v>
      </c>
      <c r="D102" s="138">
        <v>890000</v>
      </c>
      <c r="E102" s="20" t="s">
        <v>412</v>
      </c>
      <c r="F102" s="20" t="s">
        <v>413</v>
      </c>
      <c r="G102" s="8" t="str">
        <f t="shared" si="1"/>
        <v>LOZA FIDEL</v>
      </c>
    </row>
    <row r="103" spans="1:7" x14ac:dyDescent="0.25">
      <c r="A103" s="8">
        <v>42972.459224537037</v>
      </c>
      <c r="B103" s="20" t="s">
        <v>573</v>
      </c>
      <c r="C103" s="20" t="s">
        <v>586</v>
      </c>
      <c r="D103" s="138">
        <v>3520000</v>
      </c>
      <c r="E103" s="20" t="s">
        <v>418</v>
      </c>
      <c r="F103" s="20" t="s">
        <v>419</v>
      </c>
      <c r="G103" s="8" t="str">
        <f t="shared" si="1"/>
        <v>TOUSIGNAUT CARL</v>
      </c>
    </row>
    <row r="104" spans="1:7" x14ac:dyDescent="0.25">
      <c r="A104" s="8">
        <v>42972.465891203705</v>
      </c>
      <c r="B104" s="20" t="s">
        <v>456</v>
      </c>
      <c r="C104" s="20" t="s">
        <v>687</v>
      </c>
      <c r="D104" s="138">
        <v>2600000</v>
      </c>
      <c r="E104" s="20" t="s">
        <v>623</v>
      </c>
      <c r="F104" s="20" t="s">
        <v>411</v>
      </c>
      <c r="G104" s="8" t="str">
        <f t="shared" si="1"/>
        <v>DAVIDSON DAVID</v>
      </c>
    </row>
    <row r="105" spans="1:7" x14ac:dyDescent="0.25">
      <c r="A105" s="8">
        <v>42972.467326388891</v>
      </c>
      <c r="B105" s="20" t="s">
        <v>570</v>
      </c>
      <c r="C105" s="20" t="s">
        <v>688</v>
      </c>
      <c r="D105" s="138">
        <v>3120000</v>
      </c>
      <c r="E105" s="20" t="s">
        <v>689</v>
      </c>
      <c r="F105" s="20" t="s">
        <v>690</v>
      </c>
      <c r="G105" s="8" t="str">
        <f t="shared" si="1"/>
        <v>THOMPSON LESTER</v>
      </c>
    </row>
    <row r="106" spans="1:7" x14ac:dyDescent="0.25">
      <c r="A106" s="8">
        <v>42972.473587962966</v>
      </c>
      <c r="B106" s="20" t="s">
        <v>437</v>
      </c>
      <c r="C106" s="20" t="s">
        <v>691</v>
      </c>
      <c r="D106" s="138">
        <v>1830000</v>
      </c>
      <c r="E106" s="20" t="s">
        <v>462</v>
      </c>
      <c r="F106" s="20" t="s">
        <v>463</v>
      </c>
      <c r="G106" s="8" t="str">
        <f t="shared" si="1"/>
        <v>YORK EDGAR</v>
      </c>
    </row>
    <row r="107" spans="1:7" x14ac:dyDescent="0.25">
      <c r="A107" s="8">
        <v>42972.474317129629</v>
      </c>
      <c r="B107" s="20" t="s">
        <v>498</v>
      </c>
      <c r="C107" s="20" t="s">
        <v>692</v>
      </c>
      <c r="D107" s="138">
        <v>2350000</v>
      </c>
      <c r="E107" s="20" t="s">
        <v>512</v>
      </c>
      <c r="F107" s="20" t="s">
        <v>513</v>
      </c>
      <c r="G107" s="8" t="str">
        <f t="shared" si="1"/>
        <v>BERLING GARY</v>
      </c>
    </row>
    <row r="108" spans="1:7" x14ac:dyDescent="0.25">
      <c r="A108" s="8">
        <v>42972.477129629631</v>
      </c>
      <c r="B108" s="20" t="s">
        <v>501</v>
      </c>
      <c r="C108" s="20" t="s">
        <v>693</v>
      </c>
      <c r="D108" s="138">
        <v>1100000</v>
      </c>
      <c r="E108" s="20" t="s">
        <v>615</v>
      </c>
      <c r="F108" s="20" t="s">
        <v>616</v>
      </c>
      <c r="G108" s="8" t="str">
        <f t="shared" si="1"/>
        <v>GEBRETEKLE DAGNEW</v>
      </c>
    </row>
    <row r="109" spans="1:7" x14ac:dyDescent="0.25">
      <c r="A109" s="8">
        <v>42972.485046296293</v>
      </c>
      <c r="B109" s="20" t="s">
        <v>595</v>
      </c>
      <c r="C109" s="20" t="s">
        <v>694</v>
      </c>
      <c r="D109" s="138">
        <v>890000</v>
      </c>
      <c r="E109" s="20" t="s">
        <v>412</v>
      </c>
      <c r="F109" s="20" t="s">
        <v>413</v>
      </c>
      <c r="G109" s="8" t="str">
        <f t="shared" si="1"/>
        <v>LOZA FIDEL</v>
      </c>
    </row>
    <row r="110" spans="1:7" x14ac:dyDescent="0.25">
      <c r="A110" s="8">
        <v>42972.48510416667</v>
      </c>
      <c r="B110" s="20" t="s">
        <v>576</v>
      </c>
      <c r="C110" s="20" t="s">
        <v>695</v>
      </c>
      <c r="D110" s="138">
        <v>3520000</v>
      </c>
      <c r="E110" s="20" t="s">
        <v>418</v>
      </c>
      <c r="F110" s="20" t="s">
        <v>419</v>
      </c>
      <c r="G110" s="8" t="str">
        <f t="shared" si="1"/>
        <v>TOUSIGNAUT CARL</v>
      </c>
    </row>
    <row r="111" spans="1:7" x14ac:dyDescent="0.25">
      <c r="A111" s="8">
        <v>42972.486296296294</v>
      </c>
      <c r="B111" s="20" t="s">
        <v>461</v>
      </c>
      <c r="C111" s="20" t="s">
        <v>696</v>
      </c>
      <c r="D111" s="138">
        <v>3500000</v>
      </c>
      <c r="E111" s="20" t="s">
        <v>416</v>
      </c>
      <c r="F111" s="20" t="s">
        <v>417</v>
      </c>
      <c r="G111" s="8" t="str">
        <f t="shared" si="1"/>
        <v>GUNTHIER ERIC</v>
      </c>
    </row>
    <row r="112" spans="1:7" x14ac:dyDescent="0.25">
      <c r="A112" s="8">
        <v>42972.495879629627</v>
      </c>
      <c r="B112" s="20" t="s">
        <v>500</v>
      </c>
      <c r="C112" s="20" t="s">
        <v>697</v>
      </c>
      <c r="D112" s="138">
        <v>3320000</v>
      </c>
      <c r="E112" s="20" t="s">
        <v>698</v>
      </c>
      <c r="F112" s="20" t="s">
        <v>699</v>
      </c>
      <c r="G112" s="8" t="str">
        <f t="shared" si="1"/>
        <v>NICHOLSON WESLEY</v>
      </c>
    </row>
    <row r="113" spans="1:7" x14ac:dyDescent="0.25">
      <c r="A113" s="8">
        <v>42972.498171296298</v>
      </c>
      <c r="B113" s="20" t="s">
        <v>573</v>
      </c>
      <c r="C113" s="20" t="s">
        <v>700</v>
      </c>
      <c r="D113" s="138">
        <v>3520000</v>
      </c>
      <c r="E113" s="20" t="s">
        <v>418</v>
      </c>
      <c r="F113" s="20" t="s">
        <v>419</v>
      </c>
      <c r="G113" s="8" t="str">
        <f t="shared" si="1"/>
        <v>TOUSIGNAUT CARL</v>
      </c>
    </row>
    <row r="114" spans="1:7" x14ac:dyDescent="0.25">
      <c r="A114" s="8">
        <v>42972.498391203706</v>
      </c>
      <c r="B114" s="20" t="s">
        <v>457</v>
      </c>
      <c r="C114" s="20" t="s">
        <v>701</v>
      </c>
      <c r="D114" s="138">
        <v>3510000</v>
      </c>
      <c r="E114" s="20" t="s">
        <v>422</v>
      </c>
      <c r="F114" s="20" t="s">
        <v>423</v>
      </c>
      <c r="G114" s="8" t="str">
        <f t="shared" si="1"/>
        <v>BARRON PERLA</v>
      </c>
    </row>
    <row r="115" spans="1:7" x14ac:dyDescent="0.25">
      <c r="A115" s="8">
        <v>42972.506041666667</v>
      </c>
      <c r="B115" s="20" t="s">
        <v>568</v>
      </c>
      <c r="C115" s="20" t="s">
        <v>702</v>
      </c>
      <c r="D115" s="138">
        <v>3120000</v>
      </c>
      <c r="E115" s="20" t="s">
        <v>689</v>
      </c>
      <c r="F115" s="20" t="s">
        <v>690</v>
      </c>
      <c r="G115" s="8" t="str">
        <f t="shared" si="1"/>
        <v>THOMPSON LESTER</v>
      </c>
    </row>
    <row r="116" spans="1:7" x14ac:dyDescent="0.25">
      <c r="A116" s="8">
        <v>42972.508518518516</v>
      </c>
      <c r="B116" s="20" t="s">
        <v>407</v>
      </c>
      <c r="C116" s="20" t="s">
        <v>703</v>
      </c>
      <c r="D116" s="138">
        <v>1300000</v>
      </c>
      <c r="E116" s="20" t="s">
        <v>420</v>
      </c>
      <c r="F116" s="20" t="s">
        <v>421</v>
      </c>
      <c r="G116" s="8" t="str">
        <f t="shared" si="1"/>
        <v>LEVIN SCOTT</v>
      </c>
    </row>
    <row r="117" spans="1:7" x14ac:dyDescent="0.25">
      <c r="A117" s="8">
        <v>42972.511087962965</v>
      </c>
      <c r="B117" s="20" t="s">
        <v>497</v>
      </c>
      <c r="C117" s="20" t="s">
        <v>704</v>
      </c>
      <c r="D117" s="138">
        <v>2350000</v>
      </c>
      <c r="E117" s="20" t="s">
        <v>512</v>
      </c>
      <c r="F117" s="20" t="s">
        <v>513</v>
      </c>
      <c r="G117" s="8" t="str">
        <f t="shared" si="1"/>
        <v>BERLING GARY</v>
      </c>
    </row>
    <row r="118" spans="1:7" x14ac:dyDescent="0.25">
      <c r="A118" s="8">
        <v>42972.515081018515</v>
      </c>
      <c r="B118" s="20" t="s">
        <v>435</v>
      </c>
      <c r="C118" s="20" t="s">
        <v>705</v>
      </c>
      <c r="D118" s="138">
        <v>1830000</v>
      </c>
      <c r="E118" s="20" t="s">
        <v>462</v>
      </c>
      <c r="F118" s="20" t="s">
        <v>463</v>
      </c>
      <c r="G118" s="8" t="str">
        <f t="shared" si="1"/>
        <v>YORK EDGAR</v>
      </c>
    </row>
    <row r="119" spans="1:7" x14ac:dyDescent="0.25">
      <c r="A119" s="8">
        <v>42972.520925925928</v>
      </c>
      <c r="B119" s="20" t="s">
        <v>455</v>
      </c>
      <c r="C119" s="20" t="s">
        <v>706</v>
      </c>
      <c r="D119" s="138">
        <v>3500000</v>
      </c>
      <c r="E119" s="20" t="s">
        <v>416</v>
      </c>
      <c r="F119" s="20" t="s">
        <v>417</v>
      </c>
      <c r="G119" s="8" t="str">
        <f t="shared" si="1"/>
        <v>GUNTHIER ERIC</v>
      </c>
    </row>
    <row r="120" spans="1:7" x14ac:dyDescent="0.25">
      <c r="A120" s="8">
        <v>42972.524918981479</v>
      </c>
      <c r="B120" s="20" t="s">
        <v>576</v>
      </c>
      <c r="C120" s="20" t="s">
        <v>707</v>
      </c>
      <c r="D120" s="138">
        <v>3520000</v>
      </c>
      <c r="E120" s="20" t="s">
        <v>418</v>
      </c>
      <c r="F120" s="20" t="s">
        <v>419</v>
      </c>
      <c r="G120" s="8" t="str">
        <f t="shared" si="1"/>
        <v>TOUSIGNAUT CARL</v>
      </c>
    </row>
    <row r="121" spans="1:7" x14ac:dyDescent="0.25">
      <c r="A121" s="8">
        <v>42972.528020833335</v>
      </c>
      <c r="B121" s="20" t="s">
        <v>635</v>
      </c>
      <c r="C121" s="20" t="s">
        <v>708</v>
      </c>
      <c r="D121" s="138">
        <v>3320000</v>
      </c>
      <c r="E121" s="20" t="s">
        <v>698</v>
      </c>
      <c r="F121" s="20" t="s">
        <v>699</v>
      </c>
      <c r="G121" s="8" t="str">
        <f t="shared" si="1"/>
        <v>NICHOLSON WESLEY</v>
      </c>
    </row>
    <row r="122" spans="1:7" x14ac:dyDescent="0.25">
      <c r="A122" s="8">
        <v>42972.534502314818</v>
      </c>
      <c r="B122" s="25" t="s">
        <v>438</v>
      </c>
      <c r="C122" s="20" t="s">
        <v>587</v>
      </c>
      <c r="D122" s="138">
        <v>3510000</v>
      </c>
      <c r="E122" s="20" t="s">
        <v>422</v>
      </c>
      <c r="F122" s="20" t="s">
        <v>423</v>
      </c>
      <c r="G122" s="8" t="str">
        <f t="shared" si="1"/>
        <v>BARRON PERLA</v>
      </c>
    </row>
    <row r="123" spans="1:7" x14ac:dyDescent="0.25">
      <c r="A123" s="8">
        <v>42972.536643518521</v>
      </c>
      <c r="B123" s="20" t="s">
        <v>501</v>
      </c>
      <c r="C123" s="20" t="s">
        <v>709</v>
      </c>
      <c r="D123" s="138">
        <v>890000</v>
      </c>
      <c r="E123" s="20" t="s">
        <v>412</v>
      </c>
      <c r="F123" s="20" t="s">
        <v>413</v>
      </c>
      <c r="G123" s="8" t="str">
        <f t="shared" si="1"/>
        <v>LOZA FIDEL</v>
      </c>
    </row>
    <row r="124" spans="1:7" x14ac:dyDescent="0.25">
      <c r="A124" s="8">
        <v>42972.53869212963</v>
      </c>
      <c r="B124" s="20" t="s">
        <v>570</v>
      </c>
      <c r="C124" s="20" t="s">
        <v>710</v>
      </c>
      <c r="D124" s="138">
        <v>3130000</v>
      </c>
      <c r="E124" s="20" t="s">
        <v>516</v>
      </c>
      <c r="F124" s="20" t="s">
        <v>517</v>
      </c>
      <c r="G124" s="8" t="str">
        <f t="shared" si="1"/>
        <v>ZEWDU DEREJE</v>
      </c>
    </row>
    <row r="125" spans="1:7" x14ac:dyDescent="0.25">
      <c r="A125" s="8">
        <v>42972.545474537037</v>
      </c>
      <c r="B125" s="20" t="s">
        <v>573</v>
      </c>
      <c r="C125" s="20" t="s">
        <v>588</v>
      </c>
      <c r="D125" s="138">
        <v>2370000</v>
      </c>
      <c r="E125" s="20" t="s">
        <v>506</v>
      </c>
      <c r="F125" s="20" t="s">
        <v>507</v>
      </c>
      <c r="G125" s="8" t="str">
        <f t="shared" si="1"/>
        <v>DELGADO DIANAH</v>
      </c>
    </row>
    <row r="126" spans="1:7" x14ac:dyDescent="0.25">
      <c r="A126" s="8">
        <v>42972.548020833332</v>
      </c>
      <c r="B126" s="20" t="s">
        <v>437</v>
      </c>
      <c r="C126" s="20" t="s">
        <v>711</v>
      </c>
      <c r="D126" s="138">
        <v>1830000</v>
      </c>
      <c r="E126" s="20" t="s">
        <v>462</v>
      </c>
      <c r="F126" s="20" t="s">
        <v>463</v>
      </c>
      <c r="G126" s="8" t="str">
        <f t="shared" si="1"/>
        <v>YORK EDGAR</v>
      </c>
    </row>
    <row r="127" spans="1:7" x14ac:dyDescent="0.25">
      <c r="A127" s="8">
        <v>42972.548368055555</v>
      </c>
      <c r="B127" s="20" t="s">
        <v>498</v>
      </c>
      <c r="C127" s="20" t="s">
        <v>712</v>
      </c>
      <c r="D127" s="138">
        <v>2350000</v>
      </c>
      <c r="E127" s="20" t="s">
        <v>512</v>
      </c>
      <c r="F127" s="20" t="s">
        <v>513</v>
      </c>
      <c r="G127" s="8" t="str">
        <f t="shared" si="1"/>
        <v>BERLING GARY</v>
      </c>
    </row>
    <row r="128" spans="1:7" x14ac:dyDescent="0.25">
      <c r="A128" s="8">
        <v>42972.548657407409</v>
      </c>
      <c r="B128" s="20" t="s">
        <v>456</v>
      </c>
      <c r="C128" s="20" t="s">
        <v>713</v>
      </c>
      <c r="D128" s="138">
        <v>1300000</v>
      </c>
      <c r="E128" s="20" t="s">
        <v>420</v>
      </c>
      <c r="F128" s="20" t="s">
        <v>421</v>
      </c>
      <c r="G128" s="8" t="str">
        <f t="shared" si="1"/>
        <v>LEVIN SCOTT</v>
      </c>
    </row>
    <row r="129" spans="1:7" x14ac:dyDescent="0.25">
      <c r="A129" s="8">
        <v>42972.559618055559</v>
      </c>
      <c r="B129" s="20" t="s">
        <v>461</v>
      </c>
      <c r="C129" s="20" t="s">
        <v>589</v>
      </c>
      <c r="D129" s="138">
        <v>3500000</v>
      </c>
      <c r="E129" s="20" t="s">
        <v>416</v>
      </c>
      <c r="F129" s="20" t="s">
        <v>417</v>
      </c>
      <c r="G129" s="8" t="str">
        <f t="shared" si="1"/>
        <v>GUNTHIER ERIC</v>
      </c>
    </row>
    <row r="130" spans="1:7" x14ac:dyDescent="0.25">
      <c r="A130" s="8">
        <v>42972.561180555553</v>
      </c>
      <c r="B130" s="20" t="s">
        <v>595</v>
      </c>
      <c r="C130" s="20" t="s">
        <v>714</v>
      </c>
      <c r="D130" s="138">
        <v>3320000</v>
      </c>
      <c r="E130" s="20" t="s">
        <v>698</v>
      </c>
      <c r="F130" s="20" t="s">
        <v>699</v>
      </c>
      <c r="G130" s="8" t="str">
        <f t="shared" si="1"/>
        <v>NICHOLSON WESLEY</v>
      </c>
    </row>
    <row r="131" spans="1:7" x14ac:dyDescent="0.25">
      <c r="A131" s="8">
        <v>42972.567708333336</v>
      </c>
      <c r="B131" s="20" t="s">
        <v>576</v>
      </c>
      <c r="C131" s="20" t="s">
        <v>715</v>
      </c>
      <c r="D131" s="138">
        <v>2370000</v>
      </c>
      <c r="E131" s="20" t="s">
        <v>506</v>
      </c>
      <c r="F131" s="20" t="s">
        <v>507</v>
      </c>
      <c r="G131" s="8" t="str">
        <f t="shared" ref="G131:G194" si="2">E131&amp;" "&amp;F131</f>
        <v>DELGADO DIANAH</v>
      </c>
    </row>
    <row r="132" spans="1:7" x14ac:dyDescent="0.25">
      <c r="A132" s="8">
        <v>42972.569791666669</v>
      </c>
      <c r="B132" s="20" t="s">
        <v>457</v>
      </c>
      <c r="C132" s="20" t="s">
        <v>716</v>
      </c>
      <c r="D132" s="138">
        <v>3510000</v>
      </c>
      <c r="E132" s="20" t="s">
        <v>422</v>
      </c>
      <c r="F132" s="20" t="s">
        <v>423</v>
      </c>
      <c r="G132" s="8" t="str">
        <f t="shared" si="2"/>
        <v>BARRON PERLA</v>
      </c>
    </row>
    <row r="133" spans="1:7" x14ac:dyDescent="0.25">
      <c r="A133" s="8">
        <v>42972.573125000003</v>
      </c>
      <c r="B133" s="20" t="s">
        <v>568</v>
      </c>
      <c r="C133" s="20" t="s">
        <v>590</v>
      </c>
      <c r="D133" s="138">
        <v>3130000</v>
      </c>
      <c r="E133" s="20" t="s">
        <v>516</v>
      </c>
      <c r="F133" s="20" t="s">
        <v>517</v>
      </c>
      <c r="G133" s="8" t="str">
        <f t="shared" si="2"/>
        <v>ZEWDU DEREJE</v>
      </c>
    </row>
    <row r="134" spans="1:7" x14ac:dyDescent="0.25">
      <c r="A134" s="8">
        <v>42972.579976851855</v>
      </c>
      <c r="B134" s="20" t="s">
        <v>407</v>
      </c>
      <c r="C134" s="20" t="s">
        <v>717</v>
      </c>
      <c r="D134" s="138">
        <v>1300000</v>
      </c>
      <c r="E134" s="20" t="s">
        <v>420</v>
      </c>
      <c r="F134" s="20" t="s">
        <v>421</v>
      </c>
      <c r="G134" s="8" t="str">
        <f t="shared" si="2"/>
        <v>LEVIN SCOTT</v>
      </c>
    </row>
    <row r="135" spans="1:7" x14ac:dyDescent="0.25">
      <c r="A135" s="8">
        <v>42972.583333333336</v>
      </c>
      <c r="B135" s="20" t="s">
        <v>573</v>
      </c>
      <c r="C135" s="20" t="s">
        <v>718</v>
      </c>
      <c r="D135" s="138">
        <v>2370000</v>
      </c>
      <c r="E135" s="20" t="s">
        <v>506</v>
      </c>
      <c r="F135" s="20" t="s">
        <v>507</v>
      </c>
      <c r="G135" s="8" t="str">
        <f t="shared" si="2"/>
        <v>DELGADO DIANAH</v>
      </c>
    </row>
    <row r="136" spans="1:7" x14ac:dyDescent="0.25">
      <c r="A136" s="8">
        <v>42972.584340277775</v>
      </c>
      <c r="B136" s="20" t="s">
        <v>497</v>
      </c>
      <c r="C136" s="20" t="s">
        <v>591</v>
      </c>
      <c r="D136" s="138">
        <v>2350000</v>
      </c>
      <c r="E136" s="20" t="s">
        <v>512</v>
      </c>
      <c r="F136" s="20" t="s">
        <v>513</v>
      </c>
      <c r="G136" s="8" t="str">
        <f t="shared" si="2"/>
        <v>BERLING GARY</v>
      </c>
    </row>
    <row r="137" spans="1:7" x14ac:dyDescent="0.25">
      <c r="A137" s="8">
        <v>42972.587754629632</v>
      </c>
      <c r="B137" s="20" t="s">
        <v>435</v>
      </c>
      <c r="C137" s="20" t="s">
        <v>719</v>
      </c>
      <c r="D137" s="138">
        <v>1830000</v>
      </c>
      <c r="E137" s="20" t="s">
        <v>462</v>
      </c>
      <c r="F137" s="20" t="s">
        <v>463</v>
      </c>
      <c r="G137" s="8" t="str">
        <f t="shared" si="2"/>
        <v>YORK EDGAR</v>
      </c>
    </row>
    <row r="138" spans="1:7" x14ac:dyDescent="0.25">
      <c r="A138" s="8">
        <v>42972.591643518521</v>
      </c>
      <c r="B138" s="20" t="s">
        <v>455</v>
      </c>
      <c r="C138" s="20" t="s">
        <v>720</v>
      </c>
      <c r="D138" s="138">
        <v>3500000</v>
      </c>
      <c r="E138" s="20" t="s">
        <v>416</v>
      </c>
      <c r="F138" s="20" t="s">
        <v>417</v>
      </c>
      <c r="G138" s="8" t="str">
        <f t="shared" si="2"/>
        <v>GUNTHIER ERIC</v>
      </c>
    </row>
    <row r="139" spans="1:7" x14ac:dyDescent="0.25">
      <c r="A139" s="8">
        <v>42972.602465277778</v>
      </c>
      <c r="B139" s="20" t="s">
        <v>635</v>
      </c>
      <c r="C139" s="20" t="s">
        <v>721</v>
      </c>
      <c r="D139" s="138">
        <v>2420000</v>
      </c>
      <c r="E139" s="20" t="s">
        <v>722</v>
      </c>
      <c r="F139" s="20" t="s">
        <v>723</v>
      </c>
      <c r="G139" s="8" t="str">
        <f t="shared" si="2"/>
        <v>HOLCOMB KAMDEN</v>
      </c>
    </row>
    <row r="140" spans="1:7" x14ac:dyDescent="0.25">
      <c r="A140" s="8">
        <v>42972.609201388892</v>
      </c>
      <c r="B140" s="20" t="s">
        <v>576</v>
      </c>
      <c r="C140" s="20" t="s">
        <v>724</v>
      </c>
      <c r="D140" s="138">
        <v>2370000</v>
      </c>
      <c r="E140" s="20" t="s">
        <v>506</v>
      </c>
      <c r="F140" s="20" t="s">
        <v>507</v>
      </c>
      <c r="G140" s="8" t="str">
        <f t="shared" si="2"/>
        <v>DELGADO DIANAH</v>
      </c>
    </row>
    <row r="141" spans="1:7" x14ac:dyDescent="0.25">
      <c r="A141" s="8">
        <v>42972.609317129631</v>
      </c>
      <c r="B141" s="20" t="s">
        <v>438</v>
      </c>
      <c r="C141" s="20" t="s">
        <v>592</v>
      </c>
      <c r="D141" s="138">
        <v>3510000</v>
      </c>
      <c r="E141" s="20" t="s">
        <v>422</v>
      </c>
      <c r="F141" s="20" t="s">
        <v>423</v>
      </c>
      <c r="G141" s="8" t="str">
        <f t="shared" si="2"/>
        <v>BARRON PERLA</v>
      </c>
    </row>
    <row r="142" spans="1:7" x14ac:dyDescent="0.25">
      <c r="A142" s="8">
        <v>42972.611712962964</v>
      </c>
      <c r="B142" s="20" t="s">
        <v>570</v>
      </c>
      <c r="C142" s="20" t="s">
        <v>725</v>
      </c>
      <c r="D142" s="138">
        <v>3120000</v>
      </c>
      <c r="E142" s="20" t="s">
        <v>689</v>
      </c>
      <c r="F142" s="20" t="s">
        <v>690</v>
      </c>
      <c r="G142" s="8" t="str">
        <f t="shared" si="2"/>
        <v>THOMPSON LESTER</v>
      </c>
    </row>
    <row r="143" spans="1:7" x14ac:dyDescent="0.25">
      <c r="A143" s="8">
        <v>42972.620196759257</v>
      </c>
      <c r="B143" s="20" t="s">
        <v>437</v>
      </c>
      <c r="C143" s="20" t="s">
        <v>726</v>
      </c>
      <c r="D143" s="138">
        <v>1830000</v>
      </c>
      <c r="E143" s="20" t="s">
        <v>462</v>
      </c>
      <c r="F143" s="20" t="s">
        <v>463</v>
      </c>
      <c r="G143" s="8" t="str">
        <f t="shared" si="2"/>
        <v>YORK EDGAR</v>
      </c>
    </row>
    <row r="144" spans="1:7" x14ac:dyDescent="0.25">
      <c r="A144" s="8">
        <v>42972.621180555558</v>
      </c>
      <c r="B144" s="20" t="s">
        <v>456</v>
      </c>
      <c r="C144" s="20" t="s">
        <v>593</v>
      </c>
      <c r="D144" s="138">
        <v>1300000</v>
      </c>
      <c r="E144" s="20" t="s">
        <v>420</v>
      </c>
      <c r="F144" s="20" t="s">
        <v>421</v>
      </c>
      <c r="G144" s="8" t="str">
        <f t="shared" si="2"/>
        <v>LEVIN SCOTT</v>
      </c>
    </row>
    <row r="145" spans="1:7" x14ac:dyDescent="0.25">
      <c r="A145" s="8">
        <v>42972.621770833335</v>
      </c>
      <c r="B145" s="20" t="s">
        <v>498</v>
      </c>
      <c r="C145" s="20" t="s">
        <v>727</v>
      </c>
      <c r="D145" s="138">
        <v>2350000</v>
      </c>
      <c r="E145" s="20" t="s">
        <v>512</v>
      </c>
      <c r="F145" s="20" t="s">
        <v>513</v>
      </c>
      <c r="G145" s="8" t="str">
        <f t="shared" si="2"/>
        <v>BERLING GARY</v>
      </c>
    </row>
    <row r="146" spans="1:7" x14ac:dyDescent="0.25">
      <c r="A146" s="8">
        <v>42972.623564814814</v>
      </c>
      <c r="B146" s="20" t="s">
        <v>573</v>
      </c>
      <c r="C146" s="20" t="s">
        <v>728</v>
      </c>
      <c r="D146" s="138">
        <v>2370000</v>
      </c>
      <c r="E146" s="20" t="s">
        <v>506</v>
      </c>
      <c r="F146" s="20" t="s">
        <v>507</v>
      </c>
      <c r="G146" s="8" t="str">
        <f t="shared" si="2"/>
        <v>DELGADO DIANAH</v>
      </c>
    </row>
    <row r="147" spans="1:7" x14ac:dyDescent="0.25">
      <c r="A147" s="8">
        <v>42972.631412037037</v>
      </c>
      <c r="B147" s="20" t="s">
        <v>461</v>
      </c>
      <c r="C147" s="20" t="s">
        <v>729</v>
      </c>
      <c r="D147" s="138">
        <v>3500000</v>
      </c>
      <c r="E147" s="20" t="s">
        <v>416</v>
      </c>
      <c r="F147" s="20" t="s">
        <v>417</v>
      </c>
      <c r="G147" s="8" t="str">
        <f t="shared" si="2"/>
        <v>GUNTHIER ERIC</v>
      </c>
    </row>
    <row r="148" spans="1:7" x14ac:dyDescent="0.25">
      <c r="A148" s="8">
        <v>42972.637939814813</v>
      </c>
      <c r="B148" s="20" t="s">
        <v>595</v>
      </c>
      <c r="C148" s="20" t="s">
        <v>730</v>
      </c>
      <c r="D148" s="138">
        <v>2420000</v>
      </c>
      <c r="E148" s="20" t="s">
        <v>722</v>
      </c>
      <c r="F148" s="20" t="s">
        <v>723</v>
      </c>
      <c r="G148" s="8" t="str">
        <f t="shared" si="2"/>
        <v>HOLCOMB KAMDEN</v>
      </c>
    </row>
    <row r="149" spans="1:7" x14ac:dyDescent="0.25">
      <c r="A149" s="8">
        <v>42972.64298611111</v>
      </c>
      <c r="B149" s="20" t="s">
        <v>457</v>
      </c>
      <c r="C149" s="20" t="s">
        <v>731</v>
      </c>
      <c r="D149" s="138">
        <v>3510000</v>
      </c>
      <c r="E149" s="20" t="s">
        <v>422</v>
      </c>
      <c r="F149" s="20" t="s">
        <v>423</v>
      </c>
      <c r="G149" s="8" t="str">
        <f t="shared" si="2"/>
        <v>BARRON PERLA</v>
      </c>
    </row>
    <row r="150" spans="1:7" x14ac:dyDescent="0.25">
      <c r="A150" s="8">
        <v>42972.647430555553</v>
      </c>
      <c r="B150" s="20" t="s">
        <v>496</v>
      </c>
      <c r="C150" s="20" t="s">
        <v>732</v>
      </c>
      <c r="D150" s="138">
        <v>2540000</v>
      </c>
      <c r="E150" s="20" t="s">
        <v>733</v>
      </c>
      <c r="F150" s="20" t="s">
        <v>734</v>
      </c>
      <c r="G150" s="8" t="str">
        <f t="shared" si="2"/>
        <v>MCREYNOLDS KYLE</v>
      </c>
    </row>
    <row r="151" spans="1:7" x14ac:dyDescent="0.25">
      <c r="A151" s="8">
        <v>42972.650625000002</v>
      </c>
      <c r="B151" s="20" t="s">
        <v>576</v>
      </c>
      <c r="C151" s="20" t="s">
        <v>735</v>
      </c>
      <c r="D151" s="138">
        <v>2370000</v>
      </c>
      <c r="E151" s="20" t="s">
        <v>506</v>
      </c>
      <c r="F151" s="20" t="s">
        <v>507</v>
      </c>
      <c r="G151" s="8" t="str">
        <f t="shared" si="2"/>
        <v>DELGADO DIANAH</v>
      </c>
    </row>
    <row r="152" spans="1:7" x14ac:dyDescent="0.25">
      <c r="A152" s="8">
        <v>42972.653831018521</v>
      </c>
      <c r="B152" s="20" t="s">
        <v>568</v>
      </c>
      <c r="C152" s="20" t="s">
        <v>594</v>
      </c>
      <c r="D152" s="138">
        <v>3120000</v>
      </c>
      <c r="E152" s="20" t="s">
        <v>689</v>
      </c>
      <c r="F152" s="20" t="s">
        <v>690</v>
      </c>
      <c r="G152" s="8" t="str">
        <f t="shared" si="2"/>
        <v>THOMPSON LESTER</v>
      </c>
    </row>
    <row r="153" spans="1:7" x14ac:dyDescent="0.25">
      <c r="A153" s="8">
        <v>42972.655034722222</v>
      </c>
      <c r="B153" s="20" t="s">
        <v>407</v>
      </c>
      <c r="C153" s="20" t="s">
        <v>736</v>
      </c>
      <c r="D153" s="138">
        <v>1300000</v>
      </c>
      <c r="E153" s="20" t="s">
        <v>420</v>
      </c>
      <c r="F153" s="20" t="s">
        <v>421</v>
      </c>
      <c r="G153" s="8" t="str">
        <f t="shared" si="2"/>
        <v>LEVIN SCOTT</v>
      </c>
    </row>
    <row r="154" spans="1:7" x14ac:dyDescent="0.25">
      <c r="A154" s="8">
        <v>42972.658530092594</v>
      </c>
      <c r="B154" s="20" t="s">
        <v>405</v>
      </c>
      <c r="C154" s="20" t="s">
        <v>737</v>
      </c>
      <c r="D154" s="138">
        <v>2540000</v>
      </c>
      <c r="E154" s="20" t="s">
        <v>733</v>
      </c>
      <c r="F154" s="20" t="s">
        <v>734</v>
      </c>
      <c r="G154" s="8" t="str">
        <f t="shared" si="2"/>
        <v>MCREYNOLDS KYLE</v>
      </c>
    </row>
    <row r="155" spans="1:7" x14ac:dyDescent="0.25">
      <c r="A155" s="8">
        <v>42972.662754629629</v>
      </c>
      <c r="B155" s="20" t="s">
        <v>497</v>
      </c>
      <c r="C155" s="20" t="s">
        <v>738</v>
      </c>
      <c r="D155" s="138">
        <v>2350000</v>
      </c>
      <c r="E155" s="20" t="s">
        <v>512</v>
      </c>
      <c r="F155" s="20" t="s">
        <v>513</v>
      </c>
      <c r="G155" s="8" t="str">
        <f t="shared" si="2"/>
        <v>BERLING GARY</v>
      </c>
    </row>
    <row r="156" spans="1:7" x14ac:dyDescent="0.25">
      <c r="A156" s="8">
        <v>42972.6637962963</v>
      </c>
      <c r="B156" s="20" t="s">
        <v>435</v>
      </c>
      <c r="C156" s="20" t="s">
        <v>739</v>
      </c>
      <c r="D156" s="138">
        <v>3320000</v>
      </c>
      <c r="E156" s="20" t="s">
        <v>698</v>
      </c>
      <c r="F156" s="20" t="s">
        <v>699</v>
      </c>
      <c r="G156" s="8" t="str">
        <f t="shared" si="2"/>
        <v>NICHOLSON WESLEY</v>
      </c>
    </row>
    <row r="157" spans="1:7" x14ac:dyDescent="0.25">
      <c r="A157" s="8">
        <v>42972.665254629632</v>
      </c>
      <c r="B157" s="20" t="s">
        <v>455</v>
      </c>
      <c r="C157" s="20" t="s">
        <v>740</v>
      </c>
      <c r="D157" s="138">
        <v>3500000</v>
      </c>
      <c r="E157" s="20" t="s">
        <v>416</v>
      </c>
      <c r="F157" s="20" t="s">
        <v>417</v>
      </c>
      <c r="G157" s="8" t="str">
        <f t="shared" si="2"/>
        <v>GUNTHIER ERIC</v>
      </c>
    </row>
    <row r="158" spans="1:7" x14ac:dyDescent="0.25">
      <c r="A158" s="8">
        <v>42972.668009259258</v>
      </c>
      <c r="B158" s="20" t="s">
        <v>573</v>
      </c>
      <c r="C158" s="20" t="s">
        <v>741</v>
      </c>
      <c r="D158" s="138">
        <v>2370000</v>
      </c>
      <c r="E158" s="20" t="s">
        <v>506</v>
      </c>
      <c r="F158" s="20" t="s">
        <v>507</v>
      </c>
      <c r="G158" s="8" t="str">
        <f t="shared" si="2"/>
        <v>DELGADO DIANAH</v>
      </c>
    </row>
    <row r="159" spans="1:7" x14ac:dyDescent="0.25">
      <c r="A159" s="8">
        <v>42972.672395833331</v>
      </c>
      <c r="B159" s="20" t="s">
        <v>635</v>
      </c>
      <c r="C159" s="20" t="s">
        <v>742</v>
      </c>
      <c r="D159" s="138">
        <v>2420000</v>
      </c>
      <c r="E159" s="20" t="s">
        <v>722</v>
      </c>
      <c r="F159" s="20" t="s">
        <v>723</v>
      </c>
      <c r="G159" s="8" t="str">
        <f t="shared" si="2"/>
        <v>HOLCOMB KAMDEN</v>
      </c>
    </row>
    <row r="160" spans="1:7" x14ac:dyDescent="0.25">
      <c r="A160" s="8">
        <v>42972.672650462962</v>
      </c>
      <c r="B160" s="20" t="s">
        <v>496</v>
      </c>
      <c r="C160" s="20" t="s">
        <v>743</v>
      </c>
      <c r="D160" s="138">
        <v>2540000</v>
      </c>
      <c r="E160" s="20" t="s">
        <v>733</v>
      </c>
      <c r="F160" s="20" t="s">
        <v>734</v>
      </c>
      <c r="G160" s="8" t="str">
        <f t="shared" si="2"/>
        <v>MCREYNOLDS KYLE</v>
      </c>
    </row>
    <row r="161" spans="1:7" x14ac:dyDescent="0.25">
      <c r="A161" s="8">
        <v>42972.679560185185</v>
      </c>
      <c r="B161" s="20" t="s">
        <v>438</v>
      </c>
      <c r="C161" s="20" t="s">
        <v>744</v>
      </c>
      <c r="D161" s="138">
        <v>3510000</v>
      </c>
      <c r="E161" s="20" t="s">
        <v>422</v>
      </c>
      <c r="F161" s="20" t="s">
        <v>423</v>
      </c>
      <c r="G161" s="8" t="str">
        <f t="shared" si="2"/>
        <v>BARRON PERLA</v>
      </c>
    </row>
    <row r="162" spans="1:7" x14ac:dyDescent="0.25">
      <c r="A162" s="8">
        <v>42972.685046296298</v>
      </c>
      <c r="B162" s="20" t="s">
        <v>570</v>
      </c>
      <c r="C162" s="20" t="s">
        <v>745</v>
      </c>
      <c r="D162" s="138">
        <v>3030000</v>
      </c>
      <c r="E162" s="20" t="s">
        <v>518</v>
      </c>
      <c r="F162" s="20" t="s">
        <v>348</v>
      </c>
      <c r="G162" s="8" t="str">
        <f t="shared" si="2"/>
        <v>BIRENBAUM THOMAS</v>
      </c>
    </row>
    <row r="163" spans="1:7" x14ac:dyDescent="0.25">
      <c r="A163" s="8">
        <v>42972.687256944446</v>
      </c>
      <c r="B163" s="20" t="s">
        <v>405</v>
      </c>
      <c r="C163" s="20" t="s">
        <v>746</v>
      </c>
      <c r="D163" s="138">
        <v>2540000</v>
      </c>
      <c r="E163" s="20" t="s">
        <v>733</v>
      </c>
      <c r="F163" s="20" t="s">
        <v>734</v>
      </c>
      <c r="G163" s="8" t="str">
        <f t="shared" si="2"/>
        <v>MCREYNOLDS KYLE</v>
      </c>
    </row>
    <row r="164" spans="1:7" x14ac:dyDescent="0.25">
      <c r="A164" s="8">
        <v>42972.688240740739</v>
      </c>
      <c r="B164" s="20" t="s">
        <v>400</v>
      </c>
      <c r="C164" s="20" t="s">
        <v>747</v>
      </c>
      <c r="D164" s="138">
        <v>1810000</v>
      </c>
      <c r="E164" s="20" t="s">
        <v>748</v>
      </c>
      <c r="F164" s="20" t="s">
        <v>749</v>
      </c>
      <c r="G164" s="8" t="str">
        <f t="shared" si="2"/>
        <v>NEWELL JAMES</v>
      </c>
    </row>
    <row r="165" spans="1:7" x14ac:dyDescent="0.25">
      <c r="A165" s="8">
        <v>42972.692523148151</v>
      </c>
      <c r="B165" s="20" t="s">
        <v>576</v>
      </c>
      <c r="C165" s="20" t="s">
        <v>750</v>
      </c>
      <c r="D165" s="138">
        <v>2370000</v>
      </c>
      <c r="E165" s="20" t="s">
        <v>506</v>
      </c>
      <c r="F165" s="20" t="s">
        <v>507</v>
      </c>
      <c r="G165" s="8" t="str">
        <f t="shared" si="2"/>
        <v>DELGADO DIANAH</v>
      </c>
    </row>
    <row r="166" spans="1:7" x14ac:dyDescent="0.25">
      <c r="A166" s="8">
        <v>42972.693877314814</v>
      </c>
      <c r="B166" s="20" t="s">
        <v>498</v>
      </c>
      <c r="C166" s="20" t="s">
        <v>751</v>
      </c>
      <c r="D166" s="138">
        <v>2350000</v>
      </c>
      <c r="E166" s="20" t="s">
        <v>512</v>
      </c>
      <c r="F166" s="20" t="s">
        <v>513</v>
      </c>
      <c r="G166" s="8" t="str">
        <f t="shared" si="2"/>
        <v>BERLING GARY</v>
      </c>
    </row>
    <row r="167" spans="1:7" x14ac:dyDescent="0.25">
      <c r="A167" s="8">
        <v>42972.69431712963</v>
      </c>
      <c r="B167" s="20" t="s">
        <v>456</v>
      </c>
      <c r="C167" s="20" t="s">
        <v>752</v>
      </c>
      <c r="D167" s="138">
        <v>1300000</v>
      </c>
      <c r="E167" s="20" t="s">
        <v>420</v>
      </c>
      <c r="F167" s="20" t="s">
        <v>421</v>
      </c>
      <c r="G167" s="8" t="str">
        <f t="shared" si="2"/>
        <v>LEVIN SCOTT</v>
      </c>
    </row>
    <row r="168" spans="1:7" x14ac:dyDescent="0.25">
      <c r="A168" s="8">
        <v>42972.696898148148</v>
      </c>
      <c r="B168" s="20" t="s">
        <v>437</v>
      </c>
      <c r="C168" s="20" t="s">
        <v>753</v>
      </c>
      <c r="D168" s="138">
        <v>3320000</v>
      </c>
      <c r="E168" s="20" t="s">
        <v>698</v>
      </c>
      <c r="F168" s="20" t="s">
        <v>699</v>
      </c>
      <c r="G168" s="8" t="str">
        <f t="shared" si="2"/>
        <v>NICHOLSON WESLEY</v>
      </c>
    </row>
    <row r="169" spans="1:7" x14ac:dyDescent="0.25">
      <c r="A169" s="8">
        <v>42972.704733796294</v>
      </c>
      <c r="B169" s="20" t="s">
        <v>461</v>
      </c>
      <c r="C169" s="20" t="s">
        <v>754</v>
      </c>
      <c r="D169" s="138">
        <v>3500000</v>
      </c>
      <c r="E169" s="20" t="s">
        <v>416</v>
      </c>
      <c r="F169" s="20" t="s">
        <v>417</v>
      </c>
      <c r="G169" s="8" t="str">
        <f t="shared" si="2"/>
        <v>GUNTHIER ERIC</v>
      </c>
    </row>
    <row r="170" spans="1:7" x14ac:dyDescent="0.25">
      <c r="A170" s="8">
        <v>42972.706932870373</v>
      </c>
      <c r="B170" s="20" t="s">
        <v>573</v>
      </c>
      <c r="C170" s="20" t="s">
        <v>755</v>
      </c>
      <c r="D170" s="138">
        <v>2370000</v>
      </c>
      <c r="E170" s="20" t="s">
        <v>506</v>
      </c>
      <c r="F170" s="20" t="s">
        <v>507</v>
      </c>
      <c r="G170" s="8" t="str">
        <f t="shared" si="2"/>
        <v>DELGADO DIANAH</v>
      </c>
    </row>
    <row r="171" spans="1:7" x14ac:dyDescent="0.25">
      <c r="A171" s="8">
        <v>42972.711388888885</v>
      </c>
      <c r="B171" s="20" t="s">
        <v>595</v>
      </c>
      <c r="C171" s="20" t="s">
        <v>596</v>
      </c>
      <c r="D171" s="138">
        <v>2420000</v>
      </c>
      <c r="E171" s="20" t="s">
        <v>722</v>
      </c>
      <c r="F171" s="20" t="s">
        <v>723</v>
      </c>
      <c r="G171" s="8" t="str">
        <f t="shared" si="2"/>
        <v>HOLCOMB KAMDEN</v>
      </c>
    </row>
    <row r="172" spans="1:7" x14ac:dyDescent="0.25">
      <c r="A172" s="8">
        <v>42972.714398148149</v>
      </c>
      <c r="B172" s="20" t="s">
        <v>496</v>
      </c>
      <c r="C172" s="20" t="s">
        <v>756</v>
      </c>
      <c r="D172" s="138">
        <v>2540000</v>
      </c>
      <c r="E172" s="20" t="s">
        <v>733</v>
      </c>
      <c r="F172" s="20" t="s">
        <v>734</v>
      </c>
      <c r="G172" s="8" t="str">
        <f t="shared" si="2"/>
        <v>MCREYNOLDS KYLE</v>
      </c>
    </row>
    <row r="173" spans="1:7" x14ac:dyDescent="0.25">
      <c r="A173" s="8">
        <v>42972.717094907406</v>
      </c>
      <c r="B173" s="20" t="s">
        <v>457</v>
      </c>
      <c r="C173" s="20" t="s">
        <v>597</v>
      </c>
      <c r="D173" s="138">
        <v>3510000</v>
      </c>
      <c r="E173" s="20" t="s">
        <v>422</v>
      </c>
      <c r="F173" s="20" t="s">
        <v>423</v>
      </c>
      <c r="G173" s="8" t="str">
        <f t="shared" si="2"/>
        <v>BARRON PERLA</v>
      </c>
    </row>
    <row r="174" spans="1:7" x14ac:dyDescent="0.25">
      <c r="A174" s="8">
        <v>42972.723124999997</v>
      </c>
      <c r="B174" s="20" t="s">
        <v>568</v>
      </c>
      <c r="C174" s="20" t="s">
        <v>757</v>
      </c>
      <c r="D174" s="138">
        <v>3030000</v>
      </c>
      <c r="E174" s="20" t="s">
        <v>518</v>
      </c>
      <c r="F174" s="20" t="s">
        <v>348</v>
      </c>
      <c r="G174" s="8" t="str">
        <f t="shared" si="2"/>
        <v>BIRENBAUM THOMAS</v>
      </c>
    </row>
    <row r="175" spans="1:7" x14ac:dyDescent="0.25">
      <c r="A175" s="8">
        <v>42972.726770833331</v>
      </c>
      <c r="B175" s="20" t="s">
        <v>407</v>
      </c>
      <c r="C175" s="20" t="s">
        <v>758</v>
      </c>
      <c r="D175" s="138">
        <v>1300000</v>
      </c>
      <c r="E175" s="20" t="s">
        <v>420</v>
      </c>
      <c r="F175" s="20" t="s">
        <v>421</v>
      </c>
      <c r="G175" s="8" t="str">
        <f t="shared" si="2"/>
        <v>LEVIN SCOTT</v>
      </c>
    </row>
    <row r="176" spans="1:7" x14ac:dyDescent="0.25">
      <c r="A176" s="8">
        <v>42972.728796296295</v>
      </c>
      <c r="B176" s="20" t="s">
        <v>405</v>
      </c>
      <c r="C176" s="20" t="s">
        <v>599</v>
      </c>
      <c r="D176" s="138">
        <v>2540000</v>
      </c>
      <c r="E176" s="20" t="s">
        <v>733</v>
      </c>
      <c r="F176" s="20" t="s">
        <v>734</v>
      </c>
      <c r="G176" s="8" t="str">
        <f t="shared" si="2"/>
        <v>MCREYNOLDS KYLE</v>
      </c>
    </row>
    <row r="177" spans="1:7" x14ac:dyDescent="0.25">
      <c r="A177" s="8">
        <v>42972.731805555559</v>
      </c>
      <c r="B177" s="20" t="s">
        <v>382</v>
      </c>
      <c r="C177" s="20" t="s">
        <v>759</v>
      </c>
      <c r="D177" s="138">
        <v>3290000</v>
      </c>
      <c r="E177" s="20" t="s">
        <v>508</v>
      </c>
      <c r="F177" s="20" t="s">
        <v>509</v>
      </c>
      <c r="G177" s="8" t="str">
        <f t="shared" si="2"/>
        <v>CASSIDY BRANDON</v>
      </c>
    </row>
    <row r="178" spans="1:7" x14ac:dyDescent="0.25">
      <c r="A178" s="8">
        <v>42972.73369212963</v>
      </c>
      <c r="B178" s="20" t="s">
        <v>497</v>
      </c>
      <c r="C178" s="20" t="s">
        <v>760</v>
      </c>
      <c r="D178" s="138">
        <v>2350000</v>
      </c>
      <c r="E178" s="20" t="s">
        <v>512</v>
      </c>
      <c r="F178" s="20" t="s">
        <v>513</v>
      </c>
      <c r="G178" s="8" t="str">
        <f t="shared" si="2"/>
        <v>BERLING GARY</v>
      </c>
    </row>
    <row r="179" spans="1:7" x14ac:dyDescent="0.25">
      <c r="A179" s="8">
        <v>42972.734016203707</v>
      </c>
      <c r="B179" s="20" t="s">
        <v>576</v>
      </c>
      <c r="C179" s="20" t="s">
        <v>598</v>
      </c>
      <c r="D179" s="138">
        <v>2370000</v>
      </c>
      <c r="E179" s="20" t="s">
        <v>506</v>
      </c>
      <c r="F179" s="20" t="s">
        <v>507</v>
      </c>
      <c r="G179" s="8" t="str">
        <f t="shared" si="2"/>
        <v>DELGADO DIANAH</v>
      </c>
    </row>
    <row r="180" spans="1:7" x14ac:dyDescent="0.25">
      <c r="A180" s="8">
        <v>42972.737314814818</v>
      </c>
      <c r="B180" s="20" t="s">
        <v>455</v>
      </c>
      <c r="C180" s="20" t="s">
        <v>761</v>
      </c>
      <c r="D180" s="138">
        <v>3500000</v>
      </c>
      <c r="E180" s="20" t="s">
        <v>416</v>
      </c>
      <c r="F180" s="20" t="s">
        <v>417</v>
      </c>
      <c r="G180" s="8" t="str">
        <f t="shared" si="2"/>
        <v>GUNTHIER ERIC</v>
      </c>
    </row>
    <row r="181" spans="1:7" x14ac:dyDescent="0.25">
      <c r="A181" s="8">
        <v>42972.738622685189</v>
      </c>
      <c r="B181" s="20" t="s">
        <v>435</v>
      </c>
      <c r="C181" s="20" t="s">
        <v>762</v>
      </c>
      <c r="D181" s="138">
        <v>3490000</v>
      </c>
      <c r="E181" s="20" t="s">
        <v>424</v>
      </c>
      <c r="F181" s="20" t="s">
        <v>425</v>
      </c>
      <c r="G181" s="8" t="str">
        <f t="shared" si="2"/>
        <v>WEST BRYAN</v>
      </c>
    </row>
    <row r="182" spans="1:7" x14ac:dyDescent="0.25">
      <c r="A182" s="8">
        <v>42972.739722222221</v>
      </c>
      <c r="B182" s="20" t="s">
        <v>434</v>
      </c>
      <c r="C182" s="20" t="s">
        <v>651</v>
      </c>
      <c r="D182" s="138">
        <v>3220000</v>
      </c>
      <c r="E182" s="20" t="s">
        <v>466</v>
      </c>
      <c r="F182" s="20" t="s">
        <v>467</v>
      </c>
      <c r="G182" s="8" t="str">
        <f t="shared" si="2"/>
        <v>RESPASS AARON</v>
      </c>
    </row>
    <row r="183" spans="1:7" x14ac:dyDescent="0.25">
      <c r="A183" s="8">
        <v>42972.746099537035</v>
      </c>
      <c r="B183" s="20" t="s">
        <v>635</v>
      </c>
      <c r="C183" s="20" t="s">
        <v>763</v>
      </c>
      <c r="D183" s="138">
        <v>2420000</v>
      </c>
      <c r="E183" s="20" t="s">
        <v>722</v>
      </c>
      <c r="F183" s="20" t="s">
        <v>723</v>
      </c>
      <c r="G183" s="8" t="str">
        <f t="shared" si="2"/>
        <v>HOLCOMB KAMDEN</v>
      </c>
    </row>
    <row r="184" spans="1:7" x14ac:dyDescent="0.25">
      <c r="A184" s="8">
        <v>42972.756226851852</v>
      </c>
      <c r="B184" s="20" t="s">
        <v>496</v>
      </c>
      <c r="C184" s="20" t="s">
        <v>764</v>
      </c>
      <c r="D184" s="138">
        <v>2540000</v>
      </c>
      <c r="E184" s="20" t="s">
        <v>733</v>
      </c>
      <c r="F184" s="20" t="s">
        <v>734</v>
      </c>
      <c r="G184" s="8" t="str">
        <f t="shared" si="2"/>
        <v>MCREYNOLDS KYLE</v>
      </c>
    </row>
    <row r="185" spans="1:7" x14ac:dyDescent="0.25">
      <c r="A185" s="8">
        <v>42972.756990740738</v>
      </c>
      <c r="B185" s="20" t="s">
        <v>438</v>
      </c>
      <c r="C185" s="20" t="s">
        <v>765</v>
      </c>
      <c r="D185" s="138">
        <v>3510000</v>
      </c>
      <c r="E185" s="20" t="s">
        <v>422</v>
      </c>
      <c r="F185" s="20" t="s">
        <v>423</v>
      </c>
      <c r="G185" s="8" t="str">
        <f t="shared" si="2"/>
        <v>BARRON PERLA</v>
      </c>
    </row>
    <row r="186" spans="1:7" x14ac:dyDescent="0.25">
      <c r="A186" s="8">
        <v>42972.757430555554</v>
      </c>
      <c r="B186" s="20" t="s">
        <v>570</v>
      </c>
      <c r="C186" s="20" t="s">
        <v>766</v>
      </c>
      <c r="D186" s="138">
        <v>2620000</v>
      </c>
      <c r="E186" s="20" t="s">
        <v>514</v>
      </c>
      <c r="F186" s="20" t="s">
        <v>515</v>
      </c>
      <c r="G186" s="8" t="str">
        <f t="shared" si="2"/>
        <v>PERKINS DARREN</v>
      </c>
    </row>
    <row r="187" spans="1:7" x14ac:dyDescent="0.25">
      <c r="A187" s="8">
        <v>42972.76116898148</v>
      </c>
      <c r="B187" s="20" t="s">
        <v>573</v>
      </c>
      <c r="C187" s="20" t="s">
        <v>767</v>
      </c>
      <c r="D187" s="138">
        <v>3280000</v>
      </c>
      <c r="E187" s="20" t="s">
        <v>510</v>
      </c>
      <c r="F187" s="20" t="s">
        <v>511</v>
      </c>
      <c r="G187" s="8" t="str">
        <f t="shared" si="2"/>
        <v>BIRKHOLZ NADINE</v>
      </c>
    </row>
    <row r="188" spans="1:7" x14ac:dyDescent="0.25">
      <c r="A188" s="8">
        <v>42972.765694444446</v>
      </c>
      <c r="B188" s="20" t="s">
        <v>456</v>
      </c>
      <c r="C188" s="20" t="s">
        <v>768</v>
      </c>
      <c r="D188" s="138">
        <v>1300000</v>
      </c>
      <c r="E188" s="20" t="s">
        <v>420</v>
      </c>
      <c r="F188" s="20" t="s">
        <v>421</v>
      </c>
      <c r="G188" s="8" t="str">
        <f t="shared" si="2"/>
        <v>LEVIN SCOTT</v>
      </c>
    </row>
    <row r="189" spans="1:7" x14ac:dyDescent="0.25">
      <c r="A189" s="8">
        <v>42972.768831018519</v>
      </c>
      <c r="B189" s="20" t="s">
        <v>498</v>
      </c>
      <c r="C189" s="20" t="s">
        <v>600</v>
      </c>
      <c r="D189" s="138">
        <v>3000000</v>
      </c>
      <c r="E189" s="20" t="s">
        <v>439</v>
      </c>
      <c r="F189" s="20" t="s">
        <v>440</v>
      </c>
      <c r="G189" s="8" t="str">
        <f t="shared" si="2"/>
        <v>FORTUNATO FRANK</v>
      </c>
    </row>
    <row r="190" spans="1:7" x14ac:dyDescent="0.25">
      <c r="A190" s="8">
        <v>42972.771145833336</v>
      </c>
      <c r="B190" s="20" t="s">
        <v>405</v>
      </c>
      <c r="C190" s="20" t="s">
        <v>769</v>
      </c>
      <c r="D190" s="138">
        <v>2540000</v>
      </c>
      <c r="E190" s="20" t="s">
        <v>733</v>
      </c>
      <c r="F190" s="20" t="s">
        <v>734</v>
      </c>
      <c r="G190" s="8" t="str">
        <f t="shared" si="2"/>
        <v>MCREYNOLDS KYLE</v>
      </c>
    </row>
    <row r="191" spans="1:7" x14ac:dyDescent="0.25">
      <c r="A191" s="8">
        <v>42972.775590277779</v>
      </c>
      <c r="B191" s="20" t="s">
        <v>576</v>
      </c>
      <c r="C191" s="20" t="s">
        <v>601</v>
      </c>
      <c r="D191" s="138">
        <v>3280000</v>
      </c>
      <c r="E191" s="20" t="s">
        <v>510</v>
      </c>
      <c r="F191" s="20" t="s">
        <v>511</v>
      </c>
      <c r="G191" s="8" t="str">
        <f t="shared" si="2"/>
        <v>BIRKHOLZ NADINE</v>
      </c>
    </row>
    <row r="192" spans="1:7" x14ac:dyDescent="0.25">
      <c r="A192" s="8">
        <v>42972.777129629627</v>
      </c>
      <c r="B192" s="20" t="s">
        <v>437</v>
      </c>
      <c r="C192" s="20" t="s">
        <v>770</v>
      </c>
      <c r="D192" s="138">
        <v>3490000</v>
      </c>
      <c r="E192" s="20" t="s">
        <v>424</v>
      </c>
      <c r="F192" s="20" t="s">
        <v>425</v>
      </c>
      <c r="G192" s="8" t="str">
        <f t="shared" si="2"/>
        <v>WEST BRYAN</v>
      </c>
    </row>
    <row r="193" spans="1:7" x14ac:dyDescent="0.25">
      <c r="A193" s="8">
        <v>42972.77857638889</v>
      </c>
      <c r="B193" s="20" t="s">
        <v>461</v>
      </c>
      <c r="C193" s="20" t="s">
        <v>771</v>
      </c>
      <c r="D193" s="138">
        <v>3500000</v>
      </c>
      <c r="E193" s="20" t="s">
        <v>416</v>
      </c>
      <c r="F193" s="20" t="s">
        <v>417</v>
      </c>
      <c r="G193" s="8" t="str">
        <f t="shared" si="2"/>
        <v>GUNTHIER ERIC</v>
      </c>
    </row>
    <row r="194" spans="1:7" x14ac:dyDescent="0.25">
      <c r="A194" s="8">
        <v>42972.787326388891</v>
      </c>
      <c r="B194" s="20" t="s">
        <v>595</v>
      </c>
      <c r="C194" s="20" t="s">
        <v>604</v>
      </c>
      <c r="D194" s="138">
        <v>2420000</v>
      </c>
      <c r="E194" s="20" t="s">
        <v>722</v>
      </c>
      <c r="F194" s="20" t="s">
        <v>723</v>
      </c>
      <c r="G194" s="8" t="str">
        <f t="shared" si="2"/>
        <v>HOLCOMB KAMDEN</v>
      </c>
    </row>
    <row r="195" spans="1:7" x14ac:dyDescent="0.25">
      <c r="A195" s="8">
        <v>42972.788344907407</v>
      </c>
      <c r="B195" s="20" t="s">
        <v>457</v>
      </c>
      <c r="C195" s="20" t="s">
        <v>772</v>
      </c>
      <c r="D195" s="138">
        <v>3310000</v>
      </c>
      <c r="E195" s="20" t="s">
        <v>773</v>
      </c>
      <c r="F195" s="20" t="s">
        <v>774</v>
      </c>
      <c r="G195" s="8" t="str">
        <f t="shared" ref="G195:G258" si="3">E195&amp;" "&amp;F195</f>
        <v>ANDERS STEVEN</v>
      </c>
    </row>
    <row r="196" spans="1:7" x14ac:dyDescent="0.25">
      <c r="A196" s="8">
        <v>42972.790937500002</v>
      </c>
      <c r="B196" s="20" t="s">
        <v>568</v>
      </c>
      <c r="C196" s="20" t="s">
        <v>602</v>
      </c>
      <c r="D196" s="138">
        <v>2620000</v>
      </c>
      <c r="E196" s="20" t="s">
        <v>514</v>
      </c>
      <c r="F196" s="20" t="s">
        <v>515</v>
      </c>
      <c r="G196" s="8" t="str">
        <f t="shared" si="3"/>
        <v>PERKINS DARREN</v>
      </c>
    </row>
    <row r="197" spans="1:7" x14ac:dyDescent="0.25">
      <c r="A197" s="8">
        <v>42972.797106481485</v>
      </c>
      <c r="B197" s="20" t="s">
        <v>407</v>
      </c>
      <c r="C197" s="20" t="s">
        <v>775</v>
      </c>
      <c r="D197" s="138">
        <v>1300000</v>
      </c>
      <c r="E197" s="20" t="s">
        <v>420</v>
      </c>
      <c r="F197" s="20" t="s">
        <v>421</v>
      </c>
      <c r="G197" s="8" t="str">
        <f t="shared" si="3"/>
        <v>LEVIN SCOTT</v>
      </c>
    </row>
    <row r="198" spans="1:7" x14ac:dyDescent="0.25">
      <c r="A198" s="8">
        <v>42972.797754629632</v>
      </c>
      <c r="B198" s="20" t="s">
        <v>496</v>
      </c>
      <c r="C198" s="20" t="s">
        <v>776</v>
      </c>
      <c r="D198" s="138">
        <v>2540000</v>
      </c>
      <c r="E198" s="20" t="s">
        <v>733</v>
      </c>
      <c r="F198" s="20" t="s">
        <v>734</v>
      </c>
      <c r="G198" s="8" t="str">
        <f t="shared" si="3"/>
        <v>MCREYNOLDS KYLE</v>
      </c>
    </row>
    <row r="199" spans="1:7" x14ac:dyDescent="0.25">
      <c r="A199" s="8">
        <v>42972.799849537034</v>
      </c>
      <c r="B199" s="20" t="s">
        <v>573</v>
      </c>
      <c r="C199" s="20" t="s">
        <v>603</v>
      </c>
      <c r="D199" s="138">
        <v>3280000</v>
      </c>
      <c r="E199" s="20" t="s">
        <v>510</v>
      </c>
      <c r="F199" s="20" t="s">
        <v>511</v>
      </c>
      <c r="G199" s="8" t="str">
        <f t="shared" si="3"/>
        <v>BIRKHOLZ NADINE</v>
      </c>
    </row>
    <row r="200" spans="1:7" x14ac:dyDescent="0.25">
      <c r="A200" s="8">
        <v>42972.800486111111</v>
      </c>
      <c r="B200" s="20" t="s">
        <v>497</v>
      </c>
      <c r="C200" s="20" t="s">
        <v>777</v>
      </c>
      <c r="D200" s="138">
        <v>3000000</v>
      </c>
      <c r="E200" s="20" t="s">
        <v>439</v>
      </c>
      <c r="F200" s="20" t="s">
        <v>440</v>
      </c>
      <c r="G200" s="8" t="str">
        <f t="shared" si="3"/>
        <v>FORTUNATO FRANK</v>
      </c>
    </row>
    <row r="201" spans="1:7" x14ac:dyDescent="0.25">
      <c r="A201" s="8">
        <v>42972.810729166667</v>
      </c>
      <c r="B201" s="20" t="s">
        <v>435</v>
      </c>
      <c r="C201" s="20" t="s">
        <v>778</v>
      </c>
      <c r="D201" s="138">
        <v>3490000</v>
      </c>
      <c r="E201" s="20" t="s">
        <v>424</v>
      </c>
      <c r="F201" s="20" t="s">
        <v>425</v>
      </c>
      <c r="G201" s="8" t="str">
        <f t="shared" si="3"/>
        <v>WEST BRYAN</v>
      </c>
    </row>
    <row r="202" spans="1:7" x14ac:dyDescent="0.25">
      <c r="A202" s="26">
        <v>42972.81763888889</v>
      </c>
      <c r="B202" s="20" t="s">
        <v>576</v>
      </c>
      <c r="C202" s="20" t="s">
        <v>779</v>
      </c>
      <c r="D202" s="138">
        <v>3280000</v>
      </c>
      <c r="E202" s="20" t="s">
        <v>510</v>
      </c>
      <c r="F202" s="20" t="s">
        <v>511</v>
      </c>
      <c r="G202" s="8" t="str">
        <f t="shared" si="3"/>
        <v>BIRKHOLZ NADINE</v>
      </c>
    </row>
    <row r="203" spans="1:7" x14ac:dyDescent="0.25">
      <c r="A203" s="8">
        <v>42972.817870370367</v>
      </c>
      <c r="B203" s="20" t="s">
        <v>635</v>
      </c>
      <c r="C203" s="20" t="s">
        <v>780</v>
      </c>
      <c r="D203" s="138">
        <v>2420000</v>
      </c>
      <c r="E203" s="20" t="s">
        <v>722</v>
      </c>
      <c r="F203" s="20" t="s">
        <v>723</v>
      </c>
      <c r="G203" s="8" t="str">
        <f t="shared" si="3"/>
        <v>HOLCOMB KAMDEN</v>
      </c>
    </row>
    <row r="204" spans="1:7" x14ac:dyDescent="0.25">
      <c r="A204" s="8">
        <v>42972.829097222224</v>
      </c>
      <c r="B204" s="20" t="s">
        <v>570</v>
      </c>
      <c r="C204" s="20" t="s">
        <v>781</v>
      </c>
      <c r="D204" s="138">
        <v>2620000</v>
      </c>
      <c r="E204" s="20" t="s">
        <v>514</v>
      </c>
      <c r="F204" s="20" t="s">
        <v>515</v>
      </c>
      <c r="G204" s="8" t="str">
        <f t="shared" si="3"/>
        <v>PERKINS DARREN</v>
      </c>
    </row>
    <row r="205" spans="1:7" x14ac:dyDescent="0.25">
      <c r="A205" s="8">
        <v>42972.829467592594</v>
      </c>
      <c r="B205" s="20" t="s">
        <v>438</v>
      </c>
      <c r="C205" s="20" t="s">
        <v>782</v>
      </c>
      <c r="D205" s="138">
        <v>3310000</v>
      </c>
      <c r="E205" s="20" t="s">
        <v>773</v>
      </c>
      <c r="F205" s="20" t="s">
        <v>774</v>
      </c>
      <c r="G205" s="8" t="str">
        <f t="shared" si="3"/>
        <v>ANDERS STEVEN</v>
      </c>
    </row>
    <row r="206" spans="1:7" x14ac:dyDescent="0.25">
      <c r="A206" s="8">
        <v>42972.834351851852</v>
      </c>
      <c r="B206" s="20" t="s">
        <v>573</v>
      </c>
      <c r="C206" s="20" t="s">
        <v>783</v>
      </c>
      <c r="D206" s="138">
        <v>3280000</v>
      </c>
      <c r="E206" s="20" t="s">
        <v>510</v>
      </c>
      <c r="F206" s="20" t="s">
        <v>511</v>
      </c>
      <c r="G206" s="8" t="str">
        <f t="shared" si="3"/>
        <v>BIRKHOLZ NADINE</v>
      </c>
    </row>
    <row r="207" spans="1:7" x14ac:dyDescent="0.25">
      <c r="A207" s="8">
        <v>42972.842361111114</v>
      </c>
      <c r="B207" s="20" t="s">
        <v>498</v>
      </c>
      <c r="C207" s="20" t="s">
        <v>784</v>
      </c>
      <c r="D207" s="138">
        <v>3000000</v>
      </c>
      <c r="E207" s="20" t="s">
        <v>439</v>
      </c>
      <c r="F207" s="20" t="s">
        <v>440</v>
      </c>
      <c r="G207" s="8" t="str">
        <f t="shared" si="3"/>
        <v>FORTUNATO FRANK</v>
      </c>
    </row>
    <row r="208" spans="1:7" x14ac:dyDescent="0.25">
      <c r="A208" s="8">
        <v>42972.850740740738</v>
      </c>
      <c r="B208" s="20" t="s">
        <v>437</v>
      </c>
      <c r="C208" s="20" t="s">
        <v>785</v>
      </c>
      <c r="D208" s="138">
        <v>3490000</v>
      </c>
      <c r="E208" s="20" t="s">
        <v>424</v>
      </c>
      <c r="F208" s="20" t="s">
        <v>425</v>
      </c>
      <c r="G208" s="8" t="str">
        <f t="shared" si="3"/>
        <v>WEST BRYAN</v>
      </c>
    </row>
    <row r="209" spans="1:7" x14ac:dyDescent="0.25">
      <c r="A209" s="8">
        <v>42972.859537037039</v>
      </c>
      <c r="B209" s="20" t="s">
        <v>576</v>
      </c>
      <c r="C209" s="20" t="s">
        <v>786</v>
      </c>
      <c r="D209" s="138">
        <v>3280000</v>
      </c>
      <c r="E209" s="20" t="s">
        <v>510</v>
      </c>
      <c r="F209" s="20" t="s">
        <v>511</v>
      </c>
      <c r="G209" s="8" t="str">
        <f t="shared" si="3"/>
        <v>BIRKHOLZ NADINE</v>
      </c>
    </row>
    <row r="210" spans="1:7" x14ac:dyDescent="0.25">
      <c r="A210" s="8">
        <v>42972.866249999999</v>
      </c>
      <c r="B210" s="20" t="s">
        <v>568</v>
      </c>
      <c r="C210" s="20" t="s">
        <v>787</v>
      </c>
      <c r="D210" s="138">
        <v>2620000</v>
      </c>
      <c r="E210" s="20" t="s">
        <v>514</v>
      </c>
      <c r="F210" s="20" t="s">
        <v>515</v>
      </c>
      <c r="G210" s="8" t="str">
        <f t="shared" si="3"/>
        <v>PERKINS DARREN</v>
      </c>
    </row>
    <row r="211" spans="1:7" x14ac:dyDescent="0.25">
      <c r="A211" s="8">
        <v>42972.868356481478</v>
      </c>
      <c r="B211" s="20" t="s">
        <v>457</v>
      </c>
      <c r="C211" s="20" t="s">
        <v>788</v>
      </c>
      <c r="D211" s="138">
        <v>3090000</v>
      </c>
      <c r="E211" s="20" t="s">
        <v>468</v>
      </c>
      <c r="F211" s="20" t="s">
        <v>469</v>
      </c>
      <c r="G211" s="8" t="str">
        <f t="shared" si="3"/>
        <v>LAMAR NEKESHA</v>
      </c>
    </row>
    <row r="212" spans="1:7" x14ac:dyDescent="0.25">
      <c r="A212" s="8">
        <v>42972.876979166664</v>
      </c>
      <c r="B212" s="20" t="s">
        <v>573</v>
      </c>
      <c r="C212" s="20" t="s">
        <v>789</v>
      </c>
      <c r="D212" s="138">
        <v>3280000</v>
      </c>
      <c r="E212" s="20" t="s">
        <v>510</v>
      </c>
      <c r="F212" s="20" t="s">
        <v>511</v>
      </c>
      <c r="G212" s="8" t="str">
        <f t="shared" si="3"/>
        <v>BIRKHOLZ NADINE</v>
      </c>
    </row>
    <row r="213" spans="1:7" x14ac:dyDescent="0.25">
      <c r="A213" s="8">
        <v>42972.881840277776</v>
      </c>
      <c r="B213" s="20" t="s">
        <v>497</v>
      </c>
      <c r="C213" s="20" t="s">
        <v>606</v>
      </c>
      <c r="D213" s="138">
        <v>3000000</v>
      </c>
      <c r="E213" s="20" t="s">
        <v>439</v>
      </c>
      <c r="F213" s="20" t="s">
        <v>440</v>
      </c>
      <c r="G213" s="8" t="str">
        <f t="shared" si="3"/>
        <v>FORTUNATO FRANK</v>
      </c>
    </row>
    <row r="214" spans="1:7" x14ac:dyDescent="0.25">
      <c r="A214" s="8">
        <v>42972.893495370372</v>
      </c>
      <c r="B214" s="20" t="s">
        <v>435</v>
      </c>
      <c r="C214" s="20" t="s">
        <v>605</v>
      </c>
      <c r="D214" s="138">
        <v>3490000</v>
      </c>
      <c r="E214" s="20" t="s">
        <v>424</v>
      </c>
      <c r="F214" s="20" t="s">
        <v>425</v>
      </c>
      <c r="G214" s="8" t="str">
        <f t="shared" si="3"/>
        <v>WEST BRYAN</v>
      </c>
    </row>
    <row r="215" spans="1:7" x14ac:dyDescent="0.25">
      <c r="A215" s="8">
        <v>42972.901608796295</v>
      </c>
      <c r="B215" s="20" t="s">
        <v>576</v>
      </c>
      <c r="C215" s="20" t="s">
        <v>790</v>
      </c>
      <c r="D215" s="138">
        <v>3280000</v>
      </c>
      <c r="E215" s="20" t="s">
        <v>510</v>
      </c>
      <c r="F215" s="20" t="s">
        <v>511</v>
      </c>
      <c r="G215" s="8" t="str">
        <f t="shared" si="3"/>
        <v>BIRKHOLZ NADINE</v>
      </c>
    </row>
    <row r="216" spans="1:7" x14ac:dyDescent="0.25">
      <c r="A216" s="8">
        <v>42972.9065162037</v>
      </c>
      <c r="B216" s="20" t="s">
        <v>570</v>
      </c>
      <c r="C216" s="20" t="s">
        <v>791</v>
      </c>
      <c r="D216" s="138">
        <v>3220000</v>
      </c>
      <c r="E216" s="20" t="s">
        <v>466</v>
      </c>
      <c r="F216" s="20" t="s">
        <v>467</v>
      </c>
      <c r="G216" s="8" t="str">
        <f t="shared" si="3"/>
        <v>RESPASS AARON</v>
      </c>
    </row>
    <row r="217" spans="1:7" x14ac:dyDescent="0.25">
      <c r="A217" s="8">
        <v>42972.912847222222</v>
      </c>
      <c r="B217" s="20" t="s">
        <v>438</v>
      </c>
      <c r="C217" s="20" t="s">
        <v>792</v>
      </c>
      <c r="D217" s="138">
        <v>3090000</v>
      </c>
      <c r="E217" s="20" t="s">
        <v>468</v>
      </c>
      <c r="F217" s="20" t="s">
        <v>469</v>
      </c>
      <c r="G217" s="8" t="str">
        <f t="shared" si="3"/>
        <v>LAMAR NEKESHA</v>
      </c>
    </row>
    <row r="218" spans="1:7" x14ac:dyDescent="0.25">
      <c r="A218" s="8">
        <v>42972.917731481481</v>
      </c>
      <c r="B218" s="20" t="s">
        <v>573</v>
      </c>
      <c r="C218" s="20" t="s">
        <v>607</v>
      </c>
      <c r="D218" s="138">
        <v>2540000</v>
      </c>
      <c r="E218" s="20" t="s">
        <v>733</v>
      </c>
      <c r="F218" s="20" t="s">
        <v>734</v>
      </c>
      <c r="G218" s="8" t="str">
        <f t="shared" si="3"/>
        <v>MCREYNOLDS KYLE</v>
      </c>
    </row>
    <row r="219" spans="1:7" x14ac:dyDescent="0.25">
      <c r="A219" s="8">
        <v>42972.924085648148</v>
      </c>
      <c r="B219" s="20" t="s">
        <v>498</v>
      </c>
      <c r="C219" s="20" t="s">
        <v>793</v>
      </c>
      <c r="D219" s="138">
        <v>3000000</v>
      </c>
      <c r="E219" s="20" t="s">
        <v>439</v>
      </c>
      <c r="F219" s="20" t="s">
        <v>440</v>
      </c>
      <c r="G219" s="8" t="str">
        <f t="shared" si="3"/>
        <v>FORTUNATO FRANK</v>
      </c>
    </row>
    <row r="220" spans="1:7" x14ac:dyDescent="0.25">
      <c r="A220" s="8">
        <v>42972.929363425923</v>
      </c>
      <c r="B220" s="20" t="s">
        <v>437</v>
      </c>
      <c r="C220" s="20" t="s">
        <v>794</v>
      </c>
      <c r="D220" s="138">
        <v>3490000</v>
      </c>
      <c r="E220" s="20" t="s">
        <v>424</v>
      </c>
      <c r="F220" s="20" t="s">
        <v>425</v>
      </c>
      <c r="G220" s="8" t="str">
        <f t="shared" si="3"/>
        <v>WEST BRYAN</v>
      </c>
    </row>
    <row r="221" spans="1:7" x14ac:dyDescent="0.25">
      <c r="A221" s="8">
        <v>42972.944571759261</v>
      </c>
      <c r="B221" s="20" t="s">
        <v>576</v>
      </c>
      <c r="C221" s="20" t="s">
        <v>795</v>
      </c>
      <c r="D221" s="138">
        <v>2540000</v>
      </c>
      <c r="E221" s="20" t="s">
        <v>733</v>
      </c>
      <c r="F221" s="20" t="s">
        <v>734</v>
      </c>
      <c r="G221" s="8" t="str">
        <f t="shared" si="3"/>
        <v>MCREYNOLDS KYLE</v>
      </c>
    </row>
    <row r="222" spans="1:7" x14ac:dyDescent="0.25">
      <c r="A222" s="8">
        <v>42972.952511574076</v>
      </c>
      <c r="B222" s="20" t="s">
        <v>568</v>
      </c>
      <c r="C222" s="20" t="s">
        <v>796</v>
      </c>
      <c r="D222" s="138">
        <v>3220000</v>
      </c>
      <c r="E222" s="20" t="s">
        <v>466</v>
      </c>
      <c r="F222" s="20" t="s">
        <v>467</v>
      </c>
      <c r="G222" s="8" t="str">
        <f t="shared" si="3"/>
        <v>RESPASS AARON</v>
      </c>
    </row>
    <row r="223" spans="1:7" x14ac:dyDescent="0.25">
      <c r="A223" s="8">
        <v>42972.95449074074</v>
      </c>
      <c r="B223" s="20" t="s">
        <v>457</v>
      </c>
      <c r="C223" s="20" t="s">
        <v>797</v>
      </c>
      <c r="D223" s="138">
        <v>3310000</v>
      </c>
      <c r="E223" s="20" t="s">
        <v>773</v>
      </c>
      <c r="F223" s="20" t="s">
        <v>774</v>
      </c>
      <c r="G223" s="8" t="str">
        <f t="shared" si="3"/>
        <v>ANDERS STEVEN</v>
      </c>
    </row>
    <row r="224" spans="1:7" x14ac:dyDescent="0.25">
      <c r="A224" s="8">
        <v>42972.965046296296</v>
      </c>
      <c r="B224" t="s">
        <v>497</v>
      </c>
      <c r="C224" t="s">
        <v>798</v>
      </c>
      <c r="D224" s="138">
        <v>3000000</v>
      </c>
      <c r="E224" t="s">
        <v>439</v>
      </c>
      <c r="F224" s="20" t="s">
        <v>440</v>
      </c>
      <c r="G224" s="8" t="str">
        <f t="shared" si="3"/>
        <v>FORTUNATO FRANK</v>
      </c>
    </row>
    <row r="225" spans="1:7" x14ac:dyDescent="0.25">
      <c r="A225" s="8">
        <v>42972.975856481484</v>
      </c>
      <c r="B225" t="s">
        <v>435</v>
      </c>
      <c r="C225" t="s">
        <v>799</v>
      </c>
      <c r="D225" s="138">
        <v>3490000</v>
      </c>
      <c r="E225" t="s">
        <v>424</v>
      </c>
      <c r="F225" s="20" t="s">
        <v>425</v>
      </c>
      <c r="G225" s="8" t="str">
        <f t="shared" si="3"/>
        <v>WEST BRYAN</v>
      </c>
    </row>
    <row r="226" spans="1:7" x14ac:dyDescent="0.25">
      <c r="A226" s="8">
        <v>42972.98678240741</v>
      </c>
      <c r="B226" t="s">
        <v>570</v>
      </c>
      <c r="C226" t="s">
        <v>800</v>
      </c>
      <c r="D226" s="138">
        <v>2620000</v>
      </c>
      <c r="E226" t="s">
        <v>514</v>
      </c>
      <c r="F226" s="20" t="s">
        <v>515</v>
      </c>
      <c r="G226" s="8" t="str">
        <f t="shared" si="3"/>
        <v>PERKINS DARREN</v>
      </c>
    </row>
    <row r="227" spans="1:7" x14ac:dyDescent="0.25">
      <c r="A227" s="8">
        <v>42972.996168981481</v>
      </c>
      <c r="B227" t="s">
        <v>438</v>
      </c>
      <c r="C227" t="s">
        <v>801</v>
      </c>
      <c r="D227" s="138">
        <v>3310000</v>
      </c>
      <c r="E227" t="s">
        <v>773</v>
      </c>
      <c r="F227" s="20" t="s">
        <v>774</v>
      </c>
      <c r="G227" s="8" t="str">
        <f t="shared" si="3"/>
        <v>ANDERS STEVEN</v>
      </c>
    </row>
    <row r="228" spans="1:7" x14ac:dyDescent="0.25">
      <c r="A228" s="8">
        <v>42973.005844907406</v>
      </c>
      <c r="B228" t="s">
        <v>498</v>
      </c>
      <c r="C228" t="s">
        <v>802</v>
      </c>
      <c r="D228" s="138">
        <v>3000000</v>
      </c>
      <c r="E228" t="s">
        <v>439</v>
      </c>
      <c r="F228" s="20" t="s">
        <v>440</v>
      </c>
      <c r="G228" s="8" t="str">
        <f t="shared" si="3"/>
        <v>FORTUNATO FRANK</v>
      </c>
    </row>
    <row r="229" spans="1:7" x14ac:dyDescent="0.25">
      <c r="A229" s="8">
        <v>42973.017291666663</v>
      </c>
      <c r="B229" t="s">
        <v>437</v>
      </c>
      <c r="C229" t="s">
        <v>803</v>
      </c>
      <c r="D229" s="138">
        <v>3490000</v>
      </c>
      <c r="E229" t="s">
        <v>424</v>
      </c>
      <c r="F229" s="20" t="s">
        <v>425</v>
      </c>
      <c r="G229" s="8" t="str">
        <f t="shared" si="3"/>
        <v>WEST BRYAN</v>
      </c>
    </row>
    <row r="230" spans="1:7" x14ac:dyDescent="0.25">
      <c r="A230" s="8">
        <v>42973.027824074074</v>
      </c>
      <c r="B230" t="s">
        <v>568</v>
      </c>
      <c r="C230" t="s">
        <v>608</v>
      </c>
      <c r="D230" s="138">
        <v>2620000</v>
      </c>
      <c r="E230" t="s">
        <v>514</v>
      </c>
      <c r="F230" s="20" t="s">
        <v>515</v>
      </c>
      <c r="G230" s="8" t="str">
        <f t="shared" si="3"/>
        <v>PERKINS DARREN</v>
      </c>
    </row>
    <row r="231" spans="1:7" x14ac:dyDescent="0.25">
      <c r="A231" s="8">
        <v>42973.047534722224</v>
      </c>
      <c r="B231" t="s">
        <v>435</v>
      </c>
      <c r="C231" t="s">
        <v>804</v>
      </c>
      <c r="D231" s="138">
        <v>3490000</v>
      </c>
      <c r="E231" t="s">
        <v>424</v>
      </c>
      <c r="F231" s="20" t="s">
        <v>425</v>
      </c>
      <c r="G231" s="8" t="str">
        <f t="shared" si="3"/>
        <v>WEST BRYAN</v>
      </c>
    </row>
    <row r="232" spans="1:7" x14ac:dyDescent="0.25">
      <c r="A232" s="8">
        <v>42973.048460648148</v>
      </c>
      <c r="B232" t="s">
        <v>497</v>
      </c>
      <c r="C232" t="s">
        <v>805</v>
      </c>
      <c r="D232" s="138">
        <v>3000000</v>
      </c>
      <c r="E232" t="s">
        <v>439</v>
      </c>
      <c r="F232" s="20" t="s">
        <v>440</v>
      </c>
      <c r="G232" s="8" t="str">
        <f t="shared" si="3"/>
        <v>FORTUNATO FRANK</v>
      </c>
    </row>
    <row r="233" spans="1:7" x14ac:dyDescent="0.25">
      <c r="A233" s="8">
        <v>42973.069467592592</v>
      </c>
      <c r="B233" t="s">
        <v>570</v>
      </c>
      <c r="C233" t="s">
        <v>806</v>
      </c>
      <c r="D233" s="138">
        <v>2620000</v>
      </c>
      <c r="E233" t="s">
        <v>514</v>
      </c>
      <c r="F233" s="20" t="s">
        <v>515</v>
      </c>
      <c r="G233" s="8" t="str">
        <f t="shared" si="3"/>
        <v>PERKINS DARREN</v>
      </c>
    </row>
    <row r="234" spans="1:7" x14ac:dyDescent="0.25">
      <c r="A234" s="8">
        <v>42973.078472222223</v>
      </c>
      <c r="B234" t="s">
        <v>438</v>
      </c>
      <c r="C234" t="s">
        <v>807</v>
      </c>
      <c r="D234" s="138">
        <v>3090000</v>
      </c>
      <c r="E234" t="s">
        <v>468</v>
      </c>
      <c r="F234" s="20" t="s">
        <v>469</v>
      </c>
      <c r="G234" s="8" t="str">
        <f t="shared" si="3"/>
        <v>LAMAR NEKESHA</v>
      </c>
    </row>
    <row r="235" spans="1:7" x14ac:dyDescent="0.25">
      <c r="A235" s="8">
        <v>42973.089259259257</v>
      </c>
      <c r="B235" t="s">
        <v>498</v>
      </c>
      <c r="C235" t="s">
        <v>808</v>
      </c>
      <c r="D235" s="138">
        <v>3000000</v>
      </c>
      <c r="E235" t="s">
        <v>439</v>
      </c>
      <c r="F235" s="20" t="s">
        <v>440</v>
      </c>
      <c r="G235" s="8" t="str">
        <f t="shared" si="3"/>
        <v>FORTUNATO FRANK</v>
      </c>
    </row>
    <row r="236" spans="1:7" x14ac:dyDescent="0.25">
      <c r="A236" s="8">
        <v>42973.110034722224</v>
      </c>
      <c r="B236" t="s">
        <v>457</v>
      </c>
      <c r="C236" t="s">
        <v>809</v>
      </c>
      <c r="D236" s="138">
        <v>3090000</v>
      </c>
      <c r="E236" t="s">
        <v>468</v>
      </c>
      <c r="F236" s="20" t="s">
        <v>469</v>
      </c>
      <c r="G236" s="8" t="str">
        <f t="shared" si="3"/>
        <v>LAMAR NEKESHA</v>
      </c>
    </row>
    <row r="237" spans="1:7" x14ac:dyDescent="0.25">
      <c r="A237" s="8">
        <v>42973.113935185182</v>
      </c>
      <c r="B237" t="s">
        <v>500</v>
      </c>
      <c r="C237" t="s">
        <v>810</v>
      </c>
      <c r="D237" s="138">
        <v>2010000</v>
      </c>
      <c r="E237" t="s">
        <v>811</v>
      </c>
      <c r="F237" s="20" t="s">
        <v>812</v>
      </c>
      <c r="G237" s="8" t="str">
        <f t="shared" si="3"/>
        <v>MAELZER KURT</v>
      </c>
    </row>
    <row r="238" spans="1:7" x14ac:dyDescent="0.25">
      <c r="A238" s="8">
        <v>42972.047430555554</v>
      </c>
      <c r="B238" t="s">
        <v>383</v>
      </c>
      <c r="C238" t="s">
        <v>499</v>
      </c>
      <c r="D238" s="138">
        <v>3000000</v>
      </c>
      <c r="E238" t="s">
        <v>439</v>
      </c>
      <c r="F238" s="20" t="s">
        <v>440</v>
      </c>
      <c r="G238" s="8" t="str">
        <f t="shared" si="3"/>
        <v>FORTUNATO FRANK</v>
      </c>
    </row>
    <row r="239" spans="1:7" x14ac:dyDescent="0.25">
      <c r="A239" s="8">
        <v>42972.049305555556</v>
      </c>
      <c r="B239" t="s">
        <v>408</v>
      </c>
      <c r="C239" t="s">
        <v>519</v>
      </c>
      <c r="D239" s="138">
        <v>3490000</v>
      </c>
      <c r="E239" t="s">
        <v>424</v>
      </c>
      <c r="F239" s="20" t="s">
        <v>425</v>
      </c>
      <c r="G239" s="8" t="str">
        <f t="shared" si="3"/>
        <v>WEST BRYAN</v>
      </c>
    </row>
    <row r="240" spans="1:7" x14ac:dyDescent="0.25">
      <c r="A240" s="8">
        <v>42972.050162037034</v>
      </c>
      <c r="B240" t="s">
        <v>408</v>
      </c>
      <c r="C240" t="s">
        <v>519</v>
      </c>
      <c r="D240" s="138">
        <v>3490000</v>
      </c>
      <c r="E240" t="s">
        <v>424</v>
      </c>
      <c r="F240" s="20" t="s">
        <v>425</v>
      </c>
      <c r="G240" s="8" t="str">
        <f t="shared" si="3"/>
        <v>WEST BRYAN</v>
      </c>
    </row>
    <row r="241" spans="1:7" x14ac:dyDescent="0.25">
      <c r="A241" s="8">
        <v>42972.051261574074</v>
      </c>
      <c r="B241" t="s">
        <v>408</v>
      </c>
      <c r="C241" t="s">
        <v>519</v>
      </c>
      <c r="D241" s="138">
        <v>3490000</v>
      </c>
      <c r="E241" t="s">
        <v>424</v>
      </c>
      <c r="F241" s="20" t="s">
        <v>425</v>
      </c>
      <c r="G241" s="8" t="str">
        <f t="shared" si="3"/>
        <v>WEST BRYAN</v>
      </c>
    </row>
    <row r="242" spans="1:7" x14ac:dyDescent="0.25">
      <c r="A242" s="8">
        <v>42972.068784722222</v>
      </c>
      <c r="B242" t="s">
        <v>495</v>
      </c>
      <c r="C242" t="s">
        <v>520</v>
      </c>
      <c r="D242" s="138">
        <v>2620000</v>
      </c>
      <c r="E242" t="s">
        <v>514</v>
      </c>
      <c r="F242" s="20" t="s">
        <v>515</v>
      </c>
      <c r="G242" s="8" t="str">
        <f t="shared" si="3"/>
        <v>PERKINS DARREN</v>
      </c>
    </row>
    <row r="243" spans="1:7" x14ac:dyDescent="0.25">
      <c r="A243" s="8">
        <v>42972.09034722222</v>
      </c>
      <c r="B243" t="s">
        <v>458</v>
      </c>
      <c r="C243" t="s">
        <v>521</v>
      </c>
      <c r="D243" s="138">
        <v>3000000</v>
      </c>
      <c r="E243" t="s">
        <v>439</v>
      </c>
      <c r="F243" s="20" t="s">
        <v>440</v>
      </c>
      <c r="G243" s="8" t="str">
        <f t="shared" si="3"/>
        <v>FORTUNATO FRANK</v>
      </c>
    </row>
    <row r="244" spans="1:7" x14ac:dyDescent="0.25">
      <c r="A244" s="8">
        <v>42970.931840277779</v>
      </c>
      <c r="B244" t="s">
        <v>456</v>
      </c>
      <c r="C244" t="s">
        <v>470</v>
      </c>
      <c r="D244" s="138">
        <v>3220000</v>
      </c>
      <c r="E244" t="s">
        <v>466</v>
      </c>
      <c r="F244" s="20" t="s">
        <v>467</v>
      </c>
      <c r="G244" s="8" t="str">
        <f t="shared" si="3"/>
        <v>RESPASS AARON</v>
      </c>
    </row>
    <row r="245" spans="1:7" x14ac:dyDescent="0.25">
      <c r="A245" s="8">
        <v>42970.933692129627</v>
      </c>
      <c r="B245" t="s">
        <v>435</v>
      </c>
      <c r="C245" t="s">
        <v>471</v>
      </c>
      <c r="D245" s="138">
        <v>3090000</v>
      </c>
      <c r="E245" t="s">
        <v>468</v>
      </c>
      <c r="F245" s="20" t="s">
        <v>469</v>
      </c>
      <c r="G245" s="8" t="str">
        <f t="shared" si="3"/>
        <v>LAMAR NEKESHA</v>
      </c>
    </row>
    <row r="246" spans="1:7" x14ac:dyDescent="0.25">
      <c r="A246" s="8">
        <v>42970.942280092589</v>
      </c>
      <c r="B246" t="s">
        <v>459</v>
      </c>
      <c r="C246" t="s">
        <v>472</v>
      </c>
      <c r="D246" s="138">
        <v>3510000</v>
      </c>
      <c r="E246" t="s">
        <v>422</v>
      </c>
      <c r="F246" s="20" t="s">
        <v>423</v>
      </c>
      <c r="G246" s="8" t="str">
        <f t="shared" si="3"/>
        <v>BARRON PERLA</v>
      </c>
    </row>
    <row r="247" spans="1:7" x14ac:dyDescent="0.25">
      <c r="A247" s="8">
        <v>42970.944097222222</v>
      </c>
      <c r="B247" t="s">
        <v>461</v>
      </c>
      <c r="C247" t="s">
        <v>473</v>
      </c>
      <c r="D247" s="138">
        <v>3000000</v>
      </c>
      <c r="E247" t="s">
        <v>439</v>
      </c>
      <c r="F247" s="20" t="s">
        <v>440</v>
      </c>
      <c r="G247" s="8" t="str">
        <f t="shared" si="3"/>
        <v>FORTUNATO FRANK</v>
      </c>
    </row>
    <row r="248" spans="1:7" x14ac:dyDescent="0.25">
      <c r="A248" s="8">
        <v>42970.952511574076</v>
      </c>
      <c r="B248" t="s">
        <v>399</v>
      </c>
      <c r="C248" t="s">
        <v>474</v>
      </c>
      <c r="D248" s="138">
        <v>3490000</v>
      </c>
      <c r="E248" t="s">
        <v>424</v>
      </c>
      <c r="F248" s="20" t="s">
        <v>425</v>
      </c>
      <c r="G248" s="8" t="str">
        <f t="shared" si="3"/>
        <v>WEST BRYAN</v>
      </c>
    </row>
    <row r="249" spans="1:7" x14ac:dyDescent="0.25">
      <c r="A249" s="8">
        <v>42970.973252314812</v>
      </c>
      <c r="B249" t="s">
        <v>437</v>
      </c>
      <c r="C249" t="s">
        <v>475</v>
      </c>
      <c r="D249" s="138">
        <v>3090000</v>
      </c>
      <c r="E249" t="s">
        <v>468</v>
      </c>
      <c r="F249" s="20" t="s">
        <v>469</v>
      </c>
      <c r="G249" s="8" t="str">
        <f t="shared" si="3"/>
        <v>LAMAR NEKESHA</v>
      </c>
    </row>
    <row r="250" spans="1:7" x14ac:dyDescent="0.25">
      <c r="A250" s="8">
        <v>42970.976006944446</v>
      </c>
      <c r="B250" t="s">
        <v>407</v>
      </c>
      <c r="C250" t="s">
        <v>476</v>
      </c>
      <c r="D250" s="138">
        <v>3220000</v>
      </c>
      <c r="E250" t="s">
        <v>466</v>
      </c>
      <c r="F250" s="20" t="s">
        <v>467</v>
      </c>
      <c r="G250" s="8" t="str">
        <f t="shared" si="3"/>
        <v>RESPASS AARON</v>
      </c>
    </row>
    <row r="251" spans="1:7" x14ac:dyDescent="0.25">
      <c r="A251" s="8">
        <v>42970.985254629632</v>
      </c>
      <c r="B251" t="s">
        <v>455</v>
      </c>
      <c r="C251" t="s">
        <v>477</v>
      </c>
      <c r="D251" s="138">
        <v>3000000</v>
      </c>
      <c r="E251" t="s">
        <v>439</v>
      </c>
      <c r="F251" s="20" t="s">
        <v>440</v>
      </c>
      <c r="G251" s="8" t="str">
        <f t="shared" si="3"/>
        <v>FORTUNATO FRANK</v>
      </c>
    </row>
    <row r="252" spans="1:7" x14ac:dyDescent="0.25">
      <c r="A252" s="8">
        <v>42970.986562500002</v>
      </c>
      <c r="B252" t="s">
        <v>400</v>
      </c>
      <c r="C252" t="s">
        <v>478</v>
      </c>
      <c r="D252" s="138">
        <v>3490000</v>
      </c>
      <c r="E252" t="s">
        <v>424</v>
      </c>
      <c r="F252" s="20" t="s">
        <v>425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456</v>
      </c>
      <c r="C253" t="s">
        <v>479</v>
      </c>
      <c r="D253" s="138">
        <v>3220000</v>
      </c>
      <c r="E253" t="s">
        <v>466</v>
      </c>
      <c r="F253" s="20" t="s">
        <v>467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435</v>
      </c>
      <c r="C254" t="s">
        <v>480</v>
      </c>
      <c r="D254" s="138">
        <v>3090000</v>
      </c>
      <c r="E254" t="s">
        <v>468</v>
      </c>
      <c r="F254" s="20" t="s">
        <v>469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461</v>
      </c>
      <c r="C255" t="s">
        <v>481</v>
      </c>
      <c r="D255" s="138">
        <v>3000000</v>
      </c>
      <c r="E255" t="s">
        <v>439</v>
      </c>
      <c r="F255" s="20" t="s">
        <v>440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399</v>
      </c>
      <c r="C256" t="s">
        <v>482</v>
      </c>
      <c r="D256" s="138">
        <v>3490000</v>
      </c>
      <c r="E256" t="s">
        <v>424</v>
      </c>
      <c r="F256" s="20" t="s">
        <v>425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407</v>
      </c>
      <c r="C257" t="s">
        <v>483</v>
      </c>
      <c r="D257" s="138">
        <v>3220000</v>
      </c>
      <c r="E257" t="s">
        <v>466</v>
      </c>
      <c r="F257" s="20" t="s">
        <v>467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437</v>
      </c>
      <c r="C258" t="s">
        <v>484</v>
      </c>
      <c r="D258" s="138">
        <v>3090000</v>
      </c>
      <c r="E258" t="s">
        <v>468</v>
      </c>
      <c r="F258" s="20" t="s">
        <v>469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400</v>
      </c>
      <c r="C259" t="s">
        <v>485</v>
      </c>
      <c r="D259" s="138">
        <v>3490000</v>
      </c>
      <c r="E259" t="s">
        <v>424</v>
      </c>
      <c r="F259" s="20" t="s">
        <v>425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435</v>
      </c>
      <c r="C260" t="s">
        <v>486</v>
      </c>
      <c r="D260" s="138">
        <v>3090000</v>
      </c>
      <c r="E260" t="s">
        <v>468</v>
      </c>
      <c r="F260" s="20" t="s">
        <v>469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355</v>
      </c>
      <c r="O1" s="171" t="s">
        <v>156</v>
      </c>
      <c r="P1" s="171" t="s">
        <v>163</v>
      </c>
      <c r="Q1" s="171" t="s">
        <v>356</v>
      </c>
      <c r="R1" s="171" t="s">
        <v>160</v>
      </c>
      <c r="S1"/>
    </row>
    <row r="2" spans="1:19" x14ac:dyDescent="0.25">
      <c r="A2" s="172">
        <v>63.1</v>
      </c>
      <c r="B2" s="172">
        <v>0.02</v>
      </c>
      <c r="C2" s="172">
        <v>44.53</v>
      </c>
      <c r="D2" s="8">
        <v>42972</v>
      </c>
      <c r="E2" s="172">
        <v>0.51</v>
      </c>
      <c r="F2" s="172" t="s">
        <v>381</v>
      </c>
      <c r="G2" s="172">
        <v>293.33999999999997</v>
      </c>
      <c r="H2" s="172">
        <v>0</v>
      </c>
      <c r="I2" s="172">
        <v>0</v>
      </c>
      <c r="J2" s="172">
        <v>1010.4</v>
      </c>
      <c r="K2" s="172" t="s">
        <v>380</v>
      </c>
      <c r="L2" s="172">
        <v>63.1</v>
      </c>
      <c r="M2" s="172">
        <v>1503640800</v>
      </c>
      <c r="N2" s="172">
        <v>0</v>
      </c>
      <c r="O2" s="172">
        <v>3.46</v>
      </c>
      <c r="P2" s="172">
        <v>208</v>
      </c>
      <c r="Q2" s="172">
        <v>4.21</v>
      </c>
      <c r="R2" s="172">
        <v>1.91</v>
      </c>
      <c r="S2"/>
    </row>
    <row r="3" spans="1:19" x14ac:dyDescent="0.25">
      <c r="A3" s="172">
        <v>61.22</v>
      </c>
      <c r="B3" s="172">
        <v>0</v>
      </c>
      <c r="C3" s="172">
        <v>44.27</v>
      </c>
      <c r="D3" s="8">
        <v>42972.041666666664</v>
      </c>
      <c r="E3" s="172">
        <v>0.54</v>
      </c>
      <c r="F3" s="172" t="s">
        <v>381</v>
      </c>
      <c r="G3" s="172">
        <v>293.35000000000002</v>
      </c>
      <c r="H3" s="172">
        <v>0</v>
      </c>
      <c r="I3" s="172">
        <v>0</v>
      </c>
      <c r="J3" s="172">
        <v>1010.72</v>
      </c>
      <c r="K3" s="172" t="s">
        <v>380</v>
      </c>
      <c r="L3" s="172">
        <v>61.22</v>
      </c>
      <c r="M3" s="172">
        <v>1503644400</v>
      </c>
      <c r="N3" s="172">
        <v>0</v>
      </c>
      <c r="O3" s="172">
        <v>3.32</v>
      </c>
      <c r="P3" s="172">
        <v>196</v>
      </c>
      <c r="Q3" s="172">
        <v>3.7</v>
      </c>
      <c r="R3" s="172">
        <v>1.45</v>
      </c>
      <c r="S3"/>
    </row>
    <row r="4" spans="1:19" x14ac:dyDescent="0.25">
      <c r="A4" s="172">
        <v>60.03</v>
      </c>
      <c r="B4" s="172">
        <v>0</v>
      </c>
      <c r="C4" s="172">
        <v>44.21</v>
      </c>
      <c r="D4" s="8">
        <v>42972.083333333336</v>
      </c>
      <c r="E4" s="172">
        <v>0.56000000000000005</v>
      </c>
      <c r="F4" s="172" t="s">
        <v>381</v>
      </c>
      <c r="G4" s="172">
        <v>293.01</v>
      </c>
      <c r="H4" s="172">
        <v>0</v>
      </c>
      <c r="I4" s="172">
        <v>0</v>
      </c>
      <c r="J4" s="172">
        <v>1010.85</v>
      </c>
      <c r="K4" s="172" t="s">
        <v>380</v>
      </c>
      <c r="L4" s="172">
        <v>60.03</v>
      </c>
      <c r="M4" s="172">
        <v>1503648000</v>
      </c>
      <c r="N4" s="172">
        <v>0</v>
      </c>
      <c r="O4" s="172">
        <v>3.23</v>
      </c>
      <c r="P4" s="172">
        <v>193</v>
      </c>
      <c r="Q4" s="172">
        <v>3.95</v>
      </c>
      <c r="R4" s="172">
        <v>1.67</v>
      </c>
      <c r="S4"/>
    </row>
    <row r="5" spans="1:19" x14ac:dyDescent="0.25">
      <c r="A5" s="172">
        <v>59.45</v>
      </c>
      <c r="B5" s="172">
        <v>0</v>
      </c>
      <c r="C5" s="172">
        <v>43.98</v>
      </c>
      <c r="D5" s="8">
        <v>42972.125</v>
      </c>
      <c r="E5" s="172">
        <v>0.56999999999999995</v>
      </c>
      <c r="F5" s="172" t="s">
        <v>381</v>
      </c>
      <c r="G5" s="172">
        <v>292.68</v>
      </c>
      <c r="H5" s="172">
        <v>0</v>
      </c>
      <c r="I5" s="172">
        <v>0</v>
      </c>
      <c r="J5" s="172">
        <v>1010.22</v>
      </c>
      <c r="K5" s="172" t="s">
        <v>380</v>
      </c>
      <c r="L5" s="172">
        <v>59.45</v>
      </c>
      <c r="M5" s="172">
        <v>1503651600</v>
      </c>
      <c r="N5" s="172">
        <v>0</v>
      </c>
      <c r="O5" s="172">
        <v>3.2</v>
      </c>
      <c r="P5" s="172">
        <v>212</v>
      </c>
      <c r="Q5" s="172">
        <v>4.43</v>
      </c>
      <c r="R5" s="172">
        <v>1.85</v>
      </c>
      <c r="S5"/>
    </row>
    <row r="6" spans="1:19" x14ac:dyDescent="0.25">
      <c r="A6" s="172">
        <v>58.44</v>
      </c>
      <c r="B6" s="172">
        <v>0</v>
      </c>
      <c r="C6" s="172">
        <v>43.73</v>
      </c>
      <c r="D6" s="8">
        <v>42972.166666666664</v>
      </c>
      <c r="E6" s="172">
        <v>0.57999999999999996</v>
      </c>
      <c r="F6" s="172" t="s">
        <v>381</v>
      </c>
      <c r="G6" s="172">
        <v>292.33</v>
      </c>
      <c r="H6" s="172">
        <v>0</v>
      </c>
      <c r="I6" s="172">
        <v>0</v>
      </c>
      <c r="J6" s="172">
        <v>1010.66</v>
      </c>
      <c r="K6" s="172" t="s">
        <v>380</v>
      </c>
      <c r="L6" s="172">
        <v>58.44</v>
      </c>
      <c r="M6" s="172">
        <v>1503655200</v>
      </c>
      <c r="N6" s="172">
        <v>0</v>
      </c>
      <c r="O6" s="172">
        <v>3.51</v>
      </c>
      <c r="P6" s="172">
        <v>212</v>
      </c>
      <c r="Q6" s="172">
        <v>4.18</v>
      </c>
      <c r="R6" s="172">
        <v>2.08</v>
      </c>
      <c r="S6"/>
    </row>
    <row r="7" spans="1:19" x14ac:dyDescent="0.25">
      <c r="A7" s="172">
        <v>57.52</v>
      </c>
      <c r="B7" s="172">
        <v>0</v>
      </c>
      <c r="C7" s="172">
        <v>43.64</v>
      </c>
      <c r="D7" s="8">
        <v>42972.208333333336</v>
      </c>
      <c r="E7" s="172">
        <v>0.6</v>
      </c>
      <c r="F7" s="172" t="s">
        <v>381</v>
      </c>
      <c r="G7" s="172">
        <v>291.88</v>
      </c>
      <c r="H7" s="172">
        <v>0</v>
      </c>
      <c r="I7" s="172">
        <v>0</v>
      </c>
      <c r="J7" s="172">
        <v>1012.3</v>
      </c>
      <c r="K7" s="172" t="s">
        <v>380</v>
      </c>
      <c r="L7" s="172">
        <v>57.52</v>
      </c>
      <c r="M7" s="172">
        <v>1503658800</v>
      </c>
      <c r="N7" s="172">
        <v>0</v>
      </c>
      <c r="O7" s="172">
        <v>3.23</v>
      </c>
      <c r="P7" s="172">
        <v>193</v>
      </c>
      <c r="Q7" s="172">
        <v>4.3099999999999996</v>
      </c>
      <c r="R7" s="172">
        <v>1.81</v>
      </c>
      <c r="S7"/>
    </row>
    <row r="8" spans="1:19" x14ac:dyDescent="0.25">
      <c r="A8" s="172">
        <v>57.43</v>
      </c>
      <c r="B8" s="172">
        <v>0.01</v>
      </c>
      <c r="C8" s="172">
        <v>43.48</v>
      </c>
      <c r="D8" s="8">
        <v>42972.25</v>
      </c>
      <c r="E8" s="172">
        <v>0.6</v>
      </c>
      <c r="F8" s="172" t="s">
        <v>381</v>
      </c>
      <c r="G8" s="172">
        <v>292.67</v>
      </c>
      <c r="H8" s="172">
        <v>0</v>
      </c>
      <c r="I8" s="172">
        <v>0</v>
      </c>
      <c r="J8" s="172">
        <v>1011.67</v>
      </c>
      <c r="K8" s="172" t="s">
        <v>380</v>
      </c>
      <c r="L8" s="172">
        <v>57.43</v>
      </c>
      <c r="M8" s="172">
        <v>1503662400</v>
      </c>
      <c r="N8" s="172">
        <v>0</v>
      </c>
      <c r="O8" s="172">
        <v>3.11</v>
      </c>
      <c r="P8" s="172">
        <v>191</v>
      </c>
      <c r="Q8" s="172">
        <v>4.71</v>
      </c>
      <c r="R8" s="172">
        <v>2.0099999999999998</v>
      </c>
      <c r="S8"/>
    </row>
    <row r="9" spans="1:19" x14ac:dyDescent="0.25">
      <c r="A9" s="172">
        <v>57.65</v>
      </c>
      <c r="B9" s="172">
        <v>0.03</v>
      </c>
      <c r="C9" s="172">
        <v>43.77</v>
      </c>
      <c r="D9" s="8">
        <v>42972.291666666664</v>
      </c>
      <c r="E9" s="172">
        <v>0.6</v>
      </c>
      <c r="F9" s="172" t="s">
        <v>379</v>
      </c>
      <c r="G9" s="172">
        <v>291.99</v>
      </c>
      <c r="H9" s="172">
        <v>0</v>
      </c>
      <c r="I9" s="172">
        <v>0</v>
      </c>
      <c r="J9" s="172">
        <v>1012.68</v>
      </c>
      <c r="K9" s="172" t="s">
        <v>380</v>
      </c>
      <c r="L9" s="172">
        <v>57.65</v>
      </c>
      <c r="M9" s="172">
        <v>1503666000</v>
      </c>
      <c r="N9" s="172">
        <v>0</v>
      </c>
      <c r="O9" s="172">
        <v>3.53</v>
      </c>
      <c r="P9" s="172">
        <v>192</v>
      </c>
      <c r="Q9" s="172">
        <v>4.8600000000000003</v>
      </c>
      <c r="R9" s="172">
        <v>1.98</v>
      </c>
      <c r="S9"/>
    </row>
    <row r="10" spans="1:19" x14ac:dyDescent="0.25">
      <c r="A10" s="172">
        <v>63.12</v>
      </c>
      <c r="B10" s="172">
        <v>0.05</v>
      </c>
      <c r="C10" s="172">
        <v>45.5</v>
      </c>
      <c r="D10" s="8">
        <v>42972.333333333336</v>
      </c>
      <c r="E10" s="172">
        <v>0.53</v>
      </c>
      <c r="F10" s="172" t="s">
        <v>379</v>
      </c>
      <c r="G10" s="172">
        <v>290.95999999999998</v>
      </c>
      <c r="H10" s="172">
        <v>0</v>
      </c>
      <c r="I10" s="172">
        <v>0</v>
      </c>
      <c r="J10" s="172">
        <v>1012.23</v>
      </c>
      <c r="K10" s="172" t="s">
        <v>380</v>
      </c>
      <c r="L10" s="172">
        <v>63.12</v>
      </c>
      <c r="M10" s="172">
        <v>1503669600</v>
      </c>
      <c r="N10" s="172">
        <v>1</v>
      </c>
      <c r="O10" s="172">
        <v>4.5</v>
      </c>
      <c r="P10" s="172">
        <v>213</v>
      </c>
      <c r="Q10" s="172">
        <v>4.8600000000000003</v>
      </c>
      <c r="R10" s="172">
        <v>1.84</v>
      </c>
      <c r="S10"/>
    </row>
    <row r="11" spans="1:19" x14ac:dyDescent="0.25">
      <c r="A11" s="172">
        <v>70.14</v>
      </c>
      <c r="B11" s="172">
        <v>0.02</v>
      </c>
      <c r="C11" s="172">
        <v>46.96</v>
      </c>
      <c r="D11" s="8">
        <v>42972.375</v>
      </c>
      <c r="E11" s="172">
        <v>0.44</v>
      </c>
      <c r="F11" s="172" t="s">
        <v>379</v>
      </c>
      <c r="G11" s="172">
        <v>290.05</v>
      </c>
      <c r="H11" s="172">
        <v>0</v>
      </c>
      <c r="I11" s="172">
        <v>0</v>
      </c>
      <c r="J11" s="172">
        <v>1012.19</v>
      </c>
      <c r="K11" s="172" t="s">
        <v>380</v>
      </c>
      <c r="L11" s="172">
        <v>70.14</v>
      </c>
      <c r="M11" s="172">
        <v>1503673200</v>
      </c>
      <c r="N11" s="172">
        <v>2</v>
      </c>
      <c r="O11" s="172">
        <v>4.5</v>
      </c>
      <c r="P11" s="172">
        <v>195</v>
      </c>
      <c r="Q11" s="172">
        <v>5.0599999999999996</v>
      </c>
      <c r="R11" s="172">
        <v>1.53</v>
      </c>
      <c r="S11"/>
    </row>
    <row r="12" spans="1:19" x14ac:dyDescent="0.25">
      <c r="A12" s="172">
        <v>76.72</v>
      </c>
      <c r="B12" s="172">
        <v>0.04</v>
      </c>
      <c r="C12" s="172">
        <v>46.05</v>
      </c>
      <c r="D12" s="8">
        <v>42972.416666666664</v>
      </c>
      <c r="E12" s="172">
        <v>0.34</v>
      </c>
      <c r="F12" s="172" t="s">
        <v>379</v>
      </c>
      <c r="G12" s="172">
        <v>289.48</v>
      </c>
      <c r="H12" s="172">
        <v>0</v>
      </c>
      <c r="I12" s="172">
        <v>0</v>
      </c>
      <c r="J12" s="172">
        <v>1012.13</v>
      </c>
      <c r="K12" s="172" t="s">
        <v>380</v>
      </c>
      <c r="L12" s="172">
        <v>76.72</v>
      </c>
      <c r="M12" s="172">
        <v>1503676800</v>
      </c>
      <c r="N12" s="172">
        <v>4</v>
      </c>
      <c r="O12" s="172">
        <v>4.76</v>
      </c>
      <c r="P12" s="172">
        <v>177</v>
      </c>
      <c r="Q12" s="172">
        <v>4.0199999999999996</v>
      </c>
      <c r="R12" s="172">
        <v>0.69</v>
      </c>
      <c r="S12"/>
    </row>
    <row r="13" spans="1:19" x14ac:dyDescent="0.25">
      <c r="A13" s="172">
        <v>82.08</v>
      </c>
      <c r="B13" s="172">
        <v>0.03</v>
      </c>
      <c r="C13" s="172">
        <v>43.84</v>
      </c>
      <c r="D13" s="8">
        <v>42972.458333333336</v>
      </c>
      <c r="E13" s="172">
        <v>0.26</v>
      </c>
      <c r="F13" s="172" t="s">
        <v>379</v>
      </c>
      <c r="G13" s="172">
        <v>289.02999999999997</v>
      </c>
      <c r="H13" s="172">
        <v>0</v>
      </c>
      <c r="I13" s="172">
        <v>0</v>
      </c>
      <c r="J13" s="172">
        <v>1012.12</v>
      </c>
      <c r="K13" s="172" t="s">
        <v>380</v>
      </c>
      <c r="L13" s="172">
        <v>82.08</v>
      </c>
      <c r="M13" s="172">
        <v>1503680400</v>
      </c>
      <c r="N13" s="172">
        <v>6</v>
      </c>
      <c r="O13" s="172">
        <v>3.87</v>
      </c>
      <c r="P13" s="172">
        <v>100</v>
      </c>
      <c r="Q13" s="172">
        <v>4.2300000000000004</v>
      </c>
      <c r="R13" s="172">
        <v>0.82</v>
      </c>
      <c r="S13"/>
    </row>
    <row r="14" spans="1:19" x14ac:dyDescent="0.25">
      <c r="A14" s="172">
        <v>85.2</v>
      </c>
      <c r="B14" s="172">
        <v>0.04</v>
      </c>
      <c r="C14" s="172">
        <v>42.01</v>
      </c>
      <c r="D14" s="8">
        <v>42972.5</v>
      </c>
      <c r="E14" s="172">
        <v>0.22</v>
      </c>
      <c r="F14" s="172" t="s">
        <v>379</v>
      </c>
      <c r="G14" s="172">
        <v>290.27</v>
      </c>
      <c r="H14" s="172">
        <v>0</v>
      </c>
      <c r="I14" s="172">
        <v>0</v>
      </c>
      <c r="J14" s="172">
        <v>1011.71</v>
      </c>
      <c r="K14" s="172" t="s">
        <v>380</v>
      </c>
      <c r="L14" s="172">
        <v>85.2</v>
      </c>
      <c r="M14" s="172">
        <v>1503684000</v>
      </c>
      <c r="N14" s="172">
        <v>9</v>
      </c>
      <c r="O14" s="172">
        <v>4.9000000000000004</v>
      </c>
      <c r="P14" s="172">
        <v>116</v>
      </c>
      <c r="Q14" s="172">
        <v>6.88</v>
      </c>
      <c r="R14" s="172">
        <v>1.52</v>
      </c>
      <c r="S14"/>
    </row>
    <row r="15" spans="1:19" x14ac:dyDescent="0.25">
      <c r="A15" s="172">
        <v>86.82</v>
      </c>
      <c r="B15" s="172">
        <v>0.2</v>
      </c>
      <c r="C15" s="172">
        <v>41.36</v>
      </c>
      <c r="D15" s="8">
        <v>42972.541666666664</v>
      </c>
      <c r="E15" s="172">
        <v>0.2</v>
      </c>
      <c r="F15" s="172" t="s">
        <v>379</v>
      </c>
      <c r="G15" s="172">
        <v>290.04000000000002</v>
      </c>
      <c r="H15" s="172">
        <v>0</v>
      </c>
      <c r="I15" s="172">
        <v>0</v>
      </c>
      <c r="J15" s="172">
        <v>1011.44</v>
      </c>
      <c r="K15" s="172" t="s">
        <v>380</v>
      </c>
      <c r="L15" s="172">
        <v>86.82</v>
      </c>
      <c r="M15" s="172">
        <v>1503687600</v>
      </c>
      <c r="N15" s="172">
        <v>9</v>
      </c>
      <c r="O15" s="172">
        <v>3.66</v>
      </c>
      <c r="P15" s="172">
        <v>115</v>
      </c>
      <c r="Q15" s="172">
        <v>8.3000000000000007</v>
      </c>
      <c r="R15" s="172">
        <v>2.2999999999999998</v>
      </c>
      <c r="S15"/>
    </row>
    <row r="16" spans="1:19" x14ac:dyDescent="0.25">
      <c r="A16" s="172">
        <v>87.41</v>
      </c>
      <c r="B16" s="172">
        <v>0.19</v>
      </c>
      <c r="C16" s="172">
        <v>40.17</v>
      </c>
      <c r="D16" s="8">
        <v>42972.583333333336</v>
      </c>
      <c r="E16" s="172">
        <v>0.19</v>
      </c>
      <c r="F16" s="172" t="s">
        <v>379</v>
      </c>
      <c r="G16" s="172">
        <v>289.8</v>
      </c>
      <c r="H16" s="172">
        <v>0</v>
      </c>
      <c r="I16" s="172">
        <v>0</v>
      </c>
      <c r="J16" s="172">
        <v>1010.95</v>
      </c>
      <c r="K16" s="172" t="s">
        <v>380</v>
      </c>
      <c r="L16" s="172">
        <v>87.41</v>
      </c>
      <c r="M16" s="172">
        <v>1503691200</v>
      </c>
      <c r="N16" s="172">
        <v>8</v>
      </c>
      <c r="O16" s="172">
        <v>3.77</v>
      </c>
      <c r="P16" s="172">
        <v>97</v>
      </c>
      <c r="Q16" s="172">
        <v>7.42</v>
      </c>
      <c r="R16" s="172">
        <v>1.81</v>
      </c>
      <c r="S16"/>
    </row>
    <row r="17" spans="1:19" x14ac:dyDescent="0.25">
      <c r="A17" s="172">
        <v>88.69</v>
      </c>
      <c r="B17" s="172">
        <v>0.3</v>
      </c>
      <c r="C17" s="172">
        <v>40.39</v>
      </c>
      <c r="D17" s="8">
        <v>42972.625</v>
      </c>
      <c r="E17" s="172">
        <v>0.18</v>
      </c>
      <c r="F17" s="172" t="s">
        <v>441</v>
      </c>
      <c r="G17" s="172">
        <v>289.35000000000002</v>
      </c>
      <c r="H17" s="172">
        <v>0</v>
      </c>
      <c r="I17" s="172">
        <v>0</v>
      </c>
      <c r="J17" s="172">
        <v>1010.63</v>
      </c>
      <c r="K17" s="172" t="s">
        <v>426</v>
      </c>
      <c r="L17" s="172">
        <v>88.69</v>
      </c>
      <c r="M17" s="172">
        <v>1503694800</v>
      </c>
      <c r="N17" s="172">
        <v>5</v>
      </c>
      <c r="O17" s="172">
        <v>5.0199999999999996</v>
      </c>
      <c r="P17" s="172">
        <v>81</v>
      </c>
      <c r="Q17" s="172">
        <v>6.72</v>
      </c>
      <c r="R17" s="172">
        <v>1.24</v>
      </c>
      <c r="S17"/>
    </row>
    <row r="18" spans="1:19" x14ac:dyDescent="0.25">
      <c r="A18" s="172">
        <v>87.62</v>
      </c>
      <c r="B18" s="172">
        <v>0.4</v>
      </c>
      <c r="C18" s="172">
        <v>40.28</v>
      </c>
      <c r="D18" s="8">
        <v>42972.666666666664</v>
      </c>
      <c r="E18" s="172">
        <v>0.19</v>
      </c>
      <c r="F18" s="172" t="s">
        <v>441</v>
      </c>
      <c r="G18" s="172">
        <v>288.77999999999997</v>
      </c>
      <c r="H18" s="172">
        <v>0</v>
      </c>
      <c r="I18" s="172">
        <v>0</v>
      </c>
      <c r="J18" s="172">
        <v>1010.66</v>
      </c>
      <c r="K18" s="172" t="s">
        <v>426</v>
      </c>
      <c r="L18" s="172">
        <v>87.62</v>
      </c>
      <c r="M18" s="172">
        <v>1503698400</v>
      </c>
      <c r="N18" s="172">
        <v>3</v>
      </c>
      <c r="O18" s="172">
        <v>4.84</v>
      </c>
      <c r="P18" s="172">
        <v>32</v>
      </c>
      <c r="Q18" s="172">
        <v>7.53</v>
      </c>
      <c r="R18" s="172">
        <v>1.0900000000000001</v>
      </c>
      <c r="S18"/>
    </row>
    <row r="19" spans="1:19" x14ac:dyDescent="0.25">
      <c r="A19" s="172">
        <v>86.42</v>
      </c>
      <c r="B19" s="172">
        <v>0.28000000000000003</v>
      </c>
      <c r="C19" s="172">
        <v>41.12</v>
      </c>
      <c r="D19" s="8">
        <v>42972.708333333336</v>
      </c>
      <c r="E19" s="172">
        <v>0.2</v>
      </c>
      <c r="F19" s="172" t="s">
        <v>441</v>
      </c>
      <c r="G19" s="172">
        <v>287.99</v>
      </c>
      <c r="H19" s="172">
        <v>0</v>
      </c>
      <c r="I19" s="172">
        <v>0</v>
      </c>
      <c r="J19" s="172">
        <v>1010.98</v>
      </c>
      <c r="K19" s="172" t="s">
        <v>426</v>
      </c>
      <c r="L19" s="172">
        <v>86.42</v>
      </c>
      <c r="M19" s="172">
        <v>1503702000</v>
      </c>
      <c r="N19" s="172">
        <v>2</v>
      </c>
      <c r="O19" s="172">
        <v>3.59</v>
      </c>
      <c r="P19" s="172">
        <v>3</v>
      </c>
      <c r="Q19" s="172">
        <v>6.24</v>
      </c>
      <c r="R19" s="172">
        <v>1.28</v>
      </c>
      <c r="S19"/>
    </row>
    <row r="20" spans="1:19" x14ac:dyDescent="0.25">
      <c r="A20" s="172">
        <v>85.96</v>
      </c>
      <c r="B20" s="172">
        <v>0.23</v>
      </c>
      <c r="C20" s="172">
        <v>41.3</v>
      </c>
      <c r="D20" s="8">
        <v>42972.75</v>
      </c>
      <c r="E20" s="172">
        <v>0.21</v>
      </c>
      <c r="F20" s="172" t="s">
        <v>379</v>
      </c>
      <c r="G20" s="172">
        <v>287.54000000000002</v>
      </c>
      <c r="H20" s="172">
        <v>0</v>
      </c>
      <c r="I20" s="172">
        <v>0</v>
      </c>
      <c r="J20" s="172">
        <v>1010.96</v>
      </c>
      <c r="K20" s="172" t="s">
        <v>380</v>
      </c>
      <c r="L20" s="172">
        <v>85.96</v>
      </c>
      <c r="M20" s="172">
        <v>1503705600</v>
      </c>
      <c r="N20" s="172">
        <v>1</v>
      </c>
      <c r="O20" s="172">
        <v>4.76</v>
      </c>
      <c r="P20" s="172">
        <v>40</v>
      </c>
      <c r="Q20" s="172">
        <v>5.07</v>
      </c>
      <c r="R20" s="172">
        <v>1.38</v>
      </c>
      <c r="S20"/>
    </row>
    <row r="21" spans="1:19" x14ac:dyDescent="0.25">
      <c r="A21" s="172">
        <v>84.72</v>
      </c>
      <c r="B21" s="172">
        <v>0.11</v>
      </c>
      <c r="C21" s="172">
        <v>42.03</v>
      </c>
      <c r="D21" s="8">
        <v>42972.791666666664</v>
      </c>
      <c r="E21" s="172">
        <v>0.22</v>
      </c>
      <c r="F21" s="172" t="s">
        <v>379</v>
      </c>
      <c r="G21" s="172">
        <v>286.62</v>
      </c>
      <c r="H21" s="172">
        <v>0</v>
      </c>
      <c r="I21" s="172">
        <v>0</v>
      </c>
      <c r="J21" s="172">
        <v>1011.39</v>
      </c>
      <c r="K21" s="172" t="s">
        <v>380</v>
      </c>
      <c r="L21" s="172">
        <v>84.72</v>
      </c>
      <c r="M21" s="172">
        <v>1503709200</v>
      </c>
      <c r="N21" s="172">
        <v>0</v>
      </c>
      <c r="O21" s="172">
        <v>4.78</v>
      </c>
      <c r="P21" s="172">
        <v>62</v>
      </c>
      <c r="Q21" s="172">
        <v>4.47</v>
      </c>
      <c r="R21" s="172">
        <v>1.86</v>
      </c>
      <c r="S21"/>
    </row>
    <row r="22" spans="1:19" x14ac:dyDescent="0.25">
      <c r="A22" s="172">
        <v>78.239999999999995</v>
      </c>
      <c r="B22" s="172">
        <v>0.06</v>
      </c>
      <c r="C22" s="172">
        <v>43.74</v>
      </c>
      <c r="D22" s="8">
        <v>42972.833333333336</v>
      </c>
      <c r="E22" s="172">
        <v>0.28999999999999998</v>
      </c>
      <c r="F22" s="172" t="s">
        <v>381</v>
      </c>
      <c r="G22" s="172">
        <v>285.48</v>
      </c>
      <c r="H22" s="172">
        <v>0</v>
      </c>
      <c r="I22" s="172">
        <v>0</v>
      </c>
      <c r="J22" s="172">
        <v>1011.38</v>
      </c>
      <c r="K22" s="172" t="s">
        <v>380</v>
      </c>
      <c r="L22" s="172">
        <v>78.239999999999995</v>
      </c>
      <c r="M22" s="172">
        <v>1503712800</v>
      </c>
      <c r="N22" s="172">
        <v>0</v>
      </c>
      <c r="O22" s="172">
        <v>7.1</v>
      </c>
      <c r="P22" s="172">
        <v>47</v>
      </c>
      <c r="Q22" s="172">
        <v>2.71</v>
      </c>
      <c r="R22" s="172">
        <v>0.5</v>
      </c>
      <c r="S22"/>
    </row>
    <row r="23" spans="1:19" x14ac:dyDescent="0.25">
      <c r="A23" s="172">
        <v>73.88</v>
      </c>
      <c r="B23" s="172">
        <v>0.22</v>
      </c>
      <c r="C23" s="172">
        <v>45.1</v>
      </c>
      <c r="D23" s="8">
        <v>42972.875</v>
      </c>
      <c r="E23" s="172">
        <v>0.36</v>
      </c>
      <c r="F23" s="172" t="s">
        <v>381</v>
      </c>
      <c r="G23" s="172">
        <v>284.56</v>
      </c>
      <c r="H23" s="172">
        <v>0</v>
      </c>
      <c r="I23" s="172">
        <v>0</v>
      </c>
      <c r="J23" s="172">
        <v>1012.77</v>
      </c>
      <c r="K23" s="172" t="s">
        <v>380</v>
      </c>
      <c r="L23" s="172">
        <v>73.88</v>
      </c>
      <c r="M23" s="172">
        <v>1503716400</v>
      </c>
      <c r="N23" s="172">
        <v>0</v>
      </c>
      <c r="O23" s="172">
        <v>7.22</v>
      </c>
      <c r="P23" s="172">
        <v>203</v>
      </c>
      <c r="Q23" s="172">
        <v>2.99</v>
      </c>
      <c r="R23" s="172">
        <v>0.44</v>
      </c>
      <c r="S23"/>
    </row>
    <row r="24" spans="1:19" x14ac:dyDescent="0.25">
      <c r="A24" s="172">
        <v>72.16</v>
      </c>
      <c r="B24" s="172">
        <v>0.17</v>
      </c>
      <c r="C24" s="172">
        <v>45.73</v>
      </c>
      <c r="D24" s="8">
        <v>42972.916666666664</v>
      </c>
      <c r="E24" s="172">
        <v>0.39</v>
      </c>
      <c r="F24" s="172" t="s">
        <v>381</v>
      </c>
      <c r="G24" s="172">
        <v>283.63</v>
      </c>
      <c r="H24" s="172">
        <v>0</v>
      </c>
      <c r="I24" s="172">
        <v>0</v>
      </c>
      <c r="J24" s="172">
        <v>1013.52</v>
      </c>
      <c r="K24" s="172" t="s">
        <v>380</v>
      </c>
      <c r="L24" s="172">
        <v>72.16</v>
      </c>
      <c r="M24" s="172">
        <v>1503720000</v>
      </c>
      <c r="N24" s="172">
        <v>0</v>
      </c>
      <c r="O24" s="172">
        <v>3.98</v>
      </c>
      <c r="P24" s="172">
        <v>193</v>
      </c>
      <c r="Q24" s="172">
        <v>3.13</v>
      </c>
      <c r="R24" s="172">
        <v>0.92</v>
      </c>
      <c r="S24"/>
    </row>
    <row r="25" spans="1:19" x14ac:dyDescent="0.25">
      <c r="A25" s="172">
        <v>69.94</v>
      </c>
      <c r="B25" s="172">
        <v>0.04</v>
      </c>
      <c r="C25" s="172">
        <v>46.22</v>
      </c>
      <c r="D25" s="8">
        <v>42972.958333333336</v>
      </c>
      <c r="E25" s="172">
        <v>0.43</v>
      </c>
      <c r="F25" s="172" t="s">
        <v>381</v>
      </c>
      <c r="G25" s="172">
        <v>282.81</v>
      </c>
      <c r="H25" s="172">
        <v>0</v>
      </c>
      <c r="I25" s="172">
        <v>0</v>
      </c>
      <c r="J25" s="172">
        <v>1013.68</v>
      </c>
      <c r="K25" s="172" t="s">
        <v>380</v>
      </c>
      <c r="L25" s="172">
        <v>69.94</v>
      </c>
      <c r="M25" s="172">
        <v>1503723600</v>
      </c>
      <c r="N25" s="172">
        <v>0</v>
      </c>
      <c r="O25" s="172">
        <v>3.02</v>
      </c>
      <c r="P25" s="172">
        <v>185</v>
      </c>
      <c r="Q25" s="172">
        <v>4.2</v>
      </c>
      <c r="R25" s="172">
        <v>1.1000000000000001</v>
      </c>
      <c r="S25"/>
    </row>
    <row r="26" spans="1:19" x14ac:dyDescent="0.25">
      <c r="A26" s="172">
        <v>67.95</v>
      </c>
      <c r="B26" s="172">
        <v>0.04</v>
      </c>
      <c r="C26" s="172">
        <v>45.19</v>
      </c>
      <c r="D26" s="8">
        <v>42973</v>
      </c>
      <c r="E26" s="172">
        <v>0.44</v>
      </c>
      <c r="F26" s="172" t="s">
        <v>381</v>
      </c>
      <c r="G26" s="172">
        <v>281.99</v>
      </c>
      <c r="H26" s="172">
        <v>0</v>
      </c>
      <c r="I26" s="172">
        <v>0</v>
      </c>
      <c r="J26" s="172">
        <v>1013.75</v>
      </c>
      <c r="K26" s="172" t="s">
        <v>380</v>
      </c>
      <c r="L26" s="172">
        <v>67.95</v>
      </c>
      <c r="M26" s="172">
        <v>1503727200</v>
      </c>
      <c r="N26" s="172">
        <v>0</v>
      </c>
      <c r="O26" s="172">
        <v>10</v>
      </c>
      <c r="P26" s="172">
        <v>210</v>
      </c>
      <c r="Q26" s="172">
        <v>5.78</v>
      </c>
      <c r="R26" s="172">
        <v>1.42</v>
      </c>
      <c r="S26"/>
    </row>
    <row r="27" spans="1:19" x14ac:dyDescent="0.25">
      <c r="A27" s="172">
        <v>65.849999999999994</v>
      </c>
      <c r="B27" s="172">
        <v>0.05</v>
      </c>
      <c r="C27" s="172">
        <v>45.64</v>
      </c>
      <c r="D27" s="8">
        <v>42973.041666666664</v>
      </c>
      <c r="E27" s="172">
        <v>0.48</v>
      </c>
      <c r="F27" s="172" t="s">
        <v>381</v>
      </c>
      <c r="G27" s="172">
        <v>281.17</v>
      </c>
      <c r="H27" s="172">
        <v>0</v>
      </c>
      <c r="I27" s="172">
        <v>0</v>
      </c>
      <c r="J27" s="172">
        <v>1013.76</v>
      </c>
      <c r="K27" s="172" t="s">
        <v>380</v>
      </c>
      <c r="L27" s="172">
        <v>65.849999999999994</v>
      </c>
      <c r="M27" s="172">
        <v>1503730800</v>
      </c>
      <c r="N27" s="172">
        <v>0</v>
      </c>
      <c r="O27" s="172">
        <v>2.76</v>
      </c>
      <c r="P27" s="172">
        <v>220</v>
      </c>
      <c r="Q27" s="172">
        <v>3.22</v>
      </c>
      <c r="R27" s="172">
        <v>1.23</v>
      </c>
      <c r="S27"/>
    </row>
    <row r="28" spans="1:19" x14ac:dyDescent="0.25">
      <c r="A28" s="172">
        <v>63.46</v>
      </c>
      <c r="B28" s="172">
        <v>0.03</v>
      </c>
      <c r="C28" s="172">
        <v>45.47</v>
      </c>
      <c r="D28" s="8">
        <v>42973.083333333336</v>
      </c>
      <c r="E28" s="172">
        <v>0.52</v>
      </c>
      <c r="F28" s="172" t="s">
        <v>381</v>
      </c>
      <c r="G28" s="172">
        <v>280.47000000000003</v>
      </c>
      <c r="H28" s="172">
        <v>0</v>
      </c>
      <c r="I28" s="172">
        <v>0</v>
      </c>
      <c r="J28" s="172">
        <v>1014.13</v>
      </c>
      <c r="K28" s="172" t="s">
        <v>380</v>
      </c>
      <c r="L28" s="172">
        <v>63.46</v>
      </c>
      <c r="M28" s="172">
        <v>1503734400</v>
      </c>
      <c r="N28" s="172">
        <v>0</v>
      </c>
      <c r="O28" s="172">
        <v>2.76</v>
      </c>
      <c r="P28" s="172">
        <v>206</v>
      </c>
      <c r="Q28" s="172">
        <v>2.41</v>
      </c>
      <c r="R28" s="172">
        <v>0.98</v>
      </c>
      <c r="S28"/>
    </row>
    <row r="29" spans="1:19" x14ac:dyDescent="0.25">
      <c r="A29" s="172">
        <v>61.57</v>
      </c>
      <c r="B29" s="172">
        <v>0.02</v>
      </c>
      <c r="C29" s="172">
        <v>45.67</v>
      </c>
      <c r="D29" s="8">
        <v>42973.125</v>
      </c>
      <c r="E29" s="172">
        <v>0.56000000000000005</v>
      </c>
      <c r="F29" s="172" t="s">
        <v>381</v>
      </c>
      <c r="G29" s="172">
        <v>279.88</v>
      </c>
      <c r="H29" s="172">
        <v>0</v>
      </c>
      <c r="I29" s="172">
        <v>0</v>
      </c>
      <c r="J29" s="172">
        <v>1014.92</v>
      </c>
      <c r="K29" s="172" t="s">
        <v>380</v>
      </c>
      <c r="L29" s="172">
        <v>61.57</v>
      </c>
      <c r="M29" s="172">
        <v>1503738000</v>
      </c>
      <c r="N29" s="172">
        <v>0</v>
      </c>
      <c r="O29" s="172">
        <v>3.52</v>
      </c>
      <c r="P29" s="172">
        <v>208</v>
      </c>
      <c r="Q29" s="172">
        <v>2.7</v>
      </c>
      <c r="R29" s="172">
        <v>1.03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42972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359</v>
      </c>
      <c r="AE2" s="56" t="s">
        <v>362</v>
      </c>
      <c r="AF2" s="56" t="s">
        <v>363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360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352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361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364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959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960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961</v>
      </c>
      <c r="J20" s="140" t="s">
        <v>87</v>
      </c>
      <c r="M20" s="154" t="s">
        <v>347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962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963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964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965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966</v>
      </c>
      <c r="J25" s="140" t="s">
        <v>146</v>
      </c>
      <c r="M25" s="154" t="b">
        <v>1</v>
      </c>
    </row>
    <row r="26" spans="3:24" x14ac:dyDescent="0.25">
      <c r="C26" t="s">
        <v>967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C:\Users\stu\Documents\GitHub\eaglep3-reporting\EC\2017-08-25-refined-times.txt</v>
      </c>
    </row>
    <row r="27" spans="3:24" x14ac:dyDescent="0.25">
      <c r="C27" t="s">
        <v>968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C:\Users\stu\Documents\GitHub\eaglep3-reporting\EC\2017-08-25-Enforcements.txt</v>
      </c>
    </row>
    <row r="28" spans="3:24" x14ac:dyDescent="0.25">
      <c r="C28" t="s">
        <v>969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C:\Users\stu\Documents\GitHub\eaglep3-reporting\EC\2017-08-25-Runs-refined.txt</v>
      </c>
    </row>
    <row r="29" spans="3:24" x14ac:dyDescent="0.25">
      <c r="C29" t="s">
        <v>970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C:\Users\stu\Documents\GitHub\eaglep3-reporting\EC\2017-08-25-Trips.txt</v>
      </c>
    </row>
    <row r="30" spans="3:24" x14ac:dyDescent="0.25">
      <c r="C30" t="s">
        <v>971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C:\Users\stu\Documents\GitHub\eaglep3-reporting\EC\2017-08-25-Weather.txt</v>
      </c>
    </row>
    <row r="31" spans="3:24" x14ac:dyDescent="0.25">
      <c r="C31" t="s">
        <v>972</v>
      </c>
      <c r="J31" s="140" t="s">
        <v>193</v>
      </c>
      <c r="M31" s="154" t="s">
        <v>194</v>
      </c>
    </row>
    <row r="32" spans="3:24" x14ac:dyDescent="0.25">
      <c r="C32" t="s">
        <v>973</v>
      </c>
    </row>
    <row r="33" spans="3:3" x14ac:dyDescent="0.25">
      <c r="C33" t="s">
        <v>974</v>
      </c>
    </row>
    <row r="34" spans="3:3" x14ac:dyDescent="0.25">
      <c r="C34" t="s">
        <v>975</v>
      </c>
    </row>
    <row r="35" spans="3:3" x14ac:dyDescent="0.25">
      <c r="C35" t="s">
        <v>976</v>
      </c>
    </row>
    <row r="36" spans="3:3" x14ac:dyDescent="0.25">
      <c r="C36" t="s">
        <v>977</v>
      </c>
    </row>
    <row r="37" spans="3:3" x14ac:dyDescent="0.25">
      <c r="C37" t="s">
        <v>978</v>
      </c>
    </row>
    <row r="38" spans="3:3" x14ac:dyDescent="0.25">
      <c r="C38" t="s">
        <v>979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2017-08-28T15:38:26Z</dcterms:modified>
</cp:coreProperties>
</file>