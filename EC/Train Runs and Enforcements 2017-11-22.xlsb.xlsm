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Enforcements!$A$6:$AC$19</definedName>
    <definedName name="_xlnm._FilterDatabase" localSheetId="2" hidden="1">'Missing Trips'!$A$2:$J$23</definedName>
    <definedName name="_xlnm._FilterDatabase" localSheetId="0" hidden="1">'Train Runs'!$A$12:$AG$497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6" i="1" l="1"/>
  <c r="X207" i="1"/>
  <c r="X208" i="1"/>
  <c r="X209" i="1"/>
  <c r="K208" i="1"/>
  <c r="M208" i="1"/>
  <c r="N208" i="1"/>
  <c r="V208" i="1"/>
  <c r="AA208" i="1"/>
  <c r="AB208" i="1"/>
  <c r="AC208" i="1"/>
  <c r="AD208" i="1"/>
  <c r="T208" i="1" s="1"/>
  <c r="AE208" i="1"/>
  <c r="AF208" i="1"/>
  <c r="AH208" i="1"/>
  <c r="AM208" i="1"/>
  <c r="AN208" i="1"/>
  <c r="AO208" i="1"/>
  <c r="K206" i="1"/>
  <c r="M206" i="1"/>
  <c r="N206" i="1" s="1"/>
  <c r="V206" i="1"/>
  <c r="AA206" i="1"/>
  <c r="AB206" i="1"/>
  <c r="AC206" i="1"/>
  <c r="AD206" i="1"/>
  <c r="T206" i="1" s="1"/>
  <c r="AE206" i="1"/>
  <c r="AF206" i="1"/>
  <c r="AH206" i="1"/>
  <c r="AM206" i="1"/>
  <c r="AN206" i="1"/>
  <c r="AO206" i="1"/>
  <c r="K61" i="1"/>
  <c r="M61" i="1"/>
  <c r="N61" i="1"/>
  <c r="V61" i="1"/>
  <c r="AA61" i="1"/>
  <c r="AB61" i="1"/>
  <c r="AC61" i="1"/>
  <c r="AD61" i="1"/>
  <c r="T61" i="1" s="1"/>
  <c r="AE61" i="1"/>
  <c r="AF61" i="1"/>
  <c r="AH61" i="1"/>
  <c r="AM61" i="1"/>
  <c r="AN61" i="1"/>
  <c r="AO61" i="1"/>
  <c r="AG208" i="1"/>
  <c r="AG206" i="1"/>
  <c r="AG61" i="1"/>
  <c r="AI208" i="1" l="1"/>
  <c r="U208" i="1"/>
  <c r="S208" i="1" s="1"/>
  <c r="W208" i="1"/>
  <c r="AI206" i="1"/>
  <c r="U206" i="1"/>
  <c r="S206" i="1" s="1"/>
  <c r="W206" i="1"/>
  <c r="AI61" i="1"/>
  <c r="U61" i="1"/>
  <c r="S61" i="1" s="1"/>
  <c r="W61" i="1"/>
  <c r="K242" i="1"/>
  <c r="L242" i="1"/>
  <c r="M242" i="1"/>
  <c r="N242" i="1" s="1"/>
  <c r="V242" i="1"/>
  <c r="AA242" i="1"/>
  <c r="AB242" i="1"/>
  <c r="AC242" i="1"/>
  <c r="AD242" i="1"/>
  <c r="T242" i="1" s="1"/>
  <c r="AE242" i="1"/>
  <c r="AF242" i="1"/>
  <c r="AH242" i="1"/>
  <c r="AM242" i="1"/>
  <c r="AN242" i="1"/>
  <c r="AO242" i="1"/>
  <c r="AG242" i="1"/>
  <c r="AI242" i="1" l="1"/>
  <c r="U242" i="1"/>
  <c r="S242" i="1" s="1"/>
  <c r="W242" i="1"/>
  <c r="K184" i="1"/>
  <c r="M184" i="1"/>
  <c r="N184" i="1" s="1"/>
  <c r="V184" i="1"/>
  <c r="AA184" i="1"/>
  <c r="AB184" i="1"/>
  <c r="AC184" i="1"/>
  <c r="AD184" i="1"/>
  <c r="T184" i="1" s="1"/>
  <c r="AE184" i="1"/>
  <c r="AF184" i="1"/>
  <c r="AH184" i="1"/>
  <c r="AM184" i="1"/>
  <c r="AN184" i="1"/>
  <c r="AO184" i="1"/>
  <c r="K157" i="1"/>
  <c r="L157" i="1"/>
  <c r="M157" i="1"/>
  <c r="N157" i="1" s="1"/>
  <c r="V157" i="1"/>
  <c r="AA157" i="1"/>
  <c r="AB157" i="1"/>
  <c r="AC157" i="1"/>
  <c r="AD157" i="1"/>
  <c r="T157" i="1" s="1"/>
  <c r="AE157" i="1"/>
  <c r="AF157" i="1"/>
  <c r="AH157" i="1"/>
  <c r="AM157" i="1"/>
  <c r="AN157" i="1"/>
  <c r="AO157" i="1"/>
  <c r="K41" i="1"/>
  <c r="L41" i="1"/>
  <c r="M41" i="1"/>
  <c r="P41" i="1" s="1"/>
  <c r="V41" i="1"/>
  <c r="AA41" i="1"/>
  <c r="AB41" i="1"/>
  <c r="AC41" i="1"/>
  <c r="AD41" i="1"/>
  <c r="T41" i="1" s="1"/>
  <c r="AE41" i="1"/>
  <c r="AF41" i="1"/>
  <c r="AH41" i="1"/>
  <c r="AM41" i="1"/>
  <c r="AN41" i="1"/>
  <c r="AO41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P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P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P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S10" i="3" s="1"/>
  <c r="Y38" i="1"/>
  <c r="Z38" i="1"/>
  <c r="AB38" i="1"/>
  <c r="AC38" i="1"/>
  <c r="AD38" i="1"/>
  <c r="AE38" i="1"/>
  <c r="R10" i="3" s="1"/>
  <c r="AF38" i="1"/>
  <c r="AH38" i="1"/>
  <c r="AM38" i="1"/>
  <c r="AN38" i="1"/>
  <c r="AO38" i="1"/>
  <c r="K39" i="1"/>
  <c r="L39" i="1"/>
  <c r="M39" i="1"/>
  <c r="P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V40" i="1"/>
  <c r="Y40" i="1"/>
  <c r="Z40" i="1"/>
  <c r="AB40" i="1"/>
  <c r="AC40" i="1"/>
  <c r="AD40" i="1"/>
  <c r="AE40" i="1"/>
  <c r="AF40" i="1"/>
  <c r="AH40" i="1"/>
  <c r="AM40" i="1"/>
  <c r="AN40" i="1"/>
  <c r="AO40" i="1"/>
  <c r="K42" i="1"/>
  <c r="L42" i="1"/>
  <c r="M42" i="1"/>
  <c r="P42" i="1" s="1"/>
  <c r="V42" i="1"/>
  <c r="S9" i="3" s="1"/>
  <c r="Y42" i="1"/>
  <c r="Z42" i="1"/>
  <c r="AB42" i="1"/>
  <c r="AC42" i="1"/>
  <c r="AD42" i="1"/>
  <c r="AE42" i="1"/>
  <c r="R9" i="3" s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P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S15" i="3" s="1"/>
  <c r="Y50" i="1"/>
  <c r="Z50" i="1"/>
  <c r="AB50" i="1"/>
  <c r="AC50" i="1"/>
  <c r="AD50" i="1"/>
  <c r="AE50" i="1"/>
  <c r="R15" i="3" s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S16" i="3" s="1"/>
  <c r="Y54" i="1"/>
  <c r="Z54" i="1"/>
  <c r="AB54" i="1"/>
  <c r="AC54" i="1"/>
  <c r="AD54" i="1"/>
  <c r="AE54" i="1"/>
  <c r="R16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S20" i="3" s="1"/>
  <c r="Y60" i="1"/>
  <c r="Z60" i="1"/>
  <c r="AB60" i="1"/>
  <c r="AC60" i="1"/>
  <c r="AD60" i="1"/>
  <c r="X61" i="1" s="1"/>
  <c r="AE60" i="1"/>
  <c r="R20" i="3" s="1"/>
  <c r="AF60" i="1"/>
  <c r="AH60" i="1"/>
  <c r="AM60" i="1"/>
  <c r="AN60" i="1"/>
  <c r="AO60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AM62" i="1"/>
  <c r="AN62" i="1"/>
  <c r="AO62" i="1"/>
  <c r="K63" i="1"/>
  <c r="L63" i="1"/>
  <c r="M63" i="1"/>
  <c r="N63" i="1" s="1"/>
  <c r="V63" i="1"/>
  <c r="S18" i="3" s="1"/>
  <c r="Y63" i="1"/>
  <c r="Z63" i="1"/>
  <c r="AB63" i="1"/>
  <c r="AC63" i="1"/>
  <c r="AD63" i="1"/>
  <c r="X63" i="1" s="1"/>
  <c r="AE63" i="1"/>
  <c r="R18" i="3" s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S13" i="3" s="1"/>
  <c r="Y78" i="1"/>
  <c r="Z78" i="1"/>
  <c r="AB78" i="1"/>
  <c r="AC78" i="1"/>
  <c r="AD78" i="1"/>
  <c r="AE78" i="1"/>
  <c r="R13" i="3" s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S17" i="3" s="1"/>
  <c r="Y94" i="1"/>
  <c r="Z94" i="1"/>
  <c r="AB94" i="1"/>
  <c r="AC94" i="1"/>
  <c r="AD94" i="1"/>
  <c r="AE94" i="1"/>
  <c r="R17" i="3" s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S11" i="3" s="1"/>
  <c r="Y108" i="1"/>
  <c r="Z108" i="1"/>
  <c r="AB108" i="1"/>
  <c r="AC108" i="1"/>
  <c r="AD108" i="1"/>
  <c r="T108" i="1" s="1"/>
  <c r="AE108" i="1"/>
  <c r="R11" i="3" s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S8" i="3" s="1"/>
  <c r="Y113" i="1"/>
  <c r="Z113" i="1"/>
  <c r="AB113" i="1"/>
  <c r="AC113" i="1"/>
  <c r="AD113" i="1"/>
  <c r="T113" i="1" s="1"/>
  <c r="AE113" i="1"/>
  <c r="R8" i="3" s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AO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S21" i="3" s="1"/>
  <c r="Y130" i="1"/>
  <c r="Z130" i="1"/>
  <c r="AB130" i="1"/>
  <c r="AC130" i="1"/>
  <c r="AD130" i="1"/>
  <c r="AE130" i="1"/>
  <c r="R21" i="3" s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AO133" i="1"/>
  <c r="K134" i="1"/>
  <c r="L134" i="1"/>
  <c r="M134" i="1"/>
  <c r="P134" i="1" s="1"/>
  <c r="V134" i="1"/>
  <c r="Y134" i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AO135" i="1"/>
  <c r="K136" i="1"/>
  <c r="L136" i="1"/>
  <c r="M136" i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AO137" i="1"/>
  <c r="K138" i="1"/>
  <c r="L138" i="1"/>
  <c r="M138" i="1"/>
  <c r="N138" i="1" s="1"/>
  <c r="V138" i="1"/>
  <c r="S19" i="3" s="1"/>
  <c r="Y138" i="1"/>
  <c r="Z138" i="1"/>
  <c r="AB138" i="1"/>
  <c r="AC138" i="1"/>
  <c r="AD138" i="1"/>
  <c r="AE138" i="1"/>
  <c r="R19" i="3" s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AO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S7" i="3" s="1"/>
  <c r="Y141" i="1"/>
  <c r="Z141" i="1"/>
  <c r="AB141" i="1"/>
  <c r="AC141" i="1"/>
  <c r="AD141" i="1"/>
  <c r="T141" i="1" s="1"/>
  <c r="AE141" i="1"/>
  <c r="R7" i="3" s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P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AO154" i="1"/>
  <c r="K155" i="1"/>
  <c r="L155" i="1"/>
  <c r="M155" i="1"/>
  <c r="N155" i="1" s="1"/>
  <c r="V155" i="1"/>
  <c r="S14" i="3" s="1"/>
  <c r="Y155" i="1"/>
  <c r="Z155" i="1"/>
  <c r="AB155" i="1"/>
  <c r="AC155" i="1"/>
  <c r="AD155" i="1"/>
  <c r="T155" i="1" s="1"/>
  <c r="AE155" i="1"/>
  <c r="R14" i="3" s="1"/>
  <c r="AF155" i="1"/>
  <c r="AH155" i="1"/>
  <c r="AM155" i="1"/>
  <c r="AN155" i="1"/>
  <c r="AO155" i="1"/>
  <c r="K156" i="1"/>
  <c r="L156" i="1"/>
  <c r="M156" i="1"/>
  <c r="N156" i="1" s="1"/>
  <c r="V156" i="1"/>
  <c r="S22" i="3" s="1"/>
  <c r="Y156" i="1"/>
  <c r="Z156" i="1"/>
  <c r="AB156" i="1"/>
  <c r="AC156" i="1"/>
  <c r="AD156" i="1"/>
  <c r="AE156" i="1"/>
  <c r="R22" i="3" s="1"/>
  <c r="AF156" i="1"/>
  <c r="AH156" i="1"/>
  <c r="AM156" i="1"/>
  <c r="AN156" i="1"/>
  <c r="AO156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59" i="1"/>
  <c r="AM159" i="1"/>
  <c r="AN159" i="1"/>
  <c r="AO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AO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AO161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S26" i="3" s="1"/>
  <c r="Y214" i="1"/>
  <c r="Z214" i="1"/>
  <c r="AB214" i="1"/>
  <c r="AC214" i="1"/>
  <c r="AD214" i="1"/>
  <c r="AE214" i="1"/>
  <c r="R26" i="3" s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2" i="1"/>
  <c r="AM172" i="1"/>
  <c r="AN172" i="1"/>
  <c r="AO172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3" i="1"/>
  <c r="AM173" i="1"/>
  <c r="AN173" i="1"/>
  <c r="AO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AO177" i="1"/>
  <c r="K232" i="1"/>
  <c r="L232" i="1"/>
  <c r="M232" i="1"/>
  <c r="N232" i="1" s="1"/>
  <c r="V232" i="1"/>
  <c r="S28" i="3" s="1"/>
  <c r="Y232" i="1"/>
  <c r="Z232" i="1"/>
  <c r="AB232" i="1"/>
  <c r="AC232" i="1"/>
  <c r="AD232" i="1"/>
  <c r="T232" i="1" s="1"/>
  <c r="AE232" i="1"/>
  <c r="R28" i="3" s="1"/>
  <c r="AF232" i="1"/>
  <c r="AH178" i="1"/>
  <c r="AM178" i="1"/>
  <c r="AN178" i="1"/>
  <c r="AO178" i="1"/>
  <c r="K233" i="1"/>
  <c r="L233" i="1"/>
  <c r="M233" i="1"/>
  <c r="N233" i="1" s="1"/>
  <c r="V233" i="1"/>
  <c r="S29" i="3" s="1"/>
  <c r="Y233" i="1"/>
  <c r="Z233" i="1"/>
  <c r="AB233" i="1"/>
  <c r="AC233" i="1"/>
  <c r="AD233" i="1"/>
  <c r="T233" i="1" s="1"/>
  <c r="AE233" i="1"/>
  <c r="R29" i="3" s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AO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AO181" i="1"/>
  <c r="K236" i="1"/>
  <c r="L236" i="1"/>
  <c r="M236" i="1"/>
  <c r="N236" i="1" s="1"/>
  <c r="V236" i="1"/>
  <c r="S30" i="3" s="1"/>
  <c r="Y236" i="1"/>
  <c r="Z236" i="1"/>
  <c r="AB236" i="1"/>
  <c r="AC236" i="1"/>
  <c r="AD236" i="1"/>
  <c r="T236" i="1" s="1"/>
  <c r="AE236" i="1"/>
  <c r="R31" i="3" s="1"/>
  <c r="AF236" i="1"/>
  <c r="AH182" i="1"/>
  <c r="AM182" i="1"/>
  <c r="AN182" i="1"/>
  <c r="AO182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3" i="1"/>
  <c r="AM183" i="1"/>
  <c r="AN183" i="1"/>
  <c r="AO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5" i="1"/>
  <c r="AM185" i="1"/>
  <c r="AN185" i="1"/>
  <c r="AO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AO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AO187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8" i="1"/>
  <c r="AM188" i="1"/>
  <c r="AN188" i="1"/>
  <c r="AO188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9" i="1"/>
  <c r="AM189" i="1"/>
  <c r="AN189" i="1"/>
  <c r="AO189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90" i="1"/>
  <c r="AM190" i="1"/>
  <c r="AN190" i="1"/>
  <c r="AO190" i="1"/>
  <c r="K163" i="1"/>
  <c r="L163" i="1"/>
  <c r="M163" i="1"/>
  <c r="P163" i="1" s="1"/>
  <c r="V163" i="1"/>
  <c r="Y163" i="1"/>
  <c r="AB163" i="1"/>
  <c r="AC163" i="1"/>
  <c r="AD163" i="1"/>
  <c r="T163" i="1" s="1"/>
  <c r="AE163" i="1"/>
  <c r="AF163" i="1"/>
  <c r="AH191" i="1"/>
  <c r="AM191" i="1"/>
  <c r="AN191" i="1"/>
  <c r="AO191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2" i="1"/>
  <c r="AM192" i="1"/>
  <c r="AN192" i="1"/>
  <c r="AO19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3" i="1"/>
  <c r="AM193" i="1"/>
  <c r="AN193" i="1"/>
  <c r="AO19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4" i="1"/>
  <c r="AM194" i="1"/>
  <c r="AN194" i="1"/>
  <c r="AO19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95" i="1"/>
  <c r="AM195" i="1"/>
  <c r="AN195" i="1"/>
  <c r="AO195" i="1"/>
  <c r="K168" i="1"/>
  <c r="L168" i="1"/>
  <c r="M168" i="1"/>
  <c r="N168" i="1" s="1"/>
  <c r="T168" i="1"/>
  <c r="V168" i="1"/>
  <c r="S23" i="3" s="1"/>
  <c r="Y168" i="1"/>
  <c r="Z168" i="1"/>
  <c r="AB168" i="1"/>
  <c r="AC168" i="1"/>
  <c r="AD168" i="1"/>
  <c r="X168" i="1" s="1"/>
  <c r="AE168" i="1"/>
  <c r="R23" i="3" s="1"/>
  <c r="AF168" i="1"/>
  <c r="AH196" i="1"/>
  <c r="AM196" i="1"/>
  <c r="AN196" i="1"/>
  <c r="AO196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97" i="1"/>
  <c r="AM197" i="1"/>
  <c r="AN197" i="1"/>
  <c r="AO197" i="1"/>
  <c r="K170" i="1"/>
  <c r="L170" i="1"/>
  <c r="M170" i="1"/>
  <c r="N170" i="1" s="1"/>
  <c r="V170" i="1"/>
  <c r="S24" i="3" s="1"/>
  <c r="Y170" i="1"/>
  <c r="Z170" i="1"/>
  <c r="AB170" i="1"/>
  <c r="AC170" i="1"/>
  <c r="AD170" i="1"/>
  <c r="AE170" i="1"/>
  <c r="R24" i="3" s="1"/>
  <c r="AF170" i="1"/>
  <c r="AH198" i="1"/>
  <c r="AM198" i="1"/>
  <c r="AN198" i="1"/>
  <c r="AO19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9" i="1"/>
  <c r="AM199" i="1"/>
  <c r="AN199" i="1"/>
  <c r="AO19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0" i="1"/>
  <c r="AM200" i="1"/>
  <c r="AN200" i="1"/>
  <c r="AO20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1" i="1"/>
  <c r="AM201" i="1"/>
  <c r="AN201" i="1"/>
  <c r="AO20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2" i="1"/>
  <c r="AM202" i="1"/>
  <c r="AN202" i="1"/>
  <c r="AO202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03" i="1"/>
  <c r="AM203" i="1"/>
  <c r="AN203" i="1"/>
  <c r="AO20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4" i="1"/>
  <c r="AM204" i="1"/>
  <c r="AN204" i="1"/>
  <c r="AO204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205" i="1"/>
  <c r="AM205" i="1"/>
  <c r="AN205" i="1"/>
  <c r="AO205" i="1"/>
  <c r="K178" i="1"/>
  <c r="L178" i="1"/>
  <c r="M178" i="1"/>
  <c r="N178" i="1" s="1"/>
  <c r="V178" i="1"/>
  <c r="S25" i="3" s="1"/>
  <c r="Y178" i="1"/>
  <c r="Z178" i="1"/>
  <c r="AB178" i="1"/>
  <c r="AC178" i="1"/>
  <c r="AD178" i="1"/>
  <c r="AE178" i="1"/>
  <c r="R25" i="3" s="1"/>
  <c r="AF178" i="1"/>
  <c r="AH207" i="1"/>
  <c r="AM207" i="1"/>
  <c r="AN207" i="1"/>
  <c r="AO207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9" i="1"/>
  <c r="AM209" i="1"/>
  <c r="AN209" i="1"/>
  <c r="AO209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210" i="1"/>
  <c r="AM210" i="1"/>
  <c r="AN210" i="1"/>
  <c r="AO21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1" i="1"/>
  <c r="AM211" i="1"/>
  <c r="AN211" i="1"/>
  <c r="AO21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2" i="1"/>
  <c r="AM212" i="1"/>
  <c r="AN212" i="1"/>
  <c r="AO212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3" i="1"/>
  <c r="AM213" i="1"/>
  <c r="AN213" i="1"/>
  <c r="AO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AM214" i="1"/>
  <c r="AN214" i="1"/>
  <c r="AO214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5" i="1"/>
  <c r="AM215" i="1"/>
  <c r="AN215" i="1"/>
  <c r="AO21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16" i="1"/>
  <c r="AM216" i="1"/>
  <c r="AN216" i="1"/>
  <c r="AO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AO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AO218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19" i="1"/>
  <c r="AM219" i="1"/>
  <c r="AN219" i="1"/>
  <c r="AO21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0" i="1"/>
  <c r="AM220" i="1"/>
  <c r="AN220" i="1"/>
  <c r="AO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AO22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2" i="1"/>
  <c r="AM222" i="1"/>
  <c r="AN222" i="1"/>
  <c r="AO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AM223" i="1"/>
  <c r="AN223" i="1"/>
  <c r="AO22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4" i="1"/>
  <c r="AM224" i="1"/>
  <c r="AN224" i="1"/>
  <c r="AO22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5" i="1"/>
  <c r="AM225" i="1"/>
  <c r="AN225" i="1"/>
  <c r="AO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AM226" i="1"/>
  <c r="AN226" i="1"/>
  <c r="AO226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27" i="1"/>
  <c r="AM227" i="1"/>
  <c r="AN227" i="1"/>
  <c r="AO22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28" i="1"/>
  <c r="AM228" i="1"/>
  <c r="AN228" i="1"/>
  <c r="AO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AO229" i="1"/>
  <c r="K201" i="1"/>
  <c r="L201" i="1"/>
  <c r="M201" i="1"/>
  <c r="N201" i="1" s="1"/>
  <c r="V201" i="1"/>
  <c r="Y201" i="1"/>
  <c r="Z201" i="1"/>
  <c r="AA201" i="1" s="1"/>
  <c r="AB201" i="1"/>
  <c r="AC201" i="1"/>
  <c r="AD201" i="1"/>
  <c r="T201" i="1" s="1"/>
  <c r="AE201" i="1"/>
  <c r="AF201" i="1"/>
  <c r="AH230" i="1"/>
  <c r="AM230" i="1"/>
  <c r="AN230" i="1"/>
  <c r="AO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AM231" i="1"/>
  <c r="AN231" i="1"/>
  <c r="AO231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2" i="1"/>
  <c r="AM232" i="1"/>
  <c r="AN232" i="1"/>
  <c r="AO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M233" i="1"/>
  <c r="AN233" i="1"/>
  <c r="AO233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234" i="1"/>
  <c r="AM234" i="1"/>
  <c r="AN234" i="1"/>
  <c r="AO234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35" i="1"/>
  <c r="AM235" i="1"/>
  <c r="AN235" i="1"/>
  <c r="AO235" i="1"/>
  <c r="K241" i="1"/>
  <c r="L241" i="1"/>
  <c r="M241" i="1"/>
  <c r="N241" i="1"/>
  <c r="V241" i="1"/>
  <c r="Y241" i="1"/>
  <c r="Z241" i="1"/>
  <c r="AA241" i="1" s="1"/>
  <c r="AB241" i="1"/>
  <c r="AC241" i="1"/>
  <c r="AD241" i="1"/>
  <c r="X242" i="1" s="1"/>
  <c r="AE241" i="1"/>
  <c r="AF241" i="1"/>
  <c r="AH236" i="1"/>
  <c r="AM236" i="1"/>
  <c r="AN236" i="1"/>
  <c r="AO236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7" i="1"/>
  <c r="AM237" i="1"/>
  <c r="AN237" i="1"/>
  <c r="AO237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8" i="1"/>
  <c r="AM238" i="1"/>
  <c r="AN238" i="1"/>
  <c r="AO238" i="1"/>
  <c r="K225" i="1"/>
  <c r="L225" i="1"/>
  <c r="M225" i="1"/>
  <c r="N225" i="1" s="1"/>
  <c r="V225" i="1"/>
  <c r="Y225" i="1"/>
  <c r="Z225" i="1"/>
  <c r="AA225" i="1" s="1"/>
  <c r="AB225" i="1"/>
  <c r="AC225" i="1"/>
  <c r="AD225" i="1"/>
  <c r="AE225" i="1"/>
  <c r="AF225" i="1"/>
  <c r="AH239" i="1"/>
  <c r="AM239" i="1"/>
  <c r="AN239" i="1"/>
  <c r="AO23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0" i="1"/>
  <c r="AM240" i="1"/>
  <c r="AN240" i="1"/>
  <c r="AO240" i="1"/>
  <c r="K227" i="1"/>
  <c r="L227" i="1"/>
  <c r="M227" i="1"/>
  <c r="N227" i="1" s="1"/>
  <c r="V227" i="1"/>
  <c r="Y227" i="1"/>
  <c r="Z227" i="1"/>
  <c r="AA227" i="1" s="1"/>
  <c r="AB227" i="1"/>
  <c r="AC227" i="1"/>
  <c r="AD227" i="1"/>
  <c r="AE227" i="1"/>
  <c r="AF227" i="1"/>
  <c r="AH241" i="1"/>
  <c r="AM241" i="1"/>
  <c r="AN241" i="1"/>
  <c r="AO241" i="1"/>
  <c r="M9" i="3"/>
  <c r="U9" i="3"/>
  <c r="T9" i="3" s="1"/>
  <c r="V9" i="3"/>
  <c r="X9" i="3"/>
  <c r="M23" i="3"/>
  <c r="U23" i="3"/>
  <c r="V23" i="3"/>
  <c r="X23" i="3"/>
  <c r="M30" i="3"/>
  <c r="R30" i="3"/>
  <c r="U30" i="3"/>
  <c r="AC30" i="3" s="1"/>
  <c r="V30" i="3"/>
  <c r="X30" i="3"/>
  <c r="M31" i="3"/>
  <c r="U31" i="3"/>
  <c r="T31" i="3" s="1"/>
  <c r="V31" i="3"/>
  <c r="X31" i="3"/>
  <c r="M28" i="3"/>
  <c r="U28" i="3"/>
  <c r="AD28" i="3" s="1"/>
  <c r="V28" i="3"/>
  <c r="X28" i="3"/>
  <c r="M27" i="3"/>
  <c r="U27" i="3"/>
  <c r="AC27" i="3" s="1"/>
  <c r="V27" i="3"/>
  <c r="X27" i="3"/>
  <c r="M24" i="3"/>
  <c r="U24" i="3"/>
  <c r="AC24" i="3" s="1"/>
  <c r="V24" i="3"/>
  <c r="X24" i="3"/>
  <c r="M29" i="3"/>
  <c r="U29" i="3"/>
  <c r="T29" i="3" s="1"/>
  <c r="V29" i="3"/>
  <c r="X29" i="3"/>
  <c r="M10" i="3"/>
  <c r="U10" i="3"/>
  <c r="V10" i="3"/>
  <c r="X10" i="3"/>
  <c r="M15" i="3"/>
  <c r="U15" i="3"/>
  <c r="AC15" i="3" s="1"/>
  <c r="V15" i="3"/>
  <c r="X15" i="3"/>
  <c r="M16" i="3"/>
  <c r="U16" i="3"/>
  <c r="V16" i="3"/>
  <c r="X16" i="3"/>
  <c r="M20" i="3"/>
  <c r="U20" i="3"/>
  <c r="AC20" i="3" s="1"/>
  <c r="V20" i="3"/>
  <c r="X20" i="3"/>
  <c r="M18" i="3"/>
  <c r="U18" i="3"/>
  <c r="AC18" i="3" s="1"/>
  <c r="V18" i="3"/>
  <c r="X18" i="3"/>
  <c r="M25" i="3"/>
  <c r="U25" i="3"/>
  <c r="T25" i="3" s="1"/>
  <c r="V25" i="3"/>
  <c r="X25" i="3"/>
  <c r="M13" i="3"/>
  <c r="U13" i="3"/>
  <c r="V13" i="3"/>
  <c r="X13" i="3"/>
  <c r="M17" i="3"/>
  <c r="U17" i="3"/>
  <c r="AC17" i="3" s="1"/>
  <c r="V17" i="3"/>
  <c r="X17" i="3"/>
  <c r="M8" i="3"/>
  <c r="U8" i="3"/>
  <c r="AC8" i="3" s="1"/>
  <c r="V8" i="3"/>
  <c r="X8" i="3"/>
  <c r="M11" i="3"/>
  <c r="U11" i="3"/>
  <c r="V11" i="3"/>
  <c r="X11" i="3"/>
  <c r="M21" i="3"/>
  <c r="U21" i="3"/>
  <c r="V21" i="3"/>
  <c r="X21" i="3"/>
  <c r="M26" i="3"/>
  <c r="U26" i="3"/>
  <c r="AC26" i="3" s="1"/>
  <c r="V26" i="3"/>
  <c r="X26" i="3"/>
  <c r="M19" i="3"/>
  <c r="U19" i="3"/>
  <c r="AC19" i="3" s="1"/>
  <c r="V19" i="3"/>
  <c r="X19" i="3"/>
  <c r="M7" i="3"/>
  <c r="U7" i="3"/>
  <c r="T7" i="3" s="1"/>
  <c r="V7" i="3"/>
  <c r="X7" i="3"/>
  <c r="M22" i="3"/>
  <c r="U22" i="3"/>
  <c r="AC22" i="3" s="1"/>
  <c r="V22" i="3"/>
  <c r="X22" i="3"/>
  <c r="M14" i="3"/>
  <c r="U14" i="3"/>
  <c r="AC14" i="3" s="1"/>
  <c r="V14" i="3"/>
  <c r="X14" i="3"/>
  <c r="W18" i="3"/>
  <c r="W11" i="3"/>
  <c r="W27" i="3"/>
  <c r="W21" i="3"/>
  <c r="W7" i="3"/>
  <c r="W30" i="3"/>
  <c r="W17" i="3"/>
  <c r="W23" i="3"/>
  <c r="W26" i="3"/>
  <c r="W19" i="3"/>
  <c r="W10" i="3"/>
  <c r="W9" i="3"/>
  <c r="W24" i="3"/>
  <c r="W29" i="3"/>
  <c r="W14" i="3"/>
  <c r="W31" i="3"/>
  <c r="W28" i="3"/>
  <c r="W20" i="3"/>
  <c r="W13" i="3"/>
  <c r="W15" i="3"/>
  <c r="W25" i="3"/>
  <c r="W16" i="3"/>
  <c r="W8" i="3"/>
  <c r="W22" i="3"/>
  <c r="AG223" i="1"/>
  <c r="AG216" i="1"/>
  <c r="AG211" i="1"/>
  <c r="AG221" i="1"/>
  <c r="AG213" i="1"/>
  <c r="AG215" i="1"/>
  <c r="AG214" i="1"/>
  <c r="AG235" i="1"/>
  <c r="AG238" i="1"/>
  <c r="AG229" i="1"/>
  <c r="AG220" i="1"/>
  <c r="AG218" i="1"/>
  <c r="AG222" i="1"/>
  <c r="AG231" i="1"/>
  <c r="AG226" i="1"/>
  <c r="AG227" i="1"/>
  <c r="AG237" i="1"/>
  <c r="AG217" i="1"/>
  <c r="AG234" i="1"/>
  <c r="AG232" i="1"/>
  <c r="AG230" i="1"/>
  <c r="AG233" i="1"/>
  <c r="AG241" i="1"/>
  <c r="AG224" i="1"/>
  <c r="AG239" i="1"/>
  <c r="AG219" i="1"/>
  <c r="AG236" i="1"/>
  <c r="AG209" i="1"/>
  <c r="AG225" i="1"/>
  <c r="AG240" i="1"/>
  <c r="AG212" i="1"/>
  <c r="AG210" i="1"/>
  <c r="AG228" i="1"/>
  <c r="AG207" i="1"/>
  <c r="AG110" i="1"/>
  <c r="AG111" i="1"/>
  <c r="AG106" i="1"/>
  <c r="AG160" i="1"/>
  <c r="AG145" i="1"/>
  <c r="AG205" i="1"/>
  <c r="AG122" i="1"/>
  <c r="AG116" i="1"/>
  <c r="AG168" i="1"/>
  <c r="AG162" i="1"/>
  <c r="AG148" i="1"/>
  <c r="AG147" i="1"/>
  <c r="AG117" i="1"/>
  <c r="AG186" i="1"/>
  <c r="AG179" i="1"/>
  <c r="AG156" i="1"/>
  <c r="AG163" i="1"/>
  <c r="AG184" i="1"/>
  <c r="AG153" i="1"/>
  <c r="AG181" i="1"/>
  <c r="AG157" i="1"/>
  <c r="AG91" i="1"/>
  <c r="AG166" i="1"/>
  <c r="AG158" i="1"/>
  <c r="AG105" i="1"/>
  <c r="AG171" i="1"/>
  <c r="AG90" i="1"/>
  <c r="AG204" i="1"/>
  <c r="AG180" i="1"/>
  <c r="AG97" i="1"/>
  <c r="AG109" i="1"/>
  <c r="AG136" i="1"/>
  <c r="AG142" i="1"/>
  <c r="AG94" i="1"/>
  <c r="AG127" i="1"/>
  <c r="AG183" i="1"/>
  <c r="AG102" i="1"/>
  <c r="AG174" i="1"/>
  <c r="AG154" i="1"/>
  <c r="AG144" i="1"/>
  <c r="AG79" i="1"/>
  <c r="AG81" i="1"/>
  <c r="AG133" i="1"/>
  <c r="AG193" i="1"/>
  <c r="AG89" i="1"/>
  <c r="AG178" i="1"/>
  <c r="AG188" i="1"/>
  <c r="AG200" i="1"/>
  <c r="AG88" i="1"/>
  <c r="AG119" i="1"/>
  <c r="AG78" i="1"/>
  <c r="AG134" i="1"/>
  <c r="AG92" i="1"/>
  <c r="AG167" i="1"/>
  <c r="AG175" i="1"/>
  <c r="AG176" i="1"/>
  <c r="AG159" i="1"/>
  <c r="AG135" i="1"/>
  <c r="AG99" i="1"/>
  <c r="AG138" i="1"/>
  <c r="AG132" i="1"/>
  <c r="AG199" i="1"/>
  <c r="AG141" i="1"/>
  <c r="AG146" i="1"/>
  <c r="AG170" i="1"/>
  <c r="AG140" i="1"/>
  <c r="AG143" i="1"/>
  <c r="AG203" i="1"/>
  <c r="AG113" i="1"/>
  <c r="AG169" i="1"/>
  <c r="AG87" i="1"/>
  <c r="AG118" i="1"/>
  <c r="AG173" i="1"/>
  <c r="AG115" i="1"/>
  <c r="AG177" i="1"/>
  <c r="AG149" i="1"/>
  <c r="AG130" i="1"/>
  <c r="AG80" i="1"/>
  <c r="AG126" i="1"/>
  <c r="AG151" i="1"/>
  <c r="AG84" i="1"/>
  <c r="AG182" i="1"/>
  <c r="AG196" i="1"/>
  <c r="AG194" i="1"/>
  <c r="AG123" i="1"/>
  <c r="AG103" i="1"/>
  <c r="AG185" i="1"/>
  <c r="AG108" i="1"/>
  <c r="AG161" i="1"/>
  <c r="AG137" i="1"/>
  <c r="AG198" i="1"/>
  <c r="AG86" i="1"/>
  <c r="AG107" i="1"/>
  <c r="AG83" i="1"/>
  <c r="AG192" i="1"/>
  <c r="AG202" i="1"/>
  <c r="AG93" i="1"/>
  <c r="AG165" i="1"/>
  <c r="AG129" i="1"/>
  <c r="AG189" i="1"/>
  <c r="AG104" i="1"/>
  <c r="AG187" i="1"/>
  <c r="AG164" i="1"/>
  <c r="AG150" i="1"/>
  <c r="AG112" i="1"/>
  <c r="AG131" i="1"/>
  <c r="AG191" i="1"/>
  <c r="AG82" i="1"/>
  <c r="AG172" i="1"/>
  <c r="AG124" i="1"/>
  <c r="AG152" i="1"/>
  <c r="AG190" i="1"/>
  <c r="AG121" i="1"/>
  <c r="AG100" i="1"/>
  <c r="AG96" i="1"/>
  <c r="AG155" i="1"/>
  <c r="AG125" i="1"/>
  <c r="AG114" i="1"/>
  <c r="AG98" i="1"/>
  <c r="AG120" i="1"/>
  <c r="AG195" i="1"/>
  <c r="AG197" i="1"/>
  <c r="AG128" i="1"/>
  <c r="AG95" i="1"/>
  <c r="AG139" i="1"/>
  <c r="AG85" i="1"/>
  <c r="AG201" i="1"/>
  <c r="AG101" i="1"/>
  <c r="AG67" i="1"/>
  <c r="AG43" i="1"/>
  <c r="AG46" i="1"/>
  <c r="AG38" i="1"/>
  <c r="AG26" i="1"/>
  <c r="AG56" i="1"/>
  <c r="AG53" i="1"/>
  <c r="AG58" i="1"/>
  <c r="AG33" i="1"/>
  <c r="AG15" i="1"/>
  <c r="AG18" i="1"/>
  <c r="AG25" i="1"/>
  <c r="AG70" i="1"/>
  <c r="AG60" i="1"/>
  <c r="AG62" i="1"/>
  <c r="AG65" i="1"/>
  <c r="AG57" i="1"/>
  <c r="AG45" i="1"/>
  <c r="AG55" i="1"/>
  <c r="AG72" i="1"/>
  <c r="AG73" i="1"/>
  <c r="AG24" i="1"/>
  <c r="AG66" i="1"/>
  <c r="AG44" i="1"/>
  <c r="AG75" i="1"/>
  <c r="AG30" i="1"/>
  <c r="AG74" i="1"/>
  <c r="AG39" i="1"/>
  <c r="AG49" i="1"/>
  <c r="AG32" i="1"/>
  <c r="AG42" i="1"/>
  <c r="AG28" i="1"/>
  <c r="AG47" i="1"/>
  <c r="AG54" i="1"/>
  <c r="AG29" i="1"/>
  <c r="AG37" i="1"/>
  <c r="AG51" i="1"/>
  <c r="AG41" i="1"/>
  <c r="AG17" i="1"/>
  <c r="AG64" i="1"/>
  <c r="AG21" i="1"/>
  <c r="AG68" i="1"/>
  <c r="AG63" i="1"/>
  <c r="AG23" i="1"/>
  <c r="AG76" i="1"/>
  <c r="AG16" i="1"/>
  <c r="AG14" i="1"/>
  <c r="AG48" i="1"/>
  <c r="AG34" i="1"/>
  <c r="AG40" i="1"/>
  <c r="AG35" i="1"/>
  <c r="AG52" i="1"/>
  <c r="AG20" i="1"/>
  <c r="AG77" i="1"/>
  <c r="AG22" i="1"/>
  <c r="AG36" i="1"/>
  <c r="AG31" i="1"/>
  <c r="AG27" i="1"/>
  <c r="AG71" i="1"/>
  <c r="AG50" i="1"/>
  <c r="AG69" i="1"/>
  <c r="AG19" i="1"/>
  <c r="AG59" i="1"/>
  <c r="X64" i="1" l="1"/>
  <c r="T205" i="1"/>
  <c r="X176" i="1"/>
  <c r="X186" i="1"/>
  <c r="AA191" i="1"/>
  <c r="AA81" i="1"/>
  <c r="X166" i="1"/>
  <c r="AA71" i="1"/>
  <c r="AA67" i="1"/>
  <c r="AA63" i="1"/>
  <c r="AA88" i="1"/>
  <c r="AA51" i="1"/>
  <c r="X42" i="1"/>
  <c r="AA197" i="1"/>
  <c r="X196" i="1"/>
  <c r="X46" i="1"/>
  <c r="X190" i="1"/>
  <c r="X161" i="1"/>
  <c r="X194" i="1"/>
  <c r="X47" i="1"/>
  <c r="X43" i="1"/>
  <c r="X158" i="1"/>
  <c r="X228" i="1"/>
  <c r="AA224" i="1"/>
  <c r="AA203" i="1"/>
  <c r="AA200" i="1"/>
  <c r="AA196" i="1"/>
  <c r="AA194" i="1"/>
  <c r="X191" i="1"/>
  <c r="T176" i="1"/>
  <c r="T166" i="1"/>
  <c r="AA156" i="1"/>
  <c r="AA143" i="1"/>
  <c r="W143" i="1" s="1"/>
  <c r="AA135" i="1"/>
  <c r="X48" i="1"/>
  <c r="X185" i="1"/>
  <c r="AI184" i="1"/>
  <c r="U184" i="1"/>
  <c r="S184" i="1" s="1"/>
  <c r="W184" i="1"/>
  <c r="X184" i="1"/>
  <c r="AI157" i="1"/>
  <c r="U157" i="1"/>
  <c r="S157" i="1" s="1"/>
  <c r="W157" i="1"/>
  <c r="X157" i="1"/>
  <c r="R27" i="3"/>
  <c r="S31" i="3"/>
  <c r="AA148" i="1"/>
  <c r="AA140" i="1"/>
  <c r="W140" i="1" s="1"/>
  <c r="AA78" i="1"/>
  <c r="AA74" i="1"/>
  <c r="AA70" i="1"/>
  <c r="AA66" i="1"/>
  <c r="W66" i="1" s="1"/>
  <c r="AA62" i="1"/>
  <c r="AA53" i="1"/>
  <c r="AA30" i="1"/>
  <c r="W30" i="1" s="1"/>
  <c r="X225" i="1"/>
  <c r="AA192" i="1"/>
  <c r="W192" i="1" s="1"/>
  <c r="AA187" i="1"/>
  <c r="AA217" i="1"/>
  <c r="AA101" i="1"/>
  <c r="AA55" i="1"/>
  <c r="W55" i="1" s="1"/>
  <c r="X40" i="1"/>
  <c r="AA188" i="1"/>
  <c r="AA174" i="1"/>
  <c r="W174" i="1" s="1"/>
  <c r="AA131" i="1"/>
  <c r="X198" i="1"/>
  <c r="AA226" i="1"/>
  <c r="AA205" i="1"/>
  <c r="W205" i="1" s="1"/>
  <c r="X193" i="1"/>
  <c r="X180" i="1"/>
  <c r="X179" i="1"/>
  <c r="X236" i="1"/>
  <c r="AA92" i="1"/>
  <c r="W92" i="1" s="1"/>
  <c r="AA84" i="1"/>
  <c r="AA49" i="1"/>
  <c r="W49" i="1" s="1"/>
  <c r="AA45" i="1"/>
  <c r="W45" i="1" s="1"/>
  <c r="AA40" i="1"/>
  <c r="W40" i="1" s="1"/>
  <c r="AA36" i="1"/>
  <c r="X41" i="1"/>
  <c r="X202" i="1"/>
  <c r="X171" i="1"/>
  <c r="X235" i="1"/>
  <c r="AA223" i="1"/>
  <c r="AA181" i="1"/>
  <c r="W181" i="1" s="1"/>
  <c r="X227" i="1"/>
  <c r="X241" i="1"/>
  <c r="AA106" i="1"/>
  <c r="AA89" i="1"/>
  <c r="AA32" i="1"/>
  <c r="W32" i="1" s="1"/>
  <c r="S27" i="3"/>
  <c r="T225" i="1"/>
  <c r="X224" i="1"/>
  <c r="X223" i="1"/>
  <c r="AA204" i="1"/>
  <c r="X203" i="1"/>
  <c r="AA202" i="1"/>
  <c r="AA199" i="1"/>
  <c r="W199" i="1" s="1"/>
  <c r="AA195" i="1"/>
  <c r="AA193" i="1"/>
  <c r="AA189" i="1"/>
  <c r="W189" i="1" s="1"/>
  <c r="X188" i="1"/>
  <c r="T186" i="1"/>
  <c r="U186" i="1" s="1"/>
  <c r="S186" i="1" s="1"/>
  <c r="AA183" i="1"/>
  <c r="AA179" i="1"/>
  <c r="AA178" i="1"/>
  <c r="W178" i="1" s="1"/>
  <c r="X177" i="1"/>
  <c r="AA177" i="1"/>
  <c r="X175" i="1"/>
  <c r="X174" i="1"/>
  <c r="AA171" i="1"/>
  <c r="AA170" i="1"/>
  <c r="X169" i="1"/>
  <c r="AA169" i="1"/>
  <c r="W169" i="1" s="1"/>
  <c r="T161" i="1"/>
  <c r="X221" i="1"/>
  <c r="X219" i="1"/>
  <c r="AA214" i="1"/>
  <c r="AA209" i="1"/>
  <c r="AA151" i="1"/>
  <c r="AA104" i="1"/>
  <c r="W104" i="1" s="1"/>
  <c r="AA100" i="1"/>
  <c r="W100" i="1" s="1"/>
  <c r="AA99" i="1"/>
  <c r="AA94" i="1"/>
  <c r="AA90" i="1"/>
  <c r="W90" i="1" s="1"/>
  <c r="AA86" i="1"/>
  <c r="W86" i="1" s="1"/>
  <c r="AA82" i="1"/>
  <c r="AA73" i="1"/>
  <c r="W73" i="1" s="1"/>
  <c r="AA69" i="1"/>
  <c r="W69" i="1" s="1"/>
  <c r="AA65" i="1"/>
  <c r="AA60" i="1"/>
  <c r="AD9" i="3"/>
  <c r="AC9" i="3"/>
  <c r="AI41" i="1"/>
  <c r="U41" i="1"/>
  <c r="S41" i="1" s="1"/>
  <c r="W41" i="1"/>
  <c r="AD31" i="3"/>
  <c r="AD23" i="3"/>
  <c r="X204" i="1"/>
  <c r="X201" i="1"/>
  <c r="AA132" i="1"/>
  <c r="AA102" i="1"/>
  <c r="W102" i="1" s="1"/>
  <c r="AA97" i="1"/>
  <c r="AA77" i="1"/>
  <c r="AA54" i="1"/>
  <c r="AA47" i="1"/>
  <c r="AA43" i="1"/>
  <c r="AA38" i="1"/>
  <c r="AA34" i="1"/>
  <c r="W34" i="1" s="1"/>
  <c r="AA29" i="1"/>
  <c r="AA28" i="1"/>
  <c r="AA16" i="1"/>
  <c r="X199" i="1"/>
  <c r="X226" i="1"/>
  <c r="T241" i="1"/>
  <c r="X200" i="1"/>
  <c r="AA198" i="1"/>
  <c r="W198" i="1" s="1"/>
  <c r="T198" i="1"/>
  <c r="X197" i="1"/>
  <c r="X195" i="1"/>
  <c r="T191" i="1"/>
  <c r="U191" i="1" s="1"/>
  <c r="S191" i="1" s="1"/>
  <c r="X189" i="1"/>
  <c r="X187" i="1"/>
  <c r="X183" i="1"/>
  <c r="X182" i="1"/>
  <c r="T180" i="1"/>
  <c r="AA175" i="1"/>
  <c r="AA173" i="1"/>
  <c r="X172" i="1"/>
  <c r="X170" i="1"/>
  <c r="X167" i="1"/>
  <c r="X240" i="1"/>
  <c r="AA155" i="1"/>
  <c r="AA152" i="1"/>
  <c r="AA139" i="1"/>
  <c r="AA136" i="1"/>
  <c r="AA103" i="1"/>
  <c r="AA93" i="1"/>
  <c r="AA79" i="1"/>
  <c r="AA75" i="1"/>
  <c r="W75" i="1" s="1"/>
  <c r="AA50" i="1"/>
  <c r="W50" i="1" s="1"/>
  <c r="AA46" i="1"/>
  <c r="AA42" i="1"/>
  <c r="W42" i="1" s="1"/>
  <c r="AA37" i="1"/>
  <c r="W37" i="1" s="1"/>
  <c r="AA33" i="1"/>
  <c r="AA24" i="1"/>
  <c r="AA207" i="1"/>
  <c r="X205" i="1"/>
  <c r="T199" i="1"/>
  <c r="U199" i="1" s="1"/>
  <c r="S199" i="1" s="1"/>
  <c r="X192" i="1"/>
  <c r="AA190" i="1"/>
  <c r="AA182" i="1"/>
  <c r="W182" i="1" s="1"/>
  <c r="X178" i="1"/>
  <c r="X232" i="1"/>
  <c r="X230" i="1"/>
  <c r="AA213" i="1"/>
  <c r="AA210" i="1"/>
  <c r="W210" i="1" s="1"/>
  <c r="AA147" i="1"/>
  <c r="AA144" i="1"/>
  <c r="AA85" i="1"/>
  <c r="AA20" i="1"/>
  <c r="AA15" i="1"/>
  <c r="T227" i="1"/>
  <c r="T190" i="1"/>
  <c r="U190" i="1" s="1"/>
  <c r="S190" i="1" s="1"/>
  <c r="T187" i="1"/>
  <c r="U187" i="1" s="1"/>
  <c r="S187" i="1" s="1"/>
  <c r="T183" i="1"/>
  <c r="T178" i="1"/>
  <c r="T175" i="1"/>
  <c r="U175" i="1" s="1"/>
  <c r="S175" i="1" s="1"/>
  <c r="T170" i="1"/>
  <c r="AA22" i="1"/>
  <c r="X181" i="1"/>
  <c r="AA180" i="1"/>
  <c r="T177" i="1"/>
  <c r="U177" i="1" s="1"/>
  <c r="S177" i="1" s="1"/>
  <c r="X173" i="1"/>
  <c r="AA172" i="1"/>
  <c r="T169" i="1"/>
  <c r="U169" i="1" s="1"/>
  <c r="S169" i="1" s="1"/>
  <c r="X163" i="1"/>
  <c r="X162" i="1"/>
  <c r="X238" i="1"/>
  <c r="X237" i="1"/>
  <c r="X231" i="1"/>
  <c r="X222" i="1"/>
  <c r="X218" i="1"/>
  <c r="AA216" i="1"/>
  <c r="AA215" i="1"/>
  <c r="W215" i="1" s="1"/>
  <c r="AA159" i="1"/>
  <c r="AA158" i="1"/>
  <c r="AA150" i="1"/>
  <c r="AA149" i="1"/>
  <c r="W149" i="1" s="1"/>
  <c r="AA142" i="1"/>
  <c r="AA141" i="1"/>
  <c r="AA134" i="1"/>
  <c r="W134" i="1" s="1"/>
  <c r="AA133" i="1"/>
  <c r="W133" i="1" s="1"/>
  <c r="AA107" i="1"/>
  <c r="AA98" i="1"/>
  <c r="AA91" i="1"/>
  <c r="W91" i="1" s="1"/>
  <c r="AA83" i="1"/>
  <c r="W83" i="1" s="1"/>
  <c r="AA76" i="1"/>
  <c r="AA68" i="1"/>
  <c r="AA59" i="1"/>
  <c r="W59" i="1" s="1"/>
  <c r="AA14" i="1"/>
  <c r="AA186" i="1"/>
  <c r="AA26" i="1"/>
  <c r="AA18" i="1"/>
  <c r="W18" i="1" s="1"/>
  <c r="AA185" i="1"/>
  <c r="W185" i="1" s="1"/>
  <c r="AA176" i="1"/>
  <c r="AA168" i="1"/>
  <c r="X165" i="1"/>
  <c r="T162" i="1"/>
  <c r="U162" i="1" s="1"/>
  <c r="S162" i="1" s="1"/>
  <c r="X234" i="1"/>
  <c r="X233" i="1"/>
  <c r="X229" i="1"/>
  <c r="X220" i="1"/>
  <c r="AA212" i="1"/>
  <c r="AA211" i="1"/>
  <c r="AA154" i="1"/>
  <c r="W154" i="1" s="1"/>
  <c r="AA153" i="1"/>
  <c r="W153" i="1" s="1"/>
  <c r="AA146" i="1"/>
  <c r="AA145" i="1"/>
  <c r="AA138" i="1"/>
  <c r="W138" i="1" s="1"/>
  <c r="AA137" i="1"/>
  <c r="W137" i="1" s="1"/>
  <c r="AA105" i="1"/>
  <c r="AA96" i="1"/>
  <c r="AA95" i="1"/>
  <c r="AA87" i="1"/>
  <c r="W87" i="1" s="1"/>
  <c r="AA80" i="1"/>
  <c r="AA72" i="1"/>
  <c r="AA64" i="1"/>
  <c r="W64" i="1" s="1"/>
  <c r="AA58" i="1"/>
  <c r="W58" i="1" s="1"/>
  <c r="AA57" i="1"/>
  <c r="AI204" i="1"/>
  <c r="U176" i="1"/>
  <c r="S176" i="1" s="1"/>
  <c r="AI215" i="1"/>
  <c r="AI211" i="1"/>
  <c r="U181" i="1"/>
  <c r="S181" i="1" s="1"/>
  <c r="AI205" i="1"/>
  <c r="AI201" i="1"/>
  <c r="U173" i="1"/>
  <c r="S173" i="1" s="1"/>
  <c r="AI197" i="1"/>
  <c r="AI192" i="1"/>
  <c r="U164" i="1"/>
  <c r="S164" i="1" s="1"/>
  <c r="AI188" i="1"/>
  <c r="U160" i="1"/>
  <c r="S160" i="1" s="1"/>
  <c r="AI185" i="1"/>
  <c r="U238" i="1"/>
  <c r="S238" i="1" s="1"/>
  <c r="AI182" i="1"/>
  <c r="U236" i="1"/>
  <c r="S236" i="1" s="1"/>
  <c r="AI180" i="1"/>
  <c r="U234" i="1"/>
  <c r="S234" i="1" s="1"/>
  <c r="AI178" i="1"/>
  <c r="U232" i="1"/>
  <c r="S232" i="1" s="1"/>
  <c r="AI176" i="1"/>
  <c r="U230" i="1"/>
  <c r="S230" i="1" s="1"/>
  <c r="AI174" i="1"/>
  <c r="U228" i="1"/>
  <c r="S228" i="1" s="1"/>
  <c r="AI172" i="1"/>
  <c r="U221" i="1"/>
  <c r="S221" i="1" s="1"/>
  <c r="AI170" i="1"/>
  <c r="U219" i="1"/>
  <c r="S219" i="1" s="1"/>
  <c r="AI210" i="1"/>
  <c r="U180" i="1"/>
  <c r="S180" i="1" s="1"/>
  <c r="AI200" i="1"/>
  <c r="U172" i="1"/>
  <c r="S172" i="1" s="1"/>
  <c r="AI191" i="1"/>
  <c r="U163" i="1"/>
  <c r="S163" i="1" s="1"/>
  <c r="AI187" i="1"/>
  <c r="U240" i="1"/>
  <c r="S240" i="1" s="1"/>
  <c r="U178" i="1"/>
  <c r="S178" i="1" s="1"/>
  <c r="AI207" i="1"/>
  <c r="AI202" i="1"/>
  <c r="U174" i="1"/>
  <c r="S174" i="1" s="1"/>
  <c r="AI198" i="1"/>
  <c r="U170" i="1"/>
  <c r="S170" i="1" s="1"/>
  <c r="AI193" i="1"/>
  <c r="U165" i="1"/>
  <c r="S165" i="1" s="1"/>
  <c r="AI189" i="1"/>
  <c r="U161" i="1"/>
  <c r="S161" i="1" s="1"/>
  <c r="AI214" i="1"/>
  <c r="U185" i="1"/>
  <c r="S185" i="1" s="1"/>
  <c r="U168" i="1"/>
  <c r="S168" i="1" s="1"/>
  <c r="AI196" i="1"/>
  <c r="AI195" i="1"/>
  <c r="U167" i="1"/>
  <c r="S167" i="1" s="1"/>
  <c r="AI216" i="1"/>
  <c r="U182" i="1"/>
  <c r="S182" i="1" s="1"/>
  <c r="AI212" i="1"/>
  <c r="U227" i="1"/>
  <c r="S227" i="1" s="1"/>
  <c r="AI241" i="1"/>
  <c r="U226" i="1"/>
  <c r="S226" i="1" s="1"/>
  <c r="AI240" i="1"/>
  <c r="U225" i="1"/>
  <c r="S225" i="1" s="1"/>
  <c r="AI239" i="1"/>
  <c r="U224" i="1"/>
  <c r="S224" i="1" s="1"/>
  <c r="AI238" i="1"/>
  <c r="U223" i="1"/>
  <c r="S223" i="1" s="1"/>
  <c r="AI237" i="1"/>
  <c r="U241" i="1"/>
  <c r="S241" i="1" s="1"/>
  <c r="AI236" i="1"/>
  <c r="U207" i="1"/>
  <c r="S207" i="1" s="1"/>
  <c r="AI235" i="1"/>
  <c r="U205" i="1"/>
  <c r="S205" i="1" s="1"/>
  <c r="AI234" i="1"/>
  <c r="U204" i="1"/>
  <c r="S204" i="1" s="1"/>
  <c r="AI233" i="1"/>
  <c r="U203" i="1"/>
  <c r="S203" i="1" s="1"/>
  <c r="AI232" i="1"/>
  <c r="U202" i="1"/>
  <c r="S202" i="1" s="1"/>
  <c r="AI231" i="1"/>
  <c r="U201" i="1"/>
  <c r="S201" i="1" s="1"/>
  <c r="AI230" i="1"/>
  <c r="U200" i="1"/>
  <c r="S200" i="1" s="1"/>
  <c r="AI229" i="1"/>
  <c r="AI228" i="1"/>
  <c r="U198" i="1"/>
  <c r="S198" i="1" s="1"/>
  <c r="AI227" i="1"/>
  <c r="U197" i="1"/>
  <c r="S197" i="1" s="1"/>
  <c r="AI226" i="1"/>
  <c r="U196" i="1"/>
  <c r="S196" i="1" s="1"/>
  <c r="AI225" i="1"/>
  <c r="U195" i="1"/>
  <c r="S195" i="1" s="1"/>
  <c r="AI224" i="1"/>
  <c r="U194" i="1"/>
  <c r="S194" i="1" s="1"/>
  <c r="AI223" i="1"/>
  <c r="U193" i="1"/>
  <c r="S193" i="1" s="1"/>
  <c r="AI222" i="1"/>
  <c r="U192" i="1"/>
  <c r="S192" i="1" s="1"/>
  <c r="AI221" i="1"/>
  <c r="AI220" i="1"/>
  <c r="AI219" i="1"/>
  <c r="U189" i="1"/>
  <c r="S189" i="1" s="1"/>
  <c r="AI218" i="1"/>
  <c r="U188" i="1"/>
  <c r="S188" i="1" s="1"/>
  <c r="AI217" i="1"/>
  <c r="U183" i="1"/>
  <c r="S183" i="1" s="1"/>
  <c r="AI213" i="1"/>
  <c r="U179" i="1"/>
  <c r="S179" i="1" s="1"/>
  <c r="AI209" i="1"/>
  <c r="AI203" i="1"/>
  <c r="U171" i="1"/>
  <c r="S171" i="1" s="1"/>
  <c r="AI199" i="1"/>
  <c r="AI194" i="1"/>
  <c r="U166" i="1"/>
  <c r="S166" i="1" s="1"/>
  <c r="AI190" i="1"/>
  <c r="AI186" i="1"/>
  <c r="U239" i="1"/>
  <c r="S239" i="1" s="1"/>
  <c r="AI183" i="1"/>
  <c r="U237" i="1"/>
  <c r="S237" i="1" s="1"/>
  <c r="AI181" i="1"/>
  <c r="U235" i="1"/>
  <c r="S235" i="1" s="1"/>
  <c r="AI179" i="1"/>
  <c r="U233" i="1"/>
  <c r="S233" i="1" s="1"/>
  <c r="AI177" i="1"/>
  <c r="U231" i="1"/>
  <c r="S231" i="1" s="1"/>
  <c r="AI175" i="1"/>
  <c r="U229" i="1"/>
  <c r="S229" i="1" s="1"/>
  <c r="AI173" i="1"/>
  <c r="U222" i="1"/>
  <c r="S222" i="1" s="1"/>
  <c r="AI171" i="1"/>
  <c r="U220" i="1"/>
  <c r="S220" i="1" s="1"/>
  <c r="AI169" i="1"/>
  <c r="U218" i="1"/>
  <c r="S218" i="1" s="1"/>
  <c r="AI87" i="1"/>
  <c r="AI106" i="1"/>
  <c r="AI105" i="1"/>
  <c r="AI83" i="1"/>
  <c r="AI98" i="1"/>
  <c r="AI97" i="1"/>
  <c r="AI95" i="1"/>
  <c r="AI54" i="1"/>
  <c r="AI91" i="1"/>
  <c r="AI168" i="1"/>
  <c r="U217" i="1"/>
  <c r="S217" i="1" s="1"/>
  <c r="AI167" i="1"/>
  <c r="AI166" i="1"/>
  <c r="U215" i="1"/>
  <c r="S215" i="1" s="1"/>
  <c r="AI165" i="1"/>
  <c r="AI164" i="1"/>
  <c r="U213" i="1"/>
  <c r="S213" i="1" s="1"/>
  <c r="AI163" i="1"/>
  <c r="AI162" i="1"/>
  <c r="U211" i="1"/>
  <c r="S211" i="1" s="1"/>
  <c r="AI161" i="1"/>
  <c r="AI160" i="1"/>
  <c r="U209" i="1"/>
  <c r="S209" i="1" s="1"/>
  <c r="AI159" i="1"/>
  <c r="AI158" i="1"/>
  <c r="U158" i="1"/>
  <c r="S158" i="1" s="1"/>
  <c r="AI156" i="1"/>
  <c r="AI155" i="1"/>
  <c r="U155" i="1"/>
  <c r="S155" i="1" s="1"/>
  <c r="AI154" i="1"/>
  <c r="AI153" i="1"/>
  <c r="U153" i="1"/>
  <c r="S153" i="1" s="1"/>
  <c r="AI152" i="1"/>
  <c r="AI151" i="1"/>
  <c r="U151" i="1"/>
  <c r="S151" i="1" s="1"/>
  <c r="AI150" i="1"/>
  <c r="AI149" i="1"/>
  <c r="U149" i="1"/>
  <c r="S149" i="1" s="1"/>
  <c r="AI148" i="1"/>
  <c r="AI147" i="1"/>
  <c r="U147" i="1"/>
  <c r="S147" i="1" s="1"/>
  <c r="AI146" i="1"/>
  <c r="AI145" i="1"/>
  <c r="U145" i="1"/>
  <c r="S145" i="1" s="1"/>
  <c r="AI144" i="1"/>
  <c r="AI143" i="1"/>
  <c r="U143" i="1"/>
  <c r="S143" i="1" s="1"/>
  <c r="AI142" i="1"/>
  <c r="AI141" i="1"/>
  <c r="U141" i="1"/>
  <c r="S141" i="1" s="1"/>
  <c r="AI140" i="1"/>
  <c r="AI139" i="1"/>
  <c r="U139" i="1"/>
  <c r="S139" i="1" s="1"/>
  <c r="AI138" i="1"/>
  <c r="AI137" i="1"/>
  <c r="U137" i="1"/>
  <c r="S137" i="1" s="1"/>
  <c r="AI136" i="1"/>
  <c r="AI135" i="1"/>
  <c r="U135" i="1"/>
  <c r="AI134" i="1"/>
  <c r="AI133" i="1"/>
  <c r="U133" i="1"/>
  <c r="S133" i="1" s="1"/>
  <c r="AI132" i="1"/>
  <c r="AI131" i="1"/>
  <c r="U131" i="1"/>
  <c r="S131" i="1" s="1"/>
  <c r="AI130" i="1"/>
  <c r="AI129" i="1"/>
  <c r="AI128" i="1"/>
  <c r="U128" i="1"/>
  <c r="S128" i="1" s="1"/>
  <c r="AI127" i="1"/>
  <c r="U127" i="1"/>
  <c r="S127" i="1" s="1"/>
  <c r="AI126" i="1"/>
  <c r="U126" i="1"/>
  <c r="S126" i="1" s="1"/>
  <c r="AI125" i="1"/>
  <c r="U125" i="1"/>
  <c r="S125" i="1" s="1"/>
  <c r="AI124" i="1"/>
  <c r="U124" i="1"/>
  <c r="S124" i="1" s="1"/>
  <c r="AI123" i="1"/>
  <c r="U123" i="1"/>
  <c r="S123" i="1" s="1"/>
  <c r="AI122" i="1"/>
  <c r="U122" i="1"/>
  <c r="S122" i="1" s="1"/>
  <c r="AI121" i="1"/>
  <c r="U121" i="1"/>
  <c r="S121" i="1" s="1"/>
  <c r="AI120" i="1"/>
  <c r="U120" i="1"/>
  <c r="S120" i="1" s="1"/>
  <c r="AI119" i="1"/>
  <c r="U119" i="1"/>
  <c r="S119" i="1" s="1"/>
  <c r="AI118" i="1"/>
  <c r="U118" i="1"/>
  <c r="S118" i="1" s="1"/>
  <c r="AI117" i="1"/>
  <c r="U117" i="1"/>
  <c r="S117" i="1" s="1"/>
  <c r="AI116" i="1"/>
  <c r="U116" i="1"/>
  <c r="S116" i="1" s="1"/>
  <c r="AI115" i="1"/>
  <c r="U115" i="1"/>
  <c r="S115" i="1" s="1"/>
  <c r="AI114" i="1"/>
  <c r="U114" i="1"/>
  <c r="S114" i="1" s="1"/>
  <c r="AI113" i="1"/>
  <c r="U113" i="1"/>
  <c r="S113" i="1" s="1"/>
  <c r="AI112" i="1"/>
  <c r="U112" i="1"/>
  <c r="S112" i="1" s="1"/>
  <c r="AI111" i="1"/>
  <c r="U111" i="1"/>
  <c r="S111" i="1" s="1"/>
  <c r="AI110" i="1"/>
  <c r="U110" i="1"/>
  <c r="S110" i="1" s="1"/>
  <c r="AI109" i="1"/>
  <c r="U109" i="1"/>
  <c r="S109" i="1" s="1"/>
  <c r="AI108" i="1"/>
  <c r="U108" i="1"/>
  <c r="S108" i="1" s="1"/>
  <c r="AI107" i="1"/>
  <c r="W107" i="1"/>
  <c r="AI100" i="1"/>
  <c r="AI99" i="1"/>
  <c r="AI94" i="1"/>
  <c r="AI90" i="1"/>
  <c r="AI86" i="1"/>
  <c r="AI82" i="1"/>
  <c r="AI78" i="1"/>
  <c r="AI74" i="1"/>
  <c r="AI70" i="1"/>
  <c r="AI66" i="1"/>
  <c r="AI62" i="1"/>
  <c r="AI46" i="1"/>
  <c r="AI104" i="1"/>
  <c r="W103" i="1"/>
  <c r="AI103" i="1"/>
  <c r="AI96" i="1"/>
  <c r="AI92" i="1"/>
  <c r="AI88" i="1"/>
  <c r="AI84" i="1"/>
  <c r="AI80" i="1"/>
  <c r="AI76" i="1"/>
  <c r="AI72" i="1"/>
  <c r="AI68" i="1"/>
  <c r="AI64" i="1"/>
  <c r="AI59" i="1"/>
  <c r="AI29" i="1"/>
  <c r="AI102" i="1"/>
  <c r="AI101" i="1"/>
  <c r="AI93" i="1"/>
  <c r="AI89" i="1"/>
  <c r="AI85" i="1"/>
  <c r="AI37" i="1"/>
  <c r="AI52" i="1"/>
  <c r="AI44" i="1"/>
  <c r="AI35" i="1"/>
  <c r="AI27" i="1"/>
  <c r="AI56" i="1"/>
  <c r="AI48" i="1"/>
  <c r="AI39" i="1"/>
  <c r="AI31" i="1"/>
  <c r="AI81" i="1"/>
  <c r="AI79" i="1"/>
  <c r="AI77" i="1"/>
  <c r="AI75" i="1"/>
  <c r="AI73" i="1"/>
  <c r="AI71" i="1"/>
  <c r="AI69" i="1"/>
  <c r="AI67" i="1"/>
  <c r="AI65" i="1"/>
  <c r="AI63" i="1"/>
  <c r="AI60" i="1"/>
  <c r="AI50" i="1"/>
  <c r="AI42" i="1"/>
  <c r="AI33" i="1"/>
  <c r="AI25" i="1"/>
  <c r="AI23" i="1"/>
  <c r="AI21" i="1"/>
  <c r="AI19" i="1"/>
  <c r="AI17" i="1"/>
  <c r="AI15" i="1"/>
  <c r="AI58" i="1"/>
  <c r="AI57" i="1"/>
  <c r="AI55" i="1"/>
  <c r="AI53" i="1"/>
  <c r="AI51" i="1"/>
  <c r="AI49" i="1"/>
  <c r="AI47" i="1"/>
  <c r="AI45" i="1"/>
  <c r="AI43" i="1"/>
  <c r="AI40" i="1"/>
  <c r="AI38" i="1"/>
  <c r="AI36" i="1"/>
  <c r="AI34" i="1"/>
  <c r="AI32" i="1"/>
  <c r="AI30" i="1"/>
  <c r="AI28" i="1"/>
  <c r="AI26" i="1"/>
  <c r="AI24" i="1"/>
  <c r="AI22" i="1"/>
  <c r="AI20" i="1"/>
  <c r="AI18" i="1"/>
  <c r="AI16" i="1"/>
  <c r="AI14" i="1"/>
  <c r="W225" i="1"/>
  <c r="W194" i="1"/>
  <c r="W190" i="1"/>
  <c r="W226" i="1"/>
  <c r="W241" i="1"/>
  <c r="W203" i="1"/>
  <c r="W195" i="1"/>
  <c r="W191" i="1"/>
  <c r="W173" i="1"/>
  <c r="W227" i="1"/>
  <c r="W223" i="1"/>
  <c r="W196" i="1"/>
  <c r="W180" i="1"/>
  <c r="W172" i="1"/>
  <c r="W224" i="1"/>
  <c r="W201" i="1"/>
  <c r="W197" i="1"/>
  <c r="W193" i="1"/>
  <c r="W186" i="1"/>
  <c r="W177" i="1"/>
  <c r="W204" i="1"/>
  <c r="W200" i="1"/>
  <c r="W188" i="1"/>
  <c r="W179" i="1"/>
  <c r="W171" i="1"/>
  <c r="W207" i="1"/>
  <c r="W202" i="1"/>
  <c r="W187" i="1"/>
  <c r="W183" i="1"/>
  <c r="W176" i="1"/>
  <c r="W175" i="1"/>
  <c r="W170" i="1"/>
  <c r="W168" i="1"/>
  <c r="T142" i="1"/>
  <c r="U142" i="1" s="1"/>
  <c r="S142" i="1" s="1"/>
  <c r="X143" i="1"/>
  <c r="X142" i="1"/>
  <c r="X164" i="1"/>
  <c r="X160" i="1"/>
  <c r="T214" i="1"/>
  <c r="U214" i="1" s="1"/>
  <c r="S214" i="1" s="1"/>
  <c r="X215" i="1"/>
  <c r="X214" i="1"/>
  <c r="T156" i="1"/>
  <c r="U156" i="1" s="1"/>
  <c r="S156" i="1" s="1"/>
  <c r="X156" i="1"/>
  <c r="T148" i="1"/>
  <c r="U148" i="1" s="1"/>
  <c r="X149" i="1"/>
  <c r="X148" i="1"/>
  <c r="T140" i="1"/>
  <c r="U140" i="1" s="1"/>
  <c r="S140" i="1" s="1"/>
  <c r="X141" i="1"/>
  <c r="X140" i="1"/>
  <c r="T132" i="1"/>
  <c r="U132" i="1" s="1"/>
  <c r="S132" i="1" s="1"/>
  <c r="X133" i="1"/>
  <c r="X132" i="1"/>
  <c r="X129" i="1"/>
  <c r="T129" i="1"/>
  <c r="U129" i="1" s="1"/>
  <c r="S129" i="1" s="1"/>
  <c r="W68" i="1"/>
  <c r="T216" i="1"/>
  <c r="U216" i="1" s="1"/>
  <c r="S216" i="1" s="1"/>
  <c r="X217" i="1"/>
  <c r="X216" i="1"/>
  <c r="T159" i="1"/>
  <c r="U159" i="1" s="1"/>
  <c r="S159" i="1" s="1"/>
  <c r="X159" i="1"/>
  <c r="T212" i="1"/>
  <c r="U212" i="1" s="1"/>
  <c r="S212" i="1" s="1"/>
  <c r="X213" i="1"/>
  <c r="X212" i="1"/>
  <c r="T154" i="1"/>
  <c r="U154" i="1" s="1"/>
  <c r="S154" i="1" s="1"/>
  <c r="X155" i="1"/>
  <c r="X154" i="1"/>
  <c r="T146" i="1"/>
  <c r="U146" i="1" s="1"/>
  <c r="S146" i="1" s="1"/>
  <c r="X147" i="1"/>
  <c r="X146" i="1"/>
  <c r="T138" i="1"/>
  <c r="U138" i="1" s="1"/>
  <c r="S138" i="1" s="1"/>
  <c r="X139" i="1"/>
  <c r="X138" i="1"/>
  <c r="X130" i="1"/>
  <c r="X131" i="1"/>
  <c r="T130" i="1"/>
  <c r="U130" i="1" s="1"/>
  <c r="S130" i="1" s="1"/>
  <c r="W105" i="1"/>
  <c r="T104" i="1"/>
  <c r="U104" i="1" s="1"/>
  <c r="S104" i="1" s="1"/>
  <c r="X104" i="1"/>
  <c r="W99" i="1"/>
  <c r="W94" i="1"/>
  <c r="T150" i="1"/>
  <c r="U150" i="1" s="1"/>
  <c r="S150" i="1" s="1"/>
  <c r="X151" i="1"/>
  <c r="X150" i="1"/>
  <c r="T134" i="1"/>
  <c r="U134" i="1" s="1"/>
  <c r="X135" i="1"/>
  <c r="X134" i="1"/>
  <c r="X239" i="1"/>
  <c r="T210" i="1"/>
  <c r="U210" i="1" s="1"/>
  <c r="S210" i="1" s="1"/>
  <c r="X211" i="1"/>
  <c r="X210" i="1"/>
  <c r="T152" i="1"/>
  <c r="U152" i="1" s="1"/>
  <c r="S152" i="1" s="1"/>
  <c r="X153" i="1"/>
  <c r="X152" i="1"/>
  <c r="T144" i="1"/>
  <c r="U144" i="1" s="1"/>
  <c r="S144" i="1" s="1"/>
  <c r="X145" i="1"/>
  <c r="X144" i="1"/>
  <c r="T136" i="1"/>
  <c r="U136" i="1" s="1"/>
  <c r="X137" i="1"/>
  <c r="X136" i="1"/>
  <c r="W106" i="1"/>
  <c r="W96" i="1"/>
  <c r="W89" i="1"/>
  <c r="W217" i="1"/>
  <c r="W213" i="1"/>
  <c r="W211" i="1"/>
  <c r="W209" i="1"/>
  <c r="W158" i="1"/>
  <c r="W155" i="1"/>
  <c r="W151" i="1"/>
  <c r="W147" i="1"/>
  <c r="W145" i="1"/>
  <c r="W141" i="1"/>
  <c r="W139" i="1"/>
  <c r="W135" i="1"/>
  <c r="W131" i="1"/>
  <c r="W98" i="1"/>
  <c r="W97" i="1"/>
  <c r="T96" i="1"/>
  <c r="U96" i="1" s="1"/>
  <c r="S96" i="1" s="1"/>
  <c r="X96" i="1"/>
  <c r="W95" i="1"/>
  <c r="W85" i="1"/>
  <c r="W79" i="1"/>
  <c r="W72" i="1"/>
  <c r="W63" i="1"/>
  <c r="W14" i="1"/>
  <c r="AA167" i="1"/>
  <c r="W167" i="1" s="1"/>
  <c r="AA166" i="1"/>
  <c r="W166" i="1" s="1"/>
  <c r="AA165" i="1"/>
  <c r="W165" i="1" s="1"/>
  <c r="AA164" i="1"/>
  <c r="W164" i="1" s="1"/>
  <c r="AA163" i="1"/>
  <c r="W163" i="1" s="1"/>
  <c r="AA162" i="1"/>
  <c r="W162" i="1" s="1"/>
  <c r="AA161" i="1"/>
  <c r="W161" i="1" s="1"/>
  <c r="AA160" i="1"/>
  <c r="W160" i="1" s="1"/>
  <c r="AA240" i="1"/>
  <c r="W240" i="1" s="1"/>
  <c r="AA239" i="1"/>
  <c r="W239" i="1" s="1"/>
  <c r="AA238" i="1"/>
  <c r="W238" i="1" s="1"/>
  <c r="AA237" i="1"/>
  <c r="W237" i="1" s="1"/>
  <c r="AA236" i="1"/>
  <c r="W236" i="1" s="1"/>
  <c r="AA235" i="1"/>
  <c r="W235" i="1" s="1"/>
  <c r="AA234" i="1"/>
  <c r="W234" i="1" s="1"/>
  <c r="AA233" i="1"/>
  <c r="W233" i="1" s="1"/>
  <c r="AA232" i="1"/>
  <c r="W232" i="1" s="1"/>
  <c r="AA231" i="1"/>
  <c r="W231" i="1" s="1"/>
  <c r="AA230" i="1"/>
  <c r="W230" i="1" s="1"/>
  <c r="AA229" i="1"/>
  <c r="W229" i="1" s="1"/>
  <c r="AA228" i="1"/>
  <c r="W228" i="1" s="1"/>
  <c r="AA222" i="1"/>
  <c r="W222" i="1" s="1"/>
  <c r="AA221" i="1"/>
  <c r="W221" i="1" s="1"/>
  <c r="AA220" i="1"/>
  <c r="W220" i="1" s="1"/>
  <c r="AA219" i="1"/>
  <c r="W219" i="1" s="1"/>
  <c r="AA218" i="1"/>
  <c r="W218" i="1" s="1"/>
  <c r="W76" i="1"/>
  <c r="W67" i="1"/>
  <c r="W36" i="1"/>
  <c r="W216" i="1"/>
  <c r="W214" i="1"/>
  <c r="W212" i="1"/>
  <c r="W159" i="1"/>
  <c r="W156" i="1"/>
  <c r="W152" i="1"/>
  <c r="W150" i="1"/>
  <c r="W148" i="1"/>
  <c r="W146" i="1"/>
  <c r="W144" i="1"/>
  <c r="W142" i="1"/>
  <c r="W136" i="1"/>
  <c r="W132" i="1"/>
  <c r="W101" i="1"/>
  <c r="W93" i="1"/>
  <c r="W80" i="1"/>
  <c r="W71" i="1"/>
  <c r="X128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X110" i="1"/>
  <c r="X109" i="1"/>
  <c r="X108" i="1"/>
  <c r="T106" i="1"/>
  <c r="U106" i="1" s="1"/>
  <c r="S106" i="1" s="1"/>
  <c r="X106" i="1"/>
  <c r="T98" i="1"/>
  <c r="U98" i="1" s="1"/>
  <c r="S98" i="1" s="1"/>
  <c r="X98" i="1"/>
  <c r="W88" i="1"/>
  <c r="W84" i="1"/>
  <c r="T57" i="1"/>
  <c r="U57" i="1" s="1"/>
  <c r="S57" i="1" s="1"/>
  <c r="X57" i="1"/>
  <c r="W28" i="1"/>
  <c r="AA130" i="1"/>
  <c r="W130" i="1" s="1"/>
  <c r="AA129" i="1"/>
  <c r="W129" i="1" s="1"/>
  <c r="AA128" i="1"/>
  <c r="W128" i="1" s="1"/>
  <c r="AA127" i="1"/>
  <c r="W127" i="1" s="1"/>
  <c r="AA126" i="1"/>
  <c r="W126" i="1" s="1"/>
  <c r="AA125" i="1"/>
  <c r="W125" i="1" s="1"/>
  <c r="AA124" i="1"/>
  <c r="W124" i="1" s="1"/>
  <c r="AA123" i="1"/>
  <c r="W123" i="1" s="1"/>
  <c r="AA122" i="1"/>
  <c r="W122" i="1" s="1"/>
  <c r="AA121" i="1"/>
  <c r="W121" i="1" s="1"/>
  <c r="AA120" i="1"/>
  <c r="W120" i="1" s="1"/>
  <c r="AA119" i="1"/>
  <c r="W119" i="1" s="1"/>
  <c r="AA118" i="1"/>
  <c r="W118" i="1" s="1"/>
  <c r="AA117" i="1"/>
  <c r="W117" i="1" s="1"/>
  <c r="AA116" i="1"/>
  <c r="W116" i="1" s="1"/>
  <c r="AA115" i="1"/>
  <c r="W115" i="1" s="1"/>
  <c r="AA114" i="1"/>
  <c r="W114" i="1" s="1"/>
  <c r="AA113" i="1"/>
  <c r="W113" i="1" s="1"/>
  <c r="AA112" i="1"/>
  <c r="W112" i="1" s="1"/>
  <c r="AA111" i="1"/>
  <c r="W111" i="1" s="1"/>
  <c r="AA110" i="1"/>
  <c r="W110" i="1" s="1"/>
  <c r="AA109" i="1"/>
  <c r="W109" i="1" s="1"/>
  <c r="AA108" i="1"/>
  <c r="W108" i="1" s="1"/>
  <c r="T102" i="1"/>
  <c r="U102" i="1" s="1"/>
  <c r="S102" i="1" s="1"/>
  <c r="X102" i="1"/>
  <c r="T58" i="1"/>
  <c r="U58" i="1" s="1"/>
  <c r="S58" i="1" s="1"/>
  <c r="X58" i="1"/>
  <c r="T100" i="1"/>
  <c r="U100" i="1" s="1"/>
  <c r="S100" i="1" s="1"/>
  <c r="X100" i="1"/>
  <c r="W82" i="1"/>
  <c r="W81" i="1"/>
  <c r="W78" i="1"/>
  <c r="W77" i="1"/>
  <c r="W74" i="1"/>
  <c r="W70" i="1"/>
  <c r="W65" i="1"/>
  <c r="W62" i="1"/>
  <c r="W60" i="1"/>
  <c r="W53" i="1"/>
  <c r="W33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T62" i="1"/>
  <c r="U62" i="1" s="1"/>
  <c r="S62" i="1" s="1"/>
  <c r="T59" i="1"/>
  <c r="U59" i="1" s="1"/>
  <c r="S59" i="1" s="1"/>
  <c r="X59" i="1"/>
  <c r="W57" i="1"/>
  <c r="AA56" i="1"/>
  <c r="W56" i="1" s="1"/>
  <c r="W51" i="1"/>
  <c r="AA48" i="1"/>
  <c r="W48" i="1" s="1"/>
  <c r="W43" i="1"/>
  <c r="AA39" i="1"/>
  <c r="W39" i="1" s="1"/>
  <c r="AA31" i="1"/>
  <c r="W31" i="1" s="1"/>
  <c r="W26" i="1"/>
  <c r="W24" i="1"/>
  <c r="W22" i="1"/>
  <c r="W20" i="1"/>
  <c r="W16" i="1"/>
  <c r="T107" i="1"/>
  <c r="U107" i="1" s="1"/>
  <c r="S107" i="1" s="1"/>
  <c r="X107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S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T65" i="1"/>
  <c r="U65" i="1" s="1"/>
  <c r="S65" i="1" s="1"/>
  <c r="X65" i="1"/>
  <c r="T63" i="1"/>
  <c r="U63" i="1" s="1"/>
  <c r="S63" i="1" s="1"/>
  <c r="T60" i="1"/>
  <c r="U60" i="1" s="1"/>
  <c r="S60" i="1" s="1"/>
  <c r="X60" i="1"/>
  <c r="AA52" i="1"/>
  <c r="W52" i="1" s="1"/>
  <c r="W47" i="1"/>
  <c r="AA44" i="1"/>
  <c r="W44" i="1" s="1"/>
  <c r="W38" i="1"/>
  <c r="AA35" i="1"/>
  <c r="W35" i="1" s="1"/>
  <c r="AA27" i="1"/>
  <c r="W27" i="1" s="1"/>
  <c r="W54" i="1"/>
  <c r="W46" i="1"/>
  <c r="W29" i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T45" i="1"/>
  <c r="U45" i="1" s="1"/>
  <c r="S45" i="1" s="1"/>
  <c r="X45" i="1"/>
  <c r="T43" i="1"/>
  <c r="U43" i="1" s="1"/>
  <c r="S43" i="1" s="1"/>
  <c r="T40" i="1"/>
  <c r="U40" i="1" s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T22" i="1"/>
  <c r="U22" i="1" s="1"/>
  <c r="S22" i="1" s="1"/>
  <c r="X22" i="1"/>
  <c r="T20" i="1"/>
  <c r="U20" i="1" s="1"/>
  <c r="S20" i="1" s="1"/>
  <c r="X20" i="1"/>
  <c r="T18" i="1"/>
  <c r="U18" i="1" s="1"/>
  <c r="S18" i="1" s="1"/>
  <c r="X18" i="1"/>
  <c r="T16" i="1"/>
  <c r="U16" i="1" s="1"/>
  <c r="S16" i="1" s="1"/>
  <c r="X16" i="1"/>
  <c r="T14" i="1"/>
  <c r="U14" i="1" s="1"/>
  <c r="S14" i="1" s="1"/>
  <c r="AA25" i="1"/>
  <c r="W25" i="1" s="1"/>
  <c r="AA23" i="1"/>
  <c r="W23" i="1" s="1"/>
  <c r="AA21" i="1"/>
  <c r="W21" i="1" s="1"/>
  <c r="AA19" i="1"/>
  <c r="W19" i="1" s="1"/>
  <c r="AA17" i="1"/>
  <c r="W17" i="1" s="1"/>
  <c r="W15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T46" i="1"/>
  <c r="U46" i="1" s="1"/>
  <c r="S46" i="1" s="1"/>
  <c r="T44" i="1"/>
  <c r="U44" i="1" s="1"/>
  <c r="S44" i="1" s="1"/>
  <c r="X44" i="1"/>
  <c r="T42" i="1"/>
  <c r="U42" i="1" s="1"/>
  <c r="S42" i="1" s="1"/>
  <c r="T39" i="1"/>
  <c r="U39" i="1" s="1"/>
  <c r="X39" i="1"/>
  <c r="T37" i="1"/>
  <c r="U37" i="1" s="1"/>
  <c r="S37" i="1" s="1"/>
  <c r="X37" i="1"/>
  <c r="T35" i="1"/>
  <c r="U35" i="1" s="1"/>
  <c r="S35" i="1" s="1"/>
  <c r="X35" i="1"/>
  <c r="T33" i="1"/>
  <c r="U33" i="1" s="1"/>
  <c r="S33" i="1" s="1"/>
  <c r="X33" i="1"/>
  <c r="T31" i="1"/>
  <c r="U31" i="1" s="1"/>
  <c r="S31" i="1" s="1"/>
  <c r="X31" i="1"/>
  <c r="T29" i="1"/>
  <c r="U29" i="1" s="1"/>
  <c r="S29" i="1" s="1"/>
  <c r="X29" i="1"/>
  <c r="T27" i="1"/>
  <c r="U27" i="1" s="1"/>
  <c r="S27" i="1" s="1"/>
  <c r="X27" i="1"/>
  <c r="T25" i="1"/>
  <c r="U25" i="1" s="1"/>
  <c r="S25" i="1" s="1"/>
  <c r="X25" i="1"/>
  <c r="T23" i="1"/>
  <c r="U23" i="1" s="1"/>
  <c r="S23" i="1" s="1"/>
  <c r="X23" i="1"/>
  <c r="T21" i="1"/>
  <c r="U21" i="1" s="1"/>
  <c r="S21" i="1" s="1"/>
  <c r="X21" i="1"/>
  <c r="T19" i="1"/>
  <c r="U19" i="1" s="1"/>
  <c r="S19" i="1" s="1"/>
  <c r="X19" i="1"/>
  <c r="T17" i="1"/>
  <c r="U17" i="1" s="1"/>
  <c r="S17" i="1" s="1"/>
  <c r="X17" i="1"/>
  <c r="T15" i="1"/>
  <c r="U15" i="1" s="1"/>
  <c r="S15" i="1" s="1"/>
  <c r="X15" i="1"/>
  <c r="AD17" i="3"/>
  <c r="AD15" i="3"/>
  <c r="T24" i="3"/>
  <c r="AE11" i="3"/>
  <c r="T14" i="3"/>
  <c r="AC11" i="3"/>
  <c r="T11" i="3"/>
  <c r="T18" i="3"/>
  <c r="T30" i="3"/>
  <c r="AD19" i="3"/>
  <c r="AD11" i="3"/>
  <c r="AC7" i="3"/>
  <c r="AE25" i="3"/>
  <c r="AE20" i="3"/>
  <c r="AE16" i="3"/>
  <c r="AD21" i="3"/>
  <c r="AD13" i="3"/>
  <c r="AE31" i="3"/>
  <c r="AD29" i="3"/>
  <c r="AE27" i="3"/>
  <c r="AD20" i="3"/>
  <c r="AE19" i="3"/>
  <c r="AD16" i="3"/>
  <c r="AE15" i="3"/>
  <c r="AD8" i="3"/>
  <c r="AE28" i="3"/>
  <c r="AD27" i="3"/>
  <c r="T19" i="3"/>
  <c r="AC21" i="3"/>
  <c r="AC25" i="3"/>
  <c r="AC29" i="3"/>
  <c r="AC31" i="3"/>
  <c r="AD25" i="3"/>
  <c r="T8" i="3"/>
  <c r="AC13" i="3"/>
  <c r="AE22" i="3"/>
  <c r="T20" i="3"/>
  <c r="AE18" i="3"/>
  <c r="T15" i="3"/>
  <c r="AE14" i="3"/>
  <c r="T27" i="3"/>
  <c r="AE10" i="3"/>
  <c r="Y11" i="3"/>
  <c r="Y25" i="3"/>
  <c r="Y29" i="3"/>
  <c r="Y31" i="3"/>
  <c r="Y9" i="3"/>
  <c r="Y7" i="3"/>
  <c r="Y24" i="3"/>
  <c r="Y30" i="3"/>
  <c r="Y22" i="3"/>
  <c r="Y26" i="3"/>
  <c r="Y17" i="3"/>
  <c r="Y20" i="3"/>
  <c r="Y15" i="3"/>
  <c r="Y27" i="3"/>
  <c r="Y14" i="3"/>
  <c r="Y19" i="3"/>
  <c r="Y8" i="3"/>
  <c r="Y18" i="3"/>
  <c r="Y21" i="3"/>
  <c r="Y13" i="3"/>
  <c r="Y16" i="3"/>
  <c r="Y10" i="3"/>
  <c r="Y28" i="3"/>
  <c r="Y23" i="3"/>
  <c r="AC16" i="3"/>
  <c r="AC10" i="3"/>
  <c r="AC28" i="3"/>
  <c r="AC23" i="3"/>
  <c r="AE30" i="3"/>
  <c r="T22" i="3"/>
  <c r="AE26" i="3"/>
  <c r="T26" i="3"/>
  <c r="AE24" i="3"/>
  <c r="T17" i="3"/>
  <c r="AD30" i="3"/>
  <c r="AE29" i="3"/>
  <c r="AD26" i="3"/>
  <c r="T21" i="3"/>
  <c r="AD24" i="3"/>
  <c r="AE23" i="3"/>
  <c r="T13" i="3"/>
  <c r="AD22" i="3"/>
  <c r="AE21" i="3"/>
  <c r="T16" i="3"/>
  <c r="AD18" i="3"/>
  <c r="AE17" i="3"/>
  <c r="T10" i="3"/>
  <c r="AD14" i="3"/>
  <c r="AE13" i="3"/>
  <c r="T28" i="3"/>
  <c r="AD10" i="3"/>
  <c r="AE9" i="3"/>
  <c r="T23" i="3"/>
  <c r="AE8" i="3"/>
  <c r="S12" i="3"/>
  <c r="R12" i="3"/>
  <c r="M12" i="3"/>
  <c r="U12" i="3"/>
  <c r="V12" i="3"/>
  <c r="X12" i="3"/>
  <c r="S39" i="1" l="1"/>
  <c r="AC12" i="3"/>
  <c r="AD12" i="3"/>
  <c r="AE12" i="3"/>
  <c r="W12" i="3"/>
  <c r="Y12" i="3" l="1"/>
  <c r="T12" i="3"/>
  <c r="V13" i="1" l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N22" i="3" s="1"/>
  <c r="G236" i="4"/>
  <c r="G237" i="4"/>
  <c r="G238" i="4"/>
  <c r="N14" i="3" s="1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N9" i="3" s="1"/>
  <c r="G52" i="4"/>
  <c r="G53" i="4"/>
  <c r="G54" i="4"/>
  <c r="N12" i="3" s="1"/>
  <c r="G55" i="4"/>
  <c r="N23" i="3" s="1"/>
  <c r="G56" i="4"/>
  <c r="G57" i="4"/>
  <c r="G58" i="4"/>
  <c r="G59" i="4"/>
  <c r="N10" i="3" s="1"/>
  <c r="G60" i="4"/>
  <c r="G61" i="4"/>
  <c r="G62" i="4"/>
  <c r="G63" i="4"/>
  <c r="G64" i="4"/>
  <c r="G65" i="4"/>
  <c r="G66" i="4"/>
  <c r="N24" i="3" s="1"/>
  <c r="G67" i="4"/>
  <c r="G68" i="4"/>
  <c r="G69" i="4"/>
  <c r="G70" i="4"/>
  <c r="G71" i="4"/>
  <c r="G72" i="4"/>
  <c r="N29" i="3" s="1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N15" i="3" s="1"/>
  <c r="G88" i="4"/>
  <c r="G89" i="4"/>
  <c r="G90" i="4"/>
  <c r="G91" i="4"/>
  <c r="G92" i="4"/>
  <c r="G93" i="4"/>
  <c r="N16" i="3" s="1"/>
  <c r="G94" i="4"/>
  <c r="G95" i="4"/>
  <c r="G96" i="4"/>
  <c r="G97" i="4"/>
  <c r="G98" i="4"/>
  <c r="N18" i="3" s="1"/>
  <c r="G99" i="4"/>
  <c r="G100" i="4"/>
  <c r="N20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N25" i="3" s="1"/>
  <c r="G113" i="4"/>
  <c r="G114" i="4"/>
  <c r="G115" i="4"/>
  <c r="G116" i="4"/>
  <c r="G117" i="4"/>
  <c r="G118" i="4"/>
  <c r="G119" i="4"/>
  <c r="G120" i="4"/>
  <c r="G121" i="4"/>
  <c r="N13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N17" i="3" s="1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8" i="3" s="1"/>
  <c r="G162" i="4"/>
  <c r="N11" i="3" s="1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21" i="3" s="1"/>
  <c r="G200" i="4"/>
  <c r="G201" i="4"/>
  <c r="G202" i="4"/>
  <c r="G203" i="4"/>
  <c r="G204" i="4"/>
  <c r="N26" i="3" s="1"/>
  <c r="G205" i="4"/>
  <c r="G206" i="4"/>
  <c r="G207" i="4"/>
  <c r="G208" i="4"/>
  <c r="G209" i="4"/>
  <c r="N19" i="3" s="1"/>
  <c r="G210" i="4"/>
  <c r="G211" i="4"/>
  <c r="N7" i="3" s="1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0" i="3" l="1"/>
  <c r="N31" i="3"/>
  <c r="N27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D3" i="6" l="1"/>
  <c r="G3" i="6" l="1"/>
  <c r="F3" i="6"/>
  <c r="H3" i="6"/>
  <c r="I3" i="6"/>
  <c r="J3" i="6"/>
  <c r="B4" i="6" l="1"/>
  <c r="D4" i="6" s="1"/>
  <c r="B5" i="6" l="1"/>
  <c r="D5" i="6" s="1"/>
  <c r="F4" i="6"/>
  <c r="G4" i="6"/>
  <c r="I4" i="6"/>
  <c r="H4" i="6"/>
  <c r="J4" i="6"/>
  <c r="F5" i="6" l="1"/>
  <c r="G5" i="6"/>
  <c r="J5" i="6"/>
  <c r="H5" i="6"/>
  <c r="I5" i="6"/>
  <c r="B6" i="6"/>
  <c r="D6" i="6" s="1"/>
  <c r="G6" i="6" l="1"/>
  <c r="J6" i="6"/>
  <c r="F6" i="6"/>
  <c r="H6" i="6"/>
  <c r="I6" i="6"/>
  <c r="B7" i="6"/>
  <c r="D7" i="6" s="1"/>
  <c r="B8" i="6" l="1"/>
  <c r="D8" i="6" s="1"/>
  <c r="F7" i="6"/>
  <c r="G7" i="6"/>
  <c r="H7" i="6"/>
  <c r="I7" i="6"/>
  <c r="J7" i="6"/>
  <c r="B9" i="6" l="1"/>
  <c r="D9" i="6" s="1"/>
  <c r="J8" i="6"/>
  <c r="F8" i="6"/>
  <c r="I8" i="6"/>
  <c r="G8" i="6"/>
  <c r="H8" i="6"/>
  <c r="B10" i="6" l="1"/>
  <c r="D10" i="6" s="1"/>
  <c r="G9" i="6"/>
  <c r="H9" i="6"/>
  <c r="F9" i="6"/>
  <c r="I9" i="6"/>
  <c r="J9" i="6"/>
  <c r="G10" i="6" l="1"/>
  <c r="I10" i="6"/>
  <c r="J10" i="6"/>
  <c r="F10" i="6"/>
  <c r="H10" i="6"/>
  <c r="B11" i="6"/>
  <c r="D11" i="6" s="1"/>
  <c r="B12" i="6" l="1"/>
  <c r="D12" i="6" s="1"/>
  <c r="J11" i="6"/>
  <c r="F11" i="6"/>
  <c r="H11" i="6"/>
  <c r="G11" i="6"/>
  <c r="I11" i="6"/>
  <c r="B13" i="6" l="1"/>
  <c r="D13" i="6" s="1"/>
  <c r="H12" i="6"/>
  <c r="F12" i="6"/>
  <c r="I12" i="6"/>
  <c r="J12" i="6"/>
  <c r="G12" i="6"/>
  <c r="B15" i="6" l="1"/>
  <c r="D15" i="6" s="1"/>
  <c r="B14" i="6"/>
  <c r="D14" i="6" s="1"/>
  <c r="G13" i="6"/>
  <c r="H13" i="6"/>
  <c r="F13" i="6"/>
  <c r="I13" i="6"/>
  <c r="J13" i="6"/>
  <c r="G14" i="6" l="1"/>
  <c r="H14" i="6"/>
  <c r="I14" i="6"/>
  <c r="J14" i="6"/>
  <c r="F14" i="6"/>
  <c r="H15" i="6"/>
  <c r="J15" i="6"/>
  <c r="G15" i="6"/>
  <c r="I15" i="6"/>
  <c r="F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<sst xmlns="http://schemas.openxmlformats.org/spreadsheetml/2006/main" count="2837" uniqueCount="1131">
  <si>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</si>
  <si>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</si>
  <si>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</si>
  <si>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</si>
  <si>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</si>
  <si>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</si>
  <si>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</si>
  <si>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</si>
  <si>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</si>
  <si>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</si>
  <si>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</si>
  <si>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</si>
  <si>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</si>
  <si>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</si>
  <si>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</si>
  <si>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</si>
  <si>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</si>
  <si>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</si>
  <si>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</si>
  <si>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</si>
  <si>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</si>
  <si>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</si>
  <si>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</si>
  <si>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</si>
  <si>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</si>
  <si>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</si>
  <si>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</si>
  <si>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</si>
  <si>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</si>
  <si>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</si>
  <si>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</si>
  <si>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</si>
  <si>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</si>
  <si>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</si>
  <si>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</si>
  <si>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</si>
  <si>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</si>
  <si>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</si>
  <si>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</si>
  <si>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</si>
  <si>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</si>
  <si>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</si>
  <si>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</si>
  <si>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</si>
  <si>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</si>
  <si>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</si>
  <si>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</si>
  <si>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</si>
  <si>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</si>
  <si>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</si>
  <si>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</si>
  <si>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</si>
  <si>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</si>
  <si>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</si>
  <si>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</si>
  <si>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</si>
  <si>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</si>
  <si>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</si>
  <si>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</si>
  <si>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</si>
  <si>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</si>
  <si>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</si>
  <si>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</si>
  <si>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</si>
  <si>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</si>
  <si>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</si>
  <si>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</si>
  <si>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</si>
  <si>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</si>
  <si>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</si>
  <si>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</si>
  <si>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</si>
  <si>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</si>
  <si>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</si>
  <si>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</si>
  <si>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</si>
  <si>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</si>
  <si>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</si>
  <si>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</si>
  <si>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</si>
  <si>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</si>
  <si>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</si>
  <si>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</si>
  <si>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</si>
  <si>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</si>
  <si>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</si>
  <si>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</si>
  <si>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</si>
  <si>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</si>
  <si>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</si>
  <si>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</si>
  <si>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</si>
  <si>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</si>
  <si>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</si>
  <si>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</si>
  <si>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</si>
  <si>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</si>
  <si>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</si>
  <si>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</si>
  <si>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</si>
  <si>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</si>
  <si>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</si>
  <si>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</si>
  <si>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</si>
  <si>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</si>
  <si>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</si>
  <si>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</si>
  <si>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</si>
  <si>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</si>
  <si>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</si>
  <si>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</si>
  <si>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</si>
  <si>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</si>
  <si>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</si>
  <si>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</si>
  <si>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</si>
  <si>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</si>
  <si>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</si>
  <si>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</si>
  <si>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</si>
  <si>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</si>
  <si>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</si>
  <si>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</si>
  <si>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</si>
  <si>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</si>
  <si>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</si>
  <si>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</si>
  <si>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</si>
  <si>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</si>
  <si>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</si>
  <si>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</si>
  <si>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</si>
  <si>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</si>
  <si>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</si>
  <si>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</si>
  <si>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</si>
  <si>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</si>
  <si>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</si>
  <si>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</si>
  <si>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</si>
  <si>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</si>
  <si>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</si>
  <si>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</si>
  <si>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</si>
  <si>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</si>
  <si>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</si>
  <si>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</si>
  <si>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</si>
  <si>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</si>
  <si>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</si>
  <si>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</si>
  <si>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</si>
  <si>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</si>
  <si>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</si>
  <si>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</si>
  <si>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</si>
  <si>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</si>
  <si>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</si>
  <si>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</si>
  <si>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</si>
  <si>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</si>
  <si>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</si>
  <si>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</si>
  <si>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</si>
  <si>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</si>
  <si>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</si>
  <si>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</si>
  <si>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</si>
  <si>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</si>
  <si>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</si>
  <si>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</si>
  <si>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</si>
  <si>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</si>
  <si>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</si>
  <si>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</si>
  <si>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</si>
  <si>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</si>
  <si>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</si>
  <si>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</si>
  <si>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</si>
  <si>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</si>
  <si>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</si>
  <si>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</si>
  <si>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</si>
  <si>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</si>
  <si>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</si>
  <si>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</si>
  <si>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</si>
  <si>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</si>
  <si>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</si>
  <si>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</si>
  <si>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</si>
  <si>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</si>
  <si>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</si>
  <si>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</si>
  <si>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</si>
  <si>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</si>
  <si>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</si>
  <si>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</si>
  <si>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</si>
  <si>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</si>
  <si>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</si>
  <si>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</si>
  <si>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</si>
  <si>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</si>
  <si>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</si>
  <si>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</si>
  <si>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</si>
  <si>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</si>
  <si>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</si>
  <si>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</si>
  <si>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</si>
  <si>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</si>
  <si>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</si>
  <si>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</si>
  <si>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</si>
  <si>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</si>
  <si>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</si>
  <si>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</si>
  <si>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</si>
  <si>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</si>
  <si>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</si>
  <si>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</si>
  <si>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</si>
  <si>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</si>
  <si>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</si>
  <si>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</si>
  <si>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</si>
  <si>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</si>
  <si>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</si>
  <si>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</si>
  <si>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</si>
  <si>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</si>
  <si>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</si>
  <si>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</si>
  <si>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</si>
  <si>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</si>
  <si>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</si>
  <si>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</si>
  <si>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</si>
  <si>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</si>
  <si>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</si>
  <si>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</si>
  <si>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</si>
  <si>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</si>
  <si>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</si>
  <si>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</si>
  <si>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</si>
  <si>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</si>
  <si>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</si>
  <si>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</si>
  <si>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</si>
  <si>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</si>
  <si>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</si>
  <si>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</si>
  <si>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</si>
  <si>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</si>
  <si>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</si>
  <si>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</si>
  <si>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</si>
  <si>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</si>
  <si>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</si>
  <si>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</si>
  <si>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</si>
  <si>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</si>
  <si>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</si>
  <si>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</si>
  <si>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</si>
  <si>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</si>
  <si>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</si>
  <si>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</si>
  <si>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</si>
  <si>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</si>
  <si>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</si>
  <si>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</si>
  <si>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</si>
  <si>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</si>
  <si>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</si>
  <si>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</si>
  <si>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</si>
  <si>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</si>
  <si>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</si>
  <si>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</si>
  <si>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</si>
  <si>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</si>
  <si>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</si>
  <si>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</si>
  <si>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</si>
  <si>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</si>
  <si>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</si>
  <si>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</si>
  <si>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</si>
  <si>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</si>
  <si>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</si>
  <si>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</si>
  <si>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</si>
  <si>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</si>
  <si>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</si>
  <si>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</si>
  <si>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</si>
  <si>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</si>
  <si>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</si>
  <si>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</si>
  <si>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</si>
  <si>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</si>
  <si>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</si>
  <si>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</si>
  <si>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</si>
  <si>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</si>
  <si>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</si>
  <si>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</si>
  <si>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</si>
  <si>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</si>
  <si>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</si>
  <si>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</si>
  <si>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</si>
  <si>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</si>
  <si>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</si>
  <si>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</si>
  <si>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</si>
  <si>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</si>
  <si>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</si>
  <si>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</si>
  <si>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</si>
  <si>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</si>
  <si>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</si>
  <si>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</si>
  <si>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</si>
  <si>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</si>
  <si>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</si>
  <si>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</si>
  <si>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</si>
  <si>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</si>
  <si>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</si>
  <si>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</si>
  <si>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</si>
  <si>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</si>
  <si>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</si>
  <si>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</si>
  <si>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</si>
  <si>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</si>
  <si>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</si>
  <si>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</si>
  <si>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</si>
  <si>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</si>
  <si>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</si>
  <si>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</si>
  <si>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</si>
  <si>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</si>
  <si>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</si>
  <si>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</si>
  <si>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</si>
  <si>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</si>
  <si>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</si>
  <si>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</si>
  <si>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</si>
  <si>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</si>
  <si>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</si>
  <si>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</si>
  <si>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</si>
  <si>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</si>
  <si>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</si>
  <si>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</si>
  <si>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</si>
  <si>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</si>
  <si>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</si>
  <si>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</si>
  <si>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</si>
  <si>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</si>
  <si>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</si>
  <si>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</si>
  <si>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</si>
  <si>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</si>
  <si>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</si>
  <si>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</si>
  <si>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</si>
  <si>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</si>
  <si>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</si>
  <si>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</si>
  <si>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</si>
  <si>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</si>
  <si>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</si>
  <si>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</si>
  <si>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</si>
  <si>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</si>
  <si>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</si>
  <si>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</si>
  <si>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</si>
  <si>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</si>
  <si>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</si>
  <si>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</si>
  <si>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</si>
  <si>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</si>
  <si>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</si>
  <si>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</si>
  <si>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</si>
  <si>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</si>
  <si>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</si>
  <si>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</si>
  <si>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</si>
  <si>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</si>
  <si>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</si>
  <si>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</si>
  <si>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</si>
  <si>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</si>
  <si>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</si>
  <si>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</si>
  <si>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</si>
  <si>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</si>
  <si>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</si>
  <si>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</si>
  <si>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</si>
  <si>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</si>
  <si>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</si>
  <si>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</si>
  <si>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</si>
  <si>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</si>
  <si>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</si>
  <si>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</si>
  <si>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</si>
  <si>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</si>
  <si>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</si>
  <si>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</si>
  <si>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</si>
  <si>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</si>
  <si>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</si>
  <si>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</si>
  <si>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</si>
  <si>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</si>
  <si>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</si>
  <si>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</si>
  <si>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</si>
  <si>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</si>
  <si>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</si>
  <si>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</si>
  <si>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</si>
  <si>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</si>
  <si>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</si>
  <si>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</si>
  <si>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</si>
  <si>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</si>
  <si>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</si>
  <si>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</si>
  <si>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204:232977</t>
  </si>
  <si>
    <t>204:214</t>
  </si>
  <si>
    <t>204:207</t>
  </si>
  <si>
    <t>204:506</t>
  </si>
  <si>
    <t>rtdc.l.rtdc.4009:itc</t>
  </si>
  <si>
    <t>rtdc.l.rtdc.4010:itc</t>
  </si>
  <si>
    <t>precipType</t>
  </si>
  <si>
    <t>rain</t>
  </si>
  <si>
    <t>204:519</t>
  </si>
  <si>
    <t>204:537</t>
  </si>
  <si>
    <t>rtdc.l.rtdc.4049:itc</t>
  </si>
  <si>
    <t>rtdc.l.rtdc.4050:itc</t>
  </si>
  <si>
    <t>AUSTIN</t>
  </si>
  <si>
    <t>204:528</t>
  </si>
  <si>
    <t>rtdc.l.rtdc.4042:itc</t>
  </si>
  <si>
    <t>204:227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</si>
  <si>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</si>
  <si>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</si>
  <si>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</si>
  <si>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</si>
  <si>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</si>
  <si>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</si>
  <si>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</si>
  <si>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</si>
  <si>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</si>
  <si>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</si>
  <si>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</si>
  <si>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</si>
  <si>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</si>
  <si>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</si>
  <si>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</si>
  <si>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</si>
  <si>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</si>
  <si>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</si>
  <si>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</si>
  <si>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</si>
  <si>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204:524</t>
  </si>
  <si>
    <t>204:233266</t>
  </si>
  <si>
    <t>ELBAUM</t>
  </si>
  <si>
    <t>MIKE</t>
  </si>
  <si>
    <t>DAVID</t>
  </si>
  <si>
    <t>204:502</t>
  </si>
  <si>
    <t>204:522</t>
  </si>
  <si>
    <t>204:232959</t>
  </si>
  <si>
    <t>204:497</t>
  </si>
  <si>
    <t>204:232921</t>
  </si>
  <si>
    <t>204:553</t>
  </si>
  <si>
    <t>rtdc.l.rtdc.4019:itc</t>
  </si>
  <si>
    <t>rtdc.l.rtdc.4020:itc</t>
  </si>
  <si>
    <t>rtdc.l.rtdc.4027:itc</t>
  </si>
  <si>
    <t>DAVIDSON</t>
  </si>
  <si>
    <t>204:220</t>
  </si>
  <si>
    <t>204:211</t>
  </si>
  <si>
    <t>204:233295</t>
  </si>
  <si>
    <t>204:196</t>
  </si>
  <si>
    <t>204:234</t>
  </si>
  <si>
    <t>204:212</t>
  </si>
  <si>
    <t>300:58623</t>
  </si>
  <si>
    <t>300:58624</t>
  </si>
  <si>
    <t>Wi-MAX data drop</t>
  </si>
  <si>
    <t>rtdc.l.rtdc.4041:itc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</si>
  <si>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</si>
  <si>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</si>
  <si>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</si>
  <si>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</si>
  <si>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</si>
  <si>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</si>
  <si>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</si>
  <si>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</si>
  <si>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204:170</t>
  </si>
  <si>
    <t>204:203</t>
  </si>
  <si>
    <t>204:216</t>
  </si>
  <si>
    <t>204:515</t>
  </si>
  <si>
    <t>204:498</t>
  </si>
  <si>
    <t>204:233207</t>
  </si>
  <si>
    <t>204:451</t>
  </si>
  <si>
    <t>204:240</t>
  </si>
  <si>
    <t>204:535</t>
  </si>
  <si>
    <t>204:449</t>
  </si>
  <si>
    <t>300:23302</t>
  </si>
  <si>
    <t>300:58950</t>
  </si>
  <si>
    <t>rtdc.l.rtdc.4056:itc</t>
  </si>
  <si>
    <t>rtdc.l.rtdc.4054:itc</t>
  </si>
  <si>
    <t>rtdc.l.rtdc.4053:itc</t>
  </si>
  <si>
    <t>LESTER</t>
  </si>
  <si>
    <t>STEWART</t>
  </si>
  <si>
    <t>DAVIS</t>
  </si>
  <si>
    <t>204:232961</t>
  </si>
  <si>
    <t>204:209</t>
  </si>
  <si>
    <t>204:233238</t>
  </si>
  <si>
    <t>204:504</t>
  </si>
  <si>
    <t>204:232936</t>
  </si>
  <si>
    <t>204:508</t>
  </si>
  <si>
    <t>204:233297</t>
  </si>
  <si>
    <t>204:232993</t>
  </si>
  <si>
    <t>204:233303</t>
  </si>
  <si>
    <t>204:486</t>
  </si>
  <si>
    <t>204:233308</t>
  </si>
  <si>
    <t>204:232908</t>
  </si>
  <si>
    <t>204:232913</t>
  </si>
  <si>
    <t>204:509</t>
  </si>
  <si>
    <t>204:493</t>
  </si>
  <si>
    <t>204:233244</t>
  </si>
  <si>
    <t>204:832</t>
  </si>
  <si>
    <t>300:58933</t>
  </si>
  <si>
    <t>204:232942</t>
  </si>
  <si>
    <t>204:232890</t>
  </si>
  <si>
    <t>204:548</t>
  </si>
  <si>
    <t>204:165</t>
  </si>
  <si>
    <t>204:511</t>
  </si>
  <si>
    <t>300:23304</t>
  </si>
  <si>
    <t>Onboard en route failure during init at DIA</t>
  </si>
  <si>
    <t>rtdc.l.rtdc.4040:itc</t>
  </si>
  <si>
    <t>rtdc.l.rtdc.4039:itc</t>
  </si>
  <si>
    <t>rtdc.l.rtdc.4014:itc</t>
  </si>
  <si>
    <t>rtdc.l.rtdc.4013:itc</t>
  </si>
  <si>
    <t>311-21</t>
  </si>
  <si>
    <t>SPECTOR</t>
  </si>
  <si>
    <t>ACKERMAN</t>
  </si>
  <si>
    <t>JARED</t>
  </si>
  <si>
    <t>YANAI</t>
  </si>
  <si>
    <t>IAN</t>
  </si>
  <si>
    <t>PELLITIER</t>
  </si>
  <si>
    <t>GEORGE</t>
  </si>
  <si>
    <t>BRUDER</t>
  </si>
  <si>
    <t>RICHARD</t>
  </si>
  <si>
    <t>NEWELL</t>
  </si>
  <si>
    <t>DE LA ROSA</t>
  </si>
  <si>
    <t>ALEX</t>
  </si>
  <si>
    <t>ZEWDU</t>
  </si>
  <si>
    <t>DEREJE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</si>
  <si>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</si>
  <si>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</si>
  <si>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</si>
  <si>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</si>
  <si>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</si>
  <si>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</si>
  <si>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</si>
  <si>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</si>
  <si>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204:467</t>
  </si>
  <si>
    <t>204:145</t>
  </si>
  <si>
    <t>204:232988</t>
  </si>
  <si>
    <t>204:233300</t>
  </si>
  <si>
    <t>204:469</t>
  </si>
  <si>
    <t>204:549</t>
  </si>
  <si>
    <t>204:229</t>
  </si>
  <si>
    <t>204:233298</t>
  </si>
  <si>
    <t>204:233178</t>
  </si>
  <si>
    <t>204:233318</t>
  </si>
  <si>
    <t>204:233319</t>
  </si>
  <si>
    <t>204:542</t>
  </si>
  <si>
    <t>204:233221</t>
  </si>
  <si>
    <t>204:488</t>
  </si>
  <si>
    <t>204:233289</t>
  </si>
  <si>
    <t>204:233283</t>
  </si>
  <si>
    <t>204:218</t>
  </si>
  <si>
    <t>204:233172</t>
  </si>
  <si>
    <t>204:263</t>
  </si>
  <si>
    <t>204:546</t>
  </si>
  <si>
    <t>204:232915</t>
  </si>
  <si>
    <t>204:232879</t>
  </si>
  <si>
    <t>204:225</t>
  </si>
  <si>
    <t>204:233215</t>
  </si>
  <si>
    <t>204:233203</t>
  </si>
  <si>
    <t>204:201</t>
  </si>
  <si>
    <t>204:233287</t>
  </si>
  <si>
    <t>204:232</t>
  </si>
  <si>
    <t>204:232960</t>
  </si>
  <si>
    <t>204:233264</t>
  </si>
  <si>
    <t>204:531</t>
  </si>
  <si>
    <t>204:233225</t>
  </si>
  <si>
    <t>204:232953</t>
  </si>
  <si>
    <t>204:232955</t>
  </si>
  <si>
    <t>204:233182</t>
  </si>
  <si>
    <t>204:233223</t>
  </si>
  <si>
    <t>204:233280</t>
  </si>
  <si>
    <t>204:540</t>
  </si>
  <si>
    <t>204:232966</t>
  </si>
  <si>
    <t>204:149</t>
  </si>
  <si>
    <t>300:58638</t>
  </si>
  <si>
    <t>300:58653</t>
  </si>
  <si>
    <t>300:58958</t>
  </si>
  <si>
    <t>300:58967</t>
  </si>
  <si>
    <t>300:23306</t>
  </si>
  <si>
    <t>300:58615</t>
  </si>
  <si>
    <t>300:58965</t>
  </si>
  <si>
    <t>300:58944</t>
  </si>
  <si>
    <t>300:58645</t>
  </si>
  <si>
    <t>300:58969</t>
  </si>
  <si>
    <t>300:58937</t>
  </si>
  <si>
    <t>204:684</t>
  </si>
  <si>
    <t>300:58628</t>
  </si>
  <si>
    <t>204:701</t>
  </si>
  <si>
    <t>300:58954</t>
  </si>
  <si>
    <t>300:58929</t>
  </si>
  <si>
    <t>start /low /b %USERPROFILE%\Documents\GitHub\eaglep3\Utilities\DownloadLogsFromS3.py --loco 4039 --day 2017-11-22</t>
  </si>
  <si>
    <t>Poor GPS under Wewatta St overpass</t>
  </si>
  <si>
    <t>116-22</t>
  </si>
  <si>
    <t>129-22</t>
  </si>
  <si>
    <t>rtdc.l.rtdc.4023:itc</t>
  </si>
  <si>
    <t>808-22</t>
  </si>
  <si>
    <t>rtdc.l.rtdc.4026:itc</t>
  </si>
  <si>
    <t>809-22</t>
  </si>
  <si>
    <t>56-22</t>
  </si>
  <si>
    <t>52-22</t>
  </si>
  <si>
    <t>rtdc.l.rtdc.4025:itc</t>
  </si>
  <si>
    <t>810-22</t>
  </si>
  <si>
    <t>53-22</t>
  </si>
  <si>
    <t>126-22</t>
  </si>
  <si>
    <t>138-22</t>
  </si>
  <si>
    <t>142-22</t>
  </si>
  <si>
    <t>rtdc.l.rtdc.4015:itc</t>
  </si>
  <si>
    <t>148-22</t>
  </si>
  <si>
    <t>151-22</t>
  </si>
  <si>
    <t>818-22</t>
  </si>
  <si>
    <t>166-22</t>
  </si>
  <si>
    <t>182-22</t>
  </si>
  <si>
    <t>201-22</t>
  </si>
  <si>
    <t>196-22</t>
  </si>
  <si>
    <t>218-22</t>
  </si>
  <si>
    <t>305-22</t>
  </si>
  <si>
    <t>rtdc.l.rtdc.4001:itc</t>
  </si>
  <si>
    <t>224-22</t>
  </si>
  <si>
    <t>rtdc.l.rtdc.4006:itc</t>
  </si>
  <si>
    <t>227-22</t>
  </si>
  <si>
    <t>844-22</t>
  </si>
  <si>
    <t>rtdc.l.rtdc.4016:itc</t>
  </si>
  <si>
    <t>241-22</t>
  </si>
  <si>
    <t>240-22</t>
  </si>
  <si>
    <t>300-22</t>
  </si>
  <si>
    <t>BONDS</t>
  </si>
  <si>
    <t>REYNALDO</t>
  </si>
  <si>
    <t>51-22</t>
  </si>
  <si>
    <t>101-22</t>
  </si>
  <si>
    <t>302-22</t>
  </si>
  <si>
    <t>103-22</t>
  </si>
  <si>
    <t>304-22</t>
  </si>
  <si>
    <t>102-22</t>
  </si>
  <si>
    <t>306-22</t>
  </si>
  <si>
    <t>105-22</t>
  </si>
  <si>
    <t>107-22</t>
  </si>
  <si>
    <t>308-22</t>
  </si>
  <si>
    <t>PAGE</t>
  </si>
  <si>
    <t>MARCUS</t>
  </si>
  <si>
    <t>rtdc.l.rtdc.4002:itc</t>
  </si>
  <si>
    <t>109-22</t>
  </si>
  <si>
    <t>104-22</t>
  </si>
  <si>
    <t>rtdc.l.rtdc.4005:itc</t>
  </si>
  <si>
    <t>310-22</t>
  </si>
  <si>
    <t>106-22</t>
  </si>
  <si>
    <t>901-22</t>
  </si>
  <si>
    <t>ROMERO</t>
  </si>
  <si>
    <t>CHAD</t>
  </si>
  <si>
    <t>111-22</t>
  </si>
  <si>
    <t>113-22</t>
  </si>
  <si>
    <t>800-22</t>
  </si>
  <si>
    <t>108-22</t>
  </si>
  <si>
    <t>801-22</t>
  </si>
  <si>
    <t>115-22</t>
  </si>
  <si>
    <t>312-22</t>
  </si>
  <si>
    <t>110-22</t>
  </si>
  <si>
    <t>117-22</t>
  </si>
  <si>
    <t>902-22</t>
  </si>
  <si>
    <t>LONG</t>
  </si>
  <si>
    <t>FULLER</t>
  </si>
  <si>
    <t>114-22</t>
  </si>
  <si>
    <t>112-22</t>
  </si>
  <si>
    <t>802-22</t>
  </si>
  <si>
    <t>119-22</t>
  </si>
  <si>
    <t>rtdc.l.rtdc.4024:itc</t>
  </si>
  <si>
    <t>803-22</t>
  </si>
  <si>
    <t>121-22</t>
  </si>
  <si>
    <t>123-22</t>
  </si>
  <si>
    <t>118-22</t>
  </si>
  <si>
    <t>805-22</t>
  </si>
  <si>
    <t>804-22</t>
  </si>
  <si>
    <t>120-22</t>
  </si>
  <si>
    <t>125-22</t>
  </si>
  <si>
    <t>127-22</t>
  </si>
  <si>
    <t>122-22</t>
  </si>
  <si>
    <t>806-22</t>
  </si>
  <si>
    <t>807-22</t>
  </si>
  <si>
    <t>131-22</t>
  </si>
  <si>
    <t>124-22</t>
  </si>
  <si>
    <t>135-22</t>
  </si>
  <si>
    <t>128-22</t>
  </si>
  <si>
    <t>54-22</t>
  </si>
  <si>
    <t>HUFFSMITH</t>
  </si>
  <si>
    <t>MONTY</t>
  </si>
  <si>
    <t>811-22</t>
  </si>
  <si>
    <t>130-22</t>
  </si>
  <si>
    <t>132-22</t>
  </si>
  <si>
    <t>137-22</t>
  </si>
  <si>
    <t>139-22</t>
  </si>
  <si>
    <t>812-22</t>
  </si>
  <si>
    <t>903-22</t>
  </si>
  <si>
    <t>134-22</t>
  </si>
  <si>
    <t>136-22</t>
  </si>
  <si>
    <t>141-22</t>
  </si>
  <si>
    <t>143-22</t>
  </si>
  <si>
    <t>813-22</t>
  </si>
  <si>
    <t>57-22</t>
  </si>
  <si>
    <t>140-22</t>
  </si>
  <si>
    <t>145-22</t>
  </si>
  <si>
    <t>147-22</t>
  </si>
  <si>
    <t>814-22</t>
  </si>
  <si>
    <t>144-22</t>
  </si>
  <si>
    <t>146-22</t>
  </si>
  <si>
    <t>815-22</t>
  </si>
  <si>
    <t>153-22</t>
  </si>
  <si>
    <t>150-22</t>
  </si>
  <si>
    <t>816-22</t>
  </si>
  <si>
    <t>155-22</t>
  </si>
  <si>
    <t>BEAM</t>
  </si>
  <si>
    <t>ROSS</t>
  </si>
  <si>
    <t>157-22</t>
  </si>
  <si>
    <t>159-22</t>
  </si>
  <si>
    <t>154-22</t>
  </si>
  <si>
    <t>152-22</t>
  </si>
  <si>
    <t>817-22</t>
  </si>
  <si>
    <t>156-22</t>
  </si>
  <si>
    <t>161-22</t>
  </si>
  <si>
    <t>163-22</t>
  </si>
  <si>
    <t>165-22</t>
  </si>
  <si>
    <t>158-22</t>
  </si>
  <si>
    <t>167-22</t>
  </si>
  <si>
    <t>KILLION</t>
  </si>
  <si>
    <t>160-22</t>
  </si>
  <si>
    <t>819-22</t>
  </si>
  <si>
    <t>169-22</t>
  </si>
  <si>
    <t>BERLING</t>
  </si>
  <si>
    <t>GARY</t>
  </si>
  <si>
    <t>162-22</t>
  </si>
  <si>
    <t>164-22</t>
  </si>
  <si>
    <t>820-22</t>
  </si>
  <si>
    <t>171-22</t>
  </si>
  <si>
    <t>173-22</t>
  </si>
  <si>
    <t>168-22</t>
  </si>
  <si>
    <t>175-22</t>
  </si>
  <si>
    <t>821-22</t>
  </si>
  <si>
    <t>LORI</t>
  </si>
  <si>
    <t>SANTOS</t>
  </si>
  <si>
    <t>170-22</t>
  </si>
  <si>
    <t>177-22</t>
  </si>
  <si>
    <t>174-22</t>
  </si>
  <si>
    <t>179-22</t>
  </si>
  <si>
    <t>172-22</t>
  </si>
  <si>
    <t>822-22</t>
  </si>
  <si>
    <t>181-22</t>
  </si>
  <si>
    <t>176-22</t>
  </si>
  <si>
    <t>183-22</t>
  </si>
  <si>
    <t>823-22</t>
  </si>
  <si>
    <t>178-22</t>
  </si>
  <si>
    <t>185-22</t>
  </si>
  <si>
    <t>180-22</t>
  </si>
  <si>
    <t>187-22</t>
  </si>
  <si>
    <t>189-22</t>
  </si>
  <si>
    <t>184-22</t>
  </si>
  <si>
    <t>191-22</t>
  </si>
  <si>
    <t>825-22</t>
  </si>
  <si>
    <t>193-22</t>
  </si>
  <si>
    <t>186-22</t>
  </si>
  <si>
    <t>904-22</t>
  </si>
  <si>
    <t>188-22</t>
  </si>
  <si>
    <t>195-22</t>
  </si>
  <si>
    <t>826-22</t>
  </si>
  <si>
    <t>827-22</t>
  </si>
  <si>
    <t>197-22</t>
  </si>
  <si>
    <t>190-22</t>
  </si>
  <si>
    <t>192-22</t>
  </si>
  <si>
    <t>194-22</t>
  </si>
  <si>
    <t>828-22</t>
  </si>
  <si>
    <t>199-22</t>
  </si>
  <si>
    <t>829-22</t>
  </si>
  <si>
    <t>77-22</t>
  </si>
  <si>
    <t>203-22</t>
  </si>
  <si>
    <t>830-22</t>
  </si>
  <si>
    <t>198-22</t>
  </si>
  <si>
    <t>831-22</t>
  </si>
  <si>
    <t>205-22</t>
  </si>
  <si>
    <t>207-22</t>
  </si>
  <si>
    <t>200-22</t>
  </si>
  <si>
    <t>832-22</t>
  </si>
  <si>
    <t>833-22</t>
  </si>
  <si>
    <t>75-22</t>
  </si>
  <si>
    <t>202-22</t>
  </si>
  <si>
    <t>209-22</t>
  </si>
  <si>
    <t>204-22</t>
  </si>
  <si>
    <t>211-22</t>
  </si>
  <si>
    <t>834-22</t>
  </si>
  <si>
    <t>74-22</t>
  </si>
  <si>
    <t>835-22</t>
  </si>
  <si>
    <t>208-22</t>
  </si>
  <si>
    <t>206-22</t>
  </si>
  <si>
    <t>213-22</t>
  </si>
  <si>
    <t>836-22</t>
  </si>
  <si>
    <t>215-22</t>
  </si>
  <si>
    <t>210-22</t>
  </si>
  <si>
    <t>837-22</t>
  </si>
  <si>
    <t>217-22</t>
  </si>
  <si>
    <t>212-22</t>
  </si>
  <si>
    <t>219-22</t>
  </si>
  <si>
    <t>838-22</t>
  </si>
  <si>
    <t>839-22</t>
  </si>
  <si>
    <t>214-22</t>
  </si>
  <si>
    <t>301-22</t>
  </si>
  <si>
    <t>216-22</t>
  </si>
  <si>
    <t>906-22</t>
  </si>
  <si>
    <t>221-22</t>
  </si>
  <si>
    <t>841-22</t>
  </si>
  <si>
    <t>303-22</t>
  </si>
  <si>
    <t>220-22</t>
  </si>
  <si>
    <t>223-22</t>
  </si>
  <si>
    <t>840-22</t>
  </si>
  <si>
    <t>222-22</t>
  </si>
  <si>
    <t>225-22</t>
  </si>
  <si>
    <t>843-22</t>
  </si>
  <si>
    <t>842-22</t>
  </si>
  <si>
    <t>226-22</t>
  </si>
  <si>
    <t>229-22</t>
  </si>
  <si>
    <t>845-22</t>
  </si>
  <si>
    <t>231-22</t>
  </si>
  <si>
    <t>228-22</t>
  </si>
  <si>
    <t>233-22</t>
  </si>
  <si>
    <t>230-22</t>
  </si>
  <si>
    <t>847-22</t>
  </si>
  <si>
    <t>235-22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</si>
  <si>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</si>
  <si>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</si>
  <si>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</si>
  <si>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</si>
  <si>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</si>
  <si>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</si>
  <si>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</si>
  <si>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</si>
  <si>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</si>
  <si>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</si>
  <si>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</si>
  <si>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</si>
  <si>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</si>
  <si>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</si>
  <si>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</si>
  <si>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</si>
  <si>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204:896</t>
  </si>
  <si>
    <t>204:232969</t>
  </si>
  <si>
    <t>204:233170</t>
  </si>
  <si>
    <t>204:232862</t>
  </si>
  <si>
    <t>204:232973</t>
  </si>
  <si>
    <t>204:232964</t>
  </si>
  <si>
    <t>204:242</t>
  </si>
  <si>
    <t>204:495</t>
  </si>
  <si>
    <t>204:194</t>
  </si>
  <si>
    <t>204:232980</t>
  </si>
  <si>
    <t>204:223</t>
  </si>
  <si>
    <t>204:127</t>
  </si>
  <si>
    <t>204:513</t>
  </si>
  <si>
    <t>204:232856</t>
  </si>
  <si>
    <t>204:127517</t>
  </si>
  <si>
    <t>204:560</t>
  </si>
  <si>
    <t>204:232944</t>
  </si>
  <si>
    <t>204:153996</t>
  </si>
  <si>
    <t>204:489</t>
  </si>
  <si>
    <t>204:232972</t>
  </si>
  <si>
    <t>204:153993</t>
  </si>
  <si>
    <t>204:233268</t>
  </si>
  <si>
    <t>204:86375</t>
  </si>
  <si>
    <t>204:107450</t>
  </si>
  <si>
    <t>204:444</t>
  </si>
  <si>
    <t>204:107411</t>
  </si>
  <si>
    <t>204:232946</t>
  </si>
  <si>
    <t>204:233197</t>
  </si>
  <si>
    <t>204:232877</t>
  </si>
  <si>
    <t>204:154249</t>
  </si>
  <si>
    <t>204:233010</t>
  </si>
  <si>
    <t>204:446</t>
  </si>
  <si>
    <t>204:233330</t>
  </si>
  <si>
    <t>204:1500</t>
  </si>
  <si>
    <t>204:233329</t>
  </si>
  <si>
    <t>204:233004</t>
  </si>
  <si>
    <t>204:160</t>
  </si>
  <si>
    <t>204:232940</t>
  </si>
  <si>
    <t>204:233302</t>
  </si>
  <si>
    <t>204:180</t>
  </si>
  <si>
    <t>204:233305</t>
  </si>
  <si>
    <t>204:232971</t>
  </si>
  <si>
    <t>204:233204</t>
  </si>
  <si>
    <t>204:232892</t>
  </si>
  <si>
    <t>204:232848</t>
  </si>
  <si>
    <t>204:233230</t>
  </si>
  <si>
    <t>204:232982</t>
  </si>
  <si>
    <t>204:529</t>
  </si>
  <si>
    <t>204:233257</t>
  </si>
  <si>
    <t>204:232894</t>
  </si>
  <si>
    <t>204:233224</t>
  </si>
  <si>
    <t>204:271</t>
  </si>
  <si>
    <t>204:232902</t>
  </si>
  <si>
    <t>204:176</t>
  </si>
  <si>
    <t>204:466</t>
  </si>
  <si>
    <t>204:233220</t>
  </si>
  <si>
    <t>204:232976</t>
  </si>
  <si>
    <t>204:205</t>
  </si>
  <si>
    <t>204:233240</t>
  </si>
  <si>
    <t>204:233217</t>
  </si>
  <si>
    <t>204:568</t>
  </si>
  <si>
    <t>204:233191</t>
  </si>
  <si>
    <t>204:232872</t>
  </si>
  <si>
    <t>204:262</t>
  </si>
  <si>
    <t>204:233205</t>
  </si>
  <si>
    <t>204:156</t>
  </si>
  <si>
    <t>204:233229</t>
  </si>
  <si>
    <t>204:517</t>
  </si>
  <si>
    <t>204:233311</t>
  </si>
  <si>
    <t>204:232967</t>
  </si>
  <si>
    <t>204:233199</t>
  </si>
  <si>
    <t>204:232886</t>
  </si>
  <si>
    <t>204:233208</t>
  </si>
  <si>
    <t>204:232898</t>
  </si>
  <si>
    <t>204:562</t>
  </si>
  <si>
    <t>204:245</t>
  </si>
  <si>
    <t>204:460</t>
  </si>
  <si>
    <t>204:187</t>
  </si>
  <si>
    <t>204:233285</t>
  </si>
  <si>
    <t>204:232985</t>
  </si>
  <si>
    <t>204:555</t>
  </si>
  <si>
    <t>204:247</t>
  </si>
  <si>
    <t>204:233227</t>
  </si>
  <si>
    <t>204:232871</t>
  </si>
  <si>
    <t>204:233189</t>
  </si>
  <si>
    <t>204:232885</t>
  </si>
  <si>
    <t>204:324</t>
  </si>
  <si>
    <t>204:233186</t>
  </si>
  <si>
    <t>204:232909</t>
  </si>
  <si>
    <t>204:233243</t>
  </si>
  <si>
    <t>204:232923</t>
  </si>
  <si>
    <t>204:260</t>
  </si>
  <si>
    <t>204:233274</t>
  </si>
  <si>
    <t>204:232957</t>
  </si>
  <si>
    <t>204:283</t>
  </si>
  <si>
    <t>204:233181</t>
  </si>
  <si>
    <t>204:232866</t>
  </si>
  <si>
    <t>204:233196</t>
  </si>
  <si>
    <t>204:127854</t>
  </si>
  <si>
    <t>204:232875</t>
  </si>
  <si>
    <t>204:232868</t>
  </si>
  <si>
    <t>204:127857</t>
  </si>
  <si>
    <t>204:233232</t>
  </si>
  <si>
    <t>204:232951</t>
  </si>
  <si>
    <t>204:233251</t>
  </si>
  <si>
    <t>204:232864</t>
  </si>
  <si>
    <t>204:579</t>
  </si>
  <si>
    <t>204:232928</t>
  </si>
  <si>
    <t>204:127887</t>
  </si>
  <si>
    <t>204:232873</t>
  </si>
  <si>
    <t>204:231</t>
  </si>
  <si>
    <t>204:233242</t>
  </si>
  <si>
    <t>204:265</t>
  </si>
  <si>
    <t>204:573</t>
  </si>
  <si>
    <t>204:232881</t>
  </si>
  <si>
    <t>204:251</t>
  </si>
  <si>
    <t>204:3231</t>
  </si>
  <si>
    <t>204:1182</t>
  </si>
  <si>
    <t>204:637</t>
  </si>
  <si>
    <t>300:23599</t>
  </si>
  <si>
    <t>300:23346</t>
  </si>
  <si>
    <t>300:19759</t>
  </si>
  <si>
    <t>204:575</t>
  </si>
  <si>
    <t>300:22555</t>
  </si>
  <si>
    <t>300:23330</t>
  </si>
  <si>
    <t>204:580</t>
  </si>
  <si>
    <t>300:23147</t>
  </si>
  <si>
    <t>300:23523</t>
  </si>
  <si>
    <t>300:23699</t>
  </si>
  <si>
    <t>300:23301</t>
  </si>
  <si>
    <t>300:23733</t>
  </si>
  <si>
    <t>300:23312</t>
  </si>
  <si>
    <t>204:3554</t>
  </si>
  <si>
    <t>204:233180</t>
  </si>
  <si>
    <t>204:107078</t>
  </si>
  <si>
    <t>204:128023</t>
  </si>
  <si>
    <t>204:128025</t>
  </si>
  <si>
    <t>204:123420</t>
  </si>
  <si>
    <t>204:154255</t>
  </si>
  <si>
    <t>204:156656</t>
  </si>
  <si>
    <t>300:22327</t>
  </si>
  <si>
    <t>204:4488</t>
  </si>
  <si>
    <t>300:23849</t>
  </si>
  <si>
    <t>204:1812</t>
  </si>
  <si>
    <t>204:1148</t>
  </si>
  <si>
    <t>300:23318</t>
  </si>
  <si>
    <t>204:1151</t>
  </si>
  <si>
    <t>300:58673</t>
  </si>
  <si>
    <t>204:867</t>
  </si>
  <si>
    <t>204:1172</t>
  </si>
  <si>
    <t>300:58999</t>
  </si>
  <si>
    <t>300:58690</t>
  </si>
  <si>
    <t>204:871</t>
  </si>
  <si>
    <t>204:1028</t>
  </si>
  <si>
    <t>300:58961</t>
  </si>
  <si>
    <t>204:722</t>
  </si>
  <si>
    <t>204:1147</t>
  </si>
  <si>
    <t>300:58992</t>
  </si>
  <si>
    <t>300:58683</t>
  </si>
  <si>
    <t>204:859</t>
  </si>
  <si>
    <t>300:58643</t>
  </si>
  <si>
    <t>204:4517</t>
  </si>
  <si>
    <t>204:1161</t>
  </si>
  <si>
    <t>300:59010</t>
  </si>
  <si>
    <t>300:58679</t>
  </si>
  <si>
    <t>204:4571</t>
  </si>
  <si>
    <t>204:1130</t>
  </si>
  <si>
    <t>204:850</t>
  </si>
  <si>
    <t>204:1139</t>
  </si>
  <si>
    <t>300:58658</t>
  </si>
  <si>
    <t>204:843</t>
  </si>
  <si>
    <t>204:1154</t>
  </si>
  <si>
    <t>300:58655</t>
  </si>
  <si>
    <t>204:1137</t>
  </si>
  <si>
    <t>300:58976</t>
  </si>
  <si>
    <t>300:58662</t>
  </si>
  <si>
    <t>204:4556</t>
  </si>
  <si>
    <t>204:1175</t>
  </si>
  <si>
    <t>204:862</t>
  </si>
  <si>
    <t>204:1160</t>
  </si>
  <si>
    <t>300:58948</t>
  </si>
  <si>
    <t>204:852</t>
  </si>
  <si>
    <t>300:58946</t>
  </si>
  <si>
    <t>204:1153</t>
  </si>
  <si>
    <t>300:58636</t>
  </si>
  <si>
    <t>204:775</t>
  </si>
  <si>
    <t>204:974</t>
  </si>
  <si>
    <t>300:58935</t>
  </si>
  <si>
    <t>204:1093</t>
  </si>
  <si>
    <t>204:873</t>
  </si>
  <si>
    <t>204:962</t>
  </si>
  <si>
    <t>300:58941</t>
  </si>
  <si>
    <t>300:58630</t>
  </si>
  <si>
    <t>204:971</t>
  </si>
  <si>
    <t>300:58608</t>
  </si>
  <si>
    <t>204:712</t>
  </si>
  <si>
    <t>204:1168</t>
  </si>
  <si>
    <t>204:983</t>
  </si>
  <si>
    <t>204:880</t>
  </si>
  <si>
    <t>204:1158</t>
  </si>
  <si>
    <t>204:866</t>
  </si>
  <si>
    <t>204:1188</t>
  </si>
  <si>
    <t>204:717</t>
  </si>
  <si>
    <t>204:1163</t>
  </si>
  <si>
    <t>204:1027</t>
  </si>
  <si>
    <t>300:58939</t>
  </si>
  <si>
    <t>204:691</t>
  </si>
  <si>
    <t>300:29919</t>
  </si>
  <si>
    <t>300:58995</t>
  </si>
  <si>
    <t>300:23453</t>
  </si>
  <si>
    <t>204:741</t>
  </si>
  <si>
    <t>204:1116</t>
  </si>
  <si>
    <t>300:24210</t>
  </si>
  <si>
    <t>300:23714</t>
  </si>
  <si>
    <t>204:706</t>
  </si>
  <si>
    <t>300:28797</t>
  </si>
  <si>
    <t>start /low /b %USERPROFILE%\Documents\GitHub\eaglep3\Utilities\DownloadLogsFromS3.py --loco 4027 --day 2017-11-22</t>
  </si>
  <si>
    <t>start /low /b %USERPROFILE%\Documents\GitHub\eaglep3\Utilities\DownloadLogsFromS3.py --loco 4001 --day 2017-11-22</t>
  </si>
  <si>
    <t>start /low /b %USERPROFILE%\Documents\GitHub\eaglep3\Utilities\DownloadLogsFromS3.py --loco 4006 --day 2017-11-22</t>
  </si>
  <si>
    <t>start /low /b %USERPROFILE%\Documents\GitHub\eaglep3\Utilities\DownloadLogsFromS3.py --loco 4050 --day 2017-11-22</t>
  </si>
  <si>
    <t>start /low /b %USERPROFILE%\Documents\GitHub\eaglep3\Utilities\DownloadLogsFromS3.py --loco 4040 --day 2017-11-22</t>
  </si>
  <si>
    <t>start /low /b %USERPROFILE%\Documents\GitHub\eaglep3\Utilities\DownloadLogsFromS3.py --loco 4017 --day 2017-11-22</t>
  </si>
  <si>
    <t>start /low /b %USERPROFILE%\Documents\GitHub\eaglep3\Utilities\DownloadLogsFromS3.py --loco 4015 --day 2017-11-22</t>
  </si>
  <si>
    <t>start /low /b %USERPROFILE%\Documents\GitHub\eaglep3\Utilities\DownloadLogsFromS3.py --loco 4023 --day 2017-11-22</t>
  </si>
  <si>
    <t>start /low /b %USERPROFILE%\Documents\GitHub\eaglep3\Utilities\DownloadLogsFromS3.py --loco 4025 --day 2017-11-22</t>
  </si>
  <si>
    <t>start /low /b %USERPROFILE%\Documents\GitHub\eaglep3\Utilities\DownloadLogsFromS3.py --loco 4006 --day 2017-11-23</t>
  </si>
  <si>
    <t>start /low /b %USERPROFILE%\Documents\GitHub\eaglep3\Utilities\DownloadLogsFromS3.py --loco 4019 --day 2017-11-22</t>
  </si>
  <si>
    <t>start /low /b %USERPROFILE%\Documents\GitHub\eaglep3\Utilities\DownloadLogsFromS3.py --loco 4049 --day 2017-11-22</t>
  </si>
  <si>
    <t>start /low /b %USERPROFILE%\Documents\GitHub\eaglep3\Utilities\DownloadLogsFromS3.py --loco 4001 --day 2017-11-23</t>
  </si>
  <si>
    <t>start /low /b %USERPROFILE%\Documents\GitHub\eaglep3\Utilities\DownloadLogsFromS3.py --loco 4015 --day 2017-11-23</t>
  </si>
  <si>
    <t>start /low /b %USERPROFILE%\Documents\GitHub\eaglep3\Utilities\DownloadLogsFromS3.py --loco 4016 --day 2017-11-23</t>
  </si>
  <si>
    <t>Bus bridge between Peoria and 61st and Pena due to pedestrian incident (see Trip 120-22)</t>
  </si>
  <si>
    <t>Pedestrian struck by train at 40th and Airport (Incident 57559)</t>
  </si>
  <si>
    <t>Cascade delay from Trip 120-22</t>
  </si>
  <si>
    <t>Canceled due to Trip 120-22 incident (Incident 57559)</t>
  </si>
  <si>
    <t>Onboard en route failure during init at DUS</t>
  </si>
  <si>
    <t>824-22</t>
  </si>
  <si>
    <t>LORI SANTOS</t>
  </si>
  <si>
    <t>Observed unhealthy xing banner for Chambers due to station stop</t>
  </si>
  <si>
    <t>TMDS/Onboard CRC mismatch</t>
  </si>
  <si>
    <t>149-22</t>
  </si>
  <si>
    <t>SPECTOR MICHAEL</t>
  </si>
  <si>
    <t>846-22</t>
  </si>
  <si>
    <t>STAMBAUGH JAMES</t>
  </si>
  <si>
    <t>849-22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</si>
</sst>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2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43061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43061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143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COUNTIFS($N$13:$N$9545,"&gt;0",$AG$13:$AG$9545,I1)</f>
        <v>134</v>
      </c>
      <c r="K5" s="39"/>
      <c r="L5" s="171"/>
      <c r="M5" s="40">
        <f>AVERAGEIFS($N$13:$N$9545,$AG$13:$AG$9545,I1)</f>
        <v>37.566417910518304</v>
      </c>
      <c r="N5" s="38">
        <f t="array" ref="N5">MIN(IF($AG$13:$AG$9545=I1,IF(ISNUMBER($N$13:$N$9545),IF($N$13:$N$9545&gt;0,$N$13:$N$9545))))</f>
        <v>33.76666666008532</v>
      </c>
      <c r="O5" s="3">
        <f t="array" ref="O5">MAX(IF($AG$13:$AG$9545=I1,IF(ISNUMBER($N$13:$N$9545),IF($N$13:$N$9545&gt;0,$N$13:$N$9545))))</f>
        <v>62.200000007869676</v>
      </c>
      <c r="P5" s="2"/>
      <c r="R5" s="162" t="s">
        <v>17</v>
      </c>
      <c r="S5" s="206">
        <f>COUNTIFS($N$13:$N$9545,"&gt;0",$AG$13:$AG$9545,R1)</f>
        <v>48</v>
      </c>
      <c r="T5" s="171"/>
      <c r="U5" s="194"/>
      <c r="V5" s="210">
        <f>AVERAGEIFS($N$13:$N$9545,$AG$13:$AG$9545,R1)</f>
        <v>13.439583332874463</v>
      </c>
      <c r="W5" s="211">
        <f t="array" ref="W5">MIN(IF($AG$13:$AG$9545=R1,IF(ISNUMBER($N$13:$N$9545),IF($N$13:$N$9545&gt;0,$N$13:$N$9545))))</f>
        <v>9.733333324547857</v>
      </c>
      <c r="X5" s="199">
        <f t="array" ref="X5">MAX(IF($AG$13:$AG$9545=R1,IF(ISNUMBER($N$13:$N$9545),IF($N$13:$N$9545&gt;0,$N$13:$N$9545))))</f>
        <v>17.383333331672475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COUNT($O$13:$O$303)</f>
        <v>0</v>
      </c>
      <c r="K6" s="39"/>
      <c r="L6" s="171"/>
      <c r="M6" s="40">
        <f>IFERROR(AVERAGE($O$13:$O$303),0)</f>
        <v>0</v>
      </c>
      <c r="N6" s="38">
        <f>MIN($O$13:$O$303)</f>
        <v>0</v>
      </c>
      <c r="O6" s="3">
        <f>MAX($O$13:$O$303)</f>
        <v>0</v>
      </c>
      <c r="P6" s="2"/>
      <c r="R6" s="163" t="s">
        <v>43</v>
      </c>
      <c r="S6" s="206">
        <f>COUNT($O$13:$O$303)</f>
        <v>0</v>
      </c>
      <c r="T6" s="171"/>
      <c r="U6" s="194"/>
      <c r="V6" s="210">
        <f>IFERROR(AVERAGE($O$13:$O$303),0)</f>
        <v>0</v>
      </c>
      <c r="W6" s="211">
        <f>MIN($O$13:$O$303)</f>
        <v>0</v>
      </c>
      <c r="X6" s="199">
        <f>MAX($O$13:$O$303)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COUNTIFS($P$13:$P$9545,"&gt;0",$AG$13:$AG$9545,I1)</f>
        <v>9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COUNTIFS($P$13:$P$9545,"&gt;0",$AG$13:$AG$9545,R1)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134</v>
      </c>
      <c r="K8" s="39"/>
      <c r="L8" s="171"/>
      <c r="M8" s="40">
        <f>M5</f>
        <v>37.566417910518304</v>
      </c>
      <c r="N8" s="38">
        <f>N5</f>
        <v>33.76666666008532</v>
      </c>
      <c r="O8" s="3">
        <f>O5</f>
        <v>62.200000007869676</v>
      </c>
      <c r="P8" s="2"/>
      <c r="R8" s="162" t="s">
        <v>16</v>
      </c>
      <c r="S8" s="206">
        <f>S5</f>
        <v>48</v>
      </c>
      <c r="T8" s="171"/>
      <c r="U8" s="194"/>
      <c r="V8" s="210">
        <f>V5</f>
        <v>13.439583332874463</v>
      </c>
      <c r="W8" s="211">
        <f>W5</f>
        <v>9.733333324547857</v>
      </c>
      <c r="X8" s="199">
        <f>X5</f>
        <v>17.383333331672475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0.93706293706293708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0.97959183673469385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1" t="str">
        <f>"Eagle P3 System Performance - "&amp;TEXT(Variables!A2,"yyyy-mm-dd")</f>
        <v>Eagle P3 System Performance - 2017-11-22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AVERAGE(S13:S128)</f>
        <v>0.96304347826086956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676</v>
      </c>
      <c r="B13" s="7">
        <v>4020</v>
      </c>
      <c r="C13" s="21" t="s">
        <v>192</v>
      </c>
      <c r="D13" s="21" t="s">
        <v>886</v>
      </c>
      <c r="E13" s="13">
        <v>43061.132708333331</v>
      </c>
      <c r="F13" s="13">
        <v>43061.135694444441</v>
      </c>
      <c r="G13" s="7">
        <v>150</v>
      </c>
      <c r="H13" s="21" t="s">
        <v>618</v>
      </c>
      <c r="I13" s="13">
        <v>43061.160567129627</v>
      </c>
      <c r="J13" s="7">
        <v>0</v>
      </c>
      <c r="K13" s="89" t="str">
        <f t="shared" ref="K13:K77" si="0">IF(ISEVEN(B13),(B13-1)&amp;"/"&amp;B13,B13&amp;"/"&amp;(B13+1))</f>
        <v>4019/4020</v>
      </c>
      <c r="L13" s="184" t="str">
        <f>VLOOKUP(A13,'Trips&amp;Operators'!$C$1:$G$99911,5,FALSE)</f>
        <v>BONDS REYNALDO</v>
      </c>
      <c r="M13" s="6">
        <f t="shared" ref="M13:M77" si="1">I13-F13</f>
        <v>2.4872685185982846E-2</v>
      </c>
      <c r="N13" s="7">
        <f t="shared" ref="N13:N31" si="2">24*60*SUM($M13:$M13)</f>
        <v>35.816666667815298</v>
      </c>
      <c r="O13" s="7"/>
      <c r="P13" s="7"/>
      <c r="Q13" s="22"/>
      <c r="R13" s="166"/>
      <c r="S13" s="250">
        <f t="shared" ref="S13:S38" si="3">1/IF(AG13="EC",12,1)*SUM(U13:U13)</f>
        <v>1</v>
      </c>
      <c r="T13" s="173" t="str">
        <f t="shared" ref="T13:T77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7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-22T02:11:06-0700',mode:absolute,to:'2017-11-22T04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203" t="str">
        <f>IF(AA13&lt;VLOOKUP(AG13,Variables!$AC$3:$AD$8,2,FALSE),"Y","N")</f>
        <v>N</v>
      </c>
      <c r="X13" s="203" t="e">
        <f t="shared" ref="X13:X39" si="6">VALUE(LEFT(AD13,4))-VALUE(LEFT(AD12,4))</f>
        <v>#VALUE!</v>
      </c>
      <c r="Y13" s="203">
        <f t="shared" ref="Y13:Y40" si="7">RIGHT(D13,LEN(D13)-4)/10000</f>
        <v>8.9599999999999999E-2</v>
      </c>
      <c r="Z13" s="203">
        <f t="shared" ref="Z13:Z40" si="8">RIGHT(H13,LEN(H13)-4)/10000</f>
        <v>23.327999999999999</v>
      </c>
      <c r="AA13" s="203">
        <f t="shared" ref="AA13:AA77" si="9">ABS(Z13-Y13)</f>
        <v>23.238399999999999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7" si="10">VALUE(LEFT(A13,LEN(A13)-3))</f>
        <v>101</v>
      </c>
      <c r="AE13" s="77" t="str">
        <f t="shared" ref="AE13:AE77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13" s="74" t="str">
        <f t="shared" ref="AF13:AF77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/stypes="app*4020*20171122*" /stext=" 10:.+((SYSTEM_STATE.+slice.+state.+changed )|(ment ac)|(multiple cpu faults)|(system.+state.+changed )|(\[timeout)|(PRM\|1\|D)|(kpr)|(kdp)|(train st.+moving)|(\|lc)|(penalty))"</v>
      </c>
      <c r="AG13" s="181" t="str">
        <f t="shared" ref="AG13:AG77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4020 --swversion DE.1.0.9.0 --startMP 204:896 --initTime 2017-11-22T03:11:06 --startdatetime 2017-11-22T03:15:24 --delay 150 --endMP 204:233280 --enddatetime 2017-11-22T03:51:13 --enforcementcount 0 &gt;&gt;%USERPROFILE%\Documents\GitHub\eaglep3-reporting\EC\2017-11-22-refined-times.txt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{"issue":{"subject":"","project_id":79,"tracker_id":40,"status_id":1,"priority_id":2,"assigned_to_id":338,"start_date":"2017-11-22","description":"","custom_fields":[{"id":1,"name":"Subdivision","value":"EC"},{"id":4,"name":"Milepost","value":"23.328"},{"id":17,"name":"Train ID","value":"101-22"},{"id":16,"name":"Locomotive ID","value":"4020"},{"id":130,"name":"Impact","value":""},{"id":150,"name":"Time of Event (Mountain Time)","value":"03:51:13"},{"id":151,"name":"Denver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4020 --day 2017-11-22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10:51:13"},{"id":29,"name":"Sharepoint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-22T02:11:06-0700',mode:absolute,to:'2017-11-22T04:51:13-0700'))&amp;_a=(columns:!('Message%20ID',Summary),filters:!(),index:'emp_*',interval:auto,query:(query_string:(analyze_wildcard:!t,query:'%22rtdc.l.rtdc.4020%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30" t="s">
        <v>680</v>
      </c>
      <c r="B14" s="226">
        <v>4019</v>
      </c>
      <c r="C14" s="228" t="s">
        <v>192</v>
      </c>
      <c r="D14" s="228" t="s">
        <v>887</v>
      </c>
      <c r="E14" s="227">
        <v>43061.162916666668</v>
      </c>
      <c r="F14" s="227">
        <v>43061.175208333334</v>
      </c>
      <c r="G14" s="226">
        <v>63</v>
      </c>
      <c r="H14" s="228" t="s">
        <v>478</v>
      </c>
      <c r="I14" s="227">
        <v>43061.2034375</v>
      </c>
      <c r="J14" s="226">
        <v>0</v>
      </c>
      <c r="K14" s="238" t="str">
        <f t="shared" si="0"/>
        <v>4019/4020</v>
      </c>
      <c r="L14" s="246" t="str">
        <f>VLOOKUP(A14,'Trips&amp;Operators'!$C$1:$G$99911,5,FALSE)</f>
        <v>BONDS REYNALDO</v>
      </c>
      <c r="M14" s="225">
        <f t="shared" si="1"/>
        <v>2.8229166666278616E-2</v>
      </c>
      <c r="N14" s="226">
        <f t="shared" si="2"/>
        <v>40.649999999441206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-22T02:54:36-0700',mode:absolute,to:'2017-11-22T05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23.296900000000001</v>
      </c>
      <c r="Z14" s="248">
        <f t="shared" si="8"/>
        <v>1.9800000000000002E-2</v>
      </c>
      <c r="AA14" s="248">
        <f t="shared" si="9"/>
        <v>23.277100000000001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14" s="235" t="str">
        <f t="shared" si="12"/>
        <v>"C:\Program Files (x86)\AstroGrep\AstroGrep.exe" /e /r /s /spath="%USERPROFILE%\AppData\Local\Temp\OnboardLogs" /stypes="app*4019*20171122*"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9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4019 --swversion DE.1.0.9.0 --startMP 204:232969 --initTime 2017-11-22T03:54:36 --startdatetime 2017-11-22T04:12:18 --delay 63 --endMP 204:198 --enddatetime 2017-11-22T04:52:57 --enforcementcount 0 &gt;&gt;%USERPROFILE%\Documents\GitHub\eaglep3-reporting\EC\2017-11-22-refined-times.txt</v>
      </c>
      <c r="AI14" s="239" t="str">
        <f t="shared" ref="AI14:AI79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{"issue":{"subject":"","project_id":79,"tracker_id":40,"status_id":1,"priority_id":2,"assigned_to_id":338,"start_date":"2017-11-22","description":"","custom_fields":[{"id":1,"name":"Subdivision","value":"EC"},{"id":4,"name":"Milepost","value":"0.0198"},{"id":17,"name":"Train ID","value":"102-22"},{"id":16,"name":"Locomotive ID","value":"4019"},{"id":130,"name":"Impact","value":""},{"id":150,"name":"Time of Event (Mountain Time)","value":"04:52:57"},{"id":151,"name":"Denver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9" si="21">"start /low /b "&amp;dls3logs&amp;" --loco "&amp;B14&amp;" --day "&amp;TEXT(F14,"YYYY-MM-DD")</f>
        <v>start /low /b %USERPROFILE%\Documents\GitHub\eaglep3\Utilities\DownloadLogsFromS3.py --loco 4019 --day 2017-11-22</v>
      </c>
      <c r="AN14" s="242" t="str">
        <f t="shared" ref="AN14:AN79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9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-22T02:54:36-0700',mode:absolute,to:'2017-11-22T05:52:57-0700'))&amp;_a=(columns:!('Message%20ID',Summary),filters:!(),index:'emp_*',interval:auto,query:(query_string:(analyze_wildcard:!t,query:'%22rtdc.l.rtdc.4019%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30" t="s">
        <v>678</v>
      </c>
      <c r="B15" s="226">
        <v>4050</v>
      </c>
      <c r="C15" s="228" t="s">
        <v>192</v>
      </c>
      <c r="D15" s="228" t="s">
        <v>521</v>
      </c>
      <c r="E15" s="227">
        <v>43061.156111111108</v>
      </c>
      <c r="F15" s="227">
        <v>43061.158321759256</v>
      </c>
      <c r="G15" s="226">
        <v>69</v>
      </c>
      <c r="H15" s="228" t="s">
        <v>888</v>
      </c>
      <c r="I15" s="227">
        <v>43061.184444444443</v>
      </c>
      <c r="J15" s="226">
        <v>0</v>
      </c>
      <c r="K15" s="238" t="str">
        <f t="shared" si="0"/>
        <v>4049/4050</v>
      </c>
      <c r="L15" s="246" t="str">
        <f>VLOOKUP(A15,'Trips&amp;Operators'!$C$1:$G$99911,5,FALSE)</f>
        <v>THOMPSON LESTER</v>
      </c>
      <c r="M15" s="225">
        <f t="shared" si="1"/>
        <v>2.6122685187146999E-2</v>
      </c>
      <c r="N15" s="226">
        <f t="shared" si="2"/>
        <v>37.616666669491678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-22T02:44:48-0700',mode:absolute,to:'2017-11-22T05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4.4900000000000002E-2</v>
      </c>
      <c r="Z15" s="248">
        <f t="shared" si="8"/>
        <v>23.317</v>
      </c>
      <c r="AA15" s="248">
        <f t="shared" si="9"/>
        <v>23.272100000000002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15" s="235" t="str">
        <f t="shared" si="12"/>
        <v>"C:\Program Files (x86)\AstroGrep\AstroGrep.exe" /e /r /s /spath="%USERPROFILE%\AppData\Local\Temp\OnboardLogs" /stypes="app*4050*20171122*"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103-22 --locoid 4050 --swversion DE.1.0.9.0 --startMP 204:449 --initTime 2017-11-22T03:44:48 --startdatetime 2017-11-22T03:47:59 --delay 69 --endMP 204:233170 --enddatetime 2017-11-22T04:25:36 --enforcementcount 0 &gt;&gt;%USERPROFILE%\Documents\GitHub\eaglep3-reporting\EC\2017-11-22-refined-times.txt</v>
      </c>
      <c r="AI1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{"issue":{"subject":"","project_id":79,"tracker_id":40,"status_id":1,"priority_id":2,"assigned_to_id":338,"start_date":"2017-11-22","description":"","custom_fields":[{"id":1,"name":"Subdivision","value":"EC"},{"id":4,"name":"Milepost","value":"23.317"},{"id":17,"name":"Train ID","value":"103-22"},{"id":16,"name":"Locomotive ID","value":"4050"},{"id":130,"name":"Impact","value":""},{"id":150,"name":"Time of Event (Mountain Time)","value":"04:25:36"},{"id":151,"name":"Denver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4050 --day 2017-11-22</v>
      </c>
      <c r="AN1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-22T02:44:48-0700',mode:absolute,to:'2017-11-22T05:25:36-0700'))&amp;_a=(columns:!('Message%20ID',Summary),filters:!(),index:'emp_*',interval:auto,query:(query_string:(analyze_wildcard:!t,query:'%22rtdc.l.rtdc.4050%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30" t="s">
        <v>689</v>
      </c>
      <c r="B16" s="226">
        <v>4049</v>
      </c>
      <c r="C16" s="228" t="s">
        <v>192</v>
      </c>
      <c r="D16" s="228" t="s">
        <v>889</v>
      </c>
      <c r="E16" s="227">
        <v>43061.194409722222</v>
      </c>
      <c r="F16" s="227">
        <v>43061.196064814816</v>
      </c>
      <c r="G16" s="226">
        <v>51</v>
      </c>
      <c r="H16" s="228" t="s">
        <v>513</v>
      </c>
      <c r="I16" s="227">
        <v>43061.223101851851</v>
      </c>
      <c r="J16" s="226">
        <v>0</v>
      </c>
      <c r="K16" s="238" t="str">
        <f t="shared" si="0"/>
        <v>4049/4050</v>
      </c>
      <c r="L16" s="246" t="str">
        <f>VLOOKUP(A16,'Trips&amp;Operators'!$C$1:$G$99911,5,FALSE)</f>
        <v>THOMPSON LESTER</v>
      </c>
      <c r="M16" s="225">
        <f t="shared" si="1"/>
        <v>2.7037037034460809E-2</v>
      </c>
      <c r="N16" s="226">
        <f t="shared" si="2"/>
        <v>38.933333329623565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-22T03:39:57-0700',mode:absolute,to:'2017-11-22T06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23.286200000000001</v>
      </c>
      <c r="Z16" s="248">
        <f t="shared" si="8"/>
        <v>2.0299999999999999E-2</v>
      </c>
      <c r="AA16" s="248">
        <f t="shared" si="9"/>
        <v>23.265900000000002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16" s="235" t="str">
        <f t="shared" si="12"/>
        <v>"C:\Program Files (x86)\AstroGrep\AstroGrep.exe" /e /r /s /spath="%USERPROFILE%\AppData\Local\Temp\OnboardLogs" /stypes="app*4049*20171122*"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104-22 --locoid 4049 --swversion DE.1.0.9.0 --startMP 204:232862 --initTime 2017-11-22T04:39:57 --startdatetime 2017-11-22T04:42:20 --delay 51 --endMP 204:203 --enddatetime 2017-11-22T05:21:16 --enforcementcount 0 &gt;&gt;%USERPROFILE%\Documents\GitHub\eaglep3-reporting\EC\2017-11-22-refined-times.txt</v>
      </c>
      <c r="AI16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{"issue":{"subject":"","project_id":79,"tracker_id":40,"status_id":1,"priority_id":2,"assigned_to_id":338,"start_date":"2017-11-22","description":"","custom_fields":[{"id":1,"name":"Subdivision","value":"EC"},{"id":4,"name":"Milepost","value":"0.0203"},{"id":17,"name":"Train ID","value":"104-22"},{"id":16,"name":"Locomotive ID","value":"4049"},{"id":130,"name":"Impact","value":""},{"id":150,"name":"Time of Event (Mountain Time)","value":"05:21:16"},{"id":151,"name":"Denver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4049 --day 2017-11-22</v>
      </c>
      <c r="AN16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-22T03:39:57-0700',mode:absolute,to:'2017-11-22T06:21:16-0700'))&amp;_a=(columns:!('Message%20ID',Summary),filters:!(),index:'emp_*',interval:auto,query:(query_string:(analyze_wildcard:!t,query:'%22rtdc.l.rtdc.4049%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30" t="s">
        <v>682</v>
      </c>
      <c r="B17" s="226">
        <v>4028</v>
      </c>
      <c r="C17" s="228" t="s">
        <v>192</v>
      </c>
      <c r="D17" s="228" t="s">
        <v>586</v>
      </c>
      <c r="E17" s="227">
        <v>43061.170706018522</v>
      </c>
      <c r="F17" s="227">
        <v>43061.178136574075</v>
      </c>
      <c r="G17" s="226">
        <v>99</v>
      </c>
      <c r="H17" s="228" t="s">
        <v>618</v>
      </c>
      <c r="I17" s="227">
        <v>43061.201585648145</v>
      </c>
      <c r="J17" s="226">
        <v>0</v>
      </c>
      <c r="K17" s="238" t="str">
        <f t="shared" si="0"/>
        <v>4027/4028</v>
      </c>
      <c r="L17" s="246" t="str">
        <f>VLOOKUP(A17,'Trips&amp;Operators'!$C$1:$G$99911,5,FALSE)</f>
        <v>YORK EDGAR</v>
      </c>
      <c r="M17" s="225">
        <f t="shared" si="1"/>
        <v>2.3449074069503695E-2</v>
      </c>
      <c r="N17" s="226">
        <f t="shared" si="2"/>
        <v>33.76666666008532</v>
      </c>
      <c r="O17" s="226"/>
      <c r="P17" s="226"/>
      <c r="Q17" s="229"/>
      <c r="R17" s="243"/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-22T03:05:49-0700',mode:absolute,to:'2017-11-22T05:50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4.6899999999999997E-2</v>
      </c>
      <c r="Z17" s="248">
        <f t="shared" si="8"/>
        <v>23.327999999999999</v>
      </c>
      <c r="AA17" s="248">
        <f t="shared" si="9"/>
        <v>23.281099999999999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s3://rtdc.mdm.uploadarchive.raw/RTDC4028/ "%USERPROFILE%\AppData\Local\Temp\OnboardLogs"\RTDC4028\2017-11-22 --exclude "*" --recursive --include "*20171122*" &amp; "%USERPROFILE%\Documents\GitHub\mrs-test-scripts\Headless Mode &amp; Sideloading\WalkAndUnGZ.bat" "%USERPROFILE%\AppData\Local\Temp\OnboardLogs"\RTDC4028\2017-11-22 &amp; aws s3 cp s3://rtdc.mdm.uploadarchive.raw/RTDC4028/ "%USERPROFILE%\AppData\Local\Temp\OnboardLogs"\RTDC4028\2017-11-23 --exclude "*" --recursive --include "*20171123*" &amp; "%USERPROFILE%\Documents\GitHub\mrs-test-scripts\Headless Mode &amp; Sideloading\WalkAndUnGZ.bat" "%USERPROFILE%\AppData\Local\Temp\OnboardLogs"\RTDC4028\2017-11-23</v>
      </c>
      <c r="AF17" s="235" t="str">
        <f t="shared" si="12"/>
        <v>"C:\Program Files (x86)\AstroGrep\AstroGrep.exe" /e /r /s /spath="%USERPROFILE%\AppData\Local\Temp\OnboardLogs" /stypes="app*4028*20171122*"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105-22 --locoid 4028 --swversion DE.1.0.9.0 --startMP 204:469 --initTime 2017-11-22T04:05:49 --startdatetime 2017-11-22T04:16:31 --delay 99 --endMP 204:233280 --enddatetime 2017-11-22T04:50:17 --enforcementcount 0 &gt;&gt;%USERPROFILE%\Documents\GitHub\eaglep3-reporting\EC\2017-11-22-refined-times.txt</v>
      </c>
      <c r="AI17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{"issue":{"subject":"","project_id":79,"tracker_id":40,"status_id":1,"priority_id":2,"assigned_to_id":338,"start_date":"2017-11-22","description":"","custom_fields":[{"id":1,"name":"Subdivision","value":"EC"},{"id":4,"name":"Milepost","value":"23.328"},{"id":17,"name":"Train ID","value":"105-22"},{"id":16,"name":"Locomotive ID","value":"4028"},{"id":130,"name":"Impact","value":""},{"id":150,"name":"Time of Event (Mountain Time)","value":"04:50:17"},{"id":151,"name":"Denver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4028 --day 2017-11-22</v>
      </c>
      <c r="AN17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11:50:17"},{"id":29,"name":"Sharepoint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-22T03:05:49-0700',mode:absolute,to:'2017-11-22T05:50:17-0700'))&amp;_a=(columns:!('Message%20ID',Summary),filters:!(),index:'emp_*',interval:auto,query:(query_string:(analyze_wildcard:!t,query:'%22rtdc.l.rtdc.4028%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30" t="s">
        <v>692</v>
      </c>
      <c r="B18" s="226">
        <v>4027</v>
      </c>
      <c r="C18" s="228" t="s">
        <v>192</v>
      </c>
      <c r="D18" s="228" t="s">
        <v>890</v>
      </c>
      <c r="E18" s="227">
        <v>43061.202685185184</v>
      </c>
      <c r="F18" s="227">
        <v>43061.217094907406</v>
      </c>
      <c r="G18" s="226">
        <v>67</v>
      </c>
      <c r="H18" s="228" t="s">
        <v>551</v>
      </c>
      <c r="I18" s="227">
        <v>43061.243506944447</v>
      </c>
      <c r="J18" s="226">
        <v>0</v>
      </c>
      <c r="K18" s="238" t="str">
        <f t="shared" si="0"/>
        <v>4027/4028</v>
      </c>
      <c r="L18" s="246" t="str">
        <f>VLOOKUP(A18,'Trips&amp;Operators'!$C$1:$G$99911,5,FALSE)</f>
        <v>YORK EDGAR</v>
      </c>
      <c r="M18" s="225">
        <f t="shared" si="1"/>
        <v>2.641203704115469E-2</v>
      </c>
      <c r="N18" s="226">
        <f t="shared" si="2"/>
        <v>38.033333339262754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-22T03:51:52-0700',mode:absolute,to:'2017-11-22T06:50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23.2973</v>
      </c>
      <c r="Z18" s="248">
        <f t="shared" si="8"/>
        <v>1.6500000000000001E-2</v>
      </c>
      <c r="AA18" s="248">
        <f t="shared" si="9"/>
        <v>23.280799999999999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 &amp; aws s3 cp s3://rtdc.mdm.uploadarchive.raw/RTDC4027/ "%USERPROFILE%\AppData\Local\Temp\OnboardLogs"\RTDC4027\2017-11-23 --exclude "*" --recursive --include "*20171123*" &amp; "%USERPROFILE%\Documents\GitHub\mrs-test-scripts\Headless Mode &amp; Sideloading\WalkAndUnGZ.bat" "%USERPROFILE%\AppData\Local\Temp\OnboardLogs"\RTDC4027\2017-11-23</v>
      </c>
      <c r="AF18" s="235" t="str">
        <f t="shared" si="12"/>
        <v>"C:\Program Files (x86)\AstroGrep\AstroGrep.exe" /e /r /s /spath="%USERPROFILE%\AppData\Local\Temp\OnboardLogs" /stypes="app*4027*20171122*"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106-22 --locoid 4027 --swversion DE.1.0.9.0 --startMP 204:232973 --initTime 2017-11-22T04:51:52 --startdatetime 2017-11-22T05:12:37 --delay 67 --endMP 204:165 --enddatetime 2017-11-22T05:50:39 --enforcementcount 0 &gt;&gt;%USERPROFILE%\Documents\GitHub\eaglep3-reporting\EC\2017-11-22-refined-times.txt</v>
      </c>
      <c r="AI18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{"issue":{"subject":"","project_id":79,"tracker_id":40,"status_id":1,"priority_id":2,"assigned_to_id":338,"start_date":"2017-11-22","description":"","custom_fields":[{"id":1,"name":"Subdivision","value":"EC"},{"id":4,"name":"Milepost","value":"0.0165"},{"id":17,"name":"Train ID","value":"106-22"},{"id":16,"name":"Locomotive ID","value":"4027"},{"id":130,"name":"Impact","value":""},{"id":150,"name":"Time of Event (Mountain Time)","value":"05:50:39"},{"id":151,"name":"Denver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4027 --day 2017-11-22</v>
      </c>
      <c r="AN18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-22T03:51:52-0700',mode:absolute,to:'2017-11-22T06:50:39-0700'))&amp;_a=(columns:!('Message%20ID',Summary),filters:!(),index:'emp_*',interval:auto,query:(query_string:(analyze_wildcard:!t,query:'%22rtdc.l.rtdc.4027%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30" t="s">
        <v>683</v>
      </c>
      <c r="B19" s="226">
        <v>4040</v>
      </c>
      <c r="C19" s="228" t="s">
        <v>192</v>
      </c>
      <c r="D19" s="228" t="s">
        <v>489</v>
      </c>
      <c r="E19" s="227">
        <v>43061.178553240738</v>
      </c>
      <c r="F19" s="227">
        <v>43061.187685185185</v>
      </c>
      <c r="G19" s="226">
        <v>84</v>
      </c>
      <c r="H19" s="228" t="s">
        <v>589</v>
      </c>
      <c r="I19" s="227">
        <v>43061.21297453704</v>
      </c>
      <c r="J19" s="226">
        <v>0</v>
      </c>
      <c r="K19" s="238" t="str">
        <f t="shared" si="0"/>
        <v>4039/4040</v>
      </c>
      <c r="L19" s="246" t="str">
        <f>VLOOKUP(A19,'Trips&amp;Operators'!$C$1:$G$99911,5,FALSE)</f>
        <v>DAVIDSON DAVID</v>
      </c>
      <c r="M19" s="225">
        <f t="shared" si="1"/>
        <v>2.5289351855462883E-2</v>
      </c>
      <c r="N19" s="226">
        <f t="shared" si="2"/>
        <v>36.416666671866551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-22T03:17:07-0700',mode:absolute,to:'2017-11-22T06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5.5300000000000002E-2</v>
      </c>
      <c r="Z19" s="248">
        <f t="shared" si="8"/>
        <v>23.329799999999999</v>
      </c>
      <c r="AA19" s="248">
        <f t="shared" si="9"/>
        <v>23.2745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19" s="235" t="str">
        <f t="shared" si="12"/>
        <v>"C:\Program Files (x86)\AstroGrep\AstroGrep.exe" /e /r /s /spath="%USERPROFILE%\AppData\Local\Temp\OnboardLogs" /stypes="app*4040*20171122*"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107-22 --locoid 4040 --swversion DE.1.0.9.0 --startMP 204:553 --initTime 2017-11-22T04:17:07 --startdatetime 2017-11-22T04:30:16 --delay 84 --endMP 204:233298 --enddatetime 2017-11-22T05:06:41 --enforcementcount 0 &gt;&gt;%USERPROFILE%\Documents\GitHub\eaglep3-reporting\EC\2017-11-22-refined-times.txt</v>
      </c>
      <c r="AI19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{"issue":{"subject":"","project_id":79,"tracker_id":40,"status_id":1,"priority_id":2,"assigned_to_id":338,"start_date":"2017-11-22","description":"","custom_fields":[{"id":1,"name":"Subdivision","value":"EC"},{"id":4,"name":"Milepost","value":"23.3298"},{"id":17,"name":"Train ID","value":"107-22"},{"id":16,"name":"Locomotive ID","value":"4040"},{"id":130,"name":"Impact","value":""},{"id":150,"name":"Time of Event (Mountain Time)","value":"05:06:41"},{"id":151,"name":"Denver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4040 --day 2017-11-22</v>
      </c>
      <c r="AN19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-22T03:17:07-0700',mode:absolute,to:'2017-11-22T06:06:41-0700'))&amp;_a=(columns:!('Message%20ID',Summary),filters:!(),index:'emp_*',interval:auto,query:(query_string:(analyze_wildcard:!t,query:'%22rtdc.l.rtdc.4040%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30" t="s">
        <v>699</v>
      </c>
      <c r="B20" s="226">
        <v>4039</v>
      </c>
      <c r="C20" s="228" t="s">
        <v>192</v>
      </c>
      <c r="D20" s="228" t="s">
        <v>891</v>
      </c>
      <c r="E20" s="227">
        <v>43061.21497685185</v>
      </c>
      <c r="F20" s="227">
        <v>43061.227326388886</v>
      </c>
      <c r="G20" s="226">
        <v>54</v>
      </c>
      <c r="H20" s="228" t="s">
        <v>892</v>
      </c>
      <c r="I20" s="227">
        <v>43061.255949074075</v>
      </c>
      <c r="J20" s="226">
        <v>0</v>
      </c>
      <c r="K20" s="238" t="str">
        <f t="shared" si="0"/>
        <v>4039/4040</v>
      </c>
      <c r="L20" s="246" t="str">
        <f>VLOOKUP(A20,'Trips&amp;Operators'!$C$1:$G$99911,5,FALSE)</f>
        <v>DAVIDSON DAVID</v>
      </c>
      <c r="M20" s="225">
        <f t="shared" si="1"/>
        <v>2.8622685189475305E-2</v>
      </c>
      <c r="N20" s="226">
        <f t="shared" si="2"/>
        <v>41.21666667284444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-22T04:09:34-0700',mode:absolute,to:'2017-11-22T07:08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23.296399999999998</v>
      </c>
      <c r="Z20" s="248">
        <f t="shared" si="8"/>
        <v>2.4199999999999999E-2</v>
      </c>
      <c r="AA20" s="248">
        <f t="shared" si="9"/>
        <v>23.272199999999998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20" s="235" t="str">
        <f t="shared" si="12"/>
        <v>"C:\Program Files (x86)\AstroGrep\AstroGrep.exe" /e /r /s /spath="%USERPROFILE%\AppData\Local\Temp\OnboardLogs" /stypes="app*4039*20171122*"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108-22 --locoid 4039 --swversion DE.1.0.9.0 --startMP 204:232964 --initTime 2017-11-22T05:09:34 --startdatetime 2017-11-22T05:27:21 --delay 54 --endMP 204:242 --enddatetime 2017-11-22T06:08:34 --enforcementcount 0 &gt;&gt;%USERPROFILE%\Documents\GitHub\eaglep3-reporting\EC\2017-11-22-refined-times.txt</v>
      </c>
      <c r="AI20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{"issue":{"subject":"","project_id":79,"tracker_id":40,"status_id":1,"priority_id":2,"assigned_to_id":338,"start_date":"2017-11-22","description":"","custom_fields":[{"id":1,"name":"Subdivision","value":"EC"},{"id":4,"name":"Milepost","value":"0.0242"},{"id":17,"name":"Train ID","value":"108-22"},{"id":16,"name":"Locomotive ID","value":"4039"},{"id":130,"name":"Impact","value":""},{"id":150,"name":"Time of Event (Mountain Time)","value":"06:08:34"},{"id":151,"name":"Denver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4039 --day 2017-11-22</v>
      </c>
      <c r="AN20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-22T04:09:34-0700',mode:absolute,to:'2017-11-22T07:08:34-0700'))&amp;_a=(columns:!('Message%20ID',Summary),filters:!(),index:'emp_*',interval:auto,query:(query_string:(analyze_wildcard:!t,query:'%22rtdc.l.rtdc.4039%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30" t="s">
        <v>688</v>
      </c>
      <c r="B21" s="226">
        <v>4002</v>
      </c>
      <c r="C21" s="228" t="s">
        <v>192</v>
      </c>
      <c r="D21" s="228" t="s">
        <v>893</v>
      </c>
      <c r="E21" s="227">
        <v>43061.193182870367</v>
      </c>
      <c r="F21" s="227">
        <v>43061.198067129626</v>
      </c>
      <c r="G21" s="226">
        <v>68</v>
      </c>
      <c r="H21" s="228" t="s">
        <v>611</v>
      </c>
      <c r="I21" s="227">
        <v>43061.222754629627</v>
      </c>
      <c r="J21" s="226">
        <v>0</v>
      </c>
      <c r="K21" s="238" t="str">
        <f t="shared" si="0"/>
        <v>4001/4002</v>
      </c>
      <c r="L21" s="246" t="str">
        <f>VLOOKUP(A21,'Trips&amp;Operators'!$C$1:$G$99911,5,FALSE)</f>
        <v>PAGE MARCUS</v>
      </c>
      <c r="M21" s="225">
        <f t="shared" si="1"/>
        <v>2.4687500001164153E-2</v>
      </c>
      <c r="N21" s="226">
        <f t="shared" si="2"/>
        <v>35.550000001676381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-22T03:38:11-0700',mode:absolute,to:'2017-11-22T06:20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4.9500000000000002E-2</v>
      </c>
      <c r="Z21" s="248">
        <f t="shared" si="8"/>
        <v>23.3264</v>
      </c>
      <c r="AA21" s="248">
        <f t="shared" si="9"/>
        <v>23.276900000000001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109</v>
      </c>
      <c r="AE21" s="236" t="str">
        <f t="shared" si="1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21" s="235" t="str">
        <f t="shared" si="12"/>
        <v>"C:\Program Files (x86)\AstroGrep\AstroGrep.exe" /e /r /s /spath="%USERPROFILE%\AppData\Local\Temp\OnboardLogs" /stypes="app*4002*20171122*"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109-22 --locoid 4002 --swversion DE.1.0.9.0 --startMP 204:495 --initTime 2017-11-22T04:38:11 --startdatetime 2017-11-22T04:45:13 --delay 68 --endMP 204:233264 --enddatetime 2017-11-22T05:20:46 --enforcementcount 0 &gt;&gt;%USERPROFILE%\Documents\GitHub\eaglep3-reporting\EC\2017-11-22-refined-times.txt</v>
      </c>
      <c r="AI21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{"issue":{"subject":"","project_id":79,"tracker_id":40,"status_id":1,"priority_id":2,"assigned_to_id":338,"start_date":"2017-11-22","description":"","custom_fields":[{"id":1,"name":"Subdivision","value":"EC"},{"id":4,"name":"Milepost","value":"23.3264"},{"id":17,"name":"Train ID","value":"109-22"},{"id":16,"name":"Locomotive ID","value":"4002"},{"id":130,"name":"Impact","value":""},{"id":150,"name":"Time of Event (Mountain Time)","value":"05:20:46"},{"id":151,"name":"Denver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4002 --day 2017-11-22</v>
      </c>
      <c r="AN21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-22T03:38:11-0700',mode:absolute,to:'2017-11-22T06:20:46-0700'))&amp;_a=(columns:!('Message%20ID',Summary),filters:!(),index:'emp_*',interval:auto,query:(query_string:(analyze_wildcard:!t,query:'%22rtdc.l.rtdc.4002%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30" t="s">
        <v>703</v>
      </c>
      <c r="B22" s="226">
        <v>4001</v>
      </c>
      <c r="C22" s="228" t="s">
        <v>192</v>
      </c>
      <c r="D22" s="228" t="s">
        <v>614</v>
      </c>
      <c r="E22" s="227">
        <v>43061.232141203705</v>
      </c>
      <c r="F22" s="227">
        <v>43061.237650462965</v>
      </c>
      <c r="G22" s="226">
        <v>52</v>
      </c>
      <c r="H22" s="228" t="s">
        <v>894</v>
      </c>
      <c r="I22" s="227">
        <v>43061.263229166667</v>
      </c>
      <c r="J22" s="226">
        <v>0</v>
      </c>
      <c r="K22" s="238" t="str">
        <f t="shared" si="0"/>
        <v>4001/4002</v>
      </c>
      <c r="L22" s="246" t="str">
        <f>VLOOKUP(A22,'Trips&amp;Operators'!$C$1:$G$99911,5,FALSE)</f>
        <v>PAGE MARCUS</v>
      </c>
      <c r="M22" s="225">
        <f t="shared" si="1"/>
        <v>2.5578703702194616E-2</v>
      </c>
      <c r="N22" s="226">
        <f t="shared" si="2"/>
        <v>36.833333331160247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-22T04:34:17-0700',mode:absolute,to:'2017-11-22T07:19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23.295300000000001</v>
      </c>
      <c r="Z22" s="248">
        <f t="shared" si="8"/>
        <v>1.9400000000000001E-2</v>
      </c>
      <c r="AA22" s="248">
        <f t="shared" si="9"/>
        <v>23.2759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22" s="235" t="str">
        <f t="shared" si="12"/>
        <v>"C:\Program Files (x86)\AstroGrep\AstroGrep.exe" /e /r /s /spath="%USERPROFILE%\AppData\Local\Temp\OnboardLogs" /stypes="app*4001*20171122*" /stext=" 13:.+((SYSTEM_STATE.+slice.+state.+changed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110-22 --locoid 4001 --swversion DE.1.0.9.0 --startMP 204:232953 --initTime 2017-11-22T05:34:17 --startdatetime 2017-11-22T05:42:13 --delay 52 --endMP 204:194 --enddatetime 2017-11-22T06:19:03 --enforcementcount 0 &gt;&gt;%USERPROFILE%\Documents\GitHub\eaglep3-reporting\EC\2017-11-22-refined-times.txt</v>
      </c>
      <c r="AI22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{"issue":{"subject":"","project_id":79,"tracker_id":40,"status_id":1,"priority_id":2,"assigned_to_id":338,"start_date":"2017-11-22","description":"","custom_fields":[{"id":1,"name":"Subdivision","value":"EC"},{"id":4,"name":"Milepost","value":"0.0194"},{"id":17,"name":"Train ID","value":"110-22"},{"id":16,"name":"Locomotive ID","value":"4001"},{"id":130,"name":"Impact","value":""},{"id":150,"name":"Time of Event (Mountain Time)","value":"06:19:03"},{"id":151,"name":"Denver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4001 --day 2017-11-22</v>
      </c>
      <c r="AN22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13:19:03"},{"id":29,"name":"Sharepoint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-22T04:34:17-0700',mode:absolute,to:'2017-11-22T07:19:03-0700'))&amp;_a=(columns:!('Message%20ID',Summary),filters:!(),index:'emp_*',interval:auto,query:(query_string:(analyze_wildcard:!t,query:'%22rtdc.l.rtdc.4001%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30" t="s">
        <v>696</v>
      </c>
      <c r="B23" s="226">
        <v>4020</v>
      </c>
      <c r="C23" s="228" t="s">
        <v>192</v>
      </c>
      <c r="D23" s="228" t="s">
        <v>459</v>
      </c>
      <c r="E23" s="227">
        <v>43061.206770833334</v>
      </c>
      <c r="F23" s="227">
        <v>43061.208796296298</v>
      </c>
      <c r="G23" s="226">
        <v>55</v>
      </c>
      <c r="H23" s="228" t="s">
        <v>536</v>
      </c>
      <c r="I23" s="227">
        <v>43061.236724537041</v>
      </c>
      <c r="J23" s="226">
        <v>0</v>
      </c>
      <c r="K23" s="238" t="str">
        <f t="shared" si="0"/>
        <v>4019/4020</v>
      </c>
      <c r="L23" s="246" t="str">
        <f>VLOOKUP(A23,'Trips&amp;Operators'!$C$1:$G$99911,5,FALSE)</f>
        <v>BONDS REYNALDO</v>
      </c>
      <c r="M23" s="225">
        <f t="shared" si="1"/>
        <v>2.792824074276723E-2</v>
      </c>
      <c r="N23" s="226">
        <f t="shared" si="2"/>
        <v>40.216666669584811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-22T03:57:45-0700',mode:absolute,to:'2017-11-22T06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5.33E-2</v>
      </c>
      <c r="Z23" s="248">
        <f t="shared" si="8"/>
        <v>23.329699999999999</v>
      </c>
      <c r="AA23" s="248">
        <f t="shared" si="9"/>
        <v>23.276399999999999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23" s="235" t="str">
        <f t="shared" si="12"/>
        <v>"C:\Program Files (x86)\AstroGrep\AstroGrep.exe" /e /r /s /spath="%USERPROFILE%\AppData\Local\Temp\OnboardLogs" /stypes="app*4020*20171122*"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111-22 --locoid 4020 --swversion DE.1.0.9.0 --startMP 204:533 --initTime 2017-11-22T04:57:45 --startdatetime 2017-11-22T05:00:40 --delay 55 --endMP 204:233297 --enddatetime 2017-11-22T05:40:53 --enforcementcount 0 &gt;&gt;%USERPROFILE%\Documents\GitHub\eaglep3-reporting\EC\2017-11-22-refined-times.txt</v>
      </c>
      <c r="AI23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{"issue":{"subject":"","project_id":79,"tracker_id":40,"status_id":1,"priority_id":2,"assigned_to_id":338,"start_date":"2017-11-22","description":"","custom_fields":[{"id":1,"name":"Subdivision","value":"EC"},{"id":4,"name":"Milepost","value":"23.3297"},{"id":17,"name":"Train ID","value":"111-22"},{"id":16,"name":"Locomotive ID","value":"4020"},{"id":130,"name":"Impact","value":""},{"id":150,"name":"Time of Event (Mountain Time)","value":"05:40:53"},{"id":151,"name":"Denver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4020 --day 2017-11-22</v>
      </c>
      <c r="AN23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-22T03:57:45-0700',mode:absolute,to:'2017-11-22T06:40:53-0700'))&amp;_a=(columns:!('Message%20ID',Summary),filters:!(),index:'emp_*',interval:auto,query:(query_string:(analyze_wildcard:!t,query:'%22rtdc.l.rtdc.4020%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30" t="s">
        <v>709</v>
      </c>
      <c r="B24" s="226">
        <v>4019</v>
      </c>
      <c r="C24" s="228" t="s">
        <v>192</v>
      </c>
      <c r="D24" s="228" t="s">
        <v>443</v>
      </c>
      <c r="E24" s="227">
        <v>43061.245925925927</v>
      </c>
      <c r="F24" s="227">
        <v>43061.248101851852</v>
      </c>
      <c r="G24" s="226">
        <v>52</v>
      </c>
      <c r="H24" s="228" t="s">
        <v>497</v>
      </c>
      <c r="I24" s="227">
        <v>43061.274537037039</v>
      </c>
      <c r="J24" s="226">
        <v>0</v>
      </c>
      <c r="K24" s="238" t="str">
        <f t="shared" si="0"/>
        <v>4019/4020</v>
      </c>
      <c r="L24" s="246" t="str">
        <f>VLOOKUP(A24,'Trips&amp;Operators'!$C$1:$G$99911,5,FALSE)</f>
        <v>BONDS REYNALDO</v>
      </c>
      <c r="M24" s="225">
        <f t="shared" si="1"/>
        <v>2.6435185187438037E-2</v>
      </c>
      <c r="N24" s="226">
        <f t="shared" si="2"/>
        <v>38.066666669910774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-22T04:54:08-0700',mode:absolute,to:'2017-11-22T07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23.297699999999999</v>
      </c>
      <c r="Z24" s="248">
        <f t="shared" si="8"/>
        <v>1.9599999999999999E-2</v>
      </c>
      <c r="AA24" s="248">
        <f t="shared" si="9"/>
        <v>23.278099999999998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24" s="235" t="str">
        <f t="shared" si="12"/>
        <v>"C:\Program Files (x86)\AstroGrep\AstroGrep.exe" /e /r /s /spath="%USERPROFILE%\AppData\Local\Temp\OnboardLogs" /stypes="app*4019*20171122*"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112-22 --locoid 4019 --swversion DE.1.0.9.0 --startMP 204:232977 --initTime 2017-11-22T05:54:08 --startdatetime 2017-11-22T05:57:16 --delay 52 --endMP 204:196 --enddatetime 2017-11-22T06:35:20 --enforcementcount 0 &gt;&gt;%USERPROFILE%\Documents\GitHub\eaglep3-reporting\EC\2017-11-22-refined-times.txt</v>
      </c>
      <c r="AI24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{"issue":{"subject":"","project_id":79,"tracker_id":40,"status_id":1,"priority_id":2,"assigned_to_id":338,"start_date":"2017-11-22","description":"","custom_fields":[{"id":1,"name":"Subdivision","value":"EC"},{"id":4,"name":"Milepost","value":"0.0196"},{"id":17,"name":"Train ID","value":"112-22"},{"id":16,"name":"Locomotive ID","value":"4019"},{"id":130,"name":"Impact","value":""},{"id":150,"name":"Time of Event (Mountain Time)","value":"06:35:20"},{"id":151,"name":"Denver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4019 --day 2017-11-22</v>
      </c>
      <c r="AN24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-22T04:54:08-0700',mode:absolute,to:'2017-11-22T07:35:20-0700'))&amp;_a=(columns:!('Message%20ID',Summary),filters:!(),index:'emp_*',interval:auto,query:(query_string:(analyze_wildcard:!t,query:'%22rtdc.l.rtdc.4019%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30" t="s">
        <v>697</v>
      </c>
      <c r="B25" s="226">
        <v>4006</v>
      </c>
      <c r="C25" s="228" t="s">
        <v>192</v>
      </c>
      <c r="D25" s="228" t="s">
        <v>550</v>
      </c>
      <c r="E25" s="227">
        <v>43061.20820601852</v>
      </c>
      <c r="F25" s="227">
        <v>43061.218912037039</v>
      </c>
      <c r="G25" s="226">
        <v>56</v>
      </c>
      <c r="H25" s="228" t="s">
        <v>538</v>
      </c>
      <c r="I25" s="227">
        <v>43061.244733796295</v>
      </c>
      <c r="J25" s="226">
        <v>0</v>
      </c>
      <c r="K25" s="238" t="str">
        <f t="shared" si="0"/>
        <v>4005/4006</v>
      </c>
      <c r="L25" s="246" t="str">
        <f>VLOOKUP(A25,'Trips&amp;Operators'!$C$1:$G$99911,5,FALSE)</f>
        <v>YANAI IAN</v>
      </c>
      <c r="M25" s="225">
        <f t="shared" si="1"/>
        <v>2.5821759256359655E-2</v>
      </c>
      <c r="N25" s="226">
        <f t="shared" si="2"/>
        <v>37.183333329157904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-22T03:59:49-0700',mode:absolute,to:'2017-11-22T06:52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5.4800000000000001E-2</v>
      </c>
      <c r="Z25" s="248">
        <f t="shared" si="8"/>
        <v>23.330300000000001</v>
      </c>
      <c r="AA25" s="248">
        <f t="shared" si="9"/>
        <v>23.275500000000001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25" s="235" t="str">
        <f t="shared" si="12"/>
        <v>"C:\Program Files (x86)\AstroGrep\AstroGrep.exe" /e /r /s /spath="%USERPROFILE%\AppData\Local\Temp\OnboardLogs" /stypes="app*4006*20171122*"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113-22 --locoid 4006 --swversion DE.1.0.9.0 --startMP 204:548 --initTime 2017-11-22T04:59:49 --startdatetime 2017-11-22T05:15:14 --delay 56 --endMP 204:233303 --enddatetime 2017-11-22T05:52:25 --enforcementcount 0 &gt;&gt;%USERPROFILE%\Documents\GitHub\eaglep3-reporting\EC\2017-11-22-refined-times.txt</v>
      </c>
      <c r="AI2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{"issue":{"subject":"","project_id":79,"tracker_id":40,"status_id":1,"priority_id":2,"assigned_to_id":338,"start_date":"2017-11-22","description":"","custom_fields":[{"id":1,"name":"Subdivision","value":"EC"},{"id":4,"name":"Milepost","value":"23.3303"},{"id":17,"name":"Train ID","value":"113-22"},{"id":16,"name":"Locomotive ID","value":"4006"},{"id":130,"name":"Impact","value":""},{"id":150,"name":"Time of Event (Mountain Time)","value":"05:52:25"},{"id":151,"name":"Denver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4006 --day 2017-11-22</v>
      </c>
      <c r="AN2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-22T03:59:49-0700',mode:absolute,to:'2017-11-22T06:52:25-0700'))&amp;_a=(columns:!('Message%20ID',Summary),filters:!(),index:'emp_*',interval:auto,query:(query_string:(analyze_wildcard:!t,query:'%22rtdc.l.rtdc.4006%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30" t="s">
        <v>708</v>
      </c>
      <c r="B26" s="226">
        <v>4005</v>
      </c>
      <c r="C26" s="228" t="s">
        <v>192</v>
      </c>
      <c r="D26" s="228" t="s">
        <v>895</v>
      </c>
      <c r="E26" s="227">
        <v>43061.245983796296</v>
      </c>
      <c r="F26" s="227">
        <v>43061.258518518516</v>
      </c>
      <c r="G26" s="226">
        <v>44</v>
      </c>
      <c r="H26" s="228" t="s">
        <v>896</v>
      </c>
      <c r="I26" s="227">
        <v>43061.284189814818</v>
      </c>
      <c r="J26" s="226">
        <v>0</v>
      </c>
      <c r="K26" s="238" t="str">
        <f t="shared" si="0"/>
        <v>4005/4006</v>
      </c>
      <c r="L26" s="246" t="str">
        <f>VLOOKUP(A26,'Trips&amp;Operators'!$C$1:$G$99911,5,FALSE)</f>
        <v>YANAI IAN</v>
      </c>
      <c r="M26" s="225">
        <f t="shared" si="1"/>
        <v>2.567129630187992E-2</v>
      </c>
      <c r="N26" s="226">
        <f t="shared" si="2"/>
        <v>36.966666674707085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-22T04:54:13-0700',mode:absolute,to:'2017-11-22T07:49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23.297999999999998</v>
      </c>
      <c r="Z26" s="248">
        <f t="shared" si="8"/>
        <v>2.23E-2</v>
      </c>
      <c r="AA26" s="248">
        <f t="shared" si="9"/>
        <v>23.275699999999997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26" s="235" t="str">
        <f t="shared" si="12"/>
        <v>"C:\Program Files (x86)\AstroGrep\AstroGrep.exe" /e /r /s /spath="%USERPROFILE%\AppData\Local\Temp\OnboardLogs" /stypes="app*4005*20171122*"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114-22 --locoid 4005 --swversion DE.1.0.9.0 --startMP 204:232980 --initTime 2017-11-22T05:54:13 --startdatetime 2017-11-22T06:12:16 --delay 44 --endMP 204:223 --enddatetime 2017-11-22T06:49:14 --enforcementcount 0 &gt;&gt;%USERPROFILE%\Documents\GitHub\eaglep3-reporting\EC\2017-11-22-refined-times.txt</v>
      </c>
      <c r="AI26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{"issue":{"subject":"","project_id":79,"tracker_id":40,"status_id":1,"priority_id":2,"assigned_to_id":338,"start_date":"2017-11-22","description":"","custom_fields":[{"id":1,"name":"Subdivision","value":"EC"},{"id":4,"name":"Milepost","value":"0.0223"},{"id":17,"name":"Train ID","value":"114-22"},{"id":16,"name":"Locomotive ID","value":"4005"},{"id":130,"name":"Impact","value":""},{"id":150,"name":"Time of Event (Mountain Time)","value":"06:49:14"},{"id":151,"name":"Denver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4005 --day 2017-11-22</v>
      </c>
      <c r="AN26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-22T04:54:13-0700',mode:absolute,to:'2017-11-22T07:49:14-0700'))&amp;_a=(columns:!('Message%20ID',Summary),filters:!(),index:'emp_*',interval:auto,query:(query_string:(analyze_wildcard:!t,query:'%22rtdc.l.rtdc.4005%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30" t="s">
        <v>701</v>
      </c>
      <c r="B27" s="226">
        <v>4050</v>
      </c>
      <c r="C27" s="228" t="s">
        <v>192</v>
      </c>
      <c r="D27" s="228" t="s">
        <v>485</v>
      </c>
      <c r="E27" s="227">
        <v>43061.227395833332</v>
      </c>
      <c r="F27" s="227">
        <v>43061.229490740741</v>
      </c>
      <c r="G27" s="226">
        <v>57</v>
      </c>
      <c r="H27" s="228" t="s">
        <v>592</v>
      </c>
      <c r="I27" s="227">
        <v>43061.254629629628</v>
      </c>
      <c r="J27" s="226">
        <v>0</v>
      </c>
      <c r="K27" s="238" t="str">
        <f t="shared" si="0"/>
        <v>4049/4050</v>
      </c>
      <c r="L27" s="246" t="str">
        <f>VLOOKUP(A27,'Trips&amp;Operators'!$C$1:$G$99911,5,FALSE)</f>
        <v>THOMPSON LESTER</v>
      </c>
      <c r="M27" s="225">
        <f t="shared" si="1"/>
        <v>2.5138888886431232E-2</v>
      </c>
      <c r="N27" s="226">
        <f t="shared" si="2"/>
        <v>36.199999996460974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-22T04:27:27-0700',mode:absolute,to:'2017-11-22T07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5.2200000000000003E-2</v>
      </c>
      <c r="Z27" s="248">
        <f t="shared" si="8"/>
        <v>23.331900000000001</v>
      </c>
      <c r="AA27" s="248">
        <f t="shared" si="9"/>
        <v>23.279700000000002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27" s="235" t="str">
        <f t="shared" si="12"/>
        <v>"C:\Program Files (x86)\AstroGrep\AstroGrep.exe" /e /r /s /spath="%USERPROFILE%\AppData\Local\Temp\OnboardLogs" /stypes="app*4050*20171122*"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115-22 --locoid 4050 --swversion DE.1.0.9.0 --startMP 204:522 --initTime 2017-11-22T05:27:27 --startdatetime 2017-11-22T05:30:28 --delay 57 --endMP 204:233319 --enddatetime 2017-11-22T06:06:40 --enforcementcount 0 &gt;&gt;%USERPROFILE%\Documents\GitHub\eaglep3-reporting\EC\2017-11-22-refined-times.txt</v>
      </c>
      <c r="AI27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{"issue":{"subject":"","project_id":79,"tracker_id":40,"status_id":1,"priority_id":2,"assigned_to_id":338,"start_date":"2017-11-22","description":"","custom_fields":[{"id":1,"name":"Subdivision","value":"EC"},{"id":4,"name":"Milepost","value":"23.3319"},{"id":17,"name":"Train ID","value":"115-22"},{"id":16,"name":"Locomotive ID","value":"4050"},{"id":130,"name":"Impact","value":""},{"id":150,"name":"Time of Event (Mountain Time)","value":"06:06:40"},{"id":151,"name":"Denver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4050 --day 2017-11-22</v>
      </c>
      <c r="AN27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-22T04:27:27-0700',mode:absolute,to:'2017-11-22T07:06:40-0700'))&amp;_a=(columns:!('Message%20ID',Summary),filters:!(),index:'emp_*',interval:auto,query:(query_string:(analyze_wildcard:!t,query:'%22rtdc.l.rtdc.4050%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30" t="s">
        <v>640</v>
      </c>
      <c r="B28" s="226">
        <v>4049</v>
      </c>
      <c r="C28" s="228" t="s">
        <v>192</v>
      </c>
      <c r="D28" s="228" t="s">
        <v>537</v>
      </c>
      <c r="E28" s="227">
        <v>43061.266446759262</v>
      </c>
      <c r="F28" s="227">
        <v>43061.26903935185</v>
      </c>
      <c r="G28" s="226">
        <v>48</v>
      </c>
      <c r="H28" s="228" t="s">
        <v>897</v>
      </c>
      <c r="I28" s="227">
        <v>43061.295995370368</v>
      </c>
      <c r="J28" s="226">
        <v>0</v>
      </c>
      <c r="K28" s="238" t="str">
        <f t="shared" si="0"/>
        <v>4049/4050</v>
      </c>
      <c r="L28" s="246" t="str">
        <f>VLOOKUP(A28,'Trips&amp;Operators'!$C$1:$G$99911,5,FALSE)</f>
        <v>THOMPSON LESTER</v>
      </c>
      <c r="M28" s="225">
        <f t="shared" si="1"/>
        <v>2.6956018518831115E-2</v>
      </c>
      <c r="N28" s="226">
        <f t="shared" si="2"/>
        <v>38.816666667116806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-22T05:23:41-0700',mode:absolute,to:'2017-11-22T08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23.299299999999999</v>
      </c>
      <c r="Z28" s="248">
        <f t="shared" si="8"/>
        <v>1.2699999999999999E-2</v>
      </c>
      <c r="AA28" s="248">
        <f t="shared" si="9"/>
        <v>23.2866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116</v>
      </c>
      <c r="AE28" s="236" t="str">
        <f t="shared" si="1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28" s="235" t="str">
        <f t="shared" si="12"/>
        <v>"C:\Program Files (x86)\AstroGrep\AstroGrep.exe" /e /r /s /spath="%USERPROFILE%\AppData\Local\Temp\OnboardLogs" /stypes="app*4049*20171122*"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116-22 --locoid 4049 --swversion DE.1.0.9.0 --startMP 204:232993 --initTime 2017-11-22T06:23:41 --startdatetime 2017-11-22T06:27:25 --delay 48 --endMP 204:127 --enddatetime 2017-11-22T07:06:14 --enforcementcount 0 &gt;&gt;%USERPROFILE%\Documents\GitHub\eaglep3-reporting\EC\2017-11-22-refined-times.txt</v>
      </c>
      <c r="AI28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{"issue":{"subject":"","project_id":79,"tracker_id":40,"status_id":1,"priority_id":2,"assigned_to_id":338,"start_date":"2017-11-22","description":"","custom_fields":[{"id":1,"name":"Subdivision","value":"EC"},{"id":4,"name":"Milepost","value":"0.0127"},{"id":17,"name":"Train ID","value":"116-22"},{"id":16,"name":"Locomotive ID","value":"4049"},{"id":130,"name":"Impact","value":""},{"id":150,"name":"Time of Event (Mountain Time)","value":"07:06:14"},{"id":151,"name":"Denver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4049 --day 2017-11-22</v>
      </c>
      <c r="AN28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-22T05:23:41-0700',mode:absolute,to:'2017-11-22T08:06:14-0700'))&amp;_a=(columns:!('Message%20ID',Summary),filters:!(),index:'emp_*',interval:auto,query:(query_string:(analyze_wildcard:!t,query:'%22rtdc.l.rtdc.4049%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30" t="s">
        <v>704</v>
      </c>
      <c r="B29" s="226">
        <v>4016</v>
      </c>
      <c r="C29" s="228" t="s">
        <v>192</v>
      </c>
      <c r="D29" s="228" t="s">
        <v>898</v>
      </c>
      <c r="E29" s="227">
        <v>43061.237847222219</v>
      </c>
      <c r="F29" s="227">
        <v>43061.240370370368</v>
      </c>
      <c r="G29" s="226">
        <v>60</v>
      </c>
      <c r="H29" s="228" t="s">
        <v>616</v>
      </c>
      <c r="I29" s="227">
        <v>43061.265590277777</v>
      </c>
      <c r="J29" s="226">
        <v>0</v>
      </c>
      <c r="K29" s="238" t="str">
        <f t="shared" si="0"/>
        <v>4015/4016</v>
      </c>
      <c r="L29" s="246" t="str">
        <f>VLOOKUP(A29,'Trips&amp;Operators'!$C$1:$G$99911,5,FALSE)</f>
        <v>FORTUNATO FRANK</v>
      </c>
      <c r="M29" s="225">
        <f t="shared" si="1"/>
        <v>2.5219907409336884E-2</v>
      </c>
      <c r="N29" s="226">
        <f t="shared" si="2"/>
        <v>36.316666669445112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-22T04:42:30-0700',mode:absolute,to:'2017-11-22T07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5.1299999999999998E-2</v>
      </c>
      <c r="Z29" s="248">
        <f t="shared" si="8"/>
        <v>23.318200000000001</v>
      </c>
      <c r="AA29" s="248">
        <f t="shared" si="9"/>
        <v>23.2669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29" s="235" t="str">
        <f t="shared" si="12"/>
        <v>"C:\Program Files (x86)\AstroGrep\AstroGrep.exe" /e /r /s /spath="%USERPROFILE%\AppData\Local\Temp\OnboardLogs" /stypes="app*4016*20171122*"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117-22 --locoid 4016 --swversion DE.1.0.9.0 --startMP 204:513 --initTime 2017-11-22T05:42:30 --startdatetime 2017-11-22T05:46:08 --delay 60 --endMP 204:233182 --enddatetime 2017-11-22T06:22:27 --enforcementcount 0 &gt;&gt;%USERPROFILE%\Documents\GitHub\eaglep3-reporting\EC\2017-11-22-refined-times.txt</v>
      </c>
      <c r="AI29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{"issue":{"subject":"","project_id":79,"tracker_id":40,"status_id":1,"priority_id":2,"assigned_to_id":338,"start_date":"2017-11-22","description":"","custom_fields":[{"id":1,"name":"Subdivision","value":"EC"},{"id":4,"name":"Milepost","value":"23.3182"},{"id":17,"name":"Train ID","value":"117-22"},{"id":16,"name":"Locomotive ID","value":"4016"},{"id":130,"name":"Impact","value":""},{"id":150,"name":"Time of Event (Mountain Time)","value":"06:22:27"},{"id":151,"name":"Denver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4016 --day 2017-11-22</v>
      </c>
      <c r="AN29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-22T04:42:30-0700',mode:absolute,to:'2017-11-22T07:22:27-0700'))&amp;_a=(columns:!('Message%20ID',Summary),filters:!(),index:'emp_*',interval:auto,query:(query_string:(analyze_wildcard:!t,query:'%22rtdc.l.rtdc.4016%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30" t="s">
        <v>716</v>
      </c>
      <c r="B30" s="226">
        <v>4015</v>
      </c>
      <c r="C30" s="228" t="s">
        <v>192</v>
      </c>
      <c r="D30" s="228" t="s">
        <v>899</v>
      </c>
      <c r="E30" s="227">
        <v>43061.267430555556</v>
      </c>
      <c r="F30" s="227">
        <v>43061.279328703706</v>
      </c>
      <c r="G30" s="226">
        <v>56</v>
      </c>
      <c r="H30" s="228" t="s">
        <v>445</v>
      </c>
      <c r="I30" s="227">
        <v>43061.305243055554</v>
      </c>
      <c r="J30" s="226">
        <v>0</v>
      </c>
      <c r="K30" s="238" t="str">
        <f t="shared" si="0"/>
        <v>4015/4016</v>
      </c>
      <c r="L30" s="246" t="str">
        <f>VLOOKUP(A30,'Trips&amp;Operators'!$C$1:$G$99911,5,FALSE)</f>
        <v>FORTUNATO FRANK</v>
      </c>
      <c r="M30" s="225">
        <f t="shared" si="1"/>
        <v>2.5914351848769002E-2</v>
      </c>
      <c r="N30" s="226">
        <f t="shared" si="2"/>
        <v>37.316666662227362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-22T05:25:06-0700',mode:absolute,to:'2017-11-22T08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23.285599999999999</v>
      </c>
      <c r="Z30" s="248">
        <f t="shared" si="8"/>
        <v>2.07E-2</v>
      </c>
      <c r="AA30" s="248">
        <f t="shared" si="9"/>
        <v>23.264899999999997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30" s="235" t="str">
        <f t="shared" si="12"/>
        <v>"C:\Program Files (x86)\AstroGrep\AstroGrep.exe" /e /r /s /spath="%USERPROFILE%\AppData\Local\Temp\OnboardLogs" /stypes="app*4015*20171122*"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118-22 --locoid 4015 --swversion DE.1.0.9.0 --startMP 204:232856 --initTime 2017-11-22T06:25:06 --startdatetime 2017-11-22T06:42:14 --delay 56 --endMP 204:207 --enddatetime 2017-11-22T07:19:33 --enforcementcount 0 &gt;&gt;%USERPROFILE%\Documents\GitHub\eaglep3-reporting\EC\2017-11-22-refined-times.txt</v>
      </c>
      <c r="AI30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{"issue":{"subject":"","project_id":79,"tracker_id":40,"status_id":1,"priority_id":2,"assigned_to_id":338,"start_date":"2017-11-22","description":"","custom_fields":[{"id":1,"name":"Subdivision","value":"EC"},{"id":4,"name":"Milepost","value":"0.0207"},{"id":17,"name":"Train ID","value":"118-22"},{"id":16,"name":"Locomotive ID","value":"4015"},{"id":130,"name":"Impact","value":""},{"id":150,"name":"Time of Event (Mountain Time)","value":"07:19:33"},{"id":151,"name":"Denver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4015 --day 2017-11-22</v>
      </c>
      <c r="AN30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-22T05:25:06-0700',mode:absolute,to:'2017-11-22T08:19:33-0700'))&amp;_a=(columns:!('Message%20ID',Summary),filters:!(),index:'emp_*',interval:auto,query:(query_string:(analyze_wildcard:!t,query:'%22rtdc.l.rtdc.4015%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30" t="s">
        <v>711</v>
      </c>
      <c r="B31" s="226">
        <v>4028</v>
      </c>
      <c r="C31" s="228" t="s">
        <v>192</v>
      </c>
      <c r="D31" s="228" t="s">
        <v>518</v>
      </c>
      <c r="E31" s="227">
        <v>43061.247870370367</v>
      </c>
      <c r="F31" s="227">
        <v>43061.250243055554</v>
      </c>
      <c r="G31" s="226">
        <v>47</v>
      </c>
      <c r="H31" s="228" t="s">
        <v>608</v>
      </c>
      <c r="I31" s="227">
        <v>43061.274699074071</v>
      </c>
      <c r="J31" s="226">
        <v>0</v>
      </c>
      <c r="K31" s="238" t="str">
        <f t="shared" si="0"/>
        <v>4027/4028</v>
      </c>
      <c r="L31" s="246" t="str">
        <f>VLOOKUP(A31,'Trips&amp;Operators'!$C$1:$G$99911,5,FALSE)</f>
        <v>YORK EDGAR</v>
      </c>
      <c r="M31" s="225">
        <f t="shared" si="1"/>
        <v>2.4456018516502809E-2</v>
      </c>
      <c r="N31" s="226">
        <f t="shared" si="2"/>
        <v>35.216666663764045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-22T04:56:56-0700',mode:absolute,to:'2017-11-22T07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4.5100000000000001E-2</v>
      </c>
      <c r="Z31" s="248">
        <f t="shared" si="8"/>
        <v>23.328700000000001</v>
      </c>
      <c r="AA31" s="248">
        <f t="shared" si="9"/>
        <v>23.2836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s3://rtdc.mdm.uploadarchive.raw/RTDC4028/ "%USERPROFILE%\AppData\Local\Temp\OnboardLogs"\RTDC4028\2017-11-22 --exclude "*" --recursive --include "*20171122*" &amp; "%USERPROFILE%\Documents\GitHub\mrs-test-scripts\Headless Mode &amp; Sideloading\WalkAndUnGZ.bat" "%USERPROFILE%\AppData\Local\Temp\OnboardLogs"\RTDC4028\2017-11-22 &amp; aws s3 cp s3://rtdc.mdm.uploadarchive.raw/RTDC4028/ "%USERPROFILE%\AppData\Local\Temp\OnboardLogs"\RTDC4028\2017-11-23 --exclude "*" --recursive --include "*20171123*" &amp; "%USERPROFILE%\Documents\GitHub\mrs-test-scripts\Headless Mode &amp; Sideloading\WalkAndUnGZ.bat" "%USERPROFILE%\AppData\Local\Temp\OnboardLogs"\RTDC4028\2017-11-23</v>
      </c>
      <c r="AF31" s="235" t="str">
        <f t="shared" si="12"/>
        <v>"C:\Program Files (x86)\AstroGrep\AstroGrep.exe" /e /r /s /spath="%USERPROFILE%\AppData\Local\Temp\OnboardLogs" /stypes="app*4028*20171122*"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119-22 --locoid 4028 --swversion DE.1.0.9.0 --startMP 204:451 --initTime 2017-11-22T05:56:56 --startdatetime 2017-11-22T06:00:21 --delay 47 --endMP 204:233287 --enddatetime 2017-11-22T06:35:34 --enforcementcount 0 &gt;&gt;%USERPROFILE%\Documents\GitHub\eaglep3-reporting\EC\2017-11-22-refined-times.txt</v>
      </c>
      <c r="AI31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{"issue":{"subject":"","project_id":79,"tracker_id":40,"status_id":1,"priority_id":2,"assigned_to_id":338,"start_date":"2017-11-22","description":"","custom_fields":[{"id":1,"name":"Subdivision","value":"EC"},{"id":4,"name":"Milepost","value":"23.3287"},{"id":17,"name":"Train ID","value":"119-22"},{"id":16,"name":"Locomotive ID","value":"4028"},{"id":130,"name":"Impact","value":""},{"id":150,"name":"Time of Event (Mountain Time)","value":"06:35:34"},{"id":151,"name":"Denver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4028 --day 2017-11-22</v>
      </c>
      <c r="AN31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-22T04:56:56-0700',mode:absolute,to:'2017-11-22T07:35:34-0700'))&amp;_a=(columns:!('Message%20ID',Summary),filters:!(),index:'emp_*',interval:auto,query:(query_string:(analyze_wildcard:!t,query:'%22rtdc.l.rtdc.4028%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30" t="s">
        <v>719</v>
      </c>
      <c r="B32" s="226">
        <v>4027</v>
      </c>
      <c r="C32" s="228" t="s">
        <v>192</v>
      </c>
      <c r="D32" s="228" t="s">
        <v>443</v>
      </c>
      <c r="E32" s="227">
        <v>43061.275729166664</v>
      </c>
      <c r="F32" s="227">
        <v>43061.290219907409</v>
      </c>
      <c r="G32" s="226">
        <v>56</v>
      </c>
      <c r="H32" s="228" t="s">
        <v>900</v>
      </c>
      <c r="I32" s="227">
        <v>43061.299537037034</v>
      </c>
      <c r="J32" s="226">
        <v>0</v>
      </c>
      <c r="K32" s="238" t="str">
        <f t="shared" si="0"/>
        <v>4027/4028</v>
      </c>
      <c r="L32" s="246" t="str">
        <f>VLOOKUP(A32,'Trips&amp;Operators'!$C$1:$G$99911,5,FALSE)</f>
        <v>YORK EDGAR</v>
      </c>
      <c r="M32" s="225">
        <f t="shared" si="1"/>
        <v>9.3171296248328872E-3</v>
      </c>
      <c r="N32" s="226"/>
      <c r="O32" s="226"/>
      <c r="P32" s="226">
        <f>24*60*SUM($M32:$M32)</f>
        <v>13.416666659759358</v>
      </c>
      <c r="Q32" s="229"/>
      <c r="R32" s="243" t="s">
        <v>1118</v>
      </c>
      <c r="S32" s="250">
        <f t="shared" si="3"/>
        <v>0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-22T05:37:03-0700',mode:absolute,to:'2017-11-22T08:11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248" t="str">
        <f>IF(AA32&lt;VLOOKUP(AG32,Variables!$AC$3:$AD$8,2,FALSE),"Y","N")</f>
        <v>Y</v>
      </c>
      <c r="X32" s="248">
        <f t="shared" si="6"/>
        <v>1</v>
      </c>
      <c r="Y32" s="248">
        <f t="shared" si="7"/>
        <v>23.297699999999999</v>
      </c>
      <c r="Z32" s="248">
        <f t="shared" si="8"/>
        <v>12.7517</v>
      </c>
      <c r="AA32" s="248">
        <f t="shared" si="9"/>
        <v>10.545999999999999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120</v>
      </c>
      <c r="AE32" s="236" t="str">
        <f t="shared" si="11"/>
        <v>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 &amp; aws s3 cp s3://rtdc.mdm.uploadarchive.raw/RTDC4027/ "%USERPROFILE%\AppData\Local\Temp\OnboardLogs"\RTDC4027\2017-11-23 --exclude "*" --recursive --include "*20171123*" &amp; "%USERPROFILE%\Documents\GitHub\mrs-test-scripts\Headless Mode &amp; Sideloading\WalkAndUnGZ.bat" "%USERPROFILE%\AppData\Local\Temp\OnboardLogs"\RTDC4027\2017-11-23</v>
      </c>
      <c r="AF32" s="235" t="str">
        <f t="shared" si="12"/>
        <v>"C:\Program Files (x86)\AstroGrep\AstroGrep.exe" /e /r /s /spath="%USERPROFILE%\AppData\Local\Temp\OnboardLogs" /stypes="app*4027*20171122*" /stext=" 14:.+((SYSTEM_STATE.+slice.+state.+changed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120-22 --locoid 4027 --swversion DE.1.0.9.0 --startMP 204:232977 --initTime 2017-11-22T06:37:03 --startdatetime 2017-11-22T06:57:55 --delay 56 --endMP 204:127517 --enddatetime 2017-11-22T07:11:20 --enforcementcount 0 &gt;&gt;%USERPROFILE%\Documents\GitHub\eaglep3-reporting\EC\2017-11-22-refined-times.txt</v>
      </c>
      <c r="AI32" s="239" t="str">
        <f t="shared" si="20"/>
        <v>echo {"issue":{"subject":"Pedestrian struck by train at 40th and Airport (Incident 57559)","project_id":79,"tracker_id":40,"status_id":1,"priority_id":2,"assigned_to_id":338,"start_date":"2017-11-22","description":"","custom_fields":[{"id":1,"name":"Subdivision","value":"EC"},{"id":4,"name":"Milepost","value":"12.7517"},{"id":17,"name":"Train ID","value":"120-22"},{"id":16,"name":"Locomotive ID","value":"4027"},{"id":130,"name":"Impact","value":""},{"id":150,"name":"Time of Event (Mountain Time)","value":"07:11:20"},{"id":151,"name":"Denver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4027 --day 2017-11-22</v>
      </c>
      <c r="AN32" s="242" t="str">
        <f t="shared" si="22"/>
        <v>echo {"issue":{"subject":"Pedestrian struck by train at 40th and Airport (Incident 57559)","project_id":30,"tracker_id":4,"status_id":1,"priority_id":1,"assigned_to_id":10,"start_date":"2017-11-22","description":"","custom_fields":[{"id":30,"name":"Category","value":"Issue"},{"id":3,"name":"Functional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14:11:20"},{"id":29,"name":"Sharepoint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-22T05:37:03-0700',mode:absolute,to:'2017-11-22T08:11:20-0700'))&amp;_a=(columns:!('Message%20ID',Summary),filters:!(),index:'emp_*',interval:auto,query:(query_string:(analyze_wildcard:!t,query:'%22rtdc.l.rtdc.4027%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30" t="s">
        <v>714</v>
      </c>
      <c r="B33" s="226">
        <v>4040</v>
      </c>
      <c r="C33" s="228" t="s">
        <v>192</v>
      </c>
      <c r="D33" s="228" t="s">
        <v>901</v>
      </c>
      <c r="E33" s="227">
        <v>43061.256944444445</v>
      </c>
      <c r="F33" s="227">
        <v>43061.260729166665</v>
      </c>
      <c r="G33" s="226">
        <v>50</v>
      </c>
      <c r="H33" s="228" t="s">
        <v>480</v>
      </c>
      <c r="I33" s="227">
        <v>43061.285879629628</v>
      </c>
      <c r="J33" s="226">
        <v>0</v>
      </c>
      <c r="K33" s="238" t="str">
        <f t="shared" si="0"/>
        <v>4039/4040</v>
      </c>
      <c r="L33" s="246" t="str">
        <f>VLOOKUP(A33,'Trips&amp;Operators'!$C$1:$G$99911,5,FALSE)</f>
        <v>DAVIDSON DAVID</v>
      </c>
      <c r="M33" s="225">
        <f t="shared" si="1"/>
        <v>2.5150462963210884E-2</v>
      </c>
      <c r="N33" s="226">
        <f>24*60*SUM($M33:$M33)</f>
        <v>36.216666667023674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-22T05:10:00-0700',mode:absolute,to:'2017-11-22T07:51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5.6000000000000001E-2</v>
      </c>
      <c r="Z33" s="248">
        <f t="shared" si="8"/>
        <v>23.326599999999999</v>
      </c>
      <c r="AA33" s="248">
        <f t="shared" si="9"/>
        <v>23.270599999999998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33" s="235" t="str">
        <f t="shared" si="12"/>
        <v>"C:\Program Files (x86)\AstroGrep\AstroGrep.exe" /e /r /s /spath="%USERPROFILE%\AppData\Local\Temp\OnboardLogs" /stypes="app*4040*20171122*"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121-22 --locoid 4040 --swversion DE.1.0.9.0 --startMP 204:560 --initTime 2017-11-22T06:10:00 --startdatetime 2017-11-22T06:15:27 --delay 50 --endMP 204:233266 --enddatetime 2017-11-22T06:51:40 --enforcementcount 0 &gt;&gt;%USERPROFILE%\Documents\GitHub\eaglep3-reporting\EC\2017-11-22-refined-times.txt</v>
      </c>
      <c r="AI33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{"issue":{"subject":"","project_id":79,"tracker_id":40,"status_id":1,"priority_id":2,"assigned_to_id":338,"start_date":"2017-11-22","description":"","custom_fields":[{"id":1,"name":"Subdivision","value":"EC"},{"id":4,"name":"Milepost","value":"23.3266"},{"id":17,"name":"Train ID","value":"121-22"},{"id":16,"name":"Locomotive ID","value":"4040"},{"id":130,"name":"Impact","value":""},{"id":150,"name":"Time of Event (Mountain Time)","value":"06:51:40"},{"id":151,"name":"Denver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4040 --day 2017-11-22</v>
      </c>
      <c r="AN33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-22T05:10:00-0700',mode:absolute,to:'2017-11-22T07:51:40-0700'))&amp;_a=(columns:!('Message%20ID',Summary),filters:!(),index:'emp_*',interval:auto,query:(query_string:(analyze_wildcard:!t,query:'%22rtdc.l.rtdc.4040%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30" t="s">
        <v>722</v>
      </c>
      <c r="B34" s="226">
        <v>4039</v>
      </c>
      <c r="C34" s="228" t="s">
        <v>192</v>
      </c>
      <c r="D34" s="228" t="s">
        <v>902</v>
      </c>
      <c r="E34" s="227">
        <v>43061.287268518521</v>
      </c>
      <c r="F34" s="227">
        <v>43061.300208333334</v>
      </c>
      <c r="G34" s="226">
        <v>50</v>
      </c>
      <c r="H34" s="228" t="s">
        <v>903</v>
      </c>
      <c r="I34" s="227">
        <v>43061.30741898148</v>
      </c>
      <c r="J34" s="226">
        <v>0</v>
      </c>
      <c r="K34" s="238" t="str">
        <f t="shared" si="0"/>
        <v>4039/4040</v>
      </c>
      <c r="L34" s="246" t="str">
        <f>VLOOKUP(A34,'Trips&amp;Operators'!$C$1:$G$99911,5,FALSE)</f>
        <v>DAVIDSON DAVID</v>
      </c>
      <c r="M34" s="225">
        <f t="shared" si="1"/>
        <v>7.2106481457012706E-3</v>
      </c>
      <c r="N34" s="226"/>
      <c r="O34" s="226"/>
      <c r="P34" s="226">
        <f>24*60*SUM($M34:$M34)</f>
        <v>10.38333332980983</v>
      </c>
      <c r="Q34" s="229"/>
      <c r="R34" s="243" t="s">
        <v>1117</v>
      </c>
      <c r="S34" s="250">
        <f t="shared" si="3"/>
        <v>0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-22T05:53:40-0700',mode:absolute,to:'2017-11-22T08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248" t="str">
        <f>IF(AA34&lt;VLOOKUP(AG34,Variables!$AC$3:$AD$8,2,FALSE),"Y","N")</f>
        <v>Y</v>
      </c>
      <c r="X34" s="248">
        <f t="shared" si="6"/>
        <v>1</v>
      </c>
      <c r="Y34" s="248">
        <f t="shared" si="7"/>
        <v>23.2944</v>
      </c>
      <c r="Z34" s="248">
        <f t="shared" si="8"/>
        <v>15.3996</v>
      </c>
      <c r="AA34" s="248">
        <f t="shared" si="9"/>
        <v>7.8948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34" s="235" t="str">
        <f t="shared" si="12"/>
        <v>"C:\Program Files (x86)\AstroGrep\AstroGrep.exe" /e /r /s /spath="%USERPROFILE%\AppData\Local\Temp\OnboardLogs" /stypes="app*4039*20171122*"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122-22 --locoid 4039 --swversion DE.1.0.9.0 --startMP 204:232944 --initTime 2017-11-22T06:53:40 --startdatetime 2017-11-22T07:12:18 --delay 50 --endMP 204:153996 --enddatetime 2017-11-22T07:22:41 --enforcementcount 0 &gt;&gt;%USERPROFILE%\Documents\GitHub\eaglep3-reporting\EC\2017-11-22-refined-times.txt</v>
      </c>
      <c r="AI34" s="239" t="str">
        <f t="shared" si="20"/>
        <v>echo {"issue":{"subject":"Bus bridge between Peoria and 61st and Pena due to pedestrian incident (see Trip 120-22)","project_id":79,"tracker_id":40,"status_id":1,"priority_id":2,"assigned_to_id":338,"start_date":"2017-11-22","description":"","custom_fields":[{"id":1,"name":"Subdivision","value":"EC"},{"id":4,"name":"Milepost","value":"15.3996"},{"id":17,"name":"Train ID","value":"122-22"},{"id":16,"name":"Locomotive ID","value":"4039"},{"id":130,"name":"Impact","value":""},{"id":150,"name":"Time of Event (Mountain Time)","value":"07:22:41"},{"id":151,"name":"Denver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4039 --day 2017-11-22</v>
      </c>
      <c r="AN34" s="242" t="str">
        <f t="shared" si="22"/>
        <v>echo {"issue":{"subject":"Bus bridge between Peoria and 61st and Pena due to pedestrian incident (see Trip 120-22)","project_id":30,"tracker_id":4,"status_id":1,"priority_id":1,"assigned_to_id":10,"start_date":"2017-11-22","description":"","custom_fields":[{"id":30,"name":"Category","value":"Issue"},{"id":3,"name":"Functional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-22T05:53:40-0700',mode:absolute,to:'2017-11-22T08:22:41-0700'))&amp;_a=(columns:!('Message%20ID',Summary),filters:!(),index:'emp_*',interval:auto,query:(query_string:(analyze_wildcard:!t,query:'%22rtdc.l.rtdc.4039%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30" t="s">
        <v>715</v>
      </c>
      <c r="B35" s="226">
        <v>4002</v>
      </c>
      <c r="C35" s="228" t="s">
        <v>192</v>
      </c>
      <c r="D35" s="228" t="s">
        <v>904</v>
      </c>
      <c r="E35" s="227">
        <v>43061.2655787037</v>
      </c>
      <c r="F35" s="227">
        <v>43061.270983796298</v>
      </c>
      <c r="G35" s="226">
        <v>62</v>
      </c>
      <c r="H35" s="228" t="s">
        <v>596</v>
      </c>
      <c r="I35" s="227">
        <v>43061.295393518521</v>
      </c>
      <c r="J35" s="226">
        <v>0</v>
      </c>
      <c r="K35" s="238" t="str">
        <f t="shared" si="0"/>
        <v>4001/4002</v>
      </c>
      <c r="L35" s="246" t="str">
        <f>VLOOKUP(A35,'Trips&amp;Operators'!$C$1:$G$99911,5,FALSE)</f>
        <v>PAGE MARCUS</v>
      </c>
      <c r="M35" s="225">
        <f t="shared" si="1"/>
        <v>2.4409722223936114E-2</v>
      </c>
      <c r="N35" s="226">
        <f>24*60*SUM($M35:$M35)</f>
        <v>35.150000002468005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-22T05:22:26-0700',mode:absolute,to:'2017-11-22T08:05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4.8899999999999999E-2</v>
      </c>
      <c r="Z35" s="248">
        <f t="shared" si="8"/>
        <v>23.328900000000001</v>
      </c>
      <c r="AA35" s="248">
        <f t="shared" si="9"/>
        <v>23.28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35" s="235" t="str">
        <f t="shared" si="12"/>
        <v>"C:\Program Files (x86)\AstroGrep\AstroGrep.exe" /e /r /s /spath="%USERPROFILE%\AppData\Local\Temp\OnboardLogs" /stypes="app*4002*20171122*"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123-22 --locoid 4002 --swversion DE.1.0.9.0 --startMP 204:489 --initTime 2017-11-22T06:22:26 --startdatetime 2017-11-22T06:30:13 --delay 62 --endMP 204:233289 --enddatetime 2017-11-22T07:05:22 --enforcementcount 0 &gt;&gt;%USERPROFILE%\Documents\GitHub\eaglep3-reporting\EC\2017-11-22-refined-times.txt</v>
      </c>
      <c r="AI3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{"issue":{"subject":"","project_id":79,"tracker_id":40,"status_id":1,"priority_id":2,"assigned_to_id":338,"start_date":"2017-11-22","description":"","custom_fields":[{"id":1,"name":"Subdivision","value":"EC"},{"id":4,"name":"Milepost","value":"23.3289"},{"id":17,"name":"Train ID","value":"123-22"},{"id":16,"name":"Locomotive ID","value":"4002"},{"id":130,"name":"Impact","value":""},{"id":150,"name":"Time of Event (Mountain Time)","value":"07:05:22"},{"id":151,"name":"Denver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4002 --day 2017-11-22</v>
      </c>
      <c r="AN3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-22T05:22:26-0700',mode:absolute,to:'2017-11-22T08:05:22-0700'))&amp;_a=(columns:!('Message%20ID',Summary),filters:!(),index:'emp_*',interval:auto,query:(query_string:(analyze_wildcard:!t,query:'%22rtdc.l.rtdc.4002%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30" t="s">
        <v>726</v>
      </c>
      <c r="B36" s="226">
        <v>4001</v>
      </c>
      <c r="C36" s="228" t="s">
        <v>192</v>
      </c>
      <c r="D36" s="228" t="s">
        <v>905</v>
      </c>
      <c r="E36" s="227">
        <v>43061.307442129626</v>
      </c>
      <c r="F36" s="227">
        <v>43061.314282407409</v>
      </c>
      <c r="G36" s="226">
        <v>58</v>
      </c>
      <c r="H36" s="228" t="s">
        <v>906</v>
      </c>
      <c r="I36" s="227">
        <v>43061.320763888885</v>
      </c>
      <c r="J36" s="226">
        <v>0</v>
      </c>
      <c r="K36" s="238" t="str">
        <f t="shared" si="0"/>
        <v>4001/4002</v>
      </c>
      <c r="L36" s="246" t="str">
        <f>VLOOKUP(A36,'Trips&amp;Operators'!$C$1:$G$99911,5,FALSE)</f>
        <v>PAGE MARCUS</v>
      </c>
      <c r="M36" s="225">
        <f t="shared" si="1"/>
        <v>6.4814814759301953E-3</v>
      </c>
      <c r="N36" s="226"/>
      <c r="O36" s="226"/>
      <c r="P36" s="226">
        <f>24*60*SUM($M36:$M36)</f>
        <v>9.3333333253394812</v>
      </c>
      <c r="Q36" s="229"/>
      <c r="R36" s="243" t="s">
        <v>1117</v>
      </c>
      <c r="S36" s="250">
        <f t="shared" si="3"/>
        <v>0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0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-22T06:22:43-0700',mode:absolute,to:'2017-11-22T08:41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248" t="str">
        <f>IF(AA36&lt;VLOOKUP(AG36,Variables!$AC$3:$AD$8,2,FALSE),"Y","N")</f>
        <v>Y</v>
      </c>
      <c r="X36" s="248">
        <f t="shared" si="6"/>
        <v>1</v>
      </c>
      <c r="Y36" s="248">
        <f t="shared" si="7"/>
        <v>23.2972</v>
      </c>
      <c r="Z36" s="248">
        <f t="shared" si="8"/>
        <v>15.3993</v>
      </c>
      <c r="AA36" s="248">
        <f t="shared" si="9"/>
        <v>7.8978999999999999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36" s="235" t="str">
        <f t="shared" si="12"/>
        <v>"C:\Program Files (x86)\AstroGrep\AstroGrep.exe" /e /r /s /spath="%USERPROFILE%\AppData\Local\Temp\OnboardLogs" /stypes="app*4001*20171122*" /stext=" 14:.+((SYSTEM_STATE.+slice.+state.+changed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124-22 --locoid 4001 --swversion DE.1.0.9.0 --startMP 204:232972 --initTime 2017-11-22T07:22:43 --startdatetime 2017-11-22T07:32:34 --delay 58 --endMP 204:153993 --enddatetime 2017-11-22T07:41:54 --enforcementcount 0 &gt;&gt;%USERPROFILE%\Documents\GitHub\eaglep3-reporting\EC\2017-11-22-refined-times.txt</v>
      </c>
      <c r="AI36" s="239" t="str">
        <f t="shared" si="20"/>
        <v>echo {"issue":{"subject":"Bus bridge between Peoria and 61st and Pena due to pedestrian incident (see Trip 120-22)","project_id":79,"tracker_id":40,"status_id":1,"priority_id":2,"assigned_to_id":338,"start_date":"2017-11-22","description":"","custom_fields":[{"id":1,"name":"Subdivision","value":"EC"},{"id":4,"name":"Milepost","value":"15.3993"},{"id":17,"name":"Train ID","value":"124-22"},{"id":16,"name":"Locomotive ID","value":"4001"},{"id":130,"name":"Impact","value":""},{"id":150,"name":"Time of Event (Mountain Time)","value":"07:41:54"},{"id":151,"name":"Denver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4001 --day 2017-11-22</v>
      </c>
      <c r="AN36" s="242" t="str">
        <f t="shared" si="22"/>
        <v>echo {"issue":{"subject":"Bus bridge between Peoria and 61st and Pena due to pedestrian incident (see Trip 120-22)","project_id":30,"tracker_id":4,"status_id":1,"priority_id":1,"assigned_to_id":10,"start_date":"2017-11-22","description":"","custom_fields":[{"id":30,"name":"Category","value":"Issue"},{"id":3,"name":"Functional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14:41:54"},{"id":29,"name":"Sharepoint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-22T06:22:43-0700',mode:absolute,to:'2017-11-22T08:41:54-0700'))&amp;_a=(columns:!('Message%20ID',Summary),filters:!(),index:'emp_*',interval:auto,query:(query_string:(analyze_wildcard:!t,query:'%22rtdc.l.rtdc.4001%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30" t="s">
        <v>720</v>
      </c>
      <c r="B37" s="226">
        <v>4020</v>
      </c>
      <c r="C37" s="228" t="s">
        <v>192</v>
      </c>
      <c r="D37" s="228" t="s">
        <v>544</v>
      </c>
      <c r="E37" s="227">
        <v>43061.276446759257</v>
      </c>
      <c r="F37" s="227">
        <v>43061.281481481485</v>
      </c>
      <c r="G37" s="226">
        <v>62</v>
      </c>
      <c r="H37" s="228" t="s">
        <v>907</v>
      </c>
      <c r="I37" s="227">
        <v>43061.307395833333</v>
      </c>
      <c r="J37" s="226">
        <v>0</v>
      </c>
      <c r="K37" s="238" t="str">
        <f t="shared" si="0"/>
        <v>4019/4020</v>
      </c>
      <c r="L37" s="246" t="str">
        <f>VLOOKUP(A37,'Trips&amp;Operators'!$C$1:$G$99911,5,FALSE)</f>
        <v>BONDS REYNALDO</v>
      </c>
      <c r="M37" s="225">
        <f t="shared" si="1"/>
        <v>2.5914351848769002E-2</v>
      </c>
      <c r="N37" s="226">
        <f>24*60*SUM($M37:$M37)</f>
        <v>37.316666662227362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-22T05:38:05-0700',mode:absolute,to:'2017-11-22T08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4.9299999999999997E-2</v>
      </c>
      <c r="Z37" s="248">
        <f t="shared" si="8"/>
        <v>23.326799999999999</v>
      </c>
      <c r="AA37" s="248">
        <f t="shared" si="9"/>
        <v>23.2775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125</v>
      </c>
      <c r="AE37" s="236" t="str">
        <f t="shared" si="1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37" s="235" t="str">
        <f t="shared" si="12"/>
        <v>"C:\Program Files (x86)\AstroGrep\AstroGrep.exe" /e /r /s /spath="%USERPROFILE%\AppData\Local\Temp\OnboardLogs" /stypes="app*4020*20171122*"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125-22 --locoid 4020 --swversion DE.1.0.9.0 --startMP 204:493 --initTime 2017-11-22T06:38:05 --startdatetime 2017-11-22T06:45:20 --delay 62 --endMP 204:233268 --enddatetime 2017-11-22T07:22:39 --enforcementcount 0 &gt;&gt;%USERPROFILE%\Documents\GitHub\eaglep3-reporting\EC\2017-11-22-refined-times.txt</v>
      </c>
      <c r="AI37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{"issue":{"subject":"","project_id":79,"tracker_id":40,"status_id":1,"priority_id":2,"assigned_to_id":338,"start_date":"2017-11-22","description":"","custom_fields":[{"id":1,"name":"Subdivision","value":"EC"},{"id":4,"name":"Milepost","value":"23.3268"},{"id":17,"name":"Train ID","value":"125-22"},{"id":16,"name":"Locomotive ID","value":"4020"},{"id":130,"name":"Impact","value":""},{"id":150,"name":"Time of Event (Mountain Time)","value":"07:22:39"},{"id":151,"name":"Denver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4020 --day 2017-11-22</v>
      </c>
      <c r="AN37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-22T05:38:05-0700',mode:absolute,to:'2017-11-22T08:22:39-0700'))&amp;_a=(columns:!('Message%20ID',Summary),filters:!(),index:'emp_*',interval:auto,query:(query_string:(analyze_wildcard:!t,query:'%22rtdc.l.rtdc.4020%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30" t="s">
        <v>651</v>
      </c>
      <c r="B38" s="226">
        <v>4019</v>
      </c>
      <c r="C38" s="228" t="s">
        <v>192</v>
      </c>
      <c r="D38" s="228" t="s">
        <v>890</v>
      </c>
      <c r="E38" s="227">
        <v>43061.31863425926</v>
      </c>
      <c r="F38" s="227">
        <v>43061.321180555555</v>
      </c>
      <c r="G38" s="226">
        <v>79</v>
      </c>
      <c r="H38" s="228" t="s">
        <v>598</v>
      </c>
      <c r="I38" s="227">
        <v>43061.363900462966</v>
      </c>
      <c r="J38" s="226">
        <v>0</v>
      </c>
      <c r="K38" s="238" t="str">
        <f t="shared" si="0"/>
        <v>4019/4020</v>
      </c>
      <c r="L38" s="246" t="str">
        <f>VLOOKUP(A38,'Trips&amp;Operators'!$C$1:$G$99911,5,FALSE)</f>
        <v>BONDS REYNALDO</v>
      </c>
      <c r="M38" s="225">
        <f t="shared" si="1"/>
        <v>4.2719907411083113E-2</v>
      </c>
      <c r="N38" s="226">
        <f>24*60*SUM($M38:$M38)</f>
        <v>61.516666671959683</v>
      </c>
      <c r="O38" s="226"/>
      <c r="P38" s="226"/>
      <c r="Q38" s="229"/>
      <c r="R38" s="243" t="s">
        <v>1119</v>
      </c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-22T06:38:50-0700',mode:absolute,to:'2017-11-22T09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23.2973</v>
      </c>
      <c r="Z38" s="248">
        <f t="shared" si="8"/>
        <v>2.18E-2</v>
      </c>
      <c r="AA38" s="248">
        <f t="shared" si="9"/>
        <v>23.275500000000001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38" s="235" t="str">
        <f t="shared" si="12"/>
        <v>"C:\Program Files (x86)\AstroGrep\AstroGrep.exe" /e /r /s /spath="%USERPROFILE%\AppData\Local\Temp\OnboardLogs" /stypes="app*4019*20171122*"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126-22 --locoid 4019 --swversion DE.1.0.9.0 --startMP 204:232973 --initTime 2017-11-22T07:38:50 --startdatetime 2017-11-22T07:42:30 --delay 79 --endMP 204:218 --enddatetime 2017-11-22T08:44:01 --enforcementcount 0 &gt;&gt;%USERPROFILE%\Documents\GitHub\eaglep3-reporting\EC\2017-11-22-refined-times.txt</v>
      </c>
      <c r="AI38" s="239" t="str">
        <f t="shared" si="20"/>
        <v>echo {"issue":{"subject":"Cascade delay from Trip 120-22","project_id":79,"tracker_id":40,"status_id":1,"priority_id":2,"assigned_to_id":338,"start_date":"2017-11-22","description":"","custom_fields":[{"id":1,"name":"Subdivision","value":"EC"},{"id":4,"name":"Milepost","value":"0.0218"},{"id":17,"name":"Train ID","value":"126-22"},{"id":16,"name":"Locomotive ID","value":"4019"},{"id":130,"name":"Impact","value":""},{"id":150,"name":"Time of Event (Mountain Time)","value":"08:44:01"},{"id":151,"name":"Denver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4019 --day 2017-11-22</v>
      </c>
      <c r="AN38" s="242" t="str">
        <f t="shared" si="22"/>
        <v>echo {"issue":{"subject":"Cascade delay from Trip 120-22","project_id":30,"tracker_id":4,"status_id":1,"priority_id":1,"assigned_to_id":10,"start_date":"2017-11-22","description":"","custom_fields":[{"id":30,"name":"Category","value":"Issue"},{"id":3,"name":"Functional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15:44:01"},{"id":29,"name":"Sharepoint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-11-22T06:38:50-0700',mode:absolute,to:'2017-11-22T09:44:01-0700'))&amp;_a=(columns:!('Message%20ID',Summary),filters:!(),index:'emp_*',interval:auto,query:(query_string:(analyze_wildcard:!t,query:'%22rtdc.l.rtdc.4019%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30" t="s">
        <v>721</v>
      </c>
      <c r="B39" s="226">
        <v>4006</v>
      </c>
      <c r="C39" s="228" t="s">
        <v>192</v>
      </c>
      <c r="D39" s="228" t="s">
        <v>520</v>
      </c>
      <c r="E39" s="227">
        <v>43061.286203703705</v>
      </c>
      <c r="F39" s="227">
        <v>43061.291898148149</v>
      </c>
      <c r="G39" s="226">
        <v>61</v>
      </c>
      <c r="H39" s="228" t="s">
        <v>908</v>
      </c>
      <c r="I39" s="227">
        <v>43061.305462962962</v>
      </c>
      <c r="J39" s="226">
        <v>0</v>
      </c>
      <c r="K39" s="238" t="str">
        <f t="shared" si="0"/>
        <v>4005/4006</v>
      </c>
      <c r="L39" s="246" t="str">
        <f>VLOOKUP(A39,'Trips&amp;Operators'!$C$1:$G$99911,5,FALSE)</f>
        <v>YANAI IAN</v>
      </c>
      <c r="M39" s="225">
        <f t="shared" si="1"/>
        <v>1.3564814813435078E-2</v>
      </c>
      <c r="N39" s="226"/>
      <c r="O39" s="226"/>
      <c r="P39" s="226">
        <f>24*60*SUM($M39:$M39)</f>
        <v>19.533333331346512</v>
      </c>
      <c r="Q39" s="229"/>
      <c r="R39" s="243" t="s">
        <v>1117</v>
      </c>
      <c r="S39" s="250">
        <f>1/IF(AG39="EC",12,1)*SUM(U39:U40)</f>
        <v>0.91666666666666663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10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-22T05:52:08-0700',mode:absolute,to:'2017-11-22T08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9" s="248" t="str">
        <f>IF(AA39&lt;VLOOKUP(AG39,Variables!$AC$3:$AD$8,2,FALSE),"Y","N")</f>
        <v>Y</v>
      </c>
      <c r="X39" s="248">
        <f t="shared" si="6"/>
        <v>1</v>
      </c>
      <c r="Y39" s="248">
        <f t="shared" si="7"/>
        <v>5.3499999999999999E-2</v>
      </c>
      <c r="Z39" s="248">
        <f t="shared" si="8"/>
        <v>8.6374999999999993</v>
      </c>
      <c r="AA39" s="248">
        <f t="shared" si="9"/>
        <v>8.5839999999999996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39" s="235" t="str">
        <f t="shared" si="12"/>
        <v>"C:\Program Files (x86)\AstroGrep\AstroGrep.exe" /e /r /s /spath="%USERPROFILE%\AppData\Local\Temp\OnboardLogs" /stypes="app*4006*20171122*"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127-22 --locoid 4006 --swversion DE.1.0.9.0 --startMP 204:535 --initTime 2017-11-22T06:52:08 --startdatetime 2017-11-22T07:00:20 --delay 61 --endMP 204:86375 --enddatetime 2017-11-22T07:19:52 --enforcementcount 0 &gt;&gt;%USERPROFILE%\Documents\GitHub\eaglep3-reporting\EC\2017-11-22-refined-times.txt</v>
      </c>
      <c r="AI39" s="239" t="str">
        <f t="shared" si="20"/>
        <v>echo {"issue":{"subject":"Bus bridge between Peoria and 61st and Pena due to pedestrian incident (see Trip 120-22)","project_id":79,"tracker_id":40,"status_id":1,"priority_id":2,"assigned_to_id":338,"start_date":"2017-11-22","description":"","custom_fields":[{"id":1,"name":"Subdivision","value":"EC"},{"id":4,"name":"Milepost","value":"8.6375"},{"id":17,"name":"Train ID","value":"127-22"},{"id":16,"name":"Locomotive ID","value":"4006"},{"id":130,"name":"Impact","value":""},{"id":150,"name":"Time of Event (Mountain Time)","value":"07:19:52"},{"id":151,"name":"Denver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4006 --day 2017-11-22</v>
      </c>
      <c r="AN39" s="242" t="str">
        <f t="shared" si="22"/>
        <v>echo {"issue":{"subject":"Bus bridge between Peoria and 61st and Pena due to pedestrian incident (see Trip 120-22)","project_id":30,"tracker_id":4,"status_id":1,"priority_id":1,"assigned_to_id":10,"start_date":"2017-11-22","description":"","custom_fields":[{"id":30,"name":"Category","value":"Issue"},{"id":3,"name":"Functional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-22T05:52:08-0700',mode:absolute,to:'2017-11-22T08:19:52-0700'))&amp;_a=(columns:!('Message%20ID',Summary),filters:!(),index:'emp_*',interval:auto,query:(query_string:(analyze_wildcard:!t,query:'%22rtdc.l.rtdc.4006%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30" t="s">
        <v>721</v>
      </c>
      <c r="B40" s="226">
        <v>4006</v>
      </c>
      <c r="C40" s="228" t="s">
        <v>192</v>
      </c>
      <c r="D40" s="228" t="s">
        <v>908</v>
      </c>
      <c r="E40" s="227">
        <v>43061.307500000003</v>
      </c>
      <c r="F40" s="227">
        <v>43061.30872685185</v>
      </c>
      <c r="G40" s="226">
        <v>64</v>
      </c>
      <c r="H40" s="228" t="s">
        <v>909</v>
      </c>
      <c r="I40" s="227">
        <v>43061.311840277776</v>
      </c>
      <c r="J40" s="226">
        <v>0</v>
      </c>
      <c r="K40" s="238" t="str">
        <f t="shared" si="0"/>
        <v>4005/4006</v>
      </c>
      <c r="L40" s="246" t="str">
        <f>VLOOKUP(A40,'Trips&amp;Operators'!$C$1:$G$99911,5,FALSE)</f>
        <v>YANAI IAN</v>
      </c>
      <c r="M40" s="225">
        <f t="shared" si="1"/>
        <v>3.1134259261307307E-3</v>
      </c>
      <c r="N40" s="226"/>
      <c r="O40" s="226"/>
      <c r="P40" s="226"/>
      <c r="Q40" s="229"/>
      <c r="R40" s="243"/>
      <c r="S40" s="250"/>
      <c r="T40" s="243" t="str">
        <f t="shared" si="4"/>
        <v>NorthBound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-22T06:22:48-0700',mode:absolute,to:'2017-11-22T08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0" s="248" t="str">
        <f>IF(AA40&lt;VLOOKUP(AG40,Variables!$AC$3:$AD$8,2,FALSE),"Y","N")</f>
        <v>Y</v>
      </c>
      <c r="X40" s="248">
        <f t="shared" ref="X40:X43" si="24">VALUE(LEFT(AD40,4))-VALUE(LEFT(AD39,4))</f>
        <v>0</v>
      </c>
      <c r="Y40" s="248">
        <f t="shared" si="7"/>
        <v>8.6374999999999993</v>
      </c>
      <c r="Z40" s="248">
        <f t="shared" si="8"/>
        <v>10.744999999999999</v>
      </c>
      <c r="AA40" s="248">
        <f t="shared" si="9"/>
        <v>2.1074999999999999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127</v>
      </c>
      <c r="AE40" s="236" t="str">
        <f t="shared" si="1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40" s="235" t="str">
        <f t="shared" si="12"/>
        <v>"C:\Program Files (x86)\AstroGrep\AstroGrep.exe" /e /r /s /spath="%USERPROFILE%\AppData\Local\Temp\OnboardLogs" /stypes="app*4006*20171122*" /stext=" 14:.+((SYSTEM_STATE.+slice.+state.+changed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127-22 --locoid 4006 --swversion DE.1.0.9.0 --startMP 204:86375 --initTime 2017-11-22T07:22:48 --startdatetime 2017-11-22T07:24:34 --delay 64 --endMP 204:107450 --enddatetime 2017-11-22T07:29:03 --enforcementcount 0 &gt;&gt;%USERPROFILE%\Documents\GitHub\eaglep3-reporting\EC\2017-11-22-refined-times.txt</v>
      </c>
      <c r="AI40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{"issue":{"subject":"","project_id":79,"tracker_id":40,"status_id":1,"priority_id":2,"assigned_to_id":338,"start_date":"2017-11-22","description":"","custom_fields":[{"id":1,"name":"Subdivision","value":"EC"},{"id":4,"name":"Milepost","value":"10.745"},{"id":17,"name":"Train ID","value":"127-22"},{"id":16,"name":"Locomotive ID","value":"4006"},{"id":130,"name":"Impact","value":""},{"id":150,"name":"Time of Event (Mountain Time)","value":"07:29:03"},{"id":151,"name":"Denver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4006 --day 2017-11-22</v>
      </c>
      <c r="AN40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14:29:03"},{"id":29,"name":"Sharepoint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-22T06:22:48-0700',mode:absolute,to:'2017-11-22T08:29:03-0700'))&amp;_a=(columns:!('Message%20ID',Summary),filters:!(),index:'emp_*',interval:auto,query:(query_string:(analyze_wildcard:!t,query:'%22rtdc.l.rtdc.4006%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30" t="s">
        <v>728</v>
      </c>
      <c r="B41" s="226">
        <v>4005</v>
      </c>
      <c r="C41" s="228" t="s">
        <v>192</v>
      </c>
      <c r="D41" s="228" t="s">
        <v>908</v>
      </c>
      <c r="E41" s="227">
        <v>43061.307500000003</v>
      </c>
      <c r="F41" s="227">
        <v>43061.313634259262</v>
      </c>
      <c r="G41" s="226">
        <v>64</v>
      </c>
      <c r="H41" s="228" t="s">
        <v>909</v>
      </c>
      <c r="I41" s="227">
        <v>43061.327905092592</v>
      </c>
      <c r="J41" s="226">
        <v>0</v>
      </c>
      <c r="K41" s="238" t="str">
        <f t="shared" si="0"/>
        <v>4005/4006</v>
      </c>
      <c r="L41" s="246" t="str">
        <f>VLOOKUP(A41,'Trips&amp;Operators'!$C$1:$G$99911,5,FALSE)</f>
        <v>YANAI IAN</v>
      </c>
      <c r="M41" s="225">
        <f t="shared" si="1"/>
        <v>1.4270833329646848E-2</v>
      </c>
      <c r="N41" s="226"/>
      <c r="O41" s="226"/>
      <c r="P41" s="226">
        <f>24*60*SUM($M41:$M41)</f>
        <v>20.549999994691461</v>
      </c>
      <c r="Q41" s="229"/>
      <c r="R41" s="243" t="s">
        <v>1117</v>
      </c>
      <c r="S41" s="250">
        <f t="shared" ref="S41:S73" si="25">1/IF(AG41="EC",12,1)*SUM(U41:U41)</f>
        <v>0.91666666666666663</v>
      </c>
      <c r="T41" s="243" t="str">
        <f t="shared" si="4"/>
        <v>Southbound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11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-22T06:22:48-0700',mode:absolute,to:'2017-11-22T08:52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1" s="248" t="str">
        <f>IF(AA41&lt;VLOOKUP(AG41,Variables!$AC$3:$AD$8,2,FALSE),"Y","N")</f>
        <v>Y</v>
      </c>
      <c r="X41" s="248">
        <f t="shared" si="24"/>
        <v>1</v>
      </c>
      <c r="Y41" s="248">
        <v>10.6873</v>
      </c>
      <c r="Z41" s="248">
        <v>2.01E-2</v>
      </c>
      <c r="AA41" s="248">
        <f t="shared" si="9"/>
        <v>10.667200000000001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128</v>
      </c>
      <c r="AE41" s="236" t="str">
        <f t="shared" si="1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41" s="235" t="str">
        <f t="shared" si="12"/>
        <v>"C:\Program Files (x86)\AstroGrep\AstroGrep.exe" /e /r /s /spath="%USERPROFILE%\AppData\Local\Temp\OnboardLogs" /stypes="app*4005*20171122*"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ref="AH41" si="26"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128-22 --locoid 4005 --swversion DE.1.0.9.0 --startMP 204:86375 --initTime 2017-11-22T07:22:48 --startdatetime 2017-11-22T07:31:38 --delay 64 --endMP 204:107450 --enddatetime 2017-11-22T07:52:11 --enforcementcount 0 &gt;&gt;%USERPROFILE%\Documents\GitHub\eaglep3-reporting\EC\2017-11-22-refined-times.txt</v>
      </c>
      <c r="AI41" s="239" t="str">
        <f t="shared" ref="AI41" si="27"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--insecure -X POST -H ""Content-Type: application/json"" -H ""X-Redmine-API-Key: "&amp;redm_api_key&amp;""" "&amp;redm_url&amp;" --data @-"</f>
        <v>echo {"issue":{"subject":"Bus bridge between Peoria and 61st and Pena due to pedestrian incident (see Trip 120-22)","project_id":79,"tracker_id":40,"status_id":1,"priority_id":2,"assigned_to_id":338,"start_date":"2017-11-22","description":"","custom_fields":[{"id":1,"name":"Subdivision","value":"EC"},{"id":4,"name":"Milepost","value":"0.0201"},{"id":17,"name":"Train ID","value":"128-22"},{"id":16,"name":"Locomotive ID","value":"4005"},{"id":130,"name":"Impact","value":""},{"id":150,"name":"Time of Event (Mountain Time)","value":"07:52:11"},{"id":151,"name":"Denver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ref="AM41" si="28">"start /low /b "&amp;dls3logs&amp;" --loco "&amp;B41&amp;" --day "&amp;TEXT(F41,"YYYY-MM-DD")</f>
        <v>start /low /b %USERPROFILE%\Documents\GitHub\eaglep3\Utilities\DownloadLogsFromS3.py --loco 4005 --day 2017-11-22</v>
      </c>
      <c r="AN41" s="242" t="str">
        <f t="shared" ref="AN41" si="29">"echo {""issue"":{""subject"":"""&amp;R41&amp;""",""project_id"":30,""tracker_id"":4,""status_id"":"&amp;redmine_status_wcr&amp;",""priority_id"":"&amp;redmine_priority_wcr&amp;",""assigned_to_id"":"&amp;redmine_assignee_wcr&amp;",""start_date"":"""&amp;TEXT(I41-utc_offset/24,"YYYY-mm-dd")&amp;""",""description"":"""&amp;AJ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{"issue":{"subject":"Bus bridge between Peoria and 61st and Pena due to pedestrian incident (see Trip 120-22)","project_id":30,"tracker_id":4,"status_id":1,"priority_id":1,"assigned_to_id":10,"start_date":"2017-11-22","description":"","custom_fields":[{"id":30,"name":"Category","value":"Issue"},{"id":3,"name":"Functional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ref="AO41" si="30"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Message%20ID',Summary),filters:!(),index:'emp_*',interval:auto,query:"&amp;"(query_string:(analyze_wildcard:!t,query:'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-11-22T06:22:48-0700',mode:absolute,to:'2017-11-22T08:52:11-0700'))&amp;_a=(columns:!('Message%20ID',Summary),filters:!(),index:'emp_*',interval:auto,query:(query_string:(analyze_wildcard:!t,query:'%22rtdc.l.rtdc.4005%22')),sort:!(Time.ISO8601,asc))</v>
      </c>
      <c r="AP41" s="224"/>
      <c r="AQ41" s="224"/>
      <c r="AR41" s="224"/>
      <c r="AS41" s="224"/>
      <c r="AT41" s="224"/>
      <c r="AU41" s="224"/>
      <c r="AV41" s="224"/>
      <c r="AW41" s="224"/>
      <c r="AX41" s="224"/>
      <c r="AY41" s="224"/>
      <c r="AZ41" s="224"/>
      <c r="BA41" s="224"/>
      <c r="BB41" s="224"/>
      <c r="BC41" s="224"/>
      <c r="BD41" s="224"/>
      <c r="BE41" s="224"/>
      <c r="BF41" s="224"/>
      <c r="BG41" s="224"/>
      <c r="BH41" s="224"/>
      <c r="BI41" s="224"/>
      <c r="BJ41" s="224"/>
      <c r="BK41" s="224"/>
      <c r="BL41" s="224"/>
      <c r="BM41" s="224"/>
      <c r="BN41" s="224"/>
      <c r="BO41" s="224"/>
      <c r="BP41" s="224"/>
      <c r="BQ41" s="224"/>
      <c r="BR41" s="224"/>
      <c r="BS41" s="224"/>
      <c r="BT41" s="224"/>
      <c r="BU41" s="224"/>
      <c r="BV41" s="224"/>
      <c r="BW41" s="224"/>
      <c r="BX41" s="224"/>
      <c r="BY41" s="224"/>
      <c r="BZ41" s="224"/>
      <c r="CA41" s="224"/>
      <c r="CB41" s="224"/>
      <c r="CC41" s="224"/>
      <c r="CD41" s="224"/>
      <c r="CE41" s="224"/>
      <c r="CF41" s="224"/>
      <c r="CG41" s="224"/>
      <c r="CH41" s="224"/>
      <c r="CI41" s="224"/>
      <c r="CJ41" s="224"/>
      <c r="CK41" s="224"/>
      <c r="CL41" s="224"/>
      <c r="CM41" s="224"/>
    </row>
    <row r="42" spans="1:91" s="1" customFormat="1" x14ac:dyDescent="0.3">
      <c r="A42" s="230" t="s">
        <v>641</v>
      </c>
      <c r="B42" s="226">
        <v>4050</v>
      </c>
      <c r="C42" s="228" t="s">
        <v>192</v>
      </c>
      <c r="D42" s="228" t="s">
        <v>910</v>
      </c>
      <c r="E42" s="227">
        <v>43061.300509259258</v>
      </c>
      <c r="F42" s="227">
        <v>43061.302465277775</v>
      </c>
      <c r="G42" s="226">
        <v>50</v>
      </c>
      <c r="H42" s="228" t="s">
        <v>911</v>
      </c>
      <c r="I42" s="227">
        <v>43061.323344907411</v>
      </c>
      <c r="J42" s="226">
        <v>0</v>
      </c>
      <c r="K42" s="238" t="str">
        <f t="shared" si="0"/>
        <v>4049/4050</v>
      </c>
      <c r="L42" s="246" t="str">
        <f>VLOOKUP(A42,'Trips&amp;Operators'!$C$1:$G$99911,5,FALSE)</f>
        <v>THOMPSON LESTER</v>
      </c>
      <c r="M42" s="225">
        <f t="shared" si="1"/>
        <v>2.0879629635601304E-2</v>
      </c>
      <c r="N42" s="226"/>
      <c r="O42" s="226"/>
      <c r="P42" s="226">
        <f>24*60*SUM($M42:$M42)</f>
        <v>30.066666675265878</v>
      </c>
      <c r="Q42" s="229"/>
      <c r="R42" s="243" t="s">
        <v>1117</v>
      </c>
      <c r="S42" s="250">
        <f t="shared" si="25"/>
        <v>0.91666666666666663</v>
      </c>
      <c r="T42" s="243" t="str">
        <f t="shared" si="4"/>
        <v>NorthBound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11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-22T06:12:44-0700',mode:absolute,to:'2017-11-22T08:45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2" s="248" t="str">
        <f>IF(AA42&lt;VLOOKUP(AG42,Variables!$AC$3:$AD$8,2,FALSE),"Y","N")</f>
        <v>Y</v>
      </c>
      <c r="X42" s="248">
        <f t="shared" si="24"/>
        <v>1</v>
      </c>
      <c r="Y42" s="248">
        <f t="shared" ref="Y42:Y74" si="31">RIGHT(D42,LEN(D42)-4)/10000</f>
        <v>4.4400000000000002E-2</v>
      </c>
      <c r="Z42" s="248">
        <f t="shared" ref="Z42:Z74" si="32">RIGHT(H42,LEN(H42)-4)/10000</f>
        <v>10.741099999999999</v>
      </c>
      <c r="AA42" s="248">
        <f t="shared" si="9"/>
        <v>10.6967</v>
      </c>
      <c r="AB42" s="234" t="str">
        <f>VLOOKUP(A42,Enforcements!$C$7:$K$9,8,0)</f>
        <v>Bulletin (2)</v>
      </c>
      <c r="AC42" s="233" t="str">
        <f>VLOOKUP(A42,Enforcements!$C$7:$E$9,3,0)</f>
        <v>GRADE CROSSING</v>
      </c>
      <c r="AD42" s="244">
        <f t="shared" si="10"/>
        <v>129</v>
      </c>
      <c r="AE42" s="236" t="str">
        <f t="shared" si="1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42" s="235" t="str">
        <f t="shared" si="12"/>
        <v>"C:\Program Files (x86)\AstroGrep\AstroGrep.exe" /e /r /s /spath="%USERPROFILE%\AppData\Local\Temp\OnboardLogs" /stypes="app*4050*20171122*" /stext=" 14:.+((SYSTEM_STATE.+slice.+state.+changed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129-22 --locoid 4050 --swversion DE.1.0.9.0 --startMP 204:444 --initTime 2017-11-22T07:12:44 --startdatetime 2017-11-22T07:15:33 --delay 50 --endMP 204:107411 --enddatetime 2017-11-22T07:45:37 --enforcementcount 0 &gt;&gt;%USERPROFILE%\Documents\GitHub\eaglep3-reporting\EC\2017-11-22-refined-times.txt</v>
      </c>
      <c r="AI42" s="239" t="str">
        <f t="shared" si="20"/>
        <v>echo {"issue":{"subject":"Bus bridge between Peoria and 61st and Pena due to pedestrian incident (see Trip 120-22)","project_id":79,"tracker_id":40,"status_id":1,"priority_id":2,"assigned_to_id":338,"start_date":"2017-11-22","description":"","custom_fields":[{"id":1,"name":"Subdivision","value":"EC"},{"id":4,"name":"Milepost","value":"10.7411"},{"id":17,"name":"Train ID","value":"129-22"},{"id":16,"name":"Locomotive ID","value":"4050"},{"id":130,"name":"Impact","value":""},{"id":150,"name":"Time of Event (Mountain Time)","value":"07:45:37"},{"id":151,"name":"Denver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4050 --day 2017-11-22</v>
      </c>
      <c r="AN42" s="242" t="str">
        <f t="shared" si="22"/>
        <v>echo {"issue":{"subject":"Bus bridge between Peoria and 61st and Pena due to pedestrian incident (see Trip 120-22)","project_id":30,"tracker_id":4,"status_id":1,"priority_id":1,"assigned_to_id":10,"start_date":"2017-11-22","description":"","custom_fields":[{"id":30,"name":"Category","value":"Issue"},{"id":3,"name":"Functional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-22T06:12:44-0700',mode:absolute,to:'2017-11-22T08:45:37-0700'))&amp;_a=(columns:!('Message%20ID',Summary),filters:!(),index:'emp_*',interval:auto,query:(query_string:(analyze_wildcard:!t,query:'%22rtdc.l.rtdc.4050%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30" t="s">
        <v>733</v>
      </c>
      <c r="B43" s="226">
        <v>4001</v>
      </c>
      <c r="C43" s="228" t="s">
        <v>192</v>
      </c>
      <c r="D43" s="228" t="s">
        <v>912</v>
      </c>
      <c r="E43" s="227">
        <v>43061.339722222219</v>
      </c>
      <c r="F43" s="227">
        <v>43061.342268518521</v>
      </c>
      <c r="G43" s="226">
        <v>64</v>
      </c>
      <c r="H43" s="228" t="s">
        <v>499</v>
      </c>
      <c r="I43" s="227">
        <v>43061.368391203701</v>
      </c>
      <c r="J43" s="226">
        <v>0</v>
      </c>
      <c r="K43" s="238" t="str">
        <f t="shared" si="0"/>
        <v>4001/4002</v>
      </c>
      <c r="L43" s="246" t="str">
        <f>VLOOKUP(A43,'Trips&amp;Operators'!$C$1:$G$99911,5,FALSE)</f>
        <v>PAGE MARCUS</v>
      </c>
      <c r="M43" s="225">
        <f t="shared" si="1"/>
        <v>2.6122685179871041E-2</v>
      </c>
      <c r="N43" s="226">
        <f>24*60*SUM($M43:$M43)</f>
        <v>37.6166666590143</v>
      </c>
      <c r="O43" s="226"/>
      <c r="P43" s="226"/>
      <c r="Q43" s="229"/>
      <c r="R43" s="243"/>
      <c r="S43" s="250">
        <f t="shared" si="25"/>
        <v>1</v>
      </c>
      <c r="T43" s="243" t="str">
        <f t="shared" si="4"/>
        <v>Southbound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-22T07:09:12-0700',mode:absolute,to:'2017-11-22T09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3" s="248" t="str">
        <f>IF(AA43&lt;VLOOKUP(AG43,Variables!$AC$3:$AD$8,2,FALSE),"Y","N")</f>
        <v>N</v>
      </c>
      <c r="X43" s="248">
        <f t="shared" si="24"/>
        <v>1</v>
      </c>
      <c r="Y43" s="248">
        <f t="shared" si="31"/>
        <v>23.294599999999999</v>
      </c>
      <c r="Z43" s="248">
        <f t="shared" si="32"/>
        <v>2.12E-2</v>
      </c>
      <c r="AA43" s="248">
        <f t="shared" si="9"/>
        <v>23.273399999999999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130</v>
      </c>
      <c r="AE43" s="236" t="str">
        <f t="shared" si="1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43" s="235" t="str">
        <f t="shared" si="12"/>
        <v>"C:\Program Files (x86)\AstroGrep\AstroGrep.exe" /e /r /s /spath="%USERPROFILE%\AppData\Local\Temp\OnboardLogs" /stypes="app*4001*20171122*"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130-22 --locoid 4001 --swversion DE.1.0.9.0 --startMP 204:232946 --initTime 2017-11-22T08:09:12 --startdatetime 2017-11-22T08:12:52 --delay 64 --endMP 204:212 --enddatetime 2017-11-22T08:50:29 --enforcementcount 0 &gt;&gt;%USERPROFILE%\Documents\GitHub\eaglep3-reporting\EC\2017-11-22-refined-times.txt</v>
      </c>
      <c r="AI43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{"issue":{"subject":"","project_id":79,"tracker_id":40,"status_id":1,"priority_id":2,"assigned_to_id":338,"start_date":"2017-11-22","description":"","custom_fields":[{"id":1,"name":"Subdivision","value":"EC"},{"id":4,"name":"Milepost","value":"0.0212"},{"id":17,"name":"Train ID","value":"130-22"},{"id":16,"name":"Locomotive ID","value":"4001"},{"id":130,"name":"Impact","value":""},{"id":150,"name":"Time of Event (Mountain Time)","value":"08:50:29"},{"id":151,"name":"Denver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4001 --day 2017-11-22</v>
      </c>
      <c r="AN43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-22T07:09:12-0700',mode:absolute,to:'2017-11-22T09:50:29-0700'))&amp;_a=(columns:!('Message%20ID',Summary),filters:!(),index:'emp_*',interval:auto,query:(query_string:(analyze_wildcard:!t,query:'%22rtdc.l.rtdc.4001%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30" t="s">
        <v>725</v>
      </c>
      <c r="B44" s="226">
        <v>4016</v>
      </c>
      <c r="C44" s="228" t="s">
        <v>192</v>
      </c>
      <c r="D44" s="228" t="s">
        <v>446</v>
      </c>
      <c r="E44" s="227">
        <v>43061.306875000002</v>
      </c>
      <c r="F44" s="227">
        <v>43061.313761574071</v>
      </c>
      <c r="G44" s="226">
        <v>47</v>
      </c>
      <c r="H44" s="228" t="s">
        <v>913</v>
      </c>
      <c r="I44" s="227">
        <v>43061.356956018521</v>
      </c>
      <c r="J44" s="226">
        <v>0</v>
      </c>
      <c r="K44" s="238" t="str">
        <f t="shared" si="0"/>
        <v>4015/4016</v>
      </c>
      <c r="L44" s="246" t="str">
        <f>VLOOKUP(A44,'Trips&amp;Operators'!$C$1:$G$99911,5,FALSE)</f>
        <v>FORTUNATO FRANK</v>
      </c>
      <c r="M44" s="225">
        <f t="shared" si="1"/>
        <v>4.3194444449909497E-2</v>
      </c>
      <c r="N44" s="226">
        <f>24*60*SUM($M44:$M44)</f>
        <v>62.200000007869676</v>
      </c>
      <c r="O44" s="226"/>
      <c r="P44" s="226"/>
      <c r="Q44" s="229"/>
      <c r="R44" s="243" t="s">
        <v>1119</v>
      </c>
      <c r="S44" s="250">
        <f t="shared" si="25"/>
        <v>1</v>
      </c>
      <c r="T44" s="243" t="str">
        <f t="shared" si="4"/>
        <v>NorthBound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-22T06:21:54-0700',mode:absolute,to:'2017-11-22T09:34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4" s="248" t="str">
        <f>IF(AA44&lt;VLOOKUP(AG44,Variables!$AC$3:$AD$8,2,FALSE),"Y","N")</f>
        <v>N</v>
      </c>
      <c r="X44" s="248">
        <f>VALUE(LEFT(AD44,4))-VALUE(LEFT(AD43,4))</f>
        <v>1</v>
      </c>
      <c r="Y44" s="248">
        <f t="shared" si="31"/>
        <v>5.0599999999999999E-2</v>
      </c>
      <c r="Z44" s="248">
        <f t="shared" si="32"/>
        <v>23.319700000000001</v>
      </c>
      <c r="AA44" s="248">
        <f t="shared" si="9"/>
        <v>23.269100000000002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131</v>
      </c>
      <c r="AE44" s="236" t="str">
        <f t="shared" si="1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44" s="235" t="str">
        <f t="shared" si="12"/>
        <v>"C:\Program Files (x86)\AstroGrep\AstroGrep.exe" /e /r /s /spath="%USERPROFILE%\AppData\Local\Temp\OnboardLogs" /stypes="app*4016*20171122*" /stext=" 15:.+((SYSTEM_STATE.+slice.+state.+changed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131-22 --locoid 4016 --swversion DE.1.0.9.0 --startMP 204:506 --initTime 2017-11-22T07:21:54 --startdatetime 2017-11-22T07:31:49 --delay 47 --endMP 204:233197 --enddatetime 2017-11-22T08:34:01 --enforcementcount 0 &gt;&gt;%USERPROFILE%\Documents\GitHub\eaglep3-reporting\EC\2017-11-22-refined-times.txt</v>
      </c>
      <c r="AI44" s="239" t="str">
        <f t="shared" si="20"/>
        <v>echo {"issue":{"subject":"Cascade delay from Trip 120-22","project_id":79,"tracker_id":40,"status_id":1,"priority_id":2,"assigned_to_id":338,"start_date":"2017-11-22","description":"","custom_fields":[{"id":1,"name":"Subdivision","value":"EC"},{"id":4,"name":"Milepost","value":"23.3197"},{"id":17,"name":"Train ID","value":"131-22"},{"id":16,"name":"Locomotive ID","value":"4016"},{"id":130,"name":"Impact","value":""},{"id":150,"name":"Time of Event (Mountain Time)","value":"08:34:01"},{"id":151,"name":"Denver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4016 --day 2017-11-22</v>
      </c>
      <c r="AN44" s="242" t="str">
        <f t="shared" si="22"/>
        <v>echo {"issue":{"subject":"Cascade delay from Trip 120-22","project_id":30,"tracker_id":4,"status_id":1,"priority_id":1,"assigned_to_id":10,"start_date":"2017-11-22","description":"","custom_fields":[{"id":30,"name":"Category","value":"Issue"},{"id":3,"name":"Functional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-22T06:21:54-0700',mode:absolute,to:'2017-11-22T09:34:01-0700'))&amp;_a=(columns:!('Message%20ID',Summary),filters:!(),index:'emp_*',interval:auto,query:(query_string:(analyze_wildcard:!t,query:'%22rtdc.l.rtdc.4016%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30" t="s">
        <v>734</v>
      </c>
      <c r="B45" s="226">
        <v>4039</v>
      </c>
      <c r="C45" s="228" t="s">
        <v>192</v>
      </c>
      <c r="D45" s="228" t="s">
        <v>488</v>
      </c>
      <c r="E45" s="227">
        <v>43061.343657407408</v>
      </c>
      <c r="F45" s="227">
        <v>43061.352395833332</v>
      </c>
      <c r="G45" s="226">
        <v>65</v>
      </c>
      <c r="H45" s="228" t="s">
        <v>498</v>
      </c>
      <c r="I45" s="227">
        <v>43061.382847222223</v>
      </c>
      <c r="J45" s="226">
        <v>0</v>
      </c>
      <c r="K45" s="238" t="str">
        <f t="shared" si="0"/>
        <v>4039/4040</v>
      </c>
      <c r="L45" s="246" t="str">
        <f>VLOOKUP(A45,'Trips&amp;Operators'!$C$1:$G$99911,5,FALSE)</f>
        <v>DAVIDSON DAVID</v>
      </c>
      <c r="M45" s="225">
        <f t="shared" si="1"/>
        <v>3.0451388891378883E-2</v>
      </c>
      <c r="N45" s="226">
        <f>24*60*SUM($M45:$M45)</f>
        <v>43.850000003585592</v>
      </c>
      <c r="O45" s="226"/>
      <c r="P45" s="226"/>
      <c r="Q45" s="229"/>
      <c r="R45" s="243"/>
      <c r="S45" s="250">
        <f t="shared" si="25"/>
        <v>1</v>
      </c>
      <c r="T45" s="243" t="str">
        <f t="shared" si="4"/>
        <v>Southbound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5"/>
        <v>https://d0f6bd738d7f1b3e5a7ca70fe4ff75f0.us-east-1.aws.found.io/app/kibana#/discover/Steve-Slow-Train-Analysis-(2080s-and-2083s)?_g=(refreshInterval:(display:Off,pause:!f,section:0,value:0),time:(from:'2017-11-22T07:14:52-0700',mode:absolute,to:'2017-11-22T10:11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5" s="248" t="str">
        <f>IF(AA45&lt;VLOOKUP(AG45,Variables!$AC$3:$AD$8,2,FALSE),"Y","N")</f>
        <v>N</v>
      </c>
      <c r="X45" s="248">
        <f>VALUE(LEFT(AD45,4))-VALUE(LEFT(AD44,4))</f>
        <v>1</v>
      </c>
      <c r="Y45" s="248">
        <f t="shared" si="31"/>
        <v>23.292100000000001</v>
      </c>
      <c r="Z45" s="248">
        <f t="shared" si="32"/>
        <v>2.3400000000000001E-2</v>
      </c>
      <c r="AA45" s="248">
        <f t="shared" si="9"/>
        <v>23.268700000000003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si="10"/>
        <v>132</v>
      </c>
      <c r="AE45" s="236" t="str">
        <f t="shared" si="1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45" s="235" t="str">
        <f t="shared" si="12"/>
        <v>"C:\Program Files (x86)\AstroGrep\AstroGrep.exe" /e /r /s /spath="%USERPROFILE%\AppData\Local\Temp\OnboardLogs" /stypes="app*4039*20171122*" /stext=" 16:.+((SYSTEM_STATE.+slice.+state.+changed )|(ment ac)|(multiple cpu faults)|(system.+state.+changed )|(\[timeout)|(PRM\|1\|D)|(kpr)|(kdp)|(train st.+moving)|(\|lc)|(penalty))"</v>
      </c>
      <c r="AG45" s="245" t="str">
        <f t="shared" si="13"/>
        <v>EC</v>
      </c>
      <c r="AH45" s="237" t="str">
        <f t="shared" si="19"/>
        <v>"%USERPROFILE%\Documents\GitHub\eaglep3\Utilities\RefineRTDCRunTimes.py" --tripid 132-22 --locoid 4039 --swversion DE.1.0.9.0 --startMP 204:232921 --initTime 2017-11-22T08:14:52 --startdatetime 2017-11-22T08:27:27 --delay 65 --endMP 204:234 --enddatetime 2017-11-22T09:11:18 --enforcementcount 0 &gt;&gt;%USERPROFILE%\Documents\GitHub\eaglep3-reporting\EC\2017-11-22-refined-times.txt</v>
      </c>
      <c r="AI4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{"issue":{"subject":"","project_id":79,"tracker_id":40,"status_id":1,"priority_id":2,"assigned_to_id":338,"start_date":"2017-11-22","description":"","custom_fields":[{"id":1,"name":"Subdivision","value":"EC"},{"id":4,"name":"Milepost","value":"0.0234"},{"id":17,"name":"Train ID","value":"132-22"},{"id":16,"name":"Locomotive ID","value":"4039"},{"id":130,"name":"Impact","value":""},{"id":150,"name":"Time of Event (Mountain Time)","value":"09:11:18"},{"id":151,"name":"Denver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4039 --day 2017-11-22</v>
      </c>
      <c r="AN4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-22T07:14:52-0700',mode:absolute,to:'2017-11-22T10:11:18-0700'))&amp;_a=(columns:!('Message%20ID',Summary),filters:!(),index:'emp_*',interval:auto,query:(query_string:(analyze_wildcard:!t,query:'%22rtdc.l.rtdc.4039%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30" t="s">
        <v>739</v>
      </c>
      <c r="B46" s="226">
        <v>4015</v>
      </c>
      <c r="C46" s="228" t="s">
        <v>192</v>
      </c>
      <c r="D46" s="228" t="s">
        <v>914</v>
      </c>
      <c r="E46" s="227">
        <v>43061.361041666663</v>
      </c>
      <c r="F46" s="227">
        <v>43061.362650462965</v>
      </c>
      <c r="G46" s="226">
        <v>53</v>
      </c>
      <c r="H46" s="228" t="s">
        <v>513</v>
      </c>
      <c r="I46" s="227">
        <v>43061.389155092591</v>
      </c>
      <c r="J46" s="226">
        <v>0</v>
      </c>
      <c r="K46" s="238" t="str">
        <f t="shared" si="0"/>
        <v>4015/4016</v>
      </c>
      <c r="L46" s="246" t="str">
        <f>VLOOKUP(A46,'Trips&amp;Operators'!$C$1:$G$99911,5,FALSE)</f>
        <v>FORTUNATO FRANK</v>
      </c>
      <c r="M46" s="225">
        <f t="shared" si="1"/>
        <v>2.6504629626288079E-2</v>
      </c>
      <c r="N46" s="226">
        <f>24*60*SUM($M46:$M46)</f>
        <v>38.166666661854833</v>
      </c>
      <c r="O46" s="226"/>
      <c r="P46" s="226"/>
      <c r="Q46" s="229"/>
      <c r="R46" s="243"/>
      <c r="S46" s="250">
        <f t="shared" si="25"/>
        <v>1</v>
      </c>
      <c r="T46" s="243" t="str">
        <f t="shared" si="4"/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5"/>
        <v>https://d0f6bd738d7f1b3e5a7ca70fe4ff75f0.us-east-1.aws.found.io/app/kibana#/discover/Steve-Slow-Train-Analysis-(2080s-and-2083s)?_g=(refreshInterval:(display:Off,pause:!f,section:0,value:0),time:(from:'2017-11-22T07:39:54-0700',mode:absolute,to:'2017-11-22T10:20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6" s="248" t="str">
        <f>IF(AA46&lt;VLOOKUP(AG46,Variables!$AC$3:$AD$8,2,FALSE),"Y","N")</f>
        <v>N</v>
      </c>
      <c r="X46" s="248">
        <f t="shared" ref="X46:X48" si="33">VALUE(LEFT(AD46,4))-VALUE(LEFT(AD45,4))</f>
        <v>2</v>
      </c>
      <c r="Y46" s="248">
        <f t="shared" si="31"/>
        <v>23.287700000000001</v>
      </c>
      <c r="Z46" s="248">
        <f t="shared" si="32"/>
        <v>2.0299999999999999E-2</v>
      </c>
      <c r="AA46" s="248">
        <f t="shared" si="9"/>
        <v>23.267400000000002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10"/>
        <v>134</v>
      </c>
      <c r="AE46" s="236" t="str">
        <f t="shared" si="1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46" s="235" t="str">
        <f t="shared" si="12"/>
        <v>"C:\Program Files (x86)\AstroGrep\AstroGrep.exe" /e /r /s /spath="%USERPROFILE%\AppData\Local\Temp\OnboardLogs" /stypes="app*4015*20171122*" /stext=" 16:.+((SYSTEM_STATE.+slice.+state.+changed )|(ment ac)|(multiple cpu faults)|(system.+state.+changed )|(\[timeout)|(PRM\|1\|D)|(kpr)|(kdp)|(train st.+moving)|(\|lc)|(penalty))"</v>
      </c>
      <c r="AG46" s="245" t="str">
        <f t="shared" si="13"/>
        <v>EC</v>
      </c>
      <c r="AH46" s="237" t="str">
        <f t="shared" si="19"/>
        <v>"%USERPROFILE%\Documents\GitHub\eaglep3\Utilities\RefineRTDCRunTimes.py" --tripid 134-22 --locoid 4015 --swversion DE.1.0.9.0 --startMP 204:232877 --initTime 2017-11-22T08:39:54 --startdatetime 2017-11-22T08:42:13 --delay 53 --endMP 204:203 --enddatetime 2017-11-22T09:20:23 --enforcementcount 0 &gt;&gt;%USERPROFILE%\Documents\GitHub\eaglep3-reporting\EC\2017-11-22-refined-times.txt</v>
      </c>
      <c r="AI46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{"issue":{"subject":"","project_id":79,"tracker_id":40,"status_id":1,"priority_id":2,"assigned_to_id":338,"start_date":"2017-11-22","description":"","custom_fields":[{"id":1,"name":"Subdivision","value":"EC"},{"id":4,"name":"Milepost","value":"0.0203"},{"id":17,"name":"Train ID","value":"134-22"},{"id":16,"name":"Locomotive ID","value":"4015"},{"id":130,"name":"Impact","value":""},{"id":150,"name":"Time of Event (Mountain Time)","value":"09:20:23"},{"id":151,"name":"Denver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4015 --day 2017-11-22</v>
      </c>
      <c r="AN46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-22T07:39:54-0700',mode:absolute,to:'2017-11-22T10:20:23-0700'))&amp;_a=(columns:!('Message%20ID',Summary),filters:!(),index:'emp_*',interval:auto,query:(query_string:(analyze_wildcard:!t,query:'%22rtdc.l.rtdc.4015%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30" t="s">
        <v>727</v>
      </c>
      <c r="B47" s="226">
        <v>4040</v>
      </c>
      <c r="C47" s="228" t="s">
        <v>192</v>
      </c>
      <c r="D47" s="228" t="s">
        <v>915</v>
      </c>
      <c r="E47" s="227">
        <v>43061.309664351851</v>
      </c>
      <c r="F47" s="227">
        <v>43061.312581018516</v>
      </c>
      <c r="G47" s="226">
        <v>179</v>
      </c>
      <c r="H47" s="228" t="s">
        <v>545</v>
      </c>
      <c r="I47" s="227">
        <v>43061.320740740739</v>
      </c>
      <c r="J47" s="226">
        <v>0</v>
      </c>
      <c r="K47" s="238" t="str">
        <f t="shared" si="0"/>
        <v>4039/4040</v>
      </c>
      <c r="L47" s="246" t="str">
        <f>VLOOKUP(A47,'Trips&amp;Operators'!$C$1:$G$99911,5,FALSE)</f>
        <v>DAVIDSON DAVID</v>
      </c>
      <c r="M47" s="225">
        <f t="shared" si="1"/>
        <v>8.1597222233540379E-3</v>
      </c>
      <c r="N47" s="226"/>
      <c r="O47" s="226"/>
      <c r="P47" s="226">
        <f>24*60*SUM($M47:$M47)</f>
        <v>11.750000001629815</v>
      </c>
      <c r="Q47" s="229"/>
      <c r="R47" s="243" t="s">
        <v>1117</v>
      </c>
      <c r="S47" s="250">
        <f t="shared" si="25"/>
        <v>0</v>
      </c>
      <c r="T47" s="243" t="str">
        <f t="shared" si="4"/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249" t="str">
        <f t="shared" si="5"/>
        <v>https://d0f6bd738d7f1b3e5a7ca70fe4ff75f0.us-east-1.aws.found.io/app/kibana#/discover/Steve-Slow-Train-Analysis-(2080s-and-2083s)?_g=(refreshInterval:(display:Off,pause:!f,section:0,value:0),time:(from:'2017-11-22T06:25:55-0700',mode:absolute,to:'2017-11-22T08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248" t="str">
        <f>IF(AA47&lt;VLOOKUP(AG47,Variables!$AC$3:$AD$8,2,FALSE),"Y","N")</f>
        <v>Y</v>
      </c>
      <c r="X47" s="248">
        <f t="shared" si="33"/>
        <v>1</v>
      </c>
      <c r="Y47" s="248">
        <f t="shared" si="31"/>
        <v>15.424899999999999</v>
      </c>
      <c r="Z47" s="248">
        <f t="shared" si="32"/>
        <v>23.324400000000001</v>
      </c>
      <c r="AA47" s="248">
        <f t="shared" si="9"/>
        <v>7.8995000000000015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10"/>
        <v>135</v>
      </c>
      <c r="AE47" s="236" t="str">
        <f t="shared" si="1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47" s="235" t="str">
        <f t="shared" si="12"/>
        <v>"C:\Program Files (x86)\AstroGrep\AstroGrep.exe" /e /r /s /spath="%USERPROFILE%\AppData\Local\Temp\OnboardLogs" /stypes="app*4040*20171122*" /stext=" 14:.+((SYSTEM_STATE.+slice.+state.+changed )|(ment ac)|(multiple cpu faults)|(system.+state.+changed )|(\[timeout)|(PRM\|1\|D)|(kpr)|(kdp)|(train st.+moving)|(\|lc)|(penalty))"</v>
      </c>
      <c r="AG47" s="245" t="str">
        <f t="shared" si="13"/>
        <v>EC</v>
      </c>
      <c r="AH47" s="237" t="str">
        <f t="shared" si="19"/>
        <v>"%USERPROFILE%\Documents\GitHub\eaglep3\Utilities\RefineRTDCRunTimes.py" --tripid 135-22 --locoid 4040 --swversion DE.1.0.9.0 --startMP 204:154249 --initTime 2017-11-22T07:25:55 --startdatetime 2017-11-22T07:30:07 --delay 179 --endMP 204:233244 --enddatetime 2017-11-22T07:41:52 --enforcementcount 0 &gt;&gt;%USERPROFILE%\Documents\GitHub\eaglep3-reporting\EC\2017-11-22-refined-times.txt</v>
      </c>
      <c r="AI47" s="239" t="str">
        <f t="shared" si="20"/>
        <v>echo {"issue":{"subject":"Bus bridge between Peoria and 61st and Pena due to pedestrian incident (see Trip 120-22)","project_id":79,"tracker_id":40,"status_id":1,"priority_id":2,"assigned_to_id":338,"start_date":"2017-11-22","description":"","custom_fields":[{"id":1,"name":"Subdivision","value":"EC"},{"id":4,"name":"Milepost","value":"23.3244"},{"id":17,"name":"Train ID","value":"135-22"},{"id":16,"name":"Locomotive ID","value":"4040"},{"id":130,"name":"Impact","value":""},{"id":150,"name":"Time of Event (Mountain Time)","value":"07:41:52"},{"id":151,"name":"Denver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4040 --day 2017-11-22</v>
      </c>
      <c r="AN47" s="242" t="str">
        <f t="shared" si="22"/>
        <v>echo {"issue":{"subject":"Bus bridge between Peoria and 61st and Pena due to pedestrian incident (see Trip 120-22)","project_id":30,"tracker_id":4,"status_id":1,"priority_id":1,"assigned_to_id":10,"start_date":"2017-11-22","description":"","custom_fields":[{"id":30,"name":"Category","value":"Issue"},{"id":3,"name":"Functional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14:41:52"},{"id":29,"name":"Sharepoint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-22T06:25:55-0700',mode:absolute,to:'2017-11-22T08:41:52-0700'))&amp;_a=(columns:!('Message%20ID',Summary),filters:!(),index:'emp_*',interval:auto,query:(query_string:(analyze_wildcard:!t,query:'%22rtdc.l.rtdc.4040%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30" t="s">
        <v>740</v>
      </c>
      <c r="B48" s="226">
        <v>4005</v>
      </c>
      <c r="C48" s="228" t="s">
        <v>192</v>
      </c>
      <c r="D48" s="228" t="s">
        <v>916</v>
      </c>
      <c r="E48" s="227">
        <v>43061.36377314815</v>
      </c>
      <c r="F48" s="227">
        <v>43061.373090277775</v>
      </c>
      <c r="G48" s="226">
        <v>58</v>
      </c>
      <c r="H48" s="228" t="s">
        <v>444</v>
      </c>
      <c r="I48" s="227">
        <v>43061.400358796294</v>
      </c>
      <c r="J48" s="226">
        <v>0</v>
      </c>
      <c r="K48" s="238" t="str">
        <f t="shared" si="0"/>
        <v>4005/4006</v>
      </c>
      <c r="L48" s="246" t="str">
        <f>VLOOKUP(A48,'Trips&amp;Operators'!$C$1:$G$99911,5,FALSE)</f>
        <v>YANAI IAN</v>
      </c>
      <c r="M48" s="225">
        <f t="shared" si="1"/>
        <v>2.7268518519122154E-2</v>
      </c>
      <c r="N48" s="226">
        <f t="shared" ref="N48:N80" si="34">24*60*SUM($M48:$M48)</f>
        <v>39.266666667535901</v>
      </c>
      <c r="O48" s="226"/>
      <c r="P48" s="226"/>
      <c r="Q48" s="229"/>
      <c r="R48" s="243"/>
      <c r="S48" s="250">
        <f t="shared" si="25"/>
        <v>1</v>
      </c>
      <c r="T48" s="243" t="str">
        <f t="shared" si="4"/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5"/>
        <v>https://d0f6bd738d7f1b3e5a7ca70fe4ff75f0.us-east-1.aws.found.io/app/kibana#/discover/Steve-Slow-Train-Analysis-(2080s-and-2083s)?_g=(refreshInterval:(display:Off,pause:!f,section:0,value:0),time:(from:'2017-11-22T07:43:50-0700',mode:absolute,to:'2017-11-22T10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8" s="248" t="str">
        <f>IF(AA48&lt;VLOOKUP(AG48,Variables!$AC$3:$AD$8,2,FALSE),"Y","N")</f>
        <v>N</v>
      </c>
      <c r="X48" s="248">
        <f t="shared" si="33"/>
        <v>1</v>
      </c>
      <c r="Y48" s="248">
        <f t="shared" si="31"/>
        <v>23.300999999999998</v>
      </c>
      <c r="Z48" s="248">
        <f t="shared" si="32"/>
        <v>2.1399999999999999E-2</v>
      </c>
      <c r="AA48" s="248">
        <f t="shared" si="9"/>
        <v>23.279599999999999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10"/>
        <v>136</v>
      </c>
      <c r="AE48" s="236" t="str">
        <f t="shared" si="1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48" s="235" t="str">
        <f t="shared" si="12"/>
        <v>"C:\Program Files (x86)\AstroGrep\AstroGrep.exe" /e /r /s /spath="%USERPROFILE%\AppData\Local\Temp\OnboardLogs" /stypes="app*4005*20171122*" /stext=" 16:.+((SYSTEM_STATE.+slice.+state.+changed )|(ment ac)|(multiple cpu faults)|(system.+state.+changed )|(\[timeout)|(PRM\|1\|D)|(kpr)|(kdp)|(train st.+moving)|(\|lc)|(penalty))"</v>
      </c>
      <c r="AG48" s="245" t="str">
        <f t="shared" si="13"/>
        <v>EC</v>
      </c>
      <c r="AH48" s="237" t="str">
        <f t="shared" si="19"/>
        <v>"%USERPROFILE%\Documents\GitHub\eaglep3\Utilities\RefineRTDCRunTimes.py" --tripid 136-22 --locoid 4005 --swversion DE.1.0.9.0 --startMP 204:233010 --initTime 2017-11-22T08:43:50 --startdatetime 2017-11-22T08:57:15 --delay 58 --endMP 204:214 --enddatetime 2017-11-22T09:36:31 --enforcementcount 0 &gt;&gt;%USERPROFILE%\Documents\GitHub\eaglep3-reporting\EC\2017-11-22-refined-times.txt</v>
      </c>
      <c r="AI48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{"issue":{"subject":"","project_id":79,"tracker_id":40,"status_id":1,"priority_id":2,"assigned_to_id":338,"start_date":"2017-11-22","description":"","custom_fields":[{"id":1,"name":"Subdivision","value":"EC"},{"id":4,"name":"Milepost","value":"0.0214"},{"id":17,"name":"Train ID","value":"136-22"},{"id":16,"name":"Locomotive ID","value":"4005"},{"id":130,"name":"Impact","value":""},{"id":150,"name":"Time of Event (Mountain Time)","value":"09:36:31"},{"id":151,"name":"Denver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4005 --day 2017-11-22</v>
      </c>
      <c r="AN48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16:36:31"},{"id":29,"name":"Sharepoint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-22T07:43:50-0700',mode:absolute,to:'2017-11-22T10:36:31-0700'))&amp;_a=(columns:!('Message%20ID',Summary),filters:!(),index:'emp_*',interval:auto,query:(query_string:(analyze_wildcard:!t,query:'%22rtdc.l.rtdc.4005%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30" t="s">
        <v>735</v>
      </c>
      <c r="B49" s="226">
        <v>4050</v>
      </c>
      <c r="C49" s="228" t="s">
        <v>192</v>
      </c>
      <c r="D49" s="228" t="s">
        <v>917</v>
      </c>
      <c r="E49" s="227">
        <v>43061.347777777781</v>
      </c>
      <c r="F49" s="227">
        <v>43061.349363425928</v>
      </c>
      <c r="G49" s="226">
        <v>55</v>
      </c>
      <c r="H49" s="228" t="s">
        <v>918</v>
      </c>
      <c r="I49" s="227">
        <v>43061.376354166663</v>
      </c>
      <c r="J49" s="226">
        <v>0</v>
      </c>
      <c r="K49" s="238" t="str">
        <f t="shared" si="0"/>
        <v>4049/4050</v>
      </c>
      <c r="L49" s="246" t="str">
        <f>VLOOKUP(A49,'Trips&amp;Operators'!$C$1:$G$99911,5,FALSE)</f>
        <v>THOMPSON LESTER</v>
      </c>
      <c r="M49" s="225">
        <f t="shared" si="1"/>
        <v>2.6990740734618157E-2</v>
      </c>
      <c r="N49" s="226">
        <f t="shared" si="34"/>
        <v>38.866666657850146</v>
      </c>
      <c r="O49" s="226"/>
      <c r="P49" s="226"/>
      <c r="Q49" s="229"/>
      <c r="R49" s="243"/>
      <c r="S49" s="250">
        <f t="shared" si="25"/>
        <v>1</v>
      </c>
      <c r="T49" s="243" t="str">
        <f t="shared" si="4"/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5"/>
        <v>https://d0f6bd738d7f1b3e5a7ca70fe4ff75f0.us-east-1.aws.found.io/app/kibana#/discover/Steve-Slow-Train-Analysis-(2080s-and-2083s)?_g=(refreshInterval:(display:Off,pause:!f,section:0,value:0),time:(from:'2017-11-22T07:20:48-0700',mode:absolute,to:'2017-11-22T10:01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9" s="248" t="str">
        <f>IF(AA49&lt;VLOOKUP(AG49,Variables!$AC$3:$AD$8,2,FALSE),"Y","N")</f>
        <v>N</v>
      </c>
      <c r="X49" s="248">
        <f t="shared" ref="X49:X81" si="35">VALUE(LEFT(AD49,4))-VALUE(LEFT(AD48,4))</f>
        <v>1</v>
      </c>
      <c r="Y49" s="248">
        <f t="shared" si="31"/>
        <v>4.4600000000000001E-2</v>
      </c>
      <c r="Z49" s="248">
        <f t="shared" si="32"/>
        <v>23.332999999999998</v>
      </c>
      <c r="AA49" s="248">
        <f t="shared" si="9"/>
        <v>23.288399999999999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10"/>
        <v>137</v>
      </c>
      <c r="AE49" s="236" t="str">
        <f t="shared" si="1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49" s="235" t="str">
        <f t="shared" si="12"/>
        <v>"C:\Program Files (x86)\AstroGrep\AstroGrep.exe" /e /r /s /spath="%USERPROFILE%\AppData\Local\Temp\OnboardLogs" /stypes="app*4050*20171122*" /stext=" 16:.+((SYSTEM_STATE.+slice.+state.+changed )|(ment ac)|(multiple cpu faults)|(system.+state.+changed )|(\[timeout)|(PRM\|1\|D)|(kpr)|(kdp)|(train st.+moving)|(\|lc)|(penalty))"</v>
      </c>
      <c r="AG49" s="245" t="str">
        <f t="shared" si="13"/>
        <v>EC</v>
      </c>
      <c r="AH49" s="237" t="str">
        <f t="shared" si="19"/>
        <v>"%USERPROFILE%\Documents\GitHub\eaglep3\Utilities\RefineRTDCRunTimes.py" --tripid 137-22 --locoid 4050 --swversion DE.1.0.9.0 --startMP 204:446 --initTime 2017-11-22T08:20:48 --startdatetime 2017-11-22T08:23:05 --delay 55 --endMP 204:233330 --enddatetime 2017-11-22T09:01:57 --enforcementcount 0 &gt;&gt;%USERPROFILE%\Documents\GitHub\eaglep3-reporting\EC\2017-11-22-refined-times.txt</v>
      </c>
      <c r="AI49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{"issue":{"subject":"","project_id":79,"tracker_id":40,"status_id":1,"priority_id":2,"assigned_to_id":338,"start_date":"2017-11-22","description":"","custom_fields":[{"id":1,"name":"Subdivision","value":"EC"},{"id":4,"name":"Milepost","value":"23.333"},{"id":17,"name":"Train ID","value":"137-22"},{"id":16,"name":"Locomotive ID","value":"4050"},{"id":130,"name":"Impact","value":""},{"id":150,"name":"Time of Event (Mountain Time)","value":"09:01:57"},{"id":151,"name":"Denver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4050 --day 2017-11-22</v>
      </c>
      <c r="AN49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16:01:57"},{"id":29,"name":"Sharepoint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-22T07:20:48-0700',mode:absolute,to:'2017-11-22T10:01:57-0700'))&amp;_a=(columns:!('Message%20ID',Summary),filters:!(),index:'emp_*',interval:auto,query:(query_string:(analyze_wildcard:!t,query:'%22rtdc.l.rtdc.4050%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30" t="s">
        <v>652</v>
      </c>
      <c r="B50" s="226">
        <v>4049</v>
      </c>
      <c r="C50" s="228" t="s">
        <v>192</v>
      </c>
      <c r="D50" s="228" t="s">
        <v>584</v>
      </c>
      <c r="E50" s="227">
        <v>43061.383668981478</v>
      </c>
      <c r="F50" s="227">
        <v>43061.38484953704</v>
      </c>
      <c r="G50" s="226">
        <v>48</v>
      </c>
      <c r="H50" s="228" t="s">
        <v>513</v>
      </c>
      <c r="I50" s="227">
        <v>43061.412604166668</v>
      </c>
      <c r="J50" s="226">
        <v>0</v>
      </c>
      <c r="K50" s="238" t="str">
        <f t="shared" si="0"/>
        <v>4049/4050</v>
      </c>
      <c r="L50" s="246" t="str">
        <f>VLOOKUP(A50,'Trips&amp;Operators'!$C$1:$G$99911,5,FALSE)</f>
        <v>THOMPSON LESTER</v>
      </c>
      <c r="M50" s="225">
        <f t="shared" si="1"/>
        <v>2.7754629627452232E-2</v>
      </c>
      <c r="N50" s="226">
        <f t="shared" si="34"/>
        <v>39.966666663531214</v>
      </c>
      <c r="O50" s="226"/>
      <c r="P50" s="226"/>
      <c r="Q50" s="229"/>
      <c r="R50" s="243" t="s">
        <v>1124</v>
      </c>
      <c r="S50" s="250">
        <f t="shared" si="25"/>
        <v>1</v>
      </c>
      <c r="T50" s="243" t="str">
        <f t="shared" si="4"/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5"/>
        <v>https://d0f6bd738d7f1b3e5a7ca70fe4ff75f0.us-east-1.aws.found.io/app/kibana#/discover/Steve-Slow-Train-Analysis-(2080s-and-2083s)?_g=(refreshInterval:(display:Off,pause:!f,section:0,value:0),time:(from:'2017-11-22T08:12:29-0700',mode:absolute,to:'2017-11-22T10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0" s="248" t="str">
        <f>IF(AA50&lt;VLOOKUP(AG50,Variables!$AC$3:$AD$8,2,FALSE),"Y","N")</f>
        <v>N</v>
      </c>
      <c r="X50" s="248">
        <f t="shared" si="35"/>
        <v>1</v>
      </c>
      <c r="Y50" s="248">
        <f t="shared" si="31"/>
        <v>23.2988</v>
      </c>
      <c r="Z50" s="248">
        <f t="shared" si="32"/>
        <v>2.0299999999999999E-2</v>
      </c>
      <c r="AA50" s="248">
        <f t="shared" si="9"/>
        <v>23.278500000000001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10"/>
        <v>138</v>
      </c>
      <c r="AE50" s="236" t="str">
        <f t="shared" si="1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50" s="235" t="str">
        <f t="shared" si="12"/>
        <v>"C:\Program Files (x86)\AstroGrep\AstroGrep.exe" /e /r /s /spath="%USERPROFILE%\AppData\Local\Temp\OnboardLogs" /stypes="app*4049*20171122*" /stext=" 16:.+((SYSTEM_STATE.+slice.+state.+changed )|(ment ac)|(multiple cpu faults)|(system.+state.+changed )|(\[timeout)|(PRM\|1\|D)|(kpr)|(kdp)|(train st.+moving)|(\|lc)|(penalty))"</v>
      </c>
      <c r="AG50" s="245" t="str">
        <f t="shared" si="13"/>
        <v>EC</v>
      </c>
      <c r="AH50" s="237" t="str">
        <f t="shared" si="19"/>
        <v>"%USERPROFILE%\Documents\GitHub\eaglep3\Utilities\RefineRTDCRunTimes.py" --tripid 138-22 --locoid 4049 --swversion DE.1.0.9.0 --startMP 204:232988 --initTime 2017-11-22T09:12:29 --startdatetime 2017-11-22T09:14:11 --delay 48 --endMP 204:203 --enddatetime 2017-11-22T09:54:09 --enforcementcount 0 &gt;&gt;%USERPROFILE%\Documents\GitHub\eaglep3-reporting\EC\2017-11-22-refined-times.txt</v>
      </c>
      <c r="AI50" s="239" t="str">
        <f t="shared" si="20"/>
        <v>echo {"issue":{"subject":"Observed unhealthy xing banner for Chambers due to station stop","project_id":79,"tracker_id":40,"status_id":1,"priority_id":2,"assigned_to_id":338,"start_date":"2017-11-22","description":"","custom_fields":[{"id":1,"name":"Subdivision","value":"EC"},{"id":4,"name":"Milepost","value":"0.0203"},{"id":17,"name":"Train ID","value":"138-22"},{"id":16,"name":"Locomotive ID","value":"4049"},{"id":130,"name":"Impact","value":""},{"id":150,"name":"Time of Event (Mountain Time)","value":"09:54:09"},{"id":151,"name":"Denver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4049 --day 2017-11-22</v>
      </c>
      <c r="AN50" s="242" t="str">
        <f t="shared" si="22"/>
        <v>echo {"issue":{"subject":"Observed unhealthy xing banner for Chambers due to station stop","project_id":30,"tracker_id":4,"status_id":1,"priority_id":1,"assigned_to_id":10,"start_date":"2017-11-22","description":"","custom_fields":[{"id":30,"name":"Category","value":"Issue"},{"id":3,"name":"Functional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-22T08:12:29-0700',mode:absolute,to:'2017-11-22T10:54:09-0700'))&amp;_a=(columns:!('Message%20ID',Summary),filters:!(),index:'emp_*',interval:auto,query:(query_string:(analyze_wildcard:!t,query:'%22rtdc.l.rtdc.4049%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30" t="s">
        <v>736</v>
      </c>
      <c r="B51" s="226">
        <v>4018</v>
      </c>
      <c r="C51" s="228" t="s">
        <v>192</v>
      </c>
      <c r="D51" s="228" t="s">
        <v>919</v>
      </c>
      <c r="E51" s="227">
        <v>43061.347870370373</v>
      </c>
      <c r="F51" s="227">
        <v>43061.354988425926</v>
      </c>
      <c r="G51" s="226">
        <v>252</v>
      </c>
      <c r="H51" s="228" t="s">
        <v>920</v>
      </c>
      <c r="I51" s="227">
        <v>43061.380937499998</v>
      </c>
      <c r="J51" s="226">
        <v>0</v>
      </c>
      <c r="K51" s="238" t="str">
        <f t="shared" si="0"/>
        <v>4017/4018</v>
      </c>
      <c r="L51" s="246" t="str">
        <f>VLOOKUP(A51,'Trips&amp;Operators'!$C$1:$G$99911,5,FALSE)</f>
        <v>HUFFSMITH MONTY</v>
      </c>
      <c r="M51" s="225">
        <f t="shared" si="1"/>
        <v>2.5949074071832001E-2</v>
      </c>
      <c r="N51" s="226">
        <f t="shared" si="34"/>
        <v>37.366666663438082</v>
      </c>
      <c r="O51" s="226"/>
      <c r="P51" s="226"/>
      <c r="Q51" s="229"/>
      <c r="R51" s="243"/>
      <c r="S51" s="250">
        <f t="shared" si="25"/>
        <v>1</v>
      </c>
      <c r="T51" s="243" t="str">
        <f t="shared" si="4"/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5"/>
        <v>https://d0f6bd738d7f1b3e5a7ca70fe4ff75f0.us-east-1.aws.found.io/app/kibana#/discover/Steve-Slow-Train-Analysis-(2080s-and-2083s)?_g=(refreshInterval:(display:Off,pause:!f,section:0,value:0),time:(from:'2017-11-22T07:20:56-0700',mode:absolute,to:'2017-11-22T10:08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48" t="str">
        <f>IF(AA51&lt;VLOOKUP(AG51,Variables!$AC$3:$AD$8,2,FALSE),"Y","N")</f>
        <v>N</v>
      </c>
      <c r="X51" s="248">
        <f t="shared" si="35"/>
        <v>1</v>
      </c>
      <c r="Y51" s="248">
        <f t="shared" si="31"/>
        <v>0.15</v>
      </c>
      <c r="Z51" s="248">
        <f t="shared" si="32"/>
        <v>23.332899999999999</v>
      </c>
      <c r="AA51" s="248">
        <f t="shared" si="9"/>
        <v>23.1829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10"/>
        <v>139</v>
      </c>
      <c r="AE51" s="236" t="str">
        <f t="shared" si="1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51" s="235" t="str">
        <f t="shared" si="12"/>
        <v>"C:\Program Files (x86)\AstroGrep\AstroGrep.exe" /e /r /s /spath="%USERPROFILE%\AppData\Local\Temp\OnboardLogs" /stypes="app*4018*20171122*" /stext=" 16:.+((SYSTEM_STATE.+slice.+state.+changed )|(ment ac)|(multiple cpu faults)|(system.+state.+changed )|(\[timeout)|(PRM\|1\|D)|(kpr)|(kdp)|(train st.+moving)|(\|lc)|(penalty))"</v>
      </c>
      <c r="AG51" s="245" t="str">
        <f t="shared" si="13"/>
        <v>EC</v>
      </c>
      <c r="AH51" s="237" t="str">
        <f t="shared" si="19"/>
        <v>"%USERPROFILE%\Documents\GitHub\eaglep3\Utilities\RefineRTDCRunTimes.py" --tripid 139-22 --locoid 4018 --swversion DE.1.0.9.0 --startMP 204:1500 --initTime 2017-11-22T08:20:56 --startdatetime 2017-11-22T08:31:11 --delay 252 --endMP 204:233329 --enddatetime 2017-11-22T09:08:33 --enforcementcount 0 &gt;&gt;%USERPROFILE%\Documents\GitHub\eaglep3-reporting\EC\2017-11-22-refined-times.txt</v>
      </c>
      <c r="AI51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{"issue":{"subject":"","project_id":79,"tracker_id":40,"status_id":1,"priority_id":2,"assigned_to_id":338,"start_date":"2017-11-22","description":"","custom_fields":[{"id":1,"name":"Subdivision","value":"EC"},{"id":4,"name":"Milepost","value":"23.3329"},{"id":17,"name":"Train ID","value":"139-22"},{"id":16,"name":"Locomotive ID","value":"4018"},{"id":130,"name":"Impact","value":""},{"id":150,"name":"Time of Event (Mountain Time)","value":"09:08:33"},{"id":151,"name":"Denver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4018 --day 2017-11-22</v>
      </c>
      <c r="AN51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-22T07:20:56-0700',mode:absolute,to:'2017-11-22T10:08:33-0700'))&amp;_a=(columns:!('Message%20ID',Summary),filters:!(),index:'emp_*',interval:auto,query:(query_string:(analyze_wildcard:!t,query:'%22rtdc.l.rtdc.4018%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30" t="s">
        <v>745</v>
      </c>
      <c r="B52" s="226">
        <v>4017</v>
      </c>
      <c r="C52" s="228" t="s">
        <v>192</v>
      </c>
      <c r="D52" s="228" t="s">
        <v>921</v>
      </c>
      <c r="E52" s="227">
        <v>43061.383437500001</v>
      </c>
      <c r="F52" s="227">
        <v>43061.394166666665</v>
      </c>
      <c r="G52" s="226">
        <v>57</v>
      </c>
      <c r="H52" s="228" t="s">
        <v>922</v>
      </c>
      <c r="I52" s="227">
        <v>43061.420439814814</v>
      </c>
      <c r="J52" s="226">
        <v>0</v>
      </c>
      <c r="K52" s="238" t="str">
        <f t="shared" si="0"/>
        <v>4017/4018</v>
      </c>
      <c r="L52" s="246" t="str">
        <f>VLOOKUP(A52,'Trips&amp;Operators'!$C$1:$G$99911,5,FALSE)</f>
        <v>HUFFSMITH MONTY</v>
      </c>
      <c r="M52" s="225">
        <f t="shared" si="1"/>
        <v>2.6273148148902692E-2</v>
      </c>
      <c r="N52" s="226">
        <f t="shared" si="34"/>
        <v>37.833333334419876</v>
      </c>
      <c r="O52" s="226"/>
      <c r="P52" s="226"/>
      <c r="Q52" s="229"/>
      <c r="R52" s="243"/>
      <c r="S52" s="250">
        <f t="shared" si="25"/>
        <v>1</v>
      </c>
      <c r="T52" s="243" t="str">
        <f t="shared" si="4"/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5"/>
        <v>https://d0f6bd738d7f1b3e5a7ca70fe4ff75f0.us-east-1.aws.found.io/app/kibana#/discover/Steve-Slow-Train-Analysis-(2080s-and-2083s)?_g=(refreshInterval:(display:Off,pause:!f,section:0,value:0),time:(from:'2017-11-22T08:12:09-0700',mode:absolute,to:'2017-11-22T11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48" t="str">
        <f>IF(AA52&lt;VLOOKUP(AG52,Variables!$AC$3:$AD$8,2,FALSE),"Y","N")</f>
        <v>N</v>
      </c>
      <c r="X52" s="248">
        <f t="shared" si="35"/>
        <v>1</v>
      </c>
      <c r="Y52" s="248">
        <f t="shared" si="31"/>
        <v>23.3004</v>
      </c>
      <c r="Z52" s="248">
        <f t="shared" si="32"/>
        <v>1.6E-2</v>
      </c>
      <c r="AA52" s="248">
        <f t="shared" si="9"/>
        <v>23.284400000000002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10"/>
        <v>140</v>
      </c>
      <c r="AE52" s="236" t="str">
        <f t="shared" si="1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52" s="235" t="str">
        <f t="shared" si="12"/>
        <v>"C:\Program Files (x86)\AstroGrep\AstroGrep.exe" /e /r /s /spath="%USERPROFILE%\AppData\Local\Temp\OnboardLogs" /stypes="app*4017*20171122*" /stext=" 17:.+((SYSTEM_STATE.+slice.+state.+changed )|(ment ac)|(multiple cpu faults)|(system.+state.+changed )|(\[timeout)|(PRM\|1\|D)|(kpr)|(kdp)|(train st.+moving)|(\|lc)|(penalty))"</v>
      </c>
      <c r="AG52" s="245" t="str">
        <f t="shared" si="13"/>
        <v>EC</v>
      </c>
      <c r="AH52" s="237" t="str">
        <f t="shared" si="19"/>
        <v>"%USERPROFILE%\Documents\GitHub\eaglep3\Utilities\RefineRTDCRunTimes.py" --tripid 140-22 --locoid 4017 --swversion DE.1.0.9.0 --startMP 204:233004 --initTime 2017-11-22T09:12:09 --startdatetime 2017-11-22T09:27:36 --delay 57 --endMP 204:160 --enddatetime 2017-11-22T10:05:26 --enforcementcount 0 &gt;&gt;%USERPROFILE%\Documents\GitHub\eaglep3-reporting\EC\2017-11-22-refined-times.txt</v>
      </c>
      <c r="AI52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{"issue":{"subject":"","project_id":79,"tracker_id":40,"status_id":1,"priority_id":2,"assigned_to_id":338,"start_date":"2017-11-22","description":"","custom_fields":[{"id":1,"name":"Subdivision","value":"EC"},{"id":4,"name":"Milepost","value":"0.016"},{"id":17,"name":"Train ID","value":"140-22"},{"id":16,"name":"Locomotive ID","value":"4017"},{"id":130,"name":"Impact","value":""},{"id":150,"name":"Time of Event (Mountain Time)","value":"10:05:26"},{"id":151,"name":"Denver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4017 --day 2017-11-22</v>
      </c>
      <c r="AN52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-22T08:12:09-0700',mode:absolute,to:'2017-11-22T11:05:26-0700'))&amp;_a=(columns:!('Message%20ID',Summary),filters:!(),index:'emp_*',interval:auto,query:(query_string:(analyze_wildcard:!t,query:'%22rtdc.l.rtdc.4017%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30" t="s">
        <v>741</v>
      </c>
      <c r="B53" s="226">
        <v>4020</v>
      </c>
      <c r="C53" s="228" t="s">
        <v>192</v>
      </c>
      <c r="D53" s="228" t="s">
        <v>484</v>
      </c>
      <c r="E53" s="227">
        <v>43061.365324074075</v>
      </c>
      <c r="F53" s="227">
        <v>43061.366701388892</v>
      </c>
      <c r="G53" s="226">
        <v>53</v>
      </c>
      <c r="H53" s="228" t="s">
        <v>591</v>
      </c>
      <c r="I53" s="227">
        <v>43061.391203703701</v>
      </c>
      <c r="J53" s="226">
        <v>0</v>
      </c>
      <c r="K53" s="238" t="str">
        <f t="shared" si="0"/>
        <v>4019/4020</v>
      </c>
      <c r="L53" s="246" t="str">
        <f>VLOOKUP(A53,'Trips&amp;Operators'!$C$1:$G$99911,5,FALSE)</f>
        <v>BONDS REYNALDO</v>
      </c>
      <c r="M53" s="225">
        <f t="shared" si="1"/>
        <v>2.4502314809069503E-2</v>
      </c>
      <c r="N53" s="226">
        <f t="shared" si="34"/>
        <v>35.283333325060084</v>
      </c>
      <c r="O53" s="226"/>
      <c r="P53" s="226"/>
      <c r="Q53" s="229"/>
      <c r="R53" s="243"/>
      <c r="S53" s="250">
        <f t="shared" si="25"/>
        <v>1</v>
      </c>
      <c r="T53" s="243" t="str">
        <f t="shared" si="4"/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5"/>
        <v>https://d0f6bd738d7f1b3e5a7ca70fe4ff75f0.us-east-1.aws.found.io/app/kibana#/discover/Steve-Slow-Train-Analysis-(2080s-and-2083s)?_g=(refreshInterval:(display:Off,pause:!f,section:0,value:0),time:(from:'2017-11-22T07:46:04-0700',mode:absolute,to:'2017-11-22T10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3" s="248" t="str">
        <f>IF(AA53&lt;VLOOKUP(AG53,Variables!$AC$3:$AD$8,2,FALSE),"Y","N")</f>
        <v>N</v>
      </c>
      <c r="X53" s="248">
        <f t="shared" si="35"/>
        <v>1</v>
      </c>
      <c r="Y53" s="248">
        <f t="shared" si="31"/>
        <v>5.0200000000000002E-2</v>
      </c>
      <c r="Z53" s="248">
        <f t="shared" si="32"/>
        <v>23.331800000000001</v>
      </c>
      <c r="AA53" s="248">
        <f t="shared" si="9"/>
        <v>23.281600000000001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10"/>
        <v>141</v>
      </c>
      <c r="AE53" s="236" t="str">
        <f t="shared" si="1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53" s="235" t="str">
        <f t="shared" si="12"/>
        <v>"C:\Program Files (x86)\AstroGrep\AstroGrep.exe" /e /r /s /spath="%USERPROFILE%\AppData\Local\Temp\OnboardLogs" /stypes="app*4020*20171122*" /stext=" 16:.+((SYSTEM_STATE.+slice.+state.+changed )|(ment ac)|(multiple cpu faults)|(system.+state.+changed )|(\[timeout)|(PRM\|1\|D)|(kpr)|(kdp)|(train st.+moving)|(\|lc)|(penalty))"</v>
      </c>
      <c r="AG53" s="245" t="str">
        <f t="shared" si="13"/>
        <v>EC</v>
      </c>
      <c r="AH53" s="237" t="str">
        <f t="shared" si="19"/>
        <v>"%USERPROFILE%\Documents\GitHub\eaglep3\Utilities\RefineRTDCRunTimes.py" --tripid 141-22 --locoid 4020 --swversion DE.1.0.9.0 --startMP 204:502 --initTime 2017-11-22T08:46:04 --startdatetime 2017-11-22T08:48:03 --delay 53 --endMP 204:233318 --enddatetime 2017-11-22T09:23:20 --enforcementcount 0 &gt;&gt;%USERPROFILE%\Documents\GitHub\eaglep3-reporting\EC\2017-11-22-refined-times.txt</v>
      </c>
      <c r="AI53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{"issue":{"subject":"","project_id":79,"tracker_id":40,"status_id":1,"priority_id":2,"assigned_to_id":338,"start_date":"2017-11-22","description":"","custom_fields":[{"id":1,"name":"Subdivision","value":"EC"},{"id":4,"name":"Milepost","value":"23.3318"},{"id":17,"name":"Train ID","value":"141-22"},{"id":16,"name":"Locomotive ID","value":"4020"},{"id":130,"name":"Impact","value":""},{"id":150,"name":"Time of Event (Mountain Time)","value":"09:23:20"},{"id":151,"name":"Denver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4020 --day 2017-11-22</v>
      </c>
      <c r="AN53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-22T07:46:04-0700',mode:absolute,to:'2017-11-22T10:23:20-0700'))&amp;_a=(columns:!('Message%20ID',Summary),filters:!(),index:'emp_*',interval:auto,query:(query_string:(analyze_wildcard:!t,query:'%22rtdc.l.rtdc.4020%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30" t="s">
        <v>653</v>
      </c>
      <c r="B54" s="226">
        <v>4019</v>
      </c>
      <c r="C54" s="228" t="s">
        <v>192</v>
      </c>
      <c r="D54" s="228" t="s">
        <v>923</v>
      </c>
      <c r="E54" s="227">
        <v>43061.399826388886</v>
      </c>
      <c r="F54" s="227">
        <v>43061.404513888891</v>
      </c>
      <c r="G54" s="226">
        <v>71</v>
      </c>
      <c r="H54" s="228" t="s">
        <v>607</v>
      </c>
      <c r="I54" s="227">
        <v>43061.431840277779</v>
      </c>
      <c r="J54" s="226">
        <v>0</v>
      </c>
      <c r="K54" s="238" t="str">
        <f t="shared" si="0"/>
        <v>4019/4020</v>
      </c>
      <c r="L54" s="246" t="str">
        <f>VLOOKUP(A54,'Trips&amp;Operators'!$C$1:$G$99911,5,FALSE)</f>
        <v>BONDS REYNALDO</v>
      </c>
      <c r="M54" s="225">
        <f t="shared" si="1"/>
        <v>2.73263888884685E-2</v>
      </c>
      <c r="N54" s="226">
        <f t="shared" si="34"/>
        <v>39.34999999939464</v>
      </c>
      <c r="O54" s="226"/>
      <c r="P54" s="226"/>
      <c r="Q54" s="229"/>
      <c r="R54" s="243"/>
      <c r="S54" s="250">
        <f t="shared" si="25"/>
        <v>1</v>
      </c>
      <c r="T54" s="243" t="str">
        <f t="shared" si="4"/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5"/>
        <v>https://d0f6bd738d7f1b3e5a7ca70fe4ff75f0.us-east-1.aws.found.io/app/kibana#/discover/Steve-Slow-Train-Analysis-(2080s-and-2083s)?_g=(refreshInterval:(display:Off,pause:!f,section:0,value:0),time:(from:'2017-11-22T08:35:45-0700',mode:absolute,to:'2017-11-22T11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4" s="248" t="str">
        <f>IF(AA54&lt;VLOOKUP(AG54,Variables!$AC$3:$AD$8,2,FALSE),"Y","N")</f>
        <v>N</v>
      </c>
      <c r="X54" s="248">
        <f t="shared" si="35"/>
        <v>1</v>
      </c>
      <c r="Y54" s="248">
        <f t="shared" si="31"/>
        <v>23.294</v>
      </c>
      <c r="Z54" s="248">
        <f t="shared" si="32"/>
        <v>2.01E-2</v>
      </c>
      <c r="AA54" s="248">
        <f t="shared" si="9"/>
        <v>23.273900000000001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10"/>
        <v>142</v>
      </c>
      <c r="AE54" s="236" t="str">
        <f t="shared" si="1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54" s="235" t="str">
        <f t="shared" si="12"/>
        <v>"C:\Program Files (x86)\AstroGrep\AstroGrep.exe" /e /r /s /spath="%USERPROFILE%\AppData\Local\Temp\OnboardLogs" /stypes="app*4019*20171122*" /stext=" 17:.+((SYSTEM_STATE.+slice.+state.+changed )|(ment ac)|(multiple cpu faults)|(system.+state.+changed )|(\[timeout)|(PRM\|1\|D)|(kpr)|(kdp)|(train st.+moving)|(\|lc)|(penalty))"</v>
      </c>
      <c r="AG54" s="245" t="str">
        <f t="shared" si="13"/>
        <v>EC</v>
      </c>
      <c r="AH54" s="237" t="str">
        <f t="shared" si="19"/>
        <v>"%USERPROFILE%\Documents\GitHub\eaglep3\Utilities\RefineRTDCRunTimes.py" --tripid 142-22 --locoid 4019 --swversion DE.1.0.9.0 --startMP 204:232940 --initTime 2017-11-22T09:35:45 --startdatetime 2017-11-22T09:42:30 --delay 71 --endMP 204:201 --enddatetime 2017-11-22T10:21:51 --enforcementcount 0 &gt;&gt;%USERPROFILE%\Documents\GitHub\eaglep3-reporting\EC\2017-11-22-refined-times.txt</v>
      </c>
      <c r="AI54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{"issue":{"subject":"","project_id":79,"tracker_id":40,"status_id":1,"priority_id":2,"assigned_to_id":338,"start_date":"2017-11-22","description":"","custom_fields":[{"id":1,"name":"Subdivision","value":"EC"},{"id":4,"name":"Milepost","value":"0.0201"},{"id":17,"name":"Train ID","value":"142-22"},{"id":16,"name":"Locomotive ID","value":"4019"},{"id":130,"name":"Impact","value":""},{"id":150,"name":"Time of Event (Mountain Time)","value":"10:21:51"},{"id":151,"name":"Denver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4019 --day 2017-11-22</v>
      </c>
      <c r="AN54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17:21:51"},{"id":29,"name":"Sharepoint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-22T08:35:45-0700',mode:absolute,to:'2017-11-22T11:21:51-0700'))&amp;_a=(columns:!('Message%20ID',Summary),filters:!(),index:'emp_*',interval:auto,query:(query_string:(analyze_wildcard:!t,query:'%22rtdc.l.rtdc.4019%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30" t="s">
        <v>742</v>
      </c>
      <c r="B55" s="226">
        <v>4002</v>
      </c>
      <c r="C55" s="228" t="s">
        <v>192</v>
      </c>
      <c r="D55" s="228" t="s">
        <v>451</v>
      </c>
      <c r="E55" s="227">
        <v>43061.37059027778</v>
      </c>
      <c r="F55" s="227">
        <v>43061.375150462962</v>
      </c>
      <c r="G55" s="226">
        <v>53</v>
      </c>
      <c r="H55" s="228" t="s">
        <v>924</v>
      </c>
      <c r="I55" s="227">
        <v>43061.399953703702</v>
      </c>
      <c r="J55" s="226">
        <v>0</v>
      </c>
      <c r="K55" s="238" t="str">
        <f t="shared" si="0"/>
        <v>4001/4002</v>
      </c>
      <c r="L55" s="246" t="str">
        <f>VLOOKUP(A55,'Trips&amp;Operators'!$C$1:$G$99911,5,FALSE)</f>
        <v>PAGE MARCUS</v>
      </c>
      <c r="M55" s="225">
        <f t="shared" si="1"/>
        <v>2.4803240739856847E-2</v>
      </c>
      <c r="N55" s="226">
        <f t="shared" si="34"/>
        <v>35.716666665393859</v>
      </c>
      <c r="O55" s="226"/>
      <c r="P55" s="226"/>
      <c r="Q55" s="229"/>
      <c r="R55" s="243"/>
      <c r="S55" s="250">
        <f t="shared" si="25"/>
        <v>1</v>
      </c>
      <c r="T55" s="243" t="str">
        <f t="shared" si="4"/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5"/>
        <v>https://d0f6bd738d7f1b3e5a7ca70fe4ff75f0.us-east-1.aws.found.io/app/kibana#/discover/Steve-Slow-Train-Analysis-(2080s-and-2083s)?_g=(refreshInterval:(display:Off,pause:!f,section:0,value:0),time:(from:'2017-11-22T07:53:39-0700',mode:absolute,to:'2017-11-22T10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248" t="str">
        <f>IF(AA55&lt;VLOOKUP(AG55,Variables!$AC$3:$AD$8,2,FALSE),"Y","N")</f>
        <v>N</v>
      </c>
      <c r="X55" s="248">
        <f t="shared" si="35"/>
        <v>1</v>
      </c>
      <c r="Y55" s="248">
        <f t="shared" si="31"/>
        <v>5.1900000000000002E-2</v>
      </c>
      <c r="Z55" s="248">
        <f t="shared" si="32"/>
        <v>23.330200000000001</v>
      </c>
      <c r="AA55" s="248">
        <f t="shared" si="9"/>
        <v>23.278300000000002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10"/>
        <v>143</v>
      </c>
      <c r="AE55" s="236" t="str">
        <f t="shared" si="1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55" s="235" t="str">
        <f t="shared" si="12"/>
        <v>"C:\Program Files (x86)\AstroGrep\AstroGrep.exe" /e /r /s /spath="%USERPROFILE%\AppData\Local\Temp\OnboardLogs" /stypes="app*4002*20171122*" /stext=" 16:.+((SYSTEM_STATE.+slice.+state.+changed )|(ment ac)|(multiple cpu faults)|(system.+state.+changed )|(\[timeout)|(PRM\|1\|D)|(kpr)|(kdp)|(train st.+moving)|(\|lc)|(penalty))"</v>
      </c>
      <c r="AG55" s="245" t="str">
        <f t="shared" si="13"/>
        <v>EC</v>
      </c>
      <c r="AH55" s="237" t="str">
        <f t="shared" si="19"/>
        <v>"%USERPROFILE%\Documents\GitHub\eaglep3\Utilities\RefineRTDCRunTimes.py" --tripid 143-22 --locoid 4002 --swversion DE.1.0.9.0 --startMP 204:519 --initTime 2017-11-22T08:53:39 --startdatetime 2017-11-22T09:00:13 --delay 53 --endMP 204:233302 --enddatetime 2017-11-22T09:35:56 --enforcementcount 0 &gt;&gt;%USERPROFILE%\Documents\GitHub\eaglep3-reporting\EC\2017-11-22-refined-times.txt</v>
      </c>
      <c r="AI5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{"issue":{"subject":"","project_id":79,"tracker_id":40,"status_id":1,"priority_id":2,"assigned_to_id":338,"start_date":"2017-11-22","description":"","custom_fields":[{"id":1,"name":"Subdivision","value":"EC"},{"id":4,"name":"Milepost","value":"23.3302"},{"id":17,"name":"Train ID","value":"143-22"},{"id":16,"name":"Locomotive ID","value":"4002"},{"id":130,"name":"Impact","value":""},{"id":150,"name":"Time of Event (Mountain Time)","value":"09:35:56"},{"id":151,"name":"Denver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4002 --day 2017-11-22</v>
      </c>
      <c r="AN5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-22T07:53:39-0700',mode:absolute,to:'2017-11-22T10:35:56-0700'))&amp;_a=(columns:!('Message%20ID',Summary),filters:!(),index:'emp_*',interval:auto,query:(query_string:(analyze_wildcard:!t,query:'%22rtdc.l.rtdc.4002%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30" t="s">
        <v>749</v>
      </c>
      <c r="B56" s="226">
        <v>4001</v>
      </c>
      <c r="C56" s="228" t="s">
        <v>192</v>
      </c>
      <c r="D56" s="228" t="s">
        <v>620</v>
      </c>
      <c r="E56" s="227">
        <v>43061.409398148149</v>
      </c>
      <c r="F56" s="227">
        <v>43061.414733796293</v>
      </c>
      <c r="G56" s="226">
        <v>59</v>
      </c>
      <c r="H56" s="228" t="s">
        <v>925</v>
      </c>
      <c r="I56" s="227">
        <v>43061.440937500003</v>
      </c>
      <c r="J56" s="226">
        <v>0</v>
      </c>
      <c r="K56" s="238" t="str">
        <f t="shared" si="0"/>
        <v>4001/4002</v>
      </c>
      <c r="L56" s="246" t="str">
        <f>VLOOKUP(A56,'Trips&amp;Operators'!$C$1:$G$99911,5,FALSE)</f>
        <v>PAGE MARCUS</v>
      </c>
      <c r="M56" s="225">
        <f t="shared" si="1"/>
        <v>2.620370371005265E-2</v>
      </c>
      <c r="N56" s="226">
        <f t="shared" si="34"/>
        <v>37.733333342475817</v>
      </c>
      <c r="O56" s="226"/>
      <c r="P56" s="226"/>
      <c r="Q56" s="229"/>
      <c r="R56" s="243"/>
      <c r="S56" s="250">
        <f t="shared" si="25"/>
        <v>1</v>
      </c>
      <c r="T56" s="243" t="str">
        <f t="shared" si="4"/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5"/>
        <v>https://d0f6bd738d7f1b3e5a7ca70fe4ff75f0.us-east-1.aws.found.io/app/kibana#/discover/Steve-Slow-Train-Analysis-(2080s-and-2083s)?_g=(refreshInterval:(display:Off,pause:!f,section:0,value:0),time:(from:'2017-11-22T08:49:32-0700',mode:absolute,to:'2017-11-22T11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248" t="str">
        <f>IF(AA56&lt;VLOOKUP(AG56,Variables!$AC$3:$AD$8,2,FALSE),"Y","N")</f>
        <v>N</v>
      </c>
      <c r="X56" s="248">
        <f t="shared" si="35"/>
        <v>1</v>
      </c>
      <c r="Y56" s="248">
        <f t="shared" si="31"/>
        <v>23.296600000000002</v>
      </c>
      <c r="Z56" s="248">
        <f t="shared" si="32"/>
        <v>1.7999999999999999E-2</v>
      </c>
      <c r="AA56" s="248">
        <f t="shared" si="9"/>
        <v>23.278600000000001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10"/>
        <v>144</v>
      </c>
      <c r="AE56" s="236" t="str">
        <f t="shared" si="1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56" s="235" t="str">
        <f t="shared" si="12"/>
        <v>"C:\Program Files (x86)\AstroGrep\AstroGrep.exe" /e /r /s /spath="%USERPROFILE%\AppData\Local\Temp\OnboardLogs" /stypes="app*4001*20171122*" /stext=" 17:.+((SYSTEM_STATE.+slice.+state.+changed )|(ment ac)|(multiple cpu faults)|(system.+state.+changed )|(\[timeout)|(PRM\|1\|D)|(kpr)|(kdp)|(train st.+moving)|(\|lc)|(penalty))"</v>
      </c>
      <c r="AG56" s="245" t="str">
        <f t="shared" si="13"/>
        <v>EC</v>
      </c>
      <c r="AH56" s="237" t="str">
        <f t="shared" si="19"/>
        <v>"%USERPROFILE%\Documents\GitHub\eaglep3\Utilities\RefineRTDCRunTimes.py" --tripid 144-22 --locoid 4001 --swversion DE.1.0.9.0 --startMP 204:232966 --initTime 2017-11-22T09:49:32 --startdatetime 2017-11-22T09:57:13 --delay 59 --endMP 204:180 --enddatetime 2017-11-22T10:34:57 --enforcementcount 0 &gt;&gt;%USERPROFILE%\Documents\GitHub\eaglep3-reporting\EC\2017-11-22-refined-times.txt</v>
      </c>
      <c r="AI56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{"issue":{"subject":"","project_id":79,"tracker_id":40,"status_id":1,"priority_id":2,"assigned_to_id":338,"start_date":"2017-11-22","description":"","custom_fields":[{"id":1,"name":"Subdivision","value":"EC"},{"id":4,"name":"Milepost","value":"0.018"},{"id":17,"name":"Train ID","value":"144-22"},{"id":16,"name":"Locomotive ID","value":"4001"},{"id":130,"name":"Impact","value":""},{"id":150,"name":"Time of Event (Mountain Time)","value":"10:34:57"},{"id":151,"name":"Denver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4001 --day 2017-11-22</v>
      </c>
      <c r="AN56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-22T08:49:32-0700',mode:absolute,to:'2017-11-22T11:34:57-0700'))&amp;_a=(columns:!('Message%20ID',Summary),filters:!(),index:'emp_*',interval:auto,query:(query_string:(analyze_wildcard:!t,query:'%22rtdc.l.rtdc.4001%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30" t="s">
        <v>746</v>
      </c>
      <c r="B57" s="226">
        <v>4040</v>
      </c>
      <c r="C57" s="228" t="s">
        <v>192</v>
      </c>
      <c r="D57" s="228" t="s">
        <v>452</v>
      </c>
      <c r="E57" s="227">
        <v>43061.383831018517</v>
      </c>
      <c r="F57" s="227">
        <v>43061.385648148149</v>
      </c>
      <c r="G57" s="226">
        <v>53</v>
      </c>
      <c r="H57" s="228" t="s">
        <v>926</v>
      </c>
      <c r="I57" s="227">
        <v>43061.410138888888</v>
      </c>
      <c r="J57" s="226">
        <v>0</v>
      </c>
      <c r="K57" s="238" t="str">
        <f t="shared" si="0"/>
        <v>4039/4040</v>
      </c>
      <c r="L57" s="246" t="str">
        <f>VLOOKUP(A57,'Trips&amp;Operators'!$C$1:$G$99911,5,FALSE)</f>
        <v>DAVIDSON DAVID</v>
      </c>
      <c r="M57" s="225">
        <f t="shared" si="1"/>
        <v>2.4490740739565808E-2</v>
      </c>
      <c r="N57" s="226">
        <f t="shared" si="34"/>
        <v>35.266666664974764</v>
      </c>
      <c r="O57" s="226"/>
      <c r="P57" s="226"/>
      <c r="Q57" s="229"/>
      <c r="R57" s="243"/>
      <c r="S57" s="250">
        <f t="shared" si="25"/>
        <v>1</v>
      </c>
      <c r="T57" s="243" t="str">
        <f t="shared" si="4"/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5"/>
        <v>https://d0f6bd738d7f1b3e5a7ca70fe4ff75f0.us-east-1.aws.found.io/app/kibana#/discover/Steve-Slow-Train-Analysis-(2080s-and-2083s)?_g=(refreshInterval:(display:Off,pause:!f,section:0,value:0),time:(from:'2017-11-22T08:12:43-0700',mode:absolute,to:'2017-11-22T10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7" s="248" t="str">
        <f>IF(AA57&lt;VLOOKUP(AG57,Variables!$AC$3:$AD$8,2,FALSE),"Y","N")</f>
        <v>N</v>
      </c>
      <c r="X57" s="248">
        <f t="shared" si="35"/>
        <v>1</v>
      </c>
      <c r="Y57" s="248">
        <f t="shared" si="31"/>
        <v>5.3699999999999998E-2</v>
      </c>
      <c r="Z57" s="248">
        <f t="shared" si="32"/>
        <v>23.330500000000001</v>
      </c>
      <c r="AA57" s="248">
        <f t="shared" si="9"/>
        <v>23.276800000000001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10"/>
        <v>145</v>
      </c>
      <c r="AE57" s="236" t="str">
        <f t="shared" si="1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57" s="235" t="str">
        <f t="shared" si="12"/>
        <v>"C:\Program Files (x86)\AstroGrep\AstroGrep.exe" /e /r /s /spath="%USERPROFILE%\AppData\Local\Temp\OnboardLogs" /stypes="app*4040*20171122*" /stext=" 16:.+((SYSTEM_STATE.+slice.+state.+changed )|(ment ac)|(multiple cpu faults)|(system.+state.+changed )|(\[timeout)|(PRM\|1\|D)|(kpr)|(kdp)|(train st.+moving)|(\|lc)|(penalty))"</v>
      </c>
      <c r="AG57" s="245" t="str">
        <f t="shared" si="13"/>
        <v>EC</v>
      </c>
      <c r="AH57" s="237" t="str">
        <f t="shared" si="19"/>
        <v>"%USERPROFILE%\Documents\GitHub\eaglep3\Utilities\RefineRTDCRunTimes.py" --tripid 145-22 --locoid 4040 --swversion DE.1.0.9.0 --startMP 204:537 --initTime 2017-11-22T09:12:43 --startdatetime 2017-11-22T09:15:20 --delay 53 --endMP 204:233305 --enddatetime 2017-11-22T09:50:36 --enforcementcount 0 &gt;&gt;%USERPROFILE%\Documents\GitHub\eaglep3-reporting\EC\2017-11-22-refined-times.txt</v>
      </c>
      <c r="AI57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{"issue":{"subject":"","project_id":79,"tracker_id":40,"status_id":1,"priority_id":2,"assigned_to_id":338,"start_date":"2017-11-22","description":"","custom_fields":[{"id":1,"name":"Subdivision","value":"EC"},{"id":4,"name":"Milepost","value":"23.3305"},{"id":17,"name":"Train ID","value":"145-22"},{"id":16,"name":"Locomotive ID","value":"4040"},{"id":130,"name":"Impact","value":""},{"id":150,"name":"Time of Event (Mountain Time)","value":"09:50:36"},{"id":151,"name":"Denver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4040 --day 2017-11-22</v>
      </c>
      <c r="AN57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-22T08:12:43-0700',mode:absolute,to:'2017-11-22T10:50:36-0700'))&amp;_a=(columns:!('Message%20ID',Summary),filters:!(),index:'emp_*',interval:auto,query:(query_string:(analyze_wildcard:!t,query:'%22rtdc.l.rtdc.4040%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30" t="s">
        <v>750</v>
      </c>
      <c r="B58" s="226">
        <v>4039</v>
      </c>
      <c r="C58" s="228" t="s">
        <v>192</v>
      </c>
      <c r="D58" s="228" t="s">
        <v>927</v>
      </c>
      <c r="E58" s="227">
        <v>43061.411562499998</v>
      </c>
      <c r="F58" s="227">
        <v>43061.425219907411</v>
      </c>
      <c r="G58" s="226">
        <v>99</v>
      </c>
      <c r="H58" s="228" t="s">
        <v>458</v>
      </c>
      <c r="I58" s="227">
        <v>43061.452152777776</v>
      </c>
      <c r="J58" s="226">
        <v>0</v>
      </c>
      <c r="K58" s="238" t="str">
        <f t="shared" si="0"/>
        <v>4039/4040</v>
      </c>
      <c r="L58" s="246" t="str">
        <f>VLOOKUP(A58,'Trips&amp;Operators'!$C$1:$G$99911,5,FALSE)</f>
        <v>DAVIDSON DAVID</v>
      </c>
      <c r="M58" s="225">
        <f t="shared" si="1"/>
        <v>2.693287036527181E-2</v>
      </c>
      <c r="N58" s="226">
        <f t="shared" si="34"/>
        <v>38.783333325991407</v>
      </c>
      <c r="O58" s="226"/>
      <c r="P58" s="226"/>
      <c r="Q58" s="229"/>
      <c r="R58" s="243"/>
      <c r="S58" s="250">
        <f t="shared" si="25"/>
        <v>1</v>
      </c>
      <c r="T58" s="243" t="str">
        <f t="shared" si="4"/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5"/>
        <v>https://d0f6bd738d7f1b3e5a7ca70fe4ff75f0.us-east-1.aws.found.io/app/kibana#/discover/Steve-Slow-Train-Analysis-(2080s-and-2083s)?_g=(refreshInterval:(display:Off,pause:!f,section:0,value:0),time:(from:'2017-11-22T08:52:39-0700',mode:absolute,to:'2017-11-22T11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8" s="248" t="str">
        <f>IF(AA58&lt;VLOOKUP(AG58,Variables!$AC$3:$AD$8,2,FALSE),"Y","N")</f>
        <v>N</v>
      </c>
      <c r="X58" s="248">
        <f t="shared" si="35"/>
        <v>1</v>
      </c>
      <c r="Y58" s="248">
        <f t="shared" si="31"/>
        <v>23.2971</v>
      </c>
      <c r="Z58" s="248">
        <f t="shared" si="32"/>
        <v>2.2700000000000001E-2</v>
      </c>
      <c r="AA58" s="248">
        <f t="shared" si="9"/>
        <v>23.2744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10"/>
        <v>146</v>
      </c>
      <c r="AE58" s="236" t="str">
        <f t="shared" si="1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58" s="235" t="str">
        <f t="shared" si="12"/>
        <v>"C:\Program Files (x86)\AstroGrep\AstroGrep.exe" /e /r /s /spath="%USERPROFILE%\AppData\Local\Temp\OnboardLogs" /stypes="app*4039*20171122*" /stext=" 17:.+((SYSTEM_STATE.+slice.+state.+changed )|(ment ac)|(multiple cpu faults)|(system.+state.+changed )|(\[timeout)|(PRM\|1\|D)|(kpr)|(kdp)|(train st.+moving)|(\|lc)|(penalty))"</v>
      </c>
      <c r="AG58" s="245" t="str">
        <f t="shared" si="13"/>
        <v>EC</v>
      </c>
      <c r="AH58" s="237" t="str">
        <f t="shared" si="19"/>
        <v>"%USERPROFILE%\Documents\GitHub\eaglep3\Utilities\RefineRTDCRunTimes.py" --tripid 146-22 --locoid 4039 --swversion DE.1.0.9.0 --startMP 204:232971 --initTime 2017-11-22T09:52:39 --startdatetime 2017-11-22T10:12:19 --delay 99 --endMP 204:227 --enddatetime 2017-11-22T10:51:06 --enforcementcount 0 &gt;&gt;%USERPROFILE%\Documents\GitHub\eaglep3-reporting\EC\2017-11-22-refined-times.txt</v>
      </c>
      <c r="AI58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{"issue":{"subject":"","project_id":79,"tracker_id":40,"status_id":1,"priority_id":2,"assigned_to_id":338,"start_date":"2017-11-22","description":"","custom_fields":[{"id":1,"name":"Subdivision","value":"EC"},{"id":4,"name":"Milepost","value":"0.0227"},{"id":17,"name":"Train ID","value":"146-22"},{"id":16,"name":"Locomotive ID","value":"4039"},{"id":130,"name":"Impact","value":""},{"id":150,"name":"Time of Event (Mountain Time)","value":"10:51:06"},{"id":151,"name":"Denver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4039 --day 2017-11-22</v>
      </c>
      <c r="AN58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-22T08:52:39-0700',mode:absolute,to:'2017-11-22T11:51:06-0700'))&amp;_a=(columns:!('Message%20ID',Summary),filters:!(),index:'emp_*',interval:auto,query:(query_string:(analyze_wildcard:!t,query:'%22rtdc.l.rtdc.4039%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30" t="s">
        <v>747</v>
      </c>
      <c r="B59" s="226">
        <v>4016</v>
      </c>
      <c r="C59" s="228" t="s">
        <v>192</v>
      </c>
      <c r="D59" s="228" t="s">
        <v>451</v>
      </c>
      <c r="E59" s="227">
        <v>43061.390509259261</v>
      </c>
      <c r="F59" s="227">
        <v>43061.396087962959</v>
      </c>
      <c r="G59" s="226">
        <v>49</v>
      </c>
      <c r="H59" s="228" t="s">
        <v>928</v>
      </c>
      <c r="I59" s="227">
        <v>43061.422893518517</v>
      </c>
      <c r="J59" s="226">
        <v>0</v>
      </c>
      <c r="K59" s="238" t="str">
        <f t="shared" si="0"/>
        <v>4015/4016</v>
      </c>
      <c r="L59" s="246" t="str">
        <f>VLOOKUP(A59,'Trips&amp;Operators'!$C$1:$G$99911,5,FALSE)</f>
        <v>FORTUNATO FRANK</v>
      </c>
      <c r="M59" s="225">
        <f t="shared" si="1"/>
        <v>2.6805555557075422E-2</v>
      </c>
      <c r="N59" s="226">
        <f t="shared" si="34"/>
        <v>38.600000002188608</v>
      </c>
      <c r="O59" s="226"/>
      <c r="P59" s="226"/>
      <c r="Q59" s="229"/>
      <c r="R59" s="243"/>
      <c r="S59" s="250">
        <f t="shared" si="25"/>
        <v>1</v>
      </c>
      <c r="T59" s="243" t="str">
        <f t="shared" si="4"/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5"/>
        <v>https://d0f6bd738d7f1b3e5a7ca70fe4ff75f0.us-east-1.aws.found.io/app/kibana#/discover/Steve-Slow-Train-Analysis-(2080s-and-2083s)?_g=(refreshInterval:(display:Off,pause:!f,section:0,value:0),time:(from:'2017-11-22T08:22:20-0700',mode:absolute,to:'2017-11-22T11:08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9" s="248" t="str">
        <f>IF(AA59&lt;VLOOKUP(AG59,Variables!$AC$3:$AD$8,2,FALSE),"Y","N")</f>
        <v>N</v>
      </c>
      <c r="X59" s="248">
        <f t="shared" si="35"/>
        <v>1</v>
      </c>
      <c r="Y59" s="248">
        <f t="shared" si="31"/>
        <v>5.1900000000000002E-2</v>
      </c>
      <c r="Z59" s="248">
        <f t="shared" si="32"/>
        <v>23.320399999999999</v>
      </c>
      <c r="AA59" s="248">
        <f t="shared" si="9"/>
        <v>23.2685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10"/>
        <v>147</v>
      </c>
      <c r="AE59" s="236" t="str">
        <f t="shared" si="1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59" s="235" t="str">
        <f t="shared" si="12"/>
        <v>"C:\Program Files (x86)\AstroGrep\AstroGrep.exe" /e /r /s /spath="%USERPROFILE%\AppData\Local\Temp\OnboardLogs" /stypes="app*4016*20171122*" /stext=" 17:.+((SYSTEM_STATE.+slice.+state.+changed )|(ment ac)|(multiple cpu faults)|(system.+state.+changed )|(\[timeout)|(PRM\|1\|D)|(kpr)|(kdp)|(train st.+moving)|(\|lc)|(penalty))"</v>
      </c>
      <c r="AG59" s="245" t="str">
        <f t="shared" si="13"/>
        <v>EC</v>
      </c>
      <c r="AH59" s="237" t="str">
        <f t="shared" si="19"/>
        <v>"%USERPROFILE%\Documents\GitHub\eaglep3\Utilities\RefineRTDCRunTimes.py" --tripid 147-22 --locoid 4016 --swversion DE.1.0.9.0 --startMP 204:519 --initTime 2017-11-22T09:22:20 --startdatetime 2017-11-22T09:30:22 --delay 49 --endMP 204:233204 --enddatetime 2017-11-22T10:08:58 --enforcementcount 0 &gt;&gt;%USERPROFILE%\Documents\GitHub\eaglep3-reporting\EC\2017-11-22-refined-times.txt</v>
      </c>
      <c r="AI59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{"issue":{"subject":"","project_id":79,"tracker_id":40,"status_id":1,"priority_id":2,"assigned_to_id":338,"start_date":"2017-11-22","description":"","custom_fields":[{"id":1,"name":"Subdivision","value":"EC"},{"id":4,"name":"Milepost","value":"23.3204"},{"id":17,"name":"Train ID","value":"147-22"},{"id":16,"name":"Locomotive ID","value":"4016"},{"id":130,"name":"Impact","value":""},{"id":150,"name":"Time of Event (Mountain Time)","value":"10:08:58"},{"id":151,"name":"Denver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4016 --day 2017-11-22</v>
      </c>
      <c r="AN59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17:08:58"},{"id":29,"name":"Sharepoint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-22T08:22:20-0700',mode:absolute,to:'2017-11-22T11:08:58-0700'))&amp;_a=(columns:!('Message%20ID',Summary),filters:!(),index:'emp_*',interval:auto,query:(query_string:(analyze_wildcard:!t,query:'%22rtdc.l.rtdc.4016%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30" t="s">
        <v>655</v>
      </c>
      <c r="B60" s="226">
        <v>4015</v>
      </c>
      <c r="C60" s="228" t="s">
        <v>192</v>
      </c>
      <c r="D60" s="228" t="s">
        <v>929</v>
      </c>
      <c r="E60" s="227">
        <v>43061.425104166665</v>
      </c>
      <c r="F60" s="227">
        <v>43061.435636574075</v>
      </c>
      <c r="G60" s="226">
        <v>61</v>
      </c>
      <c r="H60" s="228" t="s">
        <v>607</v>
      </c>
      <c r="I60" s="227">
        <v>43061.46261574074</v>
      </c>
      <c r="J60" s="226">
        <v>0</v>
      </c>
      <c r="K60" s="238" t="str">
        <f t="shared" si="0"/>
        <v>4015/4016</v>
      </c>
      <c r="L60" s="246" t="str">
        <f>VLOOKUP(A60,'Trips&amp;Operators'!$C$1:$G$99911,5,FALSE)</f>
        <v>FORTUNATO FRANK</v>
      </c>
      <c r="M60" s="225">
        <f t="shared" si="1"/>
        <v>2.6979166665114462E-2</v>
      </c>
      <c r="N60" s="226">
        <f t="shared" si="34"/>
        <v>38.849999997764826</v>
      </c>
      <c r="O60" s="226"/>
      <c r="P60" s="226"/>
      <c r="Q60" s="229"/>
      <c r="R60" s="243"/>
      <c r="S60" s="250">
        <f t="shared" si="25"/>
        <v>1</v>
      </c>
      <c r="T60" s="243" t="str">
        <f t="shared" si="4"/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5"/>
        <v>https://d0f6bd738d7f1b3e5a7ca70fe4ff75f0.us-east-1.aws.found.io/app/kibana#/discover/Steve-Slow-Train-Analysis-(2080s-and-2083s)?_g=(refreshInterval:(display:Off,pause:!f,section:0,value:0),time:(from:'2017-11-22T09:12:09-0700',mode:absolute,to:'2017-11-22T12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0" s="248" t="str">
        <f>IF(AA60&lt;VLOOKUP(AG60,Variables!$AC$3:$AD$8,2,FALSE),"Y","N")</f>
        <v>N</v>
      </c>
      <c r="X60" s="248">
        <f t="shared" si="35"/>
        <v>1</v>
      </c>
      <c r="Y60" s="248">
        <f t="shared" si="31"/>
        <v>23.289200000000001</v>
      </c>
      <c r="Z60" s="248">
        <f t="shared" si="32"/>
        <v>2.01E-2</v>
      </c>
      <c r="AA60" s="248">
        <f t="shared" si="9"/>
        <v>23.269100000000002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10"/>
        <v>148</v>
      </c>
      <c r="AE60" s="236" t="str">
        <f t="shared" si="1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60" s="235" t="str">
        <f t="shared" si="12"/>
        <v>"C:\Program Files (x86)\AstroGrep\AstroGrep.exe" /e /r /s /spath="%USERPROFILE%\AppData\Local\Temp\OnboardLogs" /stypes="app*4015*20171122*" /stext=" 18:.+((SYSTEM_STATE.+slice.+state.+changed )|(ment ac)|(multiple cpu faults)|(system.+state.+changed )|(\[timeout)|(PRM\|1\|D)|(kpr)|(kdp)|(train st.+moving)|(\|lc)|(penalty))"</v>
      </c>
      <c r="AG60" s="245" t="str">
        <f t="shared" si="13"/>
        <v>EC</v>
      </c>
      <c r="AH60" s="237" t="str">
        <f t="shared" si="19"/>
        <v>"%USERPROFILE%\Documents\GitHub\eaglep3\Utilities\RefineRTDCRunTimes.py" --tripid 148-22 --locoid 4015 --swversion DE.1.0.9.0 --startMP 204:232892 --initTime 2017-11-22T10:12:09 --startdatetime 2017-11-22T10:27:19 --delay 61 --endMP 204:201 --enddatetime 2017-11-22T11:06:10 --enforcementcount 0 &gt;&gt;%USERPROFILE%\Documents\GitHub\eaglep3-reporting\EC\2017-11-22-refined-times.txt</v>
      </c>
      <c r="AI60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{"issue":{"subject":"","project_id":79,"tracker_id":40,"status_id":1,"priority_id":2,"assigned_to_id":338,"start_date":"2017-11-22","description":"","custom_fields":[{"id":1,"name":"Subdivision","value":"EC"},{"id":4,"name":"Milepost","value":"0.0201"},{"id":17,"name":"Train ID","value":"148-22"},{"id":16,"name":"Locomotive ID","value":"4015"},{"id":130,"name":"Impact","value":""},{"id":150,"name":"Time of Event (Mountain Time)","value":"11:06:10"},{"id":151,"name":"Denver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4015 --day 2017-11-22</v>
      </c>
      <c r="AN60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-22T09:12:09-0700',mode:absolute,to:'2017-11-22T12:06:10-0700'))&amp;_a=(columns:!('Message%20ID',Summary),filters:!(),index:'emp_*',interval:auto,query:(query_string:(analyze_wildcard:!t,query:'%22rtdc.l.rtdc.4015%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30" t="s">
        <v>1126</v>
      </c>
      <c r="B61" s="226">
        <v>4006</v>
      </c>
      <c r="C61" s="228" t="s">
        <v>192</v>
      </c>
      <c r="D61" s="228" t="s">
        <v>929</v>
      </c>
      <c r="E61" s="227">
        <v>43061.425104166665</v>
      </c>
      <c r="F61" s="227">
        <v>43061.407060185185</v>
      </c>
      <c r="G61" s="226">
        <v>73</v>
      </c>
      <c r="H61" s="228" t="s">
        <v>1019</v>
      </c>
      <c r="I61" s="227">
        <v>43061.431956018518</v>
      </c>
      <c r="J61" s="226">
        <v>0</v>
      </c>
      <c r="K61" s="238" t="str">
        <f t="shared" ref="K61" si="36">IF(ISEVEN(B61),(B61-1)&amp;"/"&amp;B61,B61&amp;"/"&amp;(B61+1))</f>
        <v>4005/4006</v>
      </c>
      <c r="L61" s="246" t="s">
        <v>1127</v>
      </c>
      <c r="M61" s="225">
        <f t="shared" ref="M61" si="37">I61-F61</f>
        <v>2.4895833332266193E-2</v>
      </c>
      <c r="N61" s="226">
        <f t="shared" si="34"/>
        <v>35.849999998463318</v>
      </c>
      <c r="O61" s="226"/>
      <c r="P61" s="226"/>
      <c r="Q61" s="229"/>
      <c r="R61" s="243"/>
      <c r="S61" s="250">
        <f t="shared" ref="S61" si="38">1/IF(AG61="EC",12,1)*SUM(U61:U61)</f>
        <v>1</v>
      </c>
      <c r="T61" s="243" t="str">
        <f t="shared" ref="T61" si="39">IF(ISEVEN(LEFT(AD61,4)),"Southbound","NorthBound")</f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ref="V61" si="40"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-22T09:12:09-0700',mode:absolute,to:'2017-11-22T11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1" s="248" t="str">
        <f>IF(AA61&lt;VLOOKUP(AG61,Variables!$AC$3:$AD$8,2,FALSE),"Y","N")</f>
        <v>N</v>
      </c>
      <c r="X61" s="248">
        <f t="shared" ref="X61:X64" si="41">VALUE(LEFT(AD61,4))-VALUE(LEFT(AD60,4))</f>
        <v>1</v>
      </c>
      <c r="Y61" s="248">
        <v>5.3100000000000001E-2</v>
      </c>
      <c r="Z61" s="248">
        <v>23.318000000000001</v>
      </c>
      <c r="AA61" s="248">
        <f t="shared" ref="AA61" si="42">ABS(Z61-Y61)</f>
        <v>23.264900000000001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ref="AD61" si="43">VALUE(LEFT(A61,LEN(A61)-3))</f>
        <v>149</v>
      </c>
      <c r="AE61" s="236" t="str">
        <f t="shared" ref="AE61" si="44"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61" s="235" t="str">
        <f t="shared" ref="AF61" si="45"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/stypes="app*4006*20171122*" /stext=" 17:.+((SYSTEM_STATE.+slice.+state.+changed )|(ment ac)|(multiple cpu faults)|(system.+state.+changed )|(\[timeout)|(PRM\|1\|D)|(kpr)|(kdp)|(train st.+moving)|(\|lc)|(penalty))"</v>
      </c>
      <c r="AG61" s="245" t="str">
        <f t="shared" ref="AG61" si="46">DetSubdiv(A61)</f>
        <v>EC</v>
      </c>
      <c r="AH61" s="237" t="str">
        <f t="shared" ref="AH61" si="47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149-22 --locoid 4006 --swversion DE.1.0.9.0 --startMP 204:232892 --initTime 2017-11-22T10:12:09 --startdatetime 2017-11-22T09:46:10 --delay 73 --endMP 204:233180 --enddatetime 2017-11-22T10:22:01 --enforcementcount 0 &gt;&gt;%USERPROFILE%\Documents\GitHub\eaglep3-reporting\EC\2017-11-22-refined-times.txt</v>
      </c>
      <c r="AI61" s="239" t="str">
        <f t="shared" ref="AI61" si="48"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{"issue":{"subject":"","project_id":79,"tracker_id":40,"status_id":1,"priority_id":2,"assigned_to_id":338,"start_date":"2017-11-22","description":"","custom_fields":[{"id":1,"name":"Subdivision","value":"EC"},{"id":4,"name":"Milepost","value":"23.318"},{"id":17,"name":"Train ID","value":"149-22"},{"id":16,"name":"Locomotive ID","value":"4006"},{"id":130,"name":"Impact","value":""},{"id":150,"name":"Time of Event (Mountain Time)","value":"10:22:01"},{"id":151,"name":"Denver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ref="AM61" si="49">"start /low /b "&amp;dls3logs&amp;" --loco "&amp;B61&amp;" --day "&amp;TEXT(F61,"YYYY-MM-DD")</f>
        <v>start /low /b %USERPROFILE%\Documents\GitHub\eaglep3\Utilities\DownloadLogsFromS3.py --loco 4006 --day 2017-11-22</v>
      </c>
      <c r="AN61" s="242" t="str">
        <f t="shared" ref="AN61" si="50">"echo {""issue"":{""subject"":"""&amp;R61&amp;""",""project_id"":30,""tracker_id"":4,""status_id"":"&amp;redmine_status_wcr&amp;",""priority_id"":"&amp;redmine_priority_wcr&amp;",""assigned_to_id"":"&amp;redmine_assignee_wcr&amp;",""start_date"":"""&amp;TEXT(I61-utc_offset/24,"YYYY-mm-dd")&amp;""",""description"":"""&amp;AJ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ref="AO61" si="51"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Message%20ID',Summary),filters:!(),index:'emp_*',interval:auto,query:"&amp;"(query_string:(analyze_wildcard:!t,query:'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-11-22T09:12:09-0700',mode:absolute,to:'2017-11-22T11:22:01-0700'))&amp;_a=(columns:!('Message%20ID',Summary),filters:!(),index:'emp_*',interval:auto,query:(query_string:(analyze_wildcard:!t,query:'%22rtdc.l.rtdc.4006%22')),sort:!(Time.ISO8601,asc))</v>
      </c>
      <c r="AP61" s="224"/>
      <c r="AQ61" s="224"/>
      <c r="AR61" s="224"/>
      <c r="AS61" s="224"/>
      <c r="AT61" s="224"/>
      <c r="AU61" s="224"/>
      <c r="AV61" s="224"/>
      <c r="AW61" s="224"/>
      <c r="AX61" s="224"/>
      <c r="AY61" s="224"/>
      <c r="AZ61" s="224"/>
      <c r="BA61" s="224"/>
      <c r="BB61" s="224"/>
      <c r="BC61" s="224"/>
      <c r="BD61" s="224"/>
      <c r="BE61" s="224"/>
      <c r="BF61" s="224"/>
      <c r="BG61" s="224"/>
      <c r="BH61" s="224"/>
      <c r="BI61" s="224"/>
      <c r="BJ61" s="224"/>
      <c r="BK61" s="224"/>
      <c r="BL61" s="224"/>
      <c r="BM61" s="224"/>
      <c r="BN61" s="224"/>
      <c r="BO61" s="224"/>
      <c r="BP61" s="224"/>
      <c r="BQ61" s="224"/>
      <c r="BR61" s="224"/>
      <c r="BS61" s="224"/>
      <c r="BT61" s="224"/>
      <c r="BU61" s="224"/>
      <c r="BV61" s="224"/>
      <c r="BW61" s="224"/>
      <c r="BX61" s="224"/>
      <c r="BY61" s="224"/>
      <c r="BZ61" s="224"/>
      <c r="CA61" s="224"/>
      <c r="CB61" s="224"/>
      <c r="CC61" s="224"/>
      <c r="CD61" s="224"/>
      <c r="CE61" s="224"/>
      <c r="CF61" s="224"/>
      <c r="CG61" s="224"/>
      <c r="CH61" s="224"/>
      <c r="CI61" s="224"/>
      <c r="CJ61" s="224"/>
      <c r="CK61" s="224"/>
      <c r="CL61" s="224"/>
      <c r="CM61" s="224"/>
    </row>
    <row r="62" spans="1:91" s="1" customFormat="1" x14ac:dyDescent="0.3">
      <c r="A62" s="230" t="s">
        <v>753</v>
      </c>
      <c r="B62" s="226">
        <v>4005</v>
      </c>
      <c r="C62" s="228" t="s">
        <v>192</v>
      </c>
      <c r="D62" s="228" t="s">
        <v>930</v>
      </c>
      <c r="E62" s="227">
        <v>43061.433229166665</v>
      </c>
      <c r="F62" s="227">
        <v>43061.445983796293</v>
      </c>
      <c r="G62" s="226">
        <v>61</v>
      </c>
      <c r="H62" s="228" t="s">
        <v>513</v>
      </c>
      <c r="I62" s="227">
        <v>43061.471979166665</v>
      </c>
      <c r="J62" s="226">
        <v>0</v>
      </c>
      <c r="K62" s="238" t="str">
        <f t="shared" si="0"/>
        <v>4005/4006</v>
      </c>
      <c r="L62" s="246" t="str">
        <f>VLOOKUP(A62,'Trips&amp;Operators'!$C$1:$G$99911,5,FALSE)</f>
        <v>YANAI IAN</v>
      </c>
      <c r="M62" s="225">
        <f t="shared" si="1"/>
        <v>2.5995370371674653E-2</v>
      </c>
      <c r="N62" s="226">
        <f t="shared" si="34"/>
        <v>37.433333335211501</v>
      </c>
      <c r="O62" s="226"/>
      <c r="P62" s="226"/>
      <c r="Q62" s="229"/>
      <c r="R62" s="243"/>
      <c r="S62" s="250">
        <f t="shared" si="25"/>
        <v>1</v>
      </c>
      <c r="T62" s="243" t="str">
        <f t="shared" si="4"/>
        <v>Southbound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5"/>
        <v>https://d0f6bd738d7f1b3e5a7ca70fe4ff75f0.us-east-1.aws.found.io/app/kibana#/discover/Steve-Slow-Train-Analysis-(2080s-and-2083s)?_g=(refreshInterval:(display:Off,pause:!f,section:0,value:0),time:(from:'2017-11-22T09:23:51-0700',mode:absolute,to:'2017-11-22T12:19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2" s="248" t="str">
        <f>IF(AA62&lt;VLOOKUP(AG62,Variables!$AC$3:$AD$8,2,FALSE),"Y","N")</f>
        <v>N</v>
      </c>
      <c r="X62" s="248">
        <f t="shared" si="41"/>
        <v>1</v>
      </c>
      <c r="Y62" s="248">
        <f t="shared" si="31"/>
        <v>23.284800000000001</v>
      </c>
      <c r="Z62" s="248">
        <f t="shared" si="32"/>
        <v>2.0299999999999999E-2</v>
      </c>
      <c r="AA62" s="248">
        <f t="shared" si="9"/>
        <v>23.264500000000002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10"/>
        <v>150</v>
      </c>
      <c r="AE62" s="236" t="str">
        <f t="shared" si="1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62" s="235" t="str">
        <f t="shared" si="12"/>
        <v>"C:\Program Files (x86)\AstroGrep\AstroGrep.exe" /e /r /s /spath="%USERPROFILE%\AppData\Local\Temp\OnboardLogs" /stypes="app*4005*20171122*" /stext=" 18:.+((SYSTEM_STATE.+slice.+state.+changed )|(ment ac)|(multiple cpu faults)|(system.+state.+changed )|(\[timeout)|(PRM\|1\|D)|(kpr)|(kdp)|(train st.+moving)|(\|lc)|(penalty))"</v>
      </c>
      <c r="AG62" s="245" t="str">
        <f t="shared" si="13"/>
        <v>EC</v>
      </c>
      <c r="AH62" s="237" t="str">
        <f t="shared" si="19"/>
        <v>"%USERPROFILE%\Documents\GitHub\eaglep3\Utilities\RefineRTDCRunTimes.py" --tripid 150-22 --locoid 4005 --swversion DE.1.0.9.0 --startMP 204:232848 --initTime 2017-11-22T10:23:51 --startdatetime 2017-11-22T10:42:13 --delay 61 --endMP 204:203 --enddatetime 2017-11-22T11:19:39 --enforcementcount 0 &gt;&gt;%USERPROFILE%\Documents\GitHub\eaglep3-reporting\EC\2017-11-22-refined-times.txt</v>
      </c>
      <c r="AI62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{"issue":{"subject":"","project_id":79,"tracker_id":40,"status_id":1,"priority_id":2,"assigned_to_id":338,"start_date":"2017-11-22","description":"","custom_fields":[{"id":1,"name":"Subdivision","value":"EC"},{"id":4,"name":"Milepost","value":"0.0203"},{"id":17,"name":"Train ID","value":"150-22"},{"id":16,"name":"Locomotive ID","value":"4005"},{"id":130,"name":"Impact","value":""},{"id":150,"name":"Time of Event (Mountain Time)","value":"11:19:39"},{"id":151,"name":"Denver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4005 --day 2017-11-22</v>
      </c>
      <c r="AN62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-22T09:23:51-0700',mode:absolute,to:'2017-11-22T12:19:39-0700'))&amp;_a=(columns:!('Message%20ID',Summary),filters:!(),index:'emp_*',interval:auto,query:(query_string:(analyze_wildcard:!t,query:'%22rtdc.l.rtdc.4005%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30" t="s">
        <v>656</v>
      </c>
      <c r="B63" s="226">
        <v>4050</v>
      </c>
      <c r="C63" s="228" t="s">
        <v>192</v>
      </c>
      <c r="D63" s="228" t="s">
        <v>451</v>
      </c>
      <c r="E63" s="227">
        <v>43061.415289351855</v>
      </c>
      <c r="F63" s="227">
        <v>43061.417372685188</v>
      </c>
      <c r="G63" s="226">
        <v>65</v>
      </c>
      <c r="H63" s="228" t="s">
        <v>931</v>
      </c>
      <c r="I63" s="227">
        <v>43061.444039351853</v>
      </c>
      <c r="J63" s="226">
        <v>0</v>
      </c>
      <c r="K63" s="238" t="str">
        <f t="shared" si="0"/>
        <v>4049/4050</v>
      </c>
      <c r="L63" s="246" t="str">
        <f>VLOOKUP(A63,'Trips&amp;Operators'!$C$1:$G$99911,5,FALSE)</f>
        <v>THOMPSON LESTER</v>
      </c>
      <c r="M63" s="225">
        <f t="shared" si="1"/>
        <v>2.6666666664823424E-2</v>
      </c>
      <c r="N63" s="226">
        <f t="shared" si="34"/>
        <v>38.399999997345731</v>
      </c>
      <c r="O63" s="226"/>
      <c r="P63" s="226"/>
      <c r="Q63" s="229"/>
      <c r="R63" s="243"/>
      <c r="S63" s="250">
        <f t="shared" si="25"/>
        <v>1</v>
      </c>
      <c r="T63" s="243" t="str">
        <f t="shared" si="4"/>
        <v>NorthBound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5"/>
        <v>https://d0f6bd738d7f1b3e5a7ca70fe4ff75f0.us-east-1.aws.found.io/app/kibana#/discover/Steve-Slow-Train-Analysis-(2080s-and-2083s)?_g=(refreshInterval:(display:Off,pause:!f,section:0,value:0),time:(from:'2017-11-22T08:58:01-0700',mode:absolute,to:'2017-11-22T11:39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3" s="248" t="str">
        <f>IF(AA63&lt;VLOOKUP(AG63,Variables!$AC$3:$AD$8,2,FALSE),"Y","N")</f>
        <v>N</v>
      </c>
      <c r="X63" s="248">
        <f t="shared" si="41"/>
        <v>1</v>
      </c>
      <c r="Y63" s="248">
        <f t="shared" si="31"/>
        <v>5.1900000000000002E-2</v>
      </c>
      <c r="Z63" s="248">
        <f t="shared" si="32"/>
        <v>23.323</v>
      </c>
      <c r="AA63" s="248">
        <f t="shared" si="9"/>
        <v>23.271100000000001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10"/>
        <v>151</v>
      </c>
      <c r="AE63" s="236" t="str">
        <f t="shared" si="1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63" s="235" t="str">
        <f t="shared" si="12"/>
        <v>"C:\Program Files (x86)\AstroGrep\AstroGrep.exe" /e /r /s /spath="%USERPROFILE%\AppData\Local\Temp\OnboardLogs" /stypes="app*4050*20171122*" /stext=" 17:.+((SYSTEM_STATE.+slice.+state.+changed )|(ment ac)|(multiple cpu faults)|(system.+state.+changed )|(\[timeout)|(PRM\|1\|D)|(kpr)|(kdp)|(train st.+moving)|(\|lc)|(penalty))"</v>
      </c>
      <c r="AG63" s="245" t="str">
        <f t="shared" si="13"/>
        <v>EC</v>
      </c>
      <c r="AH63" s="237" t="str">
        <f t="shared" si="19"/>
        <v>"%USERPROFILE%\Documents\GitHub\eaglep3\Utilities\RefineRTDCRunTimes.py" --tripid 151-22 --locoid 4050 --swversion DE.1.0.9.0 --startMP 204:519 --initTime 2017-11-22T09:58:01 --startdatetime 2017-11-22T10:01:01 --delay 65 --endMP 204:233230 --enddatetime 2017-11-22T10:39:25 --enforcementcount 0 &gt;&gt;%USERPROFILE%\Documents\GitHub\eaglep3-reporting\EC\2017-11-22-refined-times.txt</v>
      </c>
      <c r="AI63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{"issue":{"subject":"","project_id":79,"tracker_id":40,"status_id":1,"priority_id":2,"assigned_to_id":338,"start_date":"2017-11-22","description":"","custom_fields":[{"id":1,"name":"Subdivision","value":"EC"},{"id":4,"name":"Milepost","value":"23.323"},{"id":17,"name":"Train ID","value":"151-22"},{"id":16,"name":"Locomotive ID","value":"4050"},{"id":130,"name":"Impact","value":""},{"id":150,"name":"Time of Event (Mountain Time)","value":"10:39:25"},{"id":151,"name":"Denver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4050 --day 2017-11-22</v>
      </c>
      <c r="AN63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-22T08:58:01-0700',mode:absolute,to:'2017-11-22T11:39:25-0700'))&amp;_a=(columns:!('Message%20ID',Summary),filters:!(),index:'emp_*',interval:auto,query:(query_string:(analyze_wildcard:!t,query:'%22rtdc.l.rtdc.4050%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30" t="s">
        <v>761</v>
      </c>
      <c r="B64" s="226">
        <v>4049</v>
      </c>
      <c r="C64" s="228" t="s">
        <v>192</v>
      </c>
      <c r="D64" s="228" t="s">
        <v>542</v>
      </c>
      <c r="E64" s="227">
        <v>43061.455300925925</v>
      </c>
      <c r="F64" s="227">
        <v>43061.456712962965</v>
      </c>
      <c r="G64" s="226">
        <v>67</v>
      </c>
      <c r="H64" s="228" t="s">
        <v>609</v>
      </c>
      <c r="I64" s="227">
        <v>43061.482881944445</v>
      </c>
      <c r="J64" s="226">
        <v>0</v>
      </c>
      <c r="K64" s="238" t="str">
        <f t="shared" si="0"/>
        <v>4049/4050</v>
      </c>
      <c r="L64" s="246" t="str">
        <f>VLOOKUP(A64,'Trips&amp;Operators'!$C$1:$G$99911,5,FALSE)</f>
        <v>THOMPSON LESTER</v>
      </c>
      <c r="M64" s="225">
        <f t="shared" si="1"/>
        <v>2.6168981479713693E-2</v>
      </c>
      <c r="N64" s="226">
        <f t="shared" si="34"/>
        <v>37.683333330787718</v>
      </c>
      <c r="O64" s="226"/>
      <c r="P64" s="226"/>
      <c r="Q64" s="229"/>
      <c r="R64" s="243" t="s">
        <v>1124</v>
      </c>
      <c r="S64" s="250">
        <f t="shared" si="25"/>
        <v>1</v>
      </c>
      <c r="T64" s="243" t="str">
        <f t="shared" si="4"/>
        <v>Southbound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5"/>
        <v>https://d0f6bd738d7f1b3e5a7ca70fe4ff75f0.us-east-1.aws.found.io/app/kibana#/discover/Steve-Slow-Train-Analysis-(2080s-and-2083s)?_g=(refreshInterval:(display:Off,pause:!f,section:0,value:0),time:(from:'2017-11-22T09:55:38-0700',mode:absolute,to:'2017-11-22T12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4" s="248" t="str">
        <f>IF(AA64&lt;VLOOKUP(AG64,Variables!$AC$3:$AD$8,2,FALSE),"Y","N")</f>
        <v>N</v>
      </c>
      <c r="X64" s="248">
        <f t="shared" si="41"/>
        <v>1</v>
      </c>
      <c r="Y64" s="248">
        <f t="shared" si="31"/>
        <v>23.2913</v>
      </c>
      <c r="Z64" s="248">
        <f t="shared" si="32"/>
        <v>2.3199999999999998E-2</v>
      </c>
      <c r="AA64" s="248">
        <f t="shared" si="9"/>
        <v>23.2681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10"/>
        <v>152</v>
      </c>
      <c r="AE64" s="236" t="str">
        <f t="shared" si="1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64" s="235" t="str">
        <f t="shared" si="12"/>
        <v>"C:\Program Files (x86)\AstroGrep\AstroGrep.exe" /e /r /s /spath="%USERPROFILE%\AppData\Local\Temp\OnboardLogs" /stypes="app*4049*20171122*" /stext=" 18:.+((SYSTEM_STATE.+slice.+state.+changed )|(ment ac)|(multiple cpu faults)|(system.+state.+changed )|(\[timeout)|(PRM\|1\|D)|(kpr)|(kdp)|(train st.+moving)|(\|lc)|(penalty))"</v>
      </c>
      <c r="AG64" s="245" t="str">
        <f t="shared" si="13"/>
        <v>EC</v>
      </c>
      <c r="AH64" s="237" t="str">
        <f t="shared" si="19"/>
        <v>"%USERPROFILE%\Documents\GitHub\eaglep3\Utilities\RefineRTDCRunTimes.py" --tripid 152-22 --locoid 4049 --swversion DE.1.0.9.0 --startMP 204:232913 --initTime 2017-11-22T10:55:38 --startdatetime 2017-11-22T10:57:40 --delay 67 --endMP 204:232 --enddatetime 2017-11-22T11:35:21 --enforcementcount 0 &gt;&gt;%USERPROFILE%\Documents\GitHub\eaglep3-reporting\EC\2017-11-22-refined-times.txt</v>
      </c>
      <c r="AI64" s="239" t="str">
        <f t="shared" si="20"/>
        <v>echo {"issue":{"subject":"Observed unhealthy xing banner for Chambers due to station stop","project_id":79,"tracker_id":40,"status_id":1,"priority_id":2,"assigned_to_id":338,"start_date":"2017-11-22","description":"","custom_fields":[{"id":1,"name":"Subdivision","value":"EC"},{"id":4,"name":"Milepost","value":"0.0232"},{"id":17,"name":"Train ID","value":"152-22"},{"id":16,"name":"Locomotive ID","value":"4049"},{"id":130,"name":"Impact","value":""},{"id":150,"name":"Time of Event (Mountain Time)","value":"11:35:21"},{"id":151,"name":"Denver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4049 --day 2017-11-22</v>
      </c>
      <c r="AN64" s="242" t="str">
        <f t="shared" si="22"/>
        <v>echo {"issue":{"subject":"Observed unhealthy xing banner for Chambers due to station stop","project_id":30,"tracker_id":4,"status_id":1,"priority_id":1,"assigned_to_id":10,"start_date":"2017-11-22","description":"","custom_fields":[{"id":30,"name":"Category","value":"Issue"},{"id":3,"name":"Functional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-22T09:55:38-0700',mode:absolute,to:'2017-11-22T12:35:21-0700'))&amp;_a=(columns:!('Message%20ID',Summary),filters:!(),index:'emp_*',interval:auto,query:(query_string:(analyze_wildcard:!t,query:'%22rtdc.l.rtdc.4049%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30" t="s">
        <v>752</v>
      </c>
      <c r="B65" s="226">
        <v>4018</v>
      </c>
      <c r="C65" s="228" t="s">
        <v>192</v>
      </c>
      <c r="D65" s="228" t="s">
        <v>595</v>
      </c>
      <c r="E65" s="227">
        <v>43061.422766203701</v>
      </c>
      <c r="F65" s="227">
        <v>43061.427395833336</v>
      </c>
      <c r="G65" s="226">
        <v>142</v>
      </c>
      <c r="H65" s="228" t="s">
        <v>496</v>
      </c>
      <c r="I65" s="227">
        <v>43061.453564814816</v>
      </c>
      <c r="J65" s="226">
        <v>0</v>
      </c>
      <c r="K65" s="238" t="str">
        <f t="shared" si="0"/>
        <v>4017/4018</v>
      </c>
      <c r="L65" s="246" t="str">
        <f>VLOOKUP(A65,'Trips&amp;Operators'!$C$1:$G$99911,5,FALSE)</f>
        <v>ROMERO CHAD</v>
      </c>
      <c r="M65" s="225">
        <f t="shared" si="1"/>
        <v>2.6168981479713693E-2</v>
      </c>
      <c r="N65" s="226">
        <f t="shared" si="34"/>
        <v>37.683333330787718</v>
      </c>
      <c r="O65" s="226"/>
      <c r="P65" s="226"/>
      <c r="Q65" s="229"/>
      <c r="R65" s="243"/>
      <c r="S65" s="250">
        <f t="shared" si="25"/>
        <v>1</v>
      </c>
      <c r="T65" s="243" t="str">
        <f t="shared" si="4"/>
        <v>NorthBound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5"/>
        <v>https://d0f6bd738d7f1b3e5a7ca70fe4ff75f0.us-east-1.aws.found.io/app/kibana#/discover/Steve-Slow-Train-Analysis-(2080s-and-2083s)?_g=(refreshInterval:(display:Off,pause:!f,section:0,value:0),time:(from:'2017-11-22T09:08:47-0700',mode:absolute,to:'2017-11-22T11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248" t="str">
        <f>IF(AA65&lt;VLOOKUP(AG65,Variables!$AC$3:$AD$8,2,FALSE),"Y","N")</f>
        <v>N</v>
      </c>
      <c r="X65" s="248">
        <f t="shared" si="35"/>
        <v>1</v>
      </c>
      <c r="Y65" s="248">
        <f t="shared" si="31"/>
        <v>4.8800000000000003E-2</v>
      </c>
      <c r="Z65" s="248">
        <f t="shared" si="32"/>
        <v>23.329499999999999</v>
      </c>
      <c r="AA65" s="248">
        <f t="shared" si="9"/>
        <v>23.2807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10"/>
        <v>153</v>
      </c>
      <c r="AE65" s="236" t="str">
        <f t="shared" si="1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65" s="235" t="str">
        <f t="shared" si="12"/>
        <v>"C:\Program Files (x86)\AstroGrep\AstroGrep.exe" /e /r /s /spath="%USERPROFILE%\AppData\Local\Temp\OnboardLogs" /stypes="app*4018*20171122*" /stext=" 17:.+((SYSTEM_STATE.+slice.+state.+changed )|(ment ac)|(multiple cpu faults)|(system.+state.+changed )|(\[timeout)|(PRM\|1\|D)|(kpr)|(kdp)|(train st.+moving)|(\|lc)|(penalty))"</v>
      </c>
      <c r="AG65" s="245" t="str">
        <f t="shared" si="13"/>
        <v>EC</v>
      </c>
      <c r="AH65" s="237" t="str">
        <f t="shared" si="19"/>
        <v>"%USERPROFILE%\Documents\GitHub\eaglep3\Utilities\RefineRTDCRunTimes.py" --tripid 153-22 --locoid 4018 --swversion DE.1.0.9.0 --startMP 204:488 --initTime 2017-11-22T10:08:47 --startdatetime 2017-11-22T10:15:27 --delay 142 --endMP 204:233295 --enddatetime 2017-11-22T10:53:08 --enforcementcount 0 &gt;&gt;%USERPROFILE%\Documents\GitHub\eaglep3-reporting\EC\2017-11-22-refined-times.txt</v>
      </c>
      <c r="AI6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{"issue":{"subject":"","project_id":79,"tracker_id":40,"status_id":1,"priority_id":2,"assigned_to_id":338,"start_date":"2017-11-22","description":"","custom_fields":[{"id":1,"name":"Subdivision","value":"EC"},{"id":4,"name":"Milepost","value":"23.3295"},{"id":17,"name":"Train ID","value":"153-22"},{"id":16,"name":"Locomotive ID","value":"4018"},{"id":130,"name":"Impact","value":""},{"id":150,"name":"Time of Event (Mountain Time)","value":"10:53:08"},{"id":151,"name":"Denver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4018 --day 2017-11-22</v>
      </c>
      <c r="AN6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-22T09:08:47-0700',mode:absolute,to:'2017-11-22T11:53:08-0700'))&amp;_a=(columns:!('Message%20ID',Summary),filters:!(),index:'emp_*',interval:auto,query:(query_string:(analyze_wildcard:!t,query:'%22rtdc.l.rtdc.4018%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30" t="s">
        <v>760</v>
      </c>
      <c r="B66" s="226">
        <v>4017</v>
      </c>
      <c r="C66" s="228" t="s">
        <v>192</v>
      </c>
      <c r="D66" s="228" t="s">
        <v>932</v>
      </c>
      <c r="E66" s="227">
        <v>43061.454942129632</v>
      </c>
      <c r="F66" s="227">
        <v>43061.466828703706</v>
      </c>
      <c r="G66" s="226">
        <v>825</v>
      </c>
      <c r="H66" s="228" t="s">
        <v>604</v>
      </c>
      <c r="I66" s="227">
        <v>43061.491446759261</v>
      </c>
      <c r="J66" s="226">
        <v>0</v>
      </c>
      <c r="K66" s="238" t="str">
        <f t="shared" si="0"/>
        <v>4017/4018</v>
      </c>
      <c r="L66" s="246" t="str">
        <f>VLOOKUP(A66,'Trips&amp;Operators'!$C$1:$G$99911,5,FALSE)</f>
        <v>ROMERO CHAD</v>
      </c>
      <c r="M66" s="225">
        <f t="shared" si="1"/>
        <v>2.4618055555038154E-2</v>
      </c>
      <c r="N66" s="226">
        <f t="shared" si="34"/>
        <v>35.449999999254942</v>
      </c>
      <c r="O66" s="226"/>
      <c r="P66" s="226"/>
      <c r="Q66" s="229"/>
      <c r="R66" s="243"/>
      <c r="S66" s="250">
        <f t="shared" si="25"/>
        <v>1</v>
      </c>
      <c r="T66" s="243" t="str">
        <f t="shared" si="4"/>
        <v>Southbound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5"/>
        <v>https://d0f6bd738d7f1b3e5a7ca70fe4ff75f0.us-east-1.aws.found.io/app/kibana#/discover/Steve-Slow-Train-Analysis-(2080s-and-2083s)?_g=(refreshInterval:(display:Off,pause:!f,section:0,value:0),time:(from:'2017-11-22T09:55:07-0700',mode:absolute,to:'2017-11-22T12:47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248" t="str">
        <f>IF(AA66&lt;VLOOKUP(AG66,Variables!$AC$3:$AD$8,2,FALSE),"Y","N")</f>
        <v>N</v>
      </c>
      <c r="X66" s="248">
        <f t="shared" si="35"/>
        <v>1</v>
      </c>
      <c r="Y66" s="248">
        <f t="shared" si="31"/>
        <v>23.298200000000001</v>
      </c>
      <c r="Z66" s="248">
        <f t="shared" si="32"/>
        <v>2.2499999999999999E-2</v>
      </c>
      <c r="AA66" s="248">
        <f t="shared" si="9"/>
        <v>23.275700000000001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10"/>
        <v>154</v>
      </c>
      <c r="AE66" s="236" t="str">
        <f t="shared" si="1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66" s="235" t="str">
        <f t="shared" si="12"/>
        <v>"C:\Program Files (x86)\AstroGrep\AstroGrep.exe" /e /r /s /spath="%USERPROFILE%\AppData\Local\Temp\OnboardLogs" /stypes="app*4017*20171122*" /stext=" 18:.+((SYSTEM_STATE.+slice.+state.+changed )|(ment ac)|(multiple cpu faults)|(system.+state.+changed )|(\[timeout)|(PRM\|1\|D)|(kpr)|(kdp)|(train st.+moving)|(\|lc)|(penalty))"</v>
      </c>
      <c r="AG66" s="245" t="str">
        <f t="shared" si="13"/>
        <v>EC</v>
      </c>
      <c r="AH66" s="237" t="str">
        <f t="shared" si="19"/>
        <v>"%USERPROFILE%\Documents\GitHub\eaglep3\Utilities\RefineRTDCRunTimes.py" --tripid 154-22 --locoid 4017 --swversion DE.1.0.9.0 --startMP 204:232982 --initTime 2017-11-22T10:55:07 --startdatetime 2017-11-22T11:12:14 --delay 825 --endMP 204:225 --enddatetime 2017-11-22T11:47:41 --enforcementcount 0 &gt;&gt;%USERPROFILE%\Documents\GitHub\eaglep3-reporting\EC\2017-11-22-refined-times.txt</v>
      </c>
      <c r="AI66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{"issue":{"subject":"","project_id":79,"tracker_id":40,"status_id":1,"priority_id":2,"assigned_to_id":338,"start_date":"2017-11-22","description":"","custom_fields":[{"id":1,"name":"Subdivision","value":"EC"},{"id":4,"name":"Milepost","value":"0.0225"},{"id":17,"name":"Train ID","value":"154-22"},{"id":16,"name":"Locomotive ID","value":"4017"},{"id":130,"name":"Impact","value":""},{"id":150,"name":"Time of Event (Mountain Time)","value":"11:47:41"},{"id":151,"name":"Denver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4017 --day 2017-11-22</v>
      </c>
      <c r="AN66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18:47:41"},{"id":29,"name":"Sharepoint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-22T09:55:07-0700',mode:absolute,to:'2017-11-22T12:47:41-0700'))&amp;_a=(columns:!('Message%20ID',Summary),filters:!(),index:'emp_*',interval:auto,query:(query_string:(analyze_wildcard:!t,query:'%22rtdc.l.rtdc.4017%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30" t="s">
        <v>755</v>
      </c>
      <c r="B67" s="226">
        <v>4020</v>
      </c>
      <c r="C67" s="228" t="s">
        <v>192</v>
      </c>
      <c r="D67" s="228" t="s">
        <v>933</v>
      </c>
      <c r="E67" s="227">
        <v>43061.434814814813</v>
      </c>
      <c r="F67" s="227">
        <v>43061.4377662037</v>
      </c>
      <c r="G67" s="226">
        <v>63</v>
      </c>
      <c r="H67" s="228" t="s">
        <v>585</v>
      </c>
      <c r="I67" s="227">
        <v>43061.462118055555</v>
      </c>
      <c r="J67" s="226">
        <v>0</v>
      </c>
      <c r="K67" s="238" t="str">
        <f t="shared" si="0"/>
        <v>4019/4020</v>
      </c>
      <c r="L67" s="246" t="str">
        <f>VLOOKUP(A67,'Trips&amp;Operators'!$C$1:$G$99911,5,FALSE)</f>
        <v>BEAM ROSS</v>
      </c>
      <c r="M67" s="225">
        <f t="shared" si="1"/>
        <v>2.4351851854589768E-2</v>
      </c>
      <c r="N67" s="226">
        <f t="shared" si="34"/>
        <v>35.066666670609266</v>
      </c>
      <c r="O67" s="226"/>
      <c r="P67" s="226"/>
      <c r="Q67" s="229"/>
      <c r="R67" s="243"/>
      <c r="S67" s="250">
        <f t="shared" si="25"/>
        <v>1</v>
      </c>
      <c r="T67" s="243" t="str">
        <f t="shared" si="4"/>
        <v>NorthBound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5"/>
        <v>https://d0f6bd738d7f1b3e5a7ca70fe4ff75f0.us-east-1.aws.found.io/app/kibana#/discover/Steve-Slow-Train-Analysis-(2080s-and-2083s)?_g=(refreshInterval:(display:Off,pause:!f,section:0,value:0),time:(from:'2017-11-22T09:26:08-0700',mode:absolute,to:'2017-11-22T12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7" s="248" t="str">
        <f>IF(AA67&lt;VLOOKUP(AG67,Variables!$AC$3:$AD$8,2,FALSE),"Y","N")</f>
        <v>N</v>
      </c>
      <c r="X67" s="248">
        <f t="shared" si="35"/>
        <v>1</v>
      </c>
      <c r="Y67" s="248">
        <f t="shared" si="31"/>
        <v>5.2900000000000003E-2</v>
      </c>
      <c r="Z67" s="248">
        <f t="shared" si="32"/>
        <v>23.33</v>
      </c>
      <c r="AA67" s="248">
        <f t="shared" si="9"/>
        <v>23.277099999999997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10"/>
        <v>155</v>
      </c>
      <c r="AE67" s="236" t="str">
        <f t="shared" si="1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67" s="235" t="str">
        <f t="shared" si="12"/>
        <v>"C:\Program Files (x86)\AstroGrep\AstroGrep.exe" /e /r /s /spath="%USERPROFILE%\AppData\Local\Temp\OnboardLogs" /stypes="app*4020*20171122*" /stext=" 18:.+((SYSTEM_STATE.+slice.+state.+changed )|(ment ac)|(multiple cpu faults)|(system.+state.+changed )|(\[timeout)|(PRM\|1\|D)|(kpr)|(kdp)|(train st.+moving)|(\|lc)|(penalty))"</v>
      </c>
      <c r="AG67" s="245" t="str">
        <f t="shared" si="13"/>
        <v>EC</v>
      </c>
      <c r="AH67" s="237" t="str">
        <f t="shared" si="19"/>
        <v>"%USERPROFILE%\Documents\GitHub\eaglep3\Utilities\RefineRTDCRunTimes.py" --tripid 155-22 --locoid 4020 --swversion DE.1.0.9.0 --startMP 204:529 --initTime 2017-11-22T10:26:08 --startdatetime 2017-11-22T10:30:23 --delay 63 --endMP 204:233300 --enddatetime 2017-11-22T11:05:27 --enforcementcount 0 &gt;&gt;%USERPROFILE%\Documents\GitHub\eaglep3-reporting\EC\2017-11-22-refined-times.txt</v>
      </c>
      <c r="AI67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{"issue":{"subject":"","project_id":79,"tracker_id":40,"status_id":1,"priority_id":2,"assigned_to_id":338,"start_date":"2017-11-22","description":"","custom_fields":[{"id":1,"name":"Subdivision","value":"EC"},{"id":4,"name":"Milepost","value":"23.33"},{"id":17,"name":"Train ID","value":"155-22"},{"id":16,"name":"Locomotive ID","value":"4020"},{"id":130,"name":"Impact","value":""},{"id":150,"name":"Time of Event (Mountain Time)","value":"11:05:27"},{"id":151,"name":"Denver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4020 --day 2017-11-22</v>
      </c>
      <c r="AN67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-22T09:26:08-0700',mode:absolute,to:'2017-11-22T12:05:27-0700'))&amp;_a=(columns:!('Message%20ID',Summary),filters:!(),index:'emp_*',interval:auto,query:(query_string:(analyze_wildcard:!t,query:'%22rtdc.l.rtdc.4020%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30" t="s">
        <v>763</v>
      </c>
      <c r="B68" s="226">
        <v>4019</v>
      </c>
      <c r="C68" s="228" t="s">
        <v>192</v>
      </c>
      <c r="D68" s="228" t="s">
        <v>537</v>
      </c>
      <c r="E68" s="227">
        <v>43061.463321759256</v>
      </c>
      <c r="F68" s="227">
        <v>43061.47729166667</v>
      </c>
      <c r="G68" s="226">
        <v>71</v>
      </c>
      <c r="H68" s="228" t="s">
        <v>922</v>
      </c>
      <c r="I68" s="227">
        <v>43061.50240740741</v>
      </c>
      <c r="J68" s="226">
        <v>0</v>
      </c>
      <c r="K68" s="238" t="str">
        <f t="shared" si="0"/>
        <v>4019/4020</v>
      </c>
      <c r="L68" s="246" t="str">
        <f>VLOOKUP(A68,'Trips&amp;Operators'!$C$1:$G$99911,5,FALSE)</f>
        <v>BEAM ROSS</v>
      </c>
      <c r="M68" s="225">
        <f t="shared" si="1"/>
        <v>2.5115740740147885E-2</v>
      </c>
      <c r="N68" s="226">
        <f t="shared" si="34"/>
        <v>36.166666665812954</v>
      </c>
      <c r="O68" s="226"/>
      <c r="P68" s="226"/>
      <c r="Q68" s="229"/>
      <c r="R68" s="243"/>
      <c r="S68" s="250">
        <f t="shared" si="25"/>
        <v>1</v>
      </c>
      <c r="T68" s="243" t="str">
        <f t="shared" si="4"/>
        <v>Southbound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5"/>
        <v>https://d0f6bd738d7f1b3e5a7ca70fe4ff75f0.us-east-1.aws.found.io/app/kibana#/discover/Steve-Slow-Train-Analysis-(2080s-and-2083s)?_g=(refreshInterval:(display:Off,pause:!f,section:0,value:0),time:(from:'2017-11-22T10:07:11-0700',mode:absolute,to:'2017-11-22T13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8" s="248" t="str">
        <f>IF(AA68&lt;VLOOKUP(AG68,Variables!$AC$3:$AD$8,2,FALSE),"Y","N")</f>
        <v>N</v>
      </c>
      <c r="X68" s="248">
        <f t="shared" si="35"/>
        <v>1</v>
      </c>
      <c r="Y68" s="248">
        <f t="shared" si="31"/>
        <v>23.299299999999999</v>
      </c>
      <c r="Z68" s="248">
        <f t="shared" si="32"/>
        <v>1.6E-2</v>
      </c>
      <c r="AA68" s="248">
        <f t="shared" si="9"/>
        <v>23.283300000000001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10"/>
        <v>156</v>
      </c>
      <c r="AE68" s="236" t="str">
        <f t="shared" si="1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68" s="235" t="str">
        <f t="shared" si="12"/>
        <v>"C:\Program Files (x86)\AstroGrep\AstroGrep.exe" /e /r /s /spath="%USERPROFILE%\AppData\Local\Temp\OnboardLogs" /stypes="app*4019*20171122*" /stext=" 19:.+((SYSTEM_STATE.+slice.+state.+changed )|(ment ac)|(multiple cpu faults)|(system.+state.+changed )|(\[timeout)|(PRM\|1\|D)|(kpr)|(kdp)|(train st.+moving)|(\|lc)|(penalty))"</v>
      </c>
      <c r="AG68" s="245" t="str">
        <f t="shared" si="13"/>
        <v>EC</v>
      </c>
      <c r="AH68" s="237" t="str">
        <f t="shared" si="19"/>
        <v>"%USERPROFILE%\Documents\GitHub\eaglep3\Utilities\RefineRTDCRunTimes.py" --tripid 156-22 --locoid 4019 --swversion DE.1.0.9.0 --startMP 204:232993 --initTime 2017-11-22T11:07:11 --startdatetime 2017-11-22T11:27:18 --delay 71 --endMP 204:160 --enddatetime 2017-11-22T12:03:28 --enforcementcount 0 &gt;&gt;%USERPROFILE%\Documents\GitHub\eaglep3-reporting\EC\2017-11-22-refined-times.txt</v>
      </c>
      <c r="AI68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{"issue":{"subject":"","project_id":79,"tracker_id":40,"status_id":1,"priority_id":2,"assigned_to_id":338,"start_date":"2017-11-22","description":"","custom_fields":[{"id":1,"name":"Subdivision","value":"EC"},{"id":4,"name":"Milepost","value":"0.016"},{"id":17,"name":"Train ID","value":"156-22"},{"id":16,"name":"Locomotive ID","value":"4019"},{"id":130,"name":"Impact","value":""},{"id":150,"name":"Time of Event (Mountain Time)","value":"12:03:28"},{"id":151,"name":"Denver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4019 --day 2017-11-22</v>
      </c>
      <c r="AN68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19:03:28"},{"id":29,"name":"Sharepoint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-22T10:07:11-0700',mode:absolute,to:'2017-11-22T13:03:28-0700'))&amp;_a=(columns:!('Message%20ID',Summary),filters:!(),index:'emp_*',interval:auto,query:(query_string:(analyze_wildcard:!t,query:'%22rtdc.l.rtdc.4019%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30" t="s">
        <v>758</v>
      </c>
      <c r="B69" s="226">
        <v>4002</v>
      </c>
      <c r="C69" s="228" t="s">
        <v>192</v>
      </c>
      <c r="D69" s="228" t="s">
        <v>586</v>
      </c>
      <c r="E69" s="227">
        <v>43061.444108796299</v>
      </c>
      <c r="F69" s="227">
        <v>43061.448206018518</v>
      </c>
      <c r="G69" s="226">
        <v>102</v>
      </c>
      <c r="H69" s="228" t="s">
        <v>591</v>
      </c>
      <c r="I69" s="227">
        <v>43061.473819444444</v>
      </c>
      <c r="J69" s="226">
        <v>0</v>
      </c>
      <c r="K69" s="238" t="str">
        <f t="shared" si="0"/>
        <v>4001/4002</v>
      </c>
      <c r="L69" s="246" t="str">
        <f>VLOOKUP(A69,'Trips&amp;Operators'!$C$1:$G$99911,5,FALSE)</f>
        <v>DAVIS MICHAEL</v>
      </c>
      <c r="M69" s="225">
        <f t="shared" si="1"/>
        <v>2.5613425925257616E-2</v>
      </c>
      <c r="N69" s="226">
        <f t="shared" si="34"/>
        <v>36.883333332370967</v>
      </c>
      <c r="O69" s="226"/>
      <c r="P69" s="226"/>
      <c r="Q69" s="229"/>
      <c r="R69" s="243"/>
      <c r="S69" s="250">
        <f t="shared" si="25"/>
        <v>1</v>
      </c>
      <c r="T69" s="243" t="str">
        <f t="shared" si="4"/>
        <v>NorthBound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5"/>
        <v>https://d0f6bd738d7f1b3e5a7ca70fe4ff75f0.us-east-1.aws.found.io/app/kibana#/discover/Steve-Slow-Train-Analysis-(2080s-and-2083s)?_g=(refreshInterval:(display:Off,pause:!f,section:0,value:0),time:(from:'2017-11-22T09:39:31-0700',mode:absolute,to:'2017-11-22T12:22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48" t="str">
        <f>IF(AA69&lt;VLOOKUP(AG69,Variables!$AC$3:$AD$8,2,FALSE),"Y","N")</f>
        <v>N</v>
      </c>
      <c r="X69" s="248">
        <f t="shared" si="35"/>
        <v>1</v>
      </c>
      <c r="Y69" s="248">
        <f t="shared" si="31"/>
        <v>4.6899999999999997E-2</v>
      </c>
      <c r="Z69" s="248">
        <f t="shared" si="32"/>
        <v>23.331800000000001</v>
      </c>
      <c r="AA69" s="248">
        <f t="shared" si="9"/>
        <v>23.2849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10"/>
        <v>157</v>
      </c>
      <c r="AE69" s="236" t="str">
        <f t="shared" si="1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69" s="235" t="str">
        <f t="shared" si="12"/>
        <v>"C:\Program Files (x86)\AstroGrep\AstroGrep.exe" /e /r /s /spath="%USERPROFILE%\AppData\Local\Temp\OnboardLogs" /stypes="app*4002*20171122*" /stext=" 18:.+((SYSTEM_STATE.+slice.+state.+changed )|(ment ac)|(multiple cpu faults)|(system.+state.+changed )|(\[timeout)|(PRM\|1\|D)|(kpr)|(kdp)|(train st.+moving)|(\|lc)|(penalty))"</v>
      </c>
      <c r="AG69" s="245" t="str">
        <f t="shared" si="13"/>
        <v>EC</v>
      </c>
      <c r="AH69" s="237" t="str">
        <f t="shared" si="19"/>
        <v>"%USERPROFILE%\Documents\GitHub\eaglep3\Utilities\RefineRTDCRunTimes.py" --tripid 157-22 --locoid 4002 --swversion DE.1.0.9.0 --startMP 204:469 --initTime 2017-11-22T10:39:31 --startdatetime 2017-11-22T10:45:25 --delay 102 --endMP 204:233318 --enddatetime 2017-11-22T11:22:18 --enforcementcount 0 &gt;&gt;%USERPROFILE%\Documents\GitHub\eaglep3-reporting\EC\2017-11-22-refined-times.txt</v>
      </c>
      <c r="AI69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{"issue":{"subject":"","project_id":79,"tracker_id":40,"status_id":1,"priority_id":2,"assigned_to_id":338,"start_date":"2017-11-22","description":"","custom_fields":[{"id":1,"name":"Subdivision","value":"EC"},{"id":4,"name":"Milepost","value":"23.3318"},{"id":17,"name":"Train ID","value":"157-22"},{"id":16,"name":"Locomotive ID","value":"4002"},{"id":130,"name":"Impact","value":""},{"id":150,"name":"Time of Event (Mountain Time)","value":"11:22:18"},{"id":151,"name":"Denver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4002 --day 2017-11-22</v>
      </c>
      <c r="AN69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-22T09:39:31-0700',mode:absolute,to:'2017-11-22T12:22:18-0700'))&amp;_a=(columns:!('Message%20ID',Summary),filters:!(),index:'emp_*',interval:auto,query:(query_string:(analyze_wildcard:!t,query:'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30" t="s">
        <v>767</v>
      </c>
      <c r="B70" s="226">
        <v>4001</v>
      </c>
      <c r="C70" s="228" t="s">
        <v>192</v>
      </c>
      <c r="D70" s="228" t="s">
        <v>895</v>
      </c>
      <c r="E70" s="227">
        <v>43061.485567129632</v>
      </c>
      <c r="F70" s="227">
        <v>43061.488136574073</v>
      </c>
      <c r="G70" s="226">
        <v>117</v>
      </c>
      <c r="H70" s="228" t="s">
        <v>598</v>
      </c>
      <c r="I70" s="227">
        <v>43061.514351851853</v>
      </c>
      <c r="J70" s="226">
        <v>0</v>
      </c>
      <c r="K70" s="238" t="str">
        <f t="shared" si="0"/>
        <v>4001/4002</v>
      </c>
      <c r="L70" s="246" t="str">
        <f>VLOOKUP(A70,'Trips&amp;Operators'!$C$1:$G$99911,5,FALSE)</f>
        <v>DAVIS MICHAEL</v>
      </c>
      <c r="M70" s="225">
        <f t="shared" si="1"/>
        <v>2.6215277779556345E-2</v>
      </c>
      <c r="N70" s="226">
        <f t="shared" si="34"/>
        <v>37.750000002561137</v>
      </c>
      <c r="O70" s="226"/>
      <c r="P70" s="226"/>
      <c r="Q70" s="229"/>
      <c r="R70" s="243"/>
      <c r="S70" s="250">
        <f t="shared" si="25"/>
        <v>1</v>
      </c>
      <c r="T70" s="243" t="str">
        <f t="shared" si="4"/>
        <v>Southbound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5"/>
        <v>https://d0f6bd738d7f1b3e5a7ca70fe4ff75f0.us-east-1.aws.found.io/app/kibana#/discover/Steve-Slow-Train-Analysis-(2080s-and-2083s)?_g=(refreshInterval:(display:Off,pause:!f,section:0,value:0),time:(from:'2017-11-22T10:39:13-0700',mode:absolute,to:'2017-11-22T13:20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248" t="str">
        <f>IF(AA70&lt;VLOOKUP(AG70,Variables!$AC$3:$AD$8,2,FALSE),"Y","N")</f>
        <v>N</v>
      </c>
      <c r="X70" s="248">
        <f t="shared" si="35"/>
        <v>1</v>
      </c>
      <c r="Y70" s="248">
        <f t="shared" si="31"/>
        <v>23.297999999999998</v>
      </c>
      <c r="Z70" s="248">
        <f t="shared" si="32"/>
        <v>2.18E-2</v>
      </c>
      <c r="AA70" s="248">
        <f t="shared" si="9"/>
        <v>23.276199999999999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10"/>
        <v>158</v>
      </c>
      <c r="AE70" s="236" t="str">
        <f t="shared" si="1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70" s="235" t="str">
        <f t="shared" si="12"/>
        <v>"C:\Program Files (x86)\AstroGrep\AstroGrep.exe" /e /r /s /spath="%USERPROFILE%\AppData\Local\Temp\OnboardLogs" /stypes="app*4001*20171122*" /stext=" 19:.+((SYSTEM_STATE.+slice.+state.+changed )|(ment ac)|(multiple cpu faults)|(system.+state.+changed )|(\[timeout)|(PRM\|1\|D)|(kpr)|(kdp)|(train st.+moving)|(\|lc)|(penalty))"</v>
      </c>
      <c r="AG70" s="245" t="str">
        <f t="shared" si="13"/>
        <v>EC</v>
      </c>
      <c r="AH70" s="237" t="str">
        <f t="shared" si="19"/>
        <v>"%USERPROFILE%\Documents\GitHub\eaglep3\Utilities\RefineRTDCRunTimes.py" --tripid 158-22 --locoid 4001 --swversion DE.1.0.9.0 --startMP 204:232980 --initTime 2017-11-22T11:39:13 --startdatetime 2017-11-22T11:42:55 --delay 117 --endMP 204:218 --enddatetime 2017-11-22T12:20:40 --enforcementcount 0 &gt;&gt;%USERPROFILE%\Documents\GitHub\eaglep3-reporting\EC\2017-11-22-refined-times.txt</v>
      </c>
      <c r="AI70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{"issue":{"subject":"","project_id":79,"tracker_id":40,"status_id":1,"priority_id":2,"assigned_to_id":338,"start_date":"2017-11-22","description":"","custom_fields":[{"id":1,"name":"Subdivision","value":"EC"},{"id":4,"name":"Milepost","value":"0.0218"},{"id":17,"name":"Train ID","value":"158-22"},{"id":16,"name":"Locomotive ID","value":"4001"},{"id":130,"name":"Impact","value":""},{"id":150,"name":"Time of Event (Mountain Time)","value":"12:20:40"},{"id":151,"name":"Denver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4001 --day 2017-11-22</v>
      </c>
      <c r="AN70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-22T10:39:13-0700',mode:absolute,to:'2017-11-22T13:20:40-0700'))&amp;_a=(columns:!('Message%20ID',Summary),filters:!(),index:'emp_*',interval:auto,query:(query_string:(analyze_wildcard:!t,query:'%22rtdc.l.rtdc.4001%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30" t="s">
        <v>759</v>
      </c>
      <c r="B71" s="226">
        <v>4040</v>
      </c>
      <c r="C71" s="228" t="s">
        <v>192</v>
      </c>
      <c r="D71" s="228" t="s">
        <v>552</v>
      </c>
      <c r="E71" s="227">
        <v>43061.454027777778</v>
      </c>
      <c r="F71" s="227">
        <v>43061.458715277775</v>
      </c>
      <c r="G71" s="226">
        <v>82</v>
      </c>
      <c r="H71" s="228" t="s">
        <v>934</v>
      </c>
      <c r="I71" s="227">
        <v>43061.483032407406</v>
      </c>
      <c r="J71" s="226">
        <v>0</v>
      </c>
      <c r="K71" s="238" t="str">
        <f t="shared" si="0"/>
        <v>4039/4040</v>
      </c>
      <c r="L71" s="246" t="str">
        <f>VLOOKUP(A71,'Trips&amp;Operators'!$C$1:$G$99911,5,FALSE)</f>
        <v>DE LA ROSA ALEX</v>
      </c>
      <c r="M71" s="225">
        <f t="shared" si="1"/>
        <v>2.4317129631526768E-2</v>
      </c>
      <c r="N71" s="226">
        <f t="shared" si="34"/>
        <v>35.016666669398546</v>
      </c>
      <c r="O71" s="226"/>
      <c r="P71" s="226"/>
      <c r="Q71" s="229"/>
      <c r="R71" s="243"/>
      <c r="S71" s="250">
        <f t="shared" si="25"/>
        <v>1</v>
      </c>
      <c r="T71" s="243" t="str">
        <f t="shared" si="4"/>
        <v>NorthBound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5"/>
        <v>https://d0f6bd738d7f1b3e5a7ca70fe4ff75f0.us-east-1.aws.found.io/app/kibana#/discover/Steve-Slow-Train-Analysis-(2080s-and-2083s)?_g=(refreshInterval:(display:Off,pause:!f,section:0,value:0),time:(from:'2017-11-22T09:53:48-0700',mode:absolute,to:'2017-11-22T12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1" s="248" t="str">
        <f>IF(AA71&lt;VLOOKUP(AG71,Variables!$AC$3:$AD$8,2,FALSE),"Y","N")</f>
        <v>N</v>
      </c>
      <c r="X71" s="248">
        <f t="shared" si="35"/>
        <v>1</v>
      </c>
      <c r="Y71" s="248">
        <f t="shared" si="31"/>
        <v>5.11E-2</v>
      </c>
      <c r="Z71" s="248">
        <f t="shared" si="32"/>
        <v>23.325700000000001</v>
      </c>
      <c r="AA71" s="248">
        <f t="shared" si="9"/>
        <v>23.2746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10"/>
        <v>159</v>
      </c>
      <c r="AE71" s="236" t="str">
        <f t="shared" si="1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71" s="235" t="str">
        <f t="shared" si="12"/>
        <v>"C:\Program Files (x86)\AstroGrep\AstroGrep.exe" /e /r /s /spath="%USERPROFILE%\AppData\Local\Temp\OnboardLogs" /stypes="app*4040*20171122*" /stext=" 18:.+((SYSTEM_STATE.+slice.+state.+changed )|(ment ac)|(multiple cpu faults)|(system.+state.+changed )|(\[timeout)|(PRM\|1\|D)|(kpr)|(kdp)|(train st.+moving)|(\|lc)|(penalty))"</v>
      </c>
      <c r="AG71" s="245" t="str">
        <f t="shared" si="13"/>
        <v>EC</v>
      </c>
      <c r="AH71" s="237" t="str">
        <f t="shared" si="19"/>
        <v>"%USERPROFILE%\Documents\GitHub\eaglep3\Utilities\RefineRTDCRunTimes.py" --tripid 159-22 --locoid 4040 --swversion DE.1.0.9.0 --startMP 204:511 --initTime 2017-11-22T10:53:48 --startdatetime 2017-11-22T11:00:33 --delay 82 --endMP 204:233257 --enddatetime 2017-11-22T11:35:34 --enforcementcount 0 &gt;&gt;%USERPROFILE%\Documents\GitHub\eaglep3-reporting\EC\2017-11-22-refined-times.txt</v>
      </c>
      <c r="AI71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{"issue":{"subject":"","project_id":79,"tracker_id":40,"status_id":1,"priority_id":2,"assigned_to_id":338,"start_date":"2017-11-22","description":"","custom_fields":[{"id":1,"name":"Subdivision","value":"EC"},{"id":4,"name":"Milepost","value":"23.3257"},{"id":17,"name":"Train ID","value":"159-22"},{"id":16,"name":"Locomotive ID","value":"4040"},{"id":130,"name":"Impact","value":""},{"id":150,"name":"Time of Event (Mountain Time)","value":"11:35:34"},{"id":151,"name":"Denver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4040 --day 2017-11-22</v>
      </c>
      <c r="AN71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-22T09:53:48-0700',mode:absolute,to:'2017-11-22T12:35:34-0700'))&amp;_a=(columns:!('Message%20ID',Summary),filters:!(),index:'emp_*',interval:auto,query:(query_string:(analyze_wildcard:!t,query:'%22rtdc.l.rtdc.4040%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30" t="s">
        <v>770</v>
      </c>
      <c r="B72" s="226">
        <v>4039</v>
      </c>
      <c r="C72" s="228" t="s">
        <v>192</v>
      </c>
      <c r="D72" s="228" t="s">
        <v>534</v>
      </c>
      <c r="E72" s="227">
        <v>43061.495648148149</v>
      </c>
      <c r="F72" s="227">
        <v>43061.498171296298</v>
      </c>
      <c r="G72" s="226">
        <v>77</v>
      </c>
      <c r="H72" s="228" t="s">
        <v>499</v>
      </c>
      <c r="I72" s="227">
        <v>43061.524282407408</v>
      </c>
      <c r="J72" s="226">
        <v>0</v>
      </c>
      <c r="K72" s="238" t="str">
        <f t="shared" si="0"/>
        <v>4039/4040</v>
      </c>
      <c r="L72" s="246" t="str">
        <f>VLOOKUP(A72,'Trips&amp;Operators'!$C$1:$G$99911,5,FALSE)</f>
        <v>DE LA ROSA ALEX</v>
      </c>
      <c r="M72" s="225">
        <f t="shared" si="1"/>
        <v>2.6111111110367347E-2</v>
      </c>
      <c r="N72" s="226">
        <f t="shared" si="34"/>
        <v>37.599999998928979</v>
      </c>
      <c r="O72" s="226"/>
      <c r="P72" s="226"/>
      <c r="Q72" s="229"/>
      <c r="R72" s="243"/>
      <c r="S72" s="250">
        <f t="shared" si="25"/>
        <v>1</v>
      </c>
      <c r="T72" s="243" t="str">
        <f t="shared" si="4"/>
        <v>Southbound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5"/>
        <v>https://d0f6bd738d7f1b3e5a7ca70fe4ff75f0.us-east-1.aws.found.io/app/kibana#/discover/Steve-Slow-Train-Analysis-(2080s-and-2083s)?_g=(refreshInterval:(display:Off,pause:!f,section:0,value:0),time:(from:'2017-11-22T10:53:44-0700',mode:absolute,to:'2017-11-22T13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2" s="248" t="str">
        <f>IF(AA72&lt;VLOOKUP(AG72,Variables!$AC$3:$AD$8,2,FALSE),"Y","N")</f>
        <v>N</v>
      </c>
      <c r="X72" s="248">
        <f t="shared" si="35"/>
        <v>1</v>
      </c>
      <c r="Y72" s="248">
        <f t="shared" si="31"/>
        <v>23.293600000000001</v>
      </c>
      <c r="Z72" s="248">
        <f t="shared" si="32"/>
        <v>2.12E-2</v>
      </c>
      <c r="AA72" s="248">
        <f t="shared" si="9"/>
        <v>23.272400000000001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10"/>
        <v>160</v>
      </c>
      <c r="AE72" s="236" t="str">
        <f t="shared" si="1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72" s="235" t="str">
        <f t="shared" si="12"/>
        <v>"C:\Program Files (x86)\AstroGrep\AstroGrep.exe" /e /r /s /spath="%USERPROFILE%\AppData\Local\Temp\OnboardLogs" /stypes="app*4039*20171122*" /stext=" 19:.+((SYSTEM_STATE.+slice.+state.+changed )|(ment ac)|(multiple cpu faults)|(system.+state.+changed )|(\[timeout)|(PRM\|1\|D)|(kpr)|(kdp)|(train st.+moving)|(\|lc)|(penalty))"</v>
      </c>
      <c r="AG72" s="245" t="str">
        <f t="shared" si="13"/>
        <v>EC</v>
      </c>
      <c r="AH72" s="237" t="str">
        <f t="shared" si="19"/>
        <v>"%USERPROFILE%\Documents\GitHub\eaglep3\Utilities\RefineRTDCRunTimes.py" --tripid 160-22 --locoid 4039 --swversion DE.1.0.9.0 --startMP 204:232936 --initTime 2017-11-22T11:53:44 --startdatetime 2017-11-22T11:57:22 --delay 77 --endMP 204:212 --enddatetime 2017-11-22T12:34:58 --enforcementcount 0 &gt;&gt;%USERPROFILE%\Documents\GitHub\eaglep3-reporting\EC\2017-11-22-refined-times.txt</v>
      </c>
      <c r="AI72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{"issue":{"subject":"","project_id":79,"tracker_id":40,"status_id":1,"priority_id":2,"assigned_to_id":338,"start_date":"2017-11-22","description":"","custom_fields":[{"id":1,"name":"Subdivision","value":"EC"},{"id":4,"name":"Milepost","value":"0.0212"},{"id":17,"name":"Train ID","value":"160-22"},{"id":16,"name":"Locomotive ID","value":"4039"},{"id":130,"name":"Impact","value":""},{"id":150,"name":"Time of Event (Mountain Time)","value":"12:34:58"},{"id":151,"name":"Denver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4039 --day 2017-11-22</v>
      </c>
      <c r="AN72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-22T10:53:44-0700',mode:absolute,to:'2017-11-22T13:34:58-0700'))&amp;_a=(columns:!('Message%20ID',Summary),filters:!(),index:'emp_*',interval:auto,query:(query_string:(analyze_wildcard:!t,query:'%22rtdc.l.rtdc.4039%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30" t="s">
        <v>764</v>
      </c>
      <c r="B73" s="226">
        <v>4016</v>
      </c>
      <c r="C73" s="228" t="s">
        <v>192</v>
      </c>
      <c r="D73" s="228" t="s">
        <v>533</v>
      </c>
      <c r="E73" s="227">
        <v>43061.465613425928</v>
      </c>
      <c r="F73" s="227">
        <v>43061.468912037039</v>
      </c>
      <c r="G73" s="226">
        <v>129</v>
      </c>
      <c r="H73" s="228" t="s">
        <v>517</v>
      </c>
      <c r="I73" s="227">
        <v>43061.49391203704</v>
      </c>
      <c r="J73" s="226">
        <v>0</v>
      </c>
      <c r="K73" s="238" t="str">
        <f t="shared" si="0"/>
        <v>4015/4016</v>
      </c>
      <c r="L73" s="246" t="str">
        <f>VLOOKUP(A73,'Trips&amp;Operators'!$C$1:$G$99911,5,FALSE)</f>
        <v>BRUDER RICHARD</v>
      </c>
      <c r="M73" s="225">
        <f t="shared" si="1"/>
        <v>2.5000000001455192E-2</v>
      </c>
      <c r="N73" s="226">
        <f t="shared" si="34"/>
        <v>36.000000002095476</v>
      </c>
      <c r="O73" s="226"/>
      <c r="P73" s="226"/>
      <c r="Q73" s="229"/>
      <c r="R73" s="243"/>
      <c r="S73" s="250">
        <f t="shared" si="25"/>
        <v>1</v>
      </c>
      <c r="T73" s="243" t="str">
        <f t="shared" si="4"/>
        <v>NorthBound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5"/>
        <v>https://d0f6bd738d7f1b3e5a7ca70fe4ff75f0.us-east-1.aws.found.io/app/kibana#/discover/Steve-Slow-Train-Analysis-(2080s-and-2083s)?_g=(refreshInterval:(display:Off,pause:!f,section:0,value:0),time:(from:'2017-11-22T10:10:29-0700',mode:absolute,to:'2017-11-22T12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3" s="248" t="str">
        <f>IF(AA73&lt;VLOOKUP(AG73,Variables!$AC$3:$AD$8,2,FALSE),"Y","N")</f>
        <v>N</v>
      </c>
      <c r="X73" s="248">
        <f t="shared" si="35"/>
        <v>1</v>
      </c>
      <c r="Y73" s="248">
        <f t="shared" si="31"/>
        <v>5.04E-2</v>
      </c>
      <c r="Z73" s="248">
        <f t="shared" si="32"/>
        <v>23.320699999999999</v>
      </c>
      <c r="AA73" s="248">
        <f t="shared" si="9"/>
        <v>23.270299999999999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10"/>
        <v>161</v>
      </c>
      <c r="AE73" s="236" t="str">
        <f t="shared" si="1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73" s="235" t="str">
        <f t="shared" si="12"/>
        <v>"C:\Program Files (x86)\AstroGrep\AstroGrep.exe" /e /r /s /spath="%USERPROFILE%\AppData\Local\Temp\OnboardLogs" /stypes="app*4016*20171122*" /stext=" 18:.+((SYSTEM_STATE.+slice.+state.+changed )|(ment ac)|(multiple cpu faults)|(system.+state.+changed )|(\[timeout)|(PRM\|1\|D)|(kpr)|(kdp)|(train st.+moving)|(\|lc)|(penalty))"</v>
      </c>
      <c r="AG73" s="245" t="str">
        <f t="shared" si="13"/>
        <v>EC</v>
      </c>
      <c r="AH73" s="237" t="str">
        <f t="shared" si="19"/>
        <v>"%USERPROFILE%\Documents\GitHub\eaglep3\Utilities\RefineRTDCRunTimes.py" --tripid 161-22 --locoid 4016 --swversion DE.1.0.9.0 --startMP 204:504 --initTime 2017-11-22T11:10:29 --startdatetime 2017-11-22T11:15:14 --delay 129 --endMP 204:233207 --enddatetime 2017-11-22T11:51:14 --enforcementcount 0 &gt;&gt;%USERPROFILE%\Documents\GitHub\eaglep3-reporting\EC\2017-11-22-refined-times.txt</v>
      </c>
      <c r="AI73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{"issue":{"subject":"","project_id":79,"tracker_id":40,"status_id":1,"priority_id":2,"assigned_to_id":338,"start_date":"2017-11-22","description":"","custom_fields":[{"id":1,"name":"Subdivision","value":"EC"},{"id":4,"name":"Milepost","value":"23.3207"},{"id":17,"name":"Train ID","value":"161-22"},{"id":16,"name":"Locomotive ID","value":"4016"},{"id":130,"name":"Impact","value":""},{"id":150,"name":"Time of Event (Mountain Time)","value":"11:51:14"},{"id":151,"name":"Denver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4016 --day 2017-11-22</v>
      </c>
      <c r="AN73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-22T10:10:29-0700',mode:absolute,to:'2017-11-22T12:51:14-0700'))&amp;_a=(columns:!('Message%20ID',Summary),filters:!(),index:'emp_*',interval:auto,query:(query_string:(analyze_wildcard:!t,query:'%22rtdc.l.rtdc.4016%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30" t="s">
        <v>775</v>
      </c>
      <c r="B74" s="226">
        <v>4015</v>
      </c>
      <c r="C74" s="228" t="s">
        <v>192</v>
      </c>
      <c r="D74" s="228" t="s">
        <v>935</v>
      </c>
      <c r="E74" s="227">
        <v>43061.50513888889</v>
      </c>
      <c r="F74" s="227">
        <v>43061.508518518516</v>
      </c>
      <c r="G74" s="226">
        <v>103</v>
      </c>
      <c r="H74" s="228" t="s">
        <v>588</v>
      </c>
      <c r="I74" s="227">
        <v>43061.533703703702</v>
      </c>
      <c r="J74" s="226">
        <v>0</v>
      </c>
      <c r="K74" s="238" t="str">
        <f t="shared" si="0"/>
        <v>4015/4016</v>
      </c>
      <c r="L74" s="246" t="str">
        <f>VLOOKUP(A74,'Trips&amp;Operators'!$C$1:$G$99911,5,FALSE)</f>
        <v>BRUDER RICHARD</v>
      </c>
      <c r="M74" s="225">
        <f t="shared" si="1"/>
        <v>2.5185185186273884E-2</v>
      </c>
      <c r="N74" s="226">
        <f t="shared" si="34"/>
        <v>36.266666668234393</v>
      </c>
      <c r="O74" s="226"/>
      <c r="P74" s="226"/>
      <c r="Q74" s="229"/>
      <c r="R74" s="243"/>
      <c r="S74" s="250">
        <f t="shared" ref="S74:S105" si="52">1/IF(AG74="EC",12,1)*SUM(U74:U74)</f>
        <v>1</v>
      </c>
      <c r="T74" s="243" t="str">
        <f t="shared" si="4"/>
        <v>Southbound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5"/>
        <v>https://d0f6bd738d7f1b3e5a7ca70fe4ff75f0.us-east-1.aws.found.io/app/kibana#/discover/Steve-Slow-Train-Analysis-(2080s-and-2083s)?_g=(refreshInterval:(display:Off,pause:!f,section:0,value:0),time:(from:'2017-11-22T11:07:24-0700',mode:absolute,to:'2017-11-22T13:48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4" s="248" t="str">
        <f>IF(AA74&lt;VLOOKUP(AG74,Variables!$AC$3:$AD$8,2,FALSE),"Y","N")</f>
        <v>N</v>
      </c>
      <c r="X74" s="248">
        <f t="shared" si="35"/>
        <v>1</v>
      </c>
      <c r="Y74" s="248">
        <f t="shared" si="31"/>
        <v>23.289400000000001</v>
      </c>
      <c r="Z74" s="248">
        <f t="shared" si="32"/>
        <v>2.29E-2</v>
      </c>
      <c r="AA74" s="248">
        <f t="shared" si="9"/>
        <v>23.266500000000001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10"/>
        <v>162</v>
      </c>
      <c r="AE74" s="236" t="str">
        <f t="shared" si="1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74" s="235" t="str">
        <f t="shared" si="12"/>
        <v>"C:\Program Files (x86)\AstroGrep\AstroGrep.exe" /e /r /s /spath="%USERPROFILE%\AppData\Local\Temp\OnboardLogs" /stypes="app*4015*20171122*" /stext=" 19:.+((SYSTEM_STATE.+slice.+state.+changed )|(ment ac)|(multiple cpu faults)|(system.+state.+changed )|(\[timeout)|(PRM\|1\|D)|(kpr)|(kdp)|(train st.+moving)|(\|lc)|(penalty))"</v>
      </c>
      <c r="AG74" s="245" t="str">
        <f t="shared" si="13"/>
        <v>EC</v>
      </c>
      <c r="AH74" s="237" t="str">
        <f t="shared" si="19"/>
        <v>"%USERPROFILE%\Documents\GitHub\eaglep3\Utilities\RefineRTDCRunTimes.py" --tripid 162-22 --locoid 4015 --swversion DE.1.0.9.0 --startMP 204:232894 --initTime 2017-11-22T12:07:24 --startdatetime 2017-11-22T12:12:16 --delay 103 --endMP 204:229 --enddatetime 2017-11-22T12:48:32 --enforcementcount 0 &gt;&gt;%USERPROFILE%\Documents\GitHub\eaglep3-reporting\EC\2017-11-22-refined-times.txt</v>
      </c>
      <c r="AI74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{"issue":{"subject":"","project_id":79,"tracker_id":40,"status_id":1,"priority_id":2,"assigned_to_id":338,"start_date":"2017-11-22","description":"","custom_fields":[{"id":1,"name":"Subdivision","value":"EC"},{"id":4,"name":"Milepost","value":"0.0229"},{"id":17,"name":"Train ID","value":"162-22"},{"id":16,"name":"Locomotive ID","value":"4015"},{"id":130,"name":"Impact","value":""},{"id":150,"name":"Time of Event (Mountain Time)","value":"12:48:32"},{"id":151,"name":"Denver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4015 --day 2017-11-22</v>
      </c>
      <c r="AN74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-22T11:07:24-0700',mode:absolute,to:'2017-11-22T13:48:32-0700'))&amp;_a=(columns:!('Message%20ID',Summary),filters:!(),index:'emp_*',interval:auto,query:(query_string:(analyze_wildcard:!t,query:'%22rtdc.l.rtdc.4015%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30" t="s">
        <v>765</v>
      </c>
      <c r="B75" s="226">
        <v>4006</v>
      </c>
      <c r="C75" s="228" t="s">
        <v>192</v>
      </c>
      <c r="D75" s="228" t="s">
        <v>543</v>
      </c>
      <c r="E75" s="227">
        <v>43061.474143518521</v>
      </c>
      <c r="F75" s="227">
        <v>43061.479386574072</v>
      </c>
      <c r="G75" s="226">
        <v>94</v>
      </c>
      <c r="H75" s="228" t="s">
        <v>613</v>
      </c>
      <c r="I75" s="227">
        <v>43061.504236111112</v>
      </c>
      <c r="J75" s="226">
        <v>0</v>
      </c>
      <c r="K75" s="238" t="str">
        <f t="shared" si="0"/>
        <v>4005/4006</v>
      </c>
      <c r="L75" s="246" t="str">
        <f>VLOOKUP(A75,'Trips&amp;Operators'!$C$1:$G$99911,5,FALSE)</f>
        <v>STEWART MICHAEL</v>
      </c>
      <c r="M75" s="225">
        <f t="shared" si="1"/>
        <v>2.4849537039699499E-2</v>
      </c>
      <c r="N75" s="226">
        <f t="shared" si="34"/>
        <v>35.783333337167278</v>
      </c>
      <c r="O75" s="226"/>
      <c r="P75" s="226"/>
      <c r="Q75" s="229"/>
      <c r="R75" s="243"/>
      <c r="S75" s="250">
        <f t="shared" si="52"/>
        <v>1</v>
      </c>
      <c r="T75" s="243" t="str">
        <f t="shared" si="4"/>
        <v>NorthBound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5"/>
        <v>https://d0f6bd738d7f1b3e5a7ca70fe4ff75f0.us-east-1.aws.found.io/app/kibana#/discover/Steve-Slow-Train-Analysis-(2080s-and-2083s)?_g=(refreshInterval:(display:Off,pause:!f,section:0,value:0),time:(from:'2017-11-22T10:22:46-0700',mode:absolute,to:'2017-11-22T13:06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5" s="248" t="str">
        <f>IF(AA75&lt;VLOOKUP(AG75,Variables!$AC$3:$AD$8,2,FALSE),"Y","N")</f>
        <v>N</v>
      </c>
      <c r="X75" s="248">
        <f t="shared" si="35"/>
        <v>1</v>
      </c>
      <c r="Y75" s="248">
        <f t="shared" ref="Y75:Y106" si="53">RIGHT(D75,LEN(D75)-4)/10000</f>
        <v>5.0900000000000001E-2</v>
      </c>
      <c r="Z75" s="248">
        <f t="shared" ref="Z75:Z106" si="54">RIGHT(H75,LEN(H75)-4)/10000</f>
        <v>23.322500000000002</v>
      </c>
      <c r="AA75" s="248">
        <f t="shared" si="9"/>
        <v>23.271600000000003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10"/>
        <v>163</v>
      </c>
      <c r="AE75" s="236" t="str">
        <f t="shared" si="1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75" s="235" t="str">
        <f t="shared" si="12"/>
        <v>"C:\Program Files (x86)\AstroGrep\AstroGrep.exe" /e /r /s /spath="%USERPROFILE%\AppData\Local\Temp\OnboardLogs" /stypes="app*4006*20171122*" /stext=" 19:.+((SYSTEM_STATE.+slice.+state.+changed )|(ment ac)|(multiple cpu faults)|(system.+state.+changed )|(\[timeout)|(PRM\|1\|D)|(kpr)|(kdp)|(train st.+moving)|(\|lc)|(penalty))"</v>
      </c>
      <c r="AG75" s="245" t="str">
        <f t="shared" si="13"/>
        <v>EC</v>
      </c>
      <c r="AH75" s="237" t="str">
        <f t="shared" si="19"/>
        <v>"%USERPROFILE%\Documents\GitHub\eaglep3\Utilities\RefineRTDCRunTimes.py" --tripid 163-22 --locoid 4006 --swversion DE.1.0.9.0 --startMP 204:509 --initTime 2017-11-22T11:22:46 --startdatetime 2017-11-22T11:30:19 --delay 94 --endMP 204:233225 --enddatetime 2017-11-22T12:06:06 --enforcementcount 0 &gt;&gt;%USERPROFILE%\Documents\GitHub\eaglep3-reporting\EC\2017-11-22-refined-times.txt</v>
      </c>
      <c r="AI75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{"issue":{"subject":"","project_id":79,"tracker_id":40,"status_id":1,"priority_id":2,"assigned_to_id":338,"start_date":"2017-11-22","description":"","custom_fields":[{"id":1,"name":"Subdivision","value":"EC"},{"id":4,"name":"Milepost","value":"23.3225"},{"id":17,"name":"Train ID","value":"163-22"},{"id":16,"name":"Locomotive ID","value":"4006"},{"id":130,"name":"Impact","value":""},{"id":150,"name":"Time of Event (Mountain Time)","value":"12:06:06"},{"id":151,"name":"Denver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4006 --day 2017-11-22</v>
      </c>
      <c r="AN75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-22T10:22:46-0700',mode:absolute,to:'2017-11-22T13:06:06-0700'))&amp;_a=(columns:!('Message%20ID',Summary),filters:!(),index:'emp_*',interval:auto,query:(query_string:(analyze_wildcard:!t,query:'%22rtdc.l.rtdc.4006%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30" t="s">
        <v>776</v>
      </c>
      <c r="B76" s="226">
        <v>4005</v>
      </c>
      <c r="C76" s="228" t="s">
        <v>192</v>
      </c>
      <c r="D76" s="228" t="s">
        <v>602</v>
      </c>
      <c r="E76" s="227">
        <v>43061.515590277777</v>
      </c>
      <c r="F76" s="227">
        <v>43061.518969907411</v>
      </c>
      <c r="G76" s="226">
        <v>88</v>
      </c>
      <c r="H76" s="228" t="s">
        <v>514</v>
      </c>
      <c r="I76" s="227">
        <v>43061.545381944445</v>
      </c>
      <c r="J76" s="226">
        <v>0</v>
      </c>
      <c r="K76" s="238" t="str">
        <f t="shared" si="0"/>
        <v>4005/4006</v>
      </c>
      <c r="L76" s="246" t="str">
        <f>VLOOKUP(A76,'Trips&amp;Operators'!$C$1:$G$99911,5,FALSE)</f>
        <v>STEWART MICHAEL</v>
      </c>
      <c r="M76" s="225">
        <f t="shared" si="1"/>
        <v>2.6412037033878732E-2</v>
      </c>
      <c r="N76" s="226">
        <f t="shared" si="34"/>
        <v>38.033333328785375</v>
      </c>
      <c r="O76" s="226"/>
      <c r="P76" s="226"/>
      <c r="Q76" s="229"/>
      <c r="R76" s="243"/>
      <c r="S76" s="250">
        <f t="shared" si="52"/>
        <v>1</v>
      </c>
      <c r="T76" s="243" t="str">
        <f t="shared" si="4"/>
        <v>Southbound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5"/>
        <v>https://d0f6bd738d7f1b3e5a7ca70fe4ff75f0.us-east-1.aws.found.io/app/kibana#/discover/Steve-Slow-Train-Analysis-(2080s-and-2083s)?_g=(refreshInterval:(display:Off,pause:!f,section:0,value:0),time:(from:'2017-11-22T11:22:27-0700',mode:absolute,to:'2017-11-22T14:05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6" s="248" t="str">
        <f>IF(AA76&lt;VLOOKUP(AG76,Variables!$AC$3:$AD$8,2,FALSE),"Y","N")</f>
        <v>N</v>
      </c>
      <c r="X76" s="248">
        <f t="shared" si="35"/>
        <v>1</v>
      </c>
      <c r="Y76" s="248">
        <f t="shared" si="53"/>
        <v>23.291499999999999</v>
      </c>
      <c r="Z76" s="248">
        <f t="shared" si="54"/>
        <v>2.1600000000000001E-2</v>
      </c>
      <c r="AA76" s="248">
        <f t="shared" si="9"/>
        <v>23.2699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10"/>
        <v>164</v>
      </c>
      <c r="AE76" s="236" t="str">
        <f t="shared" si="1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76" s="235" t="str">
        <f t="shared" si="12"/>
        <v>"C:\Program Files (x86)\AstroGrep\AstroGrep.exe" /e /r /s /spath="%USERPROFILE%\AppData\Local\Temp\OnboardLogs" /stypes="app*4005*20171122*" /stext=" 20:.+((SYSTEM_STATE.+slice.+state.+changed )|(ment ac)|(multiple cpu faults)|(system.+state.+changed )|(\[timeout)|(PRM\|1\|D)|(kpr)|(kdp)|(train st.+moving)|(\|lc)|(penalty))"</v>
      </c>
      <c r="AG76" s="245" t="str">
        <f t="shared" si="13"/>
        <v>EC</v>
      </c>
      <c r="AH76" s="237" t="str">
        <f t="shared" si="19"/>
        <v>"%USERPROFILE%\Documents\GitHub\eaglep3\Utilities\RefineRTDCRunTimes.py" --tripid 164-22 --locoid 4005 --swversion DE.1.0.9.0 --startMP 204:232915 --initTime 2017-11-22T12:22:27 --startdatetime 2017-11-22T12:27:19 --delay 88 --endMP 204:216 --enddatetime 2017-11-22T13:05:21 --enforcementcount 0 &gt;&gt;%USERPROFILE%\Documents\GitHub\eaglep3-reporting\EC\2017-11-22-refined-times.txt</v>
      </c>
      <c r="AI76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{"issue":{"subject":"","project_id":79,"tracker_id":40,"status_id":1,"priority_id":2,"assigned_to_id":338,"start_date":"2017-11-22","description":"","custom_fields":[{"id":1,"name":"Subdivision","value":"EC"},{"id":4,"name":"Milepost","value":"0.0216"},{"id":17,"name":"Train ID","value":"164-22"},{"id":16,"name":"Locomotive ID","value":"4005"},{"id":130,"name":"Impact","value":""},{"id":150,"name":"Time of Event (Mountain Time)","value":"13:05:21"},{"id":151,"name":"Denver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4005 --day 2017-11-22</v>
      </c>
      <c r="AN76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-11-22T11:22:27-0700',mode:absolute,to:'2017-11-22T14:05:21-0700'))&amp;_a=(columns:!('Message%20ID',Summary),filters:!(),index:'emp_*',interval:auto,query:(query_string:(analyze_wildcard:!t,query:'%22rtdc.l.rtdc.4005%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30" t="s">
        <v>766</v>
      </c>
      <c r="B77" s="226">
        <v>4050</v>
      </c>
      <c r="C77" s="228" t="s">
        <v>192</v>
      </c>
      <c r="D77" s="228" t="s">
        <v>601</v>
      </c>
      <c r="E77" s="227">
        <v>43061.484756944446</v>
      </c>
      <c r="F77" s="227">
        <v>43061.48978009259</v>
      </c>
      <c r="G77" s="226">
        <v>98</v>
      </c>
      <c r="H77" s="228" t="s">
        <v>936</v>
      </c>
      <c r="I77" s="227">
        <v>43061.515034722222</v>
      </c>
      <c r="J77" s="226">
        <v>0</v>
      </c>
      <c r="K77" s="238" t="str">
        <f t="shared" si="0"/>
        <v>4049/4050</v>
      </c>
      <c r="L77" s="246" t="str">
        <f>VLOOKUP(A77,'Trips&amp;Operators'!$C$1:$G$99911,5,FALSE)</f>
        <v>ANDREA WILLIAMS</v>
      </c>
      <c r="M77" s="225">
        <f t="shared" si="1"/>
        <v>2.5254629632399883E-2</v>
      </c>
      <c r="N77" s="226">
        <f t="shared" si="34"/>
        <v>36.366666670655832</v>
      </c>
      <c r="O77" s="226"/>
      <c r="P77" s="226"/>
      <c r="Q77" s="229"/>
      <c r="R77" s="243"/>
      <c r="S77" s="250">
        <f t="shared" si="52"/>
        <v>1</v>
      </c>
      <c r="T77" s="243" t="str">
        <f t="shared" si="4"/>
        <v>NorthBound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si="5"/>
        <v>https://d0f6bd738d7f1b3e5a7ca70fe4ff75f0.us-east-1.aws.found.io/app/kibana#/discover/Steve-Slow-Train-Analysis-(2080s-and-2083s)?_g=(refreshInterval:(display:Off,pause:!f,section:0,value:0),time:(from:'2017-11-22T10:38:03-0700',mode:absolute,to:'2017-11-22T13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7" s="248" t="str">
        <f>IF(AA77&lt;VLOOKUP(AG77,Variables!$AC$3:$AD$8,2,FALSE),"Y","N")</f>
        <v>N</v>
      </c>
      <c r="X77" s="248">
        <f t="shared" si="35"/>
        <v>1</v>
      </c>
      <c r="Y77" s="248">
        <f t="shared" si="53"/>
        <v>5.4600000000000003E-2</v>
      </c>
      <c r="Z77" s="248">
        <f t="shared" si="54"/>
        <v>23.322399999999998</v>
      </c>
      <c r="AA77" s="248">
        <f t="shared" si="9"/>
        <v>23.267799999999998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si="10"/>
        <v>165</v>
      </c>
      <c r="AE77" s="236" t="str">
        <f t="shared" si="1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77" s="235" t="str">
        <f t="shared" si="12"/>
        <v>"C:\Program Files (x86)\AstroGrep\AstroGrep.exe" /e /r /s /spath="%USERPROFILE%\AppData\Local\Temp\OnboardLogs" /stypes="app*4050*20171122*" /stext=" 19:.+((SYSTEM_STATE.+slice.+state.+changed )|(ment ac)|(multiple cpu faults)|(system.+state.+changed )|(\[timeout)|(PRM\|1\|D)|(kpr)|(kdp)|(train st.+moving)|(\|lc)|(penalty))"</v>
      </c>
      <c r="AG77" s="245" t="str">
        <f t="shared" si="13"/>
        <v>EC</v>
      </c>
      <c r="AH77" s="237" t="str">
        <f t="shared" si="19"/>
        <v>"%USERPROFILE%\Documents\GitHub\eaglep3\Utilities\RefineRTDCRunTimes.py" --tripid 165-22 --locoid 4050 --swversion DE.1.0.9.0 --startMP 204:546 --initTime 2017-11-22T11:38:03 --startdatetime 2017-11-22T11:45:17 --delay 98 --endMP 204:233224 --enddatetime 2017-11-22T12:21:39 --enforcementcount 0 &gt;&gt;%USERPROFILE%\Documents\GitHub\eaglep3-reporting\EC\2017-11-22-refined-times.txt</v>
      </c>
      <c r="AI77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{"issue":{"subject":"","project_id":79,"tracker_id":40,"status_id":1,"priority_id":2,"assigned_to_id":338,"start_date":"2017-11-22","description":"","custom_fields":[{"id":1,"name":"Subdivision","value":"EC"},{"id":4,"name":"Milepost","value":"23.3224"},{"id":17,"name":"Train ID","value":"165-22"},{"id":16,"name":"Locomotive ID","value":"4050"},{"id":130,"name":"Impact","value":""},{"id":150,"name":"Time of Event (Mountain Time)","value":"12:21:39"},{"id":151,"name":"Denver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21"/>
        <v>start /low /b %USERPROFILE%\Documents\GitHub\eaglep3\Utilities\DownloadLogsFromS3.py --loco 4050 --day 2017-11-22</v>
      </c>
      <c r="AN77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19:21:39"},{"id":29,"name":"Sharepoint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23"/>
        <v>https://d0f6bd738d7f1b3e5a7ca70fe4ff75f0.us-east-1.aws.found.io/app/kibana#/discover/Steve-Slow-Train-Analysis-(2080s-and-2083s)?_g=(refreshInterval:(display:Off,pause:!f,section:0,value:0),time:(from:'2017-11-22T10:38:03-0700',mode:absolute,to:'2017-11-22T13:21:39-0700'))&amp;_a=(columns:!('Message%20ID',Summary),filters:!(),index:'emp_*',interval:auto,query:(query_string:(analyze_wildcard:!t,query:'%22rtdc.l.rtdc.4050%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30" t="s">
        <v>658</v>
      </c>
      <c r="B78" s="226">
        <v>4049</v>
      </c>
      <c r="C78" s="228" t="s">
        <v>192</v>
      </c>
      <c r="D78" s="228" t="s">
        <v>549</v>
      </c>
      <c r="E78" s="227">
        <v>43061.516805555555</v>
      </c>
      <c r="F78" s="227">
        <v>43061.529363425929</v>
      </c>
      <c r="G78" s="226">
        <v>71</v>
      </c>
      <c r="H78" s="228" t="s">
        <v>937</v>
      </c>
      <c r="I78" s="227">
        <v>43061.55568287037</v>
      </c>
      <c r="J78" s="226">
        <v>0</v>
      </c>
      <c r="K78" s="238" t="str">
        <f t="shared" ref="K78:K141" si="55">IF(ISEVEN(B78),(B78-1)&amp;"/"&amp;B78,B78&amp;"/"&amp;(B78+1))</f>
        <v>4049/4050</v>
      </c>
      <c r="L78" s="246" t="str">
        <f>VLOOKUP(A78,'Trips&amp;Operators'!$C$1:$G$99911,5,FALSE)</f>
        <v>ANDREA WILLIAMS</v>
      </c>
      <c r="M78" s="225">
        <f t="shared" ref="M78:M141" si="56">I78-F78</f>
        <v>2.6319444441469386E-2</v>
      </c>
      <c r="N78" s="226">
        <f t="shared" si="34"/>
        <v>37.899999995715916</v>
      </c>
      <c r="O78" s="226"/>
      <c r="P78" s="226"/>
      <c r="Q78" s="229"/>
      <c r="R78" s="243"/>
      <c r="S78" s="250">
        <f t="shared" si="52"/>
        <v>1</v>
      </c>
      <c r="T78" s="243" t="str">
        <f t="shared" ref="T78:T141" si="57">IF(ISEVEN(LEFT(AD78,4)),"Southbound","NorthBound")</f>
        <v>Southbound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ref="V78:V141" si="58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-11-22T11:24:12-0700',mode:absolute,to:'2017-11-22T14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8" s="248" t="str">
        <f>IF(AA78&lt;VLOOKUP(AG78,Variables!$AC$3:$AD$8,2,FALSE),"Y","N")</f>
        <v>N</v>
      </c>
      <c r="X78" s="248">
        <f t="shared" si="35"/>
        <v>1</v>
      </c>
      <c r="Y78" s="248">
        <f t="shared" si="53"/>
        <v>23.289000000000001</v>
      </c>
      <c r="Z78" s="248">
        <f t="shared" si="54"/>
        <v>2.7099999999999999E-2</v>
      </c>
      <c r="AA78" s="248">
        <f t="shared" ref="AA78:AA141" si="59">ABS(Z78-Y78)</f>
        <v>23.261900000000001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ref="AD78:AD141" si="60">VALUE(LEFT(A78,LEN(A78)-3))</f>
        <v>166</v>
      </c>
      <c r="AE78" s="236" t="str">
        <f t="shared" ref="AE78:AE141" si="61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78" s="235" t="str">
        <f t="shared" ref="AF78:AF141" si="62"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/stypes="app*4049*20171122*" /stext=" 20:.+((SYSTEM_STATE.+slice.+state.+changed )|(ment ac)|(multiple cpu faults)|(system.+state.+changed )|(\[timeout)|(PRM\|1\|D)|(kpr)|(kdp)|(train st.+moving)|(\|lc)|(penalty))"</v>
      </c>
      <c r="AG78" s="245" t="str">
        <f t="shared" ref="AG78:AG141" si="63">DetSubdiv(A78)</f>
        <v>EC</v>
      </c>
      <c r="AH78" s="237" t="str">
        <f t="shared" si="19"/>
        <v>"%USERPROFILE%\Documents\GitHub\eaglep3\Utilities\RefineRTDCRunTimes.py" --tripid 166-22 --locoid 4049 --swversion DE.1.0.9.0 --startMP 204:232890 --initTime 2017-11-22T12:24:12 --startdatetime 2017-11-22T12:42:17 --delay 71 --endMP 204:271 --enddatetime 2017-11-22T13:20:11 --enforcementcount 0 &gt;&gt;%USERPROFILE%\Documents\GitHub\eaglep3-reporting\EC\2017-11-22-refined-times.txt</v>
      </c>
      <c r="AI78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{"issue":{"subject":"","project_id":79,"tracker_id":40,"status_id":1,"priority_id":2,"assigned_to_id":338,"start_date":"2017-11-22","description":"","custom_fields":[{"id":1,"name":"Subdivision","value":"EC"},{"id":4,"name":"Milepost","value":"0.0271"},{"id":17,"name":"Train ID","value":"166-22"},{"id":16,"name":"Locomotive ID","value":"4049"},{"id":130,"name":"Impact","value":""},{"id":150,"name":"Time of Event (Mountain Time)","value":"13:20:11"},{"id":151,"name":"Denver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21"/>
        <v>start /low /b %USERPROFILE%\Documents\GitHub\eaglep3\Utilities\DownloadLogsFromS3.py --loco 4049 --day 2017-11-22</v>
      </c>
      <c r="AN78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23"/>
        <v>https://d0f6bd738d7f1b3e5a7ca70fe4ff75f0.us-east-1.aws.found.io/app/kibana#/discover/Steve-Slow-Train-Analysis-(2080s-and-2083s)?_g=(refreshInterval:(display:Off,pause:!f,section:0,value:0),time:(from:'2017-11-22T11:24:12-0700',mode:absolute,to:'2017-11-22T14:20:11-0700'))&amp;_a=(columns:!('Message%20ID',Summary),filters:!(),index:'emp_*',interval:auto,query:(query_string:(analyze_wildcard:!t,query:'%22rtdc.l.rtdc.4049%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30" t="s">
        <v>768</v>
      </c>
      <c r="B79" s="226">
        <v>4018</v>
      </c>
      <c r="C79" s="228" t="s">
        <v>192</v>
      </c>
      <c r="D79" s="228" t="s">
        <v>543</v>
      </c>
      <c r="E79" s="227">
        <v>43061.493564814817</v>
      </c>
      <c r="F79" s="227">
        <v>43061.500428240739</v>
      </c>
      <c r="G79" s="226">
        <v>85</v>
      </c>
      <c r="H79" s="228" t="s">
        <v>594</v>
      </c>
      <c r="I79" s="227">
        <v>43061.525312500002</v>
      </c>
      <c r="J79" s="226">
        <v>0</v>
      </c>
      <c r="K79" s="238" t="str">
        <f t="shared" si="55"/>
        <v>4017/4018</v>
      </c>
      <c r="L79" s="246" t="str">
        <f>VLOOKUP(A79,'Trips&amp;Operators'!$C$1:$G$99911,5,FALSE)</f>
        <v>KILLION DAVID</v>
      </c>
      <c r="M79" s="225">
        <f t="shared" si="56"/>
        <v>2.4884259262762498E-2</v>
      </c>
      <c r="N79" s="226">
        <f t="shared" si="34"/>
        <v>35.833333338377997</v>
      </c>
      <c r="O79" s="226"/>
      <c r="P79" s="226"/>
      <c r="Q79" s="229"/>
      <c r="R79" s="243"/>
      <c r="S79" s="250">
        <f t="shared" si="52"/>
        <v>1</v>
      </c>
      <c r="T79" s="243" t="str">
        <f t="shared" si="57"/>
        <v>NorthBound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58"/>
        <v>https://d0f6bd738d7f1b3e5a7ca70fe4ff75f0.us-east-1.aws.found.io/app/kibana#/discover/Steve-Slow-Train-Analysis-(2080s-and-2083s)?_g=(refreshInterval:(display:Off,pause:!f,section:0,value:0),time:(from:'2017-11-22T10:50:44-0700',mode:absolute,to:'2017-11-22T13:36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248" t="str">
        <f>IF(AA79&lt;VLOOKUP(AG79,Variables!$AC$3:$AD$8,2,FALSE),"Y","N")</f>
        <v>N</v>
      </c>
      <c r="X79" s="248">
        <f t="shared" si="35"/>
        <v>1</v>
      </c>
      <c r="Y79" s="248">
        <f t="shared" si="53"/>
        <v>5.0900000000000001E-2</v>
      </c>
      <c r="Z79" s="248">
        <f t="shared" si="54"/>
        <v>23.322099999999999</v>
      </c>
      <c r="AA79" s="248">
        <f t="shared" si="59"/>
        <v>23.2712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60"/>
        <v>167</v>
      </c>
      <c r="AE79" s="236" t="str">
        <f t="shared" si="6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79" s="235" t="str">
        <f t="shared" si="62"/>
        <v>"C:\Program Files (x86)\AstroGrep\AstroGrep.exe" /e /r /s /spath="%USERPROFILE%\AppData\Local\Temp\OnboardLogs" /stypes="app*4018*20171122*" /stext=" 19:.+((SYSTEM_STATE.+slice.+state.+changed )|(ment ac)|(multiple cpu faults)|(system.+state.+changed )|(\[timeout)|(PRM\|1\|D)|(kpr)|(kdp)|(train st.+moving)|(\|lc)|(penalty))"</v>
      </c>
      <c r="AG79" s="245" t="str">
        <f t="shared" si="63"/>
        <v>EC</v>
      </c>
      <c r="AH79" s="237" t="str">
        <f t="shared" si="19"/>
        <v>"%USERPROFILE%\Documents\GitHub\eaglep3\Utilities\RefineRTDCRunTimes.py" --tripid 167-22 --locoid 4018 --swversion DE.1.0.9.0 --startMP 204:509 --initTime 2017-11-22T11:50:44 --startdatetime 2017-11-22T12:00:37 --delay 85 --endMP 204:233221 --enddatetime 2017-11-22T12:36:27 --enforcementcount 0 &gt;&gt;%USERPROFILE%\Documents\GitHub\eaglep3-reporting\EC\2017-11-22-refined-times.txt</v>
      </c>
      <c r="AI79" s="239" t="str">
        <f t="shared" si="20"/>
        <v>echo {"issue":{"subject":"","project_id":79,"tracker_id":40,"status_id":1,"priority_id":2,"assigned_to_id":338,"start_date":"2017-11-22","description":"","custom_fields":[{"id":1,"name":"Subdivision","value":"EC"},{"id":4,"name":"Milepost","value":"23.3221"},{"id":17,"name":"Train ID","value":"167-22"},{"id":16,"name":"Locomotive ID","value":"4018"},{"id":130,"name":"Impact","value":""},{"id":150,"name":"Time of Event (Mountain Time)","value":"12:36:27"},{"id":151,"name":"Denver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21"/>
        <v>start /low /b %USERPROFILE%\Documents\GitHub\eaglep3\Utilities\DownloadLogsFromS3.py --loco 4018 --day 2017-11-22</v>
      </c>
      <c r="AN79" s="242" t="str">
        <f t="shared" si="2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23"/>
        <v>https://d0f6bd738d7f1b3e5a7ca70fe4ff75f0.us-east-1.aws.found.io/app/kibana#/discover/Steve-Slow-Train-Analysis-(2080s-and-2083s)?_g=(refreshInterval:(display:Off,pause:!f,section:0,value:0),time:(from:'2017-11-22T10:50:44-0700',mode:absolute,to:'2017-11-22T13:36:27-0700'))&amp;_a=(columns:!('Message%20ID',Summary),filters:!(),index:'emp_*',interval:auto,query:(query_string:(analyze_wildcard:!t,query:'%22rtdc.l.rtdc.4018%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30" t="s">
        <v>780</v>
      </c>
      <c r="B80" s="226">
        <v>4017</v>
      </c>
      <c r="C80" s="228" t="s">
        <v>192</v>
      </c>
      <c r="D80" s="228" t="s">
        <v>938</v>
      </c>
      <c r="E80" s="227">
        <v>43061.531192129631</v>
      </c>
      <c r="F80" s="227">
        <v>43061.539768518516</v>
      </c>
      <c r="G80" s="226">
        <v>66</v>
      </c>
      <c r="H80" s="228" t="s">
        <v>939</v>
      </c>
      <c r="I80" s="227">
        <v>43061.566712962966</v>
      </c>
      <c r="J80" s="226">
        <v>0</v>
      </c>
      <c r="K80" s="238" t="str">
        <f t="shared" si="55"/>
        <v>4017/4018</v>
      </c>
      <c r="L80" s="246" t="str">
        <f>VLOOKUP(A80,'Trips&amp;Operators'!$C$1:$G$99911,5,FALSE)</f>
        <v>KILLION DAVID</v>
      </c>
      <c r="M80" s="225">
        <f t="shared" si="56"/>
        <v>2.694444444932742E-2</v>
      </c>
      <c r="N80" s="226">
        <f t="shared" si="34"/>
        <v>38.800000007031485</v>
      </c>
      <c r="O80" s="226"/>
      <c r="P80" s="226"/>
      <c r="Q80" s="229"/>
      <c r="R80" s="243"/>
      <c r="S80" s="250">
        <f t="shared" si="52"/>
        <v>1</v>
      </c>
      <c r="T80" s="243" t="str">
        <f t="shared" si="57"/>
        <v>Southbound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58"/>
        <v>https://d0f6bd738d7f1b3e5a7ca70fe4ff75f0.us-east-1.aws.found.io/app/kibana#/discover/Steve-Slow-Train-Analysis-(2080s-and-2083s)?_g=(refreshInterval:(display:Off,pause:!f,section:0,value:0),time:(from:'2017-11-22T11:44:55-0700',mode:absolute,to:'2017-11-22T14:36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248" t="str">
        <f>IF(AA80&lt;VLOOKUP(AG80,Variables!$AC$3:$AD$8,2,FALSE),"Y","N")</f>
        <v>N</v>
      </c>
      <c r="X80" s="248">
        <f t="shared" si="35"/>
        <v>1</v>
      </c>
      <c r="Y80" s="248">
        <f t="shared" si="53"/>
        <v>23.290199999999999</v>
      </c>
      <c r="Z80" s="248">
        <f t="shared" si="54"/>
        <v>1.7600000000000001E-2</v>
      </c>
      <c r="AA80" s="248">
        <f t="shared" si="59"/>
        <v>23.272599999999997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60"/>
        <v>168</v>
      </c>
      <c r="AE80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80" s="235" t="str">
        <f t="shared" si="62"/>
        <v>"C:\Program Files (x86)\AstroGrep\AstroGrep.exe" /e /r /s /spath="%USERPROFILE%\AppData\Local\Temp\OnboardLogs" /stypes="app*4017*20171122*" /stext=" 20:.+((SYSTEM_STATE.+slice.+state.+changed )|(ment ac)|(multiple cpu faults)|(system.+state.+changed )|(\[timeout)|(PRM\|1\|D)|(kpr)|(kdp)|(train st.+moving)|(\|lc)|(penalty))"</v>
      </c>
      <c r="AG80" s="245" t="str">
        <f t="shared" si="63"/>
        <v>EC</v>
      </c>
      <c r="AH80" s="237" t="str">
        <f t="shared" ref="AH80:AH143" si="64"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168-22 --locoid 4017 --swversion DE.1.0.9.0 --startMP 204:232902 --initTime 2017-11-22T12:44:55 --startdatetime 2017-11-22T12:57:16 --delay 66 --endMP 204:176 --enddatetime 2017-11-22T13:36:04 --enforcementcount 0 &gt;&gt;%USERPROFILE%\Documents\GitHub\eaglep3-reporting\EC\2017-11-22-refined-times.txt</v>
      </c>
      <c r="AI80" s="239" t="str">
        <f t="shared" ref="AI80:AI143" si="65"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{"issue":{"subject":"","project_id":79,"tracker_id":40,"status_id":1,"priority_id":2,"assigned_to_id":338,"start_date":"2017-11-22","description":"","custom_fields":[{"id":1,"name":"Subdivision","value":"EC"},{"id":4,"name":"Milepost","value":"0.0176"},{"id":17,"name":"Train ID","value":"168-22"},{"id":16,"name":"Locomotive ID","value":"4017"},{"id":130,"name":"Impact","value":""},{"id":150,"name":"Time of Event (Mountain Time)","value":"13:36:04"},{"id":151,"name":"Denver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ref="AM80:AM143" si="66">"start /low /b "&amp;dls3logs&amp;" --loco "&amp;B80&amp;" --day "&amp;TEXT(F80,"YYYY-MM-DD")</f>
        <v>start /low /b %USERPROFILE%\Documents\GitHub\eaglep3\Utilities\DownloadLogsFromS3.py --loco 4017 --day 2017-11-22</v>
      </c>
      <c r="AN80" s="242" t="str">
        <f t="shared" ref="AN80:AN143" si="67"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ref="AO80:AO143" si="68"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-11-22T11:44:55-0700',mode:absolute,to:'2017-11-22T14:36:04-0700'))&amp;_a=(columns:!('Message%20ID',Summary),filters:!(),index:'emp_*',interval:auto,query:(query_string:(analyze_wildcard:!t,query:'%22rtdc.l.rtdc.4017%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30" t="s">
        <v>772</v>
      </c>
      <c r="B81" s="226">
        <v>4020</v>
      </c>
      <c r="C81" s="228" t="s">
        <v>192</v>
      </c>
      <c r="D81" s="228" t="s">
        <v>940</v>
      </c>
      <c r="E81" s="227">
        <v>43061.504571759258</v>
      </c>
      <c r="F81" s="227">
        <v>43061.510601851849</v>
      </c>
      <c r="G81" s="226">
        <v>106</v>
      </c>
      <c r="H81" s="228" t="s">
        <v>941</v>
      </c>
      <c r="I81" s="227">
        <v>43061.536145833335</v>
      </c>
      <c r="J81" s="226">
        <v>0</v>
      </c>
      <c r="K81" s="238" t="str">
        <f t="shared" si="55"/>
        <v>4019/4020</v>
      </c>
      <c r="L81" s="246" t="str">
        <f>VLOOKUP(A81,'Trips&amp;Operators'!$C$1:$G$99911,5,FALSE)</f>
        <v>BERLING GARY</v>
      </c>
      <c r="M81" s="225">
        <f t="shared" si="56"/>
        <v>2.5543981486407574E-2</v>
      </c>
      <c r="N81" s="226">
        <f t="shared" ref="N81:N112" si="69">24*60*SUM($M81:$M81)</f>
        <v>36.783333340426907</v>
      </c>
      <c r="O81" s="226"/>
      <c r="P81" s="226"/>
      <c r="Q81" s="229"/>
      <c r="R81" s="243"/>
      <c r="S81" s="250">
        <f t="shared" si="52"/>
        <v>1</v>
      </c>
      <c r="T81" s="243" t="str">
        <f t="shared" si="57"/>
        <v>NorthBound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58"/>
        <v>https://d0f6bd738d7f1b3e5a7ca70fe4ff75f0.us-east-1.aws.found.io/app/kibana#/discover/Steve-Slow-Train-Analysis-(2080s-and-2083s)?_g=(refreshInterval:(display:Off,pause:!f,section:0,value:0),time:(from:'2017-11-22T11:06:35-0700',mode:absolute,to:'2017-11-22T13:52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248" t="str">
        <f>IF(AA81&lt;VLOOKUP(AG81,Variables!$AC$3:$AD$8,2,FALSE),"Y","N")</f>
        <v>N</v>
      </c>
      <c r="X81" s="248">
        <f t="shared" si="35"/>
        <v>1</v>
      </c>
      <c r="Y81" s="248">
        <f t="shared" si="53"/>
        <v>4.6600000000000003E-2</v>
      </c>
      <c r="Z81" s="248">
        <f t="shared" si="54"/>
        <v>23.321999999999999</v>
      </c>
      <c r="AA81" s="248">
        <f t="shared" si="59"/>
        <v>23.275399999999998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60"/>
        <v>169</v>
      </c>
      <c r="AE81" s="236" t="str">
        <f t="shared" si="6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81" s="235" t="str">
        <f t="shared" si="62"/>
        <v>"C:\Program Files (x86)\AstroGrep\AstroGrep.exe" /e /r /s /spath="%USERPROFILE%\AppData\Local\Temp\OnboardLogs" /stypes="app*4020*20171122*" /stext=" 19:.+((SYSTEM_STATE.+slice.+state.+changed )|(ment ac)|(multiple cpu faults)|(system.+state.+changed )|(\[timeout)|(PRM\|1\|D)|(kpr)|(kdp)|(train st.+moving)|(\|lc)|(penalty))"</v>
      </c>
      <c r="AG81" s="245" t="str">
        <f t="shared" si="63"/>
        <v>EC</v>
      </c>
      <c r="AH81" s="237" t="str">
        <f t="shared" si="64"/>
        <v>"%USERPROFILE%\Documents\GitHub\eaglep3\Utilities\RefineRTDCRunTimes.py" --tripid 169-22 --locoid 4020 --swversion DE.1.0.9.0 --startMP 204:466 --initTime 2017-11-22T12:06:35 --startdatetime 2017-11-22T12:15:16 --delay 106 --endMP 204:233220 --enddatetime 2017-11-22T12:52:03 --enforcementcount 0 &gt;&gt;%USERPROFILE%\Documents\GitHub\eaglep3-reporting\EC\2017-11-22-refined-times.txt</v>
      </c>
      <c r="AI8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{"issue":{"subject":"","project_id":79,"tracker_id":40,"status_id":1,"priority_id":2,"assigned_to_id":338,"start_date":"2017-11-22","description":"","custom_fields":[{"id":1,"name":"Subdivision","value":"EC"},{"id":4,"name":"Milepost","value":"23.322"},{"id":17,"name":"Train ID","value":"169-22"},{"id":16,"name":"Locomotive ID","value":"4020"},{"id":130,"name":"Impact","value":""},{"id":150,"name":"Time of Event (Mountain Time)","value":"12:52:03"},{"id":151,"name":"Denver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66"/>
        <v>start /low /b %USERPROFILE%\Documents\GitHub\eaglep3\Utilities\DownloadLogsFromS3.py --loco 4020 --day 2017-11-22</v>
      </c>
      <c r="AN81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68"/>
        <v>https://d0f6bd738d7f1b3e5a7ca70fe4ff75f0.us-east-1.aws.found.io/app/kibana#/discover/Steve-Slow-Train-Analysis-(2080s-and-2083s)?_g=(refreshInterval:(display:Off,pause:!f,section:0,value:0),time:(from:'2017-11-22T11:06:35-0700',mode:absolute,to:'2017-11-22T13:52:03-0700'))&amp;_a=(columns:!('Message%20ID',Summary),filters:!(),index:'emp_*',interval:auto,query:(query_string:(analyze_wildcard:!t,query:'%22rtdc.l.rtdc.4020%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30" t="s">
        <v>785</v>
      </c>
      <c r="B82" s="226">
        <v>4019</v>
      </c>
      <c r="C82" s="228" t="s">
        <v>192</v>
      </c>
      <c r="D82" s="228" t="s">
        <v>938</v>
      </c>
      <c r="E82" s="227">
        <v>43061.54546296296</v>
      </c>
      <c r="F82" s="227">
        <v>43061.550381944442</v>
      </c>
      <c r="G82" s="226">
        <v>133</v>
      </c>
      <c r="H82" s="228" t="s">
        <v>494</v>
      </c>
      <c r="I82" s="227">
        <v>43061.576261574075</v>
      </c>
      <c r="J82" s="226">
        <v>0</v>
      </c>
      <c r="K82" s="238" t="str">
        <f t="shared" si="55"/>
        <v>4019/4020</v>
      </c>
      <c r="L82" s="246" t="str">
        <f>VLOOKUP(A82,'Trips&amp;Operators'!$C$1:$G$99911,5,FALSE)</f>
        <v>BERLING GARY</v>
      </c>
      <c r="M82" s="225">
        <f t="shared" si="56"/>
        <v>2.587962963298196E-2</v>
      </c>
      <c r="N82" s="226">
        <f t="shared" si="69"/>
        <v>37.266666671494022</v>
      </c>
      <c r="O82" s="226"/>
      <c r="P82" s="226"/>
      <c r="Q82" s="229"/>
      <c r="R82" s="243"/>
      <c r="S82" s="250">
        <f t="shared" si="52"/>
        <v>1</v>
      </c>
      <c r="T82" s="243" t="str">
        <f t="shared" si="57"/>
        <v>Southbound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58"/>
        <v>https://d0f6bd738d7f1b3e5a7ca70fe4ff75f0.us-east-1.aws.found.io/app/kibana#/discover/Steve-Slow-Train-Analysis-(2080s-and-2083s)?_g=(refreshInterval:(display:Off,pause:!f,section:0,value:0),time:(from:'2017-11-22T12:05:28-0700',mode:absolute,to:'2017-11-22T14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248" t="str">
        <f>IF(AA82&lt;VLOOKUP(AG82,Variables!$AC$3:$AD$8,2,FALSE),"Y","N")</f>
        <v>N</v>
      </c>
      <c r="X82" s="248">
        <f t="shared" ref="X82:X113" si="70">VALUE(LEFT(AD82,4))-VALUE(LEFT(AD81,4))</f>
        <v>1</v>
      </c>
      <c r="Y82" s="248">
        <f t="shared" si="53"/>
        <v>23.290199999999999</v>
      </c>
      <c r="Z82" s="248">
        <f t="shared" si="54"/>
        <v>2.1999999999999999E-2</v>
      </c>
      <c r="AA82" s="248">
        <f t="shared" si="59"/>
        <v>23.2682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60"/>
        <v>170</v>
      </c>
      <c r="AE82" s="236" t="str">
        <f t="shared" si="6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82" s="235" t="str">
        <f t="shared" si="62"/>
        <v>"C:\Program Files (x86)\AstroGrep\AstroGrep.exe" /e /r /s /spath="%USERPROFILE%\AppData\Local\Temp\OnboardLogs" /stypes="app*4019*20171122*" /stext=" 20:.+((SYSTEM_STATE.+slice.+state.+changed )|(ment ac)|(multiple cpu faults)|(system.+state.+changed )|(\[timeout)|(PRM\|1\|D)|(kpr)|(kdp)|(train st.+moving)|(\|lc)|(penalty))"</v>
      </c>
      <c r="AG82" s="245" t="str">
        <f t="shared" si="63"/>
        <v>EC</v>
      </c>
      <c r="AH82" s="237" t="str">
        <f t="shared" si="64"/>
        <v>"%USERPROFILE%\Documents\GitHub\eaglep3\Utilities\RefineRTDCRunTimes.py" --tripid 170-22 --locoid 4019 --swversion DE.1.0.9.0 --startMP 204:232902 --initTime 2017-11-22T13:05:28 --startdatetime 2017-11-22T13:12:33 --delay 133 --endMP 204:220 --enddatetime 2017-11-22T13:49:49 --enforcementcount 0 &gt;&gt;%USERPROFILE%\Documents\GitHub\eaglep3-reporting\EC\2017-11-22-refined-times.txt</v>
      </c>
      <c r="AI8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{"issue":{"subject":"","project_id":79,"tracker_id":40,"status_id":1,"priority_id":2,"assigned_to_id":338,"start_date":"2017-11-22","description":"","custom_fields":[{"id":1,"name":"Subdivision","value":"EC"},{"id":4,"name":"Milepost","value":"0.022"},{"id":17,"name":"Train ID","value":"170-22"},{"id":16,"name":"Locomotive ID","value":"4019"},{"id":130,"name":"Impact","value":""},{"id":150,"name":"Time of Event (Mountain Time)","value":"13:49:49"},{"id":151,"name":"Denver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66"/>
        <v>start /low /b %USERPROFILE%\Documents\GitHub\eaglep3\Utilities\DownloadLogsFromS3.py --loco 4019 --day 2017-11-22</v>
      </c>
      <c r="AN82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68"/>
        <v>https://d0f6bd738d7f1b3e5a7ca70fe4ff75f0.us-east-1.aws.found.io/app/kibana#/discover/Steve-Slow-Train-Analysis-(2080s-and-2083s)?_g=(refreshInterval:(display:Off,pause:!f,section:0,value:0),time:(from:'2017-11-22T12:05:28-0700',mode:absolute,to:'2017-11-22T14:49:49-0700'))&amp;_a=(columns:!('Message%20ID',Summary),filters:!(),index:'emp_*',interval:auto,query:(query_string:(analyze_wildcard:!t,query:'%22rtdc.l.rtdc.4019%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30" t="s">
        <v>778</v>
      </c>
      <c r="B83" s="226">
        <v>4002</v>
      </c>
      <c r="C83" s="228" t="s">
        <v>192</v>
      </c>
      <c r="D83" s="228" t="s">
        <v>515</v>
      </c>
      <c r="E83" s="227">
        <v>43061.51939814815</v>
      </c>
      <c r="F83" s="227">
        <v>43061.521307870367</v>
      </c>
      <c r="G83" s="226">
        <v>57</v>
      </c>
      <c r="H83" s="228" t="s">
        <v>480</v>
      </c>
      <c r="I83" s="227">
        <v>43061.546307870369</v>
      </c>
      <c r="J83" s="226">
        <v>0</v>
      </c>
      <c r="K83" s="238" t="str">
        <f t="shared" si="55"/>
        <v>4001/4002</v>
      </c>
      <c r="L83" s="246" t="str">
        <f>VLOOKUP(A83,'Trips&amp;Operators'!$C$1:$G$99911,5,FALSE)</f>
        <v>DAVIS MICHAEL</v>
      </c>
      <c r="M83" s="225">
        <f t="shared" si="56"/>
        <v>2.5000000001455192E-2</v>
      </c>
      <c r="N83" s="226">
        <f t="shared" si="69"/>
        <v>36.000000002095476</v>
      </c>
      <c r="O83" s="226"/>
      <c r="P83" s="226"/>
      <c r="Q83" s="229"/>
      <c r="R83" s="243"/>
      <c r="S83" s="250">
        <f t="shared" si="52"/>
        <v>1</v>
      </c>
      <c r="T83" s="243" t="str">
        <f t="shared" si="57"/>
        <v>NorthBound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58"/>
        <v>https://d0f6bd738d7f1b3e5a7ca70fe4ff75f0.us-east-1.aws.found.io/app/kibana#/discover/Steve-Slow-Train-Analysis-(2080s-and-2083s)?_g=(refreshInterval:(display:Off,pause:!f,section:0,value:0),time:(from:'2017-11-22T11:27:56-0700',mode:absolute,to:'2017-11-22T14:06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48" t="str">
        <f>IF(AA83&lt;VLOOKUP(AG83,Variables!$AC$3:$AD$8,2,FALSE),"Y","N")</f>
        <v>N</v>
      </c>
      <c r="X83" s="248">
        <f t="shared" si="70"/>
        <v>1</v>
      </c>
      <c r="Y83" s="248">
        <f t="shared" si="53"/>
        <v>5.1499999999999997E-2</v>
      </c>
      <c r="Z83" s="248">
        <f t="shared" si="54"/>
        <v>23.326599999999999</v>
      </c>
      <c r="AA83" s="248">
        <f t="shared" si="59"/>
        <v>23.275099999999998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60"/>
        <v>171</v>
      </c>
      <c r="AE83" s="236" t="str">
        <f t="shared" si="6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83" s="235" t="str">
        <f t="shared" si="62"/>
        <v>"C:\Program Files (x86)\AstroGrep\AstroGrep.exe" /e /r /s /spath="%USERPROFILE%\AppData\Local\Temp\OnboardLogs" /stypes="app*4002*20171122*" /stext=" 20:.+((SYSTEM_STATE.+slice.+state.+changed )|(ment ac)|(multiple cpu faults)|(system.+state.+changed )|(\[timeout)|(PRM\|1\|D)|(kpr)|(kdp)|(train st.+moving)|(\|lc)|(penalty))"</v>
      </c>
      <c r="AG83" s="245" t="str">
        <f t="shared" si="63"/>
        <v>EC</v>
      </c>
      <c r="AH83" s="237" t="str">
        <f t="shared" si="64"/>
        <v>"%USERPROFILE%\Documents\GitHub\eaglep3\Utilities\RefineRTDCRunTimes.py" --tripid 171-22 --locoid 4002 --swversion DE.1.0.9.0 --startMP 204:515 --initTime 2017-11-22T12:27:56 --startdatetime 2017-11-22T12:30:41 --delay 57 --endMP 204:233266 --enddatetime 2017-11-22T13:06:41 --enforcementcount 0 &gt;&gt;%USERPROFILE%\Documents\GitHub\eaglep3-reporting\EC\2017-11-22-refined-times.txt</v>
      </c>
      <c r="AI8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{"issue":{"subject":"","project_id":79,"tracker_id":40,"status_id":1,"priority_id":2,"assigned_to_id":338,"start_date":"2017-11-22","description":"","custom_fields":[{"id":1,"name":"Subdivision","value":"EC"},{"id":4,"name":"Milepost","value":"23.3266"},{"id":17,"name":"Train ID","value":"171-22"},{"id":16,"name":"Locomotive ID","value":"4002"},{"id":130,"name":"Impact","value":""},{"id":150,"name":"Time of Event (Mountain Time)","value":"13:06:41"},{"id":151,"name":"Denver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66"/>
        <v>start /low /b %USERPROFILE%\Documents\GitHub\eaglep3\Utilities\DownloadLogsFromS3.py --loco 4002 --day 2017-11-22</v>
      </c>
      <c r="AN83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68"/>
        <v>https://d0f6bd738d7f1b3e5a7ca70fe4ff75f0.us-east-1.aws.found.io/app/kibana#/discover/Steve-Slow-Train-Analysis-(2080s-and-2083s)?_g=(refreshInterval:(display:Off,pause:!f,section:0,value:0),time:(from:'2017-11-22T11:27:56-0700',mode:absolute,to:'2017-11-22T14:06:41-0700'))&amp;_a=(columns:!('Message%20ID',Summary),filters:!(),index:'emp_*',interval:auto,query:(query_string:(analyze_wildcard:!t,query:'%22rtdc.l.rtdc.4002%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30" t="s">
        <v>789</v>
      </c>
      <c r="B84" s="226">
        <v>4001</v>
      </c>
      <c r="C84" s="228" t="s">
        <v>192</v>
      </c>
      <c r="D84" s="228" t="s">
        <v>942</v>
      </c>
      <c r="E84" s="227">
        <v>43061.557870370372</v>
      </c>
      <c r="F84" s="227">
        <v>43061.560717592591</v>
      </c>
      <c r="G84" s="226">
        <v>71</v>
      </c>
      <c r="H84" s="228" t="s">
        <v>943</v>
      </c>
      <c r="I84" s="227">
        <v>43061.58803240741</v>
      </c>
      <c r="J84" s="226">
        <v>0</v>
      </c>
      <c r="K84" s="238" t="str">
        <f t="shared" si="55"/>
        <v>4001/4002</v>
      </c>
      <c r="L84" s="246" t="str">
        <f>VLOOKUP(A84,'Trips&amp;Operators'!$C$1:$G$99911,5,FALSE)</f>
        <v>DAVIS MICHAEL</v>
      </c>
      <c r="M84" s="225">
        <f t="shared" si="56"/>
        <v>2.7314814818964805E-2</v>
      </c>
      <c r="N84" s="226">
        <f t="shared" si="69"/>
        <v>39.33333333930932</v>
      </c>
      <c r="O84" s="226"/>
      <c r="P84" s="226"/>
      <c r="Q84" s="229"/>
      <c r="R84" s="243"/>
      <c r="S84" s="250">
        <f t="shared" si="52"/>
        <v>1</v>
      </c>
      <c r="T84" s="243" t="str">
        <f t="shared" si="57"/>
        <v>Southbound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58"/>
        <v>https://d0f6bd738d7f1b3e5a7ca70fe4ff75f0.us-east-1.aws.found.io/app/kibana#/discover/Steve-Slow-Train-Analysis-(2080s-and-2083s)?_g=(refreshInterval:(display:Off,pause:!f,section:0,value:0),time:(from:'2017-11-22T12:23:20-0700',mode:absolute,to:'2017-11-22T15:06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48" t="str">
        <f>IF(AA84&lt;VLOOKUP(AG84,Variables!$AC$3:$AD$8,2,FALSE),"Y","N")</f>
        <v>N</v>
      </c>
      <c r="X84" s="248">
        <f t="shared" si="70"/>
        <v>1</v>
      </c>
      <c r="Y84" s="248">
        <f t="shared" si="53"/>
        <v>23.297599999999999</v>
      </c>
      <c r="Z84" s="248">
        <f t="shared" si="54"/>
        <v>2.0500000000000001E-2</v>
      </c>
      <c r="AA84" s="248">
        <f t="shared" si="59"/>
        <v>23.277100000000001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60"/>
        <v>172</v>
      </c>
      <c r="AE84" s="236" t="str">
        <f t="shared" si="6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84" s="235" t="str">
        <f t="shared" si="62"/>
        <v>"C:\Program Files (x86)\AstroGrep\AstroGrep.exe" /e /r /s /spath="%USERPROFILE%\AppData\Local\Temp\OnboardLogs" /stypes="app*4001*20171122*" /stext=" 21:.+((SYSTEM_STATE.+slice.+state.+changed )|(ment ac)|(multiple cpu faults)|(system.+state.+changed )|(\[timeout)|(PRM\|1\|D)|(kpr)|(kdp)|(train st.+moving)|(\|lc)|(penalty))"</v>
      </c>
      <c r="AG84" s="245" t="str">
        <f t="shared" si="63"/>
        <v>EC</v>
      </c>
      <c r="AH84" s="237" t="str">
        <f t="shared" si="64"/>
        <v>"%USERPROFILE%\Documents\GitHub\eaglep3\Utilities\RefineRTDCRunTimes.py" --tripid 172-22 --locoid 4001 --swversion DE.1.0.9.0 --startMP 204:232976 --initTime 2017-11-22T13:23:20 --startdatetime 2017-11-22T13:27:26 --delay 71 --endMP 204:205 --enddatetime 2017-11-22T14:06:46 --enforcementcount 0 &gt;&gt;%USERPROFILE%\Documents\GitHub\eaglep3-reporting\EC\2017-11-22-refined-times.txt</v>
      </c>
      <c r="AI84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{"issue":{"subject":"","project_id":79,"tracker_id":40,"status_id":1,"priority_id":2,"assigned_to_id":338,"start_date":"2017-11-22","description":"","custom_fields":[{"id":1,"name":"Subdivision","value":"EC"},{"id":4,"name":"Milepost","value":"0.0205"},{"id":17,"name":"Train ID","value":"172-22"},{"id":16,"name":"Locomotive ID","value":"4001"},{"id":130,"name":"Impact","value":""},{"id":150,"name":"Time of Event (Mountain Time)","value":"14:06:46"},{"id":151,"name":"Denver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66"/>
        <v>start /low /b %USERPROFILE%\Documents\GitHub\eaglep3\Utilities\DownloadLogsFromS3.py --loco 4001 --day 2017-11-22</v>
      </c>
      <c r="AN84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68"/>
        <v>https://d0f6bd738d7f1b3e5a7ca70fe4ff75f0.us-east-1.aws.found.io/app/kibana#/discover/Steve-Slow-Train-Analysis-(2080s-and-2083s)?_g=(refreshInterval:(display:Off,pause:!f,section:0,value:0),time:(from:'2017-11-22T12:23:20-0700',mode:absolute,to:'2017-11-22T15:06:46-0700'))&amp;_a=(columns:!('Message%20ID',Summary),filters:!(),index:'emp_*',interval:auto,query:(query_string:(analyze_wildcard:!t,query:'%22rtdc.l.rtdc.4001%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30" t="s">
        <v>779</v>
      </c>
      <c r="B85" s="226">
        <v>4040</v>
      </c>
      <c r="C85" s="228" t="s">
        <v>192</v>
      </c>
      <c r="D85" s="228" t="s">
        <v>898</v>
      </c>
      <c r="E85" s="227">
        <v>43061.527141203704</v>
      </c>
      <c r="F85" s="227">
        <v>43061.53162037037</v>
      </c>
      <c r="G85" s="226">
        <v>153</v>
      </c>
      <c r="H85" s="228" t="s">
        <v>944</v>
      </c>
      <c r="I85" s="227">
        <v>43061.556030092594</v>
      </c>
      <c r="J85" s="226">
        <v>0</v>
      </c>
      <c r="K85" s="238" t="str">
        <f t="shared" si="55"/>
        <v>4039/4040</v>
      </c>
      <c r="L85" s="246" t="str">
        <f>VLOOKUP(A85,'Trips&amp;Operators'!$C$1:$G$99911,5,FALSE)</f>
        <v>AUSTIN THOMPSON</v>
      </c>
      <c r="M85" s="225">
        <f t="shared" si="56"/>
        <v>2.4409722223936114E-2</v>
      </c>
      <c r="N85" s="226">
        <f t="shared" si="69"/>
        <v>35.150000002468005</v>
      </c>
      <c r="O85" s="226"/>
      <c r="P85" s="226"/>
      <c r="Q85" s="229"/>
      <c r="R85" s="243"/>
      <c r="S85" s="250">
        <f t="shared" si="52"/>
        <v>1</v>
      </c>
      <c r="T85" s="243" t="str">
        <f t="shared" si="57"/>
        <v>NorthBound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58"/>
        <v>https://d0f6bd738d7f1b3e5a7ca70fe4ff75f0.us-east-1.aws.found.io/app/kibana#/discover/Steve-Slow-Train-Analysis-(2080s-and-2083s)?_g=(refreshInterval:(display:Off,pause:!f,section:0,value:0),time:(from:'2017-11-22T11:39:05-0700',mode:absolute,to:'2017-11-22T14:20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5" s="248" t="str">
        <f>IF(AA85&lt;VLOOKUP(AG85,Variables!$AC$3:$AD$8,2,FALSE),"Y","N")</f>
        <v>N</v>
      </c>
      <c r="X85" s="248">
        <f t="shared" si="70"/>
        <v>1</v>
      </c>
      <c r="Y85" s="248">
        <f t="shared" si="53"/>
        <v>5.1299999999999998E-2</v>
      </c>
      <c r="Z85" s="248">
        <f t="shared" si="54"/>
        <v>23.324000000000002</v>
      </c>
      <c r="AA85" s="248">
        <f t="shared" si="59"/>
        <v>23.2727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60"/>
        <v>173</v>
      </c>
      <c r="AE85" s="236" t="str">
        <f t="shared" si="6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85" s="235" t="str">
        <f t="shared" si="62"/>
        <v>"C:\Program Files (x86)\AstroGrep\AstroGrep.exe" /e /r /s /spath="%USERPROFILE%\AppData\Local\Temp\OnboardLogs" /stypes="app*4040*20171122*" /stext=" 20:.+((SYSTEM_STATE.+slice.+state.+changed )|(ment ac)|(multiple cpu faults)|(system.+state.+changed )|(\[timeout)|(PRM\|1\|D)|(kpr)|(kdp)|(train st.+moving)|(\|lc)|(penalty))"</v>
      </c>
      <c r="AG85" s="245" t="str">
        <f t="shared" si="63"/>
        <v>EC</v>
      </c>
      <c r="AH85" s="237" t="str">
        <f t="shared" si="64"/>
        <v>"%USERPROFILE%\Documents\GitHub\eaglep3\Utilities\RefineRTDCRunTimes.py" --tripid 173-22 --locoid 4040 --swversion DE.1.0.9.0 --startMP 204:513 --initTime 2017-11-22T12:39:05 --startdatetime 2017-11-22T12:45:32 --delay 153 --endMP 204:233240 --enddatetime 2017-11-22T13:20:41 --enforcementcount 0 &gt;&gt;%USERPROFILE%\Documents\GitHub\eaglep3-reporting\EC\2017-11-22-refined-times.txt</v>
      </c>
      <c r="AI85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{"issue":{"subject":"","project_id":79,"tracker_id":40,"status_id":1,"priority_id":2,"assigned_to_id":338,"start_date":"2017-11-22","description":"","custom_fields":[{"id":1,"name":"Subdivision","value":"EC"},{"id":4,"name":"Milepost","value":"23.324"},{"id":17,"name":"Train ID","value":"173-22"},{"id":16,"name":"Locomotive ID","value":"4040"},{"id":130,"name":"Impact","value":""},{"id":150,"name":"Time of Event (Mountain Time)","value":"13:20:41"},{"id":151,"name":"Denver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66"/>
        <v>start /low /b %USERPROFILE%\Documents\GitHub\eaglep3\Utilities\DownloadLogsFromS3.py --loco 4040 --day 2017-11-22</v>
      </c>
      <c r="AN85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68"/>
        <v>https://d0f6bd738d7f1b3e5a7ca70fe4ff75f0.us-east-1.aws.found.io/app/kibana#/discover/Steve-Slow-Train-Analysis-(2080s-and-2083s)?_g=(refreshInterval:(display:Off,pause:!f,section:0,value:0),time:(from:'2017-11-22T11:39:05-0700',mode:absolute,to:'2017-11-22T14:20:41-0700'))&amp;_a=(columns:!('Message%20ID',Summary),filters:!(),index:'emp_*',interval:auto,query:(query_string:(analyze_wildcard:!t,query:'%22rtdc.l.rtdc.4040%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30" t="s">
        <v>787</v>
      </c>
      <c r="B86" s="226">
        <v>4039</v>
      </c>
      <c r="C86" s="228" t="s">
        <v>192</v>
      </c>
      <c r="D86" s="228" t="s">
        <v>923</v>
      </c>
      <c r="E86" s="227">
        <v>43061.557384259257</v>
      </c>
      <c r="F86" s="227">
        <v>43061.571087962962</v>
      </c>
      <c r="G86" s="226">
        <v>65</v>
      </c>
      <c r="H86" s="228" t="s">
        <v>512</v>
      </c>
      <c r="I86" s="227">
        <v>43061.59710648148</v>
      </c>
      <c r="J86" s="226">
        <v>0</v>
      </c>
      <c r="K86" s="238" t="str">
        <f t="shared" si="55"/>
        <v>4039/4040</v>
      </c>
      <c r="L86" s="246" t="str">
        <f>VLOOKUP(A86,'Trips&amp;Operators'!$C$1:$G$99911,5,FALSE)</f>
        <v>AUSTIN THOMPSON</v>
      </c>
      <c r="M86" s="225">
        <f t="shared" si="56"/>
        <v>2.6018518517958E-2</v>
      </c>
      <c r="N86" s="226">
        <f t="shared" si="69"/>
        <v>37.46666666585952</v>
      </c>
      <c r="O86" s="226"/>
      <c r="P86" s="226"/>
      <c r="Q86" s="229"/>
      <c r="R86" s="243"/>
      <c r="S86" s="250">
        <f t="shared" si="52"/>
        <v>1</v>
      </c>
      <c r="T86" s="243" t="str">
        <f t="shared" si="57"/>
        <v>Southbound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58"/>
        <v>https://d0f6bd738d7f1b3e5a7ca70fe4ff75f0.us-east-1.aws.found.io/app/kibana#/discover/Steve-Slow-Train-Analysis-(2080s-and-2083s)?_g=(refreshInterval:(display:Off,pause:!f,section:0,value:0),time:(from:'2017-11-22T12:22:38-0700',mode:absolute,to:'2017-11-22T15:19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6" s="248" t="str">
        <f>IF(AA86&lt;VLOOKUP(AG86,Variables!$AC$3:$AD$8,2,FALSE),"Y","N")</f>
        <v>N</v>
      </c>
      <c r="X86" s="248">
        <f t="shared" si="70"/>
        <v>1</v>
      </c>
      <c r="Y86" s="248">
        <f t="shared" si="53"/>
        <v>23.294</v>
      </c>
      <c r="Z86" s="248">
        <f t="shared" si="54"/>
        <v>1.7000000000000001E-2</v>
      </c>
      <c r="AA86" s="248">
        <f t="shared" si="59"/>
        <v>23.277000000000001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60"/>
        <v>174</v>
      </c>
      <c r="AE86" s="236" t="str">
        <f t="shared" si="6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86" s="235" t="str">
        <f t="shared" si="62"/>
        <v>"C:\Program Files (x86)\AstroGrep\AstroGrep.exe" /e /r /s /spath="%USERPROFILE%\AppData\Local\Temp\OnboardLogs" /stypes="app*4039*20171122*" /stext=" 21:.+((SYSTEM_STATE.+slice.+state.+changed )|(ment ac)|(multiple cpu faults)|(system.+state.+changed )|(\[timeout)|(PRM\|1\|D)|(kpr)|(kdp)|(train st.+moving)|(\|lc)|(penalty))"</v>
      </c>
      <c r="AG86" s="245" t="str">
        <f t="shared" si="63"/>
        <v>EC</v>
      </c>
      <c r="AH86" s="237" t="str">
        <f t="shared" si="64"/>
        <v>"%USERPROFILE%\Documents\GitHub\eaglep3\Utilities\RefineRTDCRunTimes.py" --tripid 174-22 --locoid 4039 --swversion DE.1.0.9.0 --startMP 204:232940 --initTime 2017-11-22T13:22:38 --startdatetime 2017-11-22T13:42:22 --delay 65 --endMP 204:170 --enddatetime 2017-11-22T14:19:50 --enforcementcount 0 &gt;&gt;%USERPROFILE%\Documents\GitHub\eaglep3-reporting\EC\2017-11-22-refined-times.txt</v>
      </c>
      <c r="AI86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{"issue":{"subject":"","project_id":79,"tracker_id":40,"status_id":1,"priority_id":2,"assigned_to_id":338,"start_date":"2017-11-22","description":"","custom_fields":[{"id":1,"name":"Subdivision","value":"EC"},{"id":4,"name":"Milepost","value":"0.017"},{"id":17,"name":"Train ID","value":"174-22"},{"id":16,"name":"Locomotive ID","value":"4039"},{"id":130,"name":"Impact","value":""},{"id":150,"name":"Time of Event (Mountain Time)","value":"14:19:50"},{"id":151,"name":"Denver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66"/>
        <v>start /low /b %USERPROFILE%\Documents\GitHub\eaglep3\Utilities\DownloadLogsFromS3.py --loco 4039 --day 2017-11-22</v>
      </c>
      <c r="AN86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68"/>
        <v>https://d0f6bd738d7f1b3e5a7ca70fe4ff75f0.us-east-1.aws.found.io/app/kibana#/discover/Steve-Slow-Train-Analysis-(2080s-and-2083s)?_g=(refreshInterval:(display:Off,pause:!f,section:0,value:0),time:(from:'2017-11-22T12:22:38-0700',mode:absolute,to:'2017-11-22T15:19:50-0700'))&amp;_a=(columns:!('Message%20ID',Summary),filters:!(),index:'emp_*',interval:auto,query:(query_string:(analyze_wildcard:!t,query:'%22rtdc.l.rtdc.4039%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30" t="s">
        <v>781</v>
      </c>
      <c r="B87" s="226">
        <v>4016</v>
      </c>
      <c r="C87" s="228" t="s">
        <v>192</v>
      </c>
      <c r="D87" s="228" t="s">
        <v>535</v>
      </c>
      <c r="E87" s="227">
        <v>43061.538298611114</v>
      </c>
      <c r="F87" s="227">
        <v>43061.541898148149</v>
      </c>
      <c r="G87" s="226">
        <v>55</v>
      </c>
      <c r="H87" s="228" t="s">
        <v>945</v>
      </c>
      <c r="I87" s="227">
        <v>43061.566851851851</v>
      </c>
      <c r="J87" s="226">
        <v>0</v>
      </c>
      <c r="K87" s="238" t="str">
        <f t="shared" si="55"/>
        <v>4015/4016</v>
      </c>
      <c r="L87" s="246" t="str">
        <f>VLOOKUP(A87,'Trips&amp;Operators'!$C$1:$G$99911,5,FALSE)</f>
        <v>BRUDER RICHARD</v>
      </c>
      <c r="M87" s="225">
        <f t="shared" si="56"/>
        <v>2.495370370161254E-2</v>
      </c>
      <c r="N87" s="226">
        <f t="shared" si="69"/>
        <v>35.933333330322057</v>
      </c>
      <c r="O87" s="226"/>
      <c r="P87" s="226"/>
      <c r="Q87" s="229"/>
      <c r="R87" s="243"/>
      <c r="S87" s="250">
        <f t="shared" si="52"/>
        <v>1</v>
      </c>
      <c r="T87" s="243" t="str">
        <f t="shared" si="57"/>
        <v>NorthBound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58"/>
        <v>https://d0f6bd738d7f1b3e5a7ca70fe4ff75f0.us-east-1.aws.found.io/app/kibana#/discover/Steve-Slow-Train-Analysis-(2080s-and-2083s)?_g=(refreshInterval:(display:Off,pause:!f,section:0,value:0),time:(from:'2017-11-22T11:55:09-0700',mode:absolute,to:'2017-11-22T14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7" s="248" t="str">
        <f>IF(AA87&lt;VLOOKUP(AG87,Variables!$AC$3:$AD$8,2,FALSE),"Y","N")</f>
        <v>N</v>
      </c>
      <c r="X87" s="248">
        <f t="shared" si="70"/>
        <v>1</v>
      </c>
      <c r="Y87" s="248">
        <f t="shared" si="53"/>
        <v>5.0799999999999998E-2</v>
      </c>
      <c r="Z87" s="248">
        <f t="shared" si="54"/>
        <v>23.3217</v>
      </c>
      <c r="AA87" s="248">
        <f t="shared" si="59"/>
        <v>23.270900000000001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60"/>
        <v>175</v>
      </c>
      <c r="AE87" s="236" t="str">
        <f t="shared" si="6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87" s="235" t="str">
        <f t="shared" si="62"/>
        <v>"C:\Program Files (x86)\AstroGrep\AstroGrep.exe" /e /r /s /spath="%USERPROFILE%\AppData\Local\Temp\OnboardLogs" /stypes="app*4016*20171122*" /stext=" 20:.+((SYSTEM_STATE.+slice.+state.+changed )|(ment ac)|(multiple cpu faults)|(system.+state.+changed )|(\[timeout)|(PRM\|1\|D)|(kpr)|(kdp)|(train st.+moving)|(\|lc)|(penalty))"</v>
      </c>
      <c r="AG87" s="245" t="str">
        <f t="shared" si="63"/>
        <v>EC</v>
      </c>
      <c r="AH87" s="237" t="str">
        <f t="shared" si="64"/>
        <v>"%USERPROFILE%\Documents\GitHub\eaglep3\Utilities\RefineRTDCRunTimes.py" --tripid 175-22 --locoid 4016 --swversion DE.1.0.9.0 --startMP 204:508 --initTime 2017-11-22T12:55:09 --startdatetime 2017-11-22T13:00:20 --delay 55 --endMP 204:233217 --enddatetime 2017-11-22T13:36:16 --enforcementcount 0 &gt;&gt;%USERPROFILE%\Documents\GitHub\eaglep3-reporting\EC\2017-11-22-refined-times.txt</v>
      </c>
      <c r="AI87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{"issue":{"subject":"","project_id":79,"tracker_id":40,"status_id":1,"priority_id":2,"assigned_to_id":338,"start_date":"2017-11-22","description":"","custom_fields":[{"id":1,"name":"Subdivision","value":"EC"},{"id":4,"name":"Milepost","value":"23.3217"},{"id":17,"name":"Train ID","value":"175-22"},{"id":16,"name":"Locomotive ID","value":"4016"},{"id":130,"name":"Impact","value":""},{"id":150,"name":"Time of Event (Mountain Time)","value":"13:36:16"},{"id":151,"name":"Denver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66"/>
        <v>start /low /b %USERPROFILE%\Documents\GitHub\eaglep3\Utilities\DownloadLogsFromS3.py --loco 4016 --day 2017-11-22</v>
      </c>
      <c r="AN87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68"/>
        <v>https://d0f6bd738d7f1b3e5a7ca70fe4ff75f0.us-east-1.aws.found.io/app/kibana#/discover/Steve-Slow-Train-Analysis-(2080s-and-2083s)?_g=(refreshInterval:(display:Off,pause:!f,section:0,value:0),time:(from:'2017-11-22T11:55:09-0700',mode:absolute,to:'2017-11-22T14:36:16-0700'))&amp;_a=(columns:!('Message%20ID',Summary),filters:!(),index:'emp_*',interval:auto,query:(query_string:(analyze_wildcard:!t,query:'%22rtdc.l.rtdc.4016%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30" t="s">
        <v>792</v>
      </c>
      <c r="B88" s="226">
        <v>4015</v>
      </c>
      <c r="C88" s="228" t="s">
        <v>192</v>
      </c>
      <c r="D88" s="228" t="s">
        <v>541</v>
      </c>
      <c r="E88" s="227">
        <v>43061.577916666669</v>
      </c>
      <c r="F88" s="227">
        <v>43061.581469907411</v>
      </c>
      <c r="G88" s="226">
        <v>89</v>
      </c>
      <c r="H88" s="228" t="s">
        <v>609</v>
      </c>
      <c r="I88" s="227">
        <v>43061.607094907406</v>
      </c>
      <c r="J88" s="226">
        <v>0</v>
      </c>
      <c r="K88" s="238" t="str">
        <f t="shared" si="55"/>
        <v>4015/4016</v>
      </c>
      <c r="L88" s="246" t="str">
        <f>VLOOKUP(A88,'Trips&amp;Operators'!$C$1:$G$99911,5,FALSE)</f>
        <v>BRUDER RICHARD</v>
      </c>
      <c r="M88" s="225">
        <f t="shared" si="56"/>
        <v>2.5624999994761311E-2</v>
      </c>
      <c r="N88" s="226">
        <f t="shared" si="69"/>
        <v>36.899999992456287</v>
      </c>
      <c r="O88" s="226"/>
      <c r="P88" s="226"/>
      <c r="Q88" s="229"/>
      <c r="R88" s="243"/>
      <c r="S88" s="250">
        <f t="shared" si="52"/>
        <v>1</v>
      </c>
      <c r="T88" s="243" t="str">
        <f t="shared" si="57"/>
        <v>Southbound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58"/>
        <v>https://d0f6bd738d7f1b3e5a7ca70fe4ff75f0.us-east-1.aws.found.io/app/kibana#/discover/Steve-Slow-Train-Analysis-(2080s-and-2083s)?_g=(refreshInterval:(display:Off,pause:!f,section:0,value:0),time:(from:'2017-11-22T12:52:12-0700',mode:absolute,to:'2017-11-22T15:34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8" s="248" t="str">
        <f>IF(AA88&lt;VLOOKUP(AG88,Variables!$AC$3:$AD$8,2,FALSE),"Y","N")</f>
        <v>N</v>
      </c>
      <c r="X88" s="248">
        <f t="shared" si="70"/>
        <v>1</v>
      </c>
      <c r="Y88" s="248">
        <f t="shared" si="53"/>
        <v>23.290800000000001</v>
      </c>
      <c r="Z88" s="248">
        <f t="shared" si="54"/>
        <v>2.3199999999999998E-2</v>
      </c>
      <c r="AA88" s="248">
        <f t="shared" si="59"/>
        <v>23.267600000000002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60"/>
        <v>176</v>
      </c>
      <c r="AE88" s="236" t="str">
        <f t="shared" si="6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88" s="235" t="str">
        <f t="shared" si="62"/>
        <v>"C:\Program Files (x86)\AstroGrep\AstroGrep.exe" /e /r /s /spath="%USERPROFILE%\AppData\Local\Temp\OnboardLogs" /stypes="app*4015*20171122*" /stext=" 21:.+((SYSTEM_STATE.+slice.+state.+changed )|(ment ac)|(multiple cpu faults)|(system.+state.+changed )|(\[timeout)|(PRM\|1\|D)|(kpr)|(kdp)|(train st.+moving)|(\|lc)|(penalty))"</v>
      </c>
      <c r="AG88" s="245" t="str">
        <f t="shared" si="63"/>
        <v>EC</v>
      </c>
      <c r="AH88" s="237" t="str">
        <f t="shared" si="64"/>
        <v>"%USERPROFILE%\Documents\GitHub\eaglep3\Utilities\RefineRTDCRunTimes.py" --tripid 176-22 --locoid 4015 --swversion DE.1.0.9.0 --startMP 204:232908 --initTime 2017-11-22T13:52:12 --startdatetime 2017-11-22T13:57:19 --delay 89 --endMP 204:232 --enddatetime 2017-11-22T14:34:13 --enforcementcount 0 &gt;&gt;%USERPROFILE%\Documents\GitHub\eaglep3-reporting\EC\2017-11-22-refined-times.txt</v>
      </c>
      <c r="AI88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{"issue":{"subject":"","project_id":79,"tracker_id":40,"status_id":1,"priority_id":2,"assigned_to_id":338,"start_date":"2017-11-22","description":"","custom_fields":[{"id":1,"name":"Subdivision","value":"EC"},{"id":4,"name":"Milepost","value":"0.0232"},{"id":17,"name":"Train ID","value":"176-22"},{"id":16,"name":"Locomotive ID","value":"4015"},{"id":130,"name":"Impact","value":""},{"id":150,"name":"Time of Event (Mountain Time)","value":"14:34:13"},{"id":151,"name":"Denver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66"/>
        <v>start /low /b %USERPROFILE%\Documents\GitHub\eaglep3\Utilities\DownloadLogsFromS3.py --loco 4015 --day 2017-11-22</v>
      </c>
      <c r="AN88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68"/>
        <v>https://d0f6bd738d7f1b3e5a7ca70fe4ff75f0.us-east-1.aws.found.io/app/kibana#/discover/Steve-Slow-Train-Analysis-(2080s-and-2083s)?_g=(refreshInterval:(display:Off,pause:!f,section:0,value:0),time:(from:'2017-11-22T12:52:12-0700',mode:absolute,to:'2017-11-22T15:34:13-0700'))&amp;_a=(columns:!('Message%20ID',Summary),filters:!(),index:'emp_*',interval:auto,query:(query_string:(analyze_wildcard:!t,query:'%22rtdc.l.rtdc.4015%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30" t="s">
        <v>786</v>
      </c>
      <c r="B89" s="226">
        <v>4006</v>
      </c>
      <c r="C89" s="228" t="s">
        <v>192</v>
      </c>
      <c r="D89" s="228" t="s">
        <v>933</v>
      </c>
      <c r="E89" s="227">
        <v>43061.547650462962</v>
      </c>
      <c r="F89" s="227">
        <v>43061.552291666667</v>
      </c>
      <c r="G89" s="226">
        <v>57</v>
      </c>
      <c r="H89" s="228" t="s">
        <v>606</v>
      </c>
      <c r="I89" s="227">
        <v>43061.577766203707</v>
      </c>
      <c r="J89" s="226">
        <v>0</v>
      </c>
      <c r="K89" s="238" t="str">
        <f t="shared" si="55"/>
        <v>4005/4006</v>
      </c>
      <c r="L89" s="246" t="str">
        <f>VLOOKUP(A89,'Trips&amp;Operators'!$C$1:$G$99911,5,FALSE)</f>
        <v>STEWART MICHAEL</v>
      </c>
      <c r="M89" s="225">
        <f t="shared" si="56"/>
        <v>2.5474537040281575E-2</v>
      </c>
      <c r="N89" s="226">
        <f t="shared" si="69"/>
        <v>36.683333338005468</v>
      </c>
      <c r="O89" s="226"/>
      <c r="P89" s="226"/>
      <c r="Q89" s="229"/>
      <c r="R89" s="243"/>
      <c r="S89" s="250">
        <f t="shared" si="52"/>
        <v>1</v>
      </c>
      <c r="T89" s="243" t="str">
        <f t="shared" si="57"/>
        <v>NorthBound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58"/>
        <v>https://d0f6bd738d7f1b3e5a7ca70fe4ff75f0.us-east-1.aws.found.io/app/kibana#/discover/Steve-Slow-Train-Analysis-(2080s-and-2083s)?_g=(refreshInterval:(display:Off,pause:!f,section:0,value:0),time:(from:'2017-11-22T12:08:37-0700',mode:absolute,to:'2017-11-22T14:51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9" s="248" t="str">
        <f>IF(AA89&lt;VLOOKUP(AG89,Variables!$AC$3:$AD$8,2,FALSE),"Y","N")</f>
        <v>N</v>
      </c>
      <c r="X89" s="248">
        <f t="shared" si="70"/>
        <v>1</v>
      </c>
      <c r="Y89" s="248">
        <f t="shared" si="53"/>
        <v>5.2900000000000003E-2</v>
      </c>
      <c r="Z89" s="248">
        <f t="shared" si="54"/>
        <v>23.3203</v>
      </c>
      <c r="AA89" s="248">
        <f t="shared" si="59"/>
        <v>23.267399999999999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60"/>
        <v>177</v>
      </c>
      <c r="AE89" s="236" t="str">
        <f t="shared" si="6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89" s="235" t="str">
        <f t="shared" si="62"/>
        <v>"C:\Program Files (x86)\AstroGrep\AstroGrep.exe" /e /r /s /spath="%USERPROFILE%\AppData\Local\Temp\OnboardLogs" /stypes="app*4006*20171122*" /stext=" 20:.+((SYSTEM_STATE.+slice.+state.+changed )|(ment ac)|(multiple cpu faults)|(system.+state.+changed )|(\[timeout)|(PRM\|1\|D)|(kpr)|(kdp)|(train st.+moving)|(\|lc)|(penalty))"</v>
      </c>
      <c r="AG89" s="245" t="str">
        <f t="shared" si="63"/>
        <v>EC</v>
      </c>
      <c r="AH89" s="237" t="str">
        <f t="shared" si="64"/>
        <v>"%USERPROFILE%\Documents\GitHub\eaglep3\Utilities\RefineRTDCRunTimes.py" --tripid 177-22 --locoid 4006 --swversion DE.1.0.9.0 --startMP 204:529 --initTime 2017-11-22T13:08:37 --startdatetime 2017-11-22T13:15:18 --delay 57 --endMP 204:233203 --enddatetime 2017-11-22T13:51:59 --enforcementcount 0 &gt;&gt;%USERPROFILE%\Documents\GitHub\eaglep3-reporting\EC\2017-11-22-refined-times.txt</v>
      </c>
      <c r="AI89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{"issue":{"subject":"","project_id":79,"tracker_id":40,"status_id":1,"priority_id":2,"assigned_to_id":338,"start_date":"2017-11-22","description":"","custom_fields":[{"id":1,"name":"Subdivision","value":"EC"},{"id":4,"name":"Milepost","value":"23.3203"},{"id":17,"name":"Train ID","value":"177-22"},{"id":16,"name":"Locomotive ID","value":"4006"},{"id":130,"name":"Impact","value":""},{"id":150,"name":"Time of Event (Mountain Time)","value":"13:51:59"},{"id":151,"name":"Denver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66"/>
        <v>start /low /b %USERPROFILE%\Documents\GitHub\eaglep3\Utilities\DownloadLogsFromS3.py --loco 4006 --day 2017-11-22</v>
      </c>
      <c r="AN89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68"/>
        <v>https://d0f6bd738d7f1b3e5a7ca70fe4ff75f0.us-east-1.aws.found.io/app/kibana#/discover/Steve-Slow-Train-Analysis-(2080s-and-2083s)?_g=(refreshInterval:(display:Off,pause:!f,section:0,value:0),time:(from:'2017-11-22T12:08:37-0700',mode:absolute,to:'2017-11-22T14:51:59-0700'))&amp;_a=(columns:!('Message%20ID',Summary),filters:!(),index:'emp_*',interval:auto,query:(query_string:(analyze_wildcard:!t,query:'%22rtdc.l.rtdc.4006%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30" t="s">
        <v>795</v>
      </c>
      <c r="B90" s="226">
        <v>4005</v>
      </c>
      <c r="C90" s="228" t="s">
        <v>192</v>
      </c>
      <c r="D90" s="228" t="s">
        <v>603</v>
      </c>
      <c r="E90" s="227">
        <v>43061.588819444441</v>
      </c>
      <c r="F90" s="227">
        <v>43061.591863425929</v>
      </c>
      <c r="G90" s="226">
        <v>56</v>
      </c>
      <c r="H90" s="228" t="s">
        <v>609</v>
      </c>
      <c r="I90" s="227">
        <v>43061.618067129632</v>
      </c>
      <c r="J90" s="226">
        <v>0</v>
      </c>
      <c r="K90" s="238" t="str">
        <f t="shared" si="55"/>
        <v>4005/4006</v>
      </c>
      <c r="L90" s="246" t="str">
        <f>VLOOKUP(A90,'Trips&amp;Operators'!$C$1:$G$99911,5,FALSE)</f>
        <v>STEWART MICHAEL</v>
      </c>
      <c r="M90" s="225">
        <f t="shared" si="56"/>
        <v>2.6203703702776693E-2</v>
      </c>
      <c r="N90" s="226">
        <f t="shared" si="69"/>
        <v>37.733333331998438</v>
      </c>
      <c r="O90" s="226"/>
      <c r="P90" s="226"/>
      <c r="Q90" s="229"/>
      <c r="R90" s="243"/>
      <c r="S90" s="250">
        <f t="shared" si="52"/>
        <v>1</v>
      </c>
      <c r="T90" s="243" t="str">
        <f t="shared" si="57"/>
        <v>Southbound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58"/>
        <v>https://d0f6bd738d7f1b3e5a7ca70fe4ff75f0.us-east-1.aws.found.io/app/kibana#/discover/Steve-Slow-Train-Analysis-(2080s-and-2083s)?_g=(refreshInterval:(display:Off,pause:!f,section:0,value:0),time:(from:'2017-11-22T13:07:54-0700',mode:absolute,to:'2017-11-22T15:50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0" s="248" t="str">
        <f>IF(AA90&lt;VLOOKUP(AG90,Variables!$AC$3:$AD$8,2,FALSE),"Y","N")</f>
        <v>N</v>
      </c>
      <c r="X90" s="248">
        <f t="shared" si="70"/>
        <v>1</v>
      </c>
      <c r="Y90" s="248">
        <f t="shared" si="53"/>
        <v>23.2879</v>
      </c>
      <c r="Z90" s="248">
        <f t="shared" si="54"/>
        <v>2.3199999999999998E-2</v>
      </c>
      <c r="AA90" s="248">
        <f t="shared" si="59"/>
        <v>23.264700000000001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60"/>
        <v>178</v>
      </c>
      <c r="AE90" s="236" t="str">
        <f t="shared" si="6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90" s="235" t="str">
        <f t="shared" si="62"/>
        <v>"C:\Program Files (x86)\AstroGrep\AstroGrep.exe" /e /r /s /spath="%USERPROFILE%\AppData\Local\Temp\OnboardLogs" /stypes="app*4005*20171122*" /stext=" 21:.+((SYSTEM_STATE.+slice.+state.+changed )|(ment ac)|(multiple cpu faults)|(system.+state.+changed )|(\[timeout)|(PRM\|1\|D)|(kpr)|(kdp)|(train st.+moving)|(\|lc)|(penalty))"</v>
      </c>
      <c r="AG90" s="245" t="str">
        <f t="shared" si="63"/>
        <v>EC</v>
      </c>
      <c r="AH90" s="237" t="str">
        <f t="shared" si="64"/>
        <v>"%USERPROFILE%\Documents\GitHub\eaglep3\Utilities\RefineRTDCRunTimes.py" --tripid 178-22 --locoid 4005 --swversion DE.1.0.9.0 --startMP 204:232879 --initTime 2017-11-22T14:07:54 --startdatetime 2017-11-22T14:12:17 --delay 56 --endMP 204:232 --enddatetime 2017-11-22T14:50:01 --enforcementcount 0 &gt;&gt;%USERPROFILE%\Documents\GitHub\eaglep3-reporting\EC\2017-11-22-refined-times.txt</v>
      </c>
      <c r="AI90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{"issue":{"subject":"","project_id":79,"tracker_id":40,"status_id":1,"priority_id":2,"assigned_to_id":338,"start_date":"2017-11-22","description":"","custom_fields":[{"id":1,"name":"Subdivision","value":"EC"},{"id":4,"name":"Milepost","value":"0.0232"},{"id":17,"name":"Train ID","value":"178-22"},{"id":16,"name":"Locomotive ID","value":"4005"},{"id":130,"name":"Impact","value":""},{"id":150,"name":"Time of Event (Mountain Time)","value":"14:50:01"},{"id":151,"name":"Denver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66"/>
        <v>start /low /b %USERPROFILE%\Documents\GitHub\eaglep3\Utilities\DownloadLogsFromS3.py --loco 4005 --day 2017-11-22</v>
      </c>
      <c r="AN90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21:50:01"},{"id":29,"name":"Sharepoint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68"/>
        <v>https://d0f6bd738d7f1b3e5a7ca70fe4ff75f0.us-east-1.aws.found.io/app/kibana#/discover/Steve-Slow-Train-Analysis-(2080s-and-2083s)?_g=(refreshInterval:(display:Off,pause:!f,section:0,value:0),time:(from:'2017-11-22T13:07:54-0700',mode:absolute,to:'2017-11-22T15:50:01-0700'))&amp;_a=(columns:!('Message%20ID',Summary),filters:!(),index:'emp_*',interval:auto,query:(query_string:(analyze_wildcard:!t,query:'%22rtdc.l.rtdc.4005%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30" t="s">
        <v>788</v>
      </c>
      <c r="B91" s="226">
        <v>4050</v>
      </c>
      <c r="C91" s="228" t="s">
        <v>192</v>
      </c>
      <c r="D91" s="228" t="s">
        <v>946</v>
      </c>
      <c r="E91" s="227">
        <v>43061.557604166665</v>
      </c>
      <c r="F91" s="227">
        <v>43061.562731481485</v>
      </c>
      <c r="G91" s="226">
        <v>64</v>
      </c>
      <c r="H91" s="228" t="s">
        <v>947</v>
      </c>
      <c r="I91" s="227">
        <v>43061.587696759256</v>
      </c>
      <c r="J91" s="226">
        <v>0</v>
      </c>
      <c r="K91" s="238" t="str">
        <f t="shared" si="55"/>
        <v>4049/4050</v>
      </c>
      <c r="L91" s="246" t="str">
        <f>VLOOKUP(A91,'Trips&amp;Operators'!$C$1:$G$99911,5,FALSE)</f>
        <v>ANDREA WILLIAMS</v>
      </c>
      <c r="M91" s="225">
        <f t="shared" si="56"/>
        <v>2.4965277771116234E-2</v>
      </c>
      <c r="N91" s="226">
        <f t="shared" si="69"/>
        <v>35.949999990407377</v>
      </c>
      <c r="O91" s="226"/>
      <c r="P91" s="226"/>
      <c r="Q91" s="229"/>
      <c r="R91" s="243"/>
      <c r="S91" s="250">
        <f t="shared" si="52"/>
        <v>1</v>
      </c>
      <c r="T91" s="243" t="str">
        <f t="shared" si="57"/>
        <v>NorthBound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58"/>
        <v>https://d0f6bd738d7f1b3e5a7ca70fe4ff75f0.us-east-1.aws.found.io/app/kibana#/discover/Steve-Slow-Train-Analysis-(2080s-and-2083s)?_g=(refreshInterval:(display:Off,pause:!f,section:0,value:0),time:(from:'2017-11-22T12:22:57-0700',mode:absolute,to:'2017-11-22T15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1" s="248" t="str">
        <f>IF(AA91&lt;VLOOKUP(AG91,Variables!$AC$3:$AD$8,2,FALSE),"Y","N")</f>
        <v>N</v>
      </c>
      <c r="X91" s="248">
        <f t="shared" si="70"/>
        <v>1</v>
      </c>
      <c r="Y91" s="248">
        <f t="shared" si="53"/>
        <v>5.6800000000000003E-2</v>
      </c>
      <c r="Z91" s="248">
        <f t="shared" si="54"/>
        <v>23.319099999999999</v>
      </c>
      <c r="AA91" s="248">
        <f t="shared" si="59"/>
        <v>23.2623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60"/>
        <v>179</v>
      </c>
      <c r="AE91" s="236" t="str">
        <f t="shared" si="6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91" s="235" t="str">
        <f t="shared" si="62"/>
        <v>"C:\Program Files (x86)\AstroGrep\AstroGrep.exe" /e /r /s /spath="%USERPROFILE%\AppData\Local\Temp\OnboardLogs" /stypes="app*4050*20171122*" /stext=" 21:.+((SYSTEM_STATE.+slice.+state.+changed )|(ment ac)|(multiple cpu faults)|(system.+state.+changed )|(\[timeout)|(PRM\|1\|D)|(kpr)|(kdp)|(train st.+moving)|(\|lc)|(penalty))"</v>
      </c>
      <c r="AG91" s="245" t="str">
        <f t="shared" si="63"/>
        <v>EC</v>
      </c>
      <c r="AH91" s="237" t="str">
        <f t="shared" si="64"/>
        <v>"%USERPROFILE%\Documents\GitHub\eaglep3\Utilities\RefineRTDCRunTimes.py" --tripid 179-22 --locoid 4050 --swversion DE.1.0.9.0 --startMP 204:568 --initTime 2017-11-22T13:22:57 --startdatetime 2017-11-22T13:30:20 --delay 64 --endMP 204:233191 --enddatetime 2017-11-22T14:06:17 --enforcementcount 0 &gt;&gt;%USERPROFILE%\Documents\GitHub\eaglep3-reporting\EC\2017-11-22-refined-times.txt</v>
      </c>
      <c r="AI9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{"issue":{"subject":"","project_id":79,"tracker_id":40,"status_id":1,"priority_id":2,"assigned_to_id":338,"start_date":"2017-11-22","description":"","custom_fields":[{"id":1,"name":"Subdivision","value":"EC"},{"id":4,"name":"Milepost","value":"23.3191"},{"id":17,"name":"Train ID","value":"179-22"},{"id":16,"name":"Locomotive ID","value":"4050"},{"id":130,"name":"Impact","value":""},{"id":150,"name":"Time of Event (Mountain Time)","value":"14:06:17"},{"id":151,"name":"Denver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66"/>
        <v>start /low /b %USERPROFILE%\Documents\GitHub\eaglep3\Utilities\DownloadLogsFromS3.py --loco 4050 --day 2017-11-22</v>
      </c>
      <c r="AN91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68"/>
        <v>https://d0f6bd738d7f1b3e5a7ca70fe4ff75f0.us-east-1.aws.found.io/app/kibana#/discover/Steve-Slow-Train-Analysis-(2080s-and-2083s)?_g=(refreshInterval:(display:Off,pause:!f,section:0,value:0),time:(from:'2017-11-22T12:22:57-0700',mode:absolute,to:'2017-11-22T15:06:17-0700'))&amp;_a=(columns:!('Message%20ID',Summary),filters:!(),index:'emp_*',interval:auto,query:(query_string:(analyze_wildcard:!t,query:'%22rtdc.l.rtdc.4050%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30" t="s">
        <v>797</v>
      </c>
      <c r="B92" s="226">
        <v>4049</v>
      </c>
      <c r="C92" s="228" t="s">
        <v>192</v>
      </c>
      <c r="D92" s="228" t="s">
        <v>948</v>
      </c>
      <c r="E92" s="227">
        <v>43061.592812499999</v>
      </c>
      <c r="F92" s="227">
        <v>43061.602662037039</v>
      </c>
      <c r="G92" s="226">
        <v>141</v>
      </c>
      <c r="H92" s="228" t="s">
        <v>949</v>
      </c>
      <c r="I92" s="227">
        <v>43061.62840277778</v>
      </c>
      <c r="J92" s="226">
        <v>0</v>
      </c>
      <c r="K92" s="238" t="str">
        <f t="shared" si="55"/>
        <v>4049/4050</v>
      </c>
      <c r="L92" s="246" t="str">
        <f>VLOOKUP(A92,'Trips&amp;Operators'!$C$1:$G$99911,5,FALSE)</f>
        <v>ANDREA WILLIAMS</v>
      </c>
      <c r="M92" s="225">
        <f t="shared" si="56"/>
        <v>2.5740740740729962E-2</v>
      </c>
      <c r="N92" s="226">
        <f t="shared" si="69"/>
        <v>37.066666666651145</v>
      </c>
      <c r="O92" s="226"/>
      <c r="P92" s="226"/>
      <c r="Q92" s="229"/>
      <c r="R92" s="243"/>
      <c r="S92" s="250">
        <f t="shared" si="52"/>
        <v>1</v>
      </c>
      <c r="T92" s="243" t="str">
        <f t="shared" si="57"/>
        <v>Southbound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58"/>
        <v>https://d0f6bd738d7f1b3e5a7ca70fe4ff75f0.us-east-1.aws.found.io/app/kibana#/discover/Steve-Slow-Train-Analysis-(2080s-and-2083s)?_g=(refreshInterval:(display:Off,pause:!f,section:0,value:0),time:(from:'2017-11-22T13:13:39-0700',mode:absolute,to:'2017-11-22T16:04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2" s="248" t="str">
        <f>IF(AA92&lt;VLOOKUP(AG92,Variables!$AC$3:$AD$8,2,FALSE),"Y","N")</f>
        <v>N</v>
      </c>
      <c r="X92" s="248">
        <f t="shared" si="70"/>
        <v>1</v>
      </c>
      <c r="Y92" s="248">
        <f t="shared" si="53"/>
        <v>23.287199999999999</v>
      </c>
      <c r="Z92" s="248">
        <f t="shared" si="54"/>
        <v>2.6200000000000001E-2</v>
      </c>
      <c r="AA92" s="248">
        <f t="shared" si="59"/>
        <v>23.260999999999999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60"/>
        <v>180</v>
      </c>
      <c r="AE92" s="236" t="str">
        <f t="shared" si="6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92" s="235" t="str">
        <f t="shared" si="62"/>
        <v>"C:\Program Files (x86)\AstroGrep\AstroGrep.exe" /e /r /s /spath="%USERPROFILE%\AppData\Local\Temp\OnboardLogs" /stypes="app*4049*20171122*" /stext=" 22:.+((SYSTEM_STATE.+slice.+state.+changed )|(ment ac)|(multiple cpu faults)|(system.+state.+changed )|(\[timeout)|(PRM\|1\|D)|(kpr)|(kdp)|(train st.+moving)|(\|lc)|(penalty))"</v>
      </c>
      <c r="AG92" s="245" t="str">
        <f t="shared" si="63"/>
        <v>EC</v>
      </c>
      <c r="AH92" s="237" t="str">
        <f t="shared" si="64"/>
        <v>"%USERPROFILE%\Documents\GitHub\eaglep3\Utilities\RefineRTDCRunTimes.py" --tripid 180-22 --locoid 4049 --swversion DE.1.0.9.0 --startMP 204:232872 --initTime 2017-11-22T14:13:39 --startdatetime 2017-11-22T14:27:50 --delay 141 --endMP 204:262 --enddatetime 2017-11-22T15:04:54 --enforcementcount 0 &gt;&gt;%USERPROFILE%\Documents\GitHub\eaglep3-reporting\EC\2017-11-22-refined-times.txt</v>
      </c>
      <c r="AI9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{"issue":{"subject":"","project_id":79,"tracker_id":40,"status_id":1,"priority_id":2,"assigned_to_id":338,"start_date":"2017-11-22","description":"","custom_fields":[{"id":1,"name":"Subdivision","value":"EC"},{"id":4,"name":"Milepost","value":"0.0262"},{"id":17,"name":"Train ID","value":"180-22"},{"id":16,"name":"Locomotive ID","value":"4049"},{"id":130,"name":"Impact","value":""},{"id":150,"name":"Time of Event (Mountain Time)","value":"15:04:54"},{"id":151,"name":"Denver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66"/>
        <v>start /low /b %USERPROFILE%\Documents\GitHub\eaglep3\Utilities\DownloadLogsFromS3.py --loco 4049 --day 2017-11-22</v>
      </c>
      <c r="AN92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68"/>
        <v>https://d0f6bd738d7f1b3e5a7ca70fe4ff75f0.us-east-1.aws.found.io/app/kibana#/discover/Steve-Slow-Train-Analysis-(2080s-and-2083s)?_g=(refreshInterval:(display:Off,pause:!f,section:0,value:0),time:(from:'2017-11-22T13:13:39-0700',mode:absolute,to:'2017-11-22T16:04:54-0700'))&amp;_a=(columns:!('Message%20ID',Summary),filters:!(),index:'emp_*',interval:auto,query:(query_string:(analyze_wildcard:!t,query:'%22rtdc.l.rtdc.4049%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30" t="s">
        <v>791</v>
      </c>
      <c r="B93" s="226">
        <v>4018</v>
      </c>
      <c r="C93" s="228" t="s">
        <v>192</v>
      </c>
      <c r="D93" s="228" t="s">
        <v>521</v>
      </c>
      <c r="E93" s="227">
        <v>43061.568379629629</v>
      </c>
      <c r="F93" s="227">
        <v>43061.573368055557</v>
      </c>
      <c r="G93" s="226">
        <v>61</v>
      </c>
      <c r="H93" s="228" t="s">
        <v>950</v>
      </c>
      <c r="I93" s="227">
        <v>43061.598865740743</v>
      </c>
      <c r="J93" s="226">
        <v>0</v>
      </c>
      <c r="K93" s="238" t="str">
        <f t="shared" si="55"/>
        <v>4017/4018</v>
      </c>
      <c r="L93" s="246" t="str">
        <f>VLOOKUP(A93,'Trips&amp;Operators'!$C$1:$G$99911,5,FALSE)</f>
        <v>KILLION DAVID</v>
      </c>
      <c r="M93" s="225">
        <f t="shared" si="56"/>
        <v>2.5497685186564922E-2</v>
      </c>
      <c r="N93" s="226">
        <f t="shared" si="69"/>
        <v>36.716666668653488</v>
      </c>
      <c r="O93" s="226"/>
      <c r="P93" s="226"/>
      <c r="Q93" s="229"/>
      <c r="R93" s="243"/>
      <c r="S93" s="250">
        <f t="shared" si="52"/>
        <v>1</v>
      </c>
      <c r="T93" s="243" t="str">
        <f t="shared" si="57"/>
        <v>NorthBound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58"/>
        <v>https://d0f6bd738d7f1b3e5a7ca70fe4ff75f0.us-east-1.aws.found.io/app/kibana#/discover/Steve-Slow-Train-Analysis-(2080s-and-2083s)?_g=(refreshInterval:(display:Off,pause:!f,section:0,value:0),time:(from:'2017-11-22T12:38:28-0700',mode:absolute,to:'2017-11-22T15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248" t="str">
        <f>IF(AA93&lt;VLOOKUP(AG93,Variables!$AC$3:$AD$8,2,FALSE),"Y","N")</f>
        <v>N</v>
      </c>
      <c r="X93" s="248">
        <f t="shared" si="70"/>
        <v>1</v>
      </c>
      <c r="Y93" s="248">
        <f t="shared" si="53"/>
        <v>4.4900000000000002E-2</v>
      </c>
      <c r="Z93" s="248">
        <f t="shared" si="54"/>
        <v>23.320499999999999</v>
      </c>
      <c r="AA93" s="248">
        <f t="shared" si="59"/>
        <v>23.275600000000001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60"/>
        <v>181</v>
      </c>
      <c r="AE93" s="236" t="str">
        <f t="shared" si="6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93" s="235" t="str">
        <f t="shared" si="62"/>
        <v>"C:\Program Files (x86)\AstroGrep\AstroGrep.exe" /e /r /s /spath="%USERPROFILE%\AppData\Local\Temp\OnboardLogs" /stypes="app*4018*20171122*" /stext=" 21:.+((SYSTEM_STATE.+slice.+state.+changed )|(ment ac)|(multiple cpu faults)|(system.+state.+changed )|(\[timeout)|(PRM\|1\|D)|(kpr)|(kdp)|(train st.+moving)|(\|lc)|(penalty))"</v>
      </c>
      <c r="AG93" s="245" t="str">
        <f t="shared" si="63"/>
        <v>EC</v>
      </c>
      <c r="AH93" s="237" t="str">
        <f t="shared" si="64"/>
        <v>"%USERPROFILE%\Documents\GitHub\eaglep3\Utilities\RefineRTDCRunTimes.py" --tripid 181-22 --locoid 4018 --swversion DE.1.0.9.0 --startMP 204:449 --initTime 2017-11-22T13:38:28 --startdatetime 2017-11-22T13:45:39 --delay 61 --endMP 204:233205 --enddatetime 2017-11-22T14:22:22 --enforcementcount 0 &gt;&gt;%USERPROFILE%\Documents\GitHub\eaglep3-reporting\EC\2017-11-22-refined-times.txt</v>
      </c>
      <c r="AI9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{"issue":{"subject":"","project_id":79,"tracker_id":40,"status_id":1,"priority_id":2,"assigned_to_id":338,"start_date":"2017-11-22","description":"","custom_fields":[{"id":1,"name":"Subdivision","value":"EC"},{"id":4,"name":"Milepost","value":"23.3205"},{"id":17,"name":"Train ID","value":"181-22"},{"id":16,"name":"Locomotive ID","value":"4018"},{"id":130,"name":"Impact","value":""},{"id":150,"name":"Time of Event (Mountain Time)","value":"14:22:22"},{"id":151,"name":"Denver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66"/>
        <v>start /low /b %USERPROFILE%\Documents\GitHub\eaglep3\Utilities\DownloadLogsFromS3.py --loco 4018 --day 2017-11-22</v>
      </c>
      <c r="AN93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68"/>
        <v>https://d0f6bd738d7f1b3e5a7ca70fe4ff75f0.us-east-1.aws.found.io/app/kibana#/discover/Steve-Slow-Train-Analysis-(2080s-and-2083s)?_g=(refreshInterval:(display:Off,pause:!f,section:0,value:0),time:(from:'2017-11-22T12:38:28-0700',mode:absolute,to:'2017-11-22T15:22:22-0700'))&amp;_a=(columns:!('Message%20ID',Summary),filters:!(),index:'emp_*',interval:auto,query:(query_string:(analyze_wildcard:!t,query:'%22rtdc.l.rtdc.4018%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30" t="s">
        <v>659</v>
      </c>
      <c r="B94" s="226">
        <v>4017</v>
      </c>
      <c r="C94" s="228" t="s">
        <v>192</v>
      </c>
      <c r="D94" s="228" t="s">
        <v>603</v>
      </c>
      <c r="E94" s="227">
        <v>43061.605023148149</v>
      </c>
      <c r="F94" s="227">
        <v>43061.612905092596</v>
      </c>
      <c r="G94" s="226">
        <v>50</v>
      </c>
      <c r="H94" s="228" t="s">
        <v>951</v>
      </c>
      <c r="I94" s="227">
        <v>43061.640393518515</v>
      </c>
      <c r="J94" s="226">
        <v>0</v>
      </c>
      <c r="K94" s="238" t="str">
        <f t="shared" si="55"/>
        <v>4017/4018</v>
      </c>
      <c r="L94" s="246" t="str">
        <f>VLOOKUP(A94,'Trips&amp;Operators'!$C$1:$G$99911,5,FALSE)</f>
        <v>KILLION DAVID</v>
      </c>
      <c r="M94" s="225">
        <f t="shared" si="56"/>
        <v>2.7488425919727888E-2</v>
      </c>
      <c r="N94" s="226">
        <f t="shared" si="69"/>
        <v>39.583333324408159</v>
      </c>
      <c r="O94" s="226"/>
      <c r="P94" s="226"/>
      <c r="Q94" s="229"/>
      <c r="R94" s="243"/>
      <c r="S94" s="250">
        <f t="shared" si="52"/>
        <v>1</v>
      </c>
      <c r="T94" s="243" t="str">
        <f t="shared" si="57"/>
        <v>Southbound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58"/>
        <v>https://d0f6bd738d7f1b3e5a7ca70fe4ff75f0.us-east-1.aws.found.io/app/kibana#/discover/Steve-Slow-Train-Analysis-(2080s-and-2083s)?_g=(refreshInterval:(display:Off,pause:!f,section:0,value:0),time:(from:'2017-11-22T13:31:14-0700',mode:absolute,to:'2017-11-22T16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248" t="str">
        <f>IF(AA94&lt;VLOOKUP(AG94,Variables!$AC$3:$AD$8,2,FALSE),"Y","N")</f>
        <v>N</v>
      </c>
      <c r="X94" s="248">
        <f t="shared" si="70"/>
        <v>1</v>
      </c>
      <c r="Y94" s="248">
        <f t="shared" si="53"/>
        <v>23.2879</v>
      </c>
      <c r="Z94" s="248">
        <f t="shared" si="54"/>
        <v>1.5599999999999999E-2</v>
      </c>
      <c r="AA94" s="248">
        <f t="shared" si="59"/>
        <v>23.272300000000001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60"/>
        <v>182</v>
      </c>
      <c r="AE94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94" s="235" t="str">
        <f t="shared" si="62"/>
        <v>"C:\Program Files (x86)\AstroGrep\AstroGrep.exe" /e /r /s /spath="%USERPROFILE%\AppData\Local\Temp\OnboardLogs" /stypes="app*4017*20171122*" /stext=" 22:.+((SYSTEM_STATE.+slice.+state.+changed )|(ment ac)|(multiple cpu faults)|(system.+state.+changed )|(\[timeout)|(PRM\|1\|D)|(kpr)|(kdp)|(train st.+moving)|(\|lc)|(penalty))"</v>
      </c>
      <c r="AG94" s="245" t="str">
        <f t="shared" si="63"/>
        <v>EC</v>
      </c>
      <c r="AH94" s="237" t="str">
        <f t="shared" si="64"/>
        <v>"%USERPROFILE%\Documents\GitHub\eaglep3\Utilities\RefineRTDCRunTimes.py" --tripid 182-22 --locoid 4017 --swversion DE.1.0.9.0 --startMP 204:232879 --initTime 2017-11-22T14:31:14 --startdatetime 2017-11-22T14:42:35 --delay 50 --endMP 204:156 --enddatetime 2017-11-22T15:22:10 --enforcementcount 0 &gt;&gt;%USERPROFILE%\Documents\GitHub\eaglep3-reporting\EC\2017-11-22-refined-times.txt</v>
      </c>
      <c r="AI94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{"issue":{"subject":"","project_id":79,"tracker_id":40,"status_id":1,"priority_id":2,"assigned_to_id":338,"start_date":"2017-11-22","description":"","custom_fields":[{"id":1,"name":"Subdivision","value":"EC"},{"id":4,"name":"Milepost","value":"0.0156"},{"id":17,"name":"Train ID","value":"182-22"},{"id":16,"name":"Locomotive ID","value":"4017"},{"id":130,"name":"Impact","value":""},{"id":150,"name":"Time of Event (Mountain Time)","value":"15:22:10"},{"id":151,"name":"Denver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66"/>
        <v>start /low /b %USERPROFILE%\Documents\GitHub\eaglep3\Utilities\DownloadLogsFromS3.py --loco 4017 --day 2017-11-22</v>
      </c>
      <c r="AN94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68"/>
        <v>https://d0f6bd738d7f1b3e5a7ca70fe4ff75f0.us-east-1.aws.found.io/app/kibana#/discover/Steve-Slow-Train-Analysis-(2080s-and-2083s)?_g=(refreshInterval:(display:Off,pause:!f,section:0,value:0),time:(from:'2017-11-22T13:31:14-0700',mode:absolute,to:'2017-11-22T16:22:10-0700'))&amp;_a=(columns:!('Message%20ID',Summary),filters:!(),index:'emp_*',interval:auto,query:(query_string:(analyze_wildcard:!t,query:'%22rtdc.l.rtdc.4017%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30" t="s">
        <v>793</v>
      </c>
      <c r="B95" s="226">
        <v>4020</v>
      </c>
      <c r="C95" s="228" t="s">
        <v>192</v>
      </c>
      <c r="D95" s="228" t="s">
        <v>484</v>
      </c>
      <c r="E95" s="227">
        <v>43061.577928240738</v>
      </c>
      <c r="F95" s="227">
        <v>43061.583599537036</v>
      </c>
      <c r="G95" s="226">
        <v>79</v>
      </c>
      <c r="H95" s="228" t="s">
        <v>952</v>
      </c>
      <c r="I95" s="227">
        <v>43061.608749999999</v>
      </c>
      <c r="J95" s="226">
        <v>0</v>
      </c>
      <c r="K95" s="238" t="str">
        <f t="shared" si="55"/>
        <v>4019/4020</v>
      </c>
      <c r="L95" s="246" t="str">
        <f>VLOOKUP(A95,'Trips&amp;Operators'!$C$1:$G$99911,5,FALSE)</f>
        <v>BERLING GARY</v>
      </c>
      <c r="M95" s="225">
        <f t="shared" si="56"/>
        <v>2.5150462963210884E-2</v>
      </c>
      <c r="N95" s="226">
        <f t="shared" si="69"/>
        <v>36.216666667023674</v>
      </c>
      <c r="O95" s="226"/>
      <c r="P95" s="226"/>
      <c r="Q95" s="229"/>
      <c r="R95" s="243"/>
      <c r="S95" s="250">
        <f t="shared" si="52"/>
        <v>1</v>
      </c>
      <c r="T95" s="243" t="str">
        <f t="shared" si="57"/>
        <v>NorthBound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58"/>
        <v>https://d0f6bd738d7f1b3e5a7ca70fe4ff75f0.us-east-1.aws.found.io/app/kibana#/discover/Steve-Slow-Train-Analysis-(2080s-and-2083s)?_g=(refreshInterval:(display:Off,pause:!f,section:0,value:0),time:(from:'2017-11-22T12:52:13-0700',mode:absolute,to:'2017-11-22T15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5" s="248" t="str">
        <f>IF(AA95&lt;VLOOKUP(AG95,Variables!$AC$3:$AD$8,2,FALSE),"Y","N")</f>
        <v>N</v>
      </c>
      <c r="X95" s="248">
        <f t="shared" si="70"/>
        <v>1</v>
      </c>
      <c r="Y95" s="248">
        <f t="shared" si="53"/>
        <v>5.0200000000000002E-2</v>
      </c>
      <c r="Z95" s="248">
        <f t="shared" si="54"/>
        <v>23.322900000000001</v>
      </c>
      <c r="AA95" s="248">
        <f t="shared" si="59"/>
        <v>23.2727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60"/>
        <v>183</v>
      </c>
      <c r="AE95" s="236" t="str">
        <f t="shared" si="6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95" s="235" t="str">
        <f t="shared" si="62"/>
        <v>"C:\Program Files (x86)\AstroGrep\AstroGrep.exe" /e /r /s /spath="%USERPROFILE%\AppData\Local\Temp\OnboardLogs" /stypes="app*4020*20171122*" /stext=" 21:.+((SYSTEM_STATE.+slice.+state.+changed )|(ment ac)|(multiple cpu faults)|(system.+state.+changed )|(\[timeout)|(PRM\|1\|D)|(kpr)|(kdp)|(train st.+moving)|(\|lc)|(penalty))"</v>
      </c>
      <c r="AG95" s="245" t="str">
        <f t="shared" si="63"/>
        <v>EC</v>
      </c>
      <c r="AH95" s="237" t="str">
        <f t="shared" si="64"/>
        <v>"%USERPROFILE%\Documents\GitHub\eaglep3\Utilities\RefineRTDCRunTimes.py" --tripid 183-22 --locoid 4020 --swversion DE.1.0.9.0 --startMP 204:502 --initTime 2017-11-22T13:52:13 --startdatetime 2017-11-22T14:00:23 --delay 79 --endMP 204:233229 --enddatetime 2017-11-22T14:36:36 --enforcementcount 0 &gt;&gt;%USERPROFILE%\Documents\GitHub\eaglep3-reporting\EC\2017-11-22-refined-times.txt</v>
      </c>
      <c r="AI95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{"issue":{"subject":"","project_id":79,"tracker_id":40,"status_id":1,"priority_id":2,"assigned_to_id":338,"start_date":"2017-11-22","description":"","custom_fields":[{"id":1,"name":"Subdivision","value":"EC"},{"id":4,"name":"Milepost","value":"23.3229"},{"id":17,"name":"Train ID","value":"183-22"},{"id":16,"name":"Locomotive ID","value":"4020"},{"id":130,"name":"Impact","value":""},{"id":150,"name":"Time of Event (Mountain Time)","value":"14:36:36"},{"id":151,"name":"Denver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66"/>
        <v>start /low /b %USERPROFILE%\Documents\GitHub\eaglep3\Utilities\DownloadLogsFromS3.py --loco 4020 --day 2017-11-22</v>
      </c>
      <c r="AN95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68"/>
        <v>https://d0f6bd738d7f1b3e5a7ca70fe4ff75f0.us-east-1.aws.found.io/app/kibana#/discover/Steve-Slow-Train-Analysis-(2080s-and-2083s)?_g=(refreshInterval:(display:Off,pause:!f,section:0,value:0),time:(from:'2017-11-22T12:52:13-0700',mode:absolute,to:'2017-11-22T15:36:36-0700'))&amp;_a=(columns:!('Message%20ID',Summary),filters:!(),index:'emp_*',interval:auto,query:(query_string:(analyze_wildcard:!t,query:'%22rtdc.l.rtdc.4020%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30" t="s">
        <v>800</v>
      </c>
      <c r="B96" s="226">
        <v>4019</v>
      </c>
      <c r="C96" s="228" t="s">
        <v>192</v>
      </c>
      <c r="D96" s="228" t="s">
        <v>935</v>
      </c>
      <c r="E96" s="227">
        <v>43061.617673611108</v>
      </c>
      <c r="F96" s="227">
        <v>43061.623090277775</v>
      </c>
      <c r="G96" s="226">
        <v>121</v>
      </c>
      <c r="H96" s="228" t="s">
        <v>531</v>
      </c>
      <c r="I96" s="227">
        <v>43061.649386574078</v>
      </c>
      <c r="J96" s="226">
        <v>0</v>
      </c>
      <c r="K96" s="238" t="str">
        <f t="shared" si="55"/>
        <v>4019/4020</v>
      </c>
      <c r="L96" s="246" t="str">
        <f>VLOOKUP(A96,'Trips&amp;Operators'!$C$1:$G$99911,5,FALSE)</f>
        <v>BERLING GARY</v>
      </c>
      <c r="M96" s="225">
        <f t="shared" si="56"/>
        <v>2.6296296302461997E-2</v>
      </c>
      <c r="N96" s="226">
        <f t="shared" si="69"/>
        <v>37.866666675545275</v>
      </c>
      <c r="O96" s="226"/>
      <c r="P96" s="226"/>
      <c r="Q96" s="229"/>
      <c r="R96" s="243"/>
      <c r="S96" s="250">
        <f t="shared" si="52"/>
        <v>1</v>
      </c>
      <c r="T96" s="243" t="str">
        <f t="shared" si="57"/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58"/>
        <v>https://d0f6bd738d7f1b3e5a7ca70fe4ff75f0.us-east-1.aws.found.io/app/kibana#/discover/Steve-Slow-Train-Analysis-(2080s-and-2083s)?_g=(refreshInterval:(display:Off,pause:!f,section:0,value:0),time:(from:'2017-11-22T13:49:27-0700',mode:absolute,to:'2017-11-22T16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6" s="248" t="str">
        <f>IF(AA96&lt;VLOOKUP(AG96,Variables!$AC$3:$AD$8,2,FALSE),"Y","N")</f>
        <v>N</v>
      </c>
      <c r="X96" s="248">
        <f t="shared" si="70"/>
        <v>1</v>
      </c>
      <c r="Y96" s="248">
        <f t="shared" si="53"/>
        <v>23.289400000000001</v>
      </c>
      <c r="Z96" s="248">
        <f t="shared" si="54"/>
        <v>2.0899999999999998E-2</v>
      </c>
      <c r="AA96" s="248">
        <f t="shared" si="59"/>
        <v>23.2685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60"/>
        <v>184</v>
      </c>
      <c r="AE96" s="236" t="str">
        <f t="shared" si="6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96" s="235" t="str">
        <f t="shared" si="62"/>
        <v>"C:\Program Files (x86)\AstroGrep\AstroGrep.exe" /e /r /s /spath="%USERPROFILE%\AppData\Local\Temp\OnboardLogs" /stypes="app*4019*20171122*" /stext=" 22:.+((SYSTEM_STATE.+slice.+state.+changed )|(ment ac)|(multiple cpu faults)|(system.+state.+changed )|(\[timeout)|(PRM\|1\|D)|(kpr)|(kdp)|(train st.+moving)|(\|lc)|(penalty))"</v>
      </c>
      <c r="AG96" s="245" t="str">
        <f t="shared" si="63"/>
        <v>EC</v>
      </c>
      <c r="AH96" s="237" t="str">
        <f t="shared" si="64"/>
        <v>"%USERPROFILE%\Documents\GitHub\eaglep3\Utilities\RefineRTDCRunTimes.py" --tripid 184-22 --locoid 4019 --swversion DE.1.0.9.0 --startMP 204:232894 --initTime 2017-11-22T14:49:27 --startdatetime 2017-11-22T14:57:15 --delay 121 --endMP 204:209 --enddatetime 2017-11-22T15:35:07 --enforcementcount 0 &gt;&gt;%USERPROFILE%\Documents\GitHub\eaglep3-reporting\EC\2017-11-22-refined-times.txt</v>
      </c>
      <c r="AI96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{"issue":{"subject":"","project_id":79,"tracker_id":40,"status_id":1,"priority_id":2,"assigned_to_id":338,"start_date":"2017-11-22","description":"","custom_fields":[{"id":1,"name":"Subdivision","value":"EC"},{"id":4,"name":"Milepost","value":"0.0209"},{"id":17,"name":"Train ID","value":"184-22"},{"id":16,"name":"Locomotive ID","value":"4019"},{"id":130,"name":"Impact","value":""},{"id":150,"name":"Time of Event (Mountain Time)","value":"15:35:07"},{"id":151,"name":"Denver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66"/>
        <v>start /low /b %USERPROFILE%\Documents\GitHub\eaglep3\Utilities\DownloadLogsFromS3.py --loco 4019 --day 2017-11-22</v>
      </c>
      <c r="AN96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68"/>
        <v>https://d0f6bd738d7f1b3e5a7ca70fe4ff75f0.us-east-1.aws.found.io/app/kibana#/discover/Steve-Slow-Train-Analysis-(2080s-and-2083s)?_g=(refreshInterval:(display:Off,pause:!f,section:0,value:0),time:(from:'2017-11-22T13:49:27-0700',mode:absolute,to:'2017-11-22T16:35:07-0700'))&amp;_a=(columns:!('Message%20ID',Summary),filters:!(),index:'emp_*',interval:auto,query:(query_string:(analyze_wildcard:!t,query:'%22rtdc.l.rtdc.4019%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30" t="s">
        <v>796</v>
      </c>
      <c r="B97" s="226">
        <v>4002</v>
      </c>
      <c r="C97" s="228" t="s">
        <v>192</v>
      </c>
      <c r="D97" s="228" t="s">
        <v>953</v>
      </c>
      <c r="E97" s="227">
        <v>43061.592175925929</v>
      </c>
      <c r="F97" s="227">
        <v>43061.594166666669</v>
      </c>
      <c r="G97" s="226">
        <v>62</v>
      </c>
      <c r="H97" s="228" t="s">
        <v>954</v>
      </c>
      <c r="I97" s="227">
        <v>43061.619675925926</v>
      </c>
      <c r="J97" s="226">
        <v>0</v>
      </c>
      <c r="K97" s="238" t="str">
        <f t="shared" si="55"/>
        <v>4001/4002</v>
      </c>
      <c r="L97" s="246" t="str">
        <f>VLOOKUP(A97,'Trips&amp;Operators'!$C$1:$G$99911,5,FALSE)</f>
        <v>DAVIS MICHAEL</v>
      </c>
      <c r="M97" s="225">
        <f t="shared" si="56"/>
        <v>2.5509259256068617E-2</v>
      </c>
      <c r="N97" s="226">
        <f t="shared" si="69"/>
        <v>36.733333328738809</v>
      </c>
      <c r="O97" s="226"/>
      <c r="P97" s="226"/>
      <c r="Q97" s="229"/>
      <c r="R97" s="243"/>
      <c r="S97" s="250">
        <f t="shared" si="52"/>
        <v>1</v>
      </c>
      <c r="T97" s="243" t="str">
        <f t="shared" si="57"/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58"/>
        <v>https://d0f6bd738d7f1b3e5a7ca70fe4ff75f0.us-east-1.aws.found.io/app/kibana#/discover/Steve-Slow-Train-Analysis-(2080s-and-2083s)?_g=(refreshInterval:(display:Off,pause:!f,section:0,value:0),time:(from:'2017-11-22T13:12:44-0700',mode:absolute,to:'2017-11-22T15:52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7" s="248" t="str">
        <f>IF(AA97&lt;VLOOKUP(AG97,Variables!$AC$3:$AD$8,2,FALSE),"Y","N")</f>
        <v>N</v>
      </c>
      <c r="X97" s="248">
        <f t="shared" si="70"/>
        <v>1</v>
      </c>
      <c r="Y97" s="248">
        <f t="shared" si="53"/>
        <v>5.1700000000000003E-2</v>
      </c>
      <c r="Z97" s="248">
        <f t="shared" si="54"/>
        <v>23.331099999999999</v>
      </c>
      <c r="AA97" s="248">
        <f t="shared" si="59"/>
        <v>23.279399999999999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60"/>
        <v>185</v>
      </c>
      <c r="AE97" s="236" t="str">
        <f t="shared" si="6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97" s="235" t="str">
        <f t="shared" si="62"/>
        <v>"C:\Program Files (x86)\AstroGrep\AstroGrep.exe" /e /r /s /spath="%USERPROFILE%\AppData\Local\Temp\OnboardLogs" /stypes="app*4002*20171122*" /stext=" 21:.+((SYSTEM_STATE.+slice.+state.+changed )|(ment ac)|(multiple cpu faults)|(system.+state.+changed )|(\[timeout)|(PRM\|1\|D)|(kpr)|(kdp)|(train st.+moving)|(\|lc)|(penalty))"</v>
      </c>
      <c r="AG97" s="245" t="str">
        <f t="shared" si="63"/>
        <v>EC</v>
      </c>
      <c r="AH97" s="237" t="str">
        <f t="shared" si="64"/>
        <v>"%USERPROFILE%\Documents\GitHub\eaglep3\Utilities\RefineRTDCRunTimes.py" --tripid 185-22 --locoid 4002 --swversion DE.1.0.9.0 --startMP 204:517 --initTime 2017-11-22T14:12:44 --startdatetime 2017-11-22T14:15:36 --delay 62 --endMP 204:233311 --enddatetime 2017-11-22T14:52:20 --enforcementcount 0 &gt;&gt;%USERPROFILE%\Documents\GitHub\eaglep3-reporting\EC\2017-11-22-refined-times.txt</v>
      </c>
      <c r="AI97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{"issue":{"subject":"","project_id":79,"tracker_id":40,"status_id":1,"priority_id":2,"assigned_to_id":338,"start_date":"2017-11-22","description":"","custom_fields":[{"id":1,"name":"Subdivision","value":"EC"},{"id":4,"name":"Milepost","value":"23.3311"},{"id":17,"name":"Train ID","value":"185-22"},{"id":16,"name":"Locomotive ID","value":"4002"},{"id":130,"name":"Impact","value":""},{"id":150,"name":"Time of Event (Mountain Time)","value":"14:52:20"},{"id":151,"name":"Denver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66"/>
        <v>start /low /b %USERPROFILE%\Documents\GitHub\eaglep3\Utilities\DownloadLogsFromS3.py --loco 4002 --day 2017-11-22</v>
      </c>
      <c r="AN97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68"/>
        <v>https://d0f6bd738d7f1b3e5a7ca70fe4ff75f0.us-east-1.aws.found.io/app/kibana#/discover/Steve-Slow-Train-Analysis-(2080s-and-2083s)?_g=(refreshInterval:(display:Off,pause:!f,section:0,value:0),time:(from:'2017-11-22T13:12:44-0700',mode:absolute,to:'2017-11-22T15:52:20-0700'))&amp;_a=(columns:!('Message%20ID',Summary),filters:!(),index:'emp_*',interval:auto,query:(query_string:(analyze_wildcard:!t,query:'%22rtdc.l.rtdc.4002%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30" t="s">
        <v>804</v>
      </c>
      <c r="B98" s="226">
        <v>4001</v>
      </c>
      <c r="C98" s="228" t="s">
        <v>192</v>
      </c>
      <c r="D98" s="228" t="s">
        <v>955</v>
      </c>
      <c r="E98" s="227">
        <v>43061.631053240744</v>
      </c>
      <c r="F98" s="227">
        <v>43061.633634259262</v>
      </c>
      <c r="G98" s="226">
        <v>68</v>
      </c>
      <c r="H98" s="228" t="s">
        <v>495</v>
      </c>
      <c r="I98" s="227">
        <v>43061.660439814812</v>
      </c>
      <c r="J98" s="226">
        <v>0</v>
      </c>
      <c r="K98" s="238" t="str">
        <f t="shared" si="55"/>
        <v>4001/4002</v>
      </c>
      <c r="L98" s="246" t="str">
        <f>VLOOKUP(A98,'Trips&amp;Operators'!$C$1:$G$99911,5,FALSE)</f>
        <v>DAVIS MICHAEL</v>
      </c>
      <c r="M98" s="225">
        <f t="shared" si="56"/>
        <v>2.6805555549799465E-2</v>
      </c>
      <c r="N98" s="226">
        <f t="shared" si="69"/>
        <v>38.599999991711229</v>
      </c>
      <c r="O98" s="226"/>
      <c r="P98" s="226"/>
      <c r="Q98" s="229"/>
      <c r="R98" s="243"/>
      <c r="S98" s="250">
        <f t="shared" si="52"/>
        <v>1</v>
      </c>
      <c r="T98" s="243" t="str">
        <f t="shared" si="57"/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58"/>
        <v>https://d0f6bd738d7f1b3e5a7ca70fe4ff75f0.us-east-1.aws.found.io/app/kibana#/discover/Steve-Slow-Train-Analysis-(2080s-and-2083s)?_g=(refreshInterval:(display:Off,pause:!f,section:0,value:0),time:(from:'2017-11-22T14:08:43-0700',mode:absolute,to:'2017-11-22T16:51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8" s="248" t="str">
        <f>IF(AA98&lt;VLOOKUP(AG98,Variables!$AC$3:$AD$8,2,FALSE),"Y","N")</f>
        <v>N</v>
      </c>
      <c r="X98" s="248">
        <f t="shared" si="70"/>
        <v>1</v>
      </c>
      <c r="Y98" s="248">
        <f t="shared" si="53"/>
        <v>23.296700000000001</v>
      </c>
      <c r="Z98" s="248">
        <f t="shared" si="54"/>
        <v>2.1100000000000001E-2</v>
      </c>
      <c r="AA98" s="248">
        <f t="shared" si="59"/>
        <v>23.275600000000001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60"/>
        <v>186</v>
      </c>
      <c r="AE98" s="236" t="str">
        <f t="shared" si="6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98" s="235" t="str">
        <f t="shared" si="62"/>
        <v>"C:\Program Files (x86)\AstroGrep\AstroGrep.exe" /e /r /s /spath="%USERPROFILE%\AppData\Local\Temp\OnboardLogs" /stypes="app*4001*20171122*" /stext=" 22:.+((SYSTEM_STATE.+slice.+state.+changed )|(ment ac)|(multiple cpu faults)|(system.+state.+changed )|(\[timeout)|(PRM\|1\|D)|(kpr)|(kdp)|(train st.+moving)|(\|lc)|(penalty))"</v>
      </c>
      <c r="AG98" s="245" t="str">
        <f t="shared" si="63"/>
        <v>EC</v>
      </c>
      <c r="AH98" s="237" t="str">
        <f t="shared" si="64"/>
        <v>"%USERPROFILE%\Documents\GitHub\eaglep3\Utilities\RefineRTDCRunTimes.py" --tripid 186-22 --locoid 4001 --swversion DE.1.0.9.0 --startMP 204:232967 --initTime 2017-11-22T15:08:43 --startdatetime 2017-11-22T15:12:26 --delay 68 --endMP 204:211 --enddatetime 2017-11-22T15:51:02 --enforcementcount 0 &gt;&gt;%USERPROFILE%\Documents\GitHub\eaglep3-reporting\EC\2017-11-22-refined-times.txt</v>
      </c>
      <c r="AI98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{"issue":{"subject":"","project_id":79,"tracker_id":40,"status_id":1,"priority_id":2,"assigned_to_id":338,"start_date":"2017-11-22","description":"","custom_fields":[{"id":1,"name":"Subdivision","value":"EC"},{"id":4,"name":"Milepost","value":"0.0211"},{"id":17,"name":"Train ID","value":"186-22"},{"id":16,"name":"Locomotive ID","value":"4001"},{"id":130,"name":"Impact","value":""},{"id":150,"name":"Time of Event (Mountain Time)","value":"15:51:02"},{"id":151,"name":"Denver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66"/>
        <v>start /low /b %USERPROFILE%\Documents\GitHub\eaglep3\Utilities\DownloadLogsFromS3.py --loco 4001 --day 2017-11-22</v>
      </c>
      <c r="AN98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68"/>
        <v>https://d0f6bd738d7f1b3e5a7ca70fe4ff75f0.us-east-1.aws.found.io/app/kibana#/discover/Steve-Slow-Train-Analysis-(2080s-and-2083s)?_g=(refreshInterval:(display:Off,pause:!f,section:0,value:0),time:(from:'2017-11-22T14:08:43-0700',mode:absolute,to:'2017-11-22T16:51:02-0700'))&amp;_a=(columns:!('Message%20ID',Summary),filters:!(),index:'emp_*',interval:auto,query:(query_string:(analyze_wildcard:!t,query:'%22rtdc.l.rtdc.4001%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30" t="s">
        <v>798</v>
      </c>
      <c r="B99" s="226">
        <v>4040</v>
      </c>
      <c r="C99" s="228" t="s">
        <v>192</v>
      </c>
      <c r="D99" s="228" t="s">
        <v>582</v>
      </c>
      <c r="E99" s="227">
        <v>43061.59920138889</v>
      </c>
      <c r="F99" s="227">
        <v>43061.604386574072</v>
      </c>
      <c r="G99" s="226">
        <v>62</v>
      </c>
      <c r="H99" s="228" t="s">
        <v>597</v>
      </c>
      <c r="I99" s="227">
        <v>43061.628553240742</v>
      </c>
      <c r="J99" s="226">
        <v>0</v>
      </c>
      <c r="K99" s="238" t="str">
        <f t="shared" si="55"/>
        <v>4039/4040</v>
      </c>
      <c r="L99" s="246" t="str">
        <f>VLOOKUP(A99,'Trips&amp;Operators'!$C$1:$G$99911,5,FALSE)</f>
        <v>AUSTIN THOMPSON</v>
      </c>
      <c r="M99" s="225">
        <f t="shared" si="56"/>
        <v>2.4166666669771075E-2</v>
      </c>
      <c r="N99" s="226">
        <f t="shared" si="69"/>
        <v>34.800000004470348</v>
      </c>
      <c r="O99" s="226"/>
      <c r="P99" s="226"/>
      <c r="Q99" s="229"/>
      <c r="R99" s="243"/>
      <c r="S99" s="250">
        <f t="shared" si="52"/>
        <v>1</v>
      </c>
      <c r="T99" s="243" t="str">
        <f t="shared" si="57"/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58"/>
        <v>https://d0f6bd738d7f1b3e5a7ca70fe4ff75f0.us-east-1.aws.found.io/app/kibana#/discover/Steve-Slow-Train-Analysis-(2080s-and-2083s)?_g=(refreshInterval:(display:Off,pause:!f,section:0,value:0),time:(from:'2017-11-22T13:22:51-0700',mode:absolute,to:'2017-11-22T16:05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9" s="248" t="str">
        <f>IF(AA99&lt;VLOOKUP(AG99,Variables!$AC$3:$AD$8,2,FALSE),"Y","N")</f>
        <v>N</v>
      </c>
      <c r="X99" s="248">
        <f t="shared" si="70"/>
        <v>1</v>
      </c>
      <c r="Y99" s="248">
        <f t="shared" si="53"/>
        <v>4.6699999999999998E-2</v>
      </c>
      <c r="Z99" s="248">
        <f t="shared" si="54"/>
        <v>23.328299999999999</v>
      </c>
      <c r="AA99" s="248">
        <f t="shared" si="59"/>
        <v>23.281599999999997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60"/>
        <v>187</v>
      </c>
      <c r="AE99" s="236" t="str">
        <f t="shared" si="6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99" s="235" t="str">
        <f t="shared" si="62"/>
        <v>"C:\Program Files (x86)\AstroGrep\AstroGrep.exe" /e /r /s /spath="%USERPROFILE%\AppData\Local\Temp\OnboardLogs" /stypes="app*4040*20171122*" /stext=" 22:.+((SYSTEM_STATE.+slice.+state.+changed )|(ment ac)|(multiple cpu faults)|(system.+state.+changed )|(\[timeout)|(PRM\|1\|D)|(kpr)|(kdp)|(train st.+moving)|(\|lc)|(penalty))"</v>
      </c>
      <c r="AG99" s="245" t="str">
        <f t="shared" si="63"/>
        <v>EC</v>
      </c>
      <c r="AH99" s="237" t="str">
        <f t="shared" si="64"/>
        <v>"%USERPROFILE%\Documents\GitHub\eaglep3\Utilities\RefineRTDCRunTimes.py" --tripid 187-22 --locoid 4040 --swversion DE.1.0.9.0 --startMP 204:467 --initTime 2017-11-22T14:22:51 --startdatetime 2017-11-22T14:30:19 --delay 62 --endMP 204:233283 --enddatetime 2017-11-22T15:05:07 --enforcementcount 0 &gt;&gt;%USERPROFILE%\Documents\GitHub\eaglep3-reporting\EC\2017-11-22-refined-times.txt</v>
      </c>
      <c r="AI99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{"issue":{"subject":"","project_id":79,"tracker_id":40,"status_id":1,"priority_id":2,"assigned_to_id":338,"start_date":"2017-11-22","description":"","custom_fields":[{"id":1,"name":"Subdivision","value":"EC"},{"id":4,"name":"Milepost","value":"23.3283"},{"id":17,"name":"Train ID","value":"187-22"},{"id":16,"name":"Locomotive ID","value":"4040"},{"id":130,"name":"Impact","value":""},{"id":150,"name":"Time of Event (Mountain Time)","value":"15:05:07"},{"id":151,"name":"Denver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66"/>
        <v>start /low /b %USERPROFILE%\Documents\GitHub\eaglep3\Utilities\DownloadLogsFromS3.py --loco 4040 --day 2017-11-22</v>
      </c>
      <c r="AN99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22:05:07"},{"id":29,"name":"Sharepoint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68"/>
        <v>https://d0f6bd738d7f1b3e5a7ca70fe4ff75f0.us-east-1.aws.found.io/app/kibana#/discover/Steve-Slow-Train-Analysis-(2080s-and-2083s)?_g=(refreshInterval:(display:Off,pause:!f,section:0,value:0),time:(from:'2017-11-22T13:22:51-0700',mode:absolute,to:'2017-11-22T16:05:07-0700'))&amp;_a=(columns:!('Message%20ID',Summary),filters:!(),index:'emp_*',interval:auto,query:(query_string:(analyze_wildcard:!t,query:'%22rtdc.l.rtdc.4040%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30" t="s">
        <v>806</v>
      </c>
      <c r="B100" s="226">
        <v>4039</v>
      </c>
      <c r="C100" s="228" t="s">
        <v>192</v>
      </c>
      <c r="D100" s="228" t="s">
        <v>610</v>
      </c>
      <c r="E100" s="227">
        <v>43061.641458333332</v>
      </c>
      <c r="F100" s="227">
        <v>43061.643912037034</v>
      </c>
      <c r="G100" s="226">
        <v>59</v>
      </c>
      <c r="H100" s="228" t="s">
        <v>519</v>
      </c>
      <c r="I100" s="227">
        <v>43061.669861111113</v>
      </c>
      <c r="J100" s="226">
        <v>0</v>
      </c>
      <c r="K100" s="238" t="str">
        <f t="shared" si="55"/>
        <v>4039/4040</v>
      </c>
      <c r="L100" s="246" t="str">
        <f>VLOOKUP(A100,'Trips&amp;Operators'!$C$1:$G$99911,5,FALSE)</f>
        <v>AUSTIN THOMPSON</v>
      </c>
      <c r="M100" s="225">
        <f t="shared" si="56"/>
        <v>2.5949074079107959E-2</v>
      </c>
      <c r="N100" s="226">
        <f t="shared" si="69"/>
        <v>37.366666673915461</v>
      </c>
      <c r="O100" s="226"/>
      <c r="P100" s="226"/>
      <c r="Q100" s="229"/>
      <c r="R100" s="243"/>
      <c r="S100" s="250">
        <f t="shared" si="52"/>
        <v>1</v>
      </c>
      <c r="T100" s="243" t="str">
        <f t="shared" si="57"/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58"/>
        <v>https://d0f6bd738d7f1b3e5a7ca70fe4ff75f0.us-east-1.aws.found.io/app/kibana#/discover/Steve-Slow-Train-Analysis-(2080s-and-2083s)?_g=(refreshInterval:(display:Off,pause:!f,section:0,value:0),time:(from:'2017-11-22T14:23:42-0700',mode:absolute,to:'2017-11-22T17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0" s="248" t="str">
        <f>IF(AA100&lt;VLOOKUP(AG100,Variables!$AC$3:$AD$8,2,FALSE),"Y","N")</f>
        <v>N</v>
      </c>
      <c r="X100" s="248">
        <f t="shared" si="70"/>
        <v>1</v>
      </c>
      <c r="Y100" s="248">
        <f t="shared" si="53"/>
        <v>23.295999999999999</v>
      </c>
      <c r="Z100" s="248">
        <f t="shared" si="54"/>
        <v>2.4E-2</v>
      </c>
      <c r="AA100" s="248">
        <f t="shared" si="59"/>
        <v>23.271999999999998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60"/>
        <v>188</v>
      </c>
      <c r="AE100" s="236" t="str">
        <f t="shared" si="6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100" s="235" t="str">
        <f t="shared" si="62"/>
        <v>"C:\Program Files (x86)\AstroGrep\AstroGrep.exe" /e /r /s /spath="%USERPROFILE%\AppData\Local\Temp\OnboardLogs" /stypes="app*4039*20171122*" /stext=" 23:.+((SYSTEM_STATE.+slice.+state.+changed )|(ment ac)|(multiple cpu faults)|(system.+state.+changed )|(\[timeout)|(PRM\|1\|D)|(kpr)|(kdp)|(train st.+moving)|(\|lc)|(penalty))"</v>
      </c>
      <c r="AG100" s="245" t="str">
        <f t="shared" si="63"/>
        <v>EC</v>
      </c>
      <c r="AH100" s="237" t="str">
        <f t="shared" si="64"/>
        <v>"%USERPROFILE%\Documents\GitHub\eaglep3\Utilities\RefineRTDCRunTimes.py" --tripid 188-22 --locoid 4039 --swversion DE.1.0.9.0 --startMP 204:232960 --initTime 2017-11-22T15:23:42 --startdatetime 2017-11-22T15:27:14 --delay 59 --endMP 204:240 --enddatetime 2017-11-22T16:04:36 --enforcementcount 0 &gt;&gt;%USERPROFILE%\Documents\GitHub\eaglep3-reporting\EC\2017-11-22-refined-times.txt</v>
      </c>
      <c r="AI100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{"issue":{"subject":"","project_id":79,"tracker_id":40,"status_id":1,"priority_id":2,"assigned_to_id":338,"start_date":"2017-11-22","description":"","custom_fields":[{"id":1,"name":"Subdivision","value":"EC"},{"id":4,"name":"Milepost","value":"0.024"},{"id":17,"name":"Train ID","value":"188-22"},{"id":16,"name":"Locomotive ID","value":"4039"},{"id":130,"name":"Impact","value":""},{"id":150,"name":"Time of Event (Mountain Time)","value":"16:04:36"},{"id":151,"name":"Denver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66"/>
        <v>start /low /b %USERPROFILE%\Documents\GitHub\eaglep3\Utilities\DownloadLogsFromS3.py --loco 4039 --day 2017-11-22</v>
      </c>
      <c r="AN100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68"/>
        <v>https://d0f6bd738d7f1b3e5a7ca70fe4ff75f0.us-east-1.aws.found.io/app/kibana#/discover/Steve-Slow-Train-Analysis-(2080s-and-2083s)?_g=(refreshInterval:(display:Off,pause:!f,section:0,value:0),time:(from:'2017-11-22T14:23:42-0700',mode:absolute,to:'2017-11-22T17:04:36-0700'))&amp;_a=(columns:!('Message%20ID',Summary),filters:!(),index:'emp_*',interval:auto,query:(query_string:(analyze_wildcard:!t,query:'%22rtdc.l.rtdc.4039%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30" t="s">
        <v>799</v>
      </c>
      <c r="B101" s="226">
        <v>4016</v>
      </c>
      <c r="C101" s="228" t="s">
        <v>192</v>
      </c>
      <c r="D101" s="228" t="s">
        <v>459</v>
      </c>
      <c r="E101" s="227">
        <v>43061.610034722224</v>
      </c>
      <c r="F101" s="227">
        <v>43061.614942129629</v>
      </c>
      <c r="G101" s="226">
        <v>90</v>
      </c>
      <c r="H101" s="228" t="s">
        <v>956</v>
      </c>
      <c r="I101" s="227">
        <v>43061.639872685184</v>
      </c>
      <c r="J101" s="226">
        <v>0</v>
      </c>
      <c r="K101" s="238" t="str">
        <f t="shared" si="55"/>
        <v>4015/4016</v>
      </c>
      <c r="L101" s="246" t="str">
        <f>VLOOKUP(A101,'Trips&amp;Operators'!$C$1:$G$99911,5,FALSE)</f>
        <v>BRUDER RICHARD</v>
      </c>
      <c r="M101" s="225">
        <f t="shared" si="56"/>
        <v>2.4930555555329192E-2</v>
      </c>
      <c r="N101" s="226">
        <f t="shared" si="69"/>
        <v>35.899999999674037</v>
      </c>
      <c r="O101" s="226"/>
      <c r="P101" s="226"/>
      <c r="Q101" s="229"/>
      <c r="R101" s="243"/>
      <c r="S101" s="250">
        <f t="shared" si="52"/>
        <v>1</v>
      </c>
      <c r="T101" s="243" t="str">
        <f t="shared" si="57"/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58"/>
        <v>https://d0f6bd738d7f1b3e5a7ca70fe4ff75f0.us-east-1.aws.found.io/app/kibana#/discover/Steve-Slow-Train-Analysis-(2080s-and-2083s)?_g=(refreshInterval:(display:Off,pause:!f,section:0,value:0),time:(from:'2017-11-22T13:38:27-0700',mode:absolute,to:'2017-11-22T16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1" s="248" t="str">
        <f>IF(AA101&lt;VLOOKUP(AG101,Variables!$AC$3:$AD$8,2,FALSE),"Y","N")</f>
        <v>N</v>
      </c>
      <c r="X101" s="248">
        <f t="shared" si="70"/>
        <v>1</v>
      </c>
      <c r="Y101" s="248">
        <f t="shared" si="53"/>
        <v>5.33E-2</v>
      </c>
      <c r="Z101" s="248">
        <f t="shared" si="54"/>
        <v>23.319900000000001</v>
      </c>
      <c r="AA101" s="248">
        <f t="shared" si="59"/>
        <v>23.2666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60"/>
        <v>189</v>
      </c>
      <c r="AE101" s="236" t="str">
        <f t="shared" si="6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101" s="235" t="str">
        <f t="shared" si="62"/>
        <v>"C:\Program Files (x86)\AstroGrep\AstroGrep.exe" /e /r /s /spath="%USERPROFILE%\AppData\Local\Temp\OnboardLogs" /stypes="app*4016*20171122*" /stext=" 22:.+((SYSTEM_STATE.+slice.+state.+changed )|(ment ac)|(multiple cpu faults)|(system.+state.+changed )|(\[timeout)|(PRM\|1\|D)|(kpr)|(kdp)|(train st.+moving)|(\|lc)|(penalty))"</v>
      </c>
      <c r="AG101" s="245" t="str">
        <f t="shared" si="63"/>
        <v>EC</v>
      </c>
      <c r="AH101" s="237" t="str">
        <f t="shared" si="64"/>
        <v>"%USERPROFILE%\Documents\GitHub\eaglep3\Utilities\RefineRTDCRunTimes.py" --tripid 189-22 --locoid 4016 --swversion DE.1.0.9.0 --startMP 204:533 --initTime 2017-11-22T14:38:27 --startdatetime 2017-11-22T14:45:31 --delay 90 --endMP 204:233199 --enddatetime 2017-11-22T15:21:25 --enforcementcount 0 &gt;&gt;%USERPROFILE%\Documents\GitHub\eaglep3-reporting\EC\2017-11-22-refined-times.txt</v>
      </c>
      <c r="AI10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{"issue":{"subject":"","project_id":79,"tracker_id":40,"status_id":1,"priority_id":2,"assigned_to_id":338,"start_date":"2017-11-22","description":"","custom_fields":[{"id":1,"name":"Subdivision","value":"EC"},{"id":4,"name":"Milepost","value":"23.3199"},{"id":17,"name":"Train ID","value":"189-22"},{"id":16,"name":"Locomotive ID","value":"4016"},{"id":130,"name":"Impact","value":""},{"id":150,"name":"Time of Event (Mountain Time)","value":"15:21:25"},{"id":151,"name":"Denver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66"/>
        <v>start /low /b %USERPROFILE%\Documents\GitHub\eaglep3\Utilities\DownloadLogsFromS3.py --loco 4016 --day 2017-11-22</v>
      </c>
      <c r="AN101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68"/>
        <v>https://d0f6bd738d7f1b3e5a7ca70fe4ff75f0.us-east-1.aws.found.io/app/kibana#/discover/Steve-Slow-Train-Analysis-(2080s-and-2083s)?_g=(refreshInterval:(display:Off,pause:!f,section:0,value:0),time:(from:'2017-11-22T13:38:27-0700',mode:absolute,to:'2017-11-22T16:21:25-0700'))&amp;_a=(columns:!('Message%20ID',Summary),filters:!(),index:'emp_*',interval:auto,query:(query_string:(analyze_wildcard:!t,query:'%22rtdc.l.rtdc.4016%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30" t="s">
        <v>811</v>
      </c>
      <c r="B102" s="226">
        <v>4015</v>
      </c>
      <c r="C102" s="228" t="s">
        <v>192</v>
      </c>
      <c r="D102" s="228" t="s">
        <v>957</v>
      </c>
      <c r="E102" s="227">
        <v>43061.651446759257</v>
      </c>
      <c r="F102" s="227">
        <v>43061.654363425929</v>
      </c>
      <c r="G102" s="226">
        <v>67</v>
      </c>
      <c r="H102" s="228" t="s">
        <v>588</v>
      </c>
      <c r="I102" s="227">
        <v>43061.68</v>
      </c>
      <c r="J102" s="226">
        <v>0</v>
      </c>
      <c r="K102" s="238" t="str">
        <f t="shared" si="55"/>
        <v>4015/4016</v>
      </c>
      <c r="L102" s="246" t="str">
        <f>VLOOKUP(A102,'Trips&amp;Operators'!$C$1:$G$99911,5,FALSE)</f>
        <v>BRUDER RICHARD</v>
      </c>
      <c r="M102" s="225">
        <f t="shared" si="56"/>
        <v>2.5636574071540963E-2</v>
      </c>
      <c r="N102" s="226">
        <f t="shared" si="69"/>
        <v>36.916666663018987</v>
      </c>
      <c r="O102" s="226"/>
      <c r="P102" s="226"/>
      <c r="Q102" s="229"/>
      <c r="R102" s="243"/>
      <c r="S102" s="250">
        <f t="shared" si="52"/>
        <v>1</v>
      </c>
      <c r="T102" s="243" t="str">
        <f t="shared" si="57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58"/>
        <v>https://d0f6bd738d7f1b3e5a7ca70fe4ff75f0.us-east-1.aws.found.io/app/kibana#/discover/Steve-Slow-Train-Analysis-(2080s-and-2083s)?_g=(refreshInterval:(display:Off,pause:!f,section:0,value:0),time:(from:'2017-11-22T14:38:05-0700',mode:absolute,to:'2017-11-22T17:19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2" s="248" t="str">
        <f>IF(AA102&lt;VLOOKUP(AG102,Variables!$AC$3:$AD$8,2,FALSE),"Y","N")</f>
        <v>N</v>
      </c>
      <c r="X102" s="248">
        <f t="shared" si="70"/>
        <v>1</v>
      </c>
      <c r="Y102" s="248">
        <f t="shared" si="53"/>
        <v>23.288599999999999</v>
      </c>
      <c r="Z102" s="248">
        <f t="shared" si="54"/>
        <v>2.29E-2</v>
      </c>
      <c r="AA102" s="248">
        <f t="shared" si="59"/>
        <v>23.265699999999999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60"/>
        <v>190</v>
      </c>
      <c r="AE102" s="236" t="str">
        <f t="shared" si="6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102" s="235" t="str">
        <f t="shared" si="62"/>
        <v>"C:\Program Files (x86)\AstroGrep\AstroGrep.exe" /e /r /s /spath="%USERPROFILE%\AppData\Local\Temp\OnboardLogs" /stypes="app*4015*20171122*" /stext=" 23:.+((SYSTEM_STATE.+slice.+state.+changed )|(ment ac)|(multiple cpu faults)|(system.+state.+changed )|(\[timeout)|(PRM\|1\|D)|(kpr)|(kdp)|(train st.+moving)|(\|lc)|(penalty))"</v>
      </c>
      <c r="AG102" s="245" t="str">
        <f t="shared" si="63"/>
        <v>EC</v>
      </c>
      <c r="AH102" s="237" t="str">
        <f t="shared" si="64"/>
        <v>"%USERPROFILE%\Documents\GitHub\eaglep3\Utilities\RefineRTDCRunTimes.py" --tripid 190-22 --locoid 4015 --swversion DE.1.0.9.0 --startMP 204:232886 --initTime 2017-11-22T15:38:05 --startdatetime 2017-11-22T15:42:17 --delay 67 --endMP 204:229 --enddatetime 2017-11-22T16:19:12 --enforcementcount 0 &gt;&gt;%USERPROFILE%\Documents\GitHub\eaglep3-reporting\EC\2017-11-22-refined-times.txt</v>
      </c>
      <c r="AI10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{"issue":{"subject":"","project_id":79,"tracker_id":40,"status_id":1,"priority_id":2,"assigned_to_id":338,"start_date":"2017-11-22","description":"","custom_fields":[{"id":1,"name":"Subdivision","value":"EC"},{"id":4,"name":"Milepost","value":"0.0229"},{"id":17,"name":"Train ID","value":"190-22"},{"id":16,"name":"Locomotive ID","value":"4015"},{"id":130,"name":"Impact","value":""},{"id":150,"name":"Time of Event (Mountain Time)","value":"16:19:12"},{"id":151,"name":"Denver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66"/>
        <v>start /low /b %USERPROFILE%\Documents\GitHub\eaglep3\Utilities\DownloadLogsFromS3.py --loco 4015 --day 2017-11-22</v>
      </c>
      <c r="AN102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68"/>
        <v>https://d0f6bd738d7f1b3e5a7ca70fe4ff75f0.us-east-1.aws.found.io/app/kibana#/discover/Steve-Slow-Train-Analysis-(2080s-and-2083s)?_g=(refreshInterval:(display:Off,pause:!f,section:0,value:0),time:(from:'2017-11-22T14:38:05-0700',mode:absolute,to:'2017-11-22T17:19:12-0700'))&amp;_a=(columns:!('Message%20ID',Summary),filters:!(),index:'emp_*',interval:auto,query:(query_string:(analyze_wildcard:!t,query:'%22rtdc.l.rtdc.4015%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3">
      <c r="A103" s="230" t="s">
        <v>801</v>
      </c>
      <c r="B103" s="226">
        <v>4006</v>
      </c>
      <c r="C103" s="228" t="s">
        <v>192</v>
      </c>
      <c r="D103" s="228" t="s">
        <v>516</v>
      </c>
      <c r="E103" s="227">
        <v>43061.620416666665</v>
      </c>
      <c r="F103" s="227">
        <v>43061.625405092593</v>
      </c>
      <c r="G103" s="226">
        <v>76</v>
      </c>
      <c r="H103" s="228" t="s">
        <v>958</v>
      </c>
      <c r="I103" s="227">
        <v>43061.650555555556</v>
      </c>
      <c r="J103" s="226">
        <v>0</v>
      </c>
      <c r="K103" s="238" t="str">
        <f t="shared" si="55"/>
        <v>4005/4006</v>
      </c>
      <c r="L103" s="246" t="str">
        <f>VLOOKUP(A103,'Trips&amp;Operators'!$C$1:$G$99911,5,FALSE)</f>
        <v>STEWART MICHAEL</v>
      </c>
      <c r="M103" s="225">
        <f t="shared" si="56"/>
        <v>2.5150462963210884E-2</v>
      </c>
      <c r="N103" s="226">
        <f t="shared" si="69"/>
        <v>36.216666667023674</v>
      </c>
      <c r="O103" s="226"/>
      <c r="P103" s="226"/>
      <c r="Q103" s="229"/>
      <c r="R103" s="243"/>
      <c r="S103" s="250">
        <f t="shared" si="52"/>
        <v>1</v>
      </c>
      <c r="T103" s="243" t="str">
        <f t="shared" si="57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58"/>
        <v>https://d0f6bd738d7f1b3e5a7ca70fe4ff75f0.us-east-1.aws.found.io/app/kibana#/discover/Steve-Slow-Train-Analysis-(2080s-and-2083s)?_g=(refreshInterval:(display:Off,pause:!f,section:0,value:0),time:(from:'2017-11-22T13:53:24-0700',mode:absolute,to:'2017-11-22T16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3" s="248" t="str">
        <f>IF(AA103&lt;VLOOKUP(AG103,Variables!$AC$3:$AD$8,2,FALSE),"Y","N")</f>
        <v>N</v>
      </c>
      <c r="X103" s="248">
        <f t="shared" si="70"/>
        <v>1</v>
      </c>
      <c r="Y103" s="248">
        <f t="shared" si="53"/>
        <v>4.9799999999999997E-2</v>
      </c>
      <c r="Z103" s="248">
        <f t="shared" si="54"/>
        <v>23.320799999999998</v>
      </c>
      <c r="AA103" s="248">
        <f t="shared" si="59"/>
        <v>23.270999999999997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60"/>
        <v>191</v>
      </c>
      <c r="AE103" s="236" t="str">
        <f t="shared" si="6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103" s="235" t="str">
        <f t="shared" si="62"/>
        <v>"C:\Program Files (x86)\AstroGrep\AstroGrep.exe" /e /r /s /spath="%USERPROFILE%\AppData\Local\Temp\OnboardLogs" /stypes="app*4006*20171122*" /stext=" 22:.+((SYSTEM_STATE.+slice.+state.+changed )|(ment ac)|(multiple cpu faults)|(system.+state.+changed )|(\[timeout)|(PRM\|1\|D)|(kpr)|(kdp)|(train st.+moving)|(\|lc)|(penalty))"</v>
      </c>
      <c r="AG103" s="245" t="str">
        <f t="shared" si="63"/>
        <v>EC</v>
      </c>
      <c r="AH103" s="237" t="str">
        <f t="shared" si="64"/>
        <v>"%USERPROFILE%\Documents\GitHub\eaglep3\Utilities\RefineRTDCRunTimes.py" --tripid 191-22 --locoid 4006 --swversion DE.1.0.9.0 --startMP 204:498 --initTime 2017-11-22T14:53:24 --startdatetime 2017-11-22T15:00:35 --delay 76 --endMP 204:233208 --enddatetime 2017-11-22T15:36:48 --enforcementcount 0 &gt;&gt;%USERPROFILE%\Documents\GitHub\eaglep3-reporting\EC\2017-11-22-refined-times.txt</v>
      </c>
      <c r="AI10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{"issue":{"subject":"","project_id":79,"tracker_id":40,"status_id":1,"priority_id":2,"assigned_to_id":338,"start_date":"2017-11-22","description":"","custom_fields":[{"id":1,"name":"Subdivision","value":"EC"},{"id":4,"name":"Milepost","value":"23.3208"},{"id":17,"name":"Train ID","value":"191-22"},{"id":16,"name":"Locomotive ID","value":"4006"},{"id":130,"name":"Impact","value":""},{"id":150,"name":"Time of Event (Mountain Time)","value":"15:36:48"},{"id":151,"name":"Denver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66"/>
        <v>start /low /b %USERPROFILE%\Documents\GitHub\eaglep3\Utilities\DownloadLogsFromS3.py --loco 4006 --day 2017-11-22</v>
      </c>
      <c r="AN103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68"/>
        <v>https://d0f6bd738d7f1b3e5a7ca70fe4ff75f0.us-east-1.aws.found.io/app/kibana#/discover/Steve-Slow-Train-Analysis-(2080s-and-2083s)?_g=(refreshInterval:(display:Off,pause:!f,section:0,value:0),time:(from:'2017-11-22T13:53:24-0700',mode:absolute,to:'2017-11-22T16:36:48-0700'))&amp;_a=(columns:!('Message%20ID',Summary),filters:!(),index:'emp_*',interval:auto,query:(query_string:(analyze_wildcard:!t,query:'%22rtdc.l.rtdc.4006%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3">
      <c r="A104" s="230" t="s">
        <v>812</v>
      </c>
      <c r="B104" s="226">
        <v>4005</v>
      </c>
      <c r="C104" s="228" t="s">
        <v>192</v>
      </c>
      <c r="D104" s="228" t="s">
        <v>959</v>
      </c>
      <c r="E104" s="227">
        <v>43061.662048611113</v>
      </c>
      <c r="F104" s="227">
        <v>43061.664814814816</v>
      </c>
      <c r="G104" s="226">
        <v>58</v>
      </c>
      <c r="H104" s="228" t="s">
        <v>943</v>
      </c>
      <c r="I104" s="227">
        <v>43061.691631944443</v>
      </c>
      <c r="J104" s="226">
        <v>0</v>
      </c>
      <c r="K104" s="238" t="str">
        <f t="shared" si="55"/>
        <v>4005/4006</v>
      </c>
      <c r="L104" s="246" t="str">
        <f>VLOOKUP(A104,'Trips&amp;Operators'!$C$1:$G$99911,5,FALSE)</f>
        <v>STEWART MICHAEL</v>
      </c>
      <c r="M104" s="225">
        <f t="shared" si="56"/>
        <v>2.6817129626579117E-2</v>
      </c>
      <c r="N104" s="226">
        <f t="shared" si="69"/>
        <v>38.616666662273929</v>
      </c>
      <c r="O104" s="226"/>
      <c r="P104" s="226"/>
      <c r="Q104" s="229"/>
      <c r="R104" s="243"/>
      <c r="S104" s="250">
        <f t="shared" si="52"/>
        <v>1</v>
      </c>
      <c r="T104" s="243" t="str">
        <f t="shared" si="57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58"/>
        <v>https://d0f6bd738d7f1b3e5a7ca70fe4ff75f0.us-east-1.aws.found.io/app/kibana#/discover/Steve-Slow-Train-Analysis-(2080s-and-2083s)?_g=(refreshInterval:(display:Off,pause:!f,section:0,value:0),time:(from:'2017-11-22T14:53:21-0700',mode:absolute,to:'2017-11-22T17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4" s="248" t="str">
        <f>IF(AA104&lt;VLOOKUP(AG104,Variables!$AC$3:$AD$8,2,FALSE),"Y","N")</f>
        <v>N</v>
      </c>
      <c r="X104" s="248">
        <f t="shared" si="70"/>
        <v>1</v>
      </c>
      <c r="Y104" s="248">
        <f t="shared" si="53"/>
        <v>23.2898</v>
      </c>
      <c r="Z104" s="248">
        <f t="shared" si="54"/>
        <v>2.0500000000000001E-2</v>
      </c>
      <c r="AA104" s="248">
        <f t="shared" si="59"/>
        <v>23.269300000000001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60"/>
        <v>192</v>
      </c>
      <c r="AE104" s="236" t="str">
        <f t="shared" si="6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104" s="235" t="str">
        <f t="shared" si="62"/>
        <v>"C:\Program Files (x86)\AstroGrep\AstroGrep.exe" /e /r /s /spath="%USERPROFILE%\AppData\Local\Temp\OnboardLogs" /stypes="app*4005*20171122*" /stext=" 23:.+((SYSTEM_STATE.+slice.+state.+changed )|(ment ac)|(multiple cpu faults)|(system.+state.+changed )|(\[timeout)|(PRM\|1\|D)|(kpr)|(kdp)|(train st.+moving)|(\|lc)|(penalty))"</v>
      </c>
      <c r="AG104" s="245" t="str">
        <f t="shared" si="63"/>
        <v>EC</v>
      </c>
      <c r="AH104" s="237" t="str">
        <f t="shared" si="64"/>
        <v>"%USERPROFILE%\Documents\GitHub\eaglep3\Utilities\RefineRTDCRunTimes.py" --tripid 192-22 --locoid 4005 --swversion DE.1.0.9.0 --startMP 204:232898 --initTime 2017-11-22T15:53:21 --startdatetime 2017-11-22T15:57:20 --delay 58 --endMP 204:205 --enddatetime 2017-11-22T16:35:57 --enforcementcount 0 &gt;&gt;%USERPROFILE%\Documents\GitHub\eaglep3-reporting\EC\2017-11-22-refined-times.txt</v>
      </c>
      <c r="AI104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{"issue":{"subject":"","project_id":79,"tracker_id":40,"status_id":1,"priority_id":2,"assigned_to_id":338,"start_date":"2017-11-22","description":"","custom_fields":[{"id":1,"name":"Subdivision","value":"EC"},{"id":4,"name":"Milepost","value":"0.0205"},{"id":17,"name":"Train ID","value":"192-22"},{"id":16,"name":"Locomotive ID","value":"4005"},{"id":130,"name":"Impact","value":""},{"id":150,"name":"Time of Event (Mountain Time)","value":"16:35:57"},{"id":151,"name":"Denver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66"/>
        <v>start /low /b %USERPROFILE%\Documents\GitHub\eaglep3\Utilities\DownloadLogsFromS3.py --loco 4005 --day 2017-11-22</v>
      </c>
      <c r="AN104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68"/>
        <v>https://d0f6bd738d7f1b3e5a7ca70fe4ff75f0.us-east-1.aws.found.io/app/kibana#/discover/Steve-Slow-Train-Analysis-(2080s-and-2083s)?_g=(refreshInterval:(display:Off,pause:!f,section:0,value:0),time:(from:'2017-11-22T14:53:21-0700',mode:absolute,to:'2017-11-22T17:35:57-0700'))&amp;_a=(columns:!('Message%20ID',Summary),filters:!(),index:'emp_*',interval:auto,query:(query_string:(analyze_wildcard:!t,query:'%22rtdc.l.rtdc.4005%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3">
      <c r="A105" s="230" t="s">
        <v>803</v>
      </c>
      <c r="B105" s="226">
        <v>4050</v>
      </c>
      <c r="C105" s="228" t="s">
        <v>192</v>
      </c>
      <c r="D105" s="228" t="s">
        <v>960</v>
      </c>
      <c r="E105" s="227">
        <v>43061.630300925928</v>
      </c>
      <c r="F105" s="227">
        <v>43061.635659722226</v>
      </c>
      <c r="G105" s="226">
        <v>52</v>
      </c>
      <c r="H105" s="228" t="s">
        <v>913</v>
      </c>
      <c r="I105" s="227">
        <v>43061.660960648151</v>
      </c>
      <c r="J105" s="226">
        <v>0</v>
      </c>
      <c r="K105" s="238" t="str">
        <f t="shared" si="55"/>
        <v>4049/4050</v>
      </c>
      <c r="L105" s="246" t="str">
        <f>VLOOKUP(A105,'Trips&amp;Operators'!$C$1:$G$99911,5,FALSE)</f>
        <v>ANDREA WILLIAMS</v>
      </c>
      <c r="M105" s="225">
        <f t="shared" si="56"/>
        <v>2.5300925924966577E-2</v>
      </c>
      <c r="N105" s="226">
        <f t="shared" si="69"/>
        <v>36.433333331951872</v>
      </c>
      <c r="O105" s="226"/>
      <c r="P105" s="226"/>
      <c r="Q105" s="229"/>
      <c r="R105" s="243"/>
      <c r="S105" s="250">
        <f t="shared" si="52"/>
        <v>1</v>
      </c>
      <c r="T105" s="243" t="str">
        <f t="shared" si="57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58"/>
        <v>https://d0f6bd738d7f1b3e5a7ca70fe4ff75f0.us-east-1.aws.found.io/app/kibana#/discover/Steve-Slow-Train-Analysis-(2080s-and-2083s)?_g=(refreshInterval:(display:Off,pause:!f,section:0,value:0),time:(from:'2017-11-22T14:07:38-0700',mode:absolute,to:'2017-11-22T16:51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5" s="248" t="str">
        <f>IF(AA105&lt;VLOOKUP(AG105,Variables!$AC$3:$AD$8,2,FALSE),"Y","N")</f>
        <v>N</v>
      </c>
      <c r="X105" s="248">
        <f t="shared" si="70"/>
        <v>1</v>
      </c>
      <c r="Y105" s="248">
        <f t="shared" si="53"/>
        <v>5.62E-2</v>
      </c>
      <c r="Z105" s="248">
        <f t="shared" si="54"/>
        <v>23.319700000000001</v>
      </c>
      <c r="AA105" s="248">
        <f t="shared" si="59"/>
        <v>23.263500000000001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60"/>
        <v>193</v>
      </c>
      <c r="AE105" s="236" t="str">
        <f t="shared" si="6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105" s="235" t="str">
        <f t="shared" si="62"/>
        <v>"C:\Program Files (x86)\AstroGrep\AstroGrep.exe" /e /r /s /spath="%USERPROFILE%\AppData\Local\Temp\OnboardLogs" /stypes="app*4050*20171122*" /stext=" 22:.+((SYSTEM_STATE.+slice.+state.+changed )|(ment ac)|(multiple cpu faults)|(system.+state.+changed )|(\[timeout)|(PRM\|1\|D)|(kpr)|(kdp)|(train st.+moving)|(\|lc)|(penalty))"</v>
      </c>
      <c r="AG105" s="245" t="str">
        <f t="shared" si="63"/>
        <v>EC</v>
      </c>
      <c r="AH105" s="237" t="str">
        <f t="shared" si="64"/>
        <v>"%USERPROFILE%\Documents\GitHub\eaglep3\Utilities\RefineRTDCRunTimes.py" --tripid 193-22 --locoid 4050 --swversion DE.1.0.9.0 --startMP 204:562 --initTime 2017-11-22T15:07:38 --startdatetime 2017-11-22T15:15:21 --delay 52 --endMP 204:233197 --enddatetime 2017-11-22T15:51:47 --enforcementcount 0 &gt;&gt;%USERPROFILE%\Documents\GitHub\eaglep3-reporting\EC\2017-11-22-refined-times.txt</v>
      </c>
      <c r="AI105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{"issue":{"subject":"","project_id":79,"tracker_id":40,"status_id":1,"priority_id":2,"assigned_to_id":338,"start_date":"2017-11-22","description":"","custom_fields":[{"id":1,"name":"Subdivision","value":"EC"},{"id":4,"name":"Milepost","value":"23.3197"},{"id":17,"name":"Train ID","value":"193-22"},{"id":16,"name":"Locomotive ID","value":"4050"},{"id":130,"name":"Impact","value":""},{"id":150,"name":"Time of Event (Mountain Time)","value":"15:51:47"},{"id":151,"name":"Denver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66"/>
        <v>start /low /b %USERPROFILE%\Documents\GitHub\eaglep3\Utilities\DownloadLogsFromS3.py --loco 4050 --day 2017-11-22</v>
      </c>
      <c r="AN105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68"/>
        <v>https://d0f6bd738d7f1b3e5a7ca70fe4ff75f0.us-east-1.aws.found.io/app/kibana#/discover/Steve-Slow-Train-Analysis-(2080s-and-2083s)?_g=(refreshInterval:(display:Off,pause:!f,section:0,value:0),time:(from:'2017-11-22T14:07:38-0700',mode:absolute,to:'2017-11-22T16:51:47-0700'))&amp;_a=(columns:!('Message%20ID',Summary),filters:!(),index:'emp_*',interval:auto,query:(query_string:(analyze_wildcard:!t,query:'%22rtdc.l.rtdc.4050%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30" t="s">
        <v>813</v>
      </c>
      <c r="B106" s="226">
        <v>4049</v>
      </c>
      <c r="C106" s="228" t="s">
        <v>192</v>
      </c>
      <c r="D106" s="228" t="s">
        <v>914</v>
      </c>
      <c r="E106" s="227">
        <v>43061.662430555552</v>
      </c>
      <c r="F106" s="227">
        <v>43061.675324074073</v>
      </c>
      <c r="G106" s="226">
        <v>47</v>
      </c>
      <c r="H106" s="228" t="s">
        <v>961</v>
      </c>
      <c r="I106" s="227">
        <v>43061.70107638889</v>
      </c>
      <c r="J106" s="226">
        <v>0</v>
      </c>
      <c r="K106" s="238" t="str">
        <f t="shared" si="55"/>
        <v>4049/4050</v>
      </c>
      <c r="L106" s="246" t="str">
        <f>VLOOKUP(A106,'Trips&amp;Operators'!$C$1:$G$99911,5,FALSE)</f>
        <v>ANDREA WILLIAMS</v>
      </c>
      <c r="M106" s="225">
        <f t="shared" si="56"/>
        <v>2.5752314817509614E-2</v>
      </c>
      <c r="N106" s="226">
        <f t="shared" si="69"/>
        <v>37.083333337213844</v>
      </c>
      <c r="O106" s="226"/>
      <c r="P106" s="226"/>
      <c r="Q106" s="229"/>
      <c r="R106" s="243"/>
      <c r="S106" s="250">
        <f t="shared" ref="S106:S133" si="71">1/IF(AG106="EC",12,1)*SUM(U106:U106)</f>
        <v>1</v>
      </c>
      <c r="T106" s="243" t="str">
        <f t="shared" si="57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58"/>
        <v>https://d0f6bd738d7f1b3e5a7ca70fe4ff75f0.us-east-1.aws.found.io/app/kibana#/discover/Steve-Slow-Train-Analysis-(2080s-and-2083s)?_g=(refreshInterval:(display:Off,pause:!f,section:0,value:0),time:(from:'2017-11-22T14:53:54-0700',mode:absolute,to:'2017-11-22T17:49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6" s="248" t="str">
        <f>IF(AA106&lt;VLOOKUP(AG106,Variables!$AC$3:$AD$8,2,FALSE),"Y","N")</f>
        <v>N</v>
      </c>
      <c r="X106" s="248">
        <f t="shared" si="70"/>
        <v>1</v>
      </c>
      <c r="Y106" s="248">
        <f t="shared" si="53"/>
        <v>23.287700000000001</v>
      </c>
      <c r="Z106" s="248">
        <f t="shared" si="54"/>
        <v>2.4500000000000001E-2</v>
      </c>
      <c r="AA106" s="248">
        <f t="shared" si="59"/>
        <v>23.263200000000001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60"/>
        <v>194</v>
      </c>
      <c r="AE106" s="236" t="str">
        <f t="shared" si="6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106" s="235" t="str">
        <f t="shared" si="62"/>
        <v>"C:\Program Files (x86)\AstroGrep\AstroGrep.exe" /e /r /s /spath="%USERPROFILE%\AppData\Local\Temp\OnboardLogs" /stypes="app*4049*20171122*" /stext=" 23:.+((SYSTEM_STATE.+slice.+state.+changed )|(ment ac)|(multiple cpu faults)|(system.+state.+changed )|(\[timeout)|(PRM\|1\|D)|(kpr)|(kdp)|(train st.+moving)|(\|lc)|(penalty))"</v>
      </c>
      <c r="AG106" s="245" t="str">
        <f t="shared" si="63"/>
        <v>EC</v>
      </c>
      <c r="AH106" s="237" t="str">
        <f t="shared" si="64"/>
        <v>"%USERPROFILE%\Documents\GitHub\eaglep3\Utilities\RefineRTDCRunTimes.py" --tripid 194-22 --locoid 4049 --swversion DE.1.0.9.0 --startMP 204:232877 --initTime 2017-11-22T15:53:54 --startdatetime 2017-11-22T16:12:28 --delay 47 --endMP 204:245 --enddatetime 2017-11-22T16:49:33 --enforcementcount 0 &gt;&gt;%USERPROFILE%\Documents\GitHub\eaglep3-reporting\EC\2017-11-22-refined-times.txt</v>
      </c>
      <c r="AI106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{"issue":{"subject":"","project_id":79,"tracker_id":40,"status_id":1,"priority_id":2,"assigned_to_id":338,"start_date":"2017-11-22","description":"","custom_fields":[{"id":1,"name":"Subdivision","value":"EC"},{"id":4,"name":"Milepost","value":"0.0245"},{"id":17,"name":"Train ID","value":"194-22"},{"id":16,"name":"Locomotive ID","value":"4049"},{"id":130,"name":"Impact","value":""},{"id":150,"name":"Time of Event (Mountain Time)","value":"16:49:33"},{"id":151,"name":"Denver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66"/>
        <v>start /low /b %USERPROFILE%\Documents\GitHub\eaglep3\Utilities\DownloadLogsFromS3.py --loco 4049 --day 2017-11-22</v>
      </c>
      <c r="AN106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68"/>
        <v>https://d0f6bd738d7f1b3e5a7ca70fe4ff75f0.us-east-1.aws.found.io/app/kibana#/discover/Steve-Slow-Train-Analysis-(2080s-and-2083s)?_g=(refreshInterval:(display:Off,pause:!f,section:0,value:0),time:(from:'2017-11-22T14:53:54-0700',mode:absolute,to:'2017-11-22T17:49:33-0700'))&amp;_a=(columns:!('Message%20ID',Summary),filters:!(),index:'emp_*',interval:auto,query:(query_string:(analyze_wildcard:!t,query:'%22rtdc.l.rtdc.4049%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30" t="s">
        <v>807</v>
      </c>
      <c r="B107" s="226">
        <v>4018</v>
      </c>
      <c r="C107" s="228" t="s">
        <v>192</v>
      </c>
      <c r="D107" s="228" t="s">
        <v>962</v>
      </c>
      <c r="E107" s="227">
        <v>43061.642187500001</v>
      </c>
      <c r="F107" s="227">
        <v>43061.646296296298</v>
      </c>
      <c r="G107" s="226">
        <v>54</v>
      </c>
      <c r="H107" s="228" t="s">
        <v>605</v>
      </c>
      <c r="I107" s="227">
        <v>43061.671666666669</v>
      </c>
      <c r="J107" s="226">
        <v>0</v>
      </c>
      <c r="K107" s="238" t="str">
        <f t="shared" si="55"/>
        <v>4017/4018</v>
      </c>
      <c r="L107" s="246" t="str">
        <f>VLOOKUP(A107,'Trips&amp;Operators'!$C$1:$G$99911,5,FALSE)</f>
        <v>KILLION DAVID</v>
      </c>
      <c r="M107" s="225">
        <f t="shared" si="56"/>
        <v>2.5370370371092577E-2</v>
      </c>
      <c r="N107" s="226">
        <f t="shared" si="69"/>
        <v>36.53333333437331</v>
      </c>
      <c r="O107" s="226"/>
      <c r="P107" s="226"/>
      <c r="Q107" s="229"/>
      <c r="R107" s="243"/>
      <c r="S107" s="250">
        <f t="shared" si="71"/>
        <v>1</v>
      </c>
      <c r="T107" s="243" t="str">
        <f t="shared" si="57"/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58"/>
        <v>https://d0f6bd738d7f1b3e5a7ca70fe4ff75f0.us-east-1.aws.found.io/app/kibana#/discover/Steve-Slow-Train-Analysis-(2080s-and-2083s)?_g=(refreshInterval:(display:Off,pause:!f,section:0,value:0),time:(from:'2017-11-22T14:24:45-0700',mode:absolute,to:'2017-11-22T17:07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248" t="str">
        <f>IF(AA107&lt;VLOOKUP(AG107,Variables!$AC$3:$AD$8,2,FALSE),"Y","N")</f>
        <v>N</v>
      </c>
      <c r="X107" s="248">
        <f t="shared" si="70"/>
        <v>1</v>
      </c>
      <c r="Y107" s="248">
        <f t="shared" ref="Y107:Y138" si="72">RIGHT(D107,LEN(D107)-4)/10000</f>
        <v>4.5999999999999999E-2</v>
      </c>
      <c r="Z107" s="248">
        <f t="shared" ref="Z107:Z138" si="73">RIGHT(H107,LEN(H107)-4)/10000</f>
        <v>23.3215</v>
      </c>
      <c r="AA107" s="248">
        <f t="shared" si="59"/>
        <v>23.275500000000001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60"/>
        <v>195</v>
      </c>
      <c r="AE107" s="236" t="str">
        <f t="shared" si="6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107" s="235" t="str">
        <f t="shared" si="62"/>
        <v>"C:\Program Files (x86)\AstroGrep\AstroGrep.exe" /e /r /s /spath="%USERPROFILE%\AppData\Local\Temp\OnboardLogs" /stypes="app*4018*20171122*" /stext=" 23:.+((SYSTEM_STATE.+slice.+state.+changed )|(ment ac)|(multiple cpu faults)|(system.+state.+changed )|(\[timeout)|(PRM\|1\|D)|(kpr)|(kdp)|(train st.+moving)|(\|lc)|(penalty))"</v>
      </c>
      <c r="AG107" s="245" t="str">
        <f t="shared" si="63"/>
        <v>EC</v>
      </c>
      <c r="AH107" s="237" t="str">
        <f t="shared" si="64"/>
        <v>"%USERPROFILE%\Documents\GitHub\eaglep3\Utilities\RefineRTDCRunTimes.py" --tripid 195-22 --locoid 4018 --swversion DE.1.0.9.0 --startMP 204:460 --initTime 2017-11-22T15:24:45 --startdatetime 2017-11-22T15:30:40 --delay 54 --endMP 204:233215 --enddatetime 2017-11-22T16:07:12 --enforcementcount 0 &gt;&gt;%USERPROFILE%\Documents\GitHub\eaglep3-reporting\EC\2017-11-22-refined-times.txt</v>
      </c>
      <c r="AI107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{"issue":{"subject":"","project_id":79,"tracker_id":40,"status_id":1,"priority_id":2,"assigned_to_id":338,"start_date":"2017-11-22","description":"","custom_fields":[{"id":1,"name":"Subdivision","value":"EC"},{"id":4,"name":"Milepost","value":"23.3215"},{"id":17,"name":"Train ID","value":"195-22"},{"id":16,"name":"Locomotive ID","value":"4018"},{"id":130,"name":"Impact","value":""},{"id":150,"name":"Time of Event (Mountain Time)","value":"16:07:12"},{"id":151,"name":"Denver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66"/>
        <v>start /low /b %USERPROFILE%\Documents\GitHub\eaglep3\Utilities\DownloadLogsFromS3.py --loco 4018 --day 2017-11-22</v>
      </c>
      <c r="AN107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68"/>
        <v>https://d0f6bd738d7f1b3e5a7ca70fe4ff75f0.us-east-1.aws.found.io/app/kibana#/discover/Steve-Slow-Train-Analysis-(2080s-and-2083s)?_g=(refreshInterval:(display:Off,pause:!f,section:0,value:0),time:(from:'2017-11-22T14:24:45-0700',mode:absolute,to:'2017-11-22T17:07:12-0700'))&amp;_a=(columns:!('Message%20ID',Summary),filters:!(),index:'emp_*',interval:auto,query:(query_string:(analyze_wildcard:!t,query:'%22rtdc.l.rtdc.4018%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30" t="s">
        <v>661</v>
      </c>
      <c r="B108" s="226">
        <v>4017</v>
      </c>
      <c r="C108" s="228" t="s">
        <v>192</v>
      </c>
      <c r="D108" s="228" t="s">
        <v>929</v>
      </c>
      <c r="E108" s="227">
        <v>43061.678101851852</v>
      </c>
      <c r="F108" s="227">
        <v>43061.685752314814</v>
      </c>
      <c r="G108" s="226">
        <v>48</v>
      </c>
      <c r="H108" s="228" t="s">
        <v>511</v>
      </c>
      <c r="I108" s="227">
        <v>43061.712997685187</v>
      </c>
      <c r="J108" s="226">
        <v>0</v>
      </c>
      <c r="K108" s="238" t="str">
        <f t="shared" si="55"/>
        <v>4017/4018</v>
      </c>
      <c r="L108" s="246" t="str">
        <f>VLOOKUP(A108,'Trips&amp;Operators'!$C$1:$G$99911,5,FALSE)</f>
        <v>KILLION DAVID</v>
      </c>
      <c r="M108" s="225">
        <f t="shared" si="56"/>
        <v>2.7245370372838806E-2</v>
      </c>
      <c r="N108" s="226">
        <f t="shared" si="69"/>
        <v>39.233333336887881</v>
      </c>
      <c r="O108" s="226"/>
      <c r="P108" s="226"/>
      <c r="Q108" s="229"/>
      <c r="R108" s="243"/>
      <c r="S108" s="250">
        <f t="shared" si="71"/>
        <v>1</v>
      </c>
      <c r="T108" s="243" t="str">
        <f t="shared" si="57"/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58"/>
        <v>https://d0f6bd738d7f1b3e5a7ca70fe4ff75f0.us-east-1.aws.found.io/app/kibana#/discover/Steve-Slow-Train-Analysis-(2080s-and-2083s)?_g=(refreshInterval:(display:Off,pause:!f,section:0,value:0),time:(from:'2017-11-22T15:16:28-0700',mode:absolute,to:'2017-11-22T18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248" t="str">
        <f>IF(AA108&lt;VLOOKUP(AG108,Variables!$AC$3:$AD$8,2,FALSE),"Y","N")</f>
        <v>N</v>
      </c>
      <c r="X108" s="248">
        <f t="shared" si="70"/>
        <v>1</v>
      </c>
      <c r="Y108" s="248">
        <f t="shared" si="72"/>
        <v>23.289200000000001</v>
      </c>
      <c r="Z108" s="248">
        <f t="shared" si="73"/>
        <v>1.54E-2</v>
      </c>
      <c r="AA108" s="248">
        <f t="shared" si="59"/>
        <v>23.273800000000001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60"/>
        <v>196</v>
      </c>
      <c r="AE108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08" s="235" t="str">
        <f t="shared" si="62"/>
        <v>"C:\Program Files (x86)\AstroGrep\AstroGrep.exe" /e /r /s /spath="%USERPROFILE%\AppData\Local\Temp\OnboardLogs" /stypes="app*4017*20171123*" /stext=" 00:.+((SYSTEM_STATE.+slice.+state.+changed )|(ment ac)|(multiple cpu faults)|(system.+state.+changed )|(\[timeout)|(PRM\|1\|D)|(kpr)|(kdp)|(train st.+moving)|(\|lc)|(penalty))"</v>
      </c>
      <c r="AG108" s="245" t="str">
        <f t="shared" si="63"/>
        <v>EC</v>
      </c>
      <c r="AH108" s="237" t="str">
        <f t="shared" si="64"/>
        <v>"%USERPROFILE%\Documents\GitHub\eaglep3\Utilities\RefineRTDCRunTimes.py" --tripid 196-22 --locoid 4017 --swversion DE.1.0.9.0 --startMP 204:232892 --initTime 2017-11-22T16:16:28 --startdatetime 2017-11-22T16:27:29 --delay 48 --endMP 204:154 --enddatetime 2017-11-22T17:06:43 --enforcementcount 0 &gt;&gt;%USERPROFILE%\Documents\GitHub\eaglep3-reporting\EC\2017-11-22-refined-times.txt</v>
      </c>
      <c r="AI108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{"issue":{"subject":"","project_id":79,"tracker_id":40,"status_id":1,"priority_id":2,"assigned_to_id":338,"start_date":"2017-11-22","description":"","custom_fields":[{"id":1,"name":"Subdivision","value":"EC"},{"id":4,"name":"Milepost","value":"0.0154"},{"id":17,"name":"Train ID","value":"196-22"},{"id":16,"name":"Locomotive ID","value":"4017"},{"id":130,"name":"Impact","value":""},{"id":150,"name":"Time of Event (Mountain Time)","value":"17:06:43"},{"id":151,"name":"Denver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66"/>
        <v>start /low /b %USERPROFILE%\Documents\GitHub\eaglep3\Utilities\DownloadLogsFromS3.py --loco 4017 --day 2017-11-22</v>
      </c>
      <c r="AN108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68"/>
        <v>https://d0f6bd738d7f1b3e5a7ca70fe4ff75f0.us-east-1.aws.found.io/app/kibana#/discover/Steve-Slow-Train-Analysis-(2080s-and-2083s)?_g=(refreshInterval:(display:Off,pause:!f,section:0,value:0),time:(from:'2017-11-22T15:16:28-0700',mode:absolute,to:'2017-11-22T18:06:43-0700'))&amp;_a=(columns:!('Message%20ID',Summary),filters:!(),index:'emp_*',interval:auto,query:(query_string:(analyze_wildcard:!t,query:'%22rtdc.l.rtdc.4017%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30" t="s">
        <v>810</v>
      </c>
      <c r="B109" s="226">
        <v>4020</v>
      </c>
      <c r="C109" s="228" t="s">
        <v>192</v>
      </c>
      <c r="D109" s="228" t="s">
        <v>953</v>
      </c>
      <c r="E109" s="227">
        <v>43061.650856481479</v>
      </c>
      <c r="F109" s="227">
        <v>43061.656458333331</v>
      </c>
      <c r="G109" s="226">
        <v>82</v>
      </c>
      <c r="H109" s="228" t="s">
        <v>606</v>
      </c>
      <c r="I109" s="227">
        <v>43061.681898148148</v>
      </c>
      <c r="J109" s="226">
        <v>0</v>
      </c>
      <c r="K109" s="238" t="str">
        <f t="shared" si="55"/>
        <v>4019/4020</v>
      </c>
      <c r="L109" s="246" t="str">
        <f>VLOOKUP(A109,'Trips&amp;Operators'!$C$1:$G$99911,5,FALSE)</f>
        <v>BERLING GARY</v>
      </c>
      <c r="M109" s="225">
        <f t="shared" si="56"/>
        <v>2.5439814817218576E-2</v>
      </c>
      <c r="N109" s="226">
        <f t="shared" si="69"/>
        <v>36.633333336794749</v>
      </c>
      <c r="O109" s="226"/>
      <c r="P109" s="226"/>
      <c r="Q109" s="229"/>
      <c r="R109" s="243"/>
      <c r="S109" s="250">
        <f t="shared" si="71"/>
        <v>1</v>
      </c>
      <c r="T109" s="243" t="str">
        <f t="shared" si="57"/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58"/>
        <v>https://d0f6bd738d7f1b3e5a7ca70fe4ff75f0.us-east-1.aws.found.io/app/kibana#/discover/Steve-Slow-Train-Analysis-(2080s-and-2083s)?_g=(refreshInterval:(display:Off,pause:!f,section:0,value:0),time:(from:'2017-11-22T14:37:14-0700',mode:absolute,to:'2017-11-22T17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9" s="248" t="str">
        <f>IF(AA109&lt;VLOOKUP(AG109,Variables!$AC$3:$AD$8,2,FALSE),"Y","N")</f>
        <v>N</v>
      </c>
      <c r="X109" s="248">
        <f t="shared" si="70"/>
        <v>1</v>
      </c>
      <c r="Y109" s="248">
        <f t="shared" si="72"/>
        <v>5.1700000000000003E-2</v>
      </c>
      <c r="Z109" s="248">
        <f t="shared" si="73"/>
        <v>23.3203</v>
      </c>
      <c r="AA109" s="248">
        <f t="shared" si="59"/>
        <v>23.268599999999999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60"/>
        <v>197</v>
      </c>
      <c r="AE109" s="236" t="str">
        <f t="shared" si="6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109" s="235" t="str">
        <f t="shared" si="62"/>
        <v>"C:\Program Files (x86)\AstroGrep\AstroGrep.exe" /e /r /s /spath="%USERPROFILE%\AppData\Local\Temp\OnboardLogs" /stypes="app*4020*20171122*" /stext=" 23:.+((SYSTEM_STATE.+slice.+state.+changed )|(ment ac)|(multiple cpu faults)|(system.+state.+changed )|(\[timeout)|(PRM\|1\|D)|(kpr)|(kdp)|(train st.+moving)|(\|lc)|(penalty))"</v>
      </c>
      <c r="AG109" s="245" t="str">
        <f t="shared" si="63"/>
        <v>EC</v>
      </c>
      <c r="AH109" s="237" t="str">
        <f t="shared" si="64"/>
        <v>"%USERPROFILE%\Documents\GitHub\eaglep3\Utilities\RefineRTDCRunTimes.py" --tripid 197-22 --locoid 4020 --swversion DE.1.0.9.0 --startMP 204:517 --initTime 2017-11-22T15:37:14 --startdatetime 2017-11-22T15:45:18 --delay 82 --endMP 204:233203 --enddatetime 2017-11-22T16:21:56 --enforcementcount 0 &gt;&gt;%USERPROFILE%\Documents\GitHub\eaglep3-reporting\EC\2017-11-22-refined-times.txt</v>
      </c>
      <c r="AI109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{"issue":{"subject":"","project_id":79,"tracker_id":40,"status_id":1,"priority_id":2,"assigned_to_id":338,"start_date":"2017-11-22","description":"","custom_fields":[{"id":1,"name":"Subdivision","value":"EC"},{"id":4,"name":"Milepost","value":"23.3203"},{"id":17,"name":"Train ID","value":"197-22"},{"id":16,"name":"Locomotive ID","value":"4020"},{"id":130,"name":"Impact","value":""},{"id":150,"name":"Time of Event (Mountain Time)","value":"16:21:56"},{"id":151,"name":"Denver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66"/>
        <v>start /low /b %USERPROFILE%\Documents\GitHub\eaglep3\Utilities\DownloadLogsFromS3.py --loco 4020 --day 2017-11-22</v>
      </c>
      <c r="AN109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68"/>
        <v>https://d0f6bd738d7f1b3e5a7ca70fe4ff75f0.us-east-1.aws.found.io/app/kibana#/discover/Steve-Slow-Train-Analysis-(2080s-and-2083s)?_g=(refreshInterval:(display:Off,pause:!f,section:0,value:0),time:(from:'2017-11-22T14:37:14-0700',mode:absolute,to:'2017-11-22T17:21:56-0700'))&amp;_a=(columns:!('Message%20ID',Summary),filters:!(),index:'emp_*',interval:auto,query:(query_string:(analyze_wildcard:!t,query:'%22rtdc.l.rtdc.4020%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30" t="s">
        <v>820</v>
      </c>
      <c r="B110" s="226">
        <v>4019</v>
      </c>
      <c r="C110" s="228" t="s">
        <v>192</v>
      </c>
      <c r="D110" s="228" t="s">
        <v>957</v>
      </c>
      <c r="E110" s="227">
        <v>43061.689456018517</v>
      </c>
      <c r="F110" s="227">
        <v>43061.69599537037</v>
      </c>
      <c r="G110" s="226">
        <v>57</v>
      </c>
      <c r="H110" s="228" t="s">
        <v>963</v>
      </c>
      <c r="I110" s="227">
        <v>43061.722094907411</v>
      </c>
      <c r="J110" s="226">
        <v>0</v>
      </c>
      <c r="K110" s="238" t="str">
        <f t="shared" si="55"/>
        <v>4019/4020</v>
      </c>
      <c r="L110" s="246" t="str">
        <f>VLOOKUP(A110,'Trips&amp;Operators'!$C$1:$G$99911,5,FALSE)</f>
        <v>BERLING GARY</v>
      </c>
      <c r="M110" s="225">
        <f t="shared" si="56"/>
        <v>2.6099537040863652E-2</v>
      </c>
      <c r="N110" s="226">
        <f t="shared" si="69"/>
        <v>37.583333338843659</v>
      </c>
      <c r="O110" s="226"/>
      <c r="P110" s="226"/>
      <c r="Q110" s="229"/>
      <c r="R110" s="243"/>
      <c r="S110" s="250">
        <f t="shared" si="71"/>
        <v>1</v>
      </c>
      <c r="T110" s="243" t="str">
        <f t="shared" si="57"/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58"/>
        <v>https://d0f6bd738d7f1b3e5a7ca70fe4ff75f0.us-east-1.aws.found.io/app/kibana#/discover/Steve-Slow-Train-Analysis-(2080s-and-2083s)?_g=(refreshInterval:(display:Off,pause:!f,section:0,value:0),time:(from:'2017-11-22T15:32:49-0700',mode:absolute,to:'2017-11-22T18:19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0" s="248" t="str">
        <f>IF(AA110&lt;VLOOKUP(AG110,Variables!$AC$3:$AD$8,2,FALSE),"Y","N")</f>
        <v>N</v>
      </c>
      <c r="X110" s="248">
        <f t="shared" si="70"/>
        <v>1</v>
      </c>
      <c r="Y110" s="248">
        <f t="shared" si="72"/>
        <v>23.288599999999999</v>
      </c>
      <c r="Z110" s="248">
        <f t="shared" si="73"/>
        <v>1.8700000000000001E-2</v>
      </c>
      <c r="AA110" s="248">
        <f t="shared" si="59"/>
        <v>23.2699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60"/>
        <v>198</v>
      </c>
      <c r="AE110" s="236" t="str">
        <f t="shared" si="6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110" s="235" t="str">
        <f t="shared" si="62"/>
        <v>"C:\Program Files (x86)\AstroGrep\AstroGrep.exe" /e /r /s /spath="%USERPROFILE%\AppData\Local\Temp\OnboardLogs" /stypes="app*4019*20171123*" /stext=" 00:.+((SYSTEM_STATE.+slice.+state.+changed )|(ment ac)|(multiple cpu faults)|(system.+state.+changed )|(\[timeout)|(PRM\|1\|D)|(kpr)|(kdp)|(train st.+moving)|(\|lc)|(penalty))"</v>
      </c>
      <c r="AG110" s="245" t="str">
        <f t="shared" si="63"/>
        <v>EC</v>
      </c>
      <c r="AH110" s="237" t="str">
        <f t="shared" si="64"/>
        <v>"%USERPROFILE%\Documents\GitHub\eaglep3\Utilities\RefineRTDCRunTimes.py" --tripid 198-22 --locoid 4019 --swversion DE.1.0.9.0 --startMP 204:232886 --initTime 2017-11-22T16:32:49 --startdatetime 2017-11-22T16:42:14 --delay 57 --endMP 204:187 --enddatetime 2017-11-22T17:19:49 --enforcementcount 0 &gt;&gt;%USERPROFILE%\Documents\GitHub\eaglep3-reporting\EC\2017-11-22-refined-times.txt</v>
      </c>
      <c r="AI110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{"issue":{"subject":"","project_id":79,"tracker_id":40,"status_id":1,"priority_id":2,"assigned_to_id":338,"start_date":"2017-11-22","description":"","custom_fields":[{"id":1,"name":"Subdivision","value":"EC"},{"id":4,"name":"Milepost","value":"0.0187"},{"id":17,"name":"Train ID","value":"198-22"},{"id":16,"name":"Locomotive ID","value":"4019"},{"id":130,"name":"Impact","value":""},{"id":150,"name":"Time of Event (Mountain Time)","value":"17:19:49"},{"id":151,"name":"Denver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66"/>
        <v>start /low /b %USERPROFILE%\Documents\GitHub\eaglep3\Utilities\DownloadLogsFromS3.py --loco 4019 --day 2017-11-22</v>
      </c>
      <c r="AN110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68"/>
        <v>https://d0f6bd738d7f1b3e5a7ca70fe4ff75f0.us-east-1.aws.found.io/app/kibana#/discover/Steve-Slow-Train-Analysis-(2080s-and-2083s)?_g=(refreshInterval:(display:Off,pause:!f,section:0,value:0),time:(from:'2017-11-22T15:32:49-0700',mode:absolute,to:'2017-11-22T18:19:49-0700'))&amp;_a=(columns:!('Message%20ID',Summary),filters:!(),index:'emp_*',interval:auto,query:(query_string:(analyze_wildcard:!t,query:'%22rtdc.l.rtdc.4019%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30" t="s">
        <v>815</v>
      </c>
      <c r="B111" s="226">
        <v>4002</v>
      </c>
      <c r="C111" s="228" t="s">
        <v>192</v>
      </c>
      <c r="D111" s="228" t="s">
        <v>456</v>
      </c>
      <c r="E111" s="227">
        <v>43061.66375</v>
      </c>
      <c r="F111" s="227">
        <v>43061.667071759257</v>
      </c>
      <c r="G111" s="226">
        <v>58</v>
      </c>
      <c r="H111" s="228" t="s">
        <v>964</v>
      </c>
      <c r="I111" s="227">
        <v>43061.692407407405</v>
      </c>
      <c r="J111" s="226">
        <v>0</v>
      </c>
      <c r="K111" s="238" t="str">
        <f t="shared" si="55"/>
        <v>4001/4002</v>
      </c>
      <c r="L111" s="246" t="str">
        <f>VLOOKUP(A111,'Trips&amp;Operators'!$C$1:$G$99911,5,FALSE)</f>
        <v>DAVIS MICHAEL</v>
      </c>
      <c r="M111" s="225">
        <f t="shared" si="56"/>
        <v>2.5335648148029577E-2</v>
      </c>
      <c r="N111" s="226">
        <f t="shared" si="69"/>
        <v>36.483333333162591</v>
      </c>
      <c r="O111" s="226"/>
      <c r="P111" s="226"/>
      <c r="Q111" s="229"/>
      <c r="R111" s="243"/>
      <c r="S111" s="250">
        <f t="shared" si="71"/>
        <v>1</v>
      </c>
      <c r="T111" s="243" t="str">
        <f t="shared" si="57"/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58"/>
        <v>https://d0f6bd738d7f1b3e5a7ca70fe4ff75f0.us-east-1.aws.found.io/app/kibana#/discover/Steve-Slow-Train-Analysis-(2080s-and-2083s)?_g=(refreshInterval:(display:Off,pause:!f,section:0,value:0),time:(from:'2017-11-22T14:55:48-0700',mode:absolute,to:'2017-11-22T17:37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1" s="248" t="str">
        <f>IF(AA111&lt;VLOOKUP(AG111,Variables!$AC$3:$AD$8,2,FALSE),"Y","N")</f>
        <v>N</v>
      </c>
      <c r="X111" s="248">
        <f t="shared" si="70"/>
        <v>1</v>
      </c>
      <c r="Y111" s="248">
        <f t="shared" si="72"/>
        <v>5.28E-2</v>
      </c>
      <c r="Z111" s="248">
        <f t="shared" si="73"/>
        <v>23.328499999999998</v>
      </c>
      <c r="AA111" s="248">
        <f t="shared" si="59"/>
        <v>23.275699999999997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60"/>
        <v>199</v>
      </c>
      <c r="AE111" s="236" t="str">
        <f t="shared" si="6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111" s="235" t="str">
        <f t="shared" si="62"/>
        <v>"C:\Program Files (x86)\AstroGrep\AstroGrep.exe" /e /r /s /spath="%USERPROFILE%\AppData\Local\Temp\OnboardLogs" /stypes="app*4002*20171122*" /stext=" 23:.+((SYSTEM_STATE.+slice.+state.+changed )|(ment ac)|(multiple cpu faults)|(system.+state.+changed )|(\[timeout)|(PRM\|1\|D)|(kpr)|(kdp)|(train st.+moving)|(\|lc)|(penalty))"</v>
      </c>
      <c r="AG111" s="245" t="str">
        <f t="shared" si="63"/>
        <v>EC</v>
      </c>
      <c r="AH111" s="237" t="str">
        <f t="shared" si="64"/>
        <v>"%USERPROFILE%\Documents\GitHub\eaglep3\Utilities\RefineRTDCRunTimes.py" --tripid 199-22 --locoid 4002 --swversion DE.1.0.9.0 --startMP 204:528 --initTime 2017-11-22T15:55:48 --startdatetime 2017-11-22T16:00:35 --delay 58 --endMP 204:233285 --enddatetime 2017-11-22T16:37:04 --enforcementcount 0 &gt;&gt;%USERPROFILE%\Documents\GitHub\eaglep3-reporting\EC\2017-11-22-refined-times.txt</v>
      </c>
      <c r="AI11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{"issue":{"subject":"","project_id":79,"tracker_id":40,"status_id":1,"priority_id":2,"assigned_to_id":338,"start_date":"2017-11-22","description":"","custom_fields":[{"id":1,"name":"Subdivision","value":"EC"},{"id":4,"name":"Milepost","value":"23.3285"},{"id":17,"name":"Train ID","value":"199-22"},{"id":16,"name":"Locomotive ID","value":"4002"},{"id":130,"name":"Impact","value":""},{"id":150,"name":"Time of Event (Mountain Time)","value":"16:37:04"},{"id":151,"name":"Denver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66"/>
        <v>start /low /b %USERPROFILE%\Documents\GitHub\eaglep3\Utilities\DownloadLogsFromS3.py --loco 4002 --day 2017-11-22</v>
      </c>
      <c r="AN111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68"/>
        <v>https://d0f6bd738d7f1b3e5a7ca70fe4ff75f0.us-east-1.aws.found.io/app/kibana#/discover/Steve-Slow-Train-Analysis-(2080s-and-2083s)?_g=(refreshInterval:(display:Off,pause:!f,section:0,value:0),time:(from:'2017-11-22T14:55:48-0700',mode:absolute,to:'2017-11-22T17:37:04-0700'))&amp;_a=(columns:!('Message%20ID',Summary),filters:!(),index:'emp_*',interval:auto,query:(query_string:(analyze_wildcard:!t,query:'%22rtdc.l.rtdc.4002%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30" t="s">
        <v>824</v>
      </c>
      <c r="B112" s="226">
        <v>4001</v>
      </c>
      <c r="C112" s="228" t="s">
        <v>192</v>
      </c>
      <c r="D112" s="228" t="s">
        <v>965</v>
      </c>
      <c r="E112" s="227">
        <v>43061.704270833332</v>
      </c>
      <c r="F112" s="227">
        <v>43061.706631944442</v>
      </c>
      <c r="G112" s="226">
        <v>87</v>
      </c>
      <c r="H112" s="228" t="s">
        <v>445</v>
      </c>
      <c r="I112" s="227">
        <v>43061.733946759261</v>
      </c>
      <c r="J112" s="226">
        <v>0</v>
      </c>
      <c r="K112" s="238" t="str">
        <f t="shared" si="55"/>
        <v>4001/4002</v>
      </c>
      <c r="L112" s="246" t="str">
        <f>VLOOKUP(A112,'Trips&amp;Operators'!$C$1:$G$99911,5,FALSE)</f>
        <v>DAVIS MICHAEL</v>
      </c>
      <c r="M112" s="225">
        <f t="shared" si="56"/>
        <v>2.7314814818964805E-2</v>
      </c>
      <c r="N112" s="226">
        <f t="shared" si="69"/>
        <v>39.33333333930932</v>
      </c>
      <c r="O112" s="226"/>
      <c r="P112" s="226"/>
      <c r="Q112" s="229"/>
      <c r="R112" s="243"/>
      <c r="S112" s="250">
        <f t="shared" si="71"/>
        <v>1</v>
      </c>
      <c r="T112" s="243" t="str">
        <f t="shared" si="57"/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58"/>
        <v>https://d0f6bd738d7f1b3e5a7ca70fe4ff75f0.us-east-1.aws.found.io/app/kibana#/discover/Steve-Slow-Train-Analysis-(2080s-and-2083s)?_g=(refreshInterval:(display:Off,pause:!f,section:0,value:0),time:(from:'2017-11-22T15:54:09-0700',mode:absolute,to:'2017-11-22T18:36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2" s="248" t="str">
        <f>IF(AA112&lt;VLOOKUP(AG112,Variables!$AC$3:$AD$8,2,FALSE),"Y","N")</f>
        <v>N</v>
      </c>
      <c r="X112" s="248">
        <f t="shared" si="70"/>
        <v>1</v>
      </c>
      <c r="Y112" s="248">
        <f t="shared" si="72"/>
        <v>23.298500000000001</v>
      </c>
      <c r="Z112" s="248">
        <f t="shared" si="73"/>
        <v>2.07E-2</v>
      </c>
      <c r="AA112" s="248">
        <f t="shared" si="59"/>
        <v>23.277799999999999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60"/>
        <v>200</v>
      </c>
      <c r="AE112" s="236" t="str">
        <f t="shared" si="6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112" s="235" t="str">
        <f t="shared" si="62"/>
        <v>"C:\Program Files (x86)\AstroGrep\AstroGrep.exe" /e /r /s /spath="%USERPROFILE%\AppData\Local\Temp\OnboardLogs" /stypes="app*4001*20171123*" /stext=" 00:.+((SYSTEM_STATE.+slice.+state.+changed )|(ment ac)|(multiple cpu faults)|(system.+state.+changed )|(\[timeout)|(PRM\|1\|D)|(kpr)|(kdp)|(train st.+moving)|(\|lc)|(penalty))"</v>
      </c>
      <c r="AG112" s="245" t="str">
        <f t="shared" si="63"/>
        <v>EC</v>
      </c>
      <c r="AH112" s="237" t="str">
        <f t="shared" si="64"/>
        <v>"%USERPROFILE%\Documents\GitHub\eaglep3\Utilities\RefineRTDCRunTimes.py" --tripid 200-22 --locoid 4001 --swversion DE.1.0.9.0 --startMP 204:232985 --initTime 2017-11-22T16:54:09 --startdatetime 2017-11-22T16:57:33 --delay 87 --endMP 204:207 --enddatetime 2017-11-22T17:36:53 --enforcementcount 0 &gt;&gt;%USERPROFILE%\Documents\GitHub\eaglep3-reporting\EC\2017-11-22-refined-times.txt</v>
      </c>
      <c r="AI11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{"issue":{"subject":"","project_id":79,"tracker_id":40,"status_id":1,"priority_id":2,"assigned_to_id":338,"start_date":"2017-11-22","description":"","custom_fields":[{"id":1,"name":"Subdivision","value":"EC"},{"id":4,"name":"Milepost","value":"0.0207"},{"id":17,"name":"Train ID","value":"200-22"},{"id":16,"name":"Locomotive ID","value":"4001"},{"id":130,"name":"Impact","value":""},{"id":150,"name":"Time of Event (Mountain Time)","value":"17:36:53"},{"id":151,"name":"Denver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66"/>
        <v>start /low /b %USERPROFILE%\Documents\GitHub\eaglep3\Utilities\DownloadLogsFromS3.py --loco 4001 --day 2017-11-22</v>
      </c>
      <c r="AN112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68"/>
        <v>https://d0f6bd738d7f1b3e5a7ca70fe4ff75f0.us-east-1.aws.found.io/app/kibana#/discover/Steve-Slow-Train-Analysis-(2080s-and-2083s)?_g=(refreshInterval:(display:Off,pause:!f,section:0,value:0),time:(from:'2017-11-22T15:54:09-0700',mode:absolute,to:'2017-11-22T18:36:53-0700'))&amp;_a=(columns:!('Message%20ID',Summary),filters:!(),index:'emp_*',interval:auto,query:(query_string:(analyze_wildcard:!t,query:'%22rtdc.l.rtdc.4001%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30" t="s">
        <v>660</v>
      </c>
      <c r="B113" s="226">
        <v>4040</v>
      </c>
      <c r="C113" s="228" t="s">
        <v>192</v>
      </c>
      <c r="D113" s="228" t="s">
        <v>966</v>
      </c>
      <c r="E113" s="227">
        <v>43061.673587962963</v>
      </c>
      <c r="F113" s="227">
        <v>43061.677256944444</v>
      </c>
      <c r="G113" s="226">
        <v>55</v>
      </c>
      <c r="H113" s="228" t="s">
        <v>618</v>
      </c>
      <c r="I113" s="227">
        <v>43061.702268518522</v>
      </c>
      <c r="J113" s="226">
        <v>0</v>
      </c>
      <c r="K113" s="238" t="str">
        <f t="shared" si="55"/>
        <v>4039/4040</v>
      </c>
      <c r="L113" s="246" t="str">
        <f>VLOOKUP(A113,'Trips&amp;Operators'!$C$1:$G$99911,5,FALSE)</f>
        <v>AUSTIN THOMPSON</v>
      </c>
      <c r="M113" s="225">
        <f t="shared" si="56"/>
        <v>2.5011574078234844E-2</v>
      </c>
      <c r="N113" s="226">
        <f t="shared" ref="N113:N133" si="74">24*60*SUM($M113:$M113)</f>
        <v>36.016666672658175</v>
      </c>
      <c r="O113" s="226"/>
      <c r="P113" s="226"/>
      <c r="Q113" s="229"/>
      <c r="R113" s="243"/>
      <c r="S113" s="250">
        <f t="shared" si="71"/>
        <v>1</v>
      </c>
      <c r="T113" s="243" t="str">
        <f t="shared" si="57"/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58"/>
        <v>https://d0f6bd738d7f1b3e5a7ca70fe4ff75f0.us-east-1.aws.found.io/app/kibana#/discover/Steve-Slow-Train-Analysis-(2080s-and-2083s)?_g=(refreshInterval:(display:Off,pause:!f,section:0,value:0),time:(from:'2017-11-22T15:09:58-0700',mode:absolute,to:'2017-11-22T17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3" s="248" t="str">
        <f>IF(AA113&lt;VLOOKUP(AG113,Variables!$AC$3:$AD$8,2,FALSE),"Y","N")</f>
        <v>N</v>
      </c>
      <c r="X113" s="248">
        <f t="shared" si="70"/>
        <v>1</v>
      </c>
      <c r="Y113" s="248">
        <f t="shared" si="72"/>
        <v>5.5500000000000001E-2</v>
      </c>
      <c r="Z113" s="248">
        <f t="shared" si="73"/>
        <v>23.327999999999999</v>
      </c>
      <c r="AA113" s="248">
        <f t="shared" si="59"/>
        <v>23.272500000000001</v>
      </c>
      <c r="AB113" s="234" t="str">
        <f>VLOOKUP(A113,Enforcements!$C$7:$K$9,8,0)</f>
        <v>Bulletin (2)</v>
      </c>
      <c r="AC113" s="233" t="str">
        <f>VLOOKUP(A113,Enforcements!$C$7:$E$9,3,0)</f>
        <v>GRADE CROSSING</v>
      </c>
      <c r="AD113" s="244">
        <f t="shared" si="60"/>
        <v>201</v>
      </c>
      <c r="AE113" s="236" t="str">
        <f t="shared" si="6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113" s="235" t="str">
        <f t="shared" si="62"/>
        <v>"C:\Program Files (x86)\AstroGrep\AstroGrep.exe" /e /r /s /spath="%USERPROFILE%\AppData\Local\Temp\OnboardLogs" /stypes="app*4040*20171122*" /stext=" 23:.+((SYSTEM_STATE.+slice.+state.+changed )|(ment ac)|(multiple cpu faults)|(system.+state.+changed )|(\[timeout)|(PRM\|1\|D)|(kpr)|(kdp)|(train st.+moving)|(\|lc)|(penalty))"</v>
      </c>
      <c r="AG113" s="245" t="str">
        <f t="shared" si="63"/>
        <v>EC</v>
      </c>
      <c r="AH113" s="237" t="str">
        <f t="shared" si="64"/>
        <v>"%USERPROFILE%\Documents\GitHub\eaglep3\Utilities\RefineRTDCRunTimes.py" --tripid 201-22 --locoid 4040 --swversion DE.1.0.9.0 --startMP 204:555 --initTime 2017-11-22T16:09:58 --startdatetime 2017-11-22T16:15:15 --delay 55 --endMP 204:233280 --enddatetime 2017-11-22T16:51:16 --enforcementcount 0 &gt;&gt;%USERPROFILE%\Documents\GitHub\eaglep3-reporting\EC\2017-11-22-refined-times.txt</v>
      </c>
      <c r="AI11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{"issue":{"subject":"","project_id":79,"tracker_id":40,"status_id":1,"priority_id":2,"assigned_to_id":338,"start_date":"2017-11-22","description":"","custom_fields":[{"id":1,"name":"Subdivision","value":"EC"},{"id":4,"name":"Milepost","value":"23.328"},{"id":17,"name":"Train ID","value":"201-22"},{"id":16,"name":"Locomotive ID","value":"4040"},{"id":130,"name":"Impact","value":""},{"id":150,"name":"Time of Event (Mountain Time)","value":"16:51:16"},{"id":151,"name":"Denver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66"/>
        <v>start /low /b %USERPROFILE%\Documents\GitHub\eaglep3\Utilities\DownloadLogsFromS3.py --loco 4040 --day 2017-11-22</v>
      </c>
      <c r="AN113" s="242" t="str">
        <f t="shared" si="67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68"/>
        <v>https://d0f6bd738d7f1b3e5a7ca70fe4ff75f0.us-east-1.aws.found.io/app/kibana#/discover/Steve-Slow-Train-Analysis-(2080s-and-2083s)?_g=(refreshInterval:(display:Off,pause:!f,section:0,value:0),time:(from:'2017-11-22T15:09:58-0700',mode:absolute,to:'2017-11-22T17:51:16-0700'))&amp;_a=(columns:!('Message%20ID',Summary),filters:!(),index:'emp_*',interval:auto,query:(query_string:(analyze_wildcard:!t,query:'%22rtdc.l.rtdc.4040%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30" t="s">
        <v>828</v>
      </c>
      <c r="B114" s="226">
        <v>4039</v>
      </c>
      <c r="C114" s="228" t="s">
        <v>192</v>
      </c>
      <c r="D114" s="228" t="s">
        <v>530</v>
      </c>
      <c r="E114" s="227">
        <v>43061.714363425926</v>
      </c>
      <c r="F114" s="227">
        <v>43061.716921296298</v>
      </c>
      <c r="G114" s="226">
        <v>66</v>
      </c>
      <c r="H114" s="228" t="s">
        <v>967</v>
      </c>
      <c r="I114" s="227">
        <v>43061.742488425924</v>
      </c>
      <c r="J114" s="226">
        <v>0</v>
      </c>
      <c r="K114" s="238" t="str">
        <f t="shared" si="55"/>
        <v>4039/4040</v>
      </c>
      <c r="L114" s="246" t="str">
        <f>VLOOKUP(A114,'Trips&amp;Operators'!$C$1:$G$99911,5,FALSE)</f>
        <v>AUSTIN THOMPSON</v>
      </c>
      <c r="M114" s="225">
        <f t="shared" si="56"/>
        <v>2.5567129625414964E-2</v>
      </c>
      <c r="N114" s="226">
        <f t="shared" si="74"/>
        <v>36.816666660597548</v>
      </c>
      <c r="O114" s="226"/>
      <c r="P114" s="226"/>
      <c r="Q114" s="229"/>
      <c r="R114" s="243"/>
      <c r="S114" s="250">
        <f t="shared" si="71"/>
        <v>1</v>
      </c>
      <c r="T114" s="243" t="str">
        <f t="shared" si="57"/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58"/>
        <v>https://d0f6bd738d7f1b3e5a7ca70fe4ff75f0.us-east-1.aws.found.io/app/kibana#/discover/Steve-Slow-Train-Analysis-(2080s-and-2083s)?_g=(refreshInterval:(display:Off,pause:!f,section:0,value:0),time:(from:'2017-11-22T16:08:41-0700',mode:absolute,to:'2017-11-22T18:49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4" s="248" t="str">
        <f>IF(AA114&lt;VLOOKUP(AG114,Variables!$AC$3:$AD$8,2,FALSE),"Y","N")</f>
        <v>N</v>
      </c>
      <c r="X114" s="248">
        <f t="shared" ref="X114:X145" si="75">VALUE(LEFT(AD114,4))-VALUE(LEFT(AD113,4))</f>
        <v>1</v>
      </c>
      <c r="Y114" s="248">
        <f t="shared" si="72"/>
        <v>23.296099999999999</v>
      </c>
      <c r="Z114" s="248">
        <f t="shared" si="73"/>
        <v>2.47E-2</v>
      </c>
      <c r="AA114" s="248">
        <f t="shared" si="59"/>
        <v>23.2714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60"/>
        <v>202</v>
      </c>
      <c r="AE114" s="236" t="str">
        <f t="shared" si="6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114" s="235" t="str">
        <f t="shared" si="62"/>
        <v>"C:\Program Files (x86)\AstroGrep\AstroGrep.exe" /e /r /s /spath="%USERPROFILE%\AppData\Local\Temp\OnboardLogs" /stypes="app*4039*20171123*" /stext=" 00:.+((SYSTEM_STATE.+slice.+state.+changed )|(ment ac)|(multiple cpu faults)|(system.+state.+changed )|(\[timeout)|(PRM\|1\|D)|(kpr)|(kdp)|(train st.+moving)|(\|lc)|(penalty))"</v>
      </c>
      <c r="AG114" s="245" t="str">
        <f t="shared" si="63"/>
        <v>EC</v>
      </c>
      <c r="AH114" s="237" t="str">
        <f t="shared" si="64"/>
        <v>"%USERPROFILE%\Documents\GitHub\eaglep3\Utilities\RefineRTDCRunTimes.py" --tripid 202-22 --locoid 4039 --swversion DE.1.0.9.0 --startMP 204:232961 --initTime 2017-11-22T17:08:41 --startdatetime 2017-11-22T17:12:22 --delay 66 --endMP 204:247 --enddatetime 2017-11-22T17:49:11 --enforcementcount 0 &gt;&gt;%USERPROFILE%\Documents\GitHub\eaglep3-reporting\EC\2017-11-22-refined-times.txt</v>
      </c>
      <c r="AI114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{"issue":{"subject":"","project_id":79,"tracker_id":40,"status_id":1,"priority_id":2,"assigned_to_id":338,"start_date":"2017-11-22","description":"","custom_fields":[{"id":1,"name":"Subdivision","value":"EC"},{"id":4,"name":"Milepost","value":"0.0247"},{"id":17,"name":"Train ID","value":"202-22"},{"id":16,"name":"Locomotive ID","value":"4039"},{"id":130,"name":"Impact","value":""},{"id":150,"name":"Time of Event (Mountain Time)","value":"17:49:11"},{"id":151,"name":"Denver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66"/>
        <v>start /low /b %USERPROFILE%\Documents\GitHub\eaglep3\Utilities\DownloadLogsFromS3.py --loco 4039 --day 2017-11-22</v>
      </c>
      <c r="AN114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00:49:11"},{"id":29,"name":"Sharepoint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68"/>
        <v>https://d0f6bd738d7f1b3e5a7ca70fe4ff75f0.us-east-1.aws.found.io/app/kibana#/discover/Steve-Slow-Train-Analysis-(2080s-and-2083s)?_g=(refreshInterval:(display:Off,pause:!f,section:0,value:0),time:(from:'2017-11-22T16:08:41-0700',mode:absolute,to:'2017-11-22T18:49:11-0700'))&amp;_a=(columns:!('Message%20ID',Summary),filters:!(),index:'emp_*',interval:auto,query:(query_string:(analyze_wildcard:!t,query:'%22rtdc.l.rtdc.4039%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30" t="s">
        <v>818</v>
      </c>
      <c r="B115" s="226">
        <v>4016</v>
      </c>
      <c r="C115" s="228" t="s">
        <v>192</v>
      </c>
      <c r="D115" s="228" t="s">
        <v>487</v>
      </c>
      <c r="E115" s="227">
        <v>43061.684421296297</v>
      </c>
      <c r="F115" s="227">
        <v>43061.687731481485</v>
      </c>
      <c r="G115" s="226">
        <v>66</v>
      </c>
      <c r="H115" s="228" t="s">
        <v>968</v>
      </c>
      <c r="I115" s="227">
        <v>43061.713043981479</v>
      </c>
      <c r="J115" s="226">
        <v>0</v>
      </c>
      <c r="K115" s="238" t="str">
        <f t="shared" si="55"/>
        <v>4015/4016</v>
      </c>
      <c r="L115" s="246" t="str">
        <f>VLOOKUP(A115,'Trips&amp;Operators'!$C$1:$G$99911,5,FALSE)</f>
        <v>BRUDER RICHARD</v>
      </c>
      <c r="M115" s="225">
        <f t="shared" si="56"/>
        <v>2.5312499994470272E-2</v>
      </c>
      <c r="N115" s="226">
        <f t="shared" si="74"/>
        <v>36.449999992037192</v>
      </c>
      <c r="O115" s="226"/>
      <c r="P115" s="226"/>
      <c r="Q115" s="229"/>
      <c r="R115" s="243"/>
      <c r="S115" s="250">
        <f t="shared" si="71"/>
        <v>1</v>
      </c>
      <c r="T115" s="243" t="str">
        <f t="shared" si="57"/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58"/>
        <v>https://d0f6bd738d7f1b3e5a7ca70fe4ff75f0.us-east-1.aws.found.io/app/kibana#/discover/Steve-Slow-Train-Analysis-(2080s-and-2083s)?_g=(refreshInterval:(display:Off,pause:!f,section:0,value:0),time:(from:'2017-11-22T15:25:34-0700',mode:absolute,to:'2017-11-22T18:06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5" s="248" t="str">
        <f>IF(AA115&lt;VLOOKUP(AG115,Variables!$AC$3:$AD$8,2,FALSE),"Y","N")</f>
        <v>N</v>
      </c>
      <c r="X115" s="248">
        <f t="shared" si="75"/>
        <v>1</v>
      </c>
      <c r="Y115" s="248">
        <f t="shared" si="72"/>
        <v>4.9700000000000001E-2</v>
      </c>
      <c r="Z115" s="248">
        <f t="shared" si="73"/>
        <v>23.322700000000001</v>
      </c>
      <c r="AA115" s="248">
        <f t="shared" si="59"/>
        <v>23.273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60"/>
        <v>203</v>
      </c>
      <c r="AE115" s="236" t="str">
        <f t="shared" si="6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115" s="235" t="str">
        <f t="shared" si="62"/>
        <v>"C:\Program Files (x86)\AstroGrep\AstroGrep.exe" /e /r /s /spath="%USERPROFILE%\AppData\Local\Temp\OnboardLogs" /stypes="app*4016*20171123*" /stext=" 00:.+((SYSTEM_STATE.+slice.+state.+changed )|(ment ac)|(multiple cpu faults)|(system.+state.+changed )|(\[timeout)|(PRM\|1\|D)|(kpr)|(kdp)|(train st.+moving)|(\|lc)|(penalty))"</v>
      </c>
      <c r="AG115" s="245" t="str">
        <f t="shared" si="63"/>
        <v>EC</v>
      </c>
      <c r="AH115" s="237" t="str">
        <f t="shared" si="64"/>
        <v>"%USERPROFILE%\Documents\GitHub\eaglep3\Utilities\RefineRTDCRunTimes.py" --tripid 203-22 --locoid 4016 --swversion DE.1.0.9.0 --startMP 204:497 --initTime 2017-11-22T16:25:34 --startdatetime 2017-11-22T16:30:20 --delay 66 --endMP 204:233227 --enddatetime 2017-11-22T17:06:47 --enforcementcount 0 &gt;&gt;%USERPROFILE%\Documents\GitHub\eaglep3-reporting\EC\2017-11-22-refined-times.txt</v>
      </c>
      <c r="AI115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{"issue":{"subject":"","project_id":79,"tracker_id":40,"status_id":1,"priority_id":2,"assigned_to_id":338,"start_date":"2017-11-22","description":"","custom_fields":[{"id":1,"name":"Subdivision","value":"EC"},{"id":4,"name":"Milepost","value":"23.3227"},{"id":17,"name":"Train ID","value":"203-22"},{"id":16,"name":"Locomotive ID","value":"4016"},{"id":130,"name":"Impact","value":""},{"id":150,"name":"Time of Event (Mountain Time)","value":"17:06:47"},{"id":151,"name":"Denver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66"/>
        <v>start /low /b %USERPROFILE%\Documents\GitHub\eaglep3\Utilities\DownloadLogsFromS3.py --loco 4016 --day 2017-11-22</v>
      </c>
      <c r="AN115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68"/>
        <v>https://d0f6bd738d7f1b3e5a7ca70fe4ff75f0.us-east-1.aws.found.io/app/kibana#/discover/Steve-Slow-Train-Analysis-(2080s-and-2083s)?_g=(refreshInterval:(display:Off,pause:!f,section:0,value:0),time:(from:'2017-11-22T15:25:34-0700',mode:absolute,to:'2017-11-22T18:06:47-0700'))&amp;_a=(columns:!('Message%20ID',Summary),filters:!(),index:'emp_*',interval:auto,query:(query_string:(analyze_wildcard:!t,query:'%22rtdc.l.rtdc.4016%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30" t="s">
        <v>830</v>
      </c>
      <c r="B116" s="226">
        <v>4015</v>
      </c>
      <c r="C116" s="228" t="s">
        <v>192</v>
      </c>
      <c r="D116" s="228" t="s">
        <v>935</v>
      </c>
      <c r="E116" s="227">
        <v>43061.72388888889</v>
      </c>
      <c r="F116" s="227">
        <v>43061.727256944447</v>
      </c>
      <c r="G116" s="226">
        <v>57</v>
      </c>
      <c r="H116" s="228" t="s">
        <v>604</v>
      </c>
      <c r="I116" s="227">
        <v>43061.753495370373</v>
      </c>
      <c r="J116" s="226">
        <v>0</v>
      </c>
      <c r="K116" s="238" t="str">
        <f t="shared" si="55"/>
        <v>4015/4016</v>
      </c>
      <c r="L116" s="246" t="str">
        <f>VLOOKUP(A116,'Trips&amp;Operators'!$C$1:$G$99911,5,FALSE)</f>
        <v>BRUDER RICHARD</v>
      </c>
      <c r="M116" s="225">
        <f t="shared" si="56"/>
        <v>2.6238425925839692E-2</v>
      </c>
      <c r="N116" s="226">
        <f t="shared" si="74"/>
        <v>37.783333333209157</v>
      </c>
      <c r="O116" s="226"/>
      <c r="P116" s="226"/>
      <c r="Q116" s="229"/>
      <c r="R116" s="243"/>
      <c r="S116" s="250">
        <f t="shared" si="71"/>
        <v>1</v>
      </c>
      <c r="T116" s="243" t="str">
        <f t="shared" si="57"/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58"/>
        <v>https://d0f6bd738d7f1b3e5a7ca70fe4ff75f0.us-east-1.aws.found.io/app/kibana#/discover/Steve-Slow-Train-Analysis-(2080s-and-2083s)?_g=(refreshInterval:(display:Off,pause:!f,section:0,value:0),time:(from:'2017-11-22T16:22:24-0700',mode:absolute,to:'2017-11-22T19:05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6" s="248" t="str">
        <f>IF(AA116&lt;VLOOKUP(AG116,Variables!$AC$3:$AD$8,2,FALSE),"Y","N")</f>
        <v>N</v>
      </c>
      <c r="X116" s="248">
        <f t="shared" si="75"/>
        <v>1</v>
      </c>
      <c r="Y116" s="248">
        <f t="shared" si="72"/>
        <v>23.289400000000001</v>
      </c>
      <c r="Z116" s="248">
        <f t="shared" si="73"/>
        <v>2.2499999999999999E-2</v>
      </c>
      <c r="AA116" s="248">
        <f t="shared" si="59"/>
        <v>23.2669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60"/>
        <v>204</v>
      </c>
      <c r="AE116" s="236" t="str">
        <f t="shared" si="6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116" s="235" t="str">
        <f t="shared" si="62"/>
        <v>"C:\Program Files (x86)\AstroGrep\AstroGrep.exe" /e /r /s /spath="%USERPROFILE%\AppData\Local\Temp\OnboardLogs" /stypes="app*4015*20171123*" /stext=" 01:.+((SYSTEM_STATE.+slice.+state.+changed )|(ment ac)|(multiple cpu faults)|(system.+state.+changed )|(\[timeout)|(PRM\|1\|D)|(kpr)|(kdp)|(train st.+moving)|(\|lc)|(penalty))"</v>
      </c>
      <c r="AG116" s="245" t="str">
        <f t="shared" si="63"/>
        <v>EC</v>
      </c>
      <c r="AH116" s="237" t="str">
        <f t="shared" si="64"/>
        <v>"%USERPROFILE%\Documents\GitHub\eaglep3\Utilities\RefineRTDCRunTimes.py" --tripid 204-22 --locoid 4015 --swversion DE.1.0.9.0 --startMP 204:232894 --initTime 2017-11-22T17:22:24 --startdatetime 2017-11-22T17:27:15 --delay 57 --endMP 204:225 --enddatetime 2017-11-22T18:05:02 --enforcementcount 0 &gt;&gt;%USERPROFILE%\Documents\GitHub\eaglep3-reporting\EC\2017-11-22-refined-times.txt</v>
      </c>
      <c r="AI116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{"issue":{"subject":"","project_id":79,"tracker_id":40,"status_id":1,"priority_id":2,"assigned_to_id":338,"start_date":"2017-11-22","description":"","custom_fields":[{"id":1,"name":"Subdivision","value":"EC"},{"id":4,"name":"Milepost","value":"0.0225"},{"id":17,"name":"Train ID","value":"204-22"},{"id":16,"name":"Locomotive ID","value":"4015"},{"id":130,"name":"Impact","value":""},{"id":150,"name":"Time of Event (Mountain Time)","value":"18:05:02"},{"id":151,"name":"Denver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66"/>
        <v>start /low /b %USERPROFILE%\Documents\GitHub\eaglep3\Utilities\DownloadLogsFromS3.py --loco 4015 --day 2017-11-22</v>
      </c>
      <c r="AN116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68"/>
        <v>https://d0f6bd738d7f1b3e5a7ca70fe4ff75f0.us-east-1.aws.found.io/app/kibana#/discover/Steve-Slow-Train-Analysis-(2080s-and-2083s)?_g=(refreshInterval:(display:Off,pause:!f,section:0,value:0),time:(from:'2017-11-22T16:22:24-0700',mode:absolute,to:'2017-11-22T19:05:02-0700'))&amp;_a=(columns:!('Message%20ID',Summary),filters:!(),index:'emp_*',interval:auto,query:(query_string:(analyze_wildcard:!t,query:'%22rtdc.l.rtdc.4015%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30" t="s">
        <v>822</v>
      </c>
      <c r="B117" s="226">
        <v>4006</v>
      </c>
      <c r="C117" s="228" t="s">
        <v>192</v>
      </c>
      <c r="D117" s="228" t="s">
        <v>533</v>
      </c>
      <c r="E117" s="227">
        <v>43061.694444444445</v>
      </c>
      <c r="F117" s="227">
        <v>43061.698217592595</v>
      </c>
      <c r="G117" s="226">
        <v>55</v>
      </c>
      <c r="H117" s="228" t="s">
        <v>517</v>
      </c>
      <c r="I117" s="227">
        <v>43061.723923611113</v>
      </c>
      <c r="J117" s="226">
        <v>0</v>
      </c>
      <c r="K117" s="238" t="str">
        <f t="shared" si="55"/>
        <v>4005/4006</v>
      </c>
      <c r="L117" s="246" t="str">
        <f>VLOOKUP(A117,'Trips&amp;Operators'!$C$1:$G$99911,5,FALSE)</f>
        <v>STEWART MICHAEL</v>
      </c>
      <c r="M117" s="225">
        <f t="shared" si="56"/>
        <v>2.5706018517666962E-2</v>
      </c>
      <c r="N117" s="226">
        <f t="shared" si="74"/>
        <v>37.016666665440425</v>
      </c>
      <c r="O117" s="226"/>
      <c r="P117" s="226"/>
      <c r="Q117" s="229"/>
      <c r="R117" s="243"/>
      <c r="S117" s="250">
        <f t="shared" si="71"/>
        <v>1</v>
      </c>
      <c r="T117" s="243" t="str">
        <f t="shared" si="57"/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58"/>
        <v>https://d0f6bd738d7f1b3e5a7ca70fe4ff75f0.us-east-1.aws.found.io/app/kibana#/discover/Steve-Slow-Train-Analysis-(2080s-and-2083s)?_g=(refreshInterval:(display:Off,pause:!f,section:0,value:0),time:(from:'2017-11-22T15:40:00-0700',mode:absolute,to:'2017-11-22T18:22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7" s="248" t="str">
        <f>IF(AA117&lt;VLOOKUP(AG117,Variables!$AC$3:$AD$8,2,FALSE),"Y","N")</f>
        <v>N</v>
      </c>
      <c r="X117" s="248">
        <f t="shared" si="75"/>
        <v>1</v>
      </c>
      <c r="Y117" s="248">
        <f t="shared" si="72"/>
        <v>5.04E-2</v>
      </c>
      <c r="Z117" s="248">
        <f t="shared" si="73"/>
        <v>23.320699999999999</v>
      </c>
      <c r="AA117" s="248">
        <f t="shared" si="59"/>
        <v>23.270299999999999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60"/>
        <v>205</v>
      </c>
      <c r="AE117" s="236" t="str">
        <f t="shared" si="6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117" s="235" t="str">
        <f t="shared" si="62"/>
        <v>"C:\Program Files (x86)\AstroGrep\AstroGrep.exe" /e /r /s /spath="%USERPROFILE%\AppData\Local\Temp\OnboardLogs" /stypes="app*4006*20171123*" /stext=" 00:.+((SYSTEM_STATE.+slice.+state.+changed )|(ment ac)|(multiple cpu faults)|(system.+state.+changed )|(\[timeout)|(PRM\|1\|D)|(kpr)|(kdp)|(train st.+moving)|(\|lc)|(penalty))"</v>
      </c>
      <c r="AG117" s="245" t="str">
        <f t="shared" si="63"/>
        <v>EC</v>
      </c>
      <c r="AH117" s="237" t="str">
        <f t="shared" si="64"/>
        <v>"%USERPROFILE%\Documents\GitHub\eaglep3\Utilities\RefineRTDCRunTimes.py" --tripid 205-22 --locoid 4006 --swversion DE.1.0.9.0 --startMP 204:504 --initTime 2017-11-22T16:40:00 --startdatetime 2017-11-22T16:45:26 --delay 55 --endMP 204:233207 --enddatetime 2017-11-22T17:22:27 --enforcementcount 0 &gt;&gt;%USERPROFILE%\Documents\GitHub\eaglep3-reporting\EC\2017-11-22-refined-times.txt</v>
      </c>
      <c r="AI117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{"issue":{"subject":"","project_id":79,"tracker_id":40,"status_id":1,"priority_id":2,"assigned_to_id":338,"start_date":"2017-11-22","description":"","custom_fields":[{"id":1,"name":"Subdivision","value":"EC"},{"id":4,"name":"Milepost","value":"23.3207"},{"id":17,"name":"Train ID","value":"205-22"},{"id":16,"name":"Locomotive ID","value":"4006"},{"id":130,"name":"Impact","value":""},{"id":150,"name":"Time of Event (Mountain Time)","value":"17:22:27"},{"id":151,"name":"Denver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4"/>
      <c r="AK117" s="232"/>
      <c r="AL117" s="232"/>
      <c r="AM117" s="241" t="str">
        <f t="shared" si="66"/>
        <v>start /low /b %USERPROFILE%\Documents\GitHub\eaglep3\Utilities\DownloadLogsFromS3.py --loco 4006 --day 2017-11-22</v>
      </c>
      <c r="AN117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68"/>
        <v>https://d0f6bd738d7f1b3e5a7ca70fe4ff75f0.us-east-1.aws.found.io/app/kibana#/discover/Steve-Slow-Train-Analysis-(2080s-and-2083s)?_g=(refreshInterval:(display:Off,pause:!f,section:0,value:0),time:(from:'2017-11-22T15:40:00-0700',mode:absolute,to:'2017-11-22T18:22:27-0700'))&amp;_a=(columns:!('Message%20ID',Summary),filters:!(),index:'emp_*',interval:auto,query:(query_string:(analyze_wildcard:!t,query:'%22rtdc.l.rtdc.4006%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30" t="s">
        <v>836</v>
      </c>
      <c r="B118" s="226">
        <v>4005</v>
      </c>
      <c r="C118" s="228" t="s">
        <v>192</v>
      </c>
      <c r="D118" s="228" t="s">
        <v>969</v>
      </c>
      <c r="E118" s="227">
        <v>43061.735196759262</v>
      </c>
      <c r="F118" s="227">
        <v>43061.737696759257</v>
      </c>
      <c r="G118" s="226">
        <v>49</v>
      </c>
      <c r="H118" s="228" t="s">
        <v>607</v>
      </c>
      <c r="I118" s="227">
        <v>43061.764594907407</v>
      </c>
      <c r="J118" s="226">
        <v>0</v>
      </c>
      <c r="K118" s="238" t="str">
        <f t="shared" si="55"/>
        <v>4005/4006</v>
      </c>
      <c r="L118" s="246" t="str">
        <f>VLOOKUP(A118,'Trips&amp;Operators'!$C$1:$G$99911,5,FALSE)</f>
        <v>STEWART MICHAEL</v>
      </c>
      <c r="M118" s="225">
        <f t="shared" si="56"/>
        <v>2.6898148149484769E-2</v>
      </c>
      <c r="N118" s="226">
        <f t="shared" si="74"/>
        <v>38.733333335258067</v>
      </c>
      <c r="O118" s="226"/>
      <c r="P118" s="226"/>
      <c r="Q118" s="229"/>
      <c r="R118" s="243"/>
      <c r="S118" s="250">
        <f t="shared" si="71"/>
        <v>1</v>
      </c>
      <c r="T118" s="243" t="str">
        <f t="shared" si="57"/>
        <v>Southbound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58"/>
        <v>https://d0f6bd738d7f1b3e5a7ca70fe4ff75f0.us-east-1.aws.found.io/app/kibana#/discover/Steve-Slow-Train-Analysis-(2080s-and-2083s)?_g=(refreshInterval:(display:Off,pause:!f,section:0,value:0),time:(from:'2017-11-22T16:38:41-0700',mode:absolute,to:'2017-11-22T19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8" s="248" t="str">
        <f>IF(AA118&lt;VLOOKUP(AG118,Variables!$AC$3:$AD$8,2,FALSE),"Y","N")</f>
        <v>N</v>
      </c>
      <c r="X118" s="248">
        <f t="shared" si="75"/>
        <v>1</v>
      </c>
      <c r="Y118" s="248">
        <f t="shared" si="72"/>
        <v>23.287099999999999</v>
      </c>
      <c r="Z118" s="248">
        <f t="shared" si="73"/>
        <v>2.01E-2</v>
      </c>
      <c r="AA118" s="248">
        <f t="shared" si="59"/>
        <v>23.266999999999999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60"/>
        <v>206</v>
      </c>
      <c r="AE118" s="236" t="str">
        <f t="shared" si="6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118" s="235" t="str">
        <f t="shared" si="62"/>
        <v>"C:\Program Files (x86)\AstroGrep\AstroGrep.exe" /e /r /s /spath="%USERPROFILE%\AppData\Local\Temp\OnboardLogs" /stypes="app*4005*20171123*" /stext=" 01:.+((SYSTEM_STATE.+slice.+state.+changed )|(ment ac)|(multiple cpu faults)|(system.+state.+changed )|(\[timeout)|(PRM\|1\|D)|(kpr)|(kdp)|(train st.+moving)|(\|lc)|(penalty))"</v>
      </c>
      <c r="AG118" s="245" t="str">
        <f t="shared" si="63"/>
        <v>EC</v>
      </c>
      <c r="AH118" s="237" t="str">
        <f t="shared" si="64"/>
        <v>"%USERPROFILE%\Documents\GitHub\eaglep3\Utilities\RefineRTDCRunTimes.py" --tripid 206-22 --locoid 4005 --swversion DE.1.0.9.0 --startMP 204:232871 --initTime 2017-11-22T17:38:41 --startdatetime 2017-11-22T17:42:17 --delay 49 --endMP 204:201 --enddatetime 2017-11-22T18:21:01 --enforcementcount 0 &gt;&gt;%USERPROFILE%\Documents\GitHub\eaglep3-reporting\EC\2017-11-22-refined-times.txt</v>
      </c>
      <c r="AI118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{"issue":{"subject":"","project_id":79,"tracker_id":40,"status_id":1,"priority_id":2,"assigned_to_id":338,"start_date":"2017-11-22","description":"","custom_fields":[{"id":1,"name":"Subdivision","value":"EC"},{"id":4,"name":"Milepost","value":"0.0201"},{"id":17,"name":"Train ID","value":"206-22"},{"id":16,"name":"Locomotive ID","value":"4005"},{"id":130,"name":"Impact","value":""},{"id":150,"name":"Time of Event (Mountain Time)","value":"18:21:01"},{"id":151,"name":"Denver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66"/>
        <v>start /low /b %USERPROFILE%\Documents\GitHub\eaglep3\Utilities\DownloadLogsFromS3.py --loco 4005 --day 2017-11-22</v>
      </c>
      <c r="AN118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68"/>
        <v>https://d0f6bd738d7f1b3e5a7ca70fe4ff75f0.us-east-1.aws.found.io/app/kibana#/discover/Steve-Slow-Train-Analysis-(2080s-and-2083s)?_g=(refreshInterval:(display:Off,pause:!f,section:0,value:0),time:(from:'2017-11-22T16:38:41-0700',mode:absolute,to:'2017-11-22T19:21:01-0700'))&amp;_a=(columns:!('Message%20ID',Summary),filters:!(),index:'emp_*',interval:auto,query:(query_string:(analyze_wildcard:!t,query:'%22rtdc.l.rtdc.4005%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4" customFormat="1" x14ac:dyDescent="0.3">
      <c r="A119" s="230" t="s">
        <v>823</v>
      </c>
      <c r="B119" s="226">
        <v>4050</v>
      </c>
      <c r="C119" s="228" t="s">
        <v>192</v>
      </c>
      <c r="D119" s="228" t="s">
        <v>489</v>
      </c>
      <c r="E119" s="227">
        <v>43061.702893518515</v>
      </c>
      <c r="F119" s="227">
        <v>43061.70853009259</v>
      </c>
      <c r="G119" s="226">
        <v>96</v>
      </c>
      <c r="H119" s="228" t="s">
        <v>970</v>
      </c>
      <c r="I119" s="227">
        <v>43061.733680555553</v>
      </c>
      <c r="J119" s="226">
        <v>0</v>
      </c>
      <c r="K119" s="238" t="str">
        <f t="shared" si="55"/>
        <v>4049/4050</v>
      </c>
      <c r="L119" s="246" t="str">
        <f>VLOOKUP(A119,'Trips&amp;Operators'!$C$1:$G$99911,5,FALSE)</f>
        <v>ANDREA WILLIAMS</v>
      </c>
      <c r="M119" s="225">
        <f t="shared" si="56"/>
        <v>2.5150462963210884E-2</v>
      </c>
      <c r="N119" s="226">
        <f t="shared" si="74"/>
        <v>36.216666667023674</v>
      </c>
      <c r="O119" s="226"/>
      <c r="P119" s="226"/>
      <c r="Q119" s="229"/>
      <c r="R119" s="243"/>
      <c r="S119" s="250">
        <f t="shared" si="71"/>
        <v>1</v>
      </c>
      <c r="T119" s="243" t="str">
        <f t="shared" si="57"/>
        <v>NorthBound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58"/>
        <v>https://d0f6bd738d7f1b3e5a7ca70fe4ff75f0.us-east-1.aws.found.io/app/kibana#/discover/Steve-Slow-Train-Analysis-(2080s-and-2083s)?_g=(refreshInterval:(display:Off,pause:!f,section:0,value:0),time:(from:'2017-11-22T15:52:10-0700',mode:absolute,to:'2017-11-22T18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9" s="248" t="str">
        <f>IF(AA119&lt;VLOOKUP(AG119,Variables!$AC$3:$AD$8,2,FALSE),"Y","N")</f>
        <v>N</v>
      </c>
      <c r="X119" s="248">
        <f t="shared" si="75"/>
        <v>1</v>
      </c>
      <c r="Y119" s="248">
        <f t="shared" si="72"/>
        <v>5.5300000000000002E-2</v>
      </c>
      <c r="Z119" s="248">
        <f t="shared" si="73"/>
        <v>23.318899999999999</v>
      </c>
      <c r="AA119" s="248">
        <f t="shared" si="59"/>
        <v>23.2636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60"/>
        <v>207</v>
      </c>
      <c r="AE119" s="236" t="str">
        <f t="shared" si="61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119" s="235" t="str">
        <f t="shared" si="62"/>
        <v>"C:\Program Files (x86)\AstroGrep\AstroGrep.exe" /e /r /s /spath="%USERPROFILE%\AppData\Local\Temp\OnboardLogs" /stypes="app*4050*20171123*" /stext=" 00:.+((SYSTEM_STATE.+slice.+state.+changed )|(ment ac)|(multiple cpu faults)|(system.+state.+changed )|(\[timeout)|(PRM\|1\|D)|(kpr)|(kdp)|(train st.+moving)|(\|lc)|(penalty))"</v>
      </c>
      <c r="AG119" s="245" t="str">
        <f t="shared" si="63"/>
        <v>EC</v>
      </c>
      <c r="AH119" s="237" t="str">
        <f t="shared" si="64"/>
        <v>"%USERPROFILE%\Documents\GitHub\eaglep3\Utilities\RefineRTDCRunTimes.py" --tripid 207-22 --locoid 4050 --swversion DE.1.0.9.0 --startMP 204:553 --initTime 2017-11-22T16:52:10 --startdatetime 2017-11-22T17:00:17 --delay 96 --endMP 204:233189 --enddatetime 2017-11-22T17:36:30 --enforcementcount 0 &gt;&gt;%USERPROFILE%\Documents\GitHub\eaglep3-reporting\EC\2017-11-22-refined-times.txt</v>
      </c>
      <c r="AI119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{"issue":{"subject":"","project_id":79,"tracker_id":40,"status_id":1,"priority_id":2,"assigned_to_id":338,"start_date":"2017-11-22","description":"","custom_fields":[{"id":1,"name":"Subdivision","value":"EC"},{"id":4,"name":"Milepost","value":"23.3189"},{"id":17,"name":"Train ID","value":"207-22"},{"id":16,"name":"Locomotive ID","value":"4050"},{"id":130,"name":"Impact","value":""},{"id":150,"name":"Time of Event (Mountain Time)","value":"17:36:30"},{"id":151,"name":"Denver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2"/>
      <c r="AL119" s="232"/>
      <c r="AM119" s="241" t="str">
        <f t="shared" si="66"/>
        <v>start /low /b %USERPROFILE%\Documents\GitHub\eaglep3\Utilities\DownloadLogsFromS3.py --loco 4050 --day 2017-11-22</v>
      </c>
      <c r="AN119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68"/>
        <v>https://d0f6bd738d7f1b3e5a7ca70fe4ff75f0.us-east-1.aws.found.io/app/kibana#/discover/Steve-Slow-Train-Analysis-(2080s-and-2083s)?_g=(refreshInterval:(display:Off,pause:!f,section:0,value:0),time:(from:'2017-11-22T15:52:10-0700',mode:absolute,to:'2017-11-22T18:36:30-0700'))&amp;_a=(columns:!('Message%20ID',Summary),filters:!(),index:'emp_*',interval:auto,query:(query_string:(analyze_wildcard:!t,query:'%22rtdc.l.rtdc.4050%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230" t="s">
        <v>835</v>
      </c>
      <c r="B120" s="226">
        <v>4049</v>
      </c>
      <c r="C120" s="228" t="s">
        <v>192</v>
      </c>
      <c r="D120" s="228" t="s">
        <v>971</v>
      </c>
      <c r="E120" s="227">
        <v>43061.734953703701</v>
      </c>
      <c r="F120" s="227">
        <v>43061.748124999998</v>
      </c>
      <c r="G120" s="226">
        <v>58</v>
      </c>
      <c r="H120" s="228" t="s">
        <v>972</v>
      </c>
      <c r="I120" s="227">
        <v>43061.776365740741</v>
      </c>
      <c r="J120" s="226">
        <v>0</v>
      </c>
      <c r="K120" s="238" t="str">
        <f t="shared" si="55"/>
        <v>4049/4050</v>
      </c>
      <c r="L120" s="246" t="str">
        <f>VLOOKUP(A120,'Trips&amp;Operators'!$C$1:$G$99911,5,FALSE)</f>
        <v>ANDREA WILLIAMS</v>
      </c>
      <c r="M120" s="225">
        <f t="shared" si="56"/>
        <v>2.8240740743058268E-2</v>
      </c>
      <c r="N120" s="226">
        <f t="shared" si="74"/>
        <v>40.666666670003906</v>
      </c>
      <c r="O120" s="226"/>
      <c r="P120" s="226"/>
      <c r="Q120" s="229"/>
      <c r="R120" s="243"/>
      <c r="S120" s="250">
        <f t="shared" si="71"/>
        <v>1</v>
      </c>
      <c r="T120" s="243" t="str">
        <f t="shared" si="57"/>
        <v>Southbound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58"/>
        <v>https://d0f6bd738d7f1b3e5a7ca70fe4ff75f0.us-east-1.aws.found.io/app/kibana#/discover/Steve-Slow-Train-Analysis-(2080s-and-2083s)?_g=(refreshInterval:(display:Off,pause:!f,section:0,value:0),time:(from:'2017-11-22T16:38:20-0700',mode:absolute,to:'2017-11-22T19:37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0" s="248" t="str">
        <f>IF(AA120&lt;VLOOKUP(AG120,Variables!$AC$3:$AD$8,2,FALSE),"Y","N")</f>
        <v>N</v>
      </c>
      <c r="X120" s="248">
        <f t="shared" si="75"/>
        <v>1</v>
      </c>
      <c r="Y120" s="248">
        <f t="shared" si="72"/>
        <v>23.288499999999999</v>
      </c>
      <c r="Z120" s="248">
        <f t="shared" si="73"/>
        <v>3.2399999999999998E-2</v>
      </c>
      <c r="AA120" s="248">
        <f t="shared" si="59"/>
        <v>23.2561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60"/>
        <v>208</v>
      </c>
      <c r="AE120" s="236" t="str">
        <f t="shared" si="61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120" s="235" t="str">
        <f t="shared" si="62"/>
        <v>"C:\Program Files (x86)\AstroGrep\AstroGrep.exe" /e /r /s /spath="%USERPROFILE%\AppData\Local\Temp\OnboardLogs" /stypes="app*4049*20171123*" /stext=" 01:.+((SYSTEM_STATE.+slice.+state.+changed )|(ment ac)|(multiple cpu faults)|(system.+state.+changed )|(\[timeout)|(PRM\|1\|D)|(kpr)|(kdp)|(train st.+moving)|(\|lc)|(penalty))"</v>
      </c>
      <c r="AG120" s="245" t="str">
        <f t="shared" si="63"/>
        <v>EC</v>
      </c>
      <c r="AH120" s="237" t="str">
        <f t="shared" si="64"/>
        <v>"%USERPROFILE%\Documents\GitHub\eaglep3\Utilities\RefineRTDCRunTimes.py" --tripid 208-22 --locoid 4049 --swversion DE.1.0.9.0 --startMP 204:232885 --initTime 2017-11-22T17:38:20 --startdatetime 2017-11-22T17:57:18 --delay 58 --endMP 204:324 --enddatetime 2017-11-22T18:37:58 --enforcementcount 0 &gt;&gt;%USERPROFILE%\Documents\GitHub\eaglep3-reporting\EC\2017-11-22-refined-times.txt</v>
      </c>
      <c r="AI120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{"issue":{"subject":"","project_id":79,"tracker_id":40,"status_id":1,"priority_id":2,"assigned_to_id":338,"start_date":"2017-11-22","description":"","custom_fields":[{"id":1,"name":"Subdivision","value":"EC"},{"id":4,"name":"Milepost","value":"0.0324"},{"id":17,"name":"Train ID","value":"208-22"},{"id":16,"name":"Locomotive ID","value":"4049"},{"id":130,"name":"Impact","value":""},{"id":150,"name":"Time of Event (Mountain Time)","value":"18:37:58"},{"id":151,"name":"Denver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66"/>
        <v>start /low /b %USERPROFILE%\Documents\GitHub\eaglep3\Utilities\DownloadLogsFromS3.py --loco 4049 --day 2017-11-22</v>
      </c>
      <c r="AN120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68"/>
        <v>https://d0f6bd738d7f1b3e5a7ca70fe4ff75f0.us-east-1.aws.found.io/app/kibana#/discover/Steve-Slow-Train-Analysis-(2080s-and-2083s)?_g=(refreshInterval:(display:Off,pause:!f,section:0,value:0),time:(from:'2017-11-22T16:38:20-0700',mode:absolute,to:'2017-11-22T19:37:58-0700'))&amp;_a=(columns:!('Message%20ID',Summary),filters:!(),index:'emp_*',interval:auto,query:(query_string:(analyze_wildcard:!t,query:'%22rtdc.l.rtdc.4049%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30" t="s">
        <v>829</v>
      </c>
      <c r="B121" s="226">
        <v>4018</v>
      </c>
      <c r="C121" s="228" t="s">
        <v>192</v>
      </c>
      <c r="D121" s="228" t="s">
        <v>940</v>
      </c>
      <c r="E121" s="227">
        <v>43061.716585648152</v>
      </c>
      <c r="F121" s="227">
        <v>43061.7190625</v>
      </c>
      <c r="G121" s="226">
        <v>64</v>
      </c>
      <c r="H121" s="228" t="s">
        <v>973</v>
      </c>
      <c r="I121" s="227">
        <v>43061.744884259257</v>
      </c>
      <c r="J121" s="226">
        <v>0</v>
      </c>
      <c r="K121" s="238" t="str">
        <f t="shared" si="55"/>
        <v>4017/4018</v>
      </c>
      <c r="L121" s="246" t="str">
        <f>VLOOKUP(A121,'Trips&amp;Operators'!$C$1:$G$99911,5,FALSE)</f>
        <v>KILLION DAVID</v>
      </c>
      <c r="M121" s="225">
        <f t="shared" si="56"/>
        <v>2.5821759256359655E-2</v>
      </c>
      <c r="N121" s="226">
        <f t="shared" si="74"/>
        <v>37.183333329157904</v>
      </c>
      <c r="O121" s="226"/>
      <c r="P121" s="226"/>
      <c r="Q121" s="229"/>
      <c r="R121" s="243"/>
      <c r="S121" s="250">
        <f t="shared" si="71"/>
        <v>1</v>
      </c>
      <c r="T121" s="243" t="str">
        <f t="shared" si="57"/>
        <v>NorthBound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58"/>
        <v>https://d0f6bd738d7f1b3e5a7ca70fe4ff75f0.us-east-1.aws.found.io/app/kibana#/discover/Steve-Slow-Train-Analysis-(2080s-and-2083s)?_g=(refreshInterval:(display:Off,pause:!f,section:0,value:0),time:(from:'2017-11-22T16:11:53-0700',mode:absolute,to:'2017-11-22T18:52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248" t="str">
        <f>IF(AA121&lt;VLOOKUP(AG121,Variables!$AC$3:$AD$8,2,FALSE),"Y","N")</f>
        <v>N</v>
      </c>
      <c r="X121" s="248">
        <f t="shared" si="75"/>
        <v>1</v>
      </c>
      <c r="Y121" s="248">
        <f t="shared" si="72"/>
        <v>4.6600000000000003E-2</v>
      </c>
      <c r="Z121" s="248">
        <f t="shared" si="73"/>
        <v>23.3186</v>
      </c>
      <c r="AA121" s="248">
        <f t="shared" si="59"/>
        <v>23.271999999999998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60"/>
        <v>209</v>
      </c>
      <c r="AE121" s="236" t="str">
        <f t="shared" si="6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121" s="235" t="str">
        <f t="shared" si="62"/>
        <v>"C:\Program Files (x86)\AstroGrep\AstroGrep.exe" /e /r /s /spath="%USERPROFILE%\AppData\Local\Temp\OnboardLogs" /stypes="app*4018*20171123*" /stext=" 00:.+((SYSTEM_STATE.+slice.+state.+changed )|(ment ac)|(multiple cpu faults)|(system.+state.+changed )|(\[timeout)|(PRM\|1\|D)|(kpr)|(kdp)|(train st.+moving)|(\|lc)|(penalty))"</v>
      </c>
      <c r="AG121" s="245" t="str">
        <f t="shared" si="63"/>
        <v>EC</v>
      </c>
      <c r="AH121" s="237" t="str">
        <f t="shared" si="64"/>
        <v>"%USERPROFILE%\Documents\GitHub\eaglep3\Utilities\RefineRTDCRunTimes.py" --tripid 209-22 --locoid 4018 --swversion DE.1.0.9.0 --startMP 204:466 --initTime 2017-11-22T17:11:53 --startdatetime 2017-11-22T17:15:27 --delay 64 --endMP 204:233186 --enddatetime 2017-11-22T17:52:38 --enforcementcount 0 &gt;&gt;%USERPROFILE%\Documents\GitHub\eaglep3-reporting\EC\2017-11-22-refined-times.txt</v>
      </c>
      <c r="AI12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{"issue":{"subject":"","project_id":79,"tracker_id":40,"status_id":1,"priority_id":2,"assigned_to_id":338,"start_date":"2017-11-22","description":"","custom_fields":[{"id":1,"name":"Subdivision","value":"EC"},{"id":4,"name":"Milepost","value":"23.3186"},{"id":17,"name":"Train ID","value":"209-22"},{"id":16,"name":"Locomotive ID","value":"4018"},{"id":130,"name":"Impact","value":""},{"id":150,"name":"Time of Event (Mountain Time)","value":"17:52:38"},{"id":151,"name":"Denver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66"/>
        <v>start /low /b %USERPROFILE%\Documents\GitHub\eaglep3\Utilities\DownloadLogsFromS3.py --loco 4018 --day 2017-11-22</v>
      </c>
      <c r="AN121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68"/>
        <v>https://d0f6bd738d7f1b3e5a7ca70fe4ff75f0.us-east-1.aws.found.io/app/kibana#/discover/Steve-Slow-Train-Analysis-(2080s-and-2083s)?_g=(refreshInterval:(display:Off,pause:!f,section:0,value:0),time:(from:'2017-11-22T16:11:53-0700',mode:absolute,to:'2017-11-22T18:52:38-0700'))&amp;_a=(columns:!('Message%20ID',Summary),filters:!(),index:'emp_*',interval:auto,query:(query_string:(analyze_wildcard:!t,query:'%22rtdc.l.rtdc.4018%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230" t="s">
        <v>840</v>
      </c>
      <c r="B122" s="226">
        <v>4017</v>
      </c>
      <c r="C122" s="228" t="s">
        <v>192</v>
      </c>
      <c r="D122" s="228" t="s">
        <v>603</v>
      </c>
      <c r="E122" s="227">
        <v>43061.752071759256</v>
      </c>
      <c r="F122" s="227">
        <v>43061.758923611109</v>
      </c>
      <c r="G122" s="226">
        <v>63</v>
      </c>
      <c r="H122" s="228" t="s">
        <v>551</v>
      </c>
      <c r="I122" s="227">
        <v>43061.784988425927</v>
      </c>
      <c r="J122" s="226">
        <v>0</v>
      </c>
      <c r="K122" s="238" t="str">
        <f t="shared" si="55"/>
        <v>4017/4018</v>
      </c>
      <c r="L122" s="246" t="str">
        <f>VLOOKUP(A122,'Trips&amp;Operators'!$C$1:$G$99911,5,FALSE)</f>
        <v>KILLION DAVID</v>
      </c>
      <c r="M122" s="225">
        <f t="shared" si="56"/>
        <v>2.6064814817800652E-2</v>
      </c>
      <c r="N122" s="226">
        <f t="shared" si="74"/>
        <v>37.533333337632939</v>
      </c>
      <c r="O122" s="226"/>
      <c r="P122" s="226"/>
      <c r="Q122" s="229"/>
      <c r="R122" s="243"/>
      <c r="S122" s="250">
        <f t="shared" si="71"/>
        <v>1</v>
      </c>
      <c r="T122" s="243" t="str">
        <f t="shared" si="57"/>
        <v>Southbound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58"/>
        <v>https://d0f6bd738d7f1b3e5a7ca70fe4ff75f0.us-east-1.aws.found.io/app/kibana#/discover/Steve-Slow-Train-Analysis-(2080s-and-2083s)?_g=(refreshInterval:(display:Off,pause:!f,section:0,value:0),time:(from:'2017-11-22T17:02:59-0700',mode:absolute,to:'2017-11-22T19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248" t="str">
        <f>IF(AA122&lt;VLOOKUP(AG122,Variables!$AC$3:$AD$8,2,FALSE),"Y","N")</f>
        <v>N</v>
      </c>
      <c r="X122" s="248">
        <f t="shared" si="75"/>
        <v>1</v>
      </c>
      <c r="Y122" s="248">
        <f t="shared" si="72"/>
        <v>23.2879</v>
      </c>
      <c r="Z122" s="248">
        <f t="shared" si="73"/>
        <v>1.6500000000000001E-2</v>
      </c>
      <c r="AA122" s="248">
        <f t="shared" si="59"/>
        <v>23.2714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60"/>
        <v>210</v>
      </c>
      <c r="AE122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22" s="235" t="str">
        <f t="shared" si="62"/>
        <v>"C:\Program Files (x86)\AstroGrep\AstroGrep.exe" /e /r /s /spath="%USERPROFILE%\AppData\Local\Temp\OnboardLogs" /stypes="app*4017*20171123*" /stext=" 01:.+((SYSTEM_STATE.+slice.+state.+changed )|(ment ac)|(multiple cpu faults)|(system.+state.+changed )|(\[timeout)|(PRM\|1\|D)|(kpr)|(kdp)|(train st.+moving)|(\|lc)|(penalty))"</v>
      </c>
      <c r="AG122" s="245" t="str">
        <f t="shared" si="63"/>
        <v>EC</v>
      </c>
      <c r="AH122" s="237" t="str">
        <f t="shared" si="64"/>
        <v>"%USERPROFILE%\Documents\GitHub\eaglep3\Utilities\RefineRTDCRunTimes.py" --tripid 210-22 --locoid 4017 --swversion DE.1.0.9.0 --startMP 204:232879 --initTime 2017-11-22T18:02:59 --startdatetime 2017-11-22T18:12:51 --delay 63 --endMP 204:165 --enddatetime 2017-11-22T18:50:23 --enforcementcount 0 &gt;&gt;%USERPROFILE%\Documents\GitHub\eaglep3-reporting\EC\2017-11-22-refined-times.txt</v>
      </c>
      <c r="AI12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{"issue":{"subject":"","project_id":79,"tracker_id":40,"status_id":1,"priority_id":2,"assigned_to_id":338,"start_date":"2017-11-22","description":"","custom_fields":[{"id":1,"name":"Subdivision","value":"EC"},{"id":4,"name":"Milepost","value":"0.0165"},{"id":17,"name":"Train ID","value":"210-22"},{"id":16,"name":"Locomotive ID","value":"4017"},{"id":130,"name":"Impact","value":""},{"id":150,"name":"Time of Event (Mountain Time)","value":"18:50:23"},{"id":151,"name":"Denver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66"/>
        <v>start /low /b %USERPROFILE%\Documents\GitHub\eaglep3\Utilities\DownloadLogsFromS3.py --loco 4017 --day 2017-11-22</v>
      </c>
      <c r="AN122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68"/>
        <v>https://d0f6bd738d7f1b3e5a7ca70fe4ff75f0.us-east-1.aws.found.io/app/kibana#/discover/Steve-Slow-Train-Analysis-(2080s-and-2083s)?_g=(refreshInterval:(display:Off,pause:!f,section:0,value:0),time:(from:'2017-11-22T17:02:59-0700',mode:absolute,to:'2017-11-22T19:50:23-0700'))&amp;_a=(columns:!('Message%20ID',Summary),filters:!(),index:'emp_*',interval:auto,query:(query_string:(analyze_wildcard:!t,query:'%22rtdc.l.rtdc.4017%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4" customFormat="1" x14ac:dyDescent="0.3">
      <c r="A123" s="230" t="s">
        <v>831</v>
      </c>
      <c r="B123" s="226">
        <v>4020</v>
      </c>
      <c r="C123" s="228" t="s">
        <v>192</v>
      </c>
      <c r="D123" s="228" t="s">
        <v>539</v>
      </c>
      <c r="E123" s="227">
        <v>43061.723935185182</v>
      </c>
      <c r="F123" s="227">
        <v>43061.729432870372</v>
      </c>
      <c r="G123" s="226">
        <v>91</v>
      </c>
      <c r="H123" s="228" t="s">
        <v>617</v>
      </c>
      <c r="I123" s="227">
        <v>43061.754583333335</v>
      </c>
      <c r="J123" s="226">
        <v>0</v>
      </c>
      <c r="K123" s="238" t="str">
        <f t="shared" si="55"/>
        <v>4019/4020</v>
      </c>
      <c r="L123" s="246" t="str">
        <f>VLOOKUP(A123,'Trips&amp;Operators'!$C$1:$G$99911,5,FALSE)</f>
        <v>BERLING GARY</v>
      </c>
      <c r="M123" s="225">
        <f t="shared" si="56"/>
        <v>2.5150462963210884E-2</v>
      </c>
      <c r="N123" s="226">
        <f t="shared" si="74"/>
        <v>36.216666667023674</v>
      </c>
      <c r="O123" s="226"/>
      <c r="P123" s="226"/>
      <c r="Q123" s="229"/>
      <c r="R123" s="243"/>
      <c r="S123" s="250">
        <f t="shared" si="71"/>
        <v>1</v>
      </c>
      <c r="T123" s="243" t="str">
        <f t="shared" si="57"/>
        <v>NorthBound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58"/>
        <v>https://d0f6bd738d7f1b3e5a7ca70fe4ff75f0.us-east-1.aws.found.io/app/kibana#/discover/Steve-Slow-Train-Analysis-(2080s-and-2083s)?_g=(refreshInterval:(display:Off,pause:!f,section:0,value:0),time:(from:'2017-11-22T16:22:28-0700',mode:absolute,to:'2017-11-22T19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3" s="248" t="str">
        <f>IF(AA123&lt;VLOOKUP(AG123,Variables!$AC$3:$AD$8,2,FALSE),"Y","N")</f>
        <v>N</v>
      </c>
      <c r="X123" s="248">
        <f t="shared" si="75"/>
        <v>1</v>
      </c>
      <c r="Y123" s="248">
        <f t="shared" si="72"/>
        <v>4.8599999999999997E-2</v>
      </c>
      <c r="Z123" s="248">
        <f t="shared" si="73"/>
        <v>23.322299999999998</v>
      </c>
      <c r="AA123" s="248">
        <f t="shared" si="59"/>
        <v>23.273699999999998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60"/>
        <v>211</v>
      </c>
      <c r="AE123" s="236" t="str">
        <f t="shared" si="61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123" s="235" t="str">
        <f t="shared" si="62"/>
        <v>"C:\Program Files (x86)\AstroGrep\AstroGrep.exe" /e /r /s /spath="%USERPROFILE%\AppData\Local\Temp\OnboardLogs" /stypes="app*4020*20171123*" /stext=" 01:.+((SYSTEM_STATE.+slice.+state.+changed )|(ment ac)|(multiple cpu faults)|(system.+state.+changed )|(\[timeout)|(PRM\|1\|D)|(kpr)|(kdp)|(train st.+moving)|(\|lc)|(penalty))"</v>
      </c>
      <c r="AG123" s="245" t="str">
        <f t="shared" si="63"/>
        <v>EC</v>
      </c>
      <c r="AH123" s="237" t="str">
        <f t="shared" si="64"/>
        <v>"%USERPROFILE%\Documents\GitHub\eaglep3\Utilities\RefineRTDCRunTimes.py" --tripid 211-22 --locoid 4020 --swversion DE.1.0.9.0 --startMP 204:486 --initTime 2017-11-22T17:22:28 --startdatetime 2017-11-22T17:30:23 --delay 91 --endMP 204:233223 --enddatetime 2017-11-22T18:06:36 --enforcementcount 0 &gt;&gt;%USERPROFILE%\Documents\GitHub\eaglep3-reporting\EC\2017-11-22-refined-times.txt</v>
      </c>
      <c r="AI12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{"issue":{"subject":"","project_id":79,"tracker_id":40,"status_id":1,"priority_id":2,"assigned_to_id":338,"start_date":"2017-11-22","description":"","custom_fields":[{"id":1,"name":"Subdivision","value":"EC"},{"id":4,"name":"Milepost","value":"23.3223"},{"id":17,"name":"Train ID","value":"211-22"},{"id":16,"name":"Locomotive ID","value":"4020"},{"id":130,"name":"Impact","value":""},{"id":150,"name":"Time of Event (Mountain Time)","value":"18:06:36"},{"id":151,"name":"Denver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2"/>
      <c r="AL123" s="232"/>
      <c r="AM123" s="241" t="str">
        <f t="shared" si="66"/>
        <v>start /low /b %USERPROFILE%\Documents\GitHub\eaglep3\Utilities\DownloadLogsFromS3.py --loco 4020 --day 2017-11-22</v>
      </c>
      <c r="AN123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68"/>
        <v>https://d0f6bd738d7f1b3e5a7ca70fe4ff75f0.us-east-1.aws.found.io/app/kibana#/discover/Steve-Slow-Train-Analysis-(2080s-and-2083s)?_g=(refreshInterval:(display:Off,pause:!f,section:0,value:0),time:(from:'2017-11-22T16:22:28-0700',mode:absolute,to:'2017-11-22T19:06:36-0700'))&amp;_a=(columns:!('Message%20ID',Summary),filters:!(),index:'emp_*',interval:auto,query:(query_string:(analyze_wildcard:!t,query:'%22rtdc.l.rtdc.4020%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30" t="s">
        <v>843</v>
      </c>
      <c r="B124" s="226">
        <v>4019</v>
      </c>
      <c r="C124" s="228" t="s">
        <v>192</v>
      </c>
      <c r="D124" s="228" t="s">
        <v>974</v>
      </c>
      <c r="E124" s="227">
        <v>43061.761932870373</v>
      </c>
      <c r="F124" s="227">
        <v>43061.768900462965</v>
      </c>
      <c r="G124" s="226">
        <v>71</v>
      </c>
      <c r="H124" s="228" t="s">
        <v>896</v>
      </c>
      <c r="I124" s="227">
        <v>43061.795115740744</v>
      </c>
      <c r="J124" s="226">
        <v>0</v>
      </c>
      <c r="K124" s="238" t="str">
        <f t="shared" si="55"/>
        <v>4019/4020</v>
      </c>
      <c r="L124" s="246" t="str">
        <f>VLOOKUP(A124,'Trips&amp;Operators'!$C$1:$G$99911,5,FALSE)</f>
        <v>BERLING GARY</v>
      </c>
      <c r="M124" s="225">
        <f t="shared" si="56"/>
        <v>2.6215277779556345E-2</v>
      </c>
      <c r="N124" s="226">
        <f t="shared" si="74"/>
        <v>37.750000002561137</v>
      </c>
      <c r="O124" s="226"/>
      <c r="P124" s="226"/>
      <c r="Q124" s="229"/>
      <c r="R124" s="243"/>
      <c r="S124" s="250">
        <f t="shared" si="71"/>
        <v>1</v>
      </c>
      <c r="T124" s="243" t="str">
        <f t="shared" si="57"/>
        <v>Southbound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58"/>
        <v>https://d0f6bd738d7f1b3e5a7ca70fe4ff75f0.us-east-1.aws.found.io/app/kibana#/discover/Steve-Slow-Train-Analysis-(2080s-and-2083s)?_g=(refreshInterval:(display:Off,pause:!f,section:0,value:0),time:(from:'2017-11-22T17:17:11-0700',mode:absolute,to:'2017-11-22T20:04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4" s="248" t="str">
        <f>IF(AA124&lt;VLOOKUP(AG124,Variables!$AC$3:$AD$8,2,FALSE),"Y","N")</f>
        <v>N</v>
      </c>
      <c r="X124" s="248">
        <f t="shared" si="75"/>
        <v>1</v>
      </c>
      <c r="Y124" s="248">
        <f t="shared" si="72"/>
        <v>23.290900000000001</v>
      </c>
      <c r="Z124" s="248">
        <f t="shared" si="73"/>
        <v>2.23E-2</v>
      </c>
      <c r="AA124" s="248">
        <f t="shared" si="59"/>
        <v>23.268599999999999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60"/>
        <v>212</v>
      </c>
      <c r="AE124" s="236" t="str">
        <f t="shared" si="61"/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AF124" s="235" t="str">
        <f t="shared" si="62"/>
        <v>"C:\Program Files (x86)\AstroGrep\AstroGrep.exe" /e /r /s /spath="%USERPROFILE%\AppData\Local\Temp\OnboardLogs" /stypes="app*4019*20171123*" /stext=" 02:.+((SYSTEM_STATE.+slice.+state.+changed )|(ment ac)|(multiple cpu faults)|(system.+state.+changed )|(\[timeout)|(PRM\|1\|D)|(kpr)|(kdp)|(train st.+moving)|(\|lc)|(penalty))"</v>
      </c>
      <c r="AG124" s="245" t="str">
        <f t="shared" si="63"/>
        <v>EC</v>
      </c>
      <c r="AH124" s="237" t="str">
        <f t="shared" si="64"/>
        <v>"%USERPROFILE%\Documents\GitHub\eaglep3\Utilities\RefineRTDCRunTimes.py" --tripid 212-22 --locoid 4019 --swversion DE.1.0.9.0 --startMP 204:232909 --initTime 2017-11-22T18:17:11 --startdatetime 2017-11-22T18:27:13 --delay 71 --endMP 204:223 --enddatetime 2017-11-22T19:04:58 --enforcementcount 0 &gt;&gt;%USERPROFILE%\Documents\GitHub\eaglep3-reporting\EC\2017-11-22-refined-times.txt</v>
      </c>
      <c r="AI124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{"issue":{"subject":"","project_id":79,"tracker_id":40,"status_id":1,"priority_id":2,"assigned_to_id":338,"start_date":"2017-11-22","description":"","custom_fields":[{"id":1,"name":"Subdivision","value":"EC"},{"id":4,"name":"Milepost","value":"0.0223"},{"id":17,"name":"Train ID","value":"212-22"},{"id":16,"name":"Locomotive ID","value":"4019"},{"id":130,"name":"Impact","value":""},{"id":150,"name":"Time of Event (Mountain Time)","value":"19:04:58"},{"id":151,"name":"Denver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66"/>
        <v>start /low /b %USERPROFILE%\Documents\GitHub\eaglep3\Utilities\DownloadLogsFromS3.py --loco 4019 --day 2017-11-22</v>
      </c>
      <c r="AN124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68"/>
        <v>https://d0f6bd738d7f1b3e5a7ca70fe4ff75f0.us-east-1.aws.found.io/app/kibana#/discover/Steve-Slow-Train-Analysis-(2080s-and-2083s)?_g=(refreshInterval:(display:Off,pause:!f,section:0,value:0),time:(from:'2017-11-22T17:17:11-0700',mode:absolute,to:'2017-11-22T20:04:58-0700'))&amp;_a=(columns:!('Message%20ID',Summary),filters:!(),index:'emp_*',interval:auto,query:(query_string:(analyze_wildcard:!t,query:'%22rtdc.l.rtdc.4019%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30" t="s">
        <v>837</v>
      </c>
      <c r="B125" s="226">
        <v>4002</v>
      </c>
      <c r="C125" s="228" t="s">
        <v>192</v>
      </c>
      <c r="D125" s="228" t="s">
        <v>933</v>
      </c>
      <c r="E125" s="227">
        <v>43061.735729166663</v>
      </c>
      <c r="F125" s="227">
        <v>43061.739953703705</v>
      </c>
      <c r="G125" s="226">
        <v>80</v>
      </c>
      <c r="H125" s="228" t="s">
        <v>975</v>
      </c>
      <c r="I125" s="227">
        <v>43061.764432870368</v>
      </c>
      <c r="J125" s="226">
        <v>0</v>
      </c>
      <c r="K125" s="238" t="str">
        <f t="shared" si="55"/>
        <v>4001/4002</v>
      </c>
      <c r="L125" s="246" t="str">
        <f>VLOOKUP(A125,'Trips&amp;Operators'!$C$1:$G$99911,5,FALSE)</f>
        <v>RESPASS AARON</v>
      </c>
      <c r="M125" s="225">
        <f t="shared" si="56"/>
        <v>2.4479166662786156E-2</v>
      </c>
      <c r="N125" s="226">
        <f t="shared" si="74"/>
        <v>35.249999994412065</v>
      </c>
      <c r="O125" s="226"/>
      <c r="P125" s="226"/>
      <c r="Q125" s="229"/>
      <c r="R125" s="243"/>
      <c r="S125" s="250">
        <f t="shared" si="71"/>
        <v>1</v>
      </c>
      <c r="T125" s="243" t="str">
        <f t="shared" si="57"/>
        <v>NorthBound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58"/>
        <v>https://d0f6bd738d7f1b3e5a7ca70fe4ff75f0.us-east-1.aws.found.io/app/kibana#/discover/Steve-Slow-Train-Analysis-(2080s-and-2083s)?_g=(refreshInterval:(display:Off,pause:!f,section:0,value:0),time:(from:'2017-11-22T16:39:27-0700',mode:absolute,to:'2017-11-22T19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5" s="248" t="str">
        <f>IF(AA125&lt;VLOOKUP(AG125,Variables!$AC$3:$AD$8,2,FALSE),"Y","N")</f>
        <v>N</v>
      </c>
      <c r="X125" s="248">
        <f t="shared" si="75"/>
        <v>1</v>
      </c>
      <c r="Y125" s="248">
        <f t="shared" si="72"/>
        <v>5.2900000000000003E-2</v>
      </c>
      <c r="Z125" s="248">
        <f t="shared" si="73"/>
        <v>23.324300000000001</v>
      </c>
      <c r="AA125" s="248">
        <f t="shared" si="59"/>
        <v>23.2714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60"/>
        <v>213</v>
      </c>
      <c r="AE125" s="236" t="str">
        <f t="shared" si="6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125" s="235" t="str">
        <f t="shared" si="62"/>
        <v>"C:\Program Files (x86)\AstroGrep\AstroGrep.exe" /e /r /s /spath="%USERPROFILE%\AppData\Local\Temp\OnboardLogs" /stypes="app*4002*20171123*" /stext=" 01:.+((SYSTEM_STATE.+slice.+state.+changed )|(ment ac)|(multiple cpu faults)|(system.+state.+changed )|(\[timeout)|(PRM\|1\|D)|(kpr)|(kdp)|(train st.+moving)|(\|lc)|(penalty))"</v>
      </c>
      <c r="AG125" s="245" t="str">
        <f t="shared" si="63"/>
        <v>EC</v>
      </c>
      <c r="AH125" s="237" t="str">
        <f t="shared" si="64"/>
        <v>"%USERPROFILE%\Documents\GitHub\eaglep3\Utilities\RefineRTDCRunTimes.py" --tripid 213-22 --locoid 4002 --swversion DE.1.0.9.0 --startMP 204:529 --initTime 2017-11-22T17:39:27 --startdatetime 2017-11-22T17:45:32 --delay 80 --endMP 204:233243 --enddatetime 2017-11-22T18:20:47 --enforcementcount 0 &gt;&gt;%USERPROFILE%\Documents\GitHub\eaglep3-reporting\EC\2017-11-22-refined-times.txt</v>
      </c>
      <c r="AI125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{"issue":{"subject":"","project_id":79,"tracker_id":40,"status_id":1,"priority_id":2,"assigned_to_id":338,"start_date":"2017-11-22","description":"","custom_fields":[{"id":1,"name":"Subdivision","value":"EC"},{"id":4,"name":"Milepost","value":"23.3243"},{"id":17,"name":"Train ID","value":"213-22"},{"id":16,"name":"Locomotive ID","value":"4002"},{"id":130,"name":"Impact","value":""},{"id":150,"name":"Time of Event (Mountain Time)","value":"18:20:47"},{"id":151,"name":"Denver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66"/>
        <v>start /low /b %USERPROFILE%\Documents\GitHub\eaglep3\Utilities\DownloadLogsFromS3.py --loco 4002 --day 2017-11-22</v>
      </c>
      <c r="AN125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68"/>
        <v>https://d0f6bd738d7f1b3e5a7ca70fe4ff75f0.us-east-1.aws.found.io/app/kibana#/discover/Steve-Slow-Train-Analysis-(2080s-and-2083s)?_g=(refreshInterval:(display:Off,pause:!f,section:0,value:0),time:(from:'2017-11-22T16:39:27-0700',mode:absolute,to:'2017-11-22T19:20:47-0700'))&amp;_a=(columns:!('Message%20ID',Summary),filters:!(),index:'emp_*',interval:auto,query:(query_string:(analyze_wildcard:!t,query:'%22rtdc.l.rtdc.4002%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30" t="s">
        <v>847</v>
      </c>
      <c r="B126" s="226">
        <v>4001</v>
      </c>
      <c r="C126" s="228" t="s">
        <v>192</v>
      </c>
      <c r="D126" s="228" t="s">
        <v>976</v>
      </c>
      <c r="E126" s="227">
        <v>43061.774930555555</v>
      </c>
      <c r="F126" s="227">
        <v>43061.779363425929</v>
      </c>
      <c r="G126" s="226">
        <v>103</v>
      </c>
      <c r="H126" s="228" t="s">
        <v>977</v>
      </c>
      <c r="I126" s="227">
        <v>43061.806504629632</v>
      </c>
      <c r="J126" s="226">
        <v>0</v>
      </c>
      <c r="K126" s="238" t="str">
        <f t="shared" si="55"/>
        <v>4001/4002</v>
      </c>
      <c r="L126" s="246" t="str">
        <f>VLOOKUP(A126,'Trips&amp;Operators'!$C$1:$G$99911,5,FALSE)</f>
        <v>RESPASS AARON</v>
      </c>
      <c r="M126" s="225">
        <f t="shared" si="56"/>
        <v>2.7141203703649808E-2</v>
      </c>
      <c r="N126" s="226">
        <f t="shared" si="74"/>
        <v>39.083333333255723</v>
      </c>
      <c r="O126" s="226"/>
      <c r="P126" s="226"/>
      <c r="Q126" s="229"/>
      <c r="R126" s="243"/>
      <c r="S126" s="250">
        <f t="shared" si="71"/>
        <v>1</v>
      </c>
      <c r="T126" s="243" t="str">
        <f t="shared" si="57"/>
        <v>Southbound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58"/>
        <v>https://d0f6bd738d7f1b3e5a7ca70fe4ff75f0.us-east-1.aws.found.io/app/kibana#/discover/Steve-Slow-Train-Analysis-(2080s-and-2083s)?_g=(refreshInterval:(display:Off,pause:!f,section:0,value:0),time:(from:'2017-11-22T17:35:54-0700',mode:absolute,to:'2017-11-22T20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6" s="248" t="str">
        <f>IF(AA126&lt;VLOOKUP(AG126,Variables!$AC$3:$AD$8,2,FALSE),"Y","N")</f>
        <v>N</v>
      </c>
      <c r="X126" s="248">
        <f t="shared" si="75"/>
        <v>1</v>
      </c>
      <c r="Y126" s="248">
        <f t="shared" si="72"/>
        <v>23.292300000000001</v>
      </c>
      <c r="Z126" s="248">
        <f t="shared" si="73"/>
        <v>2.5999999999999999E-2</v>
      </c>
      <c r="AA126" s="248">
        <f t="shared" si="59"/>
        <v>23.266300000000001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60"/>
        <v>214</v>
      </c>
      <c r="AE126" s="236" t="str">
        <f t="shared" si="6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126" s="235" t="str">
        <f t="shared" si="62"/>
        <v>"C:\Program Files (x86)\AstroGrep\AstroGrep.exe" /e /r /s /spath="%USERPROFILE%\AppData\Local\Temp\OnboardLogs" /stypes="app*4001*20171123*" /stext=" 02:.+((SYSTEM_STATE.+slice.+state.+changed )|(ment ac)|(multiple cpu faults)|(system.+state.+changed )|(\[timeout)|(PRM\|1\|D)|(kpr)|(kdp)|(train st.+moving)|(\|lc)|(penalty))"</v>
      </c>
      <c r="AG126" s="245" t="str">
        <f t="shared" si="63"/>
        <v>EC</v>
      </c>
      <c r="AH126" s="237" t="str">
        <f t="shared" si="64"/>
        <v>"%USERPROFILE%\Documents\GitHub\eaglep3\Utilities\RefineRTDCRunTimes.py" --tripid 214-22 --locoid 4001 --swversion DE.1.0.9.0 --startMP 204:232923 --initTime 2017-11-22T18:35:54 --startdatetime 2017-11-22T18:42:17 --delay 103 --endMP 204:260 --enddatetime 2017-11-22T19:21:22 --enforcementcount 0 &gt;&gt;%USERPROFILE%\Documents\GitHub\eaglep3-reporting\EC\2017-11-22-refined-times.txt</v>
      </c>
      <c r="AI126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{"issue":{"subject":"","project_id":79,"tracker_id":40,"status_id":1,"priority_id":2,"assigned_to_id":338,"start_date":"2017-11-22","description":"","custom_fields":[{"id":1,"name":"Subdivision","value":"EC"},{"id":4,"name":"Milepost","value":"0.026"},{"id":17,"name":"Train ID","value":"214-22"},{"id":16,"name":"Locomotive ID","value":"4001"},{"id":130,"name":"Impact","value":""},{"id":150,"name":"Time of Event (Mountain Time)","value":"19:21:22"},{"id":151,"name":"Denver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66"/>
        <v>start /low /b %USERPROFILE%\Documents\GitHub\eaglep3\Utilities\DownloadLogsFromS3.py --loco 4001 --day 2017-11-22</v>
      </c>
      <c r="AN126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68"/>
        <v>https://d0f6bd738d7f1b3e5a7ca70fe4ff75f0.us-east-1.aws.found.io/app/kibana#/discover/Steve-Slow-Train-Analysis-(2080s-and-2083s)?_g=(refreshInterval:(display:Off,pause:!f,section:0,value:0),time:(from:'2017-11-22T17:35:54-0700',mode:absolute,to:'2017-11-22T20:21:22-0700'))&amp;_a=(columns:!('Message%20ID',Summary),filters:!(),index:'emp_*',interval:auto,query:(query_string:(analyze_wildcard:!t,query:'%22rtdc.l.rtdc.4001%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30" t="s">
        <v>839</v>
      </c>
      <c r="B127" s="226">
        <v>4040</v>
      </c>
      <c r="C127" s="228" t="s">
        <v>192</v>
      </c>
      <c r="D127" s="228" t="s">
        <v>601</v>
      </c>
      <c r="E127" s="227">
        <v>43061.747060185182</v>
      </c>
      <c r="F127" s="227">
        <v>43061.750150462962</v>
      </c>
      <c r="G127" s="226">
        <v>72</v>
      </c>
      <c r="H127" s="228" t="s">
        <v>978</v>
      </c>
      <c r="I127" s="227">
        <v>43061.774768518517</v>
      </c>
      <c r="J127" s="226">
        <v>0</v>
      </c>
      <c r="K127" s="238" t="str">
        <f t="shared" si="55"/>
        <v>4039/4040</v>
      </c>
      <c r="L127" s="246" t="str">
        <f>VLOOKUP(A127,'Trips&amp;Operators'!$C$1:$G$99911,5,FALSE)</f>
        <v>AUSTIN THOMPSON</v>
      </c>
      <c r="M127" s="225">
        <f t="shared" si="56"/>
        <v>2.4618055555038154E-2</v>
      </c>
      <c r="N127" s="226">
        <f t="shared" si="74"/>
        <v>35.449999999254942</v>
      </c>
      <c r="O127" s="226"/>
      <c r="P127" s="226"/>
      <c r="Q127" s="229"/>
      <c r="R127" s="243"/>
      <c r="S127" s="250">
        <f t="shared" si="71"/>
        <v>1</v>
      </c>
      <c r="T127" s="243" t="str">
        <f t="shared" si="57"/>
        <v>NorthBound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58"/>
        <v>https://d0f6bd738d7f1b3e5a7ca70fe4ff75f0.us-east-1.aws.found.io/app/kibana#/discover/Steve-Slow-Train-Analysis-(2080s-and-2083s)?_g=(refreshInterval:(display:Off,pause:!f,section:0,value:0),time:(from:'2017-11-22T16:55:46-0700',mode:absolute,to:'2017-11-22T19:35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7" s="248" t="str">
        <f>IF(AA127&lt;VLOOKUP(AG127,Variables!$AC$3:$AD$8,2,FALSE),"Y","N")</f>
        <v>N</v>
      </c>
      <c r="X127" s="248">
        <f t="shared" si="75"/>
        <v>1</v>
      </c>
      <c r="Y127" s="248">
        <f t="shared" si="72"/>
        <v>5.4600000000000003E-2</v>
      </c>
      <c r="Z127" s="248">
        <f t="shared" si="73"/>
        <v>23.327400000000001</v>
      </c>
      <c r="AA127" s="248">
        <f t="shared" si="59"/>
        <v>23.2728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60"/>
        <v>215</v>
      </c>
      <c r="AE127" s="236" t="str">
        <f t="shared" si="61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127" s="235" t="str">
        <f t="shared" si="62"/>
        <v>"C:\Program Files (x86)\AstroGrep\AstroGrep.exe" /e /r /s /spath="%USERPROFILE%\AppData\Local\Temp\OnboardLogs" /stypes="app*4040*20171123*" /stext=" 01:.+((SYSTEM_STATE.+slice.+state.+changed )|(ment ac)|(multiple cpu faults)|(system.+state.+changed )|(\[timeout)|(PRM\|1\|D)|(kpr)|(kdp)|(train st.+moving)|(\|lc)|(penalty))"</v>
      </c>
      <c r="AG127" s="245" t="str">
        <f t="shared" si="63"/>
        <v>EC</v>
      </c>
      <c r="AH127" s="237" t="str">
        <f t="shared" si="64"/>
        <v>"%USERPROFILE%\Documents\GitHub\eaglep3\Utilities\RefineRTDCRunTimes.py" --tripid 215-22 --locoid 4040 --swversion DE.1.0.9.0 --startMP 204:546 --initTime 2017-11-22T17:55:46 --startdatetime 2017-11-22T18:00:13 --delay 72 --endMP 204:233274 --enddatetime 2017-11-22T18:35:40 --enforcementcount 0 &gt;&gt;%USERPROFILE%\Documents\GitHub\eaglep3-reporting\EC\2017-11-22-refined-times.txt</v>
      </c>
      <c r="AI127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{"issue":{"subject":"","project_id":79,"tracker_id":40,"status_id":1,"priority_id":2,"assigned_to_id":338,"start_date":"2017-11-22","description":"","custom_fields":[{"id":1,"name":"Subdivision","value":"EC"},{"id":4,"name":"Milepost","value":"23.3274"},{"id":17,"name":"Train ID","value":"215-22"},{"id":16,"name":"Locomotive ID","value":"4040"},{"id":130,"name":"Impact","value":""},{"id":150,"name":"Time of Event (Mountain Time)","value":"18:35:40"},{"id":151,"name":"Denver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66"/>
        <v>start /low /b %USERPROFILE%\Documents\GitHub\eaglep3\Utilities\DownloadLogsFromS3.py --loco 4040 --day 2017-11-22</v>
      </c>
      <c r="AN127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68"/>
        <v>https://d0f6bd738d7f1b3e5a7ca70fe4ff75f0.us-east-1.aws.found.io/app/kibana#/discover/Steve-Slow-Train-Analysis-(2080s-and-2083s)?_g=(refreshInterval:(display:Off,pause:!f,section:0,value:0),time:(from:'2017-11-22T16:55:46-0700',mode:absolute,to:'2017-11-22T19:35:40-0700'))&amp;_a=(columns:!('Message%20ID',Summary),filters:!(),index:'emp_*',interval:auto,query:(query_string:(analyze_wildcard:!t,query:'%22rtdc.l.rtdc.4040%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30" t="s">
        <v>849</v>
      </c>
      <c r="B128" s="226">
        <v>4039</v>
      </c>
      <c r="C128" s="228" t="s">
        <v>192</v>
      </c>
      <c r="D128" s="228" t="s">
        <v>979</v>
      </c>
      <c r="E128" s="227">
        <v>43061.786145833335</v>
      </c>
      <c r="F128" s="227">
        <v>43061.789837962962</v>
      </c>
      <c r="G128" s="226">
        <v>65</v>
      </c>
      <c r="H128" s="228" t="s">
        <v>980</v>
      </c>
      <c r="I128" s="227">
        <v>43061.818483796298</v>
      </c>
      <c r="J128" s="226">
        <v>0</v>
      </c>
      <c r="K128" s="238" t="str">
        <f t="shared" si="55"/>
        <v>4039/4040</v>
      </c>
      <c r="L128" s="246" t="str">
        <f>VLOOKUP(A128,'Trips&amp;Operators'!$C$1:$G$99911,5,FALSE)</f>
        <v>AUSTIN THOMPSON</v>
      </c>
      <c r="M128" s="225">
        <f t="shared" si="56"/>
        <v>2.8645833335758653E-2</v>
      </c>
      <c r="N128" s="226">
        <f t="shared" si="74"/>
        <v>41.25000000349246</v>
      </c>
      <c r="O128" s="226"/>
      <c r="P128" s="226"/>
      <c r="Q128" s="229"/>
      <c r="R128" s="243"/>
      <c r="S128" s="250">
        <f t="shared" si="71"/>
        <v>1</v>
      </c>
      <c r="T128" s="243" t="str">
        <f t="shared" si="57"/>
        <v>Southbound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58"/>
        <v>https://d0f6bd738d7f1b3e5a7ca70fe4ff75f0.us-east-1.aws.found.io/app/kibana#/discover/Steve-Slow-Train-Analysis-(2080s-and-2083s)?_g=(refreshInterval:(display:Off,pause:!f,section:0,value:0),time:(from:'2017-11-22T17:52:03-0700',mode:absolute,to:'2017-11-22T20:38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8" s="248" t="str">
        <f>IF(AA128&lt;VLOOKUP(AG128,Variables!$AC$3:$AD$8,2,FALSE),"Y","N")</f>
        <v>N</v>
      </c>
      <c r="X128" s="248">
        <f t="shared" si="75"/>
        <v>1</v>
      </c>
      <c r="Y128" s="248">
        <f t="shared" si="72"/>
        <v>23.2957</v>
      </c>
      <c r="Z128" s="248">
        <f t="shared" si="73"/>
        <v>2.8299999999999999E-2</v>
      </c>
      <c r="AA128" s="248">
        <f t="shared" si="59"/>
        <v>23.267399999999999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60"/>
        <v>216</v>
      </c>
      <c r="AE128" s="236" t="str">
        <f t="shared" si="61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128" s="235" t="str">
        <f t="shared" si="62"/>
        <v>"C:\Program Files (x86)\AstroGrep\AstroGrep.exe" /e /r /s /spath="%USERPROFILE%\AppData\Local\Temp\OnboardLogs" /stypes="app*4039*20171123*" /stext=" 02:.+((SYSTEM_STATE.+slice.+state.+changed )|(ment ac)|(multiple cpu faults)|(system.+state.+changed )|(\[timeout)|(PRM\|1\|D)|(kpr)|(kdp)|(train st.+moving)|(\|lc)|(penalty))"</v>
      </c>
      <c r="AG128" s="245" t="str">
        <f t="shared" si="63"/>
        <v>EC</v>
      </c>
      <c r="AH128" s="237" t="str">
        <f t="shared" si="64"/>
        <v>"%USERPROFILE%\Documents\GitHub\eaglep3\Utilities\RefineRTDCRunTimes.py" --tripid 216-22 --locoid 4039 --swversion DE.1.0.9.0 --startMP 204:232957 --initTime 2017-11-22T18:52:03 --startdatetime 2017-11-22T18:57:22 --delay 65 --endMP 204:283 --enddatetime 2017-11-22T19:38:37 --enforcementcount 0 &gt;&gt;%USERPROFILE%\Documents\GitHub\eaglep3-reporting\EC\2017-11-22-refined-times.txt</v>
      </c>
      <c r="AI128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{"issue":{"subject":"","project_id":79,"tracker_id":40,"status_id":1,"priority_id":2,"assigned_to_id":338,"start_date":"2017-11-22","description":"","custom_fields":[{"id":1,"name":"Subdivision","value":"EC"},{"id":4,"name":"Milepost","value":"0.0283"},{"id":17,"name":"Train ID","value":"216-22"},{"id":16,"name":"Locomotive ID","value":"4039"},{"id":130,"name":"Impact","value":""},{"id":150,"name":"Time of Event (Mountain Time)","value":"19:38:37"},{"id":151,"name":"Denver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66"/>
        <v>start /low /b %USERPROFILE%\Documents\GitHub\eaglep3\Utilities\DownloadLogsFromS3.py --loco 4039 --day 2017-11-22</v>
      </c>
      <c r="AN128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68"/>
        <v>https://d0f6bd738d7f1b3e5a7ca70fe4ff75f0.us-east-1.aws.found.io/app/kibana#/discover/Steve-Slow-Train-Analysis-(2080s-and-2083s)?_g=(refreshInterval:(display:Off,pause:!f,section:0,value:0),time:(from:'2017-11-22T17:52:03-0700',mode:absolute,to:'2017-11-22T20:38:37-0700'))&amp;_a=(columns:!('Message%20ID',Summary),filters:!(),index:'emp_*',interval:auto,query:(query_string:(analyze_wildcard:!t,query:'%22rtdc.l.rtdc.4039%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30" t="s">
        <v>842</v>
      </c>
      <c r="B129" s="226">
        <v>4016</v>
      </c>
      <c r="C129" s="228" t="s">
        <v>192</v>
      </c>
      <c r="D129" s="228" t="s">
        <v>612</v>
      </c>
      <c r="E129" s="227">
        <v>43061.756562499999</v>
      </c>
      <c r="F129" s="227">
        <v>43061.760659722226</v>
      </c>
      <c r="G129" s="226">
        <v>210</v>
      </c>
      <c r="H129" s="228" t="s">
        <v>934</v>
      </c>
      <c r="I129" s="227">
        <v>43061.785624999997</v>
      </c>
      <c r="J129" s="226">
        <v>0</v>
      </c>
      <c r="K129" s="238" t="str">
        <f t="shared" si="55"/>
        <v>4015/4016</v>
      </c>
      <c r="L129" s="246" t="str">
        <f>VLOOKUP(A129,'Trips&amp;Operators'!$C$1:$G$99911,5,FALSE)</f>
        <v>HAMMOND JUSTYNN</v>
      </c>
      <c r="M129" s="225">
        <f t="shared" si="56"/>
        <v>2.4965277771116234E-2</v>
      </c>
      <c r="N129" s="226">
        <f t="shared" si="74"/>
        <v>35.949999990407377</v>
      </c>
      <c r="O129" s="226"/>
      <c r="P129" s="226"/>
      <c r="Q129" s="229"/>
      <c r="R129" s="243"/>
      <c r="S129" s="250">
        <f t="shared" si="71"/>
        <v>1</v>
      </c>
      <c r="T129" s="243" t="str">
        <f t="shared" si="57"/>
        <v>NorthBound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58"/>
        <v>https://d0f6bd738d7f1b3e5a7ca70fe4ff75f0.us-east-1.aws.found.io/app/kibana#/discover/Steve-Slow-Train-Analysis-(2080s-and-2083s)?_g=(refreshInterval:(display:Off,pause:!f,section:0,value:0),time:(from:'2017-11-22T17:09:27-0700',mode:absolute,to:'2017-11-22T19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9" s="248" t="str">
        <f>IF(AA129&lt;VLOOKUP(AG129,Variables!$AC$3:$AD$8,2,FALSE),"Y","N")</f>
        <v>N</v>
      </c>
      <c r="X129" s="248">
        <f t="shared" si="75"/>
        <v>1</v>
      </c>
      <c r="Y129" s="248">
        <f t="shared" si="72"/>
        <v>5.3100000000000001E-2</v>
      </c>
      <c r="Z129" s="248">
        <f t="shared" si="73"/>
        <v>23.325700000000001</v>
      </c>
      <c r="AA129" s="248">
        <f t="shared" si="59"/>
        <v>23.272600000000001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60"/>
        <v>217</v>
      </c>
      <c r="AE129" s="236" t="str">
        <f t="shared" si="6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129" s="235" t="str">
        <f t="shared" si="62"/>
        <v>"C:\Program Files (x86)\AstroGrep\AstroGrep.exe" /e /r /s /spath="%USERPROFILE%\AppData\Local\Temp\OnboardLogs" /stypes="app*4016*20171123*" /stext=" 01:.+((SYSTEM_STATE.+slice.+state.+changed )|(ment ac)|(multiple cpu faults)|(system.+state.+changed )|(\[timeout)|(PRM\|1\|D)|(kpr)|(kdp)|(train st.+moving)|(\|lc)|(penalty))"</v>
      </c>
      <c r="AG129" s="245" t="str">
        <f t="shared" si="63"/>
        <v>EC</v>
      </c>
      <c r="AH129" s="237" t="str">
        <f t="shared" si="64"/>
        <v>"%USERPROFILE%\Documents\GitHub\eaglep3\Utilities\RefineRTDCRunTimes.py" --tripid 217-22 --locoid 4016 --swversion DE.1.0.9.0 --startMP 204:531 --initTime 2017-11-22T18:09:27 --startdatetime 2017-11-22T18:15:21 --delay 210 --endMP 204:233257 --enddatetime 2017-11-22T18:51:18 --enforcementcount 0 &gt;&gt;%USERPROFILE%\Documents\GitHub\eaglep3-reporting\EC\2017-11-22-refined-times.txt</v>
      </c>
      <c r="AI129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{"issue":{"subject":"","project_id":79,"tracker_id":40,"status_id":1,"priority_id":2,"assigned_to_id":338,"start_date":"2017-11-22","description":"","custom_fields":[{"id":1,"name":"Subdivision","value":"EC"},{"id":4,"name":"Milepost","value":"23.3257"},{"id":17,"name":"Train ID","value":"217-22"},{"id":16,"name":"Locomotive ID","value":"4016"},{"id":130,"name":"Impact","value":""},{"id":150,"name":"Time of Event (Mountain Time)","value":"18:51:18"},{"id":151,"name":"Denver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66"/>
        <v>start /low /b %USERPROFILE%\Documents\GitHub\eaglep3\Utilities\DownloadLogsFromS3.py --loco 4016 --day 2017-11-22</v>
      </c>
      <c r="AN129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68"/>
        <v>https://d0f6bd738d7f1b3e5a7ca70fe4ff75f0.us-east-1.aws.found.io/app/kibana#/discover/Steve-Slow-Train-Analysis-(2080s-and-2083s)?_g=(refreshInterval:(display:Off,pause:!f,section:0,value:0),time:(from:'2017-11-22T17:09:27-0700',mode:absolute,to:'2017-11-22T19:51:18-0700'))&amp;_a=(columns:!('Message%20ID',Summary),filters:!(),index:'emp_*',interval:auto,query:(query_string:(analyze_wildcard:!t,query:'%22rtdc.l.rtdc.4016%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30" t="s">
        <v>662</v>
      </c>
      <c r="B130" s="226">
        <v>4015</v>
      </c>
      <c r="C130" s="228" t="s">
        <v>192</v>
      </c>
      <c r="D130" s="228" t="s">
        <v>548</v>
      </c>
      <c r="E130" s="227">
        <v>43061.796099537038</v>
      </c>
      <c r="F130" s="227">
        <v>43061.800266203703</v>
      </c>
      <c r="G130" s="226">
        <v>91</v>
      </c>
      <c r="H130" s="228" t="s">
        <v>588</v>
      </c>
      <c r="I130" s="227">
        <v>43061.827881944446</v>
      </c>
      <c r="J130" s="226">
        <v>0</v>
      </c>
      <c r="K130" s="238" t="str">
        <f t="shared" si="55"/>
        <v>4015/4016</v>
      </c>
      <c r="L130" s="246" t="str">
        <f>VLOOKUP(A130,'Trips&amp;Operators'!$C$1:$G$99911,5,FALSE)</f>
        <v>HAMMOND JUSTYNN</v>
      </c>
      <c r="M130" s="225">
        <f t="shared" si="56"/>
        <v>2.7615740742476191E-2</v>
      </c>
      <c r="N130" s="226">
        <f t="shared" si="74"/>
        <v>39.766666669165716</v>
      </c>
      <c r="O130" s="226"/>
      <c r="P130" s="226"/>
      <c r="Q130" s="229"/>
      <c r="R130" s="243"/>
      <c r="S130" s="250">
        <f t="shared" si="71"/>
        <v>1</v>
      </c>
      <c r="T130" s="243" t="str">
        <f t="shared" si="57"/>
        <v>Southbound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58"/>
        <v>https://d0f6bd738d7f1b3e5a7ca70fe4ff75f0.us-east-1.aws.found.io/app/kibana#/discover/Steve-Slow-Train-Analysis-(2080s-and-2083s)?_g=(refreshInterval:(display:Off,pause:!f,section:0,value:0),time:(from:'2017-11-22T18:06:23-0700',mode:absolute,to:'2017-11-22T20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0" s="248" t="str">
        <f>IF(AA130&lt;VLOOKUP(AG130,Variables!$AC$3:$AD$8,2,FALSE),"Y","N")</f>
        <v>N</v>
      </c>
      <c r="X130" s="248">
        <f t="shared" si="75"/>
        <v>1</v>
      </c>
      <c r="Y130" s="248">
        <f t="shared" si="72"/>
        <v>23.2942</v>
      </c>
      <c r="Z130" s="248">
        <f t="shared" si="73"/>
        <v>2.29E-2</v>
      </c>
      <c r="AA130" s="248">
        <f t="shared" si="59"/>
        <v>23.2713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60"/>
        <v>218</v>
      </c>
      <c r="AE130" s="236" t="str">
        <f t="shared" si="6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130" s="235" t="str">
        <f t="shared" si="62"/>
        <v>"C:\Program Files (x86)\AstroGrep\AstroGrep.exe" /e /r /s /spath="%USERPROFILE%\AppData\Local\Temp\OnboardLogs" /stypes="app*4015*20171123*" /stext=" 02:.+((SYSTEM_STATE.+slice.+state.+changed )|(ment ac)|(multiple cpu faults)|(system.+state.+changed )|(\[timeout)|(PRM\|1\|D)|(kpr)|(kdp)|(train st.+moving)|(\|lc)|(penalty))"</v>
      </c>
      <c r="AG130" s="245" t="str">
        <f t="shared" si="63"/>
        <v>EC</v>
      </c>
      <c r="AH130" s="237" t="str">
        <f t="shared" si="64"/>
        <v>"%USERPROFILE%\Documents\GitHub\eaglep3\Utilities\RefineRTDCRunTimes.py" --tripid 218-22 --locoid 4015 --swversion DE.1.0.9.0 --startMP 204:232942 --initTime 2017-11-22T19:06:23 --startdatetime 2017-11-22T19:12:23 --delay 91 --endMP 204:229 --enddatetime 2017-11-22T19:52:09 --enforcementcount 0 &gt;&gt;%USERPROFILE%\Documents\GitHub\eaglep3-reporting\EC\2017-11-22-refined-times.txt</v>
      </c>
      <c r="AI130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{"issue":{"subject":"","project_id":79,"tracker_id":40,"status_id":1,"priority_id":2,"assigned_to_id":338,"start_date":"2017-11-22","description":"","custom_fields":[{"id":1,"name":"Subdivision","value":"EC"},{"id":4,"name":"Milepost","value":"0.0229"},{"id":17,"name":"Train ID","value":"218-22"},{"id":16,"name":"Locomotive ID","value":"4015"},{"id":130,"name":"Impact","value":""},{"id":150,"name":"Time of Event (Mountain Time)","value":"19:52:09"},{"id":151,"name":"Denver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66"/>
        <v>start /low /b %USERPROFILE%\Documents\GitHub\eaglep3\Utilities\DownloadLogsFromS3.py --loco 4015 --day 2017-11-22</v>
      </c>
      <c r="AN130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68"/>
        <v>https://d0f6bd738d7f1b3e5a7ca70fe4ff75f0.us-east-1.aws.found.io/app/kibana#/discover/Steve-Slow-Train-Analysis-(2080s-and-2083s)?_g=(refreshInterval:(display:Off,pause:!f,section:0,value:0),time:(from:'2017-11-22T18:06:23-0700',mode:absolute,to:'2017-11-22T20:52:09-0700'))&amp;_a=(columns:!('Message%20ID',Summary),filters:!(),index:'emp_*',interval:auto,query:(query_string:(analyze_wildcard:!t,query:'%22rtdc.l.rtdc.4015%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4" customFormat="1" x14ac:dyDescent="0.3">
      <c r="A131" s="230" t="s">
        <v>844</v>
      </c>
      <c r="B131" s="226">
        <v>4006</v>
      </c>
      <c r="C131" s="228" t="s">
        <v>192</v>
      </c>
      <c r="D131" s="228" t="s">
        <v>552</v>
      </c>
      <c r="E131" s="227">
        <v>43061.766122685185</v>
      </c>
      <c r="F131" s="227">
        <v>43061.771111111113</v>
      </c>
      <c r="G131" s="226">
        <v>64</v>
      </c>
      <c r="H131" s="228" t="s">
        <v>981</v>
      </c>
      <c r="I131" s="227">
        <v>43061.795729166668</v>
      </c>
      <c r="J131" s="226">
        <v>0</v>
      </c>
      <c r="K131" s="238" t="str">
        <f t="shared" si="55"/>
        <v>4005/4006</v>
      </c>
      <c r="L131" s="246" t="str">
        <f>VLOOKUP(A131,'Trips&amp;Operators'!$C$1:$G$99911,5,FALSE)</f>
        <v>LOPES KIMBERLY</v>
      </c>
      <c r="M131" s="225">
        <f t="shared" si="56"/>
        <v>2.4618055555038154E-2</v>
      </c>
      <c r="N131" s="226">
        <f t="shared" si="74"/>
        <v>35.449999999254942</v>
      </c>
      <c r="O131" s="226"/>
      <c r="P131" s="226"/>
      <c r="Q131" s="229"/>
      <c r="R131" s="243"/>
      <c r="S131" s="250">
        <f t="shared" si="71"/>
        <v>1</v>
      </c>
      <c r="T131" s="243" t="str">
        <f t="shared" si="57"/>
        <v>NorthBound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58"/>
        <v>https://d0f6bd738d7f1b3e5a7ca70fe4ff75f0.us-east-1.aws.found.io/app/kibana#/discover/Steve-Slow-Train-Analysis-(2080s-and-2083s)?_g=(refreshInterval:(display:Off,pause:!f,section:0,value:0),time:(from:'2017-11-22T17:23:13-0700',mode:absolute,to:'2017-11-22T20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1" s="248" t="str">
        <f>IF(AA131&lt;VLOOKUP(AG131,Variables!$AC$3:$AD$8,2,FALSE),"Y","N")</f>
        <v>N</v>
      </c>
      <c r="X131" s="248">
        <f t="shared" si="75"/>
        <v>1</v>
      </c>
      <c r="Y131" s="248">
        <f t="shared" si="72"/>
        <v>5.11E-2</v>
      </c>
      <c r="Z131" s="248">
        <f t="shared" si="73"/>
        <v>23.318100000000001</v>
      </c>
      <c r="AA131" s="248">
        <f t="shared" si="59"/>
        <v>23.266999999999999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60"/>
        <v>219</v>
      </c>
      <c r="AE131" s="236" t="str">
        <f t="shared" si="6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131" s="235" t="str">
        <f t="shared" si="62"/>
        <v>"C:\Program Files (x86)\AstroGrep\AstroGrep.exe" /e /r /s /spath="%USERPROFILE%\AppData\Local\Temp\OnboardLogs" /stypes="app*4006*20171123*" /stext=" 02:.+((SYSTEM_STATE.+slice.+state.+changed )|(ment ac)|(multiple cpu faults)|(system.+state.+changed )|(\[timeout)|(PRM\|1\|D)|(kpr)|(kdp)|(train st.+moving)|(\|lc)|(penalty))"</v>
      </c>
      <c r="AG131" s="245" t="str">
        <f t="shared" si="63"/>
        <v>EC</v>
      </c>
      <c r="AH131" s="237" t="str">
        <f t="shared" si="64"/>
        <v>"%USERPROFILE%\Documents\GitHub\eaglep3\Utilities\RefineRTDCRunTimes.py" --tripid 219-22 --locoid 4006 --swversion DE.1.0.9.0 --startMP 204:511 --initTime 2017-11-22T18:23:13 --startdatetime 2017-11-22T18:30:24 --delay 64 --endMP 204:233181 --enddatetime 2017-11-22T19:05:51 --enforcementcount 0 &gt;&gt;%USERPROFILE%\Documents\GitHub\eaglep3-reporting\EC\2017-11-22-refined-times.txt</v>
      </c>
      <c r="AI13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{"issue":{"subject":"","project_id":79,"tracker_id":40,"status_id":1,"priority_id":2,"assigned_to_id":338,"start_date":"2017-11-22","description":"","custom_fields":[{"id":1,"name":"Subdivision","value":"EC"},{"id":4,"name":"Milepost","value":"23.3181"},{"id":17,"name":"Train ID","value":"219-22"},{"id":16,"name":"Locomotive ID","value":"4006"},{"id":130,"name":"Impact","value":""},{"id":150,"name":"Time of Event (Mountain Time)","value":"19:05:51"},{"id":151,"name":"Denver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2"/>
      <c r="AL131" s="232"/>
      <c r="AM131" s="241" t="str">
        <f t="shared" si="66"/>
        <v>start /low /b %USERPROFILE%\Documents\GitHub\eaglep3\Utilities\DownloadLogsFromS3.py --loco 4006 --day 2017-11-22</v>
      </c>
      <c r="AN131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68"/>
        <v>https://d0f6bd738d7f1b3e5a7ca70fe4ff75f0.us-east-1.aws.found.io/app/kibana#/discover/Steve-Slow-Train-Analysis-(2080s-and-2083s)?_g=(refreshInterval:(display:Off,pause:!f,section:0,value:0),time:(from:'2017-11-22T17:23:13-0700',mode:absolute,to:'2017-11-22T20:05:51-0700'))&amp;_a=(columns:!('Message%20ID',Summary),filters:!(),index:'emp_*',interval:auto,query:(query_string:(analyze_wildcard:!t,query:'%22rtdc.l.rtdc.4006%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30" t="s">
        <v>854</v>
      </c>
      <c r="B132" s="226">
        <v>4005</v>
      </c>
      <c r="C132" s="228" t="s">
        <v>192</v>
      </c>
      <c r="D132" s="228" t="s">
        <v>982</v>
      </c>
      <c r="E132" s="227">
        <v>43061.804270833331</v>
      </c>
      <c r="F132" s="227">
        <v>43061.810659722221</v>
      </c>
      <c r="G132" s="226">
        <v>75</v>
      </c>
      <c r="H132" s="228" t="s">
        <v>514</v>
      </c>
      <c r="I132" s="227">
        <v>43061.83662037037</v>
      </c>
      <c r="J132" s="226">
        <v>0</v>
      </c>
      <c r="K132" s="238" t="str">
        <f t="shared" si="55"/>
        <v>4005/4006</v>
      </c>
      <c r="L132" s="246" t="str">
        <f>VLOOKUP(A132,'Trips&amp;Operators'!$C$1:$G$99911,5,FALSE)</f>
        <v>LOPES KIMBERLY</v>
      </c>
      <c r="M132" s="225">
        <f t="shared" si="56"/>
        <v>2.5960648148611654E-2</v>
      </c>
      <c r="N132" s="226">
        <f t="shared" si="74"/>
        <v>37.383333334000781</v>
      </c>
      <c r="O132" s="226"/>
      <c r="P132" s="226"/>
      <c r="Q132" s="229"/>
      <c r="R132" s="243"/>
      <c r="S132" s="250">
        <f t="shared" si="71"/>
        <v>1</v>
      </c>
      <c r="T132" s="243" t="str">
        <f t="shared" si="57"/>
        <v>Southbound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58"/>
        <v>https://d0f6bd738d7f1b3e5a7ca70fe4ff75f0.us-east-1.aws.found.io/app/kibana#/discover/Steve-Slow-Train-Analysis-(2080s-and-2083s)?_g=(refreshInterval:(display:Off,pause:!f,section:0,value:0),time:(from:'2017-11-22T18:18:09-0700',mode:absolute,to:'2017-11-22T21:04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2" s="248" t="str">
        <f>IF(AA132&lt;VLOOKUP(AG132,Variables!$AC$3:$AD$8,2,FALSE),"Y","N")</f>
        <v>N</v>
      </c>
      <c r="X132" s="248">
        <f t="shared" si="75"/>
        <v>1</v>
      </c>
      <c r="Y132" s="248">
        <f t="shared" si="72"/>
        <v>23.2866</v>
      </c>
      <c r="Z132" s="248">
        <f t="shared" si="73"/>
        <v>2.1600000000000001E-2</v>
      </c>
      <c r="AA132" s="248">
        <f t="shared" si="59"/>
        <v>23.265000000000001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60"/>
        <v>220</v>
      </c>
      <c r="AE132" s="236" t="str">
        <f t="shared" si="61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132" s="235" t="str">
        <f t="shared" si="62"/>
        <v>"C:\Program Files (x86)\AstroGrep\AstroGrep.exe" /e /r /s /spath="%USERPROFILE%\AppData\Local\Temp\OnboardLogs" /stypes="app*4005*20171123*" /stext=" 03:.+((SYSTEM_STATE.+slice.+state.+changed )|(ment ac)|(multiple cpu faults)|(system.+state.+changed )|(\[timeout)|(PRM\|1\|D)|(kpr)|(kdp)|(train st.+moving)|(\|lc)|(penalty))"</v>
      </c>
      <c r="AG132" s="245" t="str">
        <f t="shared" si="63"/>
        <v>EC</v>
      </c>
      <c r="AH132" s="237" t="str">
        <f t="shared" si="64"/>
        <v>"%USERPROFILE%\Documents\GitHub\eaglep3\Utilities\RefineRTDCRunTimes.py" --tripid 220-22 --locoid 4005 --swversion DE.1.0.9.0 --startMP 204:232866 --initTime 2017-11-22T19:18:09 --startdatetime 2017-11-22T19:27:21 --delay 75 --endMP 204:216 --enddatetime 2017-11-22T20:04:44 --enforcementcount 0 &gt;&gt;%USERPROFILE%\Documents\GitHub\eaglep3-reporting\EC\2017-11-22-refined-times.txt</v>
      </c>
      <c r="AI13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{"issue":{"subject":"","project_id":79,"tracker_id":40,"status_id":1,"priority_id":2,"assigned_to_id":338,"start_date":"2017-11-22","description":"","custom_fields":[{"id":1,"name":"Subdivision","value":"EC"},{"id":4,"name":"Milepost","value":"0.0216"},{"id":17,"name":"Train ID","value":"220-22"},{"id":16,"name":"Locomotive ID","value":"4005"},{"id":130,"name":"Impact","value":""},{"id":150,"name":"Time of Event (Mountain Time)","value":"20:04:44"},{"id":151,"name":"Denver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66"/>
        <v>start /low /b %USERPROFILE%\Documents\GitHub\eaglep3\Utilities\DownloadLogsFromS3.py --loco 4005 --day 2017-11-22</v>
      </c>
      <c r="AN132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03:04:44"},{"id":29,"name":"Sharepoint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68"/>
        <v>https://d0f6bd738d7f1b3e5a7ca70fe4ff75f0.us-east-1.aws.found.io/app/kibana#/discover/Steve-Slow-Train-Analysis-(2080s-and-2083s)?_g=(refreshInterval:(display:Off,pause:!f,section:0,value:0),time:(from:'2017-11-22T18:18:09-0700',mode:absolute,to:'2017-11-22T21:04:44-0700'))&amp;_a=(columns:!('Message%20ID',Summary),filters:!(),index:'emp_*',interval:auto,query:(query_string:(analyze_wildcard:!t,query:'%22rtdc.l.rtdc.4005%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30" t="s">
        <v>851</v>
      </c>
      <c r="B133" s="226">
        <v>4018</v>
      </c>
      <c r="C133" s="228" t="s">
        <v>192</v>
      </c>
      <c r="D133" s="228" t="s">
        <v>582</v>
      </c>
      <c r="E133" s="227">
        <v>43061.78769675926</v>
      </c>
      <c r="F133" s="227">
        <v>43061.791898148149</v>
      </c>
      <c r="G133" s="226">
        <v>280</v>
      </c>
      <c r="H133" s="228" t="s">
        <v>983</v>
      </c>
      <c r="I133" s="227">
        <v>43061.818009259259</v>
      </c>
      <c r="J133" s="226">
        <v>0</v>
      </c>
      <c r="K133" s="238" t="str">
        <f t="shared" si="55"/>
        <v>4017/4018</v>
      </c>
      <c r="L133" s="246" t="str">
        <f>VLOOKUP(A133,'Trips&amp;Operators'!$C$1:$G$99911,5,FALSE)</f>
        <v>NICHOLSON WESLEY</v>
      </c>
      <c r="M133" s="225">
        <f t="shared" si="56"/>
        <v>2.6111111110367347E-2</v>
      </c>
      <c r="N133" s="226">
        <f t="shared" si="74"/>
        <v>37.599999998928979</v>
      </c>
      <c r="O133" s="226"/>
      <c r="P133" s="226"/>
      <c r="Q133" s="229"/>
      <c r="R133" s="243"/>
      <c r="S133" s="250">
        <f t="shared" si="71"/>
        <v>1</v>
      </c>
      <c r="T133" s="243" t="str">
        <f t="shared" si="57"/>
        <v>NorthBound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58"/>
        <v>https://d0f6bd738d7f1b3e5a7ca70fe4ff75f0.us-east-1.aws.found.io/app/kibana#/discover/Steve-Slow-Train-Analysis-(2080s-and-2083s)?_g=(refreshInterval:(display:Off,pause:!f,section:0,value:0),time:(from:'2017-11-22T17:54:17-0700',mode:absolute,to:'2017-11-22T20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3" s="248" t="str">
        <f>IF(AA133&lt;VLOOKUP(AG133,Variables!$AC$3:$AD$8,2,FALSE),"Y","N")</f>
        <v>N</v>
      </c>
      <c r="X133" s="248">
        <f t="shared" si="75"/>
        <v>1</v>
      </c>
      <c r="Y133" s="248">
        <f t="shared" si="72"/>
        <v>4.6699999999999998E-2</v>
      </c>
      <c r="Z133" s="248">
        <f t="shared" si="73"/>
        <v>23.319600000000001</v>
      </c>
      <c r="AA133" s="248">
        <f t="shared" si="59"/>
        <v>23.2729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60"/>
        <v>221</v>
      </c>
      <c r="AE133" s="236" t="str">
        <f t="shared" si="61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133" s="235" t="str">
        <f t="shared" si="62"/>
        <v>"C:\Program Files (x86)\AstroGrep\AstroGrep.exe" /e /r /s /spath="%USERPROFILE%\AppData\Local\Temp\OnboardLogs" /stypes="app*4018*20171123*" /stext=" 02:.+((SYSTEM_STATE.+slice.+state.+changed )|(ment ac)|(multiple cpu faults)|(system.+state.+changed )|(\[timeout)|(PRM\|1\|D)|(kpr)|(kdp)|(train st.+moving)|(\|lc)|(penalty))"</v>
      </c>
      <c r="AG133" s="245" t="str">
        <f t="shared" si="63"/>
        <v>EC</v>
      </c>
      <c r="AH133" s="237" t="str">
        <f t="shared" si="64"/>
        <v>"%USERPROFILE%\Documents\GitHub\eaglep3\Utilities\RefineRTDCRunTimes.py" --tripid 221-22 --locoid 4018 --swversion DE.1.0.9.0 --startMP 204:467 --initTime 2017-11-22T18:54:17 --startdatetime 2017-11-22T19:00:20 --delay 280 --endMP 204:233196 --enddatetime 2017-11-22T19:37:56 --enforcementcount 0 &gt;&gt;%USERPROFILE%\Documents\GitHub\eaglep3-reporting\EC\2017-11-22-refined-times.txt</v>
      </c>
      <c r="AI13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{"issue":{"subject":"","project_id":79,"tracker_id":40,"status_id":1,"priority_id":2,"assigned_to_id":338,"start_date":"2017-11-22","description":"","custom_fields":[{"id":1,"name":"Subdivision","value":"EC"},{"id":4,"name":"Milepost","value":"23.3196"},{"id":17,"name":"Train ID","value":"221-22"},{"id":16,"name":"Locomotive ID","value":"4018"},{"id":130,"name":"Impact","value":""},{"id":150,"name":"Time of Event (Mountain Time)","value":"19:37:56"},{"id":151,"name":"Denver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66"/>
        <v>start /low /b %USERPROFILE%\Documents\GitHub\eaglep3\Utilities\DownloadLogsFromS3.py --loco 4018 --day 2017-11-22</v>
      </c>
      <c r="AN133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68"/>
        <v>https://d0f6bd738d7f1b3e5a7ca70fe4ff75f0.us-east-1.aws.found.io/app/kibana#/discover/Steve-Slow-Train-Analysis-(2080s-and-2083s)?_g=(refreshInterval:(display:Off,pause:!f,section:0,value:0),time:(from:'2017-11-22T17:54:17-0700',mode:absolute,to:'2017-11-22T20:37:56-0700'))&amp;_a=(columns:!('Message%20ID',Summary),filters:!(),index:'emp_*',interval:auto,query:(query_string:(analyze_wildcard:!t,query:'%22rtdc.l.rtdc.4018%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30" t="s">
        <v>857</v>
      </c>
      <c r="B134" s="226">
        <v>4017</v>
      </c>
      <c r="C134" s="228" t="s">
        <v>192</v>
      </c>
      <c r="D134" s="228" t="s">
        <v>603</v>
      </c>
      <c r="E134" s="227">
        <v>43061.83017361111</v>
      </c>
      <c r="F134" s="227">
        <v>43061.91474537037</v>
      </c>
      <c r="G134" s="226">
        <v>67</v>
      </c>
      <c r="H134" s="228" t="s">
        <v>984</v>
      </c>
      <c r="I134" s="227">
        <v>43061.940370370372</v>
      </c>
      <c r="J134" s="226">
        <v>0</v>
      </c>
      <c r="K134" s="238" t="str">
        <f t="shared" si="55"/>
        <v>4017/4018</v>
      </c>
      <c r="L134" s="246" t="str">
        <f>VLOOKUP(A134,'Trips&amp;Operators'!$C$1:$G$99911,5,FALSE)</f>
        <v>NICHOLSON WESLEY</v>
      </c>
      <c r="M134" s="225">
        <f t="shared" si="56"/>
        <v>2.5625000002037268E-2</v>
      </c>
      <c r="N134" s="226"/>
      <c r="O134" s="226"/>
      <c r="P134" s="226">
        <f>24*60*SUM($M134:$M134)</f>
        <v>36.900000002933666</v>
      </c>
      <c r="Q134" s="229"/>
      <c r="R134" s="243" t="s">
        <v>1125</v>
      </c>
      <c r="S134" s="250"/>
      <c r="T134" s="243" t="str">
        <f t="shared" si="57"/>
        <v>Southbound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0</v>
      </c>
      <c r="V134" s="249" t="str">
        <f t="shared" si="58"/>
        <v>https://d0f6bd738d7f1b3e5a7ca70fe4ff75f0.us-east-1.aws.found.io/app/kibana#/discover/Steve-Slow-Train-Analysis-(2080s-and-2083s)?_g=(refreshInterval:(display:Off,pause:!f,section:0,value:0),time:(from:'2017-11-22T18:55:27-0700',mode:absolute,to:'2017-11-22T23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4" s="248" t="str">
        <f>IF(AA134&lt;VLOOKUP(AG134,Variables!$AC$3:$AD$8,2,FALSE),"Y","N")</f>
        <v>Y</v>
      </c>
      <c r="X134" s="248">
        <f t="shared" si="75"/>
        <v>1</v>
      </c>
      <c r="Y134" s="248">
        <f t="shared" si="72"/>
        <v>23.2879</v>
      </c>
      <c r="Z134" s="248">
        <f t="shared" si="73"/>
        <v>12.785399999999999</v>
      </c>
      <c r="AA134" s="248">
        <f t="shared" si="59"/>
        <v>10.502500000000001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60"/>
        <v>222</v>
      </c>
      <c r="AE134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34" s="235" t="str">
        <f t="shared" si="62"/>
        <v>"C:\Program Files (x86)\AstroGrep\AstroGrep.exe" /e /r /s /spath="%USERPROFILE%\AppData\Local\Temp\OnboardLogs" /stypes="app*4017*20171123*" /stext=" 05:.+((SYSTEM_STATE.+slice.+state.+changed )|(ment ac)|(multiple cpu faults)|(system.+state.+changed )|(\[timeout)|(PRM\|1\|D)|(kpr)|(kdp)|(train st.+moving)|(\|lc)|(penalty))"</v>
      </c>
      <c r="AG134" s="245" t="str">
        <f t="shared" si="63"/>
        <v>EC</v>
      </c>
      <c r="AH134" s="237" t="str">
        <f t="shared" si="64"/>
        <v>"%USERPROFILE%\Documents\GitHub\eaglep3\Utilities\RefineRTDCRunTimes.py" --tripid 222-22 --locoid 4017 --swversion DE.1.0.9.0 --startMP 204:232879 --initTime 2017-11-22T19:55:27 --startdatetime 2017-11-22T21:57:14 --delay 67 --endMP 204:127854 --enddatetime 2017-11-22T22:34:08 --enforcementcount 0 &gt;&gt;%USERPROFILE%\Documents\GitHub\eaglep3-reporting\EC\2017-11-22-refined-times.txt</v>
      </c>
      <c r="AI134" s="239" t="str">
        <f t="shared" si="65"/>
        <v>echo {"issue":{"subject":"TMDS/Onboard CRC mismatch","project_id":79,"tracker_id":40,"status_id":1,"priority_id":2,"assigned_to_id":338,"start_date":"2017-11-22","description":"","custom_fields":[{"id":1,"name":"Subdivision","value":"EC"},{"id":4,"name":"Milepost","value":"12.7854"},{"id":17,"name":"Train ID","value":"222-22"},{"id":16,"name":"Locomotive ID","value":"4017"},{"id":130,"name":"Impact","value":""},{"id":150,"name":"Time of Event (Mountain Time)","value":"22:34:08"},{"id":151,"name":"Denver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66"/>
        <v>start /low /b %USERPROFILE%\Documents\GitHub\eaglep3\Utilities\DownloadLogsFromS3.py --loco 4017 --day 2017-11-22</v>
      </c>
      <c r="AN134" s="242" t="str">
        <f t="shared" si="67"/>
        <v>echo {"issue":{"subject":"TMDS/Onboard CRC mismatch","project_id":30,"tracker_id":4,"status_id":1,"priority_id":1,"assigned_to_id":10,"start_date":"2017-11-23","description":"","custom_fields":[{"id":30,"name":"Category","value":"Issue"},{"id":3,"name":"Functional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68"/>
        <v>https://d0f6bd738d7f1b3e5a7ca70fe4ff75f0.us-east-1.aws.found.io/app/kibana#/discover/Steve-Slow-Train-Analysis-(2080s-and-2083s)?_g=(refreshInterval:(display:Off,pause:!f,section:0,value:0),time:(from:'2017-11-22T18:55:27-0700',mode:absolute,to:'2017-11-22T23:34:08-0700'))&amp;_a=(columns:!('Message%20ID',Summary),filters:!(),index:'emp_*',interval:auto,query:(query_string:(analyze_wildcard:!t,query:'%22rtdc.l.rtdc.4017%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30" t="s">
        <v>857</v>
      </c>
      <c r="B135" s="226">
        <v>4017</v>
      </c>
      <c r="C135" s="228" t="s">
        <v>192</v>
      </c>
      <c r="D135" s="228" t="s">
        <v>985</v>
      </c>
      <c r="E135" s="227">
        <v>43061.823310185187</v>
      </c>
      <c r="F135" s="227">
        <v>43061.91474537037</v>
      </c>
      <c r="G135" s="226">
        <v>73</v>
      </c>
      <c r="H135" s="228" t="s">
        <v>986</v>
      </c>
      <c r="I135" s="227">
        <v>43061.940370370372</v>
      </c>
      <c r="J135" s="226">
        <v>0</v>
      </c>
      <c r="K135" s="238" t="str">
        <f t="shared" si="55"/>
        <v>4017/4018</v>
      </c>
      <c r="L135" s="246" t="str">
        <f>VLOOKUP(A135,'Trips&amp;Operators'!$C$1:$G$99911,5,FALSE)</f>
        <v>NICHOLSON WESLEY</v>
      </c>
      <c r="M135" s="225">
        <f t="shared" si="56"/>
        <v>2.5625000002037268E-2</v>
      </c>
      <c r="N135" s="226"/>
      <c r="O135" s="226"/>
      <c r="P135" s="226"/>
      <c r="Q135" s="229"/>
      <c r="R135" s="243"/>
      <c r="S135" s="250"/>
      <c r="T135" s="243" t="str">
        <f t="shared" si="57"/>
        <v>Southbound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0</v>
      </c>
      <c r="V135" s="249" t="str">
        <f t="shared" si="58"/>
        <v>https://d0f6bd738d7f1b3e5a7ca70fe4ff75f0.us-east-1.aws.found.io/app/kibana#/discover/Steve-Slow-Train-Analysis-(2080s-and-2083s)?_g=(refreshInterval:(display:Off,pause:!f,section:0,value:0),time:(from:'2017-11-22T18:45:34-0700',mode:absolute,to:'2017-11-22T23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5" s="248" t="str">
        <f>IF(AA135&lt;VLOOKUP(AG135,Variables!$AC$3:$AD$8,2,FALSE),"Y","N")</f>
        <v>Y</v>
      </c>
      <c r="X135" s="248">
        <f t="shared" si="75"/>
        <v>0</v>
      </c>
      <c r="Y135" s="248">
        <f t="shared" si="72"/>
        <v>23.287500000000001</v>
      </c>
      <c r="Z135" s="248">
        <f t="shared" si="73"/>
        <v>23.286799999999999</v>
      </c>
      <c r="AA135" s="248">
        <f t="shared" si="59"/>
        <v>7.0000000000192131E-4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60"/>
        <v>222</v>
      </c>
      <c r="AE135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35" s="235" t="str">
        <f t="shared" si="62"/>
        <v>"C:\Program Files (x86)\AstroGrep\AstroGrep.exe" /e /r /s /spath="%USERPROFILE%\AppData\Local\Temp\OnboardLogs" /stypes="app*4017*20171123*" /stext=" 05:.+((SYSTEM_STATE.+slice.+state.+changed )|(ment ac)|(multiple cpu faults)|(system.+state.+changed )|(\[timeout)|(PRM\|1\|D)|(kpr)|(kdp)|(train st.+moving)|(\|lc)|(penalty))"</v>
      </c>
      <c r="AG135" s="245" t="str">
        <f t="shared" si="63"/>
        <v>EC</v>
      </c>
      <c r="AH135" s="237" t="str">
        <f t="shared" si="64"/>
        <v>"%USERPROFILE%\Documents\GitHub\eaglep3\Utilities\RefineRTDCRunTimes.py" --tripid 222-22 --locoid 4017 --swversion DE.1.0.9.0 --startMP 204:232875 --initTime 2017-11-22T19:45:34 --startdatetime 2017-11-22T21:57:14 --delay 73 --endMP 204:232868 --enddatetime 2017-11-22T22:34:08 --enforcementcount 0 &gt;&gt;%USERPROFILE%\Documents\GitHub\eaglep3-reporting\EC\2017-11-22-refined-times.txt</v>
      </c>
      <c r="AI135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{"issue":{"subject":"","project_id":79,"tracker_id":40,"status_id":1,"priority_id":2,"assigned_to_id":338,"start_date":"2017-11-22","description":"","custom_fields":[{"id":1,"name":"Subdivision","value":"EC"},{"id":4,"name":"Milepost","value":"23.2868"},{"id":17,"name":"Train ID","value":"222-22"},{"id":16,"name":"Locomotive ID","value":"4017"},{"id":130,"name":"Impact","value":""},{"id":150,"name":"Time of Event (Mountain Time)","value":"22:34:08"},{"id":151,"name":"Denver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66"/>
        <v>start /low /b %USERPROFILE%\Documents\GitHub\eaglep3\Utilities\DownloadLogsFromS3.py --loco 4017 --day 2017-11-22</v>
      </c>
      <c r="AN135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68"/>
        <v>https://d0f6bd738d7f1b3e5a7ca70fe4ff75f0.us-east-1.aws.found.io/app/kibana#/discover/Steve-Slow-Train-Analysis-(2080s-and-2083s)?_g=(refreshInterval:(display:Off,pause:!f,section:0,value:0),time:(from:'2017-11-22T18:45:34-0700',mode:absolute,to:'2017-11-22T23:34:08-0700'))&amp;_a=(columns:!('Message%20ID',Summary),filters:!(),index:'emp_*',interval:auto,query:(query_string:(analyze_wildcard:!t,query:'%22rtdc.l.rtdc.4017%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30" t="s">
        <v>857</v>
      </c>
      <c r="B136" s="226">
        <v>4017</v>
      </c>
      <c r="C136" s="228" t="s">
        <v>192</v>
      </c>
      <c r="D136" s="228" t="s">
        <v>987</v>
      </c>
      <c r="E136" s="227">
        <v>43061.841238425928</v>
      </c>
      <c r="F136" s="227">
        <v>43061.91474537037</v>
      </c>
      <c r="G136" s="226">
        <v>65</v>
      </c>
      <c r="H136" s="228" t="s">
        <v>896</v>
      </c>
      <c r="I136" s="227">
        <v>43061.940370370372</v>
      </c>
      <c r="J136" s="226">
        <v>0</v>
      </c>
      <c r="K136" s="238" t="str">
        <f t="shared" si="55"/>
        <v>4017/4018</v>
      </c>
      <c r="L136" s="246" t="str">
        <f>VLOOKUP(A136,'Trips&amp;Operators'!$C$1:$G$99911,5,FALSE)</f>
        <v>NICHOLSON WESLEY</v>
      </c>
      <c r="M136" s="225">
        <f t="shared" si="56"/>
        <v>2.5625000002037268E-2</v>
      </c>
      <c r="N136" s="226"/>
      <c r="O136" s="226"/>
      <c r="P136" s="226"/>
      <c r="Q136" s="229"/>
      <c r="R136" s="243"/>
      <c r="S136" s="250"/>
      <c r="T136" s="243" t="str">
        <f t="shared" si="57"/>
        <v>Southbound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58"/>
        <v>https://d0f6bd738d7f1b3e5a7ca70fe4ff75f0.us-east-1.aws.found.io/app/kibana#/discover/Steve-Slow-Train-Analysis-(2080s-and-2083s)?_g=(refreshInterval:(display:Off,pause:!f,section:0,value:0),time:(from:'2017-11-22T19:11:23-0700',mode:absolute,to:'2017-11-22T23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248" t="str">
        <f>IF(AA136&lt;VLOOKUP(AG136,Variables!$AC$3:$AD$8,2,FALSE),"Y","N")</f>
        <v>Y</v>
      </c>
      <c r="X136" s="248">
        <f t="shared" si="75"/>
        <v>0</v>
      </c>
      <c r="Y136" s="248">
        <f t="shared" si="72"/>
        <v>12.7857</v>
      </c>
      <c r="Z136" s="248">
        <f t="shared" si="73"/>
        <v>2.23E-2</v>
      </c>
      <c r="AA136" s="248">
        <f t="shared" si="59"/>
        <v>12.763400000000001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60"/>
        <v>222</v>
      </c>
      <c r="AE136" s="236" t="str">
        <f t="shared" si="61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36" s="235" t="str">
        <f t="shared" si="62"/>
        <v>"C:\Program Files (x86)\AstroGrep\AstroGrep.exe" /e /r /s /spath="%USERPROFILE%\AppData\Local\Temp\OnboardLogs" /stypes="app*4017*20171123*" /stext=" 05:.+((SYSTEM_STATE.+slice.+state.+changed )|(ment ac)|(multiple cpu faults)|(system.+state.+changed )|(\[timeout)|(PRM\|1\|D)|(kpr)|(kdp)|(train st.+moving)|(\|lc)|(penalty))"</v>
      </c>
      <c r="AG136" s="245" t="str">
        <f t="shared" si="63"/>
        <v>EC</v>
      </c>
      <c r="AH136" s="237" t="str">
        <f t="shared" si="64"/>
        <v>"%USERPROFILE%\Documents\GitHub\eaglep3\Utilities\RefineRTDCRunTimes.py" --tripid 222-22 --locoid 4017 --swversion DE.1.0.9.0 --startMP 204:127857 --initTime 2017-11-22T20:11:23 --startdatetime 2017-11-22T21:57:14 --delay 65 --endMP 204:223 --enddatetime 2017-11-22T22:34:08 --enforcementcount 0 &gt;&gt;%USERPROFILE%\Documents\GitHub\eaglep3-reporting\EC\2017-11-22-refined-times.txt</v>
      </c>
      <c r="AI136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{"issue":{"subject":"","project_id":79,"tracker_id":40,"status_id":1,"priority_id":2,"assigned_to_id":338,"start_date":"2017-11-22","description":"","custom_fields":[{"id":1,"name":"Subdivision","value":"EC"},{"id":4,"name":"Milepost","value":"0.0223"},{"id":17,"name":"Train ID","value":"222-22"},{"id":16,"name":"Locomotive ID","value":"4017"},{"id":130,"name":"Impact","value":""},{"id":150,"name":"Time of Event (Mountain Time)","value":"22:34:08"},{"id":151,"name":"Denver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66"/>
        <v>start /low /b %USERPROFILE%\Documents\GitHub\eaglep3\Utilities\DownloadLogsFromS3.py --loco 4017 --day 2017-11-22</v>
      </c>
      <c r="AN136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68"/>
        <v>https://d0f6bd738d7f1b3e5a7ca70fe4ff75f0.us-east-1.aws.found.io/app/kibana#/discover/Steve-Slow-Train-Analysis-(2080s-and-2083s)?_g=(refreshInterval:(display:Off,pause:!f,section:0,value:0),time:(from:'2017-11-22T19:11:23-0700',mode:absolute,to:'2017-11-22T23:34:08-0700'))&amp;_a=(columns:!('Message%20ID',Summary),filters:!(),index:'emp_*',interval:auto,query:(query_string:(analyze_wildcard:!t,query:'%22rtdc.l.rtdc.4017%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30" t="s">
        <v>855</v>
      </c>
      <c r="B137" s="226">
        <v>4002</v>
      </c>
      <c r="C137" s="228" t="s">
        <v>192</v>
      </c>
      <c r="D137" s="228" t="s">
        <v>966</v>
      </c>
      <c r="E137" s="227">
        <v>43061.807534722226</v>
      </c>
      <c r="F137" s="227">
        <v>43061.812638888892</v>
      </c>
      <c r="G137" s="226">
        <v>56</v>
      </c>
      <c r="H137" s="228" t="s">
        <v>988</v>
      </c>
      <c r="I137" s="227">
        <v>43061.837523148148</v>
      </c>
      <c r="J137" s="226">
        <v>0</v>
      </c>
      <c r="K137" s="238" t="str">
        <f t="shared" si="55"/>
        <v>4001/4002</v>
      </c>
      <c r="L137" s="246" t="str">
        <f>VLOOKUP(A137,'Trips&amp;Operators'!$C$1:$G$99911,5,FALSE)</f>
        <v>RESPASS AARON</v>
      </c>
      <c r="M137" s="225">
        <f t="shared" si="56"/>
        <v>2.488425925548654E-2</v>
      </c>
      <c r="N137" s="226">
        <f t="shared" ref="N137:N147" si="76">24*60*SUM($M137:$M137)</f>
        <v>35.833333327900618</v>
      </c>
      <c r="O137" s="226"/>
      <c r="P137" s="226"/>
      <c r="Q137" s="229"/>
      <c r="R137" s="243"/>
      <c r="S137" s="250">
        <f t="shared" ref="S137:S147" si="77">1/IF(AG137="EC",12,1)*SUM(U137:U137)</f>
        <v>1</v>
      </c>
      <c r="T137" s="243" t="str">
        <f t="shared" si="57"/>
        <v>NorthBound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58"/>
        <v>https://d0f6bd738d7f1b3e5a7ca70fe4ff75f0.us-east-1.aws.found.io/app/kibana#/discover/Steve-Slow-Train-Analysis-(2080s-and-2083s)?_g=(refreshInterval:(display:Off,pause:!f,section:0,value:0),time:(from:'2017-11-22T18:22:51-0700',mode:absolute,to:'2017-11-22T21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248" t="str">
        <f>IF(AA137&lt;VLOOKUP(AG137,Variables!$AC$3:$AD$8,2,FALSE),"Y","N")</f>
        <v>N</v>
      </c>
      <c r="X137" s="248">
        <f t="shared" si="75"/>
        <v>1</v>
      </c>
      <c r="Y137" s="248">
        <f t="shared" si="72"/>
        <v>5.5500000000000001E-2</v>
      </c>
      <c r="Z137" s="248">
        <f t="shared" si="73"/>
        <v>23.3232</v>
      </c>
      <c r="AA137" s="248">
        <f t="shared" si="59"/>
        <v>23.267700000000001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60"/>
        <v>223</v>
      </c>
      <c r="AE137" s="236" t="str">
        <f t="shared" si="61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137" s="235" t="str">
        <f t="shared" si="62"/>
        <v>"C:\Program Files (x86)\AstroGrep\AstroGrep.exe" /e /r /s /spath="%USERPROFILE%\AppData\Local\Temp\OnboardLogs" /stypes="app*4002*20171123*" /stext=" 03:.+((SYSTEM_STATE.+slice.+state.+changed )|(ment ac)|(multiple cpu faults)|(system.+state.+changed )|(\[timeout)|(PRM\|1\|D)|(kpr)|(kdp)|(train st.+moving)|(\|lc)|(penalty))"</v>
      </c>
      <c r="AG137" s="245" t="str">
        <f t="shared" si="63"/>
        <v>EC</v>
      </c>
      <c r="AH137" s="237" t="str">
        <f t="shared" si="64"/>
        <v>"%USERPROFILE%\Documents\GitHub\eaglep3\Utilities\RefineRTDCRunTimes.py" --tripid 223-22 --locoid 4002 --swversion DE.1.0.9.0 --startMP 204:555 --initTime 2017-11-22T19:22:51 --startdatetime 2017-11-22T19:30:12 --delay 56 --endMP 204:233232 --enddatetime 2017-11-22T20:06:02 --enforcementcount 0 &gt;&gt;%USERPROFILE%\Documents\GitHub\eaglep3-reporting\EC\2017-11-22-refined-times.txt</v>
      </c>
      <c r="AI137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{"issue":{"subject":"","project_id":79,"tracker_id":40,"status_id":1,"priority_id":2,"assigned_to_id":338,"start_date":"2017-11-22","description":"","custom_fields":[{"id":1,"name":"Subdivision","value":"EC"},{"id":4,"name":"Milepost","value":"23.3232"},{"id":17,"name":"Train ID","value":"223-22"},{"id":16,"name":"Locomotive ID","value":"4002"},{"id":130,"name":"Impact","value":""},{"id":150,"name":"Time of Event (Mountain Time)","value":"20:06:02"},{"id":151,"name":"Denver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66"/>
        <v>start /low /b %USERPROFILE%\Documents\GitHub\eaglep3\Utilities\DownloadLogsFromS3.py --loco 4002 --day 2017-11-22</v>
      </c>
      <c r="AN137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03:06:02"},{"id":29,"name":"Sharepoint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68"/>
        <v>https://d0f6bd738d7f1b3e5a7ca70fe4ff75f0.us-east-1.aws.found.io/app/kibana#/discover/Steve-Slow-Train-Analysis-(2080s-and-2083s)?_g=(refreshInterval:(display:Off,pause:!f,section:0,value:0),time:(from:'2017-11-22T18:22:51-0700',mode:absolute,to:'2017-11-22T21:06:02-0700'))&amp;_a=(columns:!('Message%20ID',Summary),filters:!(),index:'emp_*',interval:auto,query:(query_string:(analyze_wildcard:!t,query:'%22rtdc.l.rtdc.4002%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30" t="s">
        <v>665</v>
      </c>
      <c r="B138" s="226">
        <v>4001</v>
      </c>
      <c r="C138" s="228" t="s">
        <v>192</v>
      </c>
      <c r="D138" s="228" t="s">
        <v>989</v>
      </c>
      <c r="E138" s="227">
        <v>43061.84103009259</v>
      </c>
      <c r="F138" s="227">
        <v>43061.852534722224</v>
      </c>
      <c r="G138" s="226">
        <v>53</v>
      </c>
      <c r="H138" s="228" t="s">
        <v>600</v>
      </c>
      <c r="I138" s="227">
        <v>43061.878159722219</v>
      </c>
      <c r="J138" s="226">
        <v>0</v>
      </c>
      <c r="K138" s="238" t="str">
        <f t="shared" si="55"/>
        <v>4001/4002</v>
      </c>
      <c r="L138" s="246" t="str">
        <f>VLOOKUP(A138,'Trips&amp;Operators'!$C$1:$G$99911,5,FALSE)</f>
        <v>RESPASS AARON</v>
      </c>
      <c r="M138" s="225">
        <f t="shared" si="56"/>
        <v>2.5624999994761311E-2</v>
      </c>
      <c r="N138" s="226">
        <f t="shared" si="76"/>
        <v>36.899999992456287</v>
      </c>
      <c r="O138" s="226"/>
      <c r="P138" s="226"/>
      <c r="Q138" s="229"/>
      <c r="R138" s="243"/>
      <c r="S138" s="250">
        <f t="shared" si="77"/>
        <v>1</v>
      </c>
      <c r="T138" s="243" t="str">
        <f t="shared" si="57"/>
        <v>Southbound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58"/>
        <v>https://d0f6bd738d7f1b3e5a7ca70fe4ff75f0.us-east-1.aws.found.io/app/kibana#/discover/Steve-Slow-Train-Analysis-(2080s-and-2083s)?_g=(refreshInterval:(display:Off,pause:!f,section:0,value:0),time:(from:'2017-11-22T19:11:05-0700',mode:absolute,to:'2017-11-22T22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248" t="str">
        <f>IF(AA138&lt;VLOOKUP(AG138,Variables!$AC$3:$AD$8,2,FALSE),"Y","N")</f>
        <v>N</v>
      </c>
      <c r="X138" s="248">
        <f t="shared" si="75"/>
        <v>1</v>
      </c>
      <c r="Y138" s="248">
        <f t="shared" si="72"/>
        <v>23.295100000000001</v>
      </c>
      <c r="Z138" s="248">
        <f t="shared" si="73"/>
        <v>2.63E-2</v>
      </c>
      <c r="AA138" s="248">
        <f t="shared" si="59"/>
        <v>23.268800000000002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60"/>
        <v>224</v>
      </c>
      <c r="AE138" s="236" t="str">
        <f t="shared" si="61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138" s="235" t="str">
        <f t="shared" si="62"/>
        <v>"C:\Program Files (x86)\AstroGrep\AstroGrep.exe" /e /r /s /spath="%USERPROFILE%\AppData\Local\Temp\OnboardLogs" /stypes="app*4001*20171123*" /stext=" 04:.+((SYSTEM_STATE.+slice.+state.+changed )|(ment ac)|(multiple cpu faults)|(system.+state.+changed )|(\[timeout)|(PRM\|1\|D)|(kpr)|(kdp)|(train st.+moving)|(\|lc)|(penalty))"</v>
      </c>
      <c r="AG138" s="245" t="str">
        <f t="shared" si="63"/>
        <v>EC</v>
      </c>
      <c r="AH138" s="237" t="str">
        <f t="shared" si="64"/>
        <v>"%USERPROFILE%\Documents\GitHub\eaglep3\Utilities\RefineRTDCRunTimes.py" --tripid 224-22 --locoid 4001 --swversion DE.1.0.9.0 --startMP 204:232951 --initTime 2017-11-22T20:11:05 --startdatetime 2017-11-22T20:27:39 --delay 53 --endMP 204:263 --enddatetime 2017-11-22T21:04:33 --enforcementcount 0 &gt;&gt;%USERPROFILE%\Documents\GitHub\eaglep3-reporting\EC\2017-11-22-refined-times.txt</v>
      </c>
      <c r="AI138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{"issue":{"subject":"","project_id":79,"tracker_id":40,"status_id":1,"priority_id":2,"assigned_to_id":338,"start_date":"2017-11-22","description":"","custom_fields":[{"id":1,"name":"Subdivision","value":"EC"},{"id":4,"name":"Milepost","value":"0.0263"},{"id":17,"name":"Train ID","value":"224-22"},{"id":16,"name":"Locomotive ID","value":"4001"},{"id":130,"name":"Impact","value":""},{"id":150,"name":"Time of Event (Mountain Time)","value":"21:04:33"},{"id":151,"name":"Denver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66"/>
        <v>start /low /b %USERPROFILE%\Documents\GitHub\eaglep3\Utilities\DownloadLogsFromS3.py --loco 4001 --day 2017-11-22</v>
      </c>
      <c r="AN138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04:04:33"},{"id":29,"name":"Sharepoint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68"/>
        <v>https://d0f6bd738d7f1b3e5a7ca70fe4ff75f0.us-east-1.aws.found.io/app/kibana#/discover/Steve-Slow-Train-Analysis-(2080s-and-2083s)?_g=(refreshInterval:(display:Off,pause:!f,section:0,value:0),time:(from:'2017-11-22T19:11:05-0700',mode:absolute,to:'2017-11-22T22:04:33-0700'))&amp;_a=(columns:!('Message%20ID',Summary),filters:!(),index:'emp_*',interval:auto,query:(query_string:(analyze_wildcard:!t,query:'%22rtdc.l.rtdc.4001%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30" t="s">
        <v>858</v>
      </c>
      <c r="B139" s="226">
        <v>4016</v>
      </c>
      <c r="C139" s="228" t="s">
        <v>192</v>
      </c>
      <c r="D139" s="228" t="s">
        <v>515</v>
      </c>
      <c r="E139" s="227">
        <v>43061.830648148149</v>
      </c>
      <c r="F139" s="227">
        <v>43061.83353009259</v>
      </c>
      <c r="G139" s="226">
        <v>92</v>
      </c>
      <c r="H139" s="228" t="s">
        <v>990</v>
      </c>
      <c r="I139" s="227">
        <v>43061.857835648145</v>
      </c>
      <c r="J139" s="226">
        <v>0</v>
      </c>
      <c r="K139" s="238" t="str">
        <f t="shared" si="55"/>
        <v>4015/4016</v>
      </c>
      <c r="L139" s="246" t="str">
        <f>VLOOKUP(A139,'Trips&amp;Operators'!$C$1:$G$99911,5,FALSE)</f>
        <v>LOZA FIDEL</v>
      </c>
      <c r="M139" s="225">
        <f t="shared" si="56"/>
        <v>2.4305555554747116E-2</v>
      </c>
      <c r="N139" s="226">
        <f t="shared" si="76"/>
        <v>34.999999998835847</v>
      </c>
      <c r="O139" s="226"/>
      <c r="P139" s="226"/>
      <c r="Q139" s="229"/>
      <c r="R139" s="243"/>
      <c r="S139" s="250">
        <f t="shared" si="77"/>
        <v>1</v>
      </c>
      <c r="T139" s="243" t="str">
        <f t="shared" si="57"/>
        <v>NorthBound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58"/>
        <v>https://d0f6bd738d7f1b3e5a7ca70fe4ff75f0.us-east-1.aws.found.io/app/kibana#/discover/Steve-Slow-Train-Analysis-(2080s-and-2083s)?_g=(refreshInterval:(display:Off,pause:!f,section:0,value:0),time:(from:'2017-11-22T18:56:08-0700',mode:absolute,to:'2017-11-22T21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9" s="248" t="str">
        <f>IF(AA139&lt;VLOOKUP(AG139,Variables!$AC$3:$AD$8,2,FALSE),"Y","N")</f>
        <v>N</v>
      </c>
      <c r="X139" s="248">
        <f t="shared" si="75"/>
        <v>1</v>
      </c>
      <c r="Y139" s="248">
        <f t="shared" ref="Y139:Y156" si="78">RIGHT(D139,LEN(D139)-4)/10000</f>
        <v>5.1499999999999997E-2</v>
      </c>
      <c r="Z139" s="248">
        <f t="shared" ref="Z139:Z156" si="79">RIGHT(H139,LEN(H139)-4)/10000</f>
        <v>23.325099999999999</v>
      </c>
      <c r="AA139" s="248">
        <f t="shared" si="59"/>
        <v>23.273599999999998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60"/>
        <v>225</v>
      </c>
      <c r="AE139" s="236" t="str">
        <f t="shared" si="61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139" s="235" t="str">
        <f t="shared" si="62"/>
        <v>"C:\Program Files (x86)\AstroGrep\AstroGrep.exe" /e /r /s /spath="%USERPROFILE%\AppData\Local\Temp\OnboardLogs" /stypes="app*4016*20171123*" /stext=" 03:.+((SYSTEM_STATE.+slice.+state.+changed )|(ment ac)|(multiple cpu faults)|(system.+state.+changed )|(\[timeout)|(PRM\|1\|D)|(kpr)|(kdp)|(train st.+moving)|(\|lc)|(penalty))"</v>
      </c>
      <c r="AG139" s="245" t="str">
        <f t="shared" si="63"/>
        <v>EC</v>
      </c>
      <c r="AH139" s="237" t="str">
        <f t="shared" si="64"/>
        <v>"%USERPROFILE%\Documents\GitHub\eaglep3\Utilities\RefineRTDCRunTimes.py" --tripid 225-22 --locoid 4016 --swversion DE.1.0.9.0 --startMP 204:515 --initTime 2017-11-22T19:56:08 --startdatetime 2017-11-22T20:00:17 --delay 92 --endMP 204:233251 --enddatetime 2017-11-22T20:35:17 --enforcementcount 0 &gt;&gt;%USERPROFILE%\Documents\GitHub\eaglep3-reporting\EC\2017-11-22-refined-times.txt</v>
      </c>
      <c r="AI139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{"issue":{"subject":"","project_id":79,"tracker_id":40,"status_id":1,"priority_id":2,"assigned_to_id":338,"start_date":"2017-11-22","description":"","custom_fields":[{"id":1,"name":"Subdivision","value":"EC"},{"id":4,"name":"Milepost","value":"23.3251"},{"id":17,"name":"Train ID","value":"225-22"},{"id":16,"name":"Locomotive ID","value":"4016"},{"id":130,"name":"Impact","value":""},{"id":150,"name":"Time of Event (Mountain Time)","value":"20:35:17"},{"id":151,"name":"Denver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4"/>
      <c r="AK139" s="232"/>
      <c r="AL139" s="232"/>
      <c r="AM139" s="241" t="str">
        <f t="shared" si="66"/>
        <v>start /low /b %USERPROFILE%\Documents\GitHub\eaglep3\Utilities\DownloadLogsFromS3.py --loco 4016 --day 2017-11-22</v>
      </c>
      <c r="AN139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03:35:17"},{"id":29,"name":"Sharepoint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68"/>
        <v>https://d0f6bd738d7f1b3e5a7ca70fe4ff75f0.us-east-1.aws.found.io/app/kibana#/discover/Steve-Slow-Train-Analysis-(2080s-and-2083s)?_g=(refreshInterval:(display:Off,pause:!f,section:0,value:0),time:(from:'2017-11-22T18:56:08-0700',mode:absolute,to:'2017-11-22T21:35:17-0700'))&amp;_a=(columns:!('Message%20ID',Summary),filters:!(),index:'emp_*',interval:auto,query:(query_string:(analyze_wildcard:!t,query:'%22rtdc.l.rtdc.4016%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230" t="s">
        <v>861</v>
      </c>
      <c r="B140" s="226">
        <v>4015</v>
      </c>
      <c r="C140" s="228" t="s">
        <v>192</v>
      </c>
      <c r="D140" s="228" t="s">
        <v>615</v>
      </c>
      <c r="E140" s="227">
        <v>43061.866365740738</v>
      </c>
      <c r="F140" s="227">
        <v>43061.873101851852</v>
      </c>
      <c r="G140" s="226">
        <v>156</v>
      </c>
      <c r="H140" s="228" t="s">
        <v>458</v>
      </c>
      <c r="I140" s="227">
        <v>43061.898842592593</v>
      </c>
      <c r="J140" s="226">
        <v>0</v>
      </c>
      <c r="K140" s="238" t="str">
        <f t="shared" si="55"/>
        <v>4015/4016</v>
      </c>
      <c r="L140" s="246" t="str">
        <f>VLOOKUP(A140,'Trips&amp;Operators'!$C$1:$G$99911,5,FALSE)</f>
        <v>LOZA FIDEL</v>
      </c>
      <c r="M140" s="225">
        <f t="shared" si="56"/>
        <v>2.5740740740729962E-2</v>
      </c>
      <c r="N140" s="226">
        <f t="shared" si="76"/>
        <v>37.066666666651145</v>
      </c>
      <c r="O140" s="226"/>
      <c r="P140" s="226"/>
      <c r="Q140" s="229"/>
      <c r="R140" s="243"/>
      <c r="S140" s="250">
        <f t="shared" si="77"/>
        <v>1</v>
      </c>
      <c r="T140" s="243" t="str">
        <f t="shared" si="57"/>
        <v>Southbound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58"/>
        <v>https://d0f6bd738d7f1b3e5a7ca70fe4ff75f0.us-east-1.aws.found.io/app/kibana#/discover/Steve-Slow-Train-Analysis-(2080s-and-2083s)?_g=(refreshInterval:(display:Off,pause:!f,section:0,value:0),time:(from:'2017-11-22T19:47:34-0700',mode:absolute,to:'2017-11-22T22:34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0" s="248" t="str">
        <f>IF(AA140&lt;VLOOKUP(AG140,Variables!$AC$3:$AD$8,2,FALSE),"Y","N")</f>
        <v>N</v>
      </c>
      <c r="X140" s="248">
        <f t="shared" si="75"/>
        <v>1</v>
      </c>
      <c r="Y140" s="248">
        <f t="shared" si="78"/>
        <v>23.295500000000001</v>
      </c>
      <c r="Z140" s="248">
        <f t="shared" si="79"/>
        <v>2.2700000000000001E-2</v>
      </c>
      <c r="AA140" s="248">
        <f t="shared" si="59"/>
        <v>23.2728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60"/>
        <v>226</v>
      </c>
      <c r="AE140" s="236" t="str">
        <f t="shared" si="61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140" s="235" t="str">
        <f t="shared" si="62"/>
        <v>"C:\Program Files (x86)\AstroGrep\AstroGrep.exe" /e /r /s /spath="%USERPROFILE%\AppData\Local\Temp\OnboardLogs" /stypes="app*4015*20171123*" /stext=" 04:.+((SYSTEM_STATE.+slice.+state.+changed )|(ment ac)|(multiple cpu faults)|(system.+state.+changed )|(\[timeout)|(PRM\|1\|D)|(kpr)|(kdp)|(train st.+moving)|(\|lc)|(penalty))"</v>
      </c>
      <c r="AG140" s="245" t="str">
        <f t="shared" si="63"/>
        <v>EC</v>
      </c>
      <c r="AH140" s="237" t="str">
        <f t="shared" si="64"/>
        <v>"%USERPROFILE%\Documents\GitHub\eaglep3\Utilities\RefineRTDCRunTimes.py" --tripid 226-22 --locoid 4015 --swversion DE.1.0.9.0 --startMP 204:232955 --initTime 2017-11-22T20:47:34 --startdatetime 2017-11-22T20:57:16 --delay 156 --endMP 204:227 --enddatetime 2017-11-22T21:34:20 --enforcementcount 0 &gt;&gt;%USERPROFILE%\Documents\GitHub\eaglep3-reporting\EC\2017-11-22-refined-times.txt</v>
      </c>
      <c r="AI140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{"issue":{"subject":"","project_id":79,"tracker_id":40,"status_id":1,"priority_id":2,"assigned_to_id":338,"start_date":"2017-11-22","description":"","custom_fields":[{"id":1,"name":"Subdivision","value":"EC"},{"id":4,"name":"Milepost","value":"0.0227"},{"id":17,"name":"Train ID","value":"226-22"},{"id":16,"name":"Locomotive ID","value":"4015"},{"id":130,"name":"Impact","value":""},{"id":150,"name":"Time of Event (Mountain Time)","value":"21:34:20"},{"id":151,"name":"Denver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66"/>
        <v>start /low /b %USERPROFILE%\Documents\GitHub\eaglep3\Utilities\DownloadLogsFromS3.py --loco 4015 --day 2017-11-22</v>
      </c>
      <c r="AN140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04:34:20"},{"id":29,"name":"Sharepoint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68"/>
        <v>https://d0f6bd738d7f1b3e5a7ca70fe4ff75f0.us-east-1.aws.found.io/app/kibana#/discover/Steve-Slow-Train-Analysis-(2080s-and-2083s)?_g=(refreshInterval:(display:Off,pause:!f,section:0,value:0),time:(from:'2017-11-22T19:47:34-0700',mode:absolute,to:'2017-11-22T22:34:20-0700'))&amp;_a=(columns:!('Message%20ID',Summary),filters:!(),index:'emp_*',interval:auto,query:(query_string:(analyze_wildcard:!t,query:'%22rtdc.l.rtdc.4015%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30" t="s">
        <v>667</v>
      </c>
      <c r="B141" s="226">
        <v>4006</v>
      </c>
      <c r="C141" s="228" t="s">
        <v>192</v>
      </c>
      <c r="D141" s="228" t="s">
        <v>612</v>
      </c>
      <c r="E141" s="227">
        <v>43061.841944444444</v>
      </c>
      <c r="F141" s="227">
        <v>43061.854525462964</v>
      </c>
      <c r="G141" s="226">
        <v>48</v>
      </c>
      <c r="H141" s="228" t="s">
        <v>590</v>
      </c>
      <c r="I141" s="227">
        <v>43061.878981481481</v>
      </c>
      <c r="J141" s="226">
        <v>0</v>
      </c>
      <c r="K141" s="238" t="str">
        <f t="shared" si="55"/>
        <v>4005/4006</v>
      </c>
      <c r="L141" s="246" t="str">
        <f>VLOOKUP(A141,'Trips&amp;Operators'!$C$1:$G$99911,5,FALSE)</f>
        <v>LOPES KIMBERLY</v>
      </c>
      <c r="M141" s="225">
        <f t="shared" si="56"/>
        <v>2.4456018516502809E-2</v>
      </c>
      <c r="N141" s="226">
        <f t="shared" si="76"/>
        <v>35.216666663764045</v>
      </c>
      <c r="O141" s="226"/>
      <c r="P141" s="226"/>
      <c r="Q141" s="229"/>
      <c r="R141" s="243"/>
      <c r="S141" s="250">
        <f t="shared" si="77"/>
        <v>1</v>
      </c>
      <c r="T141" s="243" t="str">
        <f t="shared" si="57"/>
        <v>NorthBound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si="58"/>
        <v>https://d0f6bd738d7f1b3e5a7ca70fe4ff75f0.us-east-1.aws.found.io/app/kibana#/discover/Steve-Slow-Train-Analysis-(2080s-and-2083s)?_g=(refreshInterval:(display:Off,pause:!f,section:0,value:0),time:(from:'2017-11-22T19:12:24-0700',mode:absolute,to:'2017-11-22T22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248" t="str">
        <f>IF(AA141&lt;VLOOKUP(AG141,Variables!$AC$3:$AD$8,2,FALSE),"Y","N")</f>
        <v>N</v>
      </c>
      <c r="X141" s="248">
        <f t="shared" si="75"/>
        <v>1</v>
      </c>
      <c r="Y141" s="248">
        <f t="shared" si="78"/>
        <v>5.3100000000000001E-2</v>
      </c>
      <c r="Z141" s="248">
        <f t="shared" si="79"/>
        <v>23.317799999999998</v>
      </c>
      <c r="AA141" s="248">
        <f t="shared" si="59"/>
        <v>23.264699999999998</v>
      </c>
      <c r="AB141" s="234" t="str">
        <f>VLOOKUP(A141,Enforcements!$C$7:$K$9,8,0)</f>
        <v>Bulletin (2)</v>
      </c>
      <c r="AC141" s="233" t="str">
        <f>VLOOKUP(A141,Enforcements!$C$7:$E$9,3,0)</f>
        <v>GRADE CROSSING</v>
      </c>
      <c r="AD141" s="244">
        <f t="shared" si="60"/>
        <v>227</v>
      </c>
      <c r="AE141" s="236" t="str">
        <f t="shared" si="61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141" s="235" t="str">
        <f t="shared" si="62"/>
        <v>"C:\Program Files (x86)\AstroGrep\AstroGrep.exe" /e /r /s /spath="%USERPROFILE%\AppData\Local\Temp\OnboardLogs" /stypes="app*4006*20171123*" /stext=" 04:.+((SYSTEM_STATE.+slice.+state.+changed )|(ment ac)|(multiple cpu faults)|(system.+state.+changed )|(\[timeout)|(PRM\|1\|D)|(kpr)|(kdp)|(train st.+moving)|(\|lc)|(penalty))"</v>
      </c>
      <c r="AG141" s="245" t="str">
        <f t="shared" si="63"/>
        <v>EC</v>
      </c>
      <c r="AH141" s="237" t="str">
        <f t="shared" si="64"/>
        <v>"%USERPROFILE%\Documents\GitHub\eaglep3\Utilities\RefineRTDCRunTimes.py" --tripid 227-22 --locoid 4006 --swversion DE.1.0.9.0 --startMP 204:531 --initTime 2017-11-22T20:12:24 --startdatetime 2017-11-22T20:30:31 --delay 48 --endMP 204:233178 --enddatetime 2017-11-22T21:05:44 --enforcementcount 0 &gt;&gt;%USERPROFILE%\Documents\GitHub\eaglep3-reporting\EC\2017-11-22-refined-times.txt</v>
      </c>
      <c r="AI141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{"issue":{"subject":"","project_id":79,"tracker_id":40,"status_id":1,"priority_id":2,"assigned_to_id":338,"start_date":"2017-11-22","description":"","custom_fields":[{"id":1,"name":"Subdivision","value":"EC"},{"id":4,"name":"Milepost","value":"23.3178"},{"id":17,"name":"Train ID","value":"227-22"},{"id":16,"name":"Locomotive ID","value":"4006"},{"id":130,"name":"Impact","value":""},{"id":150,"name":"Time of Event (Mountain Time)","value":"21:05:44"},{"id":151,"name":"Denver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66"/>
        <v>start /low /b %USERPROFILE%\Documents\GitHub\eaglep3\Utilities\DownloadLogsFromS3.py --loco 4006 --day 2017-11-22</v>
      </c>
      <c r="AN141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68"/>
        <v>https://d0f6bd738d7f1b3e5a7ca70fe4ff75f0.us-east-1.aws.found.io/app/kibana#/discover/Steve-Slow-Train-Analysis-(2080s-and-2083s)?_g=(refreshInterval:(display:Off,pause:!f,section:0,value:0),time:(from:'2017-11-22T19:12:24-0700',mode:absolute,to:'2017-11-22T22:05:44-0700'))&amp;_a=(columns:!('Message%20ID',Summary),filters:!(),index:'emp_*',interval:auto,query:(query_string:(analyze_wildcard:!t,query:'%22rtdc.l.rtdc.4006%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30" t="s">
        <v>865</v>
      </c>
      <c r="B142" s="226">
        <v>4005</v>
      </c>
      <c r="C142" s="228" t="s">
        <v>192</v>
      </c>
      <c r="D142" s="228" t="s">
        <v>991</v>
      </c>
      <c r="E142" s="227">
        <v>43061.888368055559</v>
      </c>
      <c r="F142" s="227">
        <v>43061.893923611111</v>
      </c>
      <c r="G142" s="226">
        <v>52</v>
      </c>
      <c r="H142" s="228" t="s">
        <v>499</v>
      </c>
      <c r="I142" s="227">
        <v>43061.919849537036</v>
      </c>
      <c r="J142" s="226">
        <v>0</v>
      </c>
      <c r="K142" s="238" t="str">
        <f t="shared" ref="K142:K205" si="80">IF(ISEVEN(B142),(B142-1)&amp;"/"&amp;B142,B142&amp;"/"&amp;(B142+1))</f>
        <v>4005/4006</v>
      </c>
      <c r="L142" s="246" t="str">
        <f>VLOOKUP(A142,'Trips&amp;Operators'!$C$1:$G$99911,5,FALSE)</f>
        <v>LOPES KIMBERLY</v>
      </c>
      <c r="M142" s="225">
        <f t="shared" ref="M142:M205" si="81">I142-F142</f>
        <v>2.5925925925548654E-2</v>
      </c>
      <c r="N142" s="226">
        <f t="shared" si="76"/>
        <v>37.333333332790062</v>
      </c>
      <c r="O142" s="226"/>
      <c r="P142" s="226"/>
      <c r="Q142" s="229"/>
      <c r="R142" s="243"/>
      <c r="S142" s="250">
        <f t="shared" si="77"/>
        <v>1</v>
      </c>
      <c r="T142" s="243" t="str">
        <f t="shared" ref="T142:T205" si="82">IF(ISEVEN(LEFT(AD142,4)),"Southbound","NorthBound")</f>
        <v>Southbound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ref="V142:V205" si="83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-11-22T20:19:15-0700',mode:absolute,to:'2017-11-22T23:04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248" t="str">
        <f>IF(AA142&lt;VLOOKUP(AG142,Variables!$AC$3:$AD$8,2,FALSE),"Y","N")</f>
        <v>N</v>
      </c>
      <c r="X142" s="248">
        <f t="shared" si="75"/>
        <v>1</v>
      </c>
      <c r="Y142" s="248">
        <f t="shared" si="78"/>
        <v>23.2864</v>
      </c>
      <c r="Z142" s="248">
        <f t="shared" si="79"/>
        <v>2.12E-2</v>
      </c>
      <c r="AA142" s="248">
        <f t="shared" ref="AA142:AA205" si="84">ABS(Z142-Y142)</f>
        <v>23.2652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ref="AD142:AD205" si="85">VALUE(LEFT(A142,LEN(A142)-3))</f>
        <v>228</v>
      </c>
      <c r="AE142" s="236" t="str">
        <f t="shared" ref="AE142:AE205" si="86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142" s="235" t="str">
        <f t="shared" ref="AF142:AF205" si="87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/stypes="app*4005*20171123*" /stext=" 05:.+((SYSTEM_STATE.+slice.+state.+changed )|(ment ac)|(multiple cpu faults)|(system.+state.+changed )|(\[timeout)|(PRM\|1\|D)|(kpr)|(kdp)|(train st.+moving)|(\|lc)|(penalty))"</v>
      </c>
      <c r="AG142" s="245" t="str">
        <f t="shared" ref="AG142:AG205" si="88">DetSubdiv(A142)</f>
        <v>EC</v>
      </c>
      <c r="AH142" s="237" t="str">
        <f t="shared" si="64"/>
        <v>"%USERPROFILE%\Documents\GitHub\eaglep3\Utilities\RefineRTDCRunTimes.py" --tripid 228-22 --locoid 4005 --swversion DE.1.0.9.0 --startMP 204:232864 --initTime 2017-11-22T21:19:15 --startdatetime 2017-11-22T21:27:15 --delay 52 --endMP 204:212 --enddatetime 2017-11-22T22:04:35 --enforcementcount 0 &gt;&gt;%USERPROFILE%\Documents\GitHub\eaglep3-reporting\EC\2017-11-22-refined-times.txt</v>
      </c>
      <c r="AI142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{"issue":{"subject":"","project_id":79,"tracker_id":40,"status_id":1,"priority_id":2,"assigned_to_id":338,"start_date":"2017-11-22","description":"","custom_fields":[{"id":1,"name":"Subdivision","value":"EC"},{"id":4,"name":"Milepost","value":"0.0212"},{"id":17,"name":"Train ID","value":"228-22"},{"id":16,"name":"Locomotive ID","value":"4005"},{"id":130,"name":"Impact","value":""},{"id":150,"name":"Time of Event (Mountain Time)","value":"22:04:35"},{"id":151,"name":"Denver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66"/>
        <v>start /low /b %USERPROFILE%\Documents\GitHub\eaglep3\Utilities\DownloadLogsFromS3.py --loco 4005 --day 2017-11-22</v>
      </c>
      <c r="AN142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68"/>
        <v>https://d0f6bd738d7f1b3e5a7ca70fe4ff75f0.us-east-1.aws.found.io/app/kibana#/discover/Steve-Slow-Train-Analysis-(2080s-and-2083s)?_g=(refreshInterval:(display:Off,pause:!f,section:0,value:0),time:(from:'2017-11-22T20:19:15-0700',mode:absolute,to:'2017-11-22T23:04:35-0700'))&amp;_a=(columns:!('Message%20ID',Summary),filters:!(),index:'emp_*',interval:auto,query:(query_string:(analyze_wildcard:!t,query:'%22rtdc.l.rtdc.4005%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230" t="s">
        <v>862</v>
      </c>
      <c r="B143" s="226">
        <v>4018</v>
      </c>
      <c r="C143" s="228" t="s">
        <v>192</v>
      </c>
      <c r="D143" s="228" t="s">
        <v>485</v>
      </c>
      <c r="E143" s="227">
        <v>43061.870081018518</v>
      </c>
      <c r="F143" s="227">
        <v>43061.8753125</v>
      </c>
      <c r="G143" s="226">
        <v>266</v>
      </c>
      <c r="H143" s="228" t="s">
        <v>532</v>
      </c>
      <c r="I143" s="227">
        <v>43061.899965277778</v>
      </c>
      <c r="J143" s="226">
        <v>0</v>
      </c>
      <c r="K143" s="238" t="str">
        <f t="shared" si="80"/>
        <v>4017/4018</v>
      </c>
      <c r="L143" s="246" t="str">
        <f>VLOOKUP(A143,'Trips&amp;Operators'!$C$1:$G$99911,5,FALSE)</f>
        <v>ZEWDU DEREJE</v>
      </c>
      <c r="M143" s="225">
        <f t="shared" si="81"/>
        <v>2.4652777778101154E-2</v>
      </c>
      <c r="N143" s="226">
        <f t="shared" si="76"/>
        <v>35.500000000465661</v>
      </c>
      <c r="O143" s="226"/>
      <c r="P143" s="226"/>
      <c r="Q143" s="229"/>
      <c r="R143" s="243"/>
      <c r="S143" s="250">
        <f t="shared" si="77"/>
        <v>1</v>
      </c>
      <c r="T143" s="243" t="str">
        <f t="shared" si="82"/>
        <v>NorthBound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83"/>
        <v>https://d0f6bd738d7f1b3e5a7ca70fe4ff75f0.us-east-1.aws.found.io/app/kibana#/discover/Steve-Slow-Train-Analysis-(2080s-and-2083s)?_g=(refreshInterval:(display:Off,pause:!f,section:0,value:0),time:(from:'2017-11-22T19:52:55-0700',mode:absolute,to:'2017-11-22T22:35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248" t="str">
        <f>IF(AA143&lt;VLOOKUP(AG143,Variables!$AC$3:$AD$8,2,FALSE),"Y","N")</f>
        <v>N</v>
      </c>
      <c r="X143" s="248">
        <f t="shared" si="75"/>
        <v>1</v>
      </c>
      <c r="Y143" s="248">
        <f t="shared" si="78"/>
        <v>5.2200000000000003E-2</v>
      </c>
      <c r="Z143" s="248">
        <f t="shared" si="79"/>
        <v>23.323799999999999</v>
      </c>
      <c r="AA143" s="248">
        <f t="shared" si="84"/>
        <v>23.271599999999999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85"/>
        <v>229</v>
      </c>
      <c r="AE143" s="236" t="str">
        <f t="shared" si="86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143" s="235" t="str">
        <f t="shared" si="87"/>
        <v>"C:\Program Files (x86)\AstroGrep\AstroGrep.exe" /e /r /s /spath="%USERPROFILE%\AppData\Local\Temp\OnboardLogs" /stypes="app*4018*20171123*" /stext=" 04:.+((SYSTEM_STATE.+slice.+state.+changed )|(ment ac)|(multiple cpu faults)|(system.+state.+changed )|(\[timeout)|(PRM\|1\|D)|(kpr)|(kdp)|(train st.+moving)|(\|lc)|(penalty))"</v>
      </c>
      <c r="AG143" s="245" t="str">
        <f t="shared" si="88"/>
        <v>EC</v>
      </c>
      <c r="AH143" s="237" t="str">
        <f t="shared" si="64"/>
        <v>"%USERPROFILE%\Documents\GitHub\eaglep3\Utilities\RefineRTDCRunTimes.py" --tripid 229-22 --locoid 4018 --swversion DE.1.0.9.0 --startMP 204:522 --initTime 2017-11-22T20:52:55 --startdatetime 2017-11-22T21:00:27 --delay 266 --endMP 204:233238 --enddatetime 2017-11-22T21:35:57 --enforcementcount 0 &gt;&gt;%USERPROFILE%\Documents\GitHub\eaglep3-reporting\EC\2017-11-22-refined-times.txt</v>
      </c>
      <c r="AI143" s="239" t="str">
        <f t="shared" si="65"/>
        <v>echo {"issue":{"subject":"","project_id":79,"tracker_id":40,"status_id":1,"priority_id":2,"assigned_to_id":338,"start_date":"2017-11-22","description":"","custom_fields":[{"id":1,"name":"Subdivision","value":"EC"},{"id":4,"name":"Milepost","value":"23.3238"},{"id":17,"name":"Train ID","value":"229-22"},{"id":16,"name":"Locomotive ID","value":"4018"},{"id":130,"name":"Impact","value":""},{"id":150,"name":"Time of Event (Mountain Time)","value":"21:35:57"},{"id":151,"name":"Denver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224"/>
      <c r="AK143" s="232"/>
      <c r="AL143" s="232"/>
      <c r="AM143" s="241" t="str">
        <f t="shared" si="66"/>
        <v>start /low /b %USERPROFILE%\Documents\GitHub\eaglep3\Utilities\DownloadLogsFromS3.py --loco 4018 --day 2017-11-22</v>
      </c>
      <c r="AN143" s="242" t="str">
        <f t="shared" si="67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68"/>
        <v>https://d0f6bd738d7f1b3e5a7ca70fe4ff75f0.us-east-1.aws.found.io/app/kibana#/discover/Steve-Slow-Train-Analysis-(2080s-and-2083s)?_g=(refreshInterval:(display:Off,pause:!f,section:0,value:0),time:(from:'2017-11-22T19:52:55-0700',mode:absolute,to:'2017-11-22T22:35:57-0700'))&amp;_a=(columns:!('Message%20ID',Summary),filters:!(),index:'emp_*',interval:auto,query:(query_string:(analyze_wildcard:!t,query:'%22rtdc.l.rtdc.4018%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230" t="s">
        <v>867</v>
      </c>
      <c r="B144" s="226">
        <v>4017</v>
      </c>
      <c r="C144" s="228" t="s">
        <v>192</v>
      </c>
      <c r="D144" s="228" t="s">
        <v>488</v>
      </c>
      <c r="E144" s="227">
        <v>43061.912476851852</v>
      </c>
      <c r="F144" s="227">
        <v>43061.91474537037</v>
      </c>
      <c r="G144" s="226">
        <v>89</v>
      </c>
      <c r="H144" s="228" t="s">
        <v>519</v>
      </c>
      <c r="I144" s="227">
        <v>43061.940370370372</v>
      </c>
      <c r="J144" s="226">
        <v>0</v>
      </c>
      <c r="K144" s="238" t="str">
        <f t="shared" si="80"/>
        <v>4017/4018</v>
      </c>
      <c r="L144" s="246" t="str">
        <f>VLOOKUP(A144,'Trips&amp;Operators'!$C$1:$G$99911,5,FALSE)</f>
        <v>ZEWDU DEREJE</v>
      </c>
      <c r="M144" s="225">
        <f t="shared" si="81"/>
        <v>2.5625000002037268E-2</v>
      </c>
      <c r="N144" s="226">
        <f t="shared" si="76"/>
        <v>36.900000002933666</v>
      </c>
      <c r="O144" s="226"/>
      <c r="P144" s="226"/>
      <c r="Q144" s="229"/>
      <c r="R144" s="243"/>
      <c r="S144" s="250">
        <f t="shared" si="77"/>
        <v>1</v>
      </c>
      <c r="T144" s="243" t="str">
        <f t="shared" si="82"/>
        <v>Southbound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83"/>
        <v>https://d0f6bd738d7f1b3e5a7ca70fe4ff75f0.us-east-1.aws.found.io/app/kibana#/discover/Steve-Slow-Train-Analysis-(2080s-and-2083s)?_g=(refreshInterval:(display:Off,pause:!f,section:0,value:0),time:(from:'2017-11-22T20:53:58-0700',mode:absolute,to:'2017-11-22T23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248" t="str">
        <f>IF(AA144&lt;VLOOKUP(AG144,Variables!$AC$3:$AD$8,2,FALSE),"Y","N")</f>
        <v>N</v>
      </c>
      <c r="X144" s="248">
        <f t="shared" si="75"/>
        <v>1</v>
      </c>
      <c r="Y144" s="248">
        <f t="shared" si="78"/>
        <v>23.292100000000001</v>
      </c>
      <c r="Z144" s="248">
        <f t="shared" si="79"/>
        <v>2.4E-2</v>
      </c>
      <c r="AA144" s="248">
        <f t="shared" si="84"/>
        <v>23.2681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85"/>
        <v>230</v>
      </c>
      <c r="AE144" s="236" t="str">
        <f t="shared" si="86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44" s="235" t="str">
        <f t="shared" si="87"/>
        <v>"C:\Program Files (x86)\AstroGrep\AstroGrep.exe" /e /r /s /spath="%USERPROFILE%\AppData\Local\Temp\OnboardLogs" /stypes="app*4017*20171123*" /stext=" 05:.+((SYSTEM_STATE.+slice.+state.+changed )|(ment ac)|(multiple cpu faults)|(system.+state.+changed )|(\[timeout)|(PRM\|1\|D)|(kpr)|(kdp)|(train st.+moving)|(\|lc)|(penalty))"</v>
      </c>
      <c r="AG144" s="245" t="str">
        <f t="shared" si="88"/>
        <v>EC</v>
      </c>
      <c r="AH144" s="237" t="str">
        <f t="shared" ref="AH144:AH211" si="89"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230-22 --locoid 4017 --swversion DE.1.0.9.0 --startMP 204:232921 --initTime 2017-11-22T21:53:58 --startdatetime 2017-11-22T21:57:14 --delay 89 --endMP 204:240 --enddatetime 2017-11-22T22:34:08 --enforcementcount 0 &gt;&gt;%USERPROFILE%\Documents\GitHub\eaglep3-reporting\EC\2017-11-22-refined-times.txt</v>
      </c>
      <c r="AI144" s="239" t="str">
        <f t="shared" ref="AI144:AI211" si="90"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{"issue":{"subject":"","project_id":79,"tracker_id":40,"status_id":1,"priority_id":2,"assigned_to_id":338,"start_date":"2017-11-22","description":"","custom_fields":[{"id":1,"name":"Subdivision","value":"EC"},{"id":4,"name":"Milepost","value":"0.024"},{"id":17,"name":"Train ID","value":"230-22"},{"id":16,"name":"Locomotive ID","value":"4017"},{"id":130,"name":"Impact","value":""},{"id":150,"name":"Time of Event (Mountain Time)","value":"22:34:08"},{"id":151,"name":"Denver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ref="AM144:AM211" si="91">"start /low /b "&amp;dls3logs&amp;" --loco "&amp;B144&amp;" --day "&amp;TEXT(F144,"YYYY-MM-DD")</f>
        <v>start /low /b %USERPROFILE%\Documents\GitHub\eaglep3\Utilities\DownloadLogsFromS3.py --loco 4017 --day 2017-11-22</v>
      </c>
      <c r="AN144" s="242" t="str">
        <f t="shared" ref="AN144:AN211" si="92"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ref="AO144:AO211" si="93"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-11-22T20:53:58-0700',mode:absolute,to:'2017-11-22T23:34:08-0700'))&amp;_a=(columns:!('Message%20ID',Summary),filters:!(),index:'emp_*',interval:auto,query:(query_string:(analyze_wildcard:!t,query:'%22rtdc.l.rtdc.4017%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30" t="s">
        <v>864</v>
      </c>
      <c r="B145" s="226">
        <v>4002</v>
      </c>
      <c r="C145" s="228" t="s">
        <v>192</v>
      </c>
      <c r="D145" s="228" t="s">
        <v>992</v>
      </c>
      <c r="E145" s="227">
        <v>43061.880972222221</v>
      </c>
      <c r="F145" s="227">
        <v>43061.896053240744</v>
      </c>
      <c r="G145" s="226">
        <v>162</v>
      </c>
      <c r="H145" s="228" t="s">
        <v>532</v>
      </c>
      <c r="I145" s="227">
        <v>43061.920532407406</v>
      </c>
      <c r="J145" s="226">
        <v>0</v>
      </c>
      <c r="K145" s="238" t="str">
        <f t="shared" si="80"/>
        <v>4001/4002</v>
      </c>
      <c r="L145" s="246" t="str">
        <f>VLOOKUP(A145,'Trips&amp;Operators'!$C$1:$G$99911,5,FALSE)</f>
        <v>RESPASS AARON</v>
      </c>
      <c r="M145" s="225">
        <f t="shared" si="81"/>
        <v>2.4479166662786156E-2</v>
      </c>
      <c r="N145" s="226">
        <f t="shared" si="76"/>
        <v>35.249999994412065</v>
      </c>
      <c r="O145" s="226"/>
      <c r="P145" s="226"/>
      <c r="Q145" s="229"/>
      <c r="R145" s="243"/>
      <c r="S145" s="250">
        <f t="shared" si="77"/>
        <v>1</v>
      </c>
      <c r="T145" s="243" t="str">
        <f t="shared" si="82"/>
        <v>NorthBound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83"/>
        <v>https://d0f6bd738d7f1b3e5a7ca70fe4ff75f0.us-east-1.aws.found.io/app/kibana#/discover/Steve-Slow-Train-Analysis-(2080s-and-2083s)?_g=(refreshInterval:(display:Off,pause:!f,section:0,value:0),time:(from:'2017-11-22T20:08:36-0700',mode:absolute,to:'2017-11-22T23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5" s="248" t="str">
        <f>IF(AA145&lt;VLOOKUP(AG145,Variables!$AC$3:$AD$8,2,FALSE),"Y","N")</f>
        <v>N</v>
      </c>
      <c r="X145" s="248">
        <f t="shared" si="75"/>
        <v>1</v>
      </c>
      <c r="Y145" s="248">
        <f t="shared" si="78"/>
        <v>5.79E-2</v>
      </c>
      <c r="Z145" s="248">
        <f t="shared" si="79"/>
        <v>23.323799999999999</v>
      </c>
      <c r="AA145" s="248">
        <f t="shared" si="84"/>
        <v>23.265899999999998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85"/>
        <v>231</v>
      </c>
      <c r="AE145" s="236" t="str">
        <f t="shared" si="86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145" s="235" t="str">
        <f t="shared" si="87"/>
        <v>"C:\Program Files (x86)\AstroGrep\AstroGrep.exe" /e /r /s /spath="%USERPROFILE%\AppData\Local\Temp\OnboardLogs" /stypes="app*4002*20171123*" /stext=" 05:.+((SYSTEM_STATE.+slice.+state.+changed )|(ment ac)|(multiple cpu faults)|(system.+state.+changed )|(\[timeout)|(PRM\|1\|D)|(kpr)|(kdp)|(train st.+moving)|(\|lc)|(penalty))"</v>
      </c>
      <c r="AG145" s="245" t="str">
        <f t="shared" si="88"/>
        <v>EC</v>
      </c>
      <c r="AH145" s="237" t="str">
        <f t="shared" si="89"/>
        <v>"%USERPROFILE%\Documents\GitHub\eaglep3\Utilities\RefineRTDCRunTimes.py" --tripid 231-22 --locoid 4002 --swversion DE.1.0.9.0 --startMP 204:579 --initTime 2017-11-22T21:08:36 --startdatetime 2017-11-22T21:30:19 --delay 162 --endMP 204:233238 --enddatetime 2017-11-22T22:05:34 --enforcementcount 0 &gt;&gt;%USERPROFILE%\Documents\GitHub\eaglep3-reporting\EC\2017-11-22-refined-times.txt</v>
      </c>
      <c r="AI145" s="239" t="str">
        <f t="shared" si="90"/>
        <v>echo {"issue":{"subject":"","project_id":79,"tracker_id":40,"status_id":1,"priority_id":2,"assigned_to_id":338,"start_date":"2017-11-22","description":"","custom_fields":[{"id":1,"name":"Subdivision","value":"EC"},{"id":4,"name":"Milepost","value":"23.3238"},{"id":17,"name":"Train ID","value":"231-22"},{"id":16,"name":"Locomotive ID","value":"4002"},{"id":130,"name":"Impact","value":""},{"id":150,"name":"Time of Event (Mountain Time)","value":"22:05:34"},{"id":151,"name":"Denver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4"/>
      <c r="AK145" s="232"/>
      <c r="AL145" s="232"/>
      <c r="AM145" s="241" t="str">
        <f t="shared" si="91"/>
        <v>start /low /b %USERPROFILE%\Documents\GitHub\eaglep3\Utilities\DownloadLogsFromS3.py --loco 4002 --day 2017-11-22</v>
      </c>
      <c r="AN145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93"/>
        <v>https://d0f6bd738d7f1b3e5a7ca70fe4ff75f0.us-east-1.aws.found.io/app/kibana#/discover/Steve-Slow-Train-Analysis-(2080s-and-2083s)?_g=(refreshInterval:(display:Off,pause:!f,section:0,value:0),time:(from:'2017-11-22T20:08:36-0700',mode:absolute,to:'2017-11-22T23:05:34-0700'))&amp;_a=(columns:!('Message%20ID',Summary),filters:!(),index:'emp_*',interval:auto,query:(query_string:(analyze_wildcard:!t,query:'%22rtdc.l.rtdc.4002%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30" t="s">
        <v>870</v>
      </c>
      <c r="B146" s="226">
        <v>4001</v>
      </c>
      <c r="C146" s="228" t="s">
        <v>192</v>
      </c>
      <c r="D146" s="228" t="s">
        <v>993</v>
      </c>
      <c r="E146" s="227">
        <v>43061.929652777777</v>
      </c>
      <c r="F146" s="227">
        <v>43061.935752314814</v>
      </c>
      <c r="G146" s="226">
        <v>85</v>
      </c>
      <c r="H146" s="228" t="s">
        <v>961</v>
      </c>
      <c r="I146" s="227">
        <v>43061.961875000001</v>
      </c>
      <c r="J146" s="226">
        <v>0</v>
      </c>
      <c r="K146" s="238" t="str">
        <f t="shared" si="80"/>
        <v>4001/4002</v>
      </c>
      <c r="L146" s="246" t="str">
        <f>VLOOKUP(A146,'Trips&amp;Operators'!$C$1:$G$99911,5,FALSE)</f>
        <v>RESPASS AARON</v>
      </c>
      <c r="M146" s="225">
        <f t="shared" si="81"/>
        <v>2.6122685187146999E-2</v>
      </c>
      <c r="N146" s="226">
        <f t="shared" si="76"/>
        <v>37.616666669491678</v>
      </c>
      <c r="O146" s="226"/>
      <c r="P146" s="226"/>
      <c r="Q146" s="229"/>
      <c r="R146" s="243"/>
      <c r="S146" s="250">
        <f t="shared" si="77"/>
        <v>1</v>
      </c>
      <c r="T146" s="243" t="str">
        <f t="shared" si="82"/>
        <v>Southbound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83"/>
        <v>https://d0f6bd738d7f1b3e5a7ca70fe4ff75f0.us-east-1.aws.found.io/app/kibana#/discover/Steve-Slow-Train-Analysis-(2080s-and-2083s)?_g=(refreshInterval:(display:Off,pause:!f,section:0,value:0),time:(from:'2017-11-22T21:18:42-0700',mode:absolute,to:'2017-11-23T00:05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6" s="248" t="str">
        <f>IF(AA146&lt;VLOOKUP(AG146,Variables!$AC$3:$AD$8,2,FALSE),"Y","N")</f>
        <v>N</v>
      </c>
      <c r="X146" s="248">
        <f t="shared" ref="X146:X177" si="94">VALUE(LEFT(AD146,4))-VALUE(LEFT(AD145,4))</f>
        <v>1</v>
      </c>
      <c r="Y146" s="248">
        <f t="shared" si="78"/>
        <v>23.2928</v>
      </c>
      <c r="Z146" s="248">
        <f t="shared" si="79"/>
        <v>2.4500000000000001E-2</v>
      </c>
      <c r="AA146" s="248">
        <f t="shared" si="84"/>
        <v>23.2683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85"/>
        <v>232</v>
      </c>
      <c r="AE146" s="236" t="str">
        <f t="shared" si="86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146" s="235" t="str">
        <f t="shared" si="87"/>
        <v>"C:\Program Files (x86)\AstroGrep\AstroGrep.exe" /e /r /s /spath="%USERPROFILE%\AppData\Local\Temp\OnboardLogs" /stypes="app*4001*20171123*" /stext=" 06:.+((SYSTEM_STATE.+slice.+state.+changed )|(ment ac)|(multiple cpu faults)|(system.+state.+changed )|(\[timeout)|(PRM\|1\|D)|(kpr)|(kdp)|(train st.+moving)|(\|lc)|(penalty))"</v>
      </c>
      <c r="AG146" s="245" t="str">
        <f t="shared" si="88"/>
        <v>EC</v>
      </c>
      <c r="AH146" s="237" t="str">
        <f t="shared" si="89"/>
        <v>"%USERPROFILE%\Documents\GitHub\eaglep3\Utilities\RefineRTDCRunTimes.py" --tripid 232-22 --locoid 4001 --swversion DE.1.0.9.0 --startMP 204:232928 --initTime 2017-11-22T22:18:42 --startdatetime 2017-11-22T22:27:29 --delay 85 --endMP 204:245 --enddatetime 2017-11-22T23:05:06 --enforcementcount 0 &gt;&gt;%USERPROFILE%\Documents\GitHub\eaglep3-reporting\EC\2017-11-22-refined-times.txt</v>
      </c>
      <c r="AI146" s="239" t="str">
        <f t="shared" si="90"/>
        <v>echo {"issue":{"subject":"","project_id":79,"tracker_id":40,"status_id":1,"priority_id":2,"assigned_to_id":338,"start_date":"2017-11-22","description":"","custom_fields":[{"id":1,"name":"Subdivision","value":"EC"},{"id":4,"name":"Milepost","value":"0.0245"},{"id":17,"name":"Train ID","value":"232-22"},{"id":16,"name":"Locomotive ID","value":"4001"},{"id":130,"name":"Impact","value":""},{"id":150,"name":"Time of Event (Mountain Time)","value":"23:05:06"},{"id":151,"name":"Denver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91"/>
        <v>start /low /b %USERPROFILE%\Documents\GitHub\eaglep3\Utilities\DownloadLogsFromS3.py --loco 4001 --day 2017-11-22</v>
      </c>
      <c r="AN146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93"/>
        <v>https://d0f6bd738d7f1b3e5a7ca70fe4ff75f0.us-east-1.aws.found.io/app/kibana#/discover/Steve-Slow-Train-Analysis-(2080s-and-2083s)?_g=(refreshInterval:(display:Off,pause:!f,section:0,value:0),time:(from:'2017-11-22T21:18:42-0700',mode:absolute,to:'2017-11-23T00:05:06-0700'))&amp;_a=(columns:!('Message%20ID',Summary),filters:!(),index:'emp_*',interval:auto,query:(query_string:(analyze_wildcard:!t,query:'%22rtdc.l.rtdc.4001%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4" customFormat="1" x14ac:dyDescent="0.3">
      <c r="A147" s="230" t="s">
        <v>866</v>
      </c>
      <c r="B147" s="226">
        <v>4016</v>
      </c>
      <c r="C147" s="228" t="s">
        <v>192</v>
      </c>
      <c r="D147" s="228" t="s">
        <v>459</v>
      </c>
      <c r="E147" s="227">
        <v>43061.901331018518</v>
      </c>
      <c r="F147" s="227">
        <v>43061.917025462964</v>
      </c>
      <c r="G147" s="226">
        <v>68</v>
      </c>
      <c r="H147" s="228" t="s">
        <v>592</v>
      </c>
      <c r="I147" s="227">
        <v>43061.941296296296</v>
      </c>
      <c r="J147" s="226">
        <v>0</v>
      </c>
      <c r="K147" s="238" t="str">
        <f t="shared" si="80"/>
        <v>4015/4016</v>
      </c>
      <c r="L147" s="246" t="str">
        <f>VLOOKUP(A147,'Trips&amp;Operators'!$C$1:$G$99911,5,FALSE)</f>
        <v>HAMMOND JUSTYNN</v>
      </c>
      <c r="M147" s="225">
        <f t="shared" si="81"/>
        <v>2.4270833331684116E-2</v>
      </c>
      <c r="N147" s="226">
        <f t="shared" si="76"/>
        <v>34.949999997625127</v>
      </c>
      <c r="O147" s="226"/>
      <c r="P147" s="226"/>
      <c r="Q147" s="229"/>
      <c r="R147" s="243"/>
      <c r="S147" s="250">
        <f t="shared" si="77"/>
        <v>1</v>
      </c>
      <c r="T147" s="243" t="str">
        <f t="shared" si="82"/>
        <v>NorthBound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83"/>
        <v>https://d0f6bd738d7f1b3e5a7ca70fe4ff75f0.us-east-1.aws.found.io/app/kibana#/discover/Steve-Slow-Train-Analysis-(2080s-and-2083s)?_g=(refreshInterval:(display:Off,pause:!f,section:0,value:0),time:(from:'2017-11-22T20:37:55-0700',mode:absolute,to:'2017-11-22T23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7" s="248" t="str">
        <f>IF(AA147&lt;VLOOKUP(AG147,Variables!$AC$3:$AD$8,2,FALSE),"Y","N")</f>
        <v>N</v>
      </c>
      <c r="X147" s="248">
        <f t="shared" si="94"/>
        <v>1</v>
      </c>
      <c r="Y147" s="248">
        <f t="shared" si="78"/>
        <v>5.33E-2</v>
      </c>
      <c r="Z147" s="248">
        <f t="shared" si="79"/>
        <v>23.331900000000001</v>
      </c>
      <c r="AA147" s="248">
        <f t="shared" si="84"/>
        <v>23.278600000000001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85"/>
        <v>233</v>
      </c>
      <c r="AE147" s="236" t="str">
        <f t="shared" si="86"/>
        <v>aws s3 cp s3://rtdc.mdm.uploadarchive.raw/RTDC4016/ "%USERPROFILE%\AppData\Local\Temp\OnboardLogs"\RTDC4016\2017-11-22 --exclude "*" --recursive --include "*20171122*" &amp; "%USERPROFILE%\Documents\GitHub\mrs-test-scripts\Headless Mode &amp; Sideloading\WalkAndUnGZ.bat" "%USERPROFILE%\AppData\Local\Temp\OnboardLogs"\RTDC4016\2017-11-22 &amp; 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</v>
      </c>
      <c r="AF147" s="235" t="str">
        <f t="shared" si="87"/>
        <v>"C:\Program Files (x86)\AstroGrep\AstroGrep.exe" /e /r /s /spath="%USERPROFILE%\AppData\Local\Temp\OnboardLogs" /stypes="app*4016*20171123*" /stext=" 05:.+((SYSTEM_STATE.+slice.+state.+changed )|(ment ac)|(multiple cpu faults)|(system.+state.+changed )|(\[timeout)|(PRM\|1\|D)|(kpr)|(kdp)|(train st.+moving)|(\|lc)|(penalty))"</v>
      </c>
      <c r="AG147" s="245" t="str">
        <f t="shared" si="88"/>
        <v>EC</v>
      </c>
      <c r="AH147" s="237" t="str">
        <f t="shared" si="89"/>
        <v>"%USERPROFILE%\Documents\GitHub\eaglep3\Utilities\RefineRTDCRunTimes.py" --tripid 233-22 --locoid 4016 --swversion DE.1.0.9.0 --startMP 204:533 --initTime 2017-11-22T21:37:55 --startdatetime 2017-11-22T22:00:31 --delay 68 --endMP 204:233319 --enddatetime 2017-11-22T22:35:28 --enforcementcount 0 &gt;&gt;%USERPROFILE%\Documents\GitHub\eaglep3-reporting\EC\2017-11-22-refined-times.txt</v>
      </c>
      <c r="AI147" s="239" t="str">
        <f t="shared" si="90"/>
        <v>echo {"issue":{"subject":"","project_id":79,"tracker_id":40,"status_id":1,"priority_id":2,"assigned_to_id":338,"start_date":"2017-11-22","description":"","custom_fields":[{"id":1,"name":"Subdivision","value":"EC"},{"id":4,"name":"Milepost","value":"23.3319"},{"id":17,"name":"Train ID","value":"233-22"},{"id":16,"name":"Locomotive ID","value":"4016"},{"id":130,"name":"Impact","value":""},{"id":150,"name":"Time of Event (Mountain Time)","value":"22:35:28"},{"id":151,"name":"Denver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2"/>
      <c r="AL147" s="232"/>
      <c r="AM147" s="241" t="str">
        <f t="shared" si="91"/>
        <v>start /low /b %USERPROFILE%\Documents\GitHub\eaglep3\Utilities\DownloadLogsFromS3.py --loco 4016 --day 2017-11-22</v>
      </c>
      <c r="AN147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93"/>
        <v>https://d0f6bd738d7f1b3e5a7ca70fe4ff75f0.us-east-1.aws.found.io/app/kibana#/discover/Steve-Slow-Train-Analysis-(2080s-and-2083s)?_g=(refreshInterval:(display:Off,pause:!f,section:0,value:0),time:(from:'2017-11-22T20:37:55-0700',mode:absolute,to:'2017-11-22T23:35:28-0700'))&amp;_a=(columns:!('Message%20ID',Summary),filters:!(),index:'emp_*',interval:auto,query:(query_string:(analyze_wildcard:!t,query:'%22rtdc.l.rtdc.4016%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230" t="s">
        <v>873</v>
      </c>
      <c r="B148" s="226">
        <v>4015</v>
      </c>
      <c r="C148" s="228" t="s">
        <v>192</v>
      </c>
      <c r="D148" s="228" t="s">
        <v>486</v>
      </c>
      <c r="E148" s="227">
        <v>43061.951226851852</v>
      </c>
      <c r="F148" s="227">
        <v>43061.970925925925</v>
      </c>
      <c r="G148" s="226">
        <v>81</v>
      </c>
      <c r="H148" s="228" t="s">
        <v>486</v>
      </c>
      <c r="I148" s="227">
        <v>43061.988078703704</v>
      </c>
      <c r="J148" s="226">
        <v>0</v>
      </c>
      <c r="K148" s="238" t="str">
        <f t="shared" si="80"/>
        <v>4015/4016</v>
      </c>
      <c r="L148" s="246" t="str">
        <f>VLOOKUP(A148,'Trips&amp;Operators'!$C$1:$G$99911,5,FALSE)</f>
        <v>LOZA FIDEL</v>
      </c>
      <c r="M148" s="225">
        <f t="shared" si="81"/>
        <v>1.7152777778392192E-2</v>
      </c>
      <c r="N148" s="226"/>
      <c r="O148" s="226"/>
      <c r="P148" s="226"/>
      <c r="Q148" s="229"/>
      <c r="R148" s="243"/>
      <c r="S148" s="250"/>
      <c r="T148" s="243" t="str">
        <f t="shared" si="82"/>
        <v>Southbound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249" t="str">
        <f t="shared" si="83"/>
        <v>https://d0f6bd738d7f1b3e5a7ca70fe4ff75f0.us-east-1.aws.found.io/app/kibana#/discover/Steve-Slow-Train-Analysis-(2080s-and-2083s)?_g=(refreshInterval:(display:Off,pause:!f,section:0,value:0),time:(from:'2017-11-22T21:49:46-0700',mode:absolute,to:'2017-11-23T00:42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8" s="248" t="str">
        <f>IF(AA148&lt;VLOOKUP(AG148,Variables!$AC$3:$AD$8,2,FALSE),"Y","N")</f>
        <v>Y</v>
      </c>
      <c r="X148" s="248">
        <f t="shared" si="94"/>
        <v>1</v>
      </c>
      <c r="Y148" s="248">
        <f t="shared" si="78"/>
        <v>23.2959</v>
      </c>
      <c r="Z148" s="248">
        <f t="shared" si="79"/>
        <v>23.2959</v>
      </c>
      <c r="AA148" s="248">
        <f t="shared" si="84"/>
        <v>0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85"/>
        <v>234</v>
      </c>
      <c r="AE148" s="236" t="str">
        <f t="shared" si="86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148" s="235" t="str">
        <f t="shared" si="87"/>
        <v>"C:\Program Files (x86)\AstroGrep\AstroGrep.exe" /e /r /s /spath="%USERPROFILE%\AppData\Local\Temp\OnboardLogs" /stypes="app*4015*20171123*" /stext=" 06:.+((SYSTEM_STATE.+slice.+state.+changed )|(ment ac)|(multiple cpu faults)|(system.+state.+changed )|(\[timeout)|(PRM\|1\|D)|(kpr)|(kdp)|(train st.+moving)|(\|lc)|(penalty))"</v>
      </c>
      <c r="AG148" s="245" t="str">
        <f t="shared" si="88"/>
        <v>EC</v>
      </c>
      <c r="AH148" s="237" t="str">
        <f t="shared" si="89"/>
        <v>"%USERPROFILE%\Documents\GitHub\eaglep3\Utilities\RefineRTDCRunTimes.py" --tripid 234-22 --locoid 4015 --swversion DE.1.0.9.0 --startMP 204:232959 --initTime 2017-11-22T22:49:46 --startdatetime 2017-11-22T23:18:08 --delay 81 --endMP 204:232959 --enddatetime 2017-11-22T23:42:50 --enforcementcount 0 &gt;&gt;%USERPROFILE%\Documents\GitHub\eaglep3-reporting\EC\2017-11-22-refined-times.txt</v>
      </c>
      <c r="AI148" s="239" t="str">
        <f t="shared" si="90"/>
        <v>echo {"issue":{"subject":"","project_id":79,"tracker_id":40,"status_id":1,"priority_id":2,"assigned_to_id":338,"start_date":"2017-11-22","description":"","custom_fields":[{"id":1,"name":"Subdivision","value":"EC"},{"id":4,"name":"Milepost","value":"23.2959"},{"id":17,"name":"Train ID","value":"234-22"},{"id":16,"name":"Locomotive ID","value":"4015"},{"id":130,"name":"Impact","value":""},{"id":150,"name":"Time of Event (Mountain Time)","value":"23:42:50"},{"id":151,"name":"Denver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91"/>
        <v>start /low /b %USERPROFILE%\Documents\GitHub\eaglep3\Utilities\DownloadLogsFromS3.py --loco 4015 --day 2017-11-22</v>
      </c>
      <c r="AN148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93"/>
        <v>https://d0f6bd738d7f1b3e5a7ca70fe4ff75f0.us-east-1.aws.found.io/app/kibana#/discover/Steve-Slow-Train-Analysis-(2080s-and-2083s)?_g=(refreshInterval:(display:Off,pause:!f,section:0,value:0),time:(from:'2017-11-22T21:49:46-0700',mode:absolute,to:'2017-11-23T00:42:50-0700'))&amp;_a=(columns:!('Message%20ID',Summary),filters:!(),index:'emp_*',interval:auto,query:(query_string:(analyze_wildcard:!t,query:'%22rtdc.l.rtdc.4015%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30" t="s">
        <v>873</v>
      </c>
      <c r="B149" s="226">
        <v>4015</v>
      </c>
      <c r="C149" s="228" t="s">
        <v>192</v>
      </c>
      <c r="D149" s="228" t="s">
        <v>994</v>
      </c>
      <c r="E149" s="227">
        <v>43061.96947916667</v>
      </c>
      <c r="F149" s="227">
        <v>43061.970925925925</v>
      </c>
      <c r="G149" s="226">
        <v>80</v>
      </c>
      <c r="H149" s="228" t="s">
        <v>604</v>
      </c>
      <c r="I149" s="227">
        <v>43061.988078703704</v>
      </c>
      <c r="J149" s="226">
        <v>0</v>
      </c>
      <c r="K149" s="238" t="str">
        <f t="shared" si="80"/>
        <v>4015/4016</v>
      </c>
      <c r="L149" s="246" t="str">
        <f>VLOOKUP(A149,'Trips&amp;Operators'!$C$1:$G$99911,5,FALSE)</f>
        <v>LOZA FIDEL</v>
      </c>
      <c r="M149" s="225">
        <f t="shared" si="81"/>
        <v>1.7152777778392192E-2</v>
      </c>
      <c r="N149" s="226"/>
      <c r="O149" s="226"/>
      <c r="P149" s="226">
        <f>24*60*SUM($M149:$M149)</f>
        <v>24.700000000884756</v>
      </c>
      <c r="Q149" s="229"/>
      <c r="R149" s="243" t="s">
        <v>554</v>
      </c>
      <c r="S149" s="250">
        <f t="shared" ref="S149:S180" si="95">1/IF(AG149="EC",12,1)*SUM(U149:U149)</f>
        <v>1</v>
      </c>
      <c r="T149" s="243" t="str">
        <f t="shared" si="82"/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83"/>
        <v>https://d0f6bd738d7f1b3e5a7ca70fe4ff75f0.us-east-1.aws.found.io/app/kibana#/discover/Steve-Slow-Train-Analysis-(2080s-and-2083s)?_g=(refreshInterval:(display:Off,pause:!f,section:0,value:0),time:(from:'2017-11-22T22:16:03-0700',mode:absolute,to:'2017-11-23T00:42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9" s="248" t="str">
        <f>IF(AA149&lt;VLOOKUP(AG149,Variables!$AC$3:$AD$8,2,FALSE),"Y","N")</f>
        <v>Y</v>
      </c>
      <c r="X149" s="248">
        <f t="shared" si="94"/>
        <v>0</v>
      </c>
      <c r="Y149" s="248">
        <f t="shared" si="78"/>
        <v>12.7887</v>
      </c>
      <c r="Z149" s="248">
        <f t="shared" si="79"/>
        <v>2.2499999999999999E-2</v>
      </c>
      <c r="AA149" s="248">
        <f t="shared" si="84"/>
        <v>12.7662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85"/>
        <v>234</v>
      </c>
      <c r="AE149" s="236" t="str">
        <f t="shared" si="86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149" s="235" t="str">
        <f t="shared" si="87"/>
        <v>"C:\Program Files (x86)\AstroGrep\AstroGrep.exe" /e /r /s /spath="%USERPROFILE%\AppData\Local\Temp\OnboardLogs" /stypes="app*4015*20171123*" /stext=" 06:.+((SYSTEM_STATE.+slice.+state.+changed )|(ment ac)|(multiple cpu faults)|(system.+state.+changed )|(\[timeout)|(PRM\|1\|D)|(kpr)|(kdp)|(train st.+moving)|(\|lc)|(penalty))"</v>
      </c>
      <c r="AG149" s="245" t="str">
        <f t="shared" si="88"/>
        <v>EC</v>
      </c>
      <c r="AH149" s="237" t="str">
        <f t="shared" si="89"/>
        <v>"%USERPROFILE%\Documents\GitHub\eaglep3\Utilities\RefineRTDCRunTimes.py" --tripid 234-22 --locoid 4015 --swversion DE.1.0.9.0 --startMP 204:127887 --initTime 2017-11-22T23:16:03 --startdatetime 2017-11-22T23:18:08 --delay 80 --endMP 204:225 --enddatetime 2017-11-22T23:42:50 --enforcementcount 0 &gt;&gt;%USERPROFILE%\Documents\GitHub\eaglep3-reporting\EC\2017-11-22-refined-times.txt</v>
      </c>
      <c r="AI149" s="239" t="str">
        <f t="shared" si="90"/>
        <v>echo {"issue":{"subject":"Onboard en route failure during init at DIA","project_id":79,"tracker_id":40,"status_id":1,"priority_id":2,"assigned_to_id":338,"start_date":"2017-11-22","description":"","custom_fields":[{"id":1,"name":"Subdivision","value":"EC"},{"id":4,"name":"Milepost","value":"0.0225"},{"id":17,"name":"Train ID","value":"234-22"},{"id":16,"name":"Locomotive ID","value":"4015"},{"id":130,"name":"Impact","value":""},{"id":150,"name":"Time of Event (Mountain Time)","value":"23:42:50"},{"id":151,"name":"Denver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91"/>
        <v>start /low /b %USERPROFILE%\Documents\GitHub\eaglep3\Utilities\DownloadLogsFromS3.py --loco 4015 --day 2017-11-22</v>
      </c>
      <c r="AN149" s="242" t="str">
        <f t="shared" si="92"/>
        <v>echo {"issue":{"subject":"Onboard en route failure during init at DIA","project_id":30,"tracker_id":4,"status_id":1,"priority_id":1,"assigned_to_id":10,"start_date":"2017-11-23","description":"","custom_fields":[{"id":30,"name":"Category","value":"Issue"},{"id":3,"name":"Functional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93"/>
        <v>https://d0f6bd738d7f1b3e5a7ca70fe4ff75f0.us-east-1.aws.found.io/app/kibana#/discover/Steve-Slow-Train-Analysis-(2080s-and-2083s)?_g=(refreshInterval:(display:Off,pause:!f,section:0,value:0),time:(from:'2017-11-22T22:16:03-0700',mode:absolute,to:'2017-11-23T00:42:50-0700'))&amp;_a=(columns:!('Message%20ID',Summary),filters:!(),index:'emp_*',interval:auto,query:(query_string:(analyze_wildcard:!t,query:'%22rtdc.l.rtdc.4015%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30" t="s">
        <v>869</v>
      </c>
      <c r="B150" s="226">
        <v>4006</v>
      </c>
      <c r="C150" s="228" t="s">
        <v>192</v>
      </c>
      <c r="D150" s="228" t="s">
        <v>612</v>
      </c>
      <c r="E150" s="227">
        <v>43061.926817129628</v>
      </c>
      <c r="F150" s="227">
        <v>43061.937662037039</v>
      </c>
      <c r="G150" s="226">
        <v>70</v>
      </c>
      <c r="H150" s="228" t="s">
        <v>599</v>
      </c>
      <c r="I150" s="227">
        <v>43061.96292824074</v>
      </c>
      <c r="J150" s="226">
        <v>0</v>
      </c>
      <c r="K150" s="238" t="str">
        <f t="shared" si="80"/>
        <v>4005/4006</v>
      </c>
      <c r="L150" s="246" t="str">
        <f>VLOOKUP(A150,'Trips&amp;Operators'!$C$1:$G$99911,5,FALSE)</f>
        <v>MCREYNOLDS KYLE</v>
      </c>
      <c r="M150" s="225">
        <f t="shared" si="81"/>
        <v>2.5266203701903578E-2</v>
      </c>
      <c r="N150" s="226">
        <f t="shared" ref="N150:N162" si="96">24*60*SUM($M150:$M150)</f>
        <v>36.383333330741152</v>
      </c>
      <c r="O150" s="226"/>
      <c r="P150" s="226"/>
      <c r="Q150" s="229"/>
      <c r="R150" s="243"/>
      <c r="S150" s="250">
        <f t="shared" si="95"/>
        <v>1</v>
      </c>
      <c r="T150" s="243" t="str">
        <f t="shared" si="82"/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83"/>
        <v>https://d0f6bd738d7f1b3e5a7ca70fe4ff75f0.us-east-1.aws.found.io/app/kibana#/discover/Steve-Slow-Train-Analysis-(2080s-and-2083s)?_g=(refreshInterval:(display:Off,pause:!f,section:0,value:0),time:(from:'2017-11-22T21:14:37-0700',mode:absolute,to:'2017-11-23T00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0" s="248" t="str">
        <f>IF(AA150&lt;VLOOKUP(AG150,Variables!$AC$3:$AD$8,2,FALSE),"Y","N")</f>
        <v>N</v>
      </c>
      <c r="X150" s="248">
        <f t="shared" si="94"/>
        <v>1</v>
      </c>
      <c r="Y150" s="248">
        <f t="shared" si="78"/>
        <v>5.3100000000000001E-2</v>
      </c>
      <c r="Z150" s="248">
        <f t="shared" si="79"/>
        <v>23.3172</v>
      </c>
      <c r="AA150" s="248">
        <f t="shared" si="84"/>
        <v>23.264099999999999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si="85"/>
        <v>235</v>
      </c>
      <c r="AE150" s="236" t="str">
        <f t="shared" si="86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150" s="235" t="str">
        <f t="shared" si="87"/>
        <v>"C:\Program Files (x86)\AstroGrep\AstroGrep.exe" /e /r /s /spath="%USERPROFILE%\AppData\Local\Temp\OnboardLogs" /stypes="app*4006*20171123*" /stext=" 06:.+((SYSTEM_STATE.+slice.+state.+changed )|(ment ac)|(multiple cpu faults)|(system.+state.+changed )|(\[timeout)|(PRM\|1\|D)|(kpr)|(kdp)|(train st.+moving)|(\|lc)|(penalty))"</v>
      </c>
      <c r="AG150" s="245" t="str">
        <f t="shared" si="88"/>
        <v>EC</v>
      </c>
      <c r="AH150" s="237" t="str">
        <f t="shared" si="89"/>
        <v>"%USERPROFILE%\Documents\GitHub\eaglep3\Utilities\RefineRTDCRunTimes.py" --tripid 235-22 --locoid 4006 --swversion DE.1.0.9.0 --startMP 204:531 --initTime 2017-11-22T22:14:37 --startdatetime 2017-11-22T22:30:14 --delay 70 --endMP 204:233172 --enddatetime 2017-11-22T23:06:37 --enforcementcount 0 &gt;&gt;%USERPROFILE%\Documents\GitHub\eaglep3-reporting\EC\2017-11-22-refined-times.txt</v>
      </c>
      <c r="AI150" s="239" t="str">
        <f t="shared" si="90"/>
        <v>echo {"issue":{"subject":"","project_id":79,"tracker_id":40,"status_id":1,"priority_id":2,"assigned_to_id":338,"start_date":"2017-11-22","description":"","custom_fields":[{"id":1,"name":"Subdivision","value":"EC"},{"id":4,"name":"Milepost","value":"23.3172"},{"id":17,"name":"Train ID","value":"235-22"},{"id":16,"name":"Locomotive ID","value":"4006"},{"id":130,"name":"Impact","value":""},{"id":150,"name":"Time of Event (Mountain Time)","value":"23:06:37"},{"id":151,"name":"Denver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91"/>
        <v>start /low /b %USERPROFILE%\Documents\GitHub\eaglep3\Utilities\DownloadLogsFromS3.py --loco 4006 --day 2017-11-22</v>
      </c>
      <c r="AN150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93"/>
        <v>https://d0f6bd738d7f1b3e5a7ca70fe4ff75f0.us-east-1.aws.found.io/app/kibana#/discover/Steve-Slow-Train-Analysis-(2080s-and-2083s)?_g=(refreshInterval:(display:Off,pause:!f,section:0,value:0),time:(from:'2017-11-22T21:14:37-0700',mode:absolute,to:'2017-11-23T00:06:37-0700'))&amp;_a=(columns:!('Message%20ID',Summary),filters:!(),index:'emp_*',interval:auto,query:(query_string:(analyze_wildcard:!t,query:'%22rtdc.l.rtdc.4006%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4" customFormat="1" x14ac:dyDescent="0.3">
      <c r="A151" s="230" t="s">
        <v>875</v>
      </c>
      <c r="B151" s="226">
        <v>4005</v>
      </c>
      <c r="C151" s="228" t="s">
        <v>192</v>
      </c>
      <c r="D151" s="228" t="s">
        <v>995</v>
      </c>
      <c r="E151" s="227">
        <v>43061.968807870369</v>
      </c>
      <c r="F151" s="227">
        <v>43061.977233796293</v>
      </c>
      <c r="G151" s="226">
        <v>69</v>
      </c>
      <c r="H151" s="228" t="s">
        <v>977</v>
      </c>
      <c r="I151" s="227">
        <v>43062.004606481481</v>
      </c>
      <c r="J151" s="226">
        <v>0</v>
      </c>
      <c r="K151" s="238" t="str">
        <f t="shared" si="80"/>
        <v>4005/4006</v>
      </c>
      <c r="L151" s="246" t="str">
        <f>VLOOKUP(A151,'Trips&amp;Operators'!$C$1:$G$99911,5,FALSE)</f>
        <v>MCREYNOLDS KYLE</v>
      </c>
      <c r="M151" s="225">
        <f t="shared" si="81"/>
        <v>2.7372685188311152E-2</v>
      </c>
      <c r="N151" s="226">
        <f t="shared" si="96"/>
        <v>39.416666671168059</v>
      </c>
      <c r="O151" s="226"/>
      <c r="P151" s="226"/>
      <c r="Q151" s="229"/>
      <c r="R151" s="243"/>
      <c r="S151" s="250">
        <f t="shared" si="95"/>
        <v>1</v>
      </c>
      <c r="T151" s="243" t="str">
        <f t="shared" si="82"/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83"/>
        <v>https://d0f6bd738d7f1b3e5a7ca70fe4ff75f0.us-east-1.aws.found.io/app/kibana#/discover/Steve-Slow-Train-Analysis-(2080s-and-2083s)?_g=(refreshInterval:(display:Off,pause:!f,section:0,value:0),time:(from:'2017-11-22T22:15:05-0700',mode:absolute,to:'2017-11-23T01:06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1" s="248" t="str">
        <f>IF(AA151&lt;VLOOKUP(AG151,Variables!$AC$3:$AD$8,2,FALSE),"Y","N")</f>
        <v>N</v>
      </c>
      <c r="X151" s="248">
        <f t="shared" si="94"/>
        <v>1</v>
      </c>
      <c r="Y151" s="248">
        <f t="shared" si="78"/>
        <v>23.287299999999998</v>
      </c>
      <c r="Z151" s="248">
        <f t="shared" si="79"/>
        <v>2.5999999999999999E-2</v>
      </c>
      <c r="AA151" s="248">
        <f t="shared" si="84"/>
        <v>23.261299999999999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85"/>
        <v>236</v>
      </c>
      <c r="AE151" s="236" t="str">
        <f t="shared" si="86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151" s="235" t="str">
        <f t="shared" si="87"/>
        <v>"C:\Program Files (x86)\AstroGrep\AstroGrep.exe" /e /r /s /spath="%USERPROFILE%\AppData\Local\Temp\OnboardLogs" /stypes="app*4005*20171123*" /stext=" 07:.+((SYSTEM_STATE.+slice.+state.+changed )|(ment ac)|(multiple cpu faults)|(system.+state.+changed )|(\[timeout)|(PRM\|1\|D)|(kpr)|(kdp)|(train st.+moving)|(\|lc)|(penalty))"</v>
      </c>
      <c r="AG151" s="245" t="str">
        <f t="shared" si="88"/>
        <v>EC</v>
      </c>
      <c r="AH151" s="237" t="str">
        <f t="shared" si="89"/>
        <v>"%USERPROFILE%\Documents\GitHub\eaglep3\Utilities\RefineRTDCRunTimes.py" --tripid 236-22 --locoid 4005 --swversion DE.1.0.9.0 --startMP 204:232873 --initTime 2017-11-22T23:15:05 --startdatetime 2017-11-22T23:27:13 --delay 69 --endMP 204:260 --enddatetime 2017-11-23T00:06:38 --enforcementcount 0 &gt;&gt;%USERPROFILE%\Documents\GitHub\eaglep3-reporting\EC\2017-11-22-refined-times.txt</v>
      </c>
      <c r="AI151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{"issue":{"subject":"","project_id":79,"tracker_id":40,"status_id":1,"priority_id":2,"assigned_to_id":338,"start_date":"2017-11-23","description":"","custom_fields":[{"id":1,"name":"Subdivision","value":"EC"},{"id":4,"name":"Milepost","value":"0.026"},{"id":17,"name":"Train ID","value":"236-22"},{"id":16,"name":"Locomotive ID","value":"4005"},{"id":130,"name":"Impact","value":""},{"id":150,"name":"Time of Event (Mountain Time)","value":"00:06:38"},{"id":151,"name":"Denver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2"/>
      <c r="AL151" s="232"/>
      <c r="AM151" s="241" t="str">
        <f t="shared" si="91"/>
        <v>start /low /b %USERPROFILE%\Documents\GitHub\eaglep3\Utilities\DownloadLogsFromS3.py --loco 4005 --day 2017-11-22</v>
      </c>
      <c r="AN151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07:06:38"},{"id":29,"name":"Sharepoint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93"/>
        <v>https://d0f6bd738d7f1b3e5a7ca70fe4ff75f0.us-east-1.aws.found.io/app/kibana#/discover/Steve-Slow-Train-Analysis-(2080s-and-2083s)?_g=(refreshInterval:(display:Off,pause:!f,section:0,value:0),time:(from:'2017-11-22T22:15:05-0700',mode:absolute,to:'2017-11-23T01:06:38-0700'))&amp;_a=(columns:!('Message%20ID',Summary),filters:!(),index:'emp_*',interval:auto,query:(query_string:(analyze_wildcard:!t,query:'%22rtdc.l.rtdc.4005%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30" t="s">
        <v>872</v>
      </c>
      <c r="B152" s="226">
        <v>4018</v>
      </c>
      <c r="C152" s="228" t="s">
        <v>192</v>
      </c>
      <c r="D152" s="228" t="s">
        <v>587</v>
      </c>
      <c r="E152" s="227">
        <v>43061.943645833337</v>
      </c>
      <c r="F152" s="227">
        <v>43061.958553240744</v>
      </c>
      <c r="G152" s="226">
        <v>101</v>
      </c>
      <c r="H152" s="228" t="s">
        <v>981</v>
      </c>
      <c r="I152" s="227">
        <v>43061.985752314817</v>
      </c>
      <c r="J152" s="226">
        <v>0</v>
      </c>
      <c r="K152" s="238" t="str">
        <f t="shared" si="80"/>
        <v>4017/4018</v>
      </c>
      <c r="L152" s="246" t="str">
        <f>VLOOKUP(A152,'Trips&amp;Operators'!$C$1:$G$99911,5,FALSE)</f>
        <v>NICHOLSON WESLEY</v>
      </c>
      <c r="M152" s="225">
        <f t="shared" si="81"/>
        <v>2.7199074072996154E-2</v>
      </c>
      <c r="N152" s="226">
        <f t="shared" si="96"/>
        <v>39.166666665114462</v>
      </c>
      <c r="O152" s="226"/>
      <c r="P152" s="226"/>
      <c r="Q152" s="229"/>
      <c r="R152" s="243"/>
      <c r="S152" s="250">
        <f t="shared" si="95"/>
        <v>1</v>
      </c>
      <c r="T152" s="243" t="str">
        <f t="shared" si="82"/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83"/>
        <v>https://d0f6bd738d7f1b3e5a7ca70fe4ff75f0.us-east-1.aws.found.io/app/kibana#/discover/Steve-Slow-Train-Analysis-(2080s-and-2083s)?_g=(refreshInterval:(display:Off,pause:!f,section:0,value:0),time:(from:'2017-11-22T21:38:51-0700',mode:absolute,to:'2017-11-23T00:39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2" s="248" t="str">
        <f>IF(AA152&lt;VLOOKUP(AG152,Variables!$AC$3:$AD$8,2,FALSE),"Y","N")</f>
        <v>N</v>
      </c>
      <c r="X152" s="248">
        <f t="shared" si="94"/>
        <v>1</v>
      </c>
      <c r="Y152" s="248">
        <f t="shared" si="78"/>
        <v>5.4899999999999997E-2</v>
      </c>
      <c r="Z152" s="248">
        <f t="shared" si="79"/>
        <v>23.318100000000001</v>
      </c>
      <c r="AA152" s="248">
        <f t="shared" si="84"/>
        <v>23.263200000000001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85"/>
        <v>237</v>
      </c>
      <c r="AE152" s="236" t="str">
        <f t="shared" si="86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152" s="235" t="str">
        <f t="shared" si="87"/>
        <v>"C:\Program Files (x86)\AstroGrep\AstroGrep.exe" /e /r /s /spath="%USERPROFILE%\AppData\Local\Temp\OnboardLogs" /stypes="app*4018*20171123*" /stext=" 06:.+((SYSTEM_STATE.+slice.+state.+changed )|(ment ac)|(multiple cpu faults)|(system.+state.+changed )|(\[timeout)|(PRM\|1\|D)|(kpr)|(kdp)|(train st.+moving)|(\|lc)|(penalty))"</v>
      </c>
      <c r="AG152" s="245" t="str">
        <f t="shared" si="88"/>
        <v>EC</v>
      </c>
      <c r="AH152" s="237" t="str">
        <f t="shared" si="89"/>
        <v>"%USERPROFILE%\Documents\GitHub\eaglep3\Utilities\RefineRTDCRunTimes.py" --tripid 237-22 --locoid 4018 --swversion DE.1.0.9.0 --startMP 204:549 --initTime 2017-11-22T22:38:51 --startdatetime 2017-11-22T23:00:19 --delay 101 --endMP 204:233181 --enddatetime 2017-11-22T23:39:29 --enforcementcount 0 &gt;&gt;%USERPROFILE%\Documents\GitHub\eaglep3-reporting\EC\2017-11-22-refined-times.txt</v>
      </c>
      <c r="AI152" s="239" t="str">
        <f t="shared" si="90"/>
        <v>echo {"issue":{"subject":"","project_id":79,"tracker_id":40,"status_id":1,"priority_id":2,"assigned_to_id":338,"start_date":"2017-11-22","description":"","custom_fields":[{"id":1,"name":"Subdivision","value":"EC"},{"id":4,"name":"Milepost","value":"23.3181"},{"id":17,"name":"Train ID","value":"237-22"},{"id":16,"name":"Locomotive ID","value":"4018"},{"id":130,"name":"Impact","value":""},{"id":150,"name":"Time of Event (Mountain Time)","value":"23:39:29"},{"id":151,"name":"Denver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91"/>
        <v>start /low /b %USERPROFILE%\Documents\GitHub\eaglep3\Utilities\DownloadLogsFromS3.py --loco 4018 --day 2017-11-22</v>
      </c>
      <c r="AN152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93"/>
        <v>https://d0f6bd738d7f1b3e5a7ca70fe4ff75f0.us-east-1.aws.found.io/app/kibana#/discover/Steve-Slow-Train-Analysis-(2080s-and-2083s)?_g=(refreshInterval:(display:Off,pause:!f,section:0,value:0),time:(from:'2017-11-22T21:38:51-0700',mode:absolute,to:'2017-11-23T00:39:29-0700'))&amp;_a=(columns:!('Message%20ID',Summary),filters:!(),index:'emp_*',interval:auto,query:(query_string:(analyze_wildcard:!t,query:'%22rtdc.l.rtdc.4018%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30" t="s">
        <v>877</v>
      </c>
      <c r="B153" s="226">
        <v>4017</v>
      </c>
      <c r="C153" s="228" t="s">
        <v>192</v>
      </c>
      <c r="D153" s="228" t="s">
        <v>603</v>
      </c>
      <c r="E153" s="227">
        <v>43061.991087962961</v>
      </c>
      <c r="F153" s="227">
        <v>43061.998113425929</v>
      </c>
      <c r="G153" s="226">
        <v>92</v>
      </c>
      <c r="H153" s="228" t="s">
        <v>996</v>
      </c>
      <c r="I153" s="227">
        <v>43062.025555555556</v>
      </c>
      <c r="J153" s="226">
        <v>0</v>
      </c>
      <c r="K153" s="238" t="str">
        <f t="shared" si="80"/>
        <v>4017/4018</v>
      </c>
      <c r="L153" s="246" t="str">
        <f>VLOOKUP(A153,'Trips&amp;Operators'!$C$1:$G$99911,5,FALSE)</f>
        <v>NICHOLSON WESLEY</v>
      </c>
      <c r="M153" s="225">
        <f t="shared" si="81"/>
        <v>2.7442129627161194E-2</v>
      </c>
      <c r="N153" s="226">
        <f t="shared" si="96"/>
        <v>39.516666663112119</v>
      </c>
      <c r="O153" s="226"/>
      <c r="P153" s="226"/>
      <c r="Q153" s="229"/>
      <c r="R153" s="243"/>
      <c r="S153" s="250">
        <f t="shared" si="95"/>
        <v>1</v>
      </c>
      <c r="T153" s="243" t="str">
        <f t="shared" si="82"/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83"/>
        <v>https://d0f6bd738d7f1b3e5a7ca70fe4ff75f0.us-east-1.aws.found.io/app/kibana#/discover/Steve-Slow-Train-Analysis-(2080s-and-2083s)?_g=(refreshInterval:(display:Off,pause:!f,section:0,value:0),time:(from:'2017-11-22T22:47:10-0700',mode:absolute,to:'2017-11-23T01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3" s="248" t="str">
        <f>IF(AA153&lt;VLOOKUP(AG153,Variables!$AC$3:$AD$8,2,FALSE),"Y","N")</f>
        <v>N</v>
      </c>
      <c r="X153" s="248">
        <f t="shared" si="94"/>
        <v>1</v>
      </c>
      <c r="Y153" s="248">
        <f t="shared" si="78"/>
        <v>23.2879</v>
      </c>
      <c r="Z153" s="248">
        <f t="shared" si="79"/>
        <v>2.3099999999999999E-2</v>
      </c>
      <c r="AA153" s="248">
        <f t="shared" si="84"/>
        <v>23.264800000000001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85"/>
        <v>238</v>
      </c>
      <c r="AE153" s="236" t="str">
        <f t="shared" si="86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153" s="235" t="str">
        <f t="shared" si="87"/>
        <v>"C:\Program Files (x86)\AstroGrep\AstroGrep.exe" /e /r /s /spath="%USERPROFILE%\AppData\Local\Temp\OnboardLogs" /stypes="app*4017*20171123*" /stext=" 07:.+((SYSTEM_STATE.+slice.+state.+changed )|(ment ac)|(multiple cpu faults)|(system.+state.+changed )|(\[timeout)|(PRM\|1\|D)|(kpr)|(kdp)|(train st.+moving)|(\|lc)|(penalty))"</v>
      </c>
      <c r="AG153" s="245" t="str">
        <f t="shared" si="88"/>
        <v>EC</v>
      </c>
      <c r="AH153" s="237" t="str">
        <f t="shared" si="89"/>
        <v>"%USERPROFILE%\Documents\GitHub\eaglep3\Utilities\RefineRTDCRunTimes.py" --tripid 238-22 --locoid 4017 --swversion DE.1.0.9.0 --startMP 204:232879 --initTime 2017-11-22T23:47:10 --startdatetime 2017-11-22T23:57:17 --delay 92 --endMP 204:231 --enddatetime 2017-11-23T00:36:48 --enforcementcount 0 &gt;&gt;%USERPROFILE%\Documents\GitHub\eaglep3-reporting\EC\2017-11-22-refined-times.txt</v>
      </c>
      <c r="AI153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{"issue":{"subject":"","project_id":79,"tracker_id":40,"status_id":1,"priority_id":2,"assigned_to_id":338,"start_date":"2017-11-23","description":"","custom_fields":[{"id":1,"name":"Subdivision","value":"EC"},{"id":4,"name":"Milepost","value":"0.0231"},{"id":17,"name":"Train ID","value":"238-22"},{"id":16,"name":"Locomotive ID","value":"4017"},{"id":130,"name":"Impact","value":""},{"id":150,"name":"Time of Event (Mountain Time)","value":"00:36:48"},{"id":151,"name":"Denver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91"/>
        <v>start /low /b %USERPROFILE%\Documents\GitHub\eaglep3\Utilities\DownloadLogsFromS3.py --loco 4017 --day 2017-11-22</v>
      </c>
      <c r="AN153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07:36:48"},{"id":29,"name":"Sharepoint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93"/>
        <v>https://d0f6bd738d7f1b3e5a7ca70fe4ff75f0.us-east-1.aws.found.io/app/kibana#/discover/Steve-Slow-Train-Analysis-(2080s-and-2083s)?_g=(refreshInterval:(display:Off,pause:!f,section:0,value:0),time:(from:'2017-11-22T22:47:10-0700',mode:absolute,to:'2017-11-23T01:36:48-0700'))&amp;_a=(columns:!('Message%20ID',Summary),filters:!(),index:'emp_*',interval:auto,query:(query_string:(analyze_wildcard:!t,query:'%22rtdc.l.rtdc.4017%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230" t="s">
        <v>876</v>
      </c>
      <c r="B154" s="226">
        <v>4002</v>
      </c>
      <c r="C154" s="228" t="s">
        <v>192</v>
      </c>
      <c r="D154" s="228" t="s">
        <v>593</v>
      </c>
      <c r="E154" s="227">
        <v>43061.975775462961</v>
      </c>
      <c r="F154" s="227">
        <v>43061.979317129626</v>
      </c>
      <c r="G154" s="226">
        <v>58</v>
      </c>
      <c r="H154" s="228" t="s">
        <v>997</v>
      </c>
      <c r="I154" s="227">
        <v>43062.003344907411</v>
      </c>
      <c r="J154" s="226">
        <v>0</v>
      </c>
      <c r="K154" s="238" t="str">
        <f t="shared" si="80"/>
        <v>4001/4002</v>
      </c>
      <c r="L154" s="246" t="str">
        <f>VLOOKUP(A154,'Trips&amp;Operators'!$C$1:$G$99911,5,FALSE)</f>
        <v>RESPASS AARON</v>
      </c>
      <c r="M154" s="225">
        <f t="shared" si="81"/>
        <v>2.4027777784795035E-2</v>
      </c>
      <c r="N154" s="226">
        <f t="shared" si="96"/>
        <v>34.60000001010485</v>
      </c>
      <c r="O154" s="226"/>
      <c r="P154" s="226"/>
      <c r="Q154" s="229"/>
      <c r="R154" s="243"/>
      <c r="S154" s="250">
        <f t="shared" si="95"/>
        <v>1</v>
      </c>
      <c r="T154" s="243" t="str">
        <f t="shared" si="82"/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83"/>
        <v>https://d0f6bd738d7f1b3e5a7ca70fe4ff75f0.us-east-1.aws.found.io/app/kibana#/discover/Steve-Slow-Train-Analysis-(2080s-and-2083s)?_g=(refreshInterval:(display:Off,pause:!f,section:0,value:0),time:(from:'2017-11-22T22:25:07-0700',mode:absolute,to:'2017-11-23T01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248" t="str">
        <f>IF(AA154&lt;VLOOKUP(AG154,Variables!$AC$3:$AD$8,2,FALSE),"Y","N")</f>
        <v>N</v>
      </c>
      <c r="X154" s="248">
        <f t="shared" si="94"/>
        <v>1</v>
      </c>
      <c r="Y154" s="248">
        <f t="shared" si="78"/>
        <v>5.4199999999999998E-2</v>
      </c>
      <c r="Z154" s="248">
        <f t="shared" si="79"/>
        <v>23.324200000000001</v>
      </c>
      <c r="AA154" s="248">
        <f t="shared" si="84"/>
        <v>23.27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85"/>
        <v>239</v>
      </c>
      <c r="AE154" s="236" t="str">
        <f t="shared" si="86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154" s="235" t="str">
        <f t="shared" si="87"/>
        <v>"C:\Program Files (x86)\AstroGrep\AstroGrep.exe" /e /r /s /spath="%USERPROFILE%\AppData\Local\Temp\OnboardLogs" /stypes="app*4002*20171123*" /stext=" 07:.+((SYSTEM_STATE.+slice.+state.+changed )|(ment ac)|(multiple cpu faults)|(system.+state.+changed )|(\[timeout)|(PRM\|1\|D)|(kpr)|(kdp)|(train st.+moving)|(\|lc)|(penalty))"</v>
      </c>
      <c r="AG154" s="245" t="str">
        <f t="shared" si="88"/>
        <v>EC</v>
      </c>
      <c r="AH154" s="237" t="str">
        <f t="shared" si="89"/>
        <v>"%USERPROFILE%\Documents\GitHub\eaglep3\Utilities\RefineRTDCRunTimes.py" --tripid 239-22 --locoid 4002 --swversion DE.1.0.9.0 --startMP 204:542 --initTime 2017-11-22T23:25:07 --startdatetime 2017-11-22T23:30:13 --delay 58 --endMP 204:233242 --enddatetime 2017-11-23T00:04:49 --enforcementcount 0 &gt;&gt;%USERPROFILE%\Documents\GitHub\eaglep3-reporting\EC\2017-11-22-refined-times.txt</v>
      </c>
      <c r="AI154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{"issue":{"subject":"","project_id":79,"tracker_id":40,"status_id":1,"priority_id":2,"assigned_to_id":338,"start_date":"2017-11-23","description":"","custom_fields":[{"id":1,"name":"Subdivision","value":"EC"},{"id":4,"name":"Milepost","value":"23.3242"},{"id":17,"name":"Train ID","value":"239-22"},{"id":16,"name":"Locomotive ID","value":"4002"},{"id":130,"name":"Impact","value":""},{"id":150,"name":"Time of Event (Mountain Time)","value":"00:04:49"},{"id":151,"name":"Denver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91"/>
        <v>start /low /b %USERPROFILE%\Documents\GitHub\eaglep3\Utilities\DownloadLogsFromS3.py --loco 4002 --day 2017-11-22</v>
      </c>
      <c r="AN154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07:04:49"},{"id":29,"name":"Sharepoint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93"/>
        <v>https://d0f6bd738d7f1b3e5a7ca70fe4ff75f0.us-east-1.aws.found.io/app/kibana#/discover/Steve-Slow-Train-Analysis-(2080s-and-2083s)?_g=(refreshInterval:(display:Off,pause:!f,section:0,value:0),time:(from:'2017-11-22T22:25:07-0700',mode:absolute,to:'2017-11-23T01:04:49-0700'))&amp;_a=(columns:!('Message%20ID',Summary),filters:!(),index:'emp_*',interval:auto,query:(query_string:(analyze_wildcard:!t,query:'%22rtdc.l.rtdc.4002%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30" t="s">
        <v>671</v>
      </c>
      <c r="B155" s="226">
        <v>4001</v>
      </c>
      <c r="C155" s="228" t="s">
        <v>192</v>
      </c>
      <c r="D155" s="228" t="s">
        <v>976</v>
      </c>
      <c r="E155" s="227">
        <v>43062.018807870372</v>
      </c>
      <c r="F155" s="227">
        <v>43062.020046296297</v>
      </c>
      <c r="G155" s="226">
        <v>49</v>
      </c>
      <c r="H155" s="228" t="s">
        <v>998</v>
      </c>
      <c r="I155" s="227">
        <v>43062.045497685183</v>
      </c>
      <c r="J155" s="226">
        <v>0</v>
      </c>
      <c r="K155" s="238" t="str">
        <f t="shared" si="80"/>
        <v>4001/4002</v>
      </c>
      <c r="L155" s="246" t="str">
        <f>VLOOKUP(A155,'Trips&amp;Operators'!$C$1:$G$99911,5,FALSE)</f>
        <v>RESPASS AARON</v>
      </c>
      <c r="M155" s="225">
        <f t="shared" si="81"/>
        <v>2.545138888672227E-2</v>
      </c>
      <c r="N155" s="226">
        <f t="shared" si="96"/>
        <v>36.649999996880069</v>
      </c>
      <c r="O155" s="226"/>
      <c r="P155" s="226"/>
      <c r="Q155" s="229"/>
      <c r="R155" s="243"/>
      <c r="S155" s="250">
        <f t="shared" si="95"/>
        <v>1</v>
      </c>
      <c r="T155" s="243" t="str">
        <f t="shared" si="82"/>
        <v>Southbound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83"/>
        <v>https://d0f6bd738d7f1b3e5a7ca70fe4ff75f0.us-east-1.aws.found.io/app/kibana#/discover/Steve-Slow-Train-Analysis-(2080s-and-2083s)?_g=(refreshInterval:(display:Off,pause:!f,section:0,value:0),time:(from:'2017-11-22T23:27:05-0700',mode:absolute,to:'2017-11-23T02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248" t="str">
        <f>IF(AA155&lt;VLOOKUP(AG155,Variables!$AC$3:$AD$8,2,FALSE),"Y","N")</f>
        <v>N</v>
      </c>
      <c r="X155" s="248">
        <f t="shared" si="94"/>
        <v>1</v>
      </c>
      <c r="Y155" s="248">
        <f t="shared" si="78"/>
        <v>23.292300000000001</v>
      </c>
      <c r="Z155" s="248">
        <f t="shared" si="79"/>
        <v>2.6499999999999999E-2</v>
      </c>
      <c r="AA155" s="248">
        <f t="shared" si="84"/>
        <v>23.265800000000002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85"/>
        <v>240</v>
      </c>
      <c r="AE155" s="236" t="str">
        <f t="shared" si="86"/>
        <v>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 &amp; 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</v>
      </c>
      <c r="AF155" s="235" t="str">
        <f t="shared" si="87"/>
        <v>"C:\Program Files (x86)\AstroGrep\AstroGrep.exe" /e /r /s /spath="%USERPROFILE%\AppData\Local\Temp\OnboardLogs" /stypes="app*4001*20171123*" /stext=" 08:.+((SYSTEM_STATE.+slice.+state.+changed )|(ment ac)|(multiple cpu faults)|(system.+state.+changed )|(\[timeout)|(PRM\|1\|D)|(kpr)|(kdp)|(train st.+moving)|(\|lc)|(penalty))"</v>
      </c>
      <c r="AG155" s="245" t="str">
        <f t="shared" si="88"/>
        <v>EC</v>
      </c>
      <c r="AH155" s="237" t="str">
        <f t="shared" si="89"/>
        <v>"%USERPROFILE%\Documents\GitHub\eaglep3\Utilities\RefineRTDCRunTimes.py" --tripid 240-22 --locoid 4001 --swversion DE.1.0.9.0 --startMP 204:232923 --initTime 2017-11-23T00:27:05 --startdatetime 2017-11-23T00:28:52 --delay 49 --endMP 204:265 --enddatetime 2017-11-23T01:05:31 --enforcementcount 0 &gt;&gt;%USERPROFILE%\Documents\GitHub\eaglep3-reporting\EC\2017-11-22-refined-times.txt</v>
      </c>
      <c r="AI155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{"issue":{"subject":"","project_id":79,"tracker_id":40,"status_id":1,"priority_id":2,"assigned_to_id":338,"start_date":"2017-11-23","description":"","custom_fields":[{"id":1,"name":"Subdivision","value":"EC"},{"id":4,"name":"Milepost","value":"0.0265"},{"id":17,"name":"Train ID","value":"240-22"},{"id":16,"name":"Locomotive ID","value":"4001"},{"id":130,"name":"Impact","value":""},{"id":150,"name":"Time of Event (Mountain Time)","value":"01:05:31"},{"id":151,"name":"Denver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91"/>
        <v>start /low /b %USERPROFILE%\Documents\GitHub\eaglep3\Utilities\DownloadLogsFromS3.py --loco 4001 --day 2017-11-23</v>
      </c>
      <c r="AN155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08:05:31"},{"id":29,"name":"Sharepoint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93"/>
        <v>https://d0f6bd738d7f1b3e5a7ca70fe4ff75f0.us-east-1.aws.found.io/app/kibana#/discover/Steve-Slow-Train-Analysis-(2080s-and-2083s)?_g=(refreshInterval:(display:Off,pause:!f,section:0,value:0),time:(from:'2017-11-22T23:27:05-0700',mode:absolute,to:'2017-11-23T02:05:31-0700'))&amp;_a=(columns:!('Message%20ID',Summary),filters:!(),index:'emp_*',interval:auto,query:(query_string:(analyze_wildcard:!t,query:'%22rtdc.l.rtdc.4001%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230" t="s">
        <v>670</v>
      </c>
      <c r="B156" s="226">
        <v>4016</v>
      </c>
      <c r="C156" s="228" t="s">
        <v>192</v>
      </c>
      <c r="D156" s="228" t="s">
        <v>479</v>
      </c>
      <c r="E156" s="227">
        <v>43061.99050925926</v>
      </c>
      <c r="F156" s="227">
        <v>43062.000173611108</v>
      </c>
      <c r="G156" s="226">
        <v>80</v>
      </c>
      <c r="H156" s="228" t="s">
        <v>931</v>
      </c>
      <c r="I156" s="227">
        <v>43062.025405092594</v>
      </c>
      <c r="J156" s="226">
        <v>0</v>
      </c>
      <c r="K156" s="238" t="str">
        <f t="shared" si="80"/>
        <v>4015/4016</v>
      </c>
      <c r="L156" s="246" t="str">
        <f>VLOOKUP(A156,'Trips&amp;Operators'!$C$1:$G$99911,5,FALSE)</f>
        <v>HAMMOND JUSTYNN</v>
      </c>
      <c r="M156" s="225">
        <f t="shared" si="81"/>
        <v>2.5231481486116536E-2</v>
      </c>
      <c r="N156" s="226">
        <f t="shared" si="96"/>
        <v>36.333333340007812</v>
      </c>
      <c r="O156" s="226"/>
      <c r="P156" s="226"/>
      <c r="Q156" s="229"/>
      <c r="R156" s="243"/>
      <c r="S156" s="250">
        <f t="shared" si="95"/>
        <v>1</v>
      </c>
      <c r="T156" s="243" t="str">
        <f t="shared" si="82"/>
        <v>NorthBound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83"/>
        <v>https://d0f6bd738d7f1b3e5a7ca70fe4ff75f0.us-east-1.aws.found.io/app/kibana#/discover/Steve-Slow-Train-Analysis-(2080s-and-2083s)?_g=(refreshInterval:(display:Off,pause:!f,section:0,value:0),time:(from:'2017-11-22T22:46:20-0700',mode:absolute,to:'2017-11-23T01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6" s="248" t="str">
        <f>IF(AA156&lt;VLOOKUP(AG156,Variables!$AC$3:$AD$8,2,FALSE),"Y","N")</f>
        <v>N</v>
      </c>
      <c r="X156" s="248">
        <f t="shared" si="94"/>
        <v>1</v>
      </c>
      <c r="Y156" s="248">
        <f t="shared" si="78"/>
        <v>5.2400000000000002E-2</v>
      </c>
      <c r="Z156" s="248">
        <f t="shared" si="79"/>
        <v>23.323</v>
      </c>
      <c r="AA156" s="248">
        <f t="shared" si="84"/>
        <v>23.270600000000002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85"/>
        <v>241</v>
      </c>
      <c r="AE156" s="236" t="str">
        <f t="shared" si="86"/>
        <v>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 &amp; 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</v>
      </c>
      <c r="AF156" s="235" t="str">
        <f t="shared" si="87"/>
        <v>"C:\Program Files (x86)\AstroGrep\AstroGrep.exe" /e /r /s /spath="%USERPROFILE%\AppData\Local\Temp\OnboardLogs" /stypes="app*4016*20171123*" /stext=" 07:.+((SYSTEM_STATE.+slice.+state.+changed )|(ment ac)|(multiple cpu faults)|(system.+state.+changed )|(\[timeout)|(PRM\|1\|D)|(kpr)|(kdp)|(train st.+moving)|(\|lc)|(penalty))"</v>
      </c>
      <c r="AG156" s="245" t="str">
        <f t="shared" si="88"/>
        <v>EC</v>
      </c>
      <c r="AH156" s="237" t="str">
        <f t="shared" si="89"/>
        <v>"%USERPROFILE%\Documents\GitHub\eaglep3\Utilities\RefineRTDCRunTimes.py" --tripid 241-22 --locoid 4016 --swversion DE.1.0.9.0 --startMP 204:524 --initTime 2017-11-22T23:46:20 --startdatetime 2017-11-23T00:00:15 --delay 80 --endMP 204:233230 --enddatetime 2017-11-23T00:36:35 --enforcementcount 0 &gt;&gt;%USERPROFILE%\Documents\GitHub\eaglep3-reporting\EC\2017-11-22-refined-times.txt</v>
      </c>
      <c r="AI156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{"issue":{"subject":"","project_id":79,"tracker_id":40,"status_id":1,"priority_id":2,"assigned_to_id":338,"start_date":"2017-11-23","description":"","custom_fields":[{"id":1,"name":"Subdivision","value":"EC"},{"id":4,"name":"Milepost","value":"23.323"},{"id":17,"name":"Train ID","value":"241-22"},{"id":16,"name":"Locomotive ID","value":"4016"},{"id":130,"name":"Impact","value":""},{"id":150,"name":"Time of Event (Mountain Time)","value":"00:36:35"},{"id":151,"name":"Denver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91"/>
        <v>start /low /b %USERPROFILE%\Documents\GitHub\eaglep3\Utilities\DownloadLogsFromS3.py --loco 4016 --day 2017-11-23</v>
      </c>
      <c r="AN156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07:36:35"},{"id":29,"name":"Sharepoint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93"/>
        <v>https://d0f6bd738d7f1b3e5a7ca70fe4ff75f0.us-east-1.aws.found.io/app/kibana#/discover/Steve-Slow-Train-Analysis-(2080s-and-2083s)?_g=(refreshInterval:(display:Off,pause:!f,section:0,value:0),time:(from:'2017-11-22T22:46:20-0700',mode:absolute,to:'2017-11-23T01:36:35-0700'))&amp;_a=(columns:!('Message%20ID',Summary),filters:!(),index:'emp_*',interval:auto,query:(query_string:(analyze_wildcard:!t,query:'%22rtdc.l.rtdc.4016%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4" customFormat="1" x14ac:dyDescent="0.3">
      <c r="A157" s="230" t="s">
        <v>880</v>
      </c>
      <c r="B157" s="226">
        <v>4015</v>
      </c>
      <c r="C157" s="228" t="s">
        <v>192</v>
      </c>
      <c r="D157" s="228" t="s">
        <v>479</v>
      </c>
      <c r="E157" s="227">
        <v>43061.99050925926</v>
      </c>
      <c r="F157" s="227">
        <v>43062.03974537037</v>
      </c>
      <c r="G157" s="226">
        <v>80</v>
      </c>
      <c r="H157" s="228" t="s">
        <v>931</v>
      </c>
      <c r="I157" s="227">
        <v>43062.065925925926</v>
      </c>
      <c r="J157" s="226">
        <v>0</v>
      </c>
      <c r="K157" s="238" t="str">
        <f t="shared" si="80"/>
        <v>4015/4016</v>
      </c>
      <c r="L157" s="246" t="str">
        <f>VLOOKUP(A157,'Trips&amp;Operators'!$C$1:$G$99911,5,FALSE)</f>
        <v>HAMMOND JUSTYNN</v>
      </c>
      <c r="M157" s="225">
        <f t="shared" si="81"/>
        <v>2.6180555556493346E-2</v>
      </c>
      <c r="N157" s="226">
        <f t="shared" si="96"/>
        <v>37.700000001350418</v>
      </c>
      <c r="O157" s="226"/>
      <c r="P157" s="226"/>
      <c r="Q157" s="229"/>
      <c r="R157" s="243"/>
      <c r="S157" s="250">
        <f t="shared" si="95"/>
        <v>1</v>
      </c>
      <c r="T157" s="243" t="str">
        <f t="shared" si="82"/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83"/>
        <v>https://d0f6bd738d7f1b3e5a7ca70fe4ff75f0.us-east-1.aws.found.io/app/kibana#/discover/Steve-Slow-Train-Analysis-(2080s-and-2083s)?_g=(refreshInterval:(display:Off,pause:!f,section:0,value:0),time:(from:'2017-11-22T22:46:20-0700',mode:absolute,to:'2017-11-23T02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7" s="248" t="str">
        <f>IF(AA157&lt;VLOOKUP(AG157,Variables!$AC$3:$AD$8,2,FALSE),"Y","N")</f>
        <v>N</v>
      </c>
      <c r="X157" s="248">
        <f t="shared" si="94"/>
        <v>1</v>
      </c>
      <c r="Y157" s="248">
        <v>23.292300000000001</v>
      </c>
      <c r="Z157" s="248">
        <v>2.6499999999999999E-2</v>
      </c>
      <c r="AA157" s="248">
        <f t="shared" si="84"/>
        <v>23.265800000000002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85"/>
        <v>242</v>
      </c>
      <c r="AE157" s="236" t="str">
        <f t="shared" si="86"/>
        <v>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 &amp; aws s3 cp s3://rtdc.mdm.uploadarchive.raw/RTDC4015/ "%USERPROFILE%\AppData\Local\Temp\OnboardLogs"\RTDC4015\2017-11-24 --exclude "*" --recursive --include "*20171124*" &amp; "%USERPROFILE%\Documents\GitHub\mrs-test-scripts\Headless Mode &amp; Sideloading\WalkAndUnGZ.bat" "%USERPROFILE%\AppData\Local\Temp\OnboardLogs"\RTDC4015\2017-11-24</v>
      </c>
      <c r="AF157" s="235" t="str">
        <f t="shared" si="87"/>
        <v>"C:\Program Files (x86)\AstroGrep\AstroGrep.exe" /e /r /s /spath="%USERPROFILE%\AppData\Local\Temp\OnboardLogs" /stypes="app*4015*20171123*" /stext=" 08:.+((SYSTEM_STATE.+slice.+state.+changed )|(ment ac)|(multiple cpu faults)|(system.+state.+changed )|(\[timeout)|(PRM\|1\|D)|(kpr)|(kdp)|(train st.+moving)|(\|lc)|(penalty))"</v>
      </c>
      <c r="AG157" s="245" t="str">
        <f t="shared" si="88"/>
        <v>EC</v>
      </c>
      <c r="AH157" s="237" t="str">
        <f t="shared" ref="AH157" si="97"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242-22 --locoid 4015 --swversion DE.1.0.9.0 --startMP 204:524 --initTime 2017-11-22T23:46:20 --startdatetime 2017-11-23T00:57:14 --delay 80 --endMP 204:233230 --enddatetime 2017-11-23T01:34:56 --enforcementcount 0 &gt;&gt;%USERPROFILE%\Documents\GitHub\eaglep3-reporting\EC\2017-11-22-refined-times.txt</v>
      </c>
      <c r="AI157" s="239" t="str">
        <f t="shared" ref="AI157" si="98"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{"issue":{"subject":"","project_id":79,"tracker_id":40,"status_id":1,"priority_id":2,"assigned_to_id":338,"start_date":"2017-11-23","description":"","custom_fields":[{"id":1,"name":"Subdivision","value":"EC"},{"id":4,"name":"Milepost","value":"0.0265"},{"id":17,"name":"Train ID","value":"242-22"},{"id":16,"name":"Locomotive ID","value":"4015"},{"id":130,"name":"Impact","value":""},{"id":150,"name":"Time of Event (Mountain Time)","value":"01:34:56"},{"id":151,"name":"Denver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2"/>
      <c r="AL157" s="232"/>
      <c r="AM157" s="241" t="str">
        <f t="shared" ref="AM157" si="99">"start /low /b "&amp;dls3logs&amp;" --loco "&amp;B157&amp;" --day "&amp;TEXT(F157,"YYYY-MM-DD")</f>
        <v>start /low /b %USERPROFILE%\Documents\GitHub\eaglep3\Utilities\DownloadLogsFromS3.py --loco 4015 --day 2017-11-23</v>
      </c>
      <c r="AN157" s="242" t="str">
        <f t="shared" ref="AN157" si="100"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08:34:56"},{"id":29,"name":"Sharepoint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ref="AO157" si="101"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-11-22T22:46:20-0700',mode:absolute,to:'2017-11-23T02:34:56-0700'))&amp;_a=(columns:!('Message%20ID',Summary),filters:!(),index:'emp_*',interval:auto,query:(query_string:(analyze_wildcard:!t,query:'%22rtdc.l.rtdc.4015%22')),sort:!(Time.ISO8601,asc))</v>
      </c>
    </row>
    <row r="158" spans="1:91" s="20" customFormat="1" x14ac:dyDescent="0.3">
      <c r="A158" s="230" t="s">
        <v>878</v>
      </c>
      <c r="B158" s="226">
        <v>4006</v>
      </c>
      <c r="C158" s="228" t="s">
        <v>192</v>
      </c>
      <c r="D158" s="228" t="s">
        <v>999</v>
      </c>
      <c r="E158" s="227">
        <v>43062.006655092591</v>
      </c>
      <c r="F158" s="227">
        <v>43062.021053240744</v>
      </c>
      <c r="G158" s="226">
        <v>80</v>
      </c>
      <c r="H158" s="228" t="s">
        <v>947</v>
      </c>
      <c r="I158" s="227">
        <v>43062.045613425929</v>
      </c>
      <c r="J158" s="226">
        <v>0</v>
      </c>
      <c r="K158" s="238" t="str">
        <f t="shared" si="80"/>
        <v>4005/4006</v>
      </c>
      <c r="L158" s="246" t="str">
        <f>VLOOKUP(A158,'Trips&amp;Operators'!$C$1:$G$99911,5,FALSE)</f>
        <v>LOPES KIMBERLY</v>
      </c>
      <c r="M158" s="225">
        <f t="shared" si="81"/>
        <v>2.4560185185691807E-2</v>
      </c>
      <c r="N158" s="226">
        <f t="shared" si="96"/>
        <v>35.366666667396203</v>
      </c>
      <c r="O158" s="226"/>
      <c r="P158" s="226"/>
      <c r="Q158" s="229"/>
      <c r="R158" s="243"/>
      <c r="S158" s="250">
        <f t="shared" si="95"/>
        <v>1</v>
      </c>
      <c r="T158" s="243" t="str">
        <f t="shared" si="82"/>
        <v>NorthBound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83"/>
        <v>https://d0f6bd738d7f1b3e5a7ca70fe4ff75f0.us-east-1.aws.found.io/app/kibana#/discover/Steve-Slow-Train-Analysis-(2080s-and-2083s)?_g=(refreshInterval:(display:Off,pause:!f,section:0,value:0),time:(from:'2017-11-22T23:09:35-0700',mode:absolute,to:'2017-11-23T02:05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8" s="248" t="str">
        <f>IF(AA158&lt;VLOOKUP(AG158,Variables!$AC$3:$AD$8,2,FALSE),"Y","N")</f>
        <v>N</v>
      </c>
      <c r="X158" s="248">
        <f t="shared" si="94"/>
        <v>1</v>
      </c>
      <c r="Y158" s="248">
        <f t="shared" ref="Y158:Y183" si="102">RIGHT(D158,LEN(D158)-4)/10000</f>
        <v>5.7299999999999997E-2</v>
      </c>
      <c r="Z158" s="248">
        <f>RIGHT(H158,LEN(H158)-4)/10000</f>
        <v>23.319099999999999</v>
      </c>
      <c r="AA158" s="248">
        <f t="shared" si="84"/>
        <v>23.261799999999997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85"/>
        <v>243</v>
      </c>
      <c r="AE158" s="236" t="str">
        <f t="shared" si="86"/>
        <v>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 &amp; 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</v>
      </c>
      <c r="AF158" s="235" t="str">
        <f t="shared" si="87"/>
        <v>"C:\Program Files (x86)\AstroGrep\AstroGrep.exe" /e /r /s /spath="%USERPROFILE%\AppData\Local\Temp\OnboardLogs" /stypes="app*4006*20171123*" /stext=" 08:.+((SYSTEM_STATE.+slice.+state.+changed )|(ment ac)|(multiple cpu faults)|(system.+state.+changed )|(\[timeout)|(PRM\|1\|D)|(kpr)|(kdp)|(train st.+moving)|(\|lc)|(penalty))"</v>
      </c>
      <c r="AG158" s="245" t="str">
        <f t="shared" si="88"/>
        <v>EC</v>
      </c>
      <c r="AH158" s="237" t="str">
        <f t="shared" si="89"/>
        <v>"%USERPROFILE%\Documents\GitHub\eaglep3\Utilities\RefineRTDCRunTimes.py" --tripid 243-22 --locoid 4006 --swversion DE.1.0.9.0 --startMP 204:573 --initTime 2017-11-23T00:09:35 --startdatetime 2017-11-23T00:30:19 --delay 80 --endMP 204:233191 --enddatetime 2017-11-23T01:05:41 --enforcementcount 0 &gt;&gt;%USERPROFILE%\Documents\GitHub\eaglep3-reporting\EC\2017-11-22-refined-times.txt</v>
      </c>
      <c r="AI158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{"issue":{"subject":"","project_id":79,"tracker_id":40,"status_id":1,"priority_id":2,"assigned_to_id":338,"start_date":"2017-11-23","description":"","custom_fields":[{"id":1,"name":"Subdivision","value":"EC"},{"id":4,"name":"Milepost","value":"23.3191"},{"id":17,"name":"Train ID","value":"243-22"},{"id":16,"name":"Locomotive ID","value":"4006"},{"id":130,"name":"Impact","value":""},{"id":150,"name":"Time of Event (Mountain Time)","value":"01:05:41"},{"id":151,"name":"Denver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91"/>
        <v>start /low /b %USERPROFILE%\Documents\GitHub\eaglep3\Utilities\DownloadLogsFromS3.py --loco 4006 --day 2017-11-23</v>
      </c>
      <c r="AN158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08:05:41"},{"id":29,"name":"Sharepoint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93"/>
        <v>https://d0f6bd738d7f1b3e5a7ca70fe4ff75f0.us-east-1.aws.found.io/app/kibana#/discover/Steve-Slow-Train-Analysis-(2080s-and-2083s)?_g=(refreshInterval:(display:Off,pause:!f,section:0,value:0),time:(from:'2017-11-22T23:09:35-0700',mode:absolute,to:'2017-11-23T02:05:41-0700'))&amp;_a=(columns:!('Message%20ID',Summary),filters:!(),index:'emp_*',interval:auto,query:(query_string:(analyze_wildcard:!t,query:'%22rtdc.l.rtdc.4006%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4" customFormat="1" x14ac:dyDescent="0.3">
      <c r="A159" s="230" t="s">
        <v>882</v>
      </c>
      <c r="B159" s="226">
        <v>4005</v>
      </c>
      <c r="C159" s="228" t="s">
        <v>192</v>
      </c>
      <c r="D159" s="228" t="s">
        <v>1000</v>
      </c>
      <c r="E159" s="227">
        <v>43062.049756944441</v>
      </c>
      <c r="F159" s="227">
        <v>43062.060717592591</v>
      </c>
      <c r="G159" s="226">
        <v>84</v>
      </c>
      <c r="H159" s="228" t="s">
        <v>1001</v>
      </c>
      <c r="I159" s="227">
        <v>43062.086064814815</v>
      </c>
      <c r="J159" s="226">
        <v>0</v>
      </c>
      <c r="K159" s="238" t="str">
        <f t="shared" si="80"/>
        <v>4005/4006</v>
      </c>
      <c r="L159" s="246" t="str">
        <f>VLOOKUP(A159,'Trips&amp;Operators'!$C$1:$G$99911,5,FALSE)</f>
        <v>LOPES KIMBERLY</v>
      </c>
      <c r="M159" s="225">
        <f t="shared" si="81"/>
        <v>2.5347222224809229E-2</v>
      </c>
      <c r="N159" s="226">
        <f t="shared" si="96"/>
        <v>36.50000000372529</v>
      </c>
      <c r="O159" s="226"/>
      <c r="P159" s="226"/>
      <c r="Q159" s="229"/>
      <c r="R159" s="243"/>
      <c r="S159" s="250">
        <f t="shared" si="95"/>
        <v>1</v>
      </c>
      <c r="T159" s="243" t="str">
        <f t="shared" si="82"/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9" t="str">
        <f t="shared" si="83"/>
        <v>https://d0f6bd738d7f1b3e5a7ca70fe4ff75f0.us-east-1.aws.found.io/app/kibana#/discover/Steve-Slow-Train-Analysis-(2080s-and-2083s)?_g=(refreshInterval:(display:Off,pause:!f,section:0,value:0),time:(from:'2017-11-23T00:11:39-0700',mode:absolute,to:'2017-11-23T03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9" s="248" t="str">
        <f>IF(AA159&lt;VLOOKUP(AG159,Variables!$AC$3:$AD$8,2,FALSE),"Y","N")</f>
        <v>N</v>
      </c>
      <c r="X159" s="248">
        <f t="shared" si="94"/>
        <v>1</v>
      </c>
      <c r="Y159" s="248">
        <f t="shared" si="102"/>
        <v>23.2881</v>
      </c>
      <c r="Z159" s="248">
        <f>RIGHT(H159,LEN(H159)-4)/10000</f>
        <v>2.5100000000000001E-2</v>
      </c>
      <c r="AA159" s="248">
        <f t="shared" si="84"/>
        <v>23.263000000000002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85"/>
        <v>244</v>
      </c>
      <c r="AE159" s="236" t="str">
        <f t="shared" si="86"/>
        <v>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 &amp; aws s3 cp s3://rtdc.mdm.uploadarchive.raw/RTDC4005/ "%USERPROFILE%\AppData\Local\Temp\OnboardLogs"\RTDC4005\2017-11-24 --exclude "*" --recursive --include "*20171124*" &amp; "%USERPROFILE%\Documents\GitHub\mrs-test-scripts\Headless Mode &amp; Sideloading\WalkAndUnGZ.bat" "%USERPROFILE%\AppData\Local\Temp\OnboardLogs"\RTDC4005\2017-11-24</v>
      </c>
      <c r="AF159" s="235" t="str">
        <f t="shared" si="87"/>
        <v>"C:\Program Files (x86)\AstroGrep\AstroGrep.exe" /e /r /s /spath="%USERPROFILE%\AppData\Local\Temp\OnboardLogs" /stypes="app*4005*20171123*" /stext=" 09:.+((SYSTEM_STATE.+slice.+state.+changed )|(ment ac)|(multiple cpu faults)|(system.+state.+changed )|(\[timeout)|(PRM\|1\|D)|(kpr)|(kdp)|(train st.+moving)|(\|lc)|(penalty))"</v>
      </c>
      <c r="AG159" s="245" t="str">
        <f t="shared" si="88"/>
        <v>EC</v>
      </c>
      <c r="AH159" s="237" t="str">
        <f t="shared" si="89"/>
        <v>"%USERPROFILE%\Documents\GitHub\eaglep3\Utilities\RefineRTDCRunTimes.py" --tripid 244-22 --locoid 4005 --swversion DE.1.0.9.0 --startMP 204:232881 --initTime 2017-11-23T01:11:39 --startdatetime 2017-11-23T01:27:26 --delay 84 --endMP 204:251 --enddatetime 2017-11-23T02:03:56 --enforcementcount 0 &gt;&gt;%USERPROFILE%\Documents\GitHub\eaglep3-reporting\EC\2017-11-22-refined-times.txt</v>
      </c>
      <c r="AI159" s="239" t="str">
        <f t="shared" si="90"/>
        <v>echo {"issue":{"subject":"","project_id":79,"tracker_id":40,"status_id":1,"priority_id":2,"assigned_to_id":338,"start_date":"2017-11-23","description":"","custom_fields":[{"id":1,"name":"Subdivision","value":"EC"},{"id":4,"name":"Milepost","value":"0.0251"},{"id":17,"name":"Train ID","value":"244-22"},{"id":16,"name":"Locomotive ID","value":"4005"},{"id":130,"name":"Impact","value":""},{"id":150,"name":"Time of Event (Mountain Time)","value":"02:03:56"},{"id":151,"name":"Denver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2"/>
      <c r="AL159" s="232"/>
      <c r="AM159" s="241" t="str">
        <f t="shared" si="91"/>
        <v>start /low /b %USERPROFILE%\Documents\GitHub\eaglep3\Utilities\DownloadLogsFromS3.py --loco 4005 --day 2017-11-23</v>
      </c>
      <c r="AN159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09:03:56"},{"id":29,"name":"Sharepoint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93"/>
        <v>https://d0f6bd738d7f1b3e5a7ca70fe4ff75f0.us-east-1.aws.found.io/app/kibana#/discover/Steve-Slow-Train-Analysis-(2080s-and-2083s)?_g=(refreshInterval:(display:Off,pause:!f,section:0,value:0),time:(from:'2017-11-23T00:11:39-0700',mode:absolute,to:'2017-11-23T03:03:56-0700'))&amp;_a=(columns:!('Message%20ID',Summary),filters:!(),index:'emp_*',interval:auto,query:(query_string:(analyze_wildcard:!t,query:'%22rtdc.l.rtdc.4005%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230" t="s">
        <v>698</v>
      </c>
      <c r="B160" s="226">
        <v>4025</v>
      </c>
      <c r="C160" s="228" t="s">
        <v>192</v>
      </c>
      <c r="D160" s="228" t="s">
        <v>1033</v>
      </c>
      <c r="E160" s="227">
        <v>43061.21466435185</v>
      </c>
      <c r="F160" s="227">
        <v>43061.216597222221</v>
      </c>
      <c r="G160" s="226">
        <v>71</v>
      </c>
      <c r="H160" s="228" t="s">
        <v>1034</v>
      </c>
      <c r="I160" s="227">
        <v>43061.225648148145</v>
      </c>
      <c r="J160" s="226">
        <v>0</v>
      </c>
      <c r="K160" s="238" t="str">
        <f t="shared" si="80"/>
        <v>4025/4026</v>
      </c>
      <c r="L160" s="246" t="str">
        <f>VLOOKUP(A160,'Trips&amp;Operators'!$C$1:$G$99911,5,FALSE)</f>
        <v>ROMERO CHAD</v>
      </c>
      <c r="M160" s="225">
        <f t="shared" si="81"/>
        <v>9.0509259243845008E-3</v>
      </c>
      <c r="N160" s="226">
        <f t="shared" si="96"/>
        <v>13.033333331113681</v>
      </c>
      <c r="O160" s="226"/>
      <c r="P160" s="226"/>
      <c r="Q160" s="229"/>
      <c r="R160" s="243"/>
      <c r="S160" s="250">
        <f t="shared" si="95"/>
        <v>1</v>
      </c>
      <c r="T160" s="243" t="str">
        <f t="shared" si="82"/>
        <v>Southbound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 t="shared" si="83"/>
        <v>https://d0f6bd738d7f1b3e5a7ca70fe4ff75f0.us-east-1.aws.found.io/app/kibana#/discover/Steve-Slow-Train-Analysis-(2080s-and-2083s)?_g=(refreshInterval:(display:Off,pause:!f,section:0,value:0),time:(from:'2017-11-22T04:09:07-0700',mode:absolute,to:'2017-11-22T06:24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0" s="248" t="str">
        <f>IF(AA160&lt;VLOOKUP(AG160,Variables!$AC$3:$AD$8,2,FALSE),"Y","N")</f>
        <v>N</v>
      </c>
      <c r="X160" s="248">
        <f t="shared" si="94"/>
        <v>556</v>
      </c>
      <c r="Y160" s="248">
        <f t="shared" si="102"/>
        <v>5.8673000000000002</v>
      </c>
      <c r="Z160" s="248">
        <f>RIGHT(H160,LEN(H160)-4)/10000</f>
        <v>8.6699999999999999E-2</v>
      </c>
      <c r="AA160" s="248">
        <f t="shared" si="84"/>
        <v>5.7805999999999997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85"/>
        <v>800</v>
      </c>
      <c r="AE160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60" s="235" t="str">
        <f t="shared" si="87"/>
        <v>"C:\Program Files (x86)\AstroGrep\AstroGrep.exe" /e /r /s /spath="%USERPROFILE%\AppData\Local\Temp\OnboardLogs" /stypes="app*4025*20171122*" /stext=" 12:.+((SYSTEM_STATE.+slice.+state.+changed )|(ment ac)|(multiple cpu faults)|(system.+state.+changed )|(\[timeout)|(PRM\|1\|D)|(kpr)|(kdp)|(train st.+moving)|(\|lc)|(penalty))"</v>
      </c>
      <c r="AG160" s="245" t="str">
        <f t="shared" si="88"/>
        <v>NW</v>
      </c>
      <c r="AH160" s="237" t="str">
        <f t="shared" si="89"/>
        <v>"%USERPROFILE%\Documents\GitHub\eaglep3\Utilities\RefineRTDCRunTimes.py" --tripid 800-22 --locoid 4025 --swversion DE.1.0.9.0 --startMP 300:58673 --initTime 2017-11-22T05:09:07 --startdatetime 2017-11-22T05:11:54 --delay 71 --endMP 204:867 --enddatetime 2017-11-22T05:24:56 --enforcementcount 0 &gt;&gt;%USERPROFILE%\Documents\GitHub\eaglep3-reporting\EC\2017-11-22-refined-times.txt</v>
      </c>
      <c r="AI160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{"issue":{"subject":"","project_id":79,"tracker_id":40,"status_id":1,"priority_id":2,"assigned_to_id":338,"start_date":"2017-11-22","description":"","custom_fields":[{"id":1,"name":"Subdivision","value":"NW"},{"id":4,"name":"Milepost","value":"0.0867"},{"id":17,"name":"Train ID","value":"800-22"},{"id":16,"name":"Locomotive ID","value":"4025"},{"id":130,"name":"Impact","value":""},{"id":150,"name":"Time of Event (Mountain Time)","value":"05:24:56"},{"id":151,"name":"Denver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224"/>
      <c r="AK160" s="232"/>
      <c r="AL160" s="232"/>
      <c r="AM160" s="241" t="str">
        <f t="shared" si="91"/>
        <v>start /low /b %USERPROFILE%\Documents\GitHub\eaglep3\Utilities\DownloadLogsFromS3.py --loco 4025 --day 2017-11-22</v>
      </c>
      <c r="AN160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93"/>
        <v>https://d0f6bd738d7f1b3e5a7ca70fe4ff75f0.us-east-1.aws.found.io/app/kibana#/discover/Steve-Slow-Train-Analysis-(2080s-and-2083s)?_g=(refreshInterval:(display:Off,pause:!f,section:0,value:0),time:(from:'2017-11-22T04:09:07-0700',mode:absolute,to:'2017-11-22T06:24:56-0700'))&amp;_a=(columns:!('Message%20ID',Summary),filters:!(),index:'emp_*',interval:auto,query:(query_string:(analyze_wildcard:!t,query:'%22rtdc.l.rtdc.4025%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230" t="s">
        <v>700</v>
      </c>
      <c r="B161" s="226">
        <v>4026</v>
      </c>
      <c r="C161" s="228" t="s">
        <v>192</v>
      </c>
      <c r="D161" s="228" t="s">
        <v>1035</v>
      </c>
      <c r="E161" s="227">
        <v>43061.226678240739</v>
      </c>
      <c r="F161" s="227">
        <v>43061.235590277778</v>
      </c>
      <c r="G161" s="226">
        <v>57</v>
      </c>
      <c r="H161" s="228" t="s">
        <v>1036</v>
      </c>
      <c r="I161" s="227">
        <v>43061.245266203703</v>
      </c>
      <c r="J161" s="226">
        <v>0</v>
      </c>
      <c r="K161" s="238" t="str">
        <f t="shared" si="80"/>
        <v>4025/4026</v>
      </c>
      <c r="L161" s="246" t="str">
        <f>VLOOKUP(A161,'Trips&amp;Operators'!$C$1:$G$99911,5,FALSE)</f>
        <v>ROMERO CHAD</v>
      </c>
      <c r="M161" s="225">
        <f t="shared" si="81"/>
        <v>9.6759259249665774E-3</v>
      </c>
      <c r="N161" s="226">
        <f t="shared" si="96"/>
        <v>13.933333331951872</v>
      </c>
      <c r="O161" s="226"/>
      <c r="P161" s="226"/>
      <c r="Q161" s="229"/>
      <c r="R161" s="243"/>
      <c r="S161" s="250">
        <f t="shared" si="95"/>
        <v>1</v>
      </c>
      <c r="T161" s="243" t="str">
        <f t="shared" si="82"/>
        <v>NorthBound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 t="shared" si="83"/>
        <v>https://d0f6bd738d7f1b3e5a7ca70fe4ff75f0.us-east-1.aws.found.io/app/kibana#/discover/Steve-Slow-Train-Analysis-(2080s-and-2083s)?_g=(refreshInterval:(display:Off,pause:!f,section:0,value:0),time:(from:'2017-11-22T04:26:25-0700',mode:absolute,to:'2017-11-22T06:53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1" s="248" t="str">
        <f>IF(AA161&lt;VLOOKUP(AG161,Variables!$AC$3:$AD$8,2,FALSE),"Y","N")</f>
        <v>N</v>
      </c>
      <c r="X161" s="248">
        <f t="shared" si="94"/>
        <v>1</v>
      </c>
      <c r="Y161" s="248">
        <f t="shared" si="102"/>
        <v>0.1172</v>
      </c>
      <c r="Z161" s="248">
        <f>RIGHT(H161,LEN(H161)-4)/10000</f>
        <v>5.8998999999999997</v>
      </c>
      <c r="AA161" s="248">
        <f t="shared" si="84"/>
        <v>5.7826999999999993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85"/>
        <v>801</v>
      </c>
      <c r="AE161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61" s="235" t="str">
        <f t="shared" si="87"/>
        <v>"C:\Program Files (x86)\AstroGrep\AstroGrep.exe" /e /r /s /spath="%USERPROFILE%\AppData\Local\Temp\OnboardLogs" /stypes="app*4026*20171122*" /stext=" 12:.+((SYSTEM_STATE.+slice.+state.+changed )|(ment ac)|(multiple cpu faults)|(system.+state.+changed )|(\[timeout)|(PRM\|1\|D)|(kpr)|(kdp)|(train st.+moving)|(\|lc)|(penalty))"</v>
      </c>
      <c r="AG161" s="245" t="str">
        <f t="shared" si="88"/>
        <v>NW</v>
      </c>
      <c r="AH161" s="237" t="str">
        <f t="shared" si="89"/>
        <v>"%USERPROFILE%\Documents\GitHub\eaglep3\Utilities\RefineRTDCRunTimes.py" --tripid 801-22 --locoid 4026 --swversion DE.1.0.9.0 --startMP 204:1172 --initTime 2017-11-22T05:26:25 --startdatetime 2017-11-22T05:39:15 --delay 57 --endMP 300:58999 --enddatetime 2017-11-22T05:53:11 --enforcementcount 0 &gt;&gt;%USERPROFILE%\Documents\GitHub\eaglep3-reporting\EC\2017-11-22-refined-times.txt</v>
      </c>
      <c r="AI161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{"issue":{"subject":"","project_id":79,"tracker_id":40,"status_id":1,"priority_id":2,"assigned_to_id":338,"start_date":"2017-11-22","description":"","custom_fields":[{"id":1,"name":"Subdivision","value":"NW"},{"id":4,"name":"Milepost","value":"5.8999"},{"id":17,"name":"Train ID","value":"801-22"},{"id":16,"name":"Locomotive ID","value":"4026"},{"id":130,"name":"Impact","value":""},{"id":150,"name":"Time of Event (Mountain Time)","value":"05:53:11"},{"id":151,"name":"Denver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91"/>
        <v>start /low /b %USERPROFILE%\Documents\GitHub\eaglep3\Utilities\DownloadLogsFromS3.py --loco 4026 --day 2017-11-22</v>
      </c>
      <c r="AN161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93"/>
        <v>https://d0f6bd738d7f1b3e5a7ca70fe4ff75f0.us-east-1.aws.found.io/app/kibana#/discover/Steve-Slow-Train-Analysis-(2080s-and-2083s)?_g=(refreshInterval:(display:Off,pause:!f,section:0,value:0),time:(from:'2017-11-22T04:26:25-0700',mode:absolute,to:'2017-11-22T06:53:11-0700'))&amp;_a=(columns:!('Message%20ID',Summary),filters:!(),index:'emp_*',interval:auto,query:(query_string:(analyze_wildcard:!t,query:'%22rtdc.l.rtdc.4026%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30" t="s">
        <v>710</v>
      </c>
      <c r="B162" s="226">
        <v>4025</v>
      </c>
      <c r="C162" s="228" t="s">
        <v>192</v>
      </c>
      <c r="D162" s="228" t="s">
        <v>1037</v>
      </c>
      <c r="E162" s="227">
        <v>43061.246168981481</v>
      </c>
      <c r="F162" s="227">
        <v>43061.259108796294</v>
      </c>
      <c r="G162" s="226">
        <v>64</v>
      </c>
      <c r="H162" s="228" t="s">
        <v>1038</v>
      </c>
      <c r="I162" s="227">
        <v>43061.26730324074</v>
      </c>
      <c r="J162" s="226">
        <v>0</v>
      </c>
      <c r="K162" s="238" t="str">
        <f t="shared" si="80"/>
        <v>4025/4026</v>
      </c>
      <c r="L162" s="246" t="str">
        <f>VLOOKUP(A162,'Trips&amp;Operators'!$C$1:$G$99911,5,FALSE)</f>
        <v>ROMERO CHAD</v>
      </c>
      <c r="M162" s="225">
        <f t="shared" si="81"/>
        <v>8.1944444464170374E-3</v>
      </c>
      <c r="N162" s="226">
        <f t="shared" si="96"/>
        <v>11.800000002840534</v>
      </c>
      <c r="O162" s="226"/>
      <c r="P162" s="226"/>
      <c r="Q162" s="229"/>
      <c r="R162" s="243"/>
      <c r="S162" s="250">
        <f t="shared" si="95"/>
        <v>1</v>
      </c>
      <c r="T162" s="243" t="str">
        <f t="shared" si="82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83"/>
        <v>https://d0f6bd738d7f1b3e5a7ca70fe4ff75f0.us-east-1.aws.found.io/app/kibana#/discover/Steve-Slow-Train-Analysis-(2080s-and-2083s)?_g=(refreshInterval:(display:Off,pause:!f,section:0,value:0),time:(from:'2017-11-22T04:54:29-0700',mode:absolute,to:'2017-11-22T07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248" t="str">
        <f>IF(AA162&lt;VLOOKUP(AG162,Variables!$AC$3:$AD$8,2,FALSE),"Y","N")</f>
        <v>N</v>
      </c>
      <c r="X162" s="248">
        <f t="shared" si="94"/>
        <v>1</v>
      </c>
      <c r="Y162" s="248">
        <f t="shared" si="102"/>
        <v>5.8689999999999998</v>
      </c>
      <c r="Z162" s="248">
        <f>RIGHT(H162,LEN(H162)-4)/10000</f>
        <v>8.7099999999999997E-2</v>
      </c>
      <c r="AA162" s="248">
        <f t="shared" si="84"/>
        <v>5.7818999999999994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85"/>
        <v>802</v>
      </c>
      <c r="AE162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62" s="235" t="str">
        <f t="shared" si="87"/>
        <v>"C:\Program Files (x86)\AstroGrep\AstroGrep.exe" /e /r /s /spath="%USERPROFILE%\AppData\Local\Temp\OnboardLogs" /stypes="app*4025*20171122*" /stext=" 13:.+((SYSTEM_STATE.+slice.+state.+changed )|(ment ac)|(multiple cpu faults)|(system.+state.+changed )|(\[timeout)|(PRM\|1\|D)|(kpr)|(kdp)|(train st.+moving)|(\|lc)|(penalty))"</v>
      </c>
      <c r="AG162" s="245" t="str">
        <f t="shared" si="88"/>
        <v>NW</v>
      </c>
      <c r="AH162" s="237" t="str">
        <f t="shared" si="89"/>
        <v>"%USERPROFILE%\Documents\GitHub\eaglep3\Utilities\RefineRTDCRunTimes.py" --tripid 802-22 --locoid 4025 --swversion DE.1.0.9.0 --startMP 300:58690 --initTime 2017-11-22T05:54:29 --startdatetime 2017-11-22T06:13:07 --delay 64 --endMP 204:871 --enddatetime 2017-11-22T06:24:55 --enforcementcount 0 &gt;&gt;%USERPROFILE%\Documents\GitHub\eaglep3-reporting\EC\2017-11-22-refined-times.txt</v>
      </c>
      <c r="AI162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{"issue":{"subject":"","project_id":79,"tracker_id":40,"status_id":1,"priority_id":2,"assigned_to_id":338,"start_date":"2017-11-22","description":"","custom_fields":[{"id":1,"name":"Subdivision","value":"NW"},{"id":4,"name":"Milepost","value":"0.0871"},{"id":17,"name":"Train ID","value":"802-22"},{"id":16,"name":"Locomotive ID","value":"4025"},{"id":130,"name":"Impact","value":""},{"id":150,"name":"Time of Event (Mountain Time)","value":"06:24:55"},{"id":151,"name":"Denver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91"/>
        <v>start /low /b %USERPROFILE%\Documents\GitHub\eaglep3\Utilities\DownloadLogsFromS3.py --loco 4025 --day 2017-11-22</v>
      </c>
      <c r="AN162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93"/>
        <v>https://d0f6bd738d7f1b3e5a7ca70fe4ff75f0.us-east-1.aws.found.io/app/kibana#/discover/Steve-Slow-Train-Analysis-(2080s-and-2083s)?_g=(refreshInterval:(display:Off,pause:!f,section:0,value:0),time:(from:'2017-11-22T04:54:29-0700',mode:absolute,to:'2017-11-22T07:24:55-0700'))&amp;_a=(columns:!('Message%20ID',Summary),filters:!(),index:'emp_*',interval:auto,query:(query_string:(analyze_wildcard:!t,query:'%22rtdc.l.rtdc.4025%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30" t="s">
        <v>713</v>
      </c>
      <c r="B163" s="226">
        <v>4024</v>
      </c>
      <c r="C163" s="228" t="s">
        <v>192</v>
      </c>
      <c r="D163" s="228" t="s">
        <v>1039</v>
      </c>
      <c r="E163" s="227">
        <v>43061.253518518519</v>
      </c>
      <c r="F163" s="227">
        <v>43061.260150462964</v>
      </c>
      <c r="G163" s="226">
        <v>79</v>
      </c>
      <c r="H163" s="228" t="s">
        <v>1040</v>
      </c>
      <c r="I163" s="227">
        <v>43061.260844907411</v>
      </c>
      <c r="J163" s="226">
        <v>0</v>
      </c>
      <c r="K163" s="238" t="str">
        <f t="shared" si="80"/>
        <v>4023/4024</v>
      </c>
      <c r="L163" s="246" t="str">
        <f>VLOOKUP(A163,'Trips&amp;Operators'!$C$1:$G$99911,5,FALSE)</f>
        <v>LONG FULLER</v>
      </c>
      <c r="M163" s="225">
        <f t="shared" si="81"/>
        <v>6.944444467080757E-4</v>
      </c>
      <c r="N163" s="226"/>
      <c r="O163" s="226"/>
      <c r="P163" s="226">
        <f>24*60*SUM($M163:$M163)</f>
        <v>1.000000003259629</v>
      </c>
      <c r="Q163" s="229"/>
      <c r="R163" s="243" t="s">
        <v>1121</v>
      </c>
      <c r="S163" s="250">
        <f t="shared" si="95"/>
        <v>0</v>
      </c>
      <c r="T163" s="243" t="str">
        <f t="shared" si="82"/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49" t="str">
        <f t="shared" si="83"/>
        <v>https://d0f6bd738d7f1b3e5a7ca70fe4ff75f0.us-east-1.aws.found.io/app/kibana#/discover/Steve-Slow-Train-Analysis-(2080s-and-2083s)?_g=(refreshInterval:(display:Off,pause:!f,section:0,value:0),time:(from:'2017-11-22T05:05:04-0700',mode:absolute,to:'2017-11-22T07:15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3" s="248" t="str">
        <f>IF(AA163&lt;VLOOKUP(AG163,Variables!$AC$3:$AD$8,2,FALSE),"Y","N")</f>
        <v>Y</v>
      </c>
      <c r="X163" s="248">
        <f t="shared" si="94"/>
        <v>1</v>
      </c>
      <c r="Y163" s="248">
        <f t="shared" si="102"/>
        <v>0.1028</v>
      </c>
      <c r="Z163" s="248">
        <v>0.1028</v>
      </c>
      <c r="AA163" s="248">
        <f t="shared" si="84"/>
        <v>0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85"/>
        <v>803</v>
      </c>
      <c r="AE163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63" s="235" t="str">
        <f t="shared" si="87"/>
        <v>"C:\Program Files (x86)\AstroGrep\AstroGrep.exe" /e /r /s /spath="%USERPROFILE%\AppData\Local\Temp\OnboardLogs" /stypes="app*4024*20171122*" /stext=" 13:.+((SYSTEM_STATE.+slice.+state.+changed )|(ment ac)|(multiple cpu faults)|(system.+state.+changed )|(\[timeout)|(PRM\|1\|D)|(kpr)|(kdp)|(train st.+moving)|(\|lc)|(penalty))"</v>
      </c>
      <c r="AG163" s="245" t="str">
        <f t="shared" si="88"/>
        <v>NW</v>
      </c>
      <c r="AH163" s="237" t="str">
        <f t="shared" si="89"/>
        <v>"%USERPROFILE%\Documents\GitHub\eaglep3\Utilities\RefineRTDCRunTimes.py" --tripid 803-22 --locoid 4024 --swversion DE.1.0.9.0 --startMP 204:1028 --initTime 2017-11-22T06:05:04 --startdatetime 2017-11-22T06:14:37 --delay 79 --endMP 300:58961 --enddatetime 2017-11-22T06:15:37 --enforcementcount 0 &gt;&gt;%USERPROFILE%\Documents\GitHub\eaglep3-reporting\EC\2017-11-22-refined-times.txt</v>
      </c>
      <c r="AI163" s="239" t="str">
        <f t="shared" si="90"/>
        <v>echo {"issue":{"subject":"Onboard en route failure during init at DUS","project_id":79,"tracker_id":40,"status_id":1,"priority_id":2,"assigned_to_id":338,"start_date":"2017-11-22","description":"","custom_fields":[{"id":1,"name":"Subdivision","value":"NW"},{"id":4,"name":"Milepost","value":"0.1028"},{"id":17,"name":"Train ID","value":"803-22"},{"id":16,"name":"Locomotive ID","value":"4024"},{"id":130,"name":"Impact","value":""},{"id":150,"name":"Time of Event (Mountain Time)","value":"06:15:37"},{"id":151,"name":"Denver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91"/>
        <v>start /low /b %USERPROFILE%\Documents\GitHub\eaglep3\Utilities\DownloadLogsFromS3.py --loco 4024 --day 2017-11-22</v>
      </c>
      <c r="AN163" s="242" t="str">
        <f t="shared" si="92"/>
        <v>echo {"issue":{"subject":"Onboard en route failure during init at DUS","project_id":30,"tracker_id":4,"status_id":1,"priority_id":1,"assigned_to_id":10,"start_date":"2017-11-22","description":"","custom_fields":[{"id":30,"name":"Category","value":"Issue"},{"id":3,"name":"Functional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13:15:37"},{"id":29,"name":"Sharepoint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93"/>
        <v>https://d0f6bd738d7f1b3e5a7ca70fe4ff75f0.us-east-1.aws.found.io/app/kibana#/discover/Steve-Slow-Train-Analysis-(2080s-and-2083s)?_g=(refreshInterval:(display:Off,pause:!f,section:0,value:0),time:(from:'2017-11-22T05:05:04-0700',mode:absolute,to:'2017-11-22T07:15:37-0700'))&amp;_a=(columns:!('Message%20ID',Summary),filters:!(),index:'emp_*',interval:auto,query:(query_string:(analyze_wildcard:!t,query:'%22rtdc.l.rtdc.4024%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4" customFormat="1" x14ac:dyDescent="0.3">
      <c r="A164" s="230" t="s">
        <v>718</v>
      </c>
      <c r="B164" s="226">
        <v>4023</v>
      </c>
      <c r="C164" s="228" t="s">
        <v>192</v>
      </c>
      <c r="D164" s="228" t="s">
        <v>622</v>
      </c>
      <c r="E164" s="227">
        <v>43061.268993055557</v>
      </c>
      <c r="F164" s="227">
        <v>43061.280011574076</v>
      </c>
      <c r="G164" s="226">
        <v>95</v>
      </c>
      <c r="H164" s="228" t="s">
        <v>1041</v>
      </c>
      <c r="I164" s="227">
        <v>43061.288321759261</v>
      </c>
      <c r="J164" s="226">
        <v>0</v>
      </c>
      <c r="K164" s="238" t="str">
        <f t="shared" si="80"/>
        <v>4023/4024</v>
      </c>
      <c r="L164" s="246" t="str">
        <f>VLOOKUP(A164,'Trips&amp;Operators'!$C$1:$G$99911,5,FALSE)</f>
        <v>LONG FULLER</v>
      </c>
      <c r="M164" s="225">
        <f t="shared" si="81"/>
        <v>8.3101851851097308E-3</v>
      </c>
      <c r="N164" s="226">
        <f t="shared" ref="N164:N195" si="103">24*60*SUM($M164:$M164)</f>
        <v>11.966666666558012</v>
      </c>
      <c r="O164" s="226"/>
      <c r="P164" s="226"/>
      <c r="Q164" s="229"/>
      <c r="R164" s="243"/>
      <c r="S164" s="250">
        <f t="shared" si="95"/>
        <v>1</v>
      </c>
      <c r="T164" s="243" t="str">
        <f t="shared" si="82"/>
        <v>Southbound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83"/>
        <v>https://d0f6bd738d7f1b3e5a7ca70fe4ff75f0.us-east-1.aws.found.io/app/kibana#/discover/Steve-Slow-Train-Analysis-(2080s-and-2083s)?_g=(refreshInterval:(display:Off,pause:!f,section:0,value:0),time:(from:'2017-11-22T05:27:21-0700',mode:absolute,to:'2017-11-22T07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4" s="248" t="str">
        <f>IF(AA164&lt;VLOOKUP(AG164,Variables!$AC$3:$AD$8,2,FALSE),"Y","N")</f>
        <v>N</v>
      </c>
      <c r="X164" s="248">
        <f t="shared" si="94"/>
        <v>1</v>
      </c>
      <c r="Y164" s="248">
        <f t="shared" si="102"/>
        <v>5.8638000000000003</v>
      </c>
      <c r="Z164" s="248">
        <f t="shared" ref="Z164:Z183" si="104">RIGHT(H164,LEN(H164)-4)/10000</f>
        <v>7.22E-2</v>
      </c>
      <c r="AA164" s="248">
        <f t="shared" si="84"/>
        <v>5.7916000000000007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85"/>
        <v>804</v>
      </c>
      <c r="AE164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64" s="235" t="str">
        <f t="shared" si="87"/>
        <v>"C:\Program Files (x86)\AstroGrep\AstroGrep.exe" /e /r /s /spath="%USERPROFILE%\AppData\Local\Temp\OnboardLogs" /stypes="app*4023*20171122*" /stext=" 13:.+((SYSTEM_STATE.+slice.+state.+changed )|(ment ac)|(multiple cpu faults)|(system.+state.+changed )|(\[timeout)|(PRM\|1\|D)|(kpr)|(kdp)|(train st.+moving)|(\|lc)|(penalty))"</v>
      </c>
      <c r="AG164" s="245" t="str">
        <f t="shared" si="88"/>
        <v>NW</v>
      </c>
      <c r="AH164" s="237" t="str">
        <f t="shared" si="89"/>
        <v>"%USERPROFILE%\Documents\GitHub\eaglep3\Utilities\RefineRTDCRunTimes.py" --tripid 804-22 --locoid 4023 --swversion DE.1.0.9.0 --startMP 300:58638 --initTime 2017-11-22T06:27:21 --startdatetime 2017-11-22T06:43:13 --delay 95 --endMP 204:722 --enddatetime 2017-11-22T06:55:11 --enforcementcount 0 &gt;&gt;%USERPROFILE%\Documents\GitHub\eaglep3-reporting\EC\2017-11-22-refined-times.txt</v>
      </c>
      <c r="AI164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{"issue":{"subject":"","project_id":79,"tracker_id":40,"status_id":1,"priority_id":2,"assigned_to_id":338,"start_date":"2017-11-22","description":"","custom_fields":[{"id":1,"name":"Subdivision","value":"NW"},{"id":4,"name":"Milepost","value":"0.0722"},{"id":17,"name":"Train ID","value":"804-22"},{"id":16,"name":"Locomotive ID","value":"4023"},{"id":130,"name":"Impact","value":""},{"id":150,"name":"Time of Event (Mountain Time)","value":"06:55:11"},{"id":151,"name":"Denver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2"/>
      <c r="AL164" s="232"/>
      <c r="AM164" s="241" t="str">
        <f t="shared" si="91"/>
        <v>start /low /b %USERPROFILE%\Documents\GitHub\eaglep3\Utilities\DownloadLogsFromS3.py --loco 4023 --day 2017-11-22</v>
      </c>
      <c r="AN164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93"/>
        <v>https://d0f6bd738d7f1b3e5a7ca70fe4ff75f0.us-east-1.aws.found.io/app/kibana#/discover/Steve-Slow-Train-Analysis-(2080s-and-2083s)?_g=(refreshInterval:(display:Off,pause:!f,section:0,value:0),time:(from:'2017-11-22T05:27:21-0700',mode:absolute,to:'2017-11-22T07:55:11-0700'))&amp;_a=(columns:!('Message%20ID',Summary),filters:!(),index:'emp_*',interval:auto,query:(query_string:(analyze_wildcard:!t,query:'%22rtdc.l.rtdc.4023%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4" customFormat="1" x14ac:dyDescent="0.3">
      <c r="A165" s="230" t="s">
        <v>717</v>
      </c>
      <c r="B165" s="226">
        <v>4026</v>
      </c>
      <c r="C165" s="228" t="s">
        <v>192</v>
      </c>
      <c r="D165" s="228" t="s">
        <v>1042</v>
      </c>
      <c r="E165" s="227">
        <v>43061.268449074072</v>
      </c>
      <c r="F165" s="227">
        <v>43061.277280092596</v>
      </c>
      <c r="G165" s="226">
        <v>58</v>
      </c>
      <c r="H165" s="228" t="s">
        <v>1043</v>
      </c>
      <c r="I165" s="227">
        <v>43061.28701388889</v>
      </c>
      <c r="J165" s="226">
        <v>0</v>
      </c>
      <c r="K165" s="238" t="str">
        <f t="shared" si="80"/>
        <v>4025/4026</v>
      </c>
      <c r="L165" s="246" t="str">
        <f>VLOOKUP(A165,'Trips&amp;Operators'!$C$1:$G$99911,5,FALSE)</f>
        <v>ROMERO CHAD</v>
      </c>
      <c r="M165" s="225">
        <f t="shared" si="81"/>
        <v>9.7337962943129241E-3</v>
      </c>
      <c r="N165" s="226">
        <f t="shared" si="103"/>
        <v>14.016666663810611</v>
      </c>
      <c r="O165" s="226"/>
      <c r="P165" s="226"/>
      <c r="Q165" s="229"/>
      <c r="R165" s="243"/>
      <c r="S165" s="250">
        <f t="shared" si="95"/>
        <v>1</v>
      </c>
      <c r="T165" s="243" t="str">
        <f t="shared" si="82"/>
        <v>NorthBound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83"/>
        <v>https://d0f6bd738d7f1b3e5a7ca70fe4ff75f0.us-east-1.aws.found.io/app/kibana#/discover/Steve-Slow-Train-Analysis-(2080s-and-2083s)?_g=(refreshInterval:(display:Off,pause:!f,section:0,value:0),time:(from:'2017-11-22T05:26:34-0700',mode:absolute,to:'2017-11-22T07:53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5" s="248" t="str">
        <f>IF(AA165&lt;VLOOKUP(AG165,Variables!$AC$3:$AD$8,2,FALSE),"Y","N")</f>
        <v>N</v>
      </c>
      <c r="X165" s="248">
        <f t="shared" si="94"/>
        <v>1</v>
      </c>
      <c r="Y165" s="248">
        <f t="shared" si="102"/>
        <v>0.1147</v>
      </c>
      <c r="Z165" s="248">
        <f t="shared" si="104"/>
        <v>5.8992000000000004</v>
      </c>
      <c r="AA165" s="248">
        <f t="shared" si="84"/>
        <v>5.7845000000000004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85"/>
        <v>805</v>
      </c>
      <c r="AE165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65" s="235" t="str">
        <f t="shared" si="87"/>
        <v>"C:\Program Files (x86)\AstroGrep\AstroGrep.exe" /e /r /s /spath="%USERPROFILE%\AppData\Local\Temp\OnboardLogs" /stypes="app*4026*20171122*" /stext=" 13:.+((SYSTEM_STATE.+slice.+state.+changed )|(ment ac)|(multiple cpu faults)|(system.+state.+changed )|(\[timeout)|(PRM\|1\|D)|(kpr)|(kdp)|(train st.+moving)|(\|lc)|(penalty))"</v>
      </c>
      <c r="AG165" s="245" t="str">
        <f t="shared" si="88"/>
        <v>NW</v>
      </c>
      <c r="AH165" s="237" t="str">
        <f t="shared" si="89"/>
        <v>"%USERPROFILE%\Documents\GitHub\eaglep3\Utilities\RefineRTDCRunTimes.py" --tripid 805-22 --locoid 4026 --swversion DE.1.0.9.0 --startMP 204:1147 --initTime 2017-11-22T06:26:34 --startdatetime 2017-11-22T06:39:17 --delay 58 --endMP 300:58992 --enddatetime 2017-11-22T06:53:18 --enforcementcount 0 &gt;&gt;%USERPROFILE%\Documents\GitHub\eaglep3-reporting\EC\2017-11-22-refined-times.txt</v>
      </c>
      <c r="AI165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{"issue":{"subject":"","project_id":79,"tracker_id":40,"status_id":1,"priority_id":2,"assigned_to_id":338,"start_date":"2017-11-22","description":"","custom_fields":[{"id":1,"name":"Subdivision","value":"NW"},{"id":4,"name":"Milepost","value":"5.8992"},{"id":17,"name":"Train ID","value":"805-22"},{"id":16,"name":"Locomotive ID","value":"4026"},{"id":130,"name":"Impact","value":""},{"id":150,"name":"Time of Event (Mountain Time)","value":"06:53:18"},{"id":151,"name":"Denver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2"/>
      <c r="AL165" s="232"/>
      <c r="AM165" s="241" t="str">
        <f t="shared" si="91"/>
        <v>start /low /b %USERPROFILE%\Documents\GitHub\eaglep3\Utilities\DownloadLogsFromS3.py --loco 4026 --day 2017-11-22</v>
      </c>
      <c r="AN165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93"/>
        <v>https://d0f6bd738d7f1b3e5a7ca70fe4ff75f0.us-east-1.aws.found.io/app/kibana#/discover/Steve-Slow-Train-Analysis-(2080s-and-2083s)?_g=(refreshInterval:(display:Off,pause:!f,section:0,value:0),time:(from:'2017-11-22T05:26:34-0700',mode:absolute,to:'2017-11-22T07:53:18-0700'))&amp;_a=(columns:!('Message%20ID',Summary),filters:!(),index:'emp_*',interval:auto,query:(query_string:(analyze_wildcard:!t,query:'%22rtdc.l.rtdc.4026%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30" t="s">
        <v>723</v>
      </c>
      <c r="B166" s="226">
        <v>4025</v>
      </c>
      <c r="C166" s="228" t="s">
        <v>192</v>
      </c>
      <c r="D166" s="228" t="s">
        <v>1044</v>
      </c>
      <c r="E166" s="227">
        <v>43061.288344907407</v>
      </c>
      <c r="F166" s="227">
        <v>43061.300798611112</v>
      </c>
      <c r="G166" s="226">
        <v>66</v>
      </c>
      <c r="H166" s="228" t="s">
        <v>1045</v>
      </c>
      <c r="I166" s="227">
        <v>43061.30872685185</v>
      </c>
      <c r="J166" s="226">
        <v>0</v>
      </c>
      <c r="K166" s="238" t="str">
        <f t="shared" si="80"/>
        <v>4025/4026</v>
      </c>
      <c r="L166" s="246" t="str">
        <f>VLOOKUP(A166,'Trips&amp;Operators'!$C$1:$G$99911,5,FALSE)</f>
        <v>ROMERO CHAD</v>
      </c>
      <c r="M166" s="225">
        <f t="shared" si="81"/>
        <v>7.9282407386926934E-3</v>
      </c>
      <c r="N166" s="226">
        <f t="shared" si="103"/>
        <v>11.416666663717479</v>
      </c>
      <c r="O166" s="226"/>
      <c r="P166" s="226"/>
      <c r="Q166" s="229"/>
      <c r="R166" s="243"/>
      <c r="S166" s="250">
        <f t="shared" si="95"/>
        <v>1</v>
      </c>
      <c r="T166" s="243" t="str">
        <f t="shared" si="82"/>
        <v>Southbound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83"/>
        <v>https://d0f6bd738d7f1b3e5a7ca70fe4ff75f0.us-east-1.aws.found.io/app/kibana#/discover/Steve-Slow-Train-Analysis-(2080s-and-2083s)?_g=(refreshInterval:(display:Off,pause:!f,section:0,value:0),time:(from:'2017-11-22T05:55:13-0700',mode:absolute,to:'2017-11-22T08:24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248" t="str">
        <f>IF(AA166&lt;VLOOKUP(AG166,Variables!$AC$3:$AD$8,2,FALSE),"Y","N")</f>
        <v>N</v>
      </c>
      <c r="X166" s="248">
        <f t="shared" si="94"/>
        <v>1</v>
      </c>
      <c r="Y166" s="248">
        <f t="shared" si="102"/>
        <v>5.8682999999999996</v>
      </c>
      <c r="Z166" s="248">
        <f t="shared" si="104"/>
        <v>8.5900000000000004E-2</v>
      </c>
      <c r="AA166" s="248">
        <f t="shared" si="84"/>
        <v>5.7824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85"/>
        <v>806</v>
      </c>
      <c r="AE166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66" s="235" t="str">
        <f t="shared" si="87"/>
        <v>"C:\Program Files (x86)\AstroGrep\AstroGrep.exe" /e /r /s /spath="%USERPROFILE%\AppData\Local\Temp\OnboardLogs" /stypes="app*4025*20171122*" /stext=" 14:.+((SYSTEM_STATE.+slice.+state.+changed )|(ment ac)|(multiple cpu faults)|(system.+state.+changed )|(\[timeout)|(PRM\|1\|D)|(kpr)|(kdp)|(train st.+moving)|(\|lc)|(penalty))"</v>
      </c>
      <c r="AG166" s="245" t="str">
        <f t="shared" si="88"/>
        <v>NW</v>
      </c>
      <c r="AH166" s="237" t="str">
        <f t="shared" si="89"/>
        <v>"%USERPROFILE%\Documents\GitHub\eaglep3\Utilities\RefineRTDCRunTimes.py" --tripid 806-22 --locoid 4025 --swversion DE.1.0.9.0 --startMP 300:58683 --initTime 2017-11-22T06:55:13 --startdatetime 2017-11-22T07:13:09 --delay 66 --endMP 204:859 --enddatetime 2017-11-22T07:24:34 --enforcementcount 0 &gt;&gt;%USERPROFILE%\Documents\GitHub\eaglep3-reporting\EC\2017-11-22-refined-times.txt</v>
      </c>
      <c r="AI166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{"issue":{"subject":"","project_id":79,"tracker_id":40,"status_id":1,"priority_id":2,"assigned_to_id":338,"start_date":"2017-11-22","description":"","custom_fields":[{"id":1,"name":"Subdivision","value":"NW"},{"id":4,"name":"Milepost","value":"0.0859"},{"id":17,"name":"Train ID","value":"806-22"},{"id":16,"name":"Locomotive ID","value":"4025"},{"id":130,"name":"Impact","value":""},{"id":150,"name":"Time of Event (Mountain Time)","value":"07:24:34"},{"id":151,"name":"Denver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91"/>
        <v>start /low /b %USERPROFILE%\Documents\GitHub\eaglep3\Utilities\DownloadLogsFromS3.py --loco 4025 --day 2017-11-22</v>
      </c>
      <c r="AN166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93"/>
        <v>https://d0f6bd738d7f1b3e5a7ca70fe4ff75f0.us-east-1.aws.found.io/app/kibana#/discover/Steve-Slow-Train-Analysis-(2080s-and-2083s)?_g=(refreshInterval:(display:Off,pause:!f,section:0,value:0),time:(from:'2017-11-22T05:55:13-0700',mode:absolute,to:'2017-11-22T08:24:34-0700'))&amp;_a=(columns:!('Message%20ID',Summary),filters:!(),index:'emp_*',interval:auto,query:(query_string:(analyze_wildcard:!t,query:'%22rtdc.l.rtdc.4025%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30" t="s">
        <v>724</v>
      </c>
      <c r="B167" s="226">
        <v>4024</v>
      </c>
      <c r="C167" s="228" t="s">
        <v>192</v>
      </c>
      <c r="D167" s="228" t="s">
        <v>1039</v>
      </c>
      <c r="E167" s="227">
        <v>43061.291018518517</v>
      </c>
      <c r="F167" s="227">
        <v>43061.298750000002</v>
      </c>
      <c r="G167" s="226">
        <v>67</v>
      </c>
      <c r="H167" s="228" t="s">
        <v>1040</v>
      </c>
      <c r="I167" s="227">
        <v>43061.308495370373</v>
      </c>
      <c r="J167" s="226">
        <v>0</v>
      </c>
      <c r="K167" s="238" t="str">
        <f t="shared" si="80"/>
        <v>4023/4024</v>
      </c>
      <c r="L167" s="246" t="str">
        <f>VLOOKUP(A167,'Trips&amp;Operators'!$C$1:$G$99911,5,FALSE)</f>
        <v>LONG FULLER</v>
      </c>
      <c r="M167" s="225">
        <f t="shared" si="81"/>
        <v>9.7453703710925765E-3</v>
      </c>
      <c r="N167" s="226">
        <f t="shared" si="103"/>
        <v>14.03333333437331</v>
      </c>
      <c r="O167" s="226"/>
      <c r="P167" s="226"/>
      <c r="Q167" s="229"/>
      <c r="R167" s="243"/>
      <c r="S167" s="250">
        <f t="shared" si="95"/>
        <v>1</v>
      </c>
      <c r="T167" s="243" t="str">
        <f t="shared" si="82"/>
        <v>NorthBound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83"/>
        <v>https://d0f6bd738d7f1b3e5a7ca70fe4ff75f0.us-east-1.aws.found.io/app/kibana#/discover/Steve-Slow-Train-Analysis-(2080s-and-2083s)?_g=(refreshInterval:(display:Off,pause:!f,section:0,value:0),time:(from:'2017-11-22T05:59:04-0700',mode:absolute,to:'2017-11-22T08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67" s="248" t="str">
        <f>IF(AA167&lt;VLOOKUP(AG167,Variables!$AC$3:$AD$8,2,FALSE),"Y","N")</f>
        <v>N</v>
      </c>
      <c r="X167" s="248">
        <f t="shared" si="94"/>
        <v>1</v>
      </c>
      <c r="Y167" s="248">
        <f t="shared" si="102"/>
        <v>0.1028</v>
      </c>
      <c r="Z167" s="248">
        <f t="shared" si="104"/>
        <v>5.8960999999999997</v>
      </c>
      <c r="AA167" s="248">
        <f t="shared" si="84"/>
        <v>5.7932999999999995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85"/>
        <v>807</v>
      </c>
      <c r="AE167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67" s="235" t="str">
        <f t="shared" si="87"/>
        <v>"C:\Program Files (x86)\AstroGrep\AstroGrep.exe" /e /r /s /spath="%USERPROFILE%\AppData\Local\Temp\OnboardLogs" /stypes="app*4024*20171122*" /stext=" 14:.+((SYSTEM_STATE.+slice.+state.+changed )|(ment ac)|(multiple cpu faults)|(system.+state.+changed )|(\[timeout)|(PRM\|1\|D)|(kpr)|(kdp)|(train st.+moving)|(\|lc)|(penalty))"</v>
      </c>
      <c r="AG167" s="245" t="str">
        <f t="shared" si="88"/>
        <v>NW</v>
      </c>
      <c r="AH167" s="237" t="str">
        <f t="shared" si="89"/>
        <v>"%USERPROFILE%\Documents\GitHub\eaglep3\Utilities\RefineRTDCRunTimes.py" --tripid 807-22 --locoid 4024 --swversion DE.1.0.9.0 --startMP 204:1028 --initTime 2017-11-22T06:59:04 --startdatetime 2017-11-22T07:10:12 --delay 67 --endMP 300:58961 --enddatetime 2017-11-22T07:24:14 --enforcementcount 0 &gt;&gt;%USERPROFILE%\Documents\GitHub\eaglep3-reporting\EC\2017-11-22-refined-times.txt</v>
      </c>
      <c r="AI167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{"issue":{"subject":"","project_id":79,"tracker_id":40,"status_id":1,"priority_id":2,"assigned_to_id":338,"start_date":"2017-11-22","description":"","custom_fields":[{"id":1,"name":"Subdivision","value":"NW"},{"id":4,"name":"Milepost","value":"5.8961"},{"id":17,"name":"Train ID","value":"807-22"},{"id":16,"name":"Locomotive ID","value":"4024"},{"id":130,"name":"Impact","value":""},{"id":150,"name":"Time of Event (Mountain Time)","value":"07:24:14"},{"id":151,"name":"Denver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91"/>
        <v>start /low /b %USERPROFILE%\Documents\GitHub\eaglep3\Utilities\DownloadLogsFromS3.py --loco 4024 --day 2017-11-22</v>
      </c>
      <c r="AN167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93"/>
        <v>https://d0f6bd738d7f1b3e5a7ca70fe4ff75f0.us-east-1.aws.found.io/app/kibana#/discover/Steve-Slow-Train-Analysis-(2080s-and-2083s)?_g=(refreshInterval:(display:Off,pause:!f,section:0,value:0),time:(from:'2017-11-22T05:59:04-0700',mode:absolute,to:'2017-11-22T08:24:14-0700'))&amp;_a=(columns:!('Message%20ID',Summary),filters:!(),index:'emp_*',interval:auto,query:(query_string:(analyze_wildcard:!t,query:'%22rtdc.l.rtdc.4024%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30" t="s">
        <v>643</v>
      </c>
      <c r="B168" s="226">
        <v>4023</v>
      </c>
      <c r="C168" s="228" t="s">
        <v>192</v>
      </c>
      <c r="D168" s="228" t="s">
        <v>1046</v>
      </c>
      <c r="E168" s="227">
        <v>43061.310370370367</v>
      </c>
      <c r="F168" s="227">
        <v>43061.321585648147</v>
      </c>
      <c r="G168" s="226">
        <v>74</v>
      </c>
      <c r="H168" s="228" t="s">
        <v>1047</v>
      </c>
      <c r="I168" s="227">
        <v>43061.3284375</v>
      </c>
      <c r="J168" s="226">
        <v>0</v>
      </c>
      <c r="K168" s="238" t="str">
        <f t="shared" si="80"/>
        <v>4023/4024</v>
      </c>
      <c r="L168" s="246" t="str">
        <f>VLOOKUP(A168,'Trips&amp;Operators'!$C$1:$G$99911,5,FALSE)</f>
        <v>LONG FULLER</v>
      </c>
      <c r="M168" s="225">
        <f t="shared" si="81"/>
        <v>6.8518518528435379E-3</v>
      </c>
      <c r="N168" s="226">
        <f t="shared" si="103"/>
        <v>9.8666666680946946</v>
      </c>
      <c r="O168" s="226"/>
      <c r="P168" s="226"/>
      <c r="Q168" s="229"/>
      <c r="R168" s="243"/>
      <c r="S168" s="250">
        <f t="shared" si="95"/>
        <v>1</v>
      </c>
      <c r="T168" s="243" t="str">
        <f t="shared" si="82"/>
        <v>Southbound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83"/>
        <v>https://d0f6bd738d7f1b3e5a7ca70fe4ff75f0.us-east-1.aws.found.io/app/kibana#/discover/Steve-Slow-Train-Analysis-(2080s-and-2083s)?_g=(refreshInterval:(display:Off,pause:!f,section:0,value:0),time:(from:'2017-11-22T06:26:56-0700',mode:absolute,to:'2017-11-22T08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8" s="248" t="str">
        <f>IF(AA168&lt;VLOOKUP(AG168,Variables!$AC$3:$AD$8,2,FALSE),"Y","N")</f>
        <v>Y</v>
      </c>
      <c r="X168" s="248">
        <f t="shared" si="94"/>
        <v>1</v>
      </c>
      <c r="Y168" s="248">
        <f t="shared" si="102"/>
        <v>5.8643000000000001</v>
      </c>
      <c r="Z168" s="248">
        <f t="shared" si="104"/>
        <v>0.45169999999999999</v>
      </c>
      <c r="AA168" s="248">
        <f t="shared" si="84"/>
        <v>5.4126000000000003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85"/>
        <v>808</v>
      </c>
      <c r="AE168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68" s="235" t="str">
        <f t="shared" si="87"/>
        <v>"C:\Program Files (x86)\AstroGrep\AstroGrep.exe" /e /r /s /spath="%USERPROFILE%\AppData\Local\Temp\OnboardLogs" /stypes="app*4023*20171122*" /stext=" 14:.+((SYSTEM_STATE.+slice.+state.+changed )|(ment ac)|(multiple cpu faults)|(system.+state.+changed )|(\[timeout)|(PRM\|1\|D)|(kpr)|(kdp)|(train st.+moving)|(\|lc)|(penalty))"</v>
      </c>
      <c r="AG168" s="245" t="str">
        <f t="shared" si="88"/>
        <v>NW</v>
      </c>
      <c r="AH168" s="237" t="str">
        <f t="shared" si="89"/>
        <v>"%USERPROFILE%\Documents\GitHub\eaglep3\Utilities\RefineRTDCRunTimes.py" --tripid 808-22 --locoid 4023 --swversion DE.1.0.9.0 --startMP 300:58643 --initTime 2017-11-22T07:26:56 --startdatetime 2017-11-22T07:43:05 --delay 74 --endMP 204:4517 --enddatetime 2017-11-22T07:52:57 --enforcementcount 0 &gt;&gt;%USERPROFILE%\Documents\GitHub\eaglep3-reporting\EC\2017-11-22-refined-times.txt</v>
      </c>
      <c r="AI168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{"issue":{"subject":"","project_id":79,"tracker_id":40,"status_id":1,"priority_id":2,"assigned_to_id":338,"start_date":"2017-11-22","description":"","custom_fields":[{"id":1,"name":"Subdivision","value":"NW"},{"id":4,"name":"Milepost","value":"0.4517"},{"id":17,"name":"Train ID","value":"808-22"},{"id":16,"name":"Locomotive ID","value":"4023"},{"id":130,"name":"Impact","value":""},{"id":150,"name":"Time of Event (Mountain Time)","value":"07:52:57"},{"id":151,"name":"Denver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91"/>
        <v>start /low /b %USERPROFILE%\Documents\GitHub\eaglep3\Utilities\DownloadLogsFromS3.py --loco 4023 --day 2017-11-22</v>
      </c>
      <c r="AN168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93"/>
        <v>https://d0f6bd738d7f1b3e5a7ca70fe4ff75f0.us-east-1.aws.found.io/app/kibana#/discover/Steve-Slow-Train-Analysis-(2080s-and-2083s)?_g=(refreshInterval:(display:Off,pause:!f,section:0,value:0),time:(from:'2017-11-22T06:26:56-0700',mode:absolute,to:'2017-11-22T08:52:57-0700'))&amp;_a=(columns:!('Message%20ID',Summary),filters:!(),index:'emp_*',interval:auto,query:(query_string:(analyze_wildcard:!t,query:'%22rtdc.l.rtdc.4023%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30" t="s">
        <v>645</v>
      </c>
      <c r="B169" s="226">
        <v>4026</v>
      </c>
      <c r="C169" s="228" t="s">
        <v>192</v>
      </c>
      <c r="D169" s="228" t="s">
        <v>1048</v>
      </c>
      <c r="E169" s="227">
        <v>43061.310752314814</v>
      </c>
      <c r="F169" s="227">
        <v>43061.319664351853</v>
      </c>
      <c r="G169" s="226">
        <v>48</v>
      </c>
      <c r="H169" s="228" t="s">
        <v>1049</v>
      </c>
      <c r="I169" s="227">
        <v>43061.328831018516</v>
      </c>
      <c r="J169" s="226">
        <v>0</v>
      </c>
      <c r="K169" s="238" t="str">
        <f t="shared" si="80"/>
        <v>4025/4026</v>
      </c>
      <c r="L169" s="246" t="str">
        <f>VLOOKUP(A169,'Trips&amp;Operators'!$C$1:$G$99911,5,FALSE)</f>
        <v>ROMERO CHAD</v>
      </c>
      <c r="M169" s="225">
        <f t="shared" si="81"/>
        <v>9.1666666630771942E-3</v>
      </c>
      <c r="N169" s="226">
        <f t="shared" si="103"/>
        <v>13.19999999483116</v>
      </c>
      <c r="O169" s="226"/>
      <c r="P169" s="226"/>
      <c r="Q169" s="229"/>
      <c r="R169" s="243"/>
      <c r="S169" s="250">
        <f t="shared" si="95"/>
        <v>1</v>
      </c>
      <c r="T169" s="243" t="str">
        <f t="shared" si="82"/>
        <v>NorthBound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83"/>
        <v>https://d0f6bd738d7f1b3e5a7ca70fe4ff75f0.us-east-1.aws.found.io/app/kibana#/discover/Steve-Slow-Train-Analysis-(2080s-and-2083s)?_g=(refreshInterval:(display:Off,pause:!f,section:0,value:0),time:(from:'2017-11-22T06:27:29-0700',mode:absolute,to:'2017-11-22T08:53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9" s="248" t="str">
        <f>IF(AA169&lt;VLOOKUP(AG169,Variables!$AC$3:$AD$8,2,FALSE),"Y","N")</f>
        <v>N</v>
      </c>
      <c r="X169" s="248">
        <f t="shared" si="94"/>
        <v>1</v>
      </c>
      <c r="Y169" s="248">
        <f t="shared" si="102"/>
        <v>0.11609999999999999</v>
      </c>
      <c r="Z169" s="248">
        <f t="shared" si="104"/>
        <v>5.9009999999999998</v>
      </c>
      <c r="AA169" s="248">
        <f t="shared" si="84"/>
        <v>5.7848999999999995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85"/>
        <v>809</v>
      </c>
      <c r="AE169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69" s="235" t="str">
        <f t="shared" si="87"/>
        <v>"C:\Program Files (x86)\AstroGrep\AstroGrep.exe" /e /r /s /spath="%USERPROFILE%\AppData\Local\Temp\OnboardLogs" /stypes="app*4026*20171122*" /stext=" 14:.+((SYSTEM_STATE.+slice.+state.+changed )|(ment ac)|(multiple cpu faults)|(system.+state.+changed )|(\[timeout)|(PRM\|1\|D)|(kpr)|(kdp)|(train st.+moving)|(\|lc)|(penalty))"</v>
      </c>
      <c r="AG169" s="245" t="str">
        <f t="shared" si="88"/>
        <v>NW</v>
      </c>
      <c r="AH169" s="237" t="str">
        <f t="shared" si="89"/>
        <v>"%USERPROFILE%\Documents\GitHub\eaglep3\Utilities\RefineRTDCRunTimes.py" --tripid 809-22 --locoid 4026 --swversion DE.1.0.9.0 --startMP 204:1161 --initTime 2017-11-22T07:27:29 --startdatetime 2017-11-22T07:40:19 --delay 48 --endMP 300:59010 --enddatetime 2017-11-22T07:53:31 --enforcementcount 0 &gt;&gt;%USERPROFILE%\Documents\GitHub\eaglep3-reporting\EC\2017-11-22-refined-times.txt</v>
      </c>
      <c r="AI169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{"issue":{"subject":"","project_id":79,"tracker_id":40,"status_id":1,"priority_id":2,"assigned_to_id":338,"start_date":"2017-11-22","description":"","custom_fields":[{"id":1,"name":"Subdivision","value":"NW"},{"id":4,"name":"Milepost","value":"5.901"},{"id":17,"name":"Train ID","value":"809-22"},{"id":16,"name":"Locomotive ID","value":"4026"},{"id":130,"name":"Impact","value":""},{"id":150,"name":"Time of Event (Mountain Time)","value":"07:53:31"},{"id":151,"name":"Denver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91"/>
        <v>start /low /b %USERPROFILE%\Documents\GitHub\eaglep3\Utilities\DownloadLogsFromS3.py --loco 4026 --day 2017-11-22</v>
      </c>
      <c r="AN169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14:53:31"},{"id":29,"name":"Sharepoint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93"/>
        <v>https://d0f6bd738d7f1b3e5a7ca70fe4ff75f0.us-east-1.aws.found.io/app/kibana#/discover/Steve-Slow-Train-Analysis-(2080s-and-2083s)?_g=(refreshInterval:(display:Off,pause:!f,section:0,value:0),time:(from:'2017-11-22T06:27:29-0700',mode:absolute,to:'2017-11-22T08:53:31-0700'))&amp;_a=(columns:!('Message%20ID',Summary),filters:!(),index:'emp_*',interval:auto,query:(query_string:(analyze_wildcard:!t,query:'%22rtdc.l.rtdc.4026%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30" t="s">
        <v>649</v>
      </c>
      <c r="B170" s="226">
        <v>4025</v>
      </c>
      <c r="C170" s="228" t="s">
        <v>192</v>
      </c>
      <c r="D170" s="228" t="s">
        <v>1050</v>
      </c>
      <c r="E170" s="227">
        <v>43061.33017361111</v>
      </c>
      <c r="F170" s="227">
        <v>43061.342361111114</v>
      </c>
      <c r="G170" s="226">
        <v>72</v>
      </c>
      <c r="H170" s="228" t="s">
        <v>1051</v>
      </c>
      <c r="I170" s="227">
        <v>43061.349120370367</v>
      </c>
      <c r="J170" s="226">
        <v>0</v>
      </c>
      <c r="K170" s="238" t="str">
        <f t="shared" si="80"/>
        <v>4025/4026</v>
      </c>
      <c r="L170" s="246" t="str">
        <f>VLOOKUP(A170,'Trips&amp;Operators'!$C$1:$G$99911,5,FALSE)</f>
        <v>ROMERO CHAD</v>
      </c>
      <c r="M170" s="225">
        <f t="shared" si="81"/>
        <v>6.7592592531582341E-3</v>
      </c>
      <c r="N170" s="226">
        <f t="shared" si="103"/>
        <v>9.733333324547857</v>
      </c>
      <c r="O170" s="226"/>
      <c r="P170" s="226"/>
      <c r="Q170" s="229"/>
      <c r="R170" s="243"/>
      <c r="S170" s="250">
        <f t="shared" si="95"/>
        <v>1</v>
      </c>
      <c r="T170" s="243" t="str">
        <f t="shared" si="82"/>
        <v>Southbound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83"/>
        <v>https://d0f6bd738d7f1b3e5a7ca70fe4ff75f0.us-east-1.aws.found.io/app/kibana#/discover/Steve-Slow-Train-Analysis-(2080s-and-2083s)?_g=(refreshInterval:(display:Off,pause:!f,section:0,value:0),time:(from:'2017-11-22T06:55:27-0700',mode:absolute,to:'2017-11-22T09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0" s="248" t="str">
        <f>IF(AA170&lt;VLOOKUP(AG170,Variables!$AC$3:$AD$8,2,FALSE),"Y","N")</f>
        <v>Y</v>
      </c>
      <c r="X170" s="248">
        <f t="shared" si="94"/>
        <v>1</v>
      </c>
      <c r="Y170" s="248">
        <f t="shared" si="102"/>
        <v>5.8678999999999997</v>
      </c>
      <c r="Z170" s="248">
        <f t="shared" si="104"/>
        <v>0.45710000000000001</v>
      </c>
      <c r="AA170" s="248">
        <f t="shared" si="84"/>
        <v>5.4108000000000001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85"/>
        <v>810</v>
      </c>
      <c r="AE170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70" s="235" t="str">
        <f t="shared" si="87"/>
        <v>"C:\Program Files (x86)\AstroGrep\AstroGrep.exe" /e /r /s /spath="%USERPROFILE%\AppData\Local\Temp\OnboardLogs" /stypes="app*4025*20171122*" /stext=" 15:.+((SYSTEM_STATE.+slice.+state.+changed )|(ment ac)|(multiple cpu faults)|(system.+state.+changed )|(\[timeout)|(PRM\|1\|D)|(kpr)|(kdp)|(train st.+moving)|(\|lc)|(penalty))"</v>
      </c>
      <c r="AG170" s="245" t="str">
        <f t="shared" si="88"/>
        <v>NW</v>
      </c>
      <c r="AH170" s="237" t="str">
        <f t="shared" si="89"/>
        <v>"%USERPROFILE%\Documents\GitHub\eaglep3\Utilities\RefineRTDCRunTimes.py" --tripid 810-22 --locoid 4025 --swversion DE.1.0.9.0 --startMP 300:58679 --initTime 2017-11-22T07:55:27 --startdatetime 2017-11-22T08:13:00 --delay 72 --endMP 204:4571 --enddatetime 2017-11-22T08:22:44 --enforcementcount 0 &gt;&gt;%USERPROFILE%\Documents\GitHub\eaglep3-reporting\EC\2017-11-22-refined-times.txt</v>
      </c>
      <c r="AI170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{"issue":{"subject":"","project_id":79,"tracker_id":40,"status_id":1,"priority_id":2,"assigned_to_id":338,"start_date":"2017-11-22","description":"","custom_fields":[{"id":1,"name":"Subdivision","value":"NW"},{"id":4,"name":"Milepost","value":"0.4571"},{"id":17,"name":"Train ID","value":"810-22"},{"id":16,"name":"Locomotive ID","value":"4025"},{"id":130,"name":"Impact","value":""},{"id":150,"name":"Time of Event (Mountain Time)","value":"08:22:44"},{"id":151,"name":"Denver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91"/>
        <v>start /low /b %USERPROFILE%\Documents\GitHub\eaglep3\Utilities\DownloadLogsFromS3.py --loco 4025 --day 2017-11-22</v>
      </c>
      <c r="AN170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93"/>
        <v>https://d0f6bd738d7f1b3e5a7ca70fe4ff75f0.us-east-1.aws.found.io/app/kibana#/discover/Steve-Slow-Train-Analysis-(2080s-and-2083s)?_g=(refreshInterval:(display:Off,pause:!f,section:0,value:0),time:(from:'2017-11-22T06:55:27-0700',mode:absolute,to:'2017-11-22T09:22:44-0700'))&amp;_a=(columns:!('Message%20ID',Summary),filters:!(),index:'emp_*',interval:auto,query:(query_string:(analyze_wildcard:!t,query:'%22rtdc.l.rtdc.4025%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30" t="s">
        <v>732</v>
      </c>
      <c r="B171" s="226">
        <v>4024</v>
      </c>
      <c r="C171" s="228" t="s">
        <v>192</v>
      </c>
      <c r="D171" s="228" t="s">
        <v>1052</v>
      </c>
      <c r="E171" s="227">
        <v>43061.332835648151</v>
      </c>
      <c r="F171" s="227">
        <v>43061.339780092596</v>
      </c>
      <c r="G171" s="226">
        <v>65</v>
      </c>
      <c r="H171" s="228" t="s">
        <v>625</v>
      </c>
      <c r="I171" s="227">
        <v>43061.350243055553</v>
      </c>
      <c r="J171" s="226">
        <v>0</v>
      </c>
      <c r="K171" s="238" t="str">
        <f t="shared" si="80"/>
        <v>4023/4024</v>
      </c>
      <c r="L171" s="246" t="str">
        <f>VLOOKUP(A171,'Trips&amp;Operators'!$C$1:$G$99911,5,FALSE)</f>
        <v>LONG FULLER</v>
      </c>
      <c r="M171" s="225">
        <f t="shared" si="81"/>
        <v>1.0462962956808042E-2</v>
      </c>
      <c r="N171" s="226">
        <f t="shared" si="103"/>
        <v>15.06666665780358</v>
      </c>
      <c r="O171" s="226"/>
      <c r="P171" s="226"/>
      <c r="Q171" s="229"/>
      <c r="R171" s="243"/>
      <c r="S171" s="250">
        <f t="shared" si="95"/>
        <v>1</v>
      </c>
      <c r="T171" s="243" t="str">
        <f t="shared" si="82"/>
        <v>NorthBound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83"/>
        <v>https://d0f6bd738d7f1b3e5a7ca70fe4ff75f0.us-east-1.aws.found.io/app/kibana#/discover/Steve-Slow-Train-Analysis-(2080s-and-2083s)?_g=(refreshInterval:(display:Off,pause:!f,section:0,value:0),time:(from:'2017-11-22T06:59:17-0700',mode:absolute,to:'2017-11-22T09:24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1" s="248" t="str">
        <f>IF(AA171&lt;VLOOKUP(AG171,Variables!$AC$3:$AD$8,2,FALSE),"Y","N")</f>
        <v>N</v>
      </c>
      <c r="X171" s="248">
        <f t="shared" si="94"/>
        <v>1</v>
      </c>
      <c r="Y171" s="248">
        <f t="shared" si="102"/>
        <v>0.113</v>
      </c>
      <c r="Z171" s="248">
        <f t="shared" si="104"/>
        <v>5.8967000000000001</v>
      </c>
      <c r="AA171" s="248">
        <f t="shared" si="84"/>
        <v>5.7836999999999996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85"/>
        <v>811</v>
      </c>
      <c r="AE171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71" s="235" t="str">
        <f t="shared" si="87"/>
        <v>"C:\Program Files (x86)\AstroGrep\AstroGrep.exe" /e /r /s /spath="%USERPROFILE%\AppData\Local\Temp\OnboardLogs" /stypes="app*4024*20171122*" /stext=" 15:.+((SYSTEM_STATE.+slice.+state.+changed )|(ment ac)|(multiple cpu faults)|(system.+state.+changed )|(\[timeout)|(PRM\|1\|D)|(kpr)|(kdp)|(train st.+moving)|(\|lc)|(penalty))"</v>
      </c>
      <c r="AG171" s="245" t="str">
        <f t="shared" si="88"/>
        <v>NW</v>
      </c>
      <c r="AH171" s="237" t="str">
        <f t="shared" si="89"/>
        <v>"%USERPROFILE%\Documents\GitHub\eaglep3\Utilities\RefineRTDCRunTimes.py" --tripid 811-22 --locoid 4024 --swversion DE.1.0.9.0 --startMP 204:1130 --initTime 2017-11-22T07:59:17 --startdatetime 2017-11-22T08:09:17 --delay 65 --endMP 300:58967 --enddatetime 2017-11-22T08:24:21 --enforcementcount 0 &gt;&gt;%USERPROFILE%\Documents\GitHub\eaglep3-reporting\EC\2017-11-22-refined-times.txt</v>
      </c>
      <c r="AI171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{"issue":{"subject":"","project_id":79,"tracker_id":40,"status_id":1,"priority_id":2,"assigned_to_id":338,"start_date":"2017-11-22","description":"","custom_fields":[{"id":1,"name":"Subdivision","value":"NW"},{"id":4,"name":"Milepost","value":"5.8967"},{"id":17,"name":"Train ID","value":"811-22"},{"id":16,"name":"Locomotive ID","value":"4024"},{"id":130,"name":"Impact","value":""},{"id":150,"name":"Time of Event (Mountain Time)","value":"08:24:21"},{"id":151,"name":"Denver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91"/>
        <v>start /low /b %USERPROFILE%\Documents\GitHub\eaglep3\Utilities\DownloadLogsFromS3.py --loco 4024 --day 2017-11-22</v>
      </c>
      <c r="AN171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15:24:21"},{"id":29,"name":"Sharepoint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93"/>
        <v>https://d0f6bd738d7f1b3e5a7ca70fe4ff75f0.us-east-1.aws.found.io/app/kibana#/discover/Steve-Slow-Train-Analysis-(2080s-and-2083s)?_g=(refreshInterval:(display:Off,pause:!f,section:0,value:0),time:(from:'2017-11-22T06:59:17-0700',mode:absolute,to:'2017-11-22T09:24:21-0700'))&amp;_a=(columns:!('Message%20ID',Summary),filters:!(),index:'emp_*',interval:auto,query:(query_string:(analyze_wildcard:!t,query:'%22rtdc.l.rtdc.4024%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30" t="s">
        <v>737</v>
      </c>
      <c r="B172" s="226">
        <v>4023</v>
      </c>
      <c r="C172" s="228" t="s">
        <v>192</v>
      </c>
      <c r="D172" s="228" t="s">
        <v>623</v>
      </c>
      <c r="E172" s="227">
        <v>43061.352118055554</v>
      </c>
      <c r="F172" s="227">
        <v>43061.363240740742</v>
      </c>
      <c r="G172" s="226">
        <v>62</v>
      </c>
      <c r="H172" s="228" t="s">
        <v>1053</v>
      </c>
      <c r="I172" s="227">
        <v>43061.371550925927</v>
      </c>
      <c r="J172" s="226">
        <v>0</v>
      </c>
      <c r="K172" s="238" t="str">
        <f t="shared" si="80"/>
        <v>4023/4024</v>
      </c>
      <c r="L172" s="246" t="str">
        <f>VLOOKUP(A172,'Trips&amp;Operators'!$C$1:$G$99911,5,FALSE)</f>
        <v>LONG FULLER</v>
      </c>
      <c r="M172" s="225">
        <f t="shared" si="81"/>
        <v>8.3101851851097308E-3</v>
      </c>
      <c r="N172" s="226">
        <f t="shared" si="103"/>
        <v>11.966666666558012</v>
      </c>
      <c r="O172" s="226"/>
      <c r="P172" s="226"/>
      <c r="Q172" s="229"/>
      <c r="R172" s="243"/>
      <c r="S172" s="250">
        <f t="shared" si="95"/>
        <v>1</v>
      </c>
      <c r="T172" s="243" t="str">
        <f t="shared" si="82"/>
        <v>Southbound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83"/>
        <v>https://d0f6bd738d7f1b3e5a7ca70fe4ff75f0.us-east-1.aws.found.io/app/kibana#/discover/Steve-Slow-Train-Analysis-(2080s-and-2083s)?_g=(refreshInterval:(display:Off,pause:!f,section:0,value:0),time:(from:'2017-11-22T07:27:03-0700',mode:absolute,to:'2017-11-22T09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2" s="248" t="str">
        <f>IF(AA172&lt;VLOOKUP(AG172,Variables!$AC$3:$AD$8,2,FALSE),"Y","N")</f>
        <v>N</v>
      </c>
      <c r="X172" s="248">
        <f t="shared" si="94"/>
        <v>1</v>
      </c>
      <c r="Y172" s="248">
        <f t="shared" si="102"/>
        <v>5.8653000000000004</v>
      </c>
      <c r="Z172" s="248">
        <f t="shared" si="104"/>
        <v>8.5000000000000006E-2</v>
      </c>
      <c r="AA172" s="248">
        <f t="shared" si="84"/>
        <v>5.7803000000000004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85"/>
        <v>812</v>
      </c>
      <c r="AE172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72" s="235" t="str">
        <f t="shared" si="87"/>
        <v>"C:\Program Files (x86)\AstroGrep\AstroGrep.exe" /e /r /s /spath="%USERPROFILE%\AppData\Local\Temp\OnboardLogs" /stypes="app*4023*20171122*" /stext=" 15:.+((SYSTEM_STATE.+slice.+state.+changed )|(ment ac)|(multiple cpu faults)|(system.+state.+changed )|(\[timeout)|(PRM\|1\|D)|(kpr)|(kdp)|(train st.+moving)|(\|lc)|(penalty))"</v>
      </c>
      <c r="AG172" s="245" t="str">
        <f t="shared" si="88"/>
        <v>NW</v>
      </c>
      <c r="AH172" s="237" t="str">
        <f t="shared" si="89"/>
        <v>"%USERPROFILE%\Documents\GitHub\eaglep3\Utilities\RefineRTDCRunTimes.py" --tripid 812-22 --locoid 4023 --swversion DE.1.0.9.0 --startMP 300:58653 --initTime 2017-11-22T08:27:03 --startdatetime 2017-11-22T08:43:04 --delay 62 --endMP 204:850 --enddatetime 2017-11-22T08:55:02 --enforcementcount 0 &gt;&gt;%USERPROFILE%\Documents\GitHub\eaglep3-reporting\EC\2017-11-22-refined-times.txt</v>
      </c>
      <c r="AI172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{"issue":{"subject":"","project_id":79,"tracker_id":40,"status_id":1,"priority_id":2,"assigned_to_id":338,"start_date":"2017-11-22","description":"","custom_fields":[{"id":1,"name":"Subdivision","value":"NW"},{"id":4,"name":"Milepost","value":"0.085"},{"id":17,"name":"Train ID","value":"812-22"},{"id":16,"name":"Locomotive ID","value":"4023"},{"id":130,"name":"Impact","value":""},{"id":150,"name":"Time of Event (Mountain Time)","value":"08:55:02"},{"id":151,"name":"Denver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91"/>
        <v>start /low /b %USERPROFILE%\Documents\GitHub\eaglep3\Utilities\DownloadLogsFromS3.py --loco 4023 --day 2017-11-22</v>
      </c>
      <c r="AN172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93"/>
        <v>https://d0f6bd738d7f1b3e5a7ca70fe4ff75f0.us-east-1.aws.found.io/app/kibana#/discover/Steve-Slow-Train-Analysis-(2080s-and-2083s)?_g=(refreshInterval:(display:Off,pause:!f,section:0,value:0),time:(from:'2017-11-22T07:27:03-0700',mode:absolute,to:'2017-11-22T09:55:02-0700'))&amp;_a=(columns:!('Message%20ID',Summary),filters:!(),index:'emp_*',interval:auto,query:(query_string:(analyze_wildcard:!t,query:'%22rtdc.l.rtdc.4023%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30" t="s">
        <v>743</v>
      </c>
      <c r="B173" s="226">
        <v>4024</v>
      </c>
      <c r="C173" s="228" t="s">
        <v>192</v>
      </c>
      <c r="D173" s="228" t="s">
        <v>1054</v>
      </c>
      <c r="E173" s="227">
        <v>43061.374108796299</v>
      </c>
      <c r="F173" s="227">
        <v>43061.381458333337</v>
      </c>
      <c r="G173" s="226">
        <v>68</v>
      </c>
      <c r="H173" s="228" t="s">
        <v>631</v>
      </c>
      <c r="I173" s="227">
        <v>43061.391886574071</v>
      </c>
      <c r="J173" s="226">
        <v>0</v>
      </c>
      <c r="K173" s="238" t="str">
        <f t="shared" si="80"/>
        <v>4023/4024</v>
      </c>
      <c r="L173" s="246" t="str">
        <f>VLOOKUP(A173,'Trips&amp;Operators'!$C$1:$G$99911,5,FALSE)</f>
        <v>LONG FULLER</v>
      </c>
      <c r="M173" s="225">
        <f t="shared" si="81"/>
        <v>1.0428240733745042E-2</v>
      </c>
      <c r="N173" s="226">
        <f t="shared" si="103"/>
        <v>15.016666656592861</v>
      </c>
      <c r="O173" s="226"/>
      <c r="P173" s="226"/>
      <c r="Q173" s="229"/>
      <c r="R173" s="243"/>
      <c r="S173" s="250">
        <f t="shared" si="95"/>
        <v>1</v>
      </c>
      <c r="T173" s="243" t="str">
        <f t="shared" si="82"/>
        <v>NorthBound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83"/>
        <v>https://d0f6bd738d7f1b3e5a7ca70fe4ff75f0.us-east-1.aws.found.io/app/kibana#/discover/Steve-Slow-Train-Analysis-(2080s-and-2083s)?_g=(refreshInterval:(display:Off,pause:!f,section:0,value:0),time:(from:'2017-11-22T07:58:43-0700',mode:absolute,to:'2017-11-22T10:24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3" s="248" t="str">
        <f>IF(AA173&lt;VLOOKUP(AG173,Variables!$AC$3:$AD$8,2,FALSE),"Y","N")</f>
        <v>N</v>
      </c>
      <c r="X173" s="248">
        <f t="shared" si="94"/>
        <v>1</v>
      </c>
      <c r="Y173" s="248">
        <f t="shared" si="102"/>
        <v>0.1139</v>
      </c>
      <c r="Z173" s="248">
        <f t="shared" si="104"/>
        <v>5.8968999999999996</v>
      </c>
      <c r="AA173" s="248">
        <f t="shared" si="84"/>
        <v>5.7829999999999995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85"/>
        <v>813</v>
      </c>
      <c r="AE173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73" s="235" t="str">
        <f t="shared" si="87"/>
        <v>"C:\Program Files (x86)\AstroGrep\AstroGrep.exe" /e /r /s /spath="%USERPROFILE%\AppData\Local\Temp\OnboardLogs" /stypes="app*4024*20171122*" /stext=" 16:.+((SYSTEM_STATE.+slice.+state.+changed )|(ment ac)|(multiple cpu faults)|(system.+state.+changed )|(\[timeout)|(PRM\|1\|D)|(kpr)|(kdp)|(train st.+moving)|(\|lc)|(penalty))"</v>
      </c>
      <c r="AG173" s="245" t="str">
        <f t="shared" si="88"/>
        <v>NW</v>
      </c>
      <c r="AH173" s="237" t="str">
        <f t="shared" si="89"/>
        <v>"%USERPROFILE%\Documents\GitHub\eaglep3\Utilities\RefineRTDCRunTimes.py" --tripid 813-22 --locoid 4024 --swversion DE.1.0.9.0 --startMP 204:1139 --initTime 2017-11-22T08:58:43 --startdatetime 2017-11-22T09:09:18 --delay 68 --endMP 300:58969 --enddatetime 2017-11-22T09:24:19 --enforcementcount 0 &gt;&gt;%USERPROFILE%\Documents\GitHub\eaglep3-reporting\EC\2017-11-22-refined-times.txt</v>
      </c>
      <c r="AI173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{"issue":{"subject":"","project_id":79,"tracker_id":40,"status_id":1,"priority_id":2,"assigned_to_id":338,"start_date":"2017-11-22","description":"","custom_fields":[{"id":1,"name":"Subdivision","value":"NW"},{"id":4,"name":"Milepost","value":"5.8969"},{"id":17,"name":"Train ID","value":"813-22"},{"id":16,"name":"Locomotive ID","value":"4024"},{"id":130,"name":"Impact","value":""},{"id":150,"name":"Time of Event (Mountain Time)","value":"09:24:19"},{"id":151,"name":"Denver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91"/>
        <v>start /low /b %USERPROFILE%\Documents\GitHub\eaglep3\Utilities\DownloadLogsFromS3.py --loco 4024 --day 2017-11-22</v>
      </c>
      <c r="AN173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93"/>
        <v>https://d0f6bd738d7f1b3e5a7ca70fe4ff75f0.us-east-1.aws.found.io/app/kibana#/discover/Steve-Slow-Train-Analysis-(2080s-and-2083s)?_g=(refreshInterval:(display:Off,pause:!f,section:0,value:0),time:(from:'2017-11-22T07:58:43-0700',mode:absolute,to:'2017-11-22T10:24:19-0700'))&amp;_a=(columns:!('Message%20ID',Summary),filters:!(),index:'emp_*',interval:auto,query:(query_string:(analyze_wildcard:!t,query:'%22rtdc.l.rtdc.4024%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30" t="s">
        <v>748</v>
      </c>
      <c r="B174" s="226">
        <v>4023</v>
      </c>
      <c r="C174" s="228" t="s">
        <v>192</v>
      </c>
      <c r="D174" s="228" t="s">
        <v>1055</v>
      </c>
      <c r="E174" s="227">
        <v>43061.393935185188</v>
      </c>
      <c r="F174" s="227">
        <v>43061.404317129629</v>
      </c>
      <c r="G174" s="226">
        <v>68</v>
      </c>
      <c r="H174" s="228" t="s">
        <v>1056</v>
      </c>
      <c r="I174" s="227">
        <v>43061.413182870368</v>
      </c>
      <c r="J174" s="226">
        <v>0</v>
      </c>
      <c r="K174" s="238" t="str">
        <f t="shared" si="80"/>
        <v>4023/4024</v>
      </c>
      <c r="L174" s="246" t="str">
        <f>VLOOKUP(A174,'Trips&amp;Operators'!$C$1:$G$99911,5,FALSE)</f>
        <v>LONG FULLER</v>
      </c>
      <c r="M174" s="225">
        <f t="shared" si="81"/>
        <v>8.8657407395658083E-3</v>
      </c>
      <c r="N174" s="226">
        <f t="shared" si="103"/>
        <v>12.766666664974764</v>
      </c>
      <c r="O174" s="226"/>
      <c r="P174" s="226"/>
      <c r="Q174" s="229"/>
      <c r="R174" s="243"/>
      <c r="S174" s="250">
        <f t="shared" si="95"/>
        <v>1</v>
      </c>
      <c r="T174" s="243" t="str">
        <f t="shared" si="82"/>
        <v>Southbound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83"/>
        <v>https://d0f6bd738d7f1b3e5a7ca70fe4ff75f0.us-east-1.aws.found.io/app/kibana#/discover/Steve-Slow-Train-Analysis-(2080s-and-2083s)?_g=(refreshInterval:(display:Off,pause:!f,section:0,value:0),time:(from:'2017-11-22T08:27:16-0700',mode:absolute,to:'2017-11-22T10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4" s="248" t="str">
        <f>IF(AA174&lt;VLOOKUP(AG174,Variables!$AC$3:$AD$8,2,FALSE),"Y","N")</f>
        <v>N</v>
      </c>
      <c r="X174" s="248">
        <f t="shared" si="94"/>
        <v>1</v>
      </c>
      <c r="Y174" s="248">
        <f t="shared" si="102"/>
        <v>5.8658000000000001</v>
      </c>
      <c r="Z174" s="248">
        <f t="shared" si="104"/>
        <v>8.43E-2</v>
      </c>
      <c r="AA174" s="248">
        <f t="shared" si="84"/>
        <v>5.7815000000000003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85"/>
        <v>814</v>
      </c>
      <c r="AE174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74" s="235" t="str">
        <f t="shared" si="87"/>
        <v>"C:\Program Files (x86)\AstroGrep\AstroGrep.exe" /e /r /s /spath="%USERPROFILE%\AppData\Local\Temp\OnboardLogs" /stypes="app*4023*20171122*" /stext=" 16:.+((SYSTEM_STATE.+slice.+state.+changed )|(ment ac)|(multiple cpu faults)|(system.+state.+changed )|(\[timeout)|(PRM\|1\|D)|(kpr)|(kdp)|(train st.+moving)|(\|lc)|(penalty))"</v>
      </c>
      <c r="AG174" s="245" t="str">
        <f t="shared" si="88"/>
        <v>NW</v>
      </c>
      <c r="AH174" s="237" t="str">
        <f t="shared" si="89"/>
        <v>"%USERPROFILE%\Documents\GitHub\eaglep3\Utilities\RefineRTDCRunTimes.py" --tripid 814-22 --locoid 4023 --swversion DE.1.0.9.0 --startMP 300:58658 --initTime 2017-11-22T09:27:16 --startdatetime 2017-11-22T09:42:13 --delay 68 --endMP 204:843 --enddatetime 2017-11-22T09:54:59 --enforcementcount 0 &gt;&gt;%USERPROFILE%\Documents\GitHub\eaglep3-reporting\EC\2017-11-22-refined-times.txt</v>
      </c>
      <c r="AI174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{"issue":{"subject":"","project_id":79,"tracker_id":40,"status_id":1,"priority_id":2,"assigned_to_id":338,"start_date":"2017-11-22","description":"","custom_fields":[{"id":1,"name":"Subdivision","value":"NW"},{"id":4,"name":"Milepost","value":"0.0843"},{"id":17,"name":"Train ID","value":"814-22"},{"id":16,"name":"Locomotive ID","value":"4023"},{"id":130,"name":"Impact","value":""},{"id":150,"name":"Time of Event (Mountain Time)","value":"09:54:59"},{"id":151,"name":"Denver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91"/>
        <v>start /low /b %USERPROFILE%\Documents\GitHub\eaglep3\Utilities\DownloadLogsFromS3.py --loco 4023 --day 2017-11-22</v>
      </c>
      <c r="AN174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16:54:59"},{"id":29,"name":"Sharepoint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93"/>
        <v>https://d0f6bd738d7f1b3e5a7ca70fe4ff75f0.us-east-1.aws.found.io/app/kibana#/discover/Steve-Slow-Train-Analysis-(2080s-and-2083s)?_g=(refreshInterval:(display:Off,pause:!f,section:0,value:0),time:(from:'2017-11-22T08:27:16-0700',mode:absolute,to:'2017-11-22T10:54:59-0700'))&amp;_a=(columns:!('Message%20ID',Summary),filters:!(),index:'emp_*',interval:auto,query:(query_string:(analyze_wildcard:!t,query:'%22rtdc.l.rtdc.4023%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30" t="s">
        <v>751</v>
      </c>
      <c r="B175" s="226">
        <v>4024</v>
      </c>
      <c r="C175" s="228" t="s">
        <v>192</v>
      </c>
      <c r="D175" s="228" t="s">
        <v>1057</v>
      </c>
      <c r="E175" s="227">
        <v>43061.414270833331</v>
      </c>
      <c r="F175" s="227">
        <v>43061.423148148147</v>
      </c>
      <c r="G175" s="226">
        <v>50</v>
      </c>
      <c r="H175" s="228" t="s">
        <v>625</v>
      </c>
      <c r="I175" s="227">
        <v>43061.433032407411</v>
      </c>
      <c r="J175" s="226">
        <v>0</v>
      </c>
      <c r="K175" s="238" t="str">
        <f t="shared" si="80"/>
        <v>4023/4024</v>
      </c>
      <c r="L175" s="246" t="str">
        <f>VLOOKUP(A175,'Trips&amp;Operators'!$C$1:$G$99911,5,FALSE)</f>
        <v>LONG FULLER</v>
      </c>
      <c r="M175" s="225">
        <f t="shared" si="81"/>
        <v>9.8842592633445747E-3</v>
      </c>
      <c r="N175" s="226">
        <f t="shared" si="103"/>
        <v>14.233333339216188</v>
      </c>
      <c r="O175" s="226"/>
      <c r="P175" s="226"/>
      <c r="Q175" s="229"/>
      <c r="R175" s="243"/>
      <c r="S175" s="250">
        <f t="shared" si="95"/>
        <v>1</v>
      </c>
      <c r="T175" s="243" t="str">
        <f t="shared" si="82"/>
        <v>NorthBound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83"/>
        <v>https://d0f6bd738d7f1b3e5a7ca70fe4ff75f0.us-east-1.aws.found.io/app/kibana#/discover/Steve-Slow-Train-Analysis-(2080s-and-2083s)?_g=(refreshInterval:(display:Off,pause:!f,section:0,value:0),time:(from:'2017-11-22T08:56:33-0700',mode:absolute,to:'2017-11-22T11:23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5" s="248" t="str">
        <f>IF(AA175&lt;VLOOKUP(AG175,Variables!$AC$3:$AD$8,2,FALSE),"Y","N")</f>
        <v>N</v>
      </c>
      <c r="X175" s="248">
        <f t="shared" si="94"/>
        <v>1</v>
      </c>
      <c r="Y175" s="248">
        <f t="shared" si="102"/>
        <v>0.1154</v>
      </c>
      <c r="Z175" s="248">
        <f t="shared" si="104"/>
        <v>5.8967000000000001</v>
      </c>
      <c r="AA175" s="248">
        <f t="shared" si="84"/>
        <v>5.7812999999999999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85"/>
        <v>815</v>
      </c>
      <c r="AE175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75" s="235" t="str">
        <f t="shared" si="87"/>
        <v>"C:\Program Files (x86)\AstroGrep\AstroGrep.exe" /e /r /s /spath="%USERPROFILE%\AppData\Local\Temp\OnboardLogs" /stypes="app*4024*20171122*" /stext=" 17:.+((SYSTEM_STATE.+slice.+state.+changed )|(ment ac)|(multiple cpu faults)|(system.+state.+changed )|(\[timeout)|(PRM\|1\|D)|(kpr)|(kdp)|(train st.+moving)|(\|lc)|(penalty))"</v>
      </c>
      <c r="AG175" s="245" t="str">
        <f t="shared" si="88"/>
        <v>NW</v>
      </c>
      <c r="AH175" s="237" t="str">
        <f t="shared" si="89"/>
        <v>"%USERPROFILE%\Documents\GitHub\eaglep3\Utilities\RefineRTDCRunTimes.py" --tripid 815-22 --locoid 4024 --swversion DE.1.0.9.0 --startMP 204:1154 --initTime 2017-11-22T09:56:33 --startdatetime 2017-11-22T10:09:20 --delay 50 --endMP 300:58967 --enddatetime 2017-11-22T10:23:34 --enforcementcount 0 &gt;&gt;%USERPROFILE%\Documents\GitHub\eaglep3-reporting\EC\2017-11-22-refined-times.txt</v>
      </c>
      <c r="AI175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{"issue":{"subject":"","project_id":79,"tracker_id":40,"status_id":1,"priority_id":2,"assigned_to_id":338,"start_date":"2017-11-22","description":"","custom_fields":[{"id":1,"name":"Subdivision","value":"NW"},{"id":4,"name":"Milepost","value":"5.8967"},{"id":17,"name":"Train ID","value":"815-22"},{"id":16,"name":"Locomotive ID","value":"4024"},{"id":130,"name":"Impact","value":""},{"id":150,"name":"Time of Event (Mountain Time)","value":"10:23:34"},{"id":151,"name":"Denver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91"/>
        <v>start /low /b %USERPROFILE%\Documents\GitHub\eaglep3\Utilities\DownloadLogsFromS3.py --loco 4024 --day 2017-11-22</v>
      </c>
      <c r="AN175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93"/>
        <v>https://d0f6bd738d7f1b3e5a7ca70fe4ff75f0.us-east-1.aws.found.io/app/kibana#/discover/Steve-Slow-Train-Analysis-(2080s-and-2083s)?_g=(refreshInterval:(display:Off,pause:!f,section:0,value:0),time:(from:'2017-11-22T08:56:33-0700',mode:absolute,to:'2017-11-22T11:23:34-0700'))&amp;_a=(columns:!('Message%20ID',Summary),filters:!(),index:'emp_*',interval:auto,query:(query_string:(analyze_wildcard:!t,query:'%22rtdc.l.rtdc.4024%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30" t="s">
        <v>754</v>
      </c>
      <c r="B176" s="226">
        <v>4023</v>
      </c>
      <c r="C176" s="228" t="s">
        <v>192</v>
      </c>
      <c r="D176" s="228" t="s">
        <v>1058</v>
      </c>
      <c r="E176" s="227">
        <v>43061.434710648151</v>
      </c>
      <c r="F176" s="227">
        <v>43061.446284722224</v>
      </c>
      <c r="G176" s="226">
        <v>61</v>
      </c>
      <c r="H176" s="228" t="s">
        <v>546</v>
      </c>
      <c r="I176" s="227">
        <v>43061.455081018517</v>
      </c>
      <c r="J176" s="226">
        <v>0</v>
      </c>
      <c r="K176" s="238" t="str">
        <f t="shared" si="80"/>
        <v>4023/4024</v>
      </c>
      <c r="L176" s="246" t="str">
        <f>VLOOKUP(A176,'Trips&amp;Operators'!$C$1:$G$99911,5,FALSE)</f>
        <v>LONG FULLER</v>
      </c>
      <c r="M176" s="225">
        <f t="shared" si="81"/>
        <v>8.7962962934398092E-3</v>
      </c>
      <c r="N176" s="226">
        <f t="shared" si="103"/>
        <v>12.666666662553325</v>
      </c>
      <c r="O176" s="226"/>
      <c r="P176" s="226"/>
      <c r="Q176" s="229"/>
      <c r="R176" s="243"/>
      <c r="S176" s="250">
        <f t="shared" si="95"/>
        <v>1</v>
      </c>
      <c r="T176" s="243" t="str">
        <f t="shared" si="82"/>
        <v>Southbound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83"/>
        <v>https://d0f6bd738d7f1b3e5a7ca70fe4ff75f0.us-east-1.aws.found.io/app/kibana#/discover/Steve-Slow-Train-Analysis-(2080s-and-2083s)?_g=(refreshInterval:(display:Off,pause:!f,section:0,value:0),time:(from:'2017-11-22T09:25:59-0700',mode:absolute,to:'2017-11-22T11:55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6" s="248" t="str">
        <f>IF(AA176&lt;VLOOKUP(AG176,Variables!$AC$3:$AD$8,2,FALSE),"Y","N")</f>
        <v>N</v>
      </c>
      <c r="X176" s="248">
        <f t="shared" si="94"/>
        <v>1</v>
      </c>
      <c r="Y176" s="248">
        <f t="shared" si="102"/>
        <v>5.8654999999999999</v>
      </c>
      <c r="Z176" s="248">
        <f t="shared" si="104"/>
        <v>8.3199999999999996E-2</v>
      </c>
      <c r="AA176" s="248">
        <f t="shared" si="84"/>
        <v>5.7823000000000002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85"/>
        <v>816</v>
      </c>
      <c r="AE176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76" s="235" t="str">
        <f t="shared" si="87"/>
        <v>"C:\Program Files (x86)\AstroGrep\AstroGrep.exe" /e /r /s /spath="%USERPROFILE%\AppData\Local\Temp\OnboardLogs" /stypes="app*4023*20171122*" /stext=" 17:.+((SYSTEM_STATE.+slice.+state.+changed )|(ment ac)|(multiple cpu faults)|(system.+state.+changed )|(\[timeout)|(PRM\|1\|D)|(kpr)|(kdp)|(train st.+moving)|(\|lc)|(penalty))"</v>
      </c>
      <c r="AG176" s="245" t="str">
        <f t="shared" si="88"/>
        <v>NW</v>
      </c>
      <c r="AH176" s="237" t="str">
        <f t="shared" si="89"/>
        <v>"%USERPROFILE%\Documents\GitHub\eaglep3\Utilities\RefineRTDCRunTimes.py" --tripid 816-22 --locoid 4023 --swversion DE.1.0.9.0 --startMP 300:58655 --initTime 2017-11-22T10:25:59 --startdatetime 2017-11-22T10:42:39 --delay 61 --endMP 204:832 --enddatetime 2017-11-22T10:55:19 --enforcementcount 0 &gt;&gt;%USERPROFILE%\Documents\GitHub\eaglep3-reporting\EC\2017-11-22-refined-times.txt</v>
      </c>
      <c r="AI176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{"issue":{"subject":"","project_id":79,"tracker_id":40,"status_id":1,"priority_id":2,"assigned_to_id":338,"start_date":"2017-11-22","description":"","custom_fields":[{"id":1,"name":"Subdivision","value":"NW"},{"id":4,"name":"Milepost","value":"0.0832"},{"id":17,"name":"Train ID","value":"816-22"},{"id":16,"name":"Locomotive ID","value":"4023"},{"id":130,"name":"Impact","value":""},{"id":150,"name":"Time of Event (Mountain Time)","value":"10:55:19"},{"id":151,"name":"Denver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91"/>
        <v>start /low /b %USERPROFILE%\Documents\GitHub\eaglep3\Utilities\DownloadLogsFromS3.py --loco 4023 --day 2017-11-22</v>
      </c>
      <c r="AN176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93"/>
        <v>https://d0f6bd738d7f1b3e5a7ca70fe4ff75f0.us-east-1.aws.found.io/app/kibana#/discover/Steve-Slow-Train-Analysis-(2080s-and-2083s)?_g=(refreshInterval:(display:Off,pause:!f,section:0,value:0),time:(from:'2017-11-22T09:25:59-0700',mode:absolute,to:'2017-11-22T11:55:19-0700'))&amp;_a=(columns:!('Message%20ID',Summary),filters:!(),index:'emp_*',interval:auto,query:(query_string:(analyze_wildcard:!t,query:'%22rtdc.l.rtdc.4023%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30" t="s">
        <v>762</v>
      </c>
      <c r="B177" s="226">
        <v>4024</v>
      </c>
      <c r="C177" s="228" t="s">
        <v>192</v>
      </c>
      <c r="D177" s="228" t="s">
        <v>1059</v>
      </c>
      <c r="E177" s="227">
        <v>43061.458865740744</v>
      </c>
      <c r="F177" s="227">
        <v>43061.464791666665</v>
      </c>
      <c r="G177" s="226">
        <v>62</v>
      </c>
      <c r="H177" s="228" t="s">
        <v>1060</v>
      </c>
      <c r="I177" s="227">
        <v>43061.474629629629</v>
      </c>
      <c r="J177" s="226">
        <v>0</v>
      </c>
      <c r="K177" s="238" t="str">
        <f t="shared" si="80"/>
        <v>4023/4024</v>
      </c>
      <c r="L177" s="246" t="str">
        <f>VLOOKUP(A177,'Trips&amp;Operators'!$C$1:$G$99911,5,FALSE)</f>
        <v>LONG FULLER</v>
      </c>
      <c r="M177" s="225">
        <f t="shared" si="81"/>
        <v>9.8379629635019228E-3</v>
      </c>
      <c r="N177" s="226">
        <f t="shared" si="103"/>
        <v>14.166666667442769</v>
      </c>
      <c r="O177" s="226"/>
      <c r="P177" s="226"/>
      <c r="Q177" s="229"/>
      <c r="R177" s="243"/>
      <c r="S177" s="250">
        <f t="shared" si="95"/>
        <v>1</v>
      </c>
      <c r="T177" s="243" t="str">
        <f t="shared" si="82"/>
        <v>NorthBound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83"/>
        <v>https://d0f6bd738d7f1b3e5a7ca70fe4ff75f0.us-east-1.aws.found.io/app/kibana#/discover/Steve-Slow-Train-Analysis-(2080s-and-2083s)?_g=(refreshInterval:(display:Off,pause:!f,section:0,value:0),time:(from:'2017-11-22T10:00:46-0700',mode:absolute,to:'2017-11-22T12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7" s="248" t="str">
        <f>IF(AA177&lt;VLOOKUP(AG177,Variables!$AC$3:$AD$8,2,FALSE),"Y","N")</f>
        <v>N</v>
      </c>
      <c r="X177" s="248">
        <f t="shared" si="94"/>
        <v>1</v>
      </c>
      <c r="Y177" s="248">
        <f t="shared" si="102"/>
        <v>0.1137</v>
      </c>
      <c r="Z177" s="248">
        <f t="shared" si="104"/>
        <v>5.8975999999999997</v>
      </c>
      <c r="AA177" s="248">
        <f t="shared" si="84"/>
        <v>5.7839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85"/>
        <v>817</v>
      </c>
      <c r="AE177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77" s="235" t="str">
        <f t="shared" si="87"/>
        <v>"C:\Program Files (x86)\AstroGrep\AstroGrep.exe" /e /r /s /spath="%USERPROFILE%\AppData\Local\Temp\OnboardLogs" /stypes="app*4024*20171122*" /stext=" 18:.+((SYSTEM_STATE.+slice.+state.+changed )|(ment ac)|(multiple cpu faults)|(system.+state.+changed )|(\[timeout)|(PRM\|1\|D)|(kpr)|(kdp)|(train st.+moving)|(\|lc)|(penalty))"</v>
      </c>
      <c r="AG177" s="245" t="str">
        <f t="shared" si="88"/>
        <v>NW</v>
      </c>
      <c r="AH177" s="237" t="str">
        <f t="shared" si="89"/>
        <v>"%USERPROFILE%\Documents\GitHub\eaglep3\Utilities\RefineRTDCRunTimes.py" --tripid 817-22 --locoid 4024 --swversion DE.1.0.9.0 --startMP 204:1137 --initTime 2017-11-22T11:00:46 --startdatetime 2017-11-22T11:09:18 --delay 62 --endMP 300:58976 --enddatetime 2017-11-22T11:23:28 --enforcementcount 0 &gt;&gt;%USERPROFILE%\Documents\GitHub\eaglep3-reporting\EC\2017-11-22-refined-times.txt</v>
      </c>
      <c r="AI177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{"issue":{"subject":"","project_id":79,"tracker_id":40,"status_id":1,"priority_id":2,"assigned_to_id":338,"start_date":"2017-11-22","description":"","custom_fields":[{"id":1,"name":"Subdivision","value":"NW"},{"id":4,"name":"Milepost","value":"5.8976"},{"id":17,"name":"Train ID","value":"817-22"},{"id":16,"name":"Locomotive ID","value":"4024"},{"id":130,"name":"Impact","value":""},{"id":150,"name":"Time of Event (Mountain Time)","value":"11:23:28"},{"id":151,"name":"Denver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91"/>
        <v>start /low /b %USERPROFILE%\Documents\GitHub\eaglep3\Utilities\DownloadLogsFromS3.py --loco 4024 --day 2017-11-22</v>
      </c>
      <c r="AN177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93"/>
        <v>https://d0f6bd738d7f1b3e5a7ca70fe4ff75f0.us-east-1.aws.found.io/app/kibana#/discover/Steve-Slow-Train-Analysis-(2080s-and-2083s)?_g=(refreshInterval:(display:Off,pause:!f,section:0,value:0),time:(from:'2017-11-22T10:00:46-0700',mode:absolute,to:'2017-11-22T12:23:28-0700'))&amp;_a=(columns:!('Message%20ID',Summary),filters:!(),index:'emp_*',interval:auto,query:(query_string:(analyze_wildcard:!t,query:'%22rtdc.l.rtdc.4024%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30" t="s">
        <v>657</v>
      </c>
      <c r="B178" s="226">
        <v>4023</v>
      </c>
      <c r="C178" s="228" t="s">
        <v>192</v>
      </c>
      <c r="D178" s="228" t="s">
        <v>1061</v>
      </c>
      <c r="E178" s="227">
        <v>43061.47619212963</v>
      </c>
      <c r="F178" s="227">
        <v>43061.488275462965</v>
      </c>
      <c r="G178" s="226">
        <v>70</v>
      </c>
      <c r="H178" s="228" t="s">
        <v>1062</v>
      </c>
      <c r="I178" s="227">
        <v>43061.49523148148</v>
      </c>
      <c r="J178" s="226">
        <v>0</v>
      </c>
      <c r="K178" s="238" t="str">
        <f t="shared" si="80"/>
        <v>4023/4024</v>
      </c>
      <c r="L178" s="246" t="str">
        <f>VLOOKUP(A178,'Trips&amp;Operators'!$C$1:$G$99911,5,FALSE)</f>
        <v>LONG FULLER</v>
      </c>
      <c r="M178" s="225">
        <f t="shared" si="81"/>
        <v>6.956018514756579E-3</v>
      </c>
      <c r="N178" s="226">
        <f t="shared" si="103"/>
        <v>10.016666661249474</v>
      </c>
      <c r="O178" s="226"/>
      <c r="P178" s="226"/>
      <c r="Q178" s="229"/>
      <c r="R178" s="243"/>
      <c r="S178" s="250">
        <f t="shared" si="95"/>
        <v>1</v>
      </c>
      <c r="T178" s="243" t="str">
        <f t="shared" si="82"/>
        <v>Southbound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83"/>
        <v>https://d0f6bd738d7f1b3e5a7ca70fe4ff75f0.us-east-1.aws.found.io/app/kibana#/discover/Steve-Slow-Train-Analysis-(2080s-and-2083s)?_g=(refreshInterval:(display:Off,pause:!f,section:0,value:0),time:(from:'2017-11-22T10:25:43-0700',mode:absolute,to:'2017-11-22T12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78" s="248" t="str">
        <f>IF(AA178&lt;VLOOKUP(AG178,Variables!$AC$3:$AD$8,2,FALSE),"Y","N")</f>
        <v>Y</v>
      </c>
      <c r="X178" s="248">
        <f t="shared" ref="X178:X184" si="105">VALUE(LEFT(AD178,4))-VALUE(LEFT(AD177,4))</f>
        <v>1</v>
      </c>
      <c r="Y178" s="248">
        <f t="shared" si="102"/>
        <v>5.8662000000000001</v>
      </c>
      <c r="Z178" s="248">
        <f t="shared" si="104"/>
        <v>0.4556</v>
      </c>
      <c r="AA178" s="248">
        <f t="shared" si="84"/>
        <v>5.4106000000000005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85"/>
        <v>818</v>
      </c>
      <c r="AE178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78" s="235" t="str">
        <f t="shared" si="87"/>
        <v>"C:\Program Files (x86)\AstroGrep\AstroGrep.exe" /e /r /s /spath="%USERPROFILE%\AppData\Local\Temp\OnboardLogs" /stypes="app*4023*20171122*" /stext=" 18:.+((SYSTEM_STATE.+slice.+state.+changed )|(ment ac)|(multiple cpu faults)|(system.+state.+changed )|(\[timeout)|(PRM\|1\|D)|(kpr)|(kdp)|(train st.+moving)|(\|lc)|(penalty))"</v>
      </c>
      <c r="AG178" s="245" t="str">
        <f t="shared" si="88"/>
        <v>NW</v>
      </c>
      <c r="AH178" s="237" t="str">
        <f t="shared" si="89"/>
        <v>"%USERPROFILE%\Documents\GitHub\eaglep3\Utilities\RefineRTDCRunTimes.py" --tripid 818-22 --locoid 4023 --swversion DE.1.0.9.0 --startMP 300:58662 --initTime 2017-11-22T11:25:43 --startdatetime 2017-11-22T11:43:07 --delay 70 --endMP 204:4556 --enddatetime 2017-11-22T11:53:08 --enforcementcount 0 &gt;&gt;%USERPROFILE%\Documents\GitHub\eaglep3-reporting\EC\2017-11-22-refined-times.txt</v>
      </c>
      <c r="AI178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{"issue":{"subject":"","project_id":79,"tracker_id":40,"status_id":1,"priority_id":2,"assigned_to_id":338,"start_date":"2017-11-22","description":"","custom_fields":[{"id":1,"name":"Subdivision","value":"NW"},{"id":4,"name":"Milepost","value":"0.4556"},{"id":17,"name":"Train ID","value":"818-22"},{"id":16,"name":"Locomotive ID","value":"4023"},{"id":130,"name":"Impact","value":""},{"id":150,"name":"Time of Event (Mountain Time)","value":"11:53:08"},{"id":151,"name":"Denver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91"/>
        <v>start /low /b %USERPROFILE%\Documents\GitHub\eaglep3\Utilities\DownloadLogsFromS3.py --loco 4023 --day 2017-11-22</v>
      </c>
      <c r="AN178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18:53:08"},{"id":29,"name":"Sharepoint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93"/>
        <v>https://d0f6bd738d7f1b3e5a7ca70fe4ff75f0.us-east-1.aws.found.io/app/kibana#/discover/Steve-Slow-Train-Analysis-(2080s-and-2083s)?_g=(refreshInterval:(display:Off,pause:!f,section:0,value:0),time:(from:'2017-11-22T10:25:43-0700',mode:absolute,to:'2017-11-22T12:53:08-0700'))&amp;_a=(columns:!('Message%20ID',Summary),filters:!(),index:'emp_*',interval:auto,query:(query_string:(analyze_wildcard:!t,query:'%22rtdc.l.rtdc.4023%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30" t="s">
        <v>771</v>
      </c>
      <c r="B179" s="226">
        <v>4024</v>
      </c>
      <c r="C179" s="228" t="s">
        <v>192</v>
      </c>
      <c r="D179" s="228" t="s">
        <v>1063</v>
      </c>
      <c r="E179" s="227">
        <v>43061.499247685184</v>
      </c>
      <c r="F179" s="227">
        <v>43061.506435185183</v>
      </c>
      <c r="G179" s="226">
        <v>50</v>
      </c>
      <c r="H179" s="228" t="s">
        <v>628</v>
      </c>
      <c r="I179" s="227">
        <v>43061.516087962962</v>
      </c>
      <c r="J179" s="226">
        <v>0</v>
      </c>
      <c r="K179" s="238" t="str">
        <f t="shared" si="80"/>
        <v>4023/4024</v>
      </c>
      <c r="L179" s="246" t="str">
        <f>VLOOKUP(A179,'Trips&amp;Operators'!$C$1:$G$99911,5,FALSE)</f>
        <v>LONG FULLER</v>
      </c>
      <c r="M179" s="225">
        <f t="shared" si="81"/>
        <v>9.6527777786832303E-3</v>
      </c>
      <c r="N179" s="226">
        <f t="shared" si="103"/>
        <v>13.900000001303852</v>
      </c>
      <c r="O179" s="226"/>
      <c r="P179" s="226"/>
      <c r="Q179" s="229"/>
      <c r="R179" s="243"/>
      <c r="S179" s="250">
        <f t="shared" si="95"/>
        <v>1</v>
      </c>
      <c r="T179" s="243" t="str">
        <f t="shared" si="82"/>
        <v>NorthBound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83"/>
        <v>https://d0f6bd738d7f1b3e5a7ca70fe4ff75f0.us-east-1.aws.found.io/app/kibana#/discover/Steve-Slow-Train-Analysis-(2080s-and-2083s)?_g=(refreshInterval:(display:Off,pause:!f,section:0,value:0),time:(from:'2017-11-22T10:58:55-0700',mode:absolute,to:'2017-11-22T13:23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9" s="248" t="str">
        <f>IF(AA179&lt;VLOOKUP(AG179,Variables!$AC$3:$AD$8,2,FALSE),"Y","N")</f>
        <v>N</v>
      </c>
      <c r="X179" s="248">
        <f t="shared" si="105"/>
        <v>1</v>
      </c>
      <c r="Y179" s="248">
        <f t="shared" si="102"/>
        <v>0.11749999999999999</v>
      </c>
      <c r="Z179" s="248">
        <f t="shared" si="104"/>
        <v>5.8964999999999996</v>
      </c>
      <c r="AA179" s="248">
        <f t="shared" si="84"/>
        <v>5.7789999999999999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85"/>
        <v>819</v>
      </c>
      <c r="AE179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79" s="235" t="str">
        <f t="shared" si="87"/>
        <v>"C:\Program Files (x86)\AstroGrep\AstroGrep.exe" /e /r /s /spath="%USERPROFILE%\AppData\Local\Temp\OnboardLogs" /stypes="app*4024*20171122*" /stext=" 19:.+((SYSTEM_STATE.+slice.+state.+changed )|(ment ac)|(multiple cpu faults)|(system.+state.+changed )|(\[timeout)|(PRM\|1\|D)|(kpr)|(kdp)|(train st.+moving)|(\|lc)|(penalty))"</v>
      </c>
      <c r="AG179" s="245" t="str">
        <f t="shared" si="88"/>
        <v>NW</v>
      </c>
      <c r="AH179" s="237" t="str">
        <f t="shared" si="89"/>
        <v>"%USERPROFILE%\Documents\GitHub\eaglep3\Utilities\RefineRTDCRunTimes.py" --tripid 819-22 --locoid 4024 --swversion DE.1.0.9.0 --startMP 204:1175 --initTime 2017-11-22T11:58:55 --startdatetime 2017-11-22T12:09:16 --delay 50 --endMP 300:58965 --enddatetime 2017-11-22T12:23:10 --enforcementcount 0 &gt;&gt;%USERPROFILE%\Documents\GitHub\eaglep3-reporting\EC\2017-11-22-refined-times.txt</v>
      </c>
      <c r="AI179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{"issue":{"subject":"","project_id":79,"tracker_id":40,"status_id":1,"priority_id":2,"assigned_to_id":338,"start_date":"2017-11-22","description":"","custom_fields":[{"id":1,"name":"Subdivision","value":"NW"},{"id":4,"name":"Milepost","value":"5.8965"},{"id":17,"name":"Train ID","value":"819-22"},{"id":16,"name":"Locomotive ID","value":"4024"},{"id":130,"name":"Impact","value":""},{"id":150,"name":"Time of Event (Mountain Time)","value":"12:23:10"},{"id":151,"name":"Denver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91"/>
        <v>start /low /b %USERPROFILE%\Documents\GitHub\eaglep3\Utilities\DownloadLogsFromS3.py --loco 4024 --day 2017-11-22</v>
      </c>
      <c r="AN179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19:23:10"},{"id":29,"name":"Sharepoint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93"/>
        <v>https://d0f6bd738d7f1b3e5a7ca70fe4ff75f0.us-east-1.aws.found.io/app/kibana#/discover/Steve-Slow-Train-Analysis-(2080s-and-2083s)?_g=(refreshInterval:(display:Off,pause:!f,section:0,value:0),time:(from:'2017-11-22T10:58:55-0700',mode:absolute,to:'2017-11-22T13:23:10-0700'))&amp;_a=(columns:!('Message%20ID',Summary),filters:!(),index:'emp_*',interval:auto,query:(query_string:(analyze_wildcard:!t,query:'%22rtdc.l.rtdc.4024%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30" t="s">
        <v>777</v>
      </c>
      <c r="B180" s="226">
        <v>4023</v>
      </c>
      <c r="C180" s="228" t="s">
        <v>192</v>
      </c>
      <c r="D180" s="228" t="s">
        <v>630</v>
      </c>
      <c r="E180" s="227">
        <v>43061.517094907409</v>
      </c>
      <c r="F180" s="227">
        <v>43061.530115740738</v>
      </c>
      <c r="G180" s="226">
        <v>60</v>
      </c>
      <c r="H180" s="228" t="s">
        <v>1064</v>
      </c>
      <c r="I180" s="227">
        <v>43061.538136574076</v>
      </c>
      <c r="J180" s="226">
        <v>0</v>
      </c>
      <c r="K180" s="238" t="str">
        <f t="shared" si="80"/>
        <v>4023/4024</v>
      </c>
      <c r="L180" s="246" t="str">
        <f>VLOOKUP(A180,'Trips&amp;Operators'!$C$1:$G$99911,5,FALSE)</f>
        <v>LONG FULLER</v>
      </c>
      <c r="M180" s="225">
        <f t="shared" si="81"/>
        <v>8.0208333383779973E-3</v>
      </c>
      <c r="N180" s="226">
        <f t="shared" si="103"/>
        <v>11.550000007264316</v>
      </c>
      <c r="O180" s="226"/>
      <c r="P180" s="226"/>
      <c r="Q180" s="229"/>
      <c r="R180" s="243"/>
      <c r="S180" s="250">
        <f t="shared" si="95"/>
        <v>1</v>
      </c>
      <c r="T180" s="243" t="str">
        <f t="shared" si="82"/>
        <v>Southbound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83"/>
        <v>https://d0f6bd738d7f1b3e5a7ca70fe4ff75f0.us-east-1.aws.found.io/app/kibana#/discover/Steve-Slow-Train-Analysis-(2080s-and-2083s)?_g=(refreshInterval:(display:Off,pause:!f,section:0,value:0),time:(from:'2017-11-22T11:24:37-0700',mode:absolute,to:'2017-11-22T13:54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0" s="248" t="str">
        <f>IF(AA180&lt;VLOOKUP(AG180,Variables!$AC$3:$AD$8,2,FALSE),"Y","N")</f>
        <v>N</v>
      </c>
      <c r="X180" s="248">
        <f t="shared" si="105"/>
        <v>1</v>
      </c>
      <c r="Y180" s="248">
        <f t="shared" si="102"/>
        <v>5.8644999999999996</v>
      </c>
      <c r="Z180" s="248">
        <f t="shared" si="104"/>
        <v>8.6199999999999999E-2</v>
      </c>
      <c r="AA180" s="248">
        <f t="shared" si="84"/>
        <v>5.7782999999999998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85"/>
        <v>820</v>
      </c>
      <c r="AE180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80" s="235" t="str">
        <f t="shared" si="87"/>
        <v>"C:\Program Files (x86)\AstroGrep\AstroGrep.exe" /e /r /s /spath="%USERPROFILE%\AppData\Local\Temp\OnboardLogs" /stypes="app*4023*20171122*" /stext=" 19:.+((SYSTEM_STATE.+slice.+state.+changed )|(ment ac)|(multiple cpu faults)|(system.+state.+changed )|(\[timeout)|(PRM\|1\|D)|(kpr)|(kdp)|(train st.+moving)|(\|lc)|(penalty))"</v>
      </c>
      <c r="AG180" s="245" t="str">
        <f t="shared" si="88"/>
        <v>NW</v>
      </c>
      <c r="AH180" s="237" t="str">
        <f t="shared" si="89"/>
        <v>"%USERPROFILE%\Documents\GitHub\eaglep3\Utilities\RefineRTDCRunTimes.py" --tripid 820-22 --locoid 4023 --swversion DE.1.0.9.0 --startMP 300:58645 --initTime 2017-11-22T12:24:37 --startdatetime 2017-11-22T12:43:22 --delay 60 --endMP 204:862 --enddatetime 2017-11-22T12:54:55 --enforcementcount 0 &gt;&gt;%USERPROFILE%\Documents\GitHub\eaglep3-reporting\EC\2017-11-22-refined-times.txt</v>
      </c>
      <c r="AI180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{"issue":{"subject":"","project_id":79,"tracker_id":40,"status_id":1,"priority_id":2,"assigned_to_id":338,"start_date":"2017-11-22","description":"","custom_fields":[{"id":1,"name":"Subdivision","value":"NW"},{"id":4,"name":"Milepost","value":"0.0862"},{"id":17,"name":"Train ID","value":"820-22"},{"id":16,"name":"Locomotive ID","value":"4023"},{"id":130,"name":"Impact","value":""},{"id":150,"name":"Time of Event (Mountain Time)","value":"12:54:55"},{"id":151,"name":"Denver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91"/>
        <v>start /low /b %USERPROFILE%\Documents\GitHub\eaglep3\Utilities\DownloadLogsFromS3.py --loco 4023 --day 2017-11-22</v>
      </c>
      <c r="AN180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19:54:55"},{"id":29,"name":"Sharepoint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93"/>
        <v>https://d0f6bd738d7f1b3e5a7ca70fe4ff75f0.us-east-1.aws.found.io/app/kibana#/discover/Steve-Slow-Train-Analysis-(2080s-and-2083s)?_g=(refreshInterval:(display:Off,pause:!f,section:0,value:0),time:(from:'2017-11-22T11:24:37-0700',mode:absolute,to:'2017-11-22T13:54:55-0700'))&amp;_a=(columns:!('Message%20ID',Summary),filters:!(),index:'emp_*',interval:auto,query:(query_string:(analyze_wildcard:!t,query:'%22rtdc.l.rtdc.4023%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30" t="s">
        <v>782</v>
      </c>
      <c r="B181" s="226">
        <v>4024</v>
      </c>
      <c r="C181" s="228" t="s">
        <v>192</v>
      </c>
      <c r="D181" s="228" t="s">
        <v>1065</v>
      </c>
      <c r="E181" s="227">
        <v>43061.542314814818</v>
      </c>
      <c r="F181" s="227">
        <v>43061.548263888886</v>
      </c>
      <c r="G181" s="226">
        <v>83</v>
      </c>
      <c r="H181" s="228" t="s">
        <v>1066</v>
      </c>
      <c r="I181" s="227">
        <v>43061.558611111112</v>
      </c>
      <c r="J181" s="226">
        <v>0</v>
      </c>
      <c r="K181" s="238" t="str">
        <f t="shared" si="80"/>
        <v>4023/4024</v>
      </c>
      <c r="L181" s="246" t="str">
        <f>VLOOKUP(A181,'Trips&amp;Operators'!$C$1:$G$99911,5,FALSE)</f>
        <v>LORI SANTOS</v>
      </c>
      <c r="M181" s="225">
        <f t="shared" si="81"/>
        <v>1.0347222225391306E-2</v>
      </c>
      <c r="N181" s="226">
        <f t="shared" si="103"/>
        <v>14.900000004563481</v>
      </c>
      <c r="O181" s="226"/>
      <c r="P181" s="226"/>
      <c r="Q181" s="229"/>
      <c r="R181" s="243"/>
      <c r="S181" s="250">
        <f t="shared" ref="S181:S214" si="106">1/IF(AG181="EC",12,1)*SUM(U181:U181)</f>
        <v>1</v>
      </c>
      <c r="T181" s="243" t="str">
        <f t="shared" si="82"/>
        <v>NorthBound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83"/>
        <v>https://d0f6bd738d7f1b3e5a7ca70fe4ff75f0.us-east-1.aws.found.io/app/kibana#/discover/Steve-Slow-Train-Analysis-(2080s-and-2083s)?_g=(refreshInterval:(display:Off,pause:!f,section:0,value:0),time:(from:'2017-11-22T12:00:56-0700',mode:absolute,to:'2017-11-22T14:24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1" s="248" t="str">
        <f>IF(AA181&lt;VLOOKUP(AG181,Variables!$AC$3:$AD$8,2,FALSE),"Y","N")</f>
        <v>N</v>
      </c>
      <c r="X181" s="248">
        <f t="shared" si="105"/>
        <v>1</v>
      </c>
      <c r="Y181" s="248">
        <f t="shared" si="102"/>
        <v>0.11600000000000001</v>
      </c>
      <c r="Z181" s="248">
        <f t="shared" si="104"/>
        <v>5.8948</v>
      </c>
      <c r="AA181" s="248">
        <f t="shared" si="84"/>
        <v>5.7788000000000004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85"/>
        <v>821</v>
      </c>
      <c r="AE181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81" s="235" t="str">
        <f t="shared" si="87"/>
        <v>"C:\Program Files (x86)\AstroGrep\AstroGrep.exe" /e /r /s /spath="%USERPROFILE%\AppData\Local\Temp\OnboardLogs" /stypes="app*4024*20171122*" /stext=" 20:.+((SYSTEM_STATE.+slice.+state.+changed )|(ment ac)|(multiple cpu faults)|(system.+state.+changed )|(\[timeout)|(PRM\|1\|D)|(kpr)|(kdp)|(train st.+moving)|(\|lc)|(penalty))"</v>
      </c>
      <c r="AG181" s="245" t="str">
        <f t="shared" si="88"/>
        <v>NW</v>
      </c>
      <c r="AH181" s="237" t="str">
        <f t="shared" si="89"/>
        <v>"%USERPROFILE%\Documents\GitHub\eaglep3\Utilities\RefineRTDCRunTimes.py" --tripid 821-22 --locoid 4024 --swversion DE.1.0.9.0 --startMP 204:1160 --initTime 2017-11-22T13:00:56 --startdatetime 2017-11-22T13:09:30 --delay 83 --endMP 300:58948 --enddatetime 2017-11-22T13:24:24 --enforcementcount 0 &gt;&gt;%USERPROFILE%\Documents\GitHub\eaglep3-reporting\EC\2017-11-22-refined-times.txt</v>
      </c>
      <c r="AI181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{"issue":{"subject":"","project_id":79,"tracker_id":40,"status_id":1,"priority_id":2,"assigned_to_id":338,"start_date":"2017-11-22","description":"","custom_fields":[{"id":1,"name":"Subdivision","value":"NW"},{"id":4,"name":"Milepost","value":"5.8948"},{"id":17,"name":"Train ID","value":"821-22"},{"id":16,"name":"Locomotive ID","value":"4024"},{"id":130,"name":"Impact","value":""},{"id":150,"name":"Time of Event (Mountain Time)","value":"13:24:24"},{"id":151,"name":"Denver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91"/>
        <v>start /low /b %USERPROFILE%\Documents\GitHub\eaglep3\Utilities\DownloadLogsFromS3.py --loco 4024 --day 2017-11-22</v>
      </c>
      <c r="AN181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93"/>
        <v>https://d0f6bd738d7f1b3e5a7ca70fe4ff75f0.us-east-1.aws.found.io/app/kibana#/discover/Steve-Slow-Train-Analysis-(2080s-and-2083s)?_g=(refreshInterval:(display:Off,pause:!f,section:0,value:0),time:(from:'2017-11-22T12:00:56-0700',mode:absolute,to:'2017-11-22T14:24:24-0700'))&amp;_a=(columns:!('Message%20ID',Summary),filters:!(),index:'emp_*',interval:auto,query:(query_string:(analyze_wildcard:!t,query:'%22rtdc.l.rtdc.4024%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30" t="s">
        <v>790</v>
      </c>
      <c r="B182" s="226">
        <v>4023</v>
      </c>
      <c r="C182" s="228" t="s">
        <v>192</v>
      </c>
      <c r="D182" s="228" t="s">
        <v>500</v>
      </c>
      <c r="E182" s="227">
        <v>43061.564826388887</v>
      </c>
      <c r="F182" s="227">
        <v>43061.571250000001</v>
      </c>
      <c r="G182" s="226">
        <v>95</v>
      </c>
      <c r="H182" s="228" t="s">
        <v>1067</v>
      </c>
      <c r="I182" s="227">
        <v>43061.580659722225</v>
      </c>
      <c r="J182" s="226">
        <v>0</v>
      </c>
      <c r="K182" s="238" t="str">
        <f t="shared" si="80"/>
        <v>4023/4024</v>
      </c>
      <c r="L182" s="246" t="str">
        <f>VLOOKUP(A182,'Trips&amp;Operators'!$C$1:$G$99911,5,FALSE)</f>
        <v>LORI SANTOS</v>
      </c>
      <c r="M182" s="225">
        <f t="shared" si="81"/>
        <v>9.4097222245181911E-3</v>
      </c>
      <c r="N182" s="226">
        <f t="shared" si="103"/>
        <v>13.550000003306195</v>
      </c>
      <c r="O182" s="226"/>
      <c r="P182" s="226"/>
      <c r="Q182" s="229"/>
      <c r="R182" s="243"/>
      <c r="S182" s="250">
        <f t="shared" si="106"/>
        <v>1</v>
      </c>
      <c r="T182" s="243" t="str">
        <f t="shared" si="82"/>
        <v>Southbound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83"/>
        <v>https://d0f6bd738d7f1b3e5a7ca70fe4ff75f0.us-east-1.aws.found.io/app/kibana#/discover/Steve-Slow-Train-Analysis-(2080s-and-2083s)?_g=(refreshInterval:(display:Off,pause:!f,section:0,value:0),time:(from:'2017-11-22T12:33:21-0700',mode:absolute,to:'2017-11-22T14:56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2" s="248" t="str">
        <f>IF(AA182&lt;VLOOKUP(AG182,Variables!$AC$3:$AD$8,2,FALSE),"Y","N")</f>
        <v>N</v>
      </c>
      <c r="X182" s="248">
        <f t="shared" si="105"/>
        <v>1</v>
      </c>
      <c r="Y182" s="248">
        <f t="shared" si="102"/>
        <v>5.8623000000000003</v>
      </c>
      <c r="Z182" s="248">
        <f t="shared" si="104"/>
        <v>8.5199999999999998E-2</v>
      </c>
      <c r="AA182" s="248">
        <f t="shared" si="84"/>
        <v>5.7770999999999999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85"/>
        <v>822</v>
      </c>
      <c r="AE182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82" s="235" t="str">
        <f t="shared" si="87"/>
        <v>"C:\Program Files (x86)\AstroGrep\AstroGrep.exe" /e /r /s /spath="%USERPROFILE%\AppData\Local\Temp\OnboardLogs" /stypes="app*4023*20171122*" /stext=" 20:.+((SYSTEM_STATE.+slice.+state.+changed )|(ment ac)|(multiple cpu faults)|(system.+state.+changed )|(\[timeout)|(PRM\|1\|D)|(kpr)|(kdp)|(train st.+moving)|(\|lc)|(penalty))"</v>
      </c>
      <c r="AG182" s="245" t="str">
        <f t="shared" si="88"/>
        <v>NW</v>
      </c>
      <c r="AH182" s="237" t="str">
        <f t="shared" si="89"/>
        <v>"%USERPROFILE%\Documents\GitHub\eaglep3\Utilities\RefineRTDCRunTimes.py" --tripid 822-22 --locoid 4023 --swversion DE.1.0.9.0 --startMP 300:58623 --initTime 2017-11-22T13:33:21 --startdatetime 2017-11-22T13:42:36 --delay 95 --endMP 204:852 --enddatetime 2017-11-22T13:56:09 --enforcementcount 0 &gt;&gt;%USERPROFILE%\Documents\GitHub\eaglep3-reporting\EC\2017-11-22-refined-times.txt</v>
      </c>
      <c r="AI182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{"issue":{"subject":"","project_id":79,"tracker_id":40,"status_id":1,"priority_id":2,"assigned_to_id":338,"start_date":"2017-11-22","description":"","custom_fields":[{"id":1,"name":"Subdivision","value":"NW"},{"id":4,"name":"Milepost","value":"0.0852"},{"id":17,"name":"Train ID","value":"822-22"},{"id":16,"name":"Locomotive ID","value":"4023"},{"id":130,"name":"Impact","value":""},{"id":150,"name":"Time of Event (Mountain Time)","value":"13:56:09"},{"id":151,"name":"Denver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91"/>
        <v>start /low /b %USERPROFILE%\Documents\GitHub\eaglep3\Utilities\DownloadLogsFromS3.py --loco 4023 --day 2017-11-22</v>
      </c>
      <c r="AN182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20:56:09"},{"id":29,"name":"Sharepoint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93"/>
        <v>https://d0f6bd738d7f1b3e5a7ca70fe4ff75f0.us-east-1.aws.found.io/app/kibana#/discover/Steve-Slow-Train-Analysis-(2080s-and-2083s)?_g=(refreshInterval:(display:Off,pause:!f,section:0,value:0),time:(from:'2017-11-22T12:33:21-0700',mode:absolute,to:'2017-11-22T14:56:09-0700'))&amp;_a=(columns:!('Message%20ID',Summary),filters:!(),index:'emp_*',interval:auto,query:(query_string:(analyze_wildcard:!t,query:'%22rtdc.l.rtdc.4023%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30" t="s">
        <v>794</v>
      </c>
      <c r="B183" s="226">
        <v>4024</v>
      </c>
      <c r="C183" s="228" t="s">
        <v>192</v>
      </c>
      <c r="D183" s="228" t="s">
        <v>1065</v>
      </c>
      <c r="E183" s="227">
        <v>43061.585509259261</v>
      </c>
      <c r="F183" s="227">
        <v>43061.59002314815</v>
      </c>
      <c r="G183" s="226">
        <v>69</v>
      </c>
      <c r="H183" s="228" t="s">
        <v>1068</v>
      </c>
      <c r="I183" s="227">
        <v>43061.600347222222</v>
      </c>
      <c r="J183" s="226">
        <v>0</v>
      </c>
      <c r="K183" s="238" t="str">
        <f t="shared" si="80"/>
        <v>4023/4024</v>
      </c>
      <c r="L183" s="246" t="str">
        <f>VLOOKUP(A183,'Trips&amp;Operators'!$C$1:$G$99911,5,FALSE)</f>
        <v>LORI SANTOS</v>
      </c>
      <c r="M183" s="225">
        <f t="shared" si="81"/>
        <v>1.0324074071832001E-2</v>
      </c>
      <c r="N183" s="226">
        <f t="shared" si="103"/>
        <v>14.866666663438082</v>
      </c>
      <c r="O183" s="226"/>
      <c r="P183" s="226"/>
      <c r="Q183" s="229"/>
      <c r="R183" s="243"/>
      <c r="S183" s="250">
        <f t="shared" si="106"/>
        <v>1</v>
      </c>
      <c r="T183" s="243" t="str">
        <f t="shared" si="82"/>
        <v>NorthBound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83"/>
        <v>https://d0f6bd738d7f1b3e5a7ca70fe4ff75f0.us-east-1.aws.found.io/app/kibana#/discover/Steve-Slow-Train-Analysis-(2080s-and-2083s)?_g=(refreshInterval:(display:Off,pause:!f,section:0,value:0),time:(from:'2017-11-22T13:03:08-0700',mode:absolute,to:'2017-11-22T15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3" s="248" t="str">
        <f>IF(AA183&lt;VLOOKUP(AG183,Variables!$AC$3:$AD$8,2,FALSE),"Y","N")</f>
        <v>N</v>
      </c>
      <c r="X183" s="248">
        <f t="shared" si="105"/>
        <v>1</v>
      </c>
      <c r="Y183" s="248">
        <f t="shared" si="102"/>
        <v>0.11600000000000001</v>
      </c>
      <c r="Z183" s="248">
        <f t="shared" si="104"/>
        <v>5.8945999999999996</v>
      </c>
      <c r="AA183" s="248">
        <f t="shared" si="84"/>
        <v>5.7786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85"/>
        <v>823</v>
      </c>
      <c r="AE183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83" s="235" t="str">
        <f t="shared" si="87"/>
        <v>"C:\Program Files (x86)\AstroGrep\AstroGrep.exe" /e /r /s /spath="%USERPROFILE%\AppData\Local\Temp\OnboardLogs" /stypes="app*4024*20171122*" /stext=" 21:.+((SYSTEM_STATE.+slice.+state.+changed )|(ment ac)|(multiple cpu faults)|(system.+state.+changed )|(\[timeout)|(PRM\|1\|D)|(kpr)|(kdp)|(train st.+moving)|(\|lc)|(penalty))"</v>
      </c>
      <c r="AG183" s="245" t="str">
        <f t="shared" si="88"/>
        <v>NW</v>
      </c>
      <c r="AH183" s="237" t="str">
        <f t="shared" si="89"/>
        <v>"%USERPROFILE%\Documents\GitHub\eaglep3\Utilities\RefineRTDCRunTimes.py" --tripid 823-22 --locoid 4024 --swversion DE.1.0.9.0 --startMP 204:1160 --initTime 2017-11-22T14:03:08 --startdatetime 2017-11-22T14:09:38 --delay 69 --endMP 300:58946 --enddatetime 2017-11-22T14:24:30 --enforcementcount 0 &gt;&gt;%USERPROFILE%\Documents\GitHub\eaglep3-reporting\EC\2017-11-22-refined-times.txt</v>
      </c>
      <c r="AI183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{"issue":{"subject":"","project_id":79,"tracker_id":40,"status_id":1,"priority_id":2,"assigned_to_id":338,"start_date":"2017-11-22","description":"","custom_fields":[{"id":1,"name":"Subdivision","value":"NW"},{"id":4,"name":"Milepost","value":"5.8946"},{"id":17,"name":"Train ID","value":"823-22"},{"id":16,"name":"Locomotive ID","value":"4024"},{"id":130,"name":"Impact","value":""},{"id":150,"name":"Time of Event (Mountain Time)","value":"14:24:30"},{"id":151,"name":"Denver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91"/>
        <v>start /low /b %USERPROFILE%\Documents\GitHub\eaglep3\Utilities\DownloadLogsFromS3.py --loco 4024 --day 2017-11-22</v>
      </c>
      <c r="AN183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93"/>
        <v>https://d0f6bd738d7f1b3e5a7ca70fe4ff75f0.us-east-1.aws.found.io/app/kibana#/discover/Steve-Slow-Train-Analysis-(2080s-and-2083s)?_g=(refreshInterval:(display:Off,pause:!f,section:0,value:0),time:(from:'2017-11-22T13:03:08-0700',mode:absolute,to:'2017-11-22T15:24:30-0700'))&amp;_a=(columns:!('Message%20ID',Summary),filters:!(),index:'emp_*',interval:auto,query:(query_string:(analyze_wildcard:!t,query:'%22rtdc.l.rtdc.4024%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4" customFormat="1" x14ac:dyDescent="0.3">
      <c r="A184" s="230" t="s">
        <v>1122</v>
      </c>
      <c r="B184" s="226">
        <v>4023</v>
      </c>
      <c r="C184" s="228" t="s">
        <v>192</v>
      </c>
      <c r="D184" s="228" t="s">
        <v>1065</v>
      </c>
      <c r="E184" s="227">
        <v>43061.585509259261</v>
      </c>
      <c r="F184" s="227">
        <v>43061.613182870373</v>
      </c>
      <c r="G184" s="226">
        <v>69</v>
      </c>
      <c r="H184" s="228" t="s">
        <v>1068</v>
      </c>
      <c r="I184" s="227">
        <v>43061.62222222222</v>
      </c>
      <c r="J184" s="226">
        <v>0</v>
      </c>
      <c r="K184" s="238" t="str">
        <f t="shared" si="80"/>
        <v>4023/4024</v>
      </c>
      <c r="L184" s="246" t="s">
        <v>1123</v>
      </c>
      <c r="M184" s="225">
        <f t="shared" si="81"/>
        <v>9.0393518476048484E-3</v>
      </c>
      <c r="N184" s="226">
        <f t="shared" si="103"/>
        <v>13.016666660550982</v>
      </c>
      <c r="O184" s="226"/>
      <c r="P184" s="226"/>
      <c r="Q184" s="229"/>
      <c r="R184" s="243"/>
      <c r="S184" s="250">
        <f t="shared" si="106"/>
        <v>1</v>
      </c>
      <c r="T184" s="243" t="str">
        <f t="shared" si="82"/>
        <v>Southbound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83"/>
        <v>https://d0f6bd738d7f1b3e5a7ca70fe4ff75f0.us-east-1.aws.found.io/app/kibana#/discover/Steve-Slow-Train-Analysis-(2080s-and-2083s)?_g=(refreshInterval:(display:Off,pause:!f,section:0,value:0),time:(from:'2017-11-22T13:03:08-0700',mode:absolute,to:'2017-11-22T15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4" s="248" t="str">
        <f>IF(AA184&lt;VLOOKUP(AG184,Variables!$AC$3:$AD$8,2,FALSE),"Y","N")</f>
        <v>N</v>
      </c>
      <c r="X184" s="248">
        <f t="shared" si="105"/>
        <v>1</v>
      </c>
      <c r="Y184" s="248">
        <v>5.8623000000000003</v>
      </c>
      <c r="Z184" s="248">
        <v>8.5199999999999998E-2</v>
      </c>
      <c r="AA184" s="248">
        <f t="shared" si="84"/>
        <v>5.7770999999999999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85"/>
        <v>824</v>
      </c>
      <c r="AE184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84" s="235" t="str">
        <f t="shared" si="87"/>
        <v>"C:\Program Files (x86)\AstroGrep\AstroGrep.exe" /e /r /s /spath="%USERPROFILE%\AppData\Local\Temp\OnboardLogs" /stypes="app*4023*20171122*" /stext=" 21:.+((SYSTEM_STATE.+slice.+state.+changed )|(ment ac)|(multiple cpu faults)|(system.+state.+changed )|(\[timeout)|(PRM\|1\|D)|(kpr)|(kdp)|(train st.+moving)|(\|lc)|(penalty))"</v>
      </c>
      <c r="AG184" s="245" t="str">
        <f t="shared" si="88"/>
        <v>NW</v>
      </c>
      <c r="AH184" s="237" t="str">
        <f t="shared" ref="AH184" si="107"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824-22 --locoid 4023 --swversion DE.1.0.9.0 --startMP 204:1160 --initTime 2017-11-22T14:03:08 --startdatetime 2017-11-22T14:42:59 --delay 69 --endMP 300:58946 --enddatetime 2017-11-22T14:56:00 --enforcementcount 0 &gt;&gt;%USERPROFILE%\Documents\GitHub\eaglep3-reporting\EC\2017-11-22-refined-times.txt</v>
      </c>
      <c r="AI184" s="239" t="str">
        <f t="shared" ref="AI184" si="108"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{"issue":{"subject":"","project_id":79,"tracker_id":40,"status_id":1,"priority_id":2,"assigned_to_id":338,"start_date":"2017-11-22","description":"","custom_fields":[{"id":1,"name":"Subdivision","value":"NW"},{"id":4,"name":"Milepost","value":"0.0852"},{"id":17,"name":"Train ID","value":"824-22"},{"id":16,"name":"Locomotive ID","value":"4023"},{"id":130,"name":"Impact","value":""},{"id":150,"name":"Time of Event (Mountain Time)","value":"14:56:00"},{"id":151,"name":"Denver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2"/>
      <c r="AL184" s="232"/>
      <c r="AM184" s="241" t="str">
        <f t="shared" ref="AM184" si="109">"start /low /b "&amp;dls3logs&amp;" --loco "&amp;B184&amp;" --day "&amp;TEXT(F184,"YYYY-MM-DD")</f>
        <v>start /low /b %USERPROFILE%\Documents\GitHub\eaglep3\Utilities\DownloadLogsFromS3.py --loco 4023 --day 2017-11-22</v>
      </c>
      <c r="AN184" s="242" t="str">
        <f t="shared" ref="AN184" si="110"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21:56:00"},{"id":29,"name":"Sharepoint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ref="AO184" si="111"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-11-22T13:03:08-0700',mode:absolute,to:'2017-11-22T15:56:00-0700'))&amp;_a=(columns:!('Message%20ID',Summary),filters:!(),index:'emp_*',interval:auto,query:(query_string:(analyze_wildcard:!t,query:'%22rtdc.l.rtdc.4023%22')),sort:!(Time.ISO8601,asc))</v>
      </c>
    </row>
    <row r="185" spans="1:91" s="20" customFormat="1" x14ac:dyDescent="0.3">
      <c r="A185" s="230" t="s">
        <v>802</v>
      </c>
      <c r="B185" s="226">
        <v>4024</v>
      </c>
      <c r="C185" s="228" t="s">
        <v>192</v>
      </c>
      <c r="D185" s="228" t="s">
        <v>1069</v>
      </c>
      <c r="E185" s="227">
        <v>43061.627372685187</v>
      </c>
      <c r="F185" s="227">
        <v>43061.631562499999</v>
      </c>
      <c r="G185" s="226">
        <v>90</v>
      </c>
      <c r="H185" s="228" t="s">
        <v>636</v>
      </c>
      <c r="I185" s="227">
        <v>43061.642384259256</v>
      </c>
      <c r="J185" s="226">
        <v>0</v>
      </c>
      <c r="K185" s="238" t="str">
        <f t="shared" si="80"/>
        <v>4023/4024</v>
      </c>
      <c r="L185" s="246" t="str">
        <f>VLOOKUP(A185,'Trips&amp;Operators'!$C$1:$G$99911,5,FALSE)</f>
        <v>LORI SANTOS</v>
      </c>
      <c r="M185" s="225">
        <f t="shared" si="81"/>
        <v>1.0821759256941732E-2</v>
      </c>
      <c r="N185" s="226">
        <f t="shared" si="103"/>
        <v>15.583333329996094</v>
      </c>
      <c r="O185" s="226"/>
      <c r="P185" s="226"/>
      <c r="Q185" s="229"/>
      <c r="R185" s="243"/>
      <c r="S185" s="250">
        <f t="shared" si="106"/>
        <v>1</v>
      </c>
      <c r="T185" s="243" t="str">
        <f t="shared" si="82"/>
        <v>NorthBound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83"/>
        <v>https://d0f6bd738d7f1b3e5a7ca70fe4ff75f0.us-east-1.aws.found.io/app/kibana#/discover/Steve-Slow-Train-Analysis-(2080s-and-2083s)?_g=(refreshInterval:(display:Off,pause:!f,section:0,value:0),time:(from:'2017-11-22T14:03:25-0700',mode:absolute,to:'2017-11-22T16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5" s="248" t="str">
        <f>IF(AA185&lt;VLOOKUP(AG185,Variables!$AC$3:$AD$8,2,FALSE),"Y","N")</f>
        <v>N</v>
      </c>
      <c r="X185" s="248">
        <f t="shared" ref="X185:X186" si="112">VALUE(LEFT(AD185,4))-VALUE(LEFT(AD184,4))</f>
        <v>1</v>
      </c>
      <c r="Y185" s="248">
        <f t="shared" ref="Y185:Y218" si="113">RIGHT(D185,LEN(D185)-4)/10000</f>
        <v>0.1153</v>
      </c>
      <c r="Z185" s="248">
        <f t="shared" ref="Z185:Z218" si="114">RIGHT(H185,LEN(H185)-4)/10000</f>
        <v>5.8954000000000004</v>
      </c>
      <c r="AA185" s="248">
        <f t="shared" si="84"/>
        <v>5.7801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85"/>
        <v>825</v>
      </c>
      <c r="AE185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85" s="235" t="str">
        <f t="shared" si="87"/>
        <v>"C:\Program Files (x86)\AstroGrep\AstroGrep.exe" /e /r /s /spath="%USERPROFILE%\AppData\Local\Temp\OnboardLogs" /stypes="app*4024*20171122*" /stext=" 22:.+((SYSTEM_STATE.+slice.+state.+changed )|(ment ac)|(multiple cpu faults)|(system.+state.+changed )|(\[timeout)|(PRM\|1\|D)|(kpr)|(kdp)|(train st.+moving)|(\|lc)|(penalty))"</v>
      </c>
      <c r="AG185" s="245" t="str">
        <f t="shared" si="88"/>
        <v>NW</v>
      </c>
      <c r="AH185" s="237" t="str">
        <f t="shared" si="89"/>
        <v>"%USERPROFILE%\Documents\GitHub\eaglep3\Utilities\RefineRTDCRunTimes.py" --tripid 825-22 --locoid 4024 --swversion DE.1.0.9.0 --startMP 204:1153 --initTime 2017-11-22T15:03:25 --startdatetime 2017-11-22T15:09:27 --delay 90 --endMP 300:58954 --enddatetime 2017-11-22T15:25:02 --enforcementcount 0 &gt;&gt;%USERPROFILE%\Documents\GitHub\eaglep3-reporting\EC\2017-11-22-refined-times.txt</v>
      </c>
      <c r="AI185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{"issue":{"subject":"","project_id":79,"tracker_id":40,"status_id":1,"priority_id":2,"assigned_to_id":338,"start_date":"2017-11-22","description":"","custom_fields":[{"id":1,"name":"Subdivision","value":"NW"},{"id":4,"name":"Milepost","value":"5.8954"},{"id":17,"name":"Train ID","value":"825-22"},{"id":16,"name":"Locomotive ID","value":"4024"},{"id":130,"name":"Impact","value":""},{"id":150,"name":"Time of Event (Mountain Time)","value":"15:25:02"},{"id":151,"name":"Denver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91"/>
        <v>start /low /b %USERPROFILE%\Documents\GitHub\eaglep3\Utilities\DownloadLogsFromS3.py --loco 4024 --day 2017-11-22</v>
      </c>
      <c r="AN185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93"/>
        <v>https://d0f6bd738d7f1b3e5a7ca70fe4ff75f0.us-east-1.aws.found.io/app/kibana#/discover/Steve-Slow-Train-Analysis-(2080s-and-2083s)?_g=(refreshInterval:(display:Off,pause:!f,section:0,value:0),time:(from:'2017-11-22T14:03:25-0700',mode:absolute,to:'2017-11-22T16:25:02-0700'))&amp;_a=(columns:!('Message%20ID',Summary),filters:!(),index:'emp_*',interval:auto,query:(query_string:(analyze_wildcard:!t,query:'%22rtdc.l.rtdc.4024%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230" t="s">
        <v>808</v>
      </c>
      <c r="B186" s="226">
        <v>4023</v>
      </c>
      <c r="C186" s="228" t="s">
        <v>192</v>
      </c>
      <c r="D186" s="228" t="s">
        <v>1070</v>
      </c>
      <c r="E186" s="227">
        <v>43061.644282407404</v>
      </c>
      <c r="F186" s="227">
        <v>43061.654768518521</v>
      </c>
      <c r="G186" s="226">
        <v>64</v>
      </c>
      <c r="H186" s="228" t="s">
        <v>1071</v>
      </c>
      <c r="I186" s="227">
        <v>43061.664155092592</v>
      </c>
      <c r="J186" s="226">
        <v>0</v>
      </c>
      <c r="K186" s="238" t="str">
        <f t="shared" si="80"/>
        <v>4023/4024</v>
      </c>
      <c r="L186" s="246" t="str">
        <f>VLOOKUP(A186,'Trips&amp;Operators'!$C$1:$G$99911,5,FALSE)</f>
        <v>LORI SANTOS</v>
      </c>
      <c r="M186" s="225">
        <f t="shared" si="81"/>
        <v>9.3865740709588863E-3</v>
      </c>
      <c r="N186" s="226">
        <f t="shared" si="103"/>
        <v>13.516666662180796</v>
      </c>
      <c r="O186" s="226"/>
      <c r="P186" s="226"/>
      <c r="Q186" s="229"/>
      <c r="R186" s="243"/>
      <c r="S186" s="250">
        <f t="shared" si="106"/>
        <v>1</v>
      </c>
      <c r="T186" s="243" t="str">
        <f t="shared" si="82"/>
        <v>Southbound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83"/>
        <v>https://d0f6bd738d7f1b3e5a7ca70fe4ff75f0.us-east-1.aws.found.io/app/kibana#/discover/Steve-Slow-Train-Analysis-(2080s-and-2083s)?_g=(refreshInterval:(display:Off,pause:!f,section:0,value:0),time:(from:'2017-11-22T14:27:46-0700',mode:absolute,to:'2017-11-22T16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6" s="248" t="str">
        <f>IF(AA186&lt;VLOOKUP(AG186,Variables!$AC$3:$AD$8,2,FALSE),"Y","N")</f>
        <v>N</v>
      </c>
      <c r="X186" s="248">
        <f t="shared" si="112"/>
        <v>1</v>
      </c>
      <c r="Y186" s="248">
        <f t="shared" si="113"/>
        <v>5.8635999999999999</v>
      </c>
      <c r="Z186" s="248">
        <f t="shared" si="114"/>
        <v>7.7499999999999999E-2</v>
      </c>
      <c r="AA186" s="248">
        <f t="shared" si="84"/>
        <v>5.7861000000000002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85"/>
        <v>826</v>
      </c>
      <c r="AE186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86" s="235" t="str">
        <f t="shared" si="87"/>
        <v>"C:\Program Files (x86)\AstroGrep\AstroGrep.exe" /e /r /s /spath="%USERPROFILE%\AppData\Local\Temp\OnboardLogs" /stypes="app*4023*20171122*" /stext=" 22:.+((SYSTEM_STATE.+slice.+state.+changed )|(ment ac)|(multiple cpu faults)|(system.+state.+changed )|(\[timeout)|(PRM\|1\|D)|(kpr)|(kdp)|(train st.+moving)|(\|lc)|(penalty))"</v>
      </c>
      <c r="AG186" s="245" t="str">
        <f t="shared" si="88"/>
        <v>NW</v>
      </c>
      <c r="AH186" s="237" t="str">
        <f t="shared" si="89"/>
        <v>"%USERPROFILE%\Documents\GitHub\eaglep3\Utilities\RefineRTDCRunTimes.py" --tripid 826-22 --locoid 4023 --swversion DE.1.0.9.0 --startMP 300:58636 --initTime 2017-11-22T15:27:46 --startdatetime 2017-11-22T15:42:52 --delay 64 --endMP 204:775 --enddatetime 2017-11-22T15:56:23 --enforcementcount 0 &gt;&gt;%USERPROFILE%\Documents\GitHub\eaglep3-reporting\EC\2017-11-22-refined-times.txt</v>
      </c>
      <c r="AI186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{"issue":{"subject":"","project_id":79,"tracker_id":40,"status_id":1,"priority_id":2,"assigned_to_id":338,"start_date":"2017-11-22","description":"","custom_fields":[{"id":1,"name":"Subdivision","value":"NW"},{"id":4,"name":"Milepost","value":"0.0775"},{"id":17,"name":"Train ID","value":"826-22"},{"id":16,"name":"Locomotive ID","value":"4023"},{"id":130,"name":"Impact","value":""},{"id":150,"name":"Time of Event (Mountain Time)","value":"15:56:23"},{"id":151,"name":"Denver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91"/>
        <v>start /low /b %USERPROFILE%\Documents\GitHub\eaglep3\Utilities\DownloadLogsFromS3.py --loco 4023 --day 2017-11-22</v>
      </c>
      <c r="AN186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93"/>
        <v>https://d0f6bd738d7f1b3e5a7ca70fe4ff75f0.us-east-1.aws.found.io/app/kibana#/discover/Steve-Slow-Train-Analysis-(2080s-and-2083s)?_g=(refreshInterval:(display:Off,pause:!f,section:0,value:0),time:(from:'2017-11-22T14:27:46-0700',mode:absolute,to:'2017-11-22T16:56:23-0700'))&amp;_a=(columns:!('Message%20ID',Summary),filters:!(),index:'emp_*',interval:auto,query:(query_string:(analyze_wildcard:!t,query:'%22rtdc.l.rtdc.4023%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230" t="s">
        <v>809</v>
      </c>
      <c r="B187" s="226">
        <v>4026</v>
      </c>
      <c r="C187" s="228" t="s">
        <v>192</v>
      </c>
      <c r="D187" s="228" t="s">
        <v>1072</v>
      </c>
      <c r="E187" s="227">
        <v>43061.649629629632</v>
      </c>
      <c r="F187" s="227">
        <v>43061.652372685188</v>
      </c>
      <c r="G187" s="226">
        <v>70</v>
      </c>
      <c r="H187" s="228" t="s">
        <v>1073</v>
      </c>
      <c r="I187" s="227">
        <v>43061.661979166667</v>
      </c>
      <c r="J187" s="226">
        <v>0</v>
      </c>
      <c r="K187" s="238" t="str">
        <f t="shared" si="80"/>
        <v>4025/4026</v>
      </c>
      <c r="L187" s="246" t="str">
        <f>VLOOKUP(A187,'Trips&amp;Operators'!$C$1:$G$99911,5,FALSE)</f>
        <v>STAMBAUGH JAMES</v>
      </c>
      <c r="M187" s="225">
        <f t="shared" si="81"/>
        <v>9.6064814788405783E-3</v>
      </c>
      <c r="N187" s="226">
        <f t="shared" si="103"/>
        <v>13.833333329530433</v>
      </c>
      <c r="O187" s="226"/>
      <c r="P187" s="226"/>
      <c r="Q187" s="229"/>
      <c r="R187" s="243"/>
      <c r="S187" s="250">
        <f t="shared" si="106"/>
        <v>1</v>
      </c>
      <c r="T187" s="243" t="str">
        <f t="shared" si="82"/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83"/>
        <v>https://d0f6bd738d7f1b3e5a7ca70fe4ff75f0.us-east-1.aws.found.io/app/kibana#/discover/Steve-Slow-Train-Analysis-(2080s-and-2083s)?_g=(refreshInterval:(display:Off,pause:!f,section:0,value:0),time:(from:'2017-11-22T14:35:28-0700',mode:absolute,to:'2017-11-22T16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7" s="248" t="str">
        <f>IF(AA187&lt;VLOOKUP(AG187,Variables!$AC$3:$AD$8,2,FALSE),"Y","N")</f>
        <v>N</v>
      </c>
      <c r="X187" s="248">
        <f t="shared" ref="X187:X220" si="115">VALUE(LEFT(AD187,4))-VALUE(LEFT(AD186,4))</f>
        <v>1</v>
      </c>
      <c r="Y187" s="248">
        <f t="shared" si="113"/>
        <v>9.74E-2</v>
      </c>
      <c r="Z187" s="248">
        <f t="shared" si="114"/>
        <v>5.8935000000000004</v>
      </c>
      <c r="AA187" s="248">
        <f t="shared" si="84"/>
        <v>5.7961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85"/>
        <v>827</v>
      </c>
      <c r="AE187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87" s="235" t="str">
        <f t="shared" si="87"/>
        <v>"C:\Program Files (x86)\AstroGrep\AstroGrep.exe" /e /r /s /spath="%USERPROFILE%\AppData\Local\Temp\OnboardLogs" /stypes="app*4026*20171122*" /stext=" 22:.+((SYSTEM_STATE.+slice.+state.+changed )|(ment ac)|(multiple cpu faults)|(system.+state.+changed )|(\[timeout)|(PRM\|1\|D)|(kpr)|(kdp)|(train st.+moving)|(\|lc)|(penalty))"</v>
      </c>
      <c r="AG187" s="245" t="str">
        <f t="shared" si="88"/>
        <v>NW</v>
      </c>
      <c r="AH187" s="237" t="str">
        <f t="shared" si="89"/>
        <v>"%USERPROFILE%\Documents\GitHub\eaglep3\Utilities\RefineRTDCRunTimes.py" --tripid 827-22 --locoid 4026 --swversion DE.1.0.9.0 --startMP 204:974 --initTime 2017-11-22T15:35:28 --startdatetime 2017-11-22T15:39:25 --delay 70 --endMP 300:58935 --enddatetime 2017-11-22T15:53:15 --enforcementcount 0 &gt;&gt;%USERPROFILE%\Documents\GitHub\eaglep3-reporting\EC\2017-11-22-refined-times.txt</v>
      </c>
      <c r="AI187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{"issue":{"subject":"","project_id":79,"tracker_id":40,"status_id":1,"priority_id":2,"assigned_to_id":338,"start_date":"2017-11-22","description":"","custom_fields":[{"id":1,"name":"Subdivision","value":"NW"},{"id":4,"name":"Milepost","value":"5.8935"},{"id":17,"name":"Train ID","value":"827-22"},{"id":16,"name":"Locomotive ID","value":"4026"},{"id":130,"name":"Impact","value":""},{"id":150,"name":"Time of Event (Mountain Time)","value":"15:53:15"},{"id":151,"name":"Denver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91"/>
        <v>start /low /b %USERPROFILE%\Documents\GitHub\eaglep3\Utilities\DownloadLogsFromS3.py --loco 4026 --day 2017-11-22</v>
      </c>
      <c r="AN187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22:53:15"},{"id":29,"name":"Sharepoint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93"/>
        <v>https://d0f6bd738d7f1b3e5a7ca70fe4ff75f0.us-east-1.aws.found.io/app/kibana#/discover/Steve-Slow-Train-Analysis-(2080s-and-2083s)?_g=(refreshInterval:(display:Off,pause:!f,section:0,value:0),time:(from:'2017-11-22T14:35:28-0700',mode:absolute,to:'2017-11-22T16:53:15-0700'))&amp;_a=(columns:!('Message%20ID',Summary),filters:!(),index:'emp_*',interval:auto,query:(query_string:(analyze_wildcard:!t,query:'%22rtdc.l.rtdc.4026%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30" t="s">
        <v>814</v>
      </c>
      <c r="B188" s="226">
        <v>4025</v>
      </c>
      <c r="C188" s="228" t="s">
        <v>192</v>
      </c>
      <c r="D188" s="228" t="s">
        <v>627</v>
      </c>
      <c r="E188" s="227">
        <v>43061.662951388891</v>
      </c>
      <c r="F188" s="227">
        <v>43061.675891203704</v>
      </c>
      <c r="G188" s="226">
        <v>60</v>
      </c>
      <c r="H188" s="228" t="s">
        <v>635</v>
      </c>
      <c r="I188" s="227">
        <v>43061.683819444443</v>
      </c>
      <c r="J188" s="226">
        <v>0</v>
      </c>
      <c r="K188" s="238" t="str">
        <f t="shared" si="80"/>
        <v>4025/4026</v>
      </c>
      <c r="L188" s="246" t="str">
        <f>VLOOKUP(A188,'Trips&amp;Operators'!$C$1:$G$99911,5,FALSE)</f>
        <v>STAMBAUGH JAMES</v>
      </c>
      <c r="M188" s="225">
        <f t="shared" si="81"/>
        <v>7.9282407386926934E-3</v>
      </c>
      <c r="N188" s="226">
        <f t="shared" si="103"/>
        <v>11.416666663717479</v>
      </c>
      <c r="O188" s="226"/>
      <c r="P188" s="226"/>
      <c r="Q188" s="229"/>
      <c r="R188" s="243"/>
      <c r="S188" s="250">
        <f t="shared" si="106"/>
        <v>1</v>
      </c>
      <c r="T188" s="243" t="str">
        <f t="shared" si="82"/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83"/>
        <v>https://d0f6bd738d7f1b3e5a7ca70fe4ff75f0.us-east-1.aws.found.io/app/kibana#/discover/Steve-Slow-Train-Analysis-(2080s-and-2083s)?_g=(refreshInterval:(display:Off,pause:!f,section:0,value:0),time:(from:'2017-11-22T14:54:39-0700',mode:absolute,to:'2017-11-22T17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248" t="str">
        <f>IF(AA188&lt;VLOOKUP(AG188,Variables!$AC$3:$AD$8,2,FALSE),"Y","N")</f>
        <v>N</v>
      </c>
      <c r="X188" s="248">
        <f t="shared" si="115"/>
        <v>1</v>
      </c>
      <c r="Y188" s="248">
        <f t="shared" si="113"/>
        <v>5.8615000000000004</v>
      </c>
      <c r="Z188" s="248">
        <f t="shared" si="114"/>
        <v>7.0099999999999996E-2</v>
      </c>
      <c r="AA188" s="248">
        <f t="shared" si="84"/>
        <v>5.7914000000000003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85"/>
        <v>828</v>
      </c>
      <c r="AE188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88" s="235" t="str">
        <f t="shared" si="87"/>
        <v>"C:\Program Files (x86)\AstroGrep\AstroGrep.exe" /e /r /s /spath="%USERPROFILE%\AppData\Local\Temp\OnboardLogs" /stypes="app*4025*20171122*" /stext=" 23:.+((SYSTEM_STATE.+slice.+state.+changed )|(ment ac)|(multiple cpu faults)|(system.+state.+changed )|(\[timeout)|(PRM\|1\|D)|(kpr)|(kdp)|(train st.+moving)|(\|lc)|(penalty))"</v>
      </c>
      <c r="AG188" s="245" t="str">
        <f t="shared" si="88"/>
        <v>NW</v>
      </c>
      <c r="AH188" s="237" t="str">
        <f t="shared" si="89"/>
        <v>"%USERPROFILE%\Documents\GitHub\eaglep3\Utilities\RefineRTDCRunTimes.py" --tripid 828-22 --locoid 4025 --swversion DE.1.0.9.0 --startMP 300:58615 --initTime 2017-11-22T15:54:39 --startdatetime 2017-11-22T16:13:17 --delay 60 --endMP 204:701 --enddatetime 2017-11-22T16:24:42 --enforcementcount 0 &gt;&gt;%USERPROFILE%\Documents\GitHub\eaglep3-reporting\EC\2017-11-22-refined-times.txt</v>
      </c>
      <c r="AI188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{"issue":{"subject":"","project_id":79,"tracker_id":40,"status_id":1,"priority_id":2,"assigned_to_id":338,"start_date":"2017-11-22","description":"","custom_fields":[{"id":1,"name":"Subdivision","value":"NW"},{"id":4,"name":"Milepost","value":"0.0701"},{"id":17,"name":"Train ID","value":"828-22"},{"id":16,"name":"Locomotive ID","value":"4025"},{"id":130,"name":"Impact","value":""},{"id":150,"name":"Time of Event (Mountain Time)","value":"16:24:42"},{"id":151,"name":"Denver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91"/>
        <v>start /low /b %USERPROFILE%\Documents\GitHub\eaglep3\Utilities\DownloadLogsFromS3.py --loco 4025 --day 2017-11-22</v>
      </c>
      <c r="AN188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93"/>
        <v>https://d0f6bd738d7f1b3e5a7ca70fe4ff75f0.us-east-1.aws.found.io/app/kibana#/discover/Steve-Slow-Train-Analysis-(2080s-and-2083s)?_g=(refreshInterval:(display:Off,pause:!f,section:0,value:0),time:(from:'2017-11-22T14:54:39-0700',mode:absolute,to:'2017-11-22T17:24:42-0700'))&amp;_a=(columns:!('Message%20ID',Summary),filters:!(),index:'emp_*',interval:auto,query:(query_string:(analyze_wildcard:!t,query:'%22rtdc.l.rtdc.4025%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30" t="s">
        <v>816</v>
      </c>
      <c r="B189" s="226">
        <v>4024</v>
      </c>
      <c r="C189" s="228" t="s">
        <v>192</v>
      </c>
      <c r="D189" s="228" t="s">
        <v>1074</v>
      </c>
      <c r="E189" s="227">
        <v>43061.669618055559</v>
      </c>
      <c r="F189" s="227">
        <v>43061.673379629632</v>
      </c>
      <c r="G189" s="226">
        <v>80</v>
      </c>
      <c r="H189" s="228" t="s">
        <v>628</v>
      </c>
      <c r="I189" s="227">
        <v>43061.684189814812</v>
      </c>
      <c r="J189" s="226">
        <v>0</v>
      </c>
      <c r="K189" s="238" t="str">
        <f t="shared" si="80"/>
        <v>4023/4024</v>
      </c>
      <c r="L189" s="246" t="str">
        <f>VLOOKUP(A189,'Trips&amp;Operators'!$C$1:$G$99911,5,FALSE)</f>
        <v>LORI SANTOS</v>
      </c>
      <c r="M189" s="225">
        <f t="shared" si="81"/>
        <v>1.081018518016208E-2</v>
      </c>
      <c r="N189" s="226">
        <f t="shared" si="103"/>
        <v>15.566666659433395</v>
      </c>
      <c r="O189" s="226"/>
      <c r="P189" s="226"/>
      <c r="Q189" s="229"/>
      <c r="R189" s="243"/>
      <c r="S189" s="250">
        <f t="shared" si="106"/>
        <v>1</v>
      </c>
      <c r="T189" s="243" t="str">
        <f t="shared" si="82"/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83"/>
        <v>https://d0f6bd738d7f1b3e5a7ca70fe4ff75f0.us-east-1.aws.found.io/app/kibana#/discover/Steve-Slow-Train-Analysis-(2080s-and-2083s)?_g=(refreshInterval:(display:Off,pause:!f,section:0,value:0),time:(from:'2017-11-22T15:04:15-0700',mode:absolute,to:'2017-11-22T17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89" s="248" t="str">
        <f>IF(AA189&lt;VLOOKUP(AG189,Variables!$AC$3:$AD$8,2,FALSE),"Y","N")</f>
        <v>N</v>
      </c>
      <c r="X189" s="248">
        <f t="shared" si="115"/>
        <v>1</v>
      </c>
      <c r="Y189" s="248">
        <f t="shared" si="113"/>
        <v>0.10929999999999999</v>
      </c>
      <c r="Z189" s="248">
        <f t="shared" si="114"/>
        <v>5.8964999999999996</v>
      </c>
      <c r="AA189" s="248">
        <f t="shared" si="84"/>
        <v>5.7871999999999995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85"/>
        <v>829</v>
      </c>
      <c r="AE189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89" s="235" t="str">
        <f t="shared" si="87"/>
        <v>"C:\Program Files (x86)\AstroGrep\AstroGrep.exe" /e /r /s /spath="%USERPROFILE%\AppData\Local\Temp\OnboardLogs" /stypes="app*4024*20171122*" /stext=" 23:.+((SYSTEM_STATE.+slice.+state.+changed )|(ment ac)|(multiple cpu faults)|(system.+state.+changed )|(\[timeout)|(PRM\|1\|D)|(kpr)|(kdp)|(train st.+moving)|(\|lc)|(penalty))"</v>
      </c>
      <c r="AG189" s="245" t="str">
        <f t="shared" si="88"/>
        <v>NW</v>
      </c>
      <c r="AH189" s="237" t="str">
        <f t="shared" si="89"/>
        <v>"%USERPROFILE%\Documents\GitHub\eaglep3\Utilities\RefineRTDCRunTimes.py" --tripid 829-22 --locoid 4024 --swversion DE.1.0.9.0 --startMP 204:1093 --initTime 2017-11-22T16:04:15 --startdatetime 2017-11-22T16:09:40 --delay 80 --endMP 300:58965 --enddatetime 2017-11-22T16:25:14 --enforcementcount 0 &gt;&gt;%USERPROFILE%\Documents\GitHub\eaglep3-reporting\EC\2017-11-22-refined-times.txt</v>
      </c>
      <c r="AI189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{"issue":{"subject":"","project_id":79,"tracker_id":40,"status_id":1,"priority_id":2,"assigned_to_id":338,"start_date":"2017-11-22","description":"","custom_fields":[{"id":1,"name":"Subdivision","value":"NW"},{"id":4,"name":"Milepost","value":"5.8965"},{"id":17,"name":"Train ID","value":"829-22"},{"id":16,"name":"Locomotive ID","value":"4024"},{"id":130,"name":"Impact","value":""},{"id":150,"name":"Time of Event (Mountain Time)","value":"16:25:14"},{"id":151,"name":"Denver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91"/>
        <v>start /low /b %USERPROFILE%\Documents\GitHub\eaglep3\Utilities\DownloadLogsFromS3.py --loco 4024 --day 2017-11-22</v>
      </c>
      <c r="AN189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93"/>
        <v>https://d0f6bd738d7f1b3e5a7ca70fe4ff75f0.us-east-1.aws.found.io/app/kibana#/discover/Steve-Slow-Train-Analysis-(2080s-and-2083s)?_g=(refreshInterval:(display:Off,pause:!f,section:0,value:0),time:(from:'2017-11-22T15:04:15-0700',mode:absolute,to:'2017-11-22T17:25:14-0700'))&amp;_a=(columns:!('Message%20ID',Summary),filters:!(),index:'emp_*',interval:auto,query:(query_string:(analyze_wildcard:!t,query:'%22rtdc.l.rtdc.4024%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30" t="s">
        <v>819</v>
      </c>
      <c r="B190" s="226">
        <v>4023</v>
      </c>
      <c r="C190" s="228" t="s">
        <v>192</v>
      </c>
      <c r="D190" s="228" t="s">
        <v>1046</v>
      </c>
      <c r="E190" s="227">
        <v>43061.685682870368</v>
      </c>
      <c r="F190" s="227">
        <v>43061.69736111111</v>
      </c>
      <c r="G190" s="226">
        <v>68</v>
      </c>
      <c r="H190" s="228" t="s">
        <v>1075</v>
      </c>
      <c r="I190" s="227">
        <v>43061.70684027778</v>
      </c>
      <c r="J190" s="226">
        <v>0</v>
      </c>
      <c r="K190" s="238" t="str">
        <f t="shared" si="80"/>
        <v>4023/4024</v>
      </c>
      <c r="L190" s="246" t="str">
        <f>VLOOKUP(A190,'Trips&amp;Operators'!$C$1:$G$99911,5,FALSE)</f>
        <v>LORI SANTOS</v>
      </c>
      <c r="M190" s="225">
        <f t="shared" si="81"/>
        <v>9.4791666706441902E-3</v>
      </c>
      <c r="N190" s="226">
        <f t="shared" si="103"/>
        <v>13.650000005727634</v>
      </c>
      <c r="O190" s="226"/>
      <c r="P190" s="226"/>
      <c r="Q190" s="229"/>
      <c r="R190" s="243"/>
      <c r="S190" s="250">
        <f t="shared" si="106"/>
        <v>1</v>
      </c>
      <c r="T190" s="243" t="str">
        <f t="shared" si="82"/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83"/>
        <v>https://d0f6bd738d7f1b3e5a7ca70fe4ff75f0.us-east-1.aws.found.io/app/kibana#/discover/Steve-Slow-Train-Analysis-(2080s-and-2083s)?_g=(refreshInterval:(display:Off,pause:!f,section:0,value:0),time:(from:'2017-11-22T15:27:23-0700',mode:absolute,to:'2017-11-22T17:57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0" s="248" t="str">
        <f>IF(AA190&lt;VLOOKUP(AG190,Variables!$AC$3:$AD$8,2,FALSE),"Y","N")</f>
        <v>N</v>
      </c>
      <c r="X190" s="248">
        <f t="shared" si="115"/>
        <v>1</v>
      </c>
      <c r="Y190" s="248">
        <f t="shared" si="113"/>
        <v>5.8643000000000001</v>
      </c>
      <c r="Z190" s="248">
        <f t="shared" si="114"/>
        <v>8.7300000000000003E-2</v>
      </c>
      <c r="AA190" s="248">
        <f t="shared" si="84"/>
        <v>5.7770000000000001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85"/>
        <v>830</v>
      </c>
      <c r="AE190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90" s="235" t="str">
        <f t="shared" si="87"/>
        <v>"C:\Program Files (x86)\AstroGrep\AstroGrep.exe" /e /r /s /spath="%USERPROFILE%\AppData\Local\Temp\OnboardLogs" /stypes="app*4023*20171122*" /stext=" 23:.+((SYSTEM_STATE.+slice.+state.+changed )|(ment ac)|(multiple cpu faults)|(system.+state.+changed )|(\[timeout)|(PRM\|1\|D)|(kpr)|(kdp)|(train st.+moving)|(\|lc)|(penalty))"</v>
      </c>
      <c r="AG190" s="245" t="str">
        <f t="shared" si="88"/>
        <v>NW</v>
      </c>
      <c r="AH190" s="237" t="str">
        <f t="shared" si="89"/>
        <v>"%USERPROFILE%\Documents\GitHub\eaglep3\Utilities\RefineRTDCRunTimes.py" --tripid 830-22 --locoid 4023 --swversion DE.1.0.9.0 --startMP 300:58643 --initTime 2017-11-22T16:27:23 --startdatetime 2017-11-22T16:44:12 --delay 68 --endMP 204:873 --enddatetime 2017-11-22T16:57:51 --enforcementcount 0 &gt;&gt;%USERPROFILE%\Documents\GitHub\eaglep3-reporting\EC\2017-11-22-refined-times.txt</v>
      </c>
      <c r="AI190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{"issue":{"subject":"","project_id":79,"tracker_id":40,"status_id":1,"priority_id":2,"assigned_to_id":338,"start_date":"2017-11-22","description":"","custom_fields":[{"id":1,"name":"Subdivision","value":"NW"},{"id":4,"name":"Milepost","value":"0.0873"},{"id":17,"name":"Train ID","value":"830-22"},{"id":16,"name":"Locomotive ID","value":"4023"},{"id":130,"name":"Impact","value":""},{"id":150,"name":"Time of Event (Mountain Time)","value":"16:57:51"},{"id":151,"name":"Denver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91"/>
        <v>start /low /b %USERPROFILE%\Documents\GitHub\eaglep3\Utilities\DownloadLogsFromS3.py --loco 4023 --day 2017-11-22</v>
      </c>
      <c r="AN190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23:57:51"},{"id":29,"name":"Sharepoint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93"/>
        <v>https://d0f6bd738d7f1b3e5a7ca70fe4ff75f0.us-east-1.aws.found.io/app/kibana#/discover/Steve-Slow-Train-Analysis-(2080s-and-2083s)?_g=(refreshInterval:(display:Off,pause:!f,section:0,value:0),time:(from:'2017-11-22T15:27:23-0700',mode:absolute,to:'2017-11-22T17:57:51-0700'))&amp;_a=(columns:!('Message%20ID',Summary),filters:!(),index:'emp_*',interval:auto,query:(query_string:(analyze_wildcard:!t,query:'%22rtdc.l.rtdc.4023%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30" t="s">
        <v>821</v>
      </c>
      <c r="B191" s="226">
        <v>4026</v>
      </c>
      <c r="C191" s="228" t="s">
        <v>192</v>
      </c>
      <c r="D191" s="228" t="s">
        <v>1076</v>
      </c>
      <c r="E191" s="227">
        <v>43061.691099537034</v>
      </c>
      <c r="F191" s="227">
        <v>43061.694074074076</v>
      </c>
      <c r="G191" s="226">
        <v>62</v>
      </c>
      <c r="H191" s="228" t="s">
        <v>1077</v>
      </c>
      <c r="I191" s="227">
        <v>43061.704571759263</v>
      </c>
      <c r="J191" s="226">
        <v>0</v>
      </c>
      <c r="K191" s="238" t="str">
        <f t="shared" si="80"/>
        <v>4025/4026</v>
      </c>
      <c r="L191" s="246" t="str">
        <f>VLOOKUP(A191,'Trips&amp;Operators'!$C$1:$G$99911,5,FALSE)</f>
        <v>STAMBAUGH JAMES</v>
      </c>
      <c r="M191" s="225">
        <f t="shared" si="81"/>
        <v>1.0497685187146999E-2</v>
      </c>
      <c r="N191" s="226">
        <f t="shared" si="103"/>
        <v>15.116666669491678</v>
      </c>
      <c r="O191" s="226"/>
      <c r="P191" s="226"/>
      <c r="Q191" s="229"/>
      <c r="R191" s="243"/>
      <c r="S191" s="250">
        <f t="shared" si="106"/>
        <v>1</v>
      </c>
      <c r="T191" s="243" t="str">
        <f t="shared" si="82"/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83"/>
        <v>https://d0f6bd738d7f1b3e5a7ca70fe4ff75f0.us-east-1.aws.found.io/app/kibana#/discover/Steve-Slow-Train-Analysis-(2080s-and-2083s)?_g=(refreshInterval:(display:Off,pause:!f,section:0,value:0),time:(from:'2017-11-22T15:35:11-0700',mode:absolute,to:'2017-11-22T17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1" s="248" t="str">
        <f>IF(AA191&lt;VLOOKUP(AG191,Variables!$AC$3:$AD$8,2,FALSE),"Y","N")</f>
        <v>N</v>
      </c>
      <c r="X191" s="248">
        <f t="shared" si="115"/>
        <v>1</v>
      </c>
      <c r="Y191" s="248">
        <f t="shared" si="113"/>
        <v>9.6199999999999994E-2</v>
      </c>
      <c r="Z191" s="248">
        <f t="shared" si="114"/>
        <v>5.8940999999999999</v>
      </c>
      <c r="AA191" s="248">
        <f t="shared" si="84"/>
        <v>5.7979000000000003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85"/>
        <v>831</v>
      </c>
      <c r="AE191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91" s="235" t="str">
        <f t="shared" si="87"/>
        <v>"C:\Program Files (x86)\AstroGrep\AstroGrep.exe" /e /r /s /spath="%USERPROFILE%\AppData\Local\Temp\OnboardLogs" /stypes="app*4026*20171122*" /stext=" 23:.+((SYSTEM_STATE.+slice.+state.+changed )|(ment ac)|(multiple cpu faults)|(system.+state.+changed )|(\[timeout)|(PRM\|1\|D)|(kpr)|(kdp)|(train st.+moving)|(\|lc)|(penalty))"</v>
      </c>
      <c r="AG191" s="245" t="str">
        <f t="shared" si="88"/>
        <v>NW</v>
      </c>
      <c r="AH191" s="237" t="str">
        <f t="shared" si="89"/>
        <v>"%USERPROFILE%\Documents\GitHub\eaglep3\Utilities\RefineRTDCRunTimes.py" --tripid 831-22 --locoid 4026 --swversion DE.1.0.9.0 --startMP 204:962 --initTime 2017-11-22T16:35:11 --startdatetime 2017-11-22T16:39:28 --delay 62 --endMP 300:58941 --enddatetime 2017-11-22T16:54:35 --enforcementcount 0 &gt;&gt;%USERPROFILE%\Documents\GitHub\eaglep3-reporting\EC\2017-11-22-refined-times.txt</v>
      </c>
      <c r="AI191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{"issue":{"subject":"","project_id":79,"tracker_id":40,"status_id":1,"priority_id":2,"assigned_to_id":338,"start_date":"2017-11-22","description":"","custom_fields":[{"id":1,"name":"Subdivision","value":"NW"},{"id":4,"name":"Milepost","value":"5.8941"},{"id":17,"name":"Train ID","value":"831-22"},{"id":16,"name":"Locomotive ID","value":"4026"},{"id":130,"name":"Impact","value":""},{"id":150,"name":"Time of Event (Mountain Time)","value":"16:54:35"},{"id":151,"name":"Denver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91"/>
        <v>start /low /b %USERPROFILE%\Documents\GitHub\eaglep3\Utilities\DownloadLogsFromS3.py --loco 4026 --day 2017-11-22</v>
      </c>
      <c r="AN191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93"/>
        <v>https://d0f6bd738d7f1b3e5a7ca70fe4ff75f0.us-east-1.aws.found.io/app/kibana#/discover/Steve-Slow-Train-Analysis-(2080s-and-2083s)?_g=(refreshInterval:(display:Off,pause:!f,section:0,value:0),time:(from:'2017-11-22T15:35:11-0700',mode:absolute,to:'2017-11-22T17:54:35-0700'))&amp;_a=(columns:!('Message%20ID',Summary),filters:!(),index:'emp_*',interval:auto,query:(query_string:(analyze_wildcard:!t,query:'%22rtdc.l.rtdc.4026%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30" t="s">
        <v>825</v>
      </c>
      <c r="B192" s="226">
        <v>4025</v>
      </c>
      <c r="C192" s="228" t="s">
        <v>192</v>
      </c>
      <c r="D192" s="228" t="s">
        <v>501</v>
      </c>
      <c r="E192" s="227">
        <v>43061.705590277779</v>
      </c>
      <c r="F192" s="227">
        <v>43061.716886574075</v>
      </c>
      <c r="G192" s="226">
        <v>50</v>
      </c>
      <c r="H192" s="228" t="s">
        <v>633</v>
      </c>
      <c r="I192" s="227">
        <v>43061.725300925929</v>
      </c>
      <c r="J192" s="226">
        <v>0</v>
      </c>
      <c r="K192" s="238" t="str">
        <f t="shared" si="80"/>
        <v>4025/4026</v>
      </c>
      <c r="L192" s="246" t="str">
        <f>VLOOKUP(A192,'Trips&amp;Operators'!$C$1:$G$99911,5,FALSE)</f>
        <v>STAMBAUGH JAMES</v>
      </c>
      <c r="M192" s="225">
        <f t="shared" si="81"/>
        <v>8.4143518542987294E-3</v>
      </c>
      <c r="N192" s="226">
        <f t="shared" si="103"/>
        <v>12.11666667019017</v>
      </c>
      <c r="O192" s="226"/>
      <c r="P192" s="226"/>
      <c r="Q192" s="229"/>
      <c r="R192" s="243"/>
      <c r="S192" s="250">
        <f t="shared" si="106"/>
        <v>1</v>
      </c>
      <c r="T192" s="243" t="str">
        <f t="shared" si="82"/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83"/>
        <v>https://d0f6bd738d7f1b3e5a7ca70fe4ff75f0.us-east-1.aws.found.io/app/kibana#/discover/Steve-Slow-Train-Analysis-(2080s-and-2083s)?_g=(refreshInterval:(display:Off,pause:!f,section:0,value:0),time:(from:'2017-11-22T15:56:03-0700',mode:absolute,to:'2017-11-22T18:24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248" t="str">
        <f>IF(AA192&lt;VLOOKUP(AG192,Variables!$AC$3:$AD$8,2,FALSE),"Y","N")</f>
        <v>N</v>
      </c>
      <c r="X192" s="248">
        <f t="shared" si="115"/>
        <v>1</v>
      </c>
      <c r="Y192" s="248">
        <f t="shared" si="113"/>
        <v>5.8624000000000001</v>
      </c>
      <c r="Z192" s="248">
        <f t="shared" si="114"/>
        <v>6.8400000000000002E-2</v>
      </c>
      <c r="AA192" s="248">
        <f t="shared" si="84"/>
        <v>5.7940000000000005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85"/>
        <v>832</v>
      </c>
      <c r="AE192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92" s="235" t="str">
        <f t="shared" si="87"/>
        <v>"C:\Program Files (x86)\AstroGrep\AstroGrep.exe" /e /r /s /spath="%USERPROFILE%\AppData\Local\Temp\OnboardLogs" /stypes="app*4025*20171123*" /stext=" 00:.+((SYSTEM_STATE.+slice.+state.+changed )|(ment ac)|(multiple cpu faults)|(system.+state.+changed )|(\[timeout)|(PRM\|1\|D)|(kpr)|(kdp)|(train st.+moving)|(\|lc)|(penalty))"</v>
      </c>
      <c r="AG192" s="245" t="str">
        <f t="shared" si="88"/>
        <v>NW</v>
      </c>
      <c r="AH192" s="237" t="str">
        <f t="shared" si="89"/>
        <v>"%USERPROFILE%\Documents\GitHub\eaglep3\Utilities\RefineRTDCRunTimes.py" --tripid 832-22 --locoid 4025 --swversion DE.1.0.9.0 --startMP 300:58624 --initTime 2017-11-22T16:56:03 --startdatetime 2017-11-22T17:12:19 --delay 50 --endMP 204:684 --enddatetime 2017-11-22T17:24:26 --enforcementcount 0 &gt;&gt;%USERPROFILE%\Documents\GitHub\eaglep3-reporting\EC\2017-11-22-refined-times.txt</v>
      </c>
      <c r="AI192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{"issue":{"subject":"","project_id":79,"tracker_id":40,"status_id":1,"priority_id":2,"assigned_to_id":338,"start_date":"2017-11-22","description":"","custom_fields":[{"id":1,"name":"Subdivision","value":"NW"},{"id":4,"name":"Milepost","value":"0.0684"},{"id":17,"name":"Train ID","value":"832-22"},{"id":16,"name":"Locomotive ID","value":"4025"},{"id":130,"name":"Impact","value":""},{"id":150,"name":"Time of Event (Mountain Time)","value":"17:24:26"},{"id":151,"name":"Denver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91"/>
        <v>start /low /b %USERPROFILE%\Documents\GitHub\eaglep3\Utilities\DownloadLogsFromS3.py --loco 4025 --day 2017-11-22</v>
      </c>
      <c r="AN192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93"/>
        <v>https://d0f6bd738d7f1b3e5a7ca70fe4ff75f0.us-east-1.aws.found.io/app/kibana#/discover/Steve-Slow-Train-Analysis-(2080s-and-2083s)?_g=(refreshInterval:(display:Off,pause:!f,section:0,value:0),time:(from:'2017-11-22T15:56:03-0700',mode:absolute,to:'2017-11-22T18:24:26-0700'))&amp;_a=(columns:!('Message%20ID',Summary),filters:!(),index:'emp_*',interval:auto,query:(query_string:(analyze_wildcard:!t,query:'%22rtdc.l.rtdc.4025%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30" t="s">
        <v>826</v>
      </c>
      <c r="B193" s="226">
        <v>4024</v>
      </c>
      <c r="C193" s="228" t="s">
        <v>192</v>
      </c>
      <c r="D193" s="228" t="s">
        <v>1048</v>
      </c>
      <c r="E193" s="227">
        <v>43061.709606481483</v>
      </c>
      <c r="F193" s="227">
        <v>43061.715046296296</v>
      </c>
      <c r="G193" s="226">
        <v>96</v>
      </c>
      <c r="H193" s="228" t="s">
        <v>632</v>
      </c>
      <c r="I193" s="227">
        <v>43061.726631944446</v>
      </c>
      <c r="J193" s="226">
        <v>0</v>
      </c>
      <c r="K193" s="238" t="str">
        <f t="shared" si="80"/>
        <v>4023/4024</v>
      </c>
      <c r="L193" s="246" t="str">
        <f>VLOOKUP(A193,'Trips&amp;Operators'!$C$1:$G$99911,5,FALSE)</f>
        <v>LORI SANTOS</v>
      </c>
      <c r="M193" s="225">
        <f t="shared" si="81"/>
        <v>1.1585648149775807E-2</v>
      </c>
      <c r="N193" s="226">
        <f t="shared" si="103"/>
        <v>16.683333335677162</v>
      </c>
      <c r="O193" s="226"/>
      <c r="P193" s="226"/>
      <c r="Q193" s="229"/>
      <c r="R193" s="243"/>
      <c r="S193" s="250">
        <f t="shared" si="106"/>
        <v>1</v>
      </c>
      <c r="T193" s="243" t="str">
        <f t="shared" si="82"/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83"/>
        <v>https://d0f6bd738d7f1b3e5a7ca70fe4ff75f0.us-east-1.aws.found.io/app/kibana#/discover/Steve-Slow-Train-Analysis-(2080s-and-2083s)?_g=(refreshInterval:(display:Off,pause:!f,section:0,value:0),time:(from:'2017-11-22T16:01:50-0700',mode:absolute,to:'2017-11-22T18:26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3" s="248" t="str">
        <f>IF(AA193&lt;VLOOKUP(AG193,Variables!$AC$3:$AD$8,2,FALSE),"Y","N")</f>
        <v>N</v>
      </c>
      <c r="X193" s="248">
        <f t="shared" si="115"/>
        <v>1</v>
      </c>
      <c r="Y193" s="248">
        <f t="shared" si="113"/>
        <v>0.11609999999999999</v>
      </c>
      <c r="Z193" s="248">
        <f t="shared" si="114"/>
        <v>5.8936999999999999</v>
      </c>
      <c r="AA193" s="248">
        <f t="shared" si="84"/>
        <v>5.7775999999999996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85"/>
        <v>833</v>
      </c>
      <c r="AE193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93" s="235" t="str">
        <f t="shared" si="87"/>
        <v>"C:\Program Files (x86)\AstroGrep\AstroGrep.exe" /e /r /s /spath="%USERPROFILE%\AppData\Local\Temp\OnboardLogs" /stypes="app*4024*20171123*" /stext=" 00:.+((SYSTEM_STATE.+slice.+state.+changed )|(ment ac)|(multiple cpu faults)|(system.+state.+changed )|(\[timeout)|(PRM\|1\|D)|(kpr)|(kdp)|(train st.+moving)|(\|lc)|(penalty))"</v>
      </c>
      <c r="AG193" s="245" t="str">
        <f t="shared" si="88"/>
        <v>NW</v>
      </c>
      <c r="AH193" s="237" t="str">
        <f t="shared" si="89"/>
        <v>"%USERPROFILE%\Documents\GitHub\eaglep3\Utilities\RefineRTDCRunTimes.py" --tripid 833-22 --locoid 4024 --swversion DE.1.0.9.0 --startMP 204:1161 --initTime 2017-11-22T17:01:50 --startdatetime 2017-11-22T17:09:40 --delay 96 --endMP 300:58937 --enddatetime 2017-11-22T17:26:21 --enforcementcount 0 &gt;&gt;%USERPROFILE%\Documents\GitHub\eaglep3-reporting\EC\2017-11-22-refined-times.txt</v>
      </c>
      <c r="AI193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{"issue":{"subject":"","project_id":79,"tracker_id":40,"status_id":1,"priority_id":2,"assigned_to_id":338,"start_date":"2017-11-22","description":"","custom_fields":[{"id":1,"name":"Subdivision","value":"NW"},{"id":4,"name":"Milepost","value":"5.8937"},{"id":17,"name":"Train ID","value":"833-22"},{"id":16,"name":"Locomotive ID","value":"4024"},{"id":130,"name":"Impact","value":""},{"id":150,"name":"Time of Event (Mountain Time)","value":"17:26:21"},{"id":151,"name":"Denver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91"/>
        <v>start /low /b %USERPROFILE%\Documents\GitHub\eaglep3\Utilities\DownloadLogsFromS3.py --loco 4024 --day 2017-11-22</v>
      </c>
      <c r="AN193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93"/>
        <v>https://d0f6bd738d7f1b3e5a7ca70fe4ff75f0.us-east-1.aws.found.io/app/kibana#/discover/Steve-Slow-Train-Analysis-(2080s-and-2083s)?_g=(refreshInterval:(display:Off,pause:!f,section:0,value:0),time:(from:'2017-11-22T16:01:50-0700',mode:absolute,to:'2017-11-22T18:26:21-0700'))&amp;_a=(columns:!('Message%20ID',Summary),filters:!(),index:'emp_*',interval:auto,query:(query_string:(analyze_wildcard:!t,query:'%22rtdc.l.rtdc.4024%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30" t="s">
        <v>832</v>
      </c>
      <c r="B194" s="226">
        <v>4023</v>
      </c>
      <c r="C194" s="228" t="s">
        <v>192</v>
      </c>
      <c r="D194" s="228" t="s">
        <v>1078</v>
      </c>
      <c r="E194" s="227">
        <v>43061.728437500002</v>
      </c>
      <c r="F194" s="227">
        <v>43061.738171296296</v>
      </c>
      <c r="G194" s="226">
        <v>109</v>
      </c>
      <c r="H194" s="228" t="s">
        <v>1075</v>
      </c>
      <c r="I194" s="227">
        <v>43061.747303240743</v>
      </c>
      <c r="J194" s="226">
        <v>0</v>
      </c>
      <c r="K194" s="238" t="str">
        <f t="shared" si="80"/>
        <v>4023/4024</v>
      </c>
      <c r="L194" s="246" t="str">
        <f>VLOOKUP(A194,'Trips&amp;Operators'!$C$1:$G$99911,5,FALSE)</f>
        <v>LORI SANTOS</v>
      </c>
      <c r="M194" s="225">
        <f t="shared" si="81"/>
        <v>9.1319444472901523E-3</v>
      </c>
      <c r="N194" s="226">
        <f t="shared" si="103"/>
        <v>13.150000004097819</v>
      </c>
      <c r="O194" s="226"/>
      <c r="P194" s="226"/>
      <c r="Q194" s="229"/>
      <c r="R194" s="243"/>
      <c r="S194" s="250">
        <f t="shared" si="106"/>
        <v>1</v>
      </c>
      <c r="T194" s="243" t="str">
        <f t="shared" si="82"/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83"/>
        <v>https://d0f6bd738d7f1b3e5a7ca70fe4ff75f0.us-east-1.aws.found.io/app/kibana#/discover/Steve-Slow-Train-Analysis-(2080s-and-2083s)?_g=(refreshInterval:(display:Off,pause:!f,section:0,value:0),time:(from:'2017-11-22T16:28:57-0700',mode:absolute,to:'2017-11-22T18:56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4" s="248" t="str">
        <f>IF(AA194&lt;VLOOKUP(AG194,Variables!$AC$3:$AD$8,2,FALSE),"Y","N")</f>
        <v>N</v>
      </c>
      <c r="X194" s="248">
        <f t="shared" si="115"/>
        <v>1</v>
      </c>
      <c r="Y194" s="248">
        <f t="shared" si="113"/>
        <v>5.8630000000000004</v>
      </c>
      <c r="Z194" s="248">
        <f t="shared" si="114"/>
        <v>8.7300000000000003E-2</v>
      </c>
      <c r="AA194" s="248">
        <f t="shared" si="84"/>
        <v>5.7757000000000005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85"/>
        <v>834</v>
      </c>
      <c r="AE194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94" s="235" t="str">
        <f t="shared" si="87"/>
        <v>"C:\Program Files (x86)\AstroGrep\AstroGrep.exe" /e /r /s /spath="%USERPROFILE%\AppData\Local\Temp\OnboardLogs" /stypes="app*4023*20171123*" /stext=" 00:.+((SYSTEM_STATE.+slice.+state.+changed )|(ment ac)|(multiple cpu faults)|(system.+state.+changed )|(\[timeout)|(PRM\|1\|D)|(kpr)|(kdp)|(train st.+moving)|(\|lc)|(penalty))"</v>
      </c>
      <c r="AG194" s="245" t="str">
        <f t="shared" si="88"/>
        <v>NW</v>
      </c>
      <c r="AH194" s="237" t="str">
        <f t="shared" si="89"/>
        <v>"%USERPROFILE%\Documents\GitHub\eaglep3\Utilities\RefineRTDCRunTimes.py" --tripid 834-22 --locoid 4023 --swversion DE.1.0.9.0 --startMP 300:58630 --initTime 2017-11-22T17:28:57 --startdatetime 2017-11-22T17:42:58 --delay 109 --endMP 204:873 --enddatetime 2017-11-22T17:56:07 --enforcementcount 0 &gt;&gt;%USERPROFILE%\Documents\GitHub\eaglep3-reporting\EC\2017-11-22-refined-times.txt</v>
      </c>
      <c r="AI194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{"issue":{"subject":"","project_id":79,"tracker_id":40,"status_id":1,"priority_id":2,"assigned_to_id":338,"start_date":"2017-11-22","description":"","custom_fields":[{"id":1,"name":"Subdivision","value":"NW"},{"id":4,"name":"Milepost","value":"0.0873"},{"id":17,"name":"Train ID","value":"834-22"},{"id":16,"name":"Locomotive ID","value":"4023"},{"id":130,"name":"Impact","value":""},{"id":150,"name":"Time of Event (Mountain Time)","value":"17:56:07"},{"id":151,"name":"Denver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91"/>
        <v>start /low /b %USERPROFILE%\Documents\GitHub\eaglep3\Utilities\DownloadLogsFromS3.py --loco 4023 --day 2017-11-22</v>
      </c>
      <c r="AN194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93"/>
        <v>https://d0f6bd738d7f1b3e5a7ca70fe4ff75f0.us-east-1.aws.found.io/app/kibana#/discover/Steve-Slow-Train-Analysis-(2080s-and-2083s)?_g=(refreshInterval:(display:Off,pause:!f,section:0,value:0),time:(from:'2017-11-22T16:28:57-0700',mode:absolute,to:'2017-11-22T18:56:07-0700'))&amp;_a=(columns:!('Message%20ID',Summary),filters:!(),index:'emp_*',interval:auto,query:(query_string:(analyze_wildcard:!t,query:'%22rtdc.l.rtdc.4023%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30" t="s">
        <v>834</v>
      </c>
      <c r="B195" s="226">
        <v>4026</v>
      </c>
      <c r="C195" s="228" t="s">
        <v>192</v>
      </c>
      <c r="D195" s="228" t="s">
        <v>1079</v>
      </c>
      <c r="E195" s="227">
        <v>43061.733969907407</v>
      </c>
      <c r="F195" s="227">
        <v>43061.735601851855</v>
      </c>
      <c r="G195" s="226">
        <v>70</v>
      </c>
      <c r="H195" s="228" t="s">
        <v>637</v>
      </c>
      <c r="I195" s="227">
        <v>43061.745092592595</v>
      </c>
      <c r="J195" s="226">
        <v>0</v>
      </c>
      <c r="K195" s="238" t="str">
        <f t="shared" si="80"/>
        <v>4025/4026</v>
      </c>
      <c r="L195" s="246" t="str">
        <f>VLOOKUP(A195,'Trips&amp;Operators'!$C$1:$G$99911,5,FALSE)</f>
        <v>STAMBAUGH JAMES</v>
      </c>
      <c r="M195" s="225">
        <f t="shared" si="81"/>
        <v>9.4907407401478849E-3</v>
      </c>
      <c r="N195" s="226">
        <f t="shared" si="103"/>
        <v>13.666666665812954</v>
      </c>
      <c r="O195" s="226"/>
      <c r="P195" s="226"/>
      <c r="Q195" s="229"/>
      <c r="R195" s="243"/>
      <c r="S195" s="250">
        <f t="shared" si="106"/>
        <v>1</v>
      </c>
      <c r="T195" s="243" t="str">
        <f t="shared" si="82"/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83"/>
        <v>https://d0f6bd738d7f1b3e5a7ca70fe4ff75f0.us-east-1.aws.found.io/app/kibana#/discover/Steve-Slow-Train-Analysis-(2080s-and-2083s)?_g=(refreshInterval:(display:Off,pause:!f,section:0,value:0),time:(from:'2017-11-22T16:36:55-0700',mode:absolute,to:'2017-11-22T18:52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5" s="248" t="str">
        <f>IF(AA195&lt;VLOOKUP(AG195,Variables!$AC$3:$AD$8,2,FALSE),"Y","N")</f>
        <v>N</v>
      </c>
      <c r="X195" s="248">
        <f t="shared" si="115"/>
        <v>1</v>
      </c>
      <c r="Y195" s="248">
        <f t="shared" si="113"/>
        <v>9.7100000000000006E-2</v>
      </c>
      <c r="Z195" s="248">
        <f t="shared" si="114"/>
        <v>5.8929</v>
      </c>
      <c r="AA195" s="248">
        <f t="shared" si="84"/>
        <v>5.7957999999999998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85"/>
        <v>835</v>
      </c>
      <c r="AE195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95" s="235" t="str">
        <f t="shared" si="87"/>
        <v>"C:\Program Files (x86)\AstroGrep\AstroGrep.exe" /e /r /s /spath="%USERPROFILE%\AppData\Local\Temp\OnboardLogs" /stypes="app*4026*20171123*" /stext=" 00:.+((SYSTEM_STATE.+slice.+state.+changed )|(ment ac)|(multiple cpu faults)|(system.+state.+changed )|(\[timeout)|(PRM\|1\|D)|(kpr)|(kdp)|(train st.+moving)|(\|lc)|(penalty))"</v>
      </c>
      <c r="AG195" s="245" t="str">
        <f t="shared" si="88"/>
        <v>NW</v>
      </c>
      <c r="AH195" s="237" t="str">
        <f t="shared" si="89"/>
        <v>"%USERPROFILE%\Documents\GitHub\eaglep3\Utilities\RefineRTDCRunTimes.py" --tripid 835-22 --locoid 4026 --swversion DE.1.0.9.0 --startMP 204:971 --initTime 2017-11-22T17:36:55 --startdatetime 2017-11-22T17:39:16 --delay 70 --endMP 300:58929 --enddatetime 2017-11-22T17:52:56 --enforcementcount 0 &gt;&gt;%USERPROFILE%\Documents\GitHub\eaglep3-reporting\EC\2017-11-22-refined-times.txt</v>
      </c>
      <c r="AI195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{"issue":{"subject":"","project_id":79,"tracker_id":40,"status_id":1,"priority_id":2,"assigned_to_id":338,"start_date":"2017-11-22","description":"","custom_fields":[{"id":1,"name":"Subdivision","value":"NW"},{"id":4,"name":"Milepost","value":"5.8929"},{"id":17,"name":"Train ID","value":"835-22"},{"id":16,"name":"Locomotive ID","value":"4026"},{"id":130,"name":"Impact","value":""},{"id":150,"name":"Time of Event (Mountain Time)","value":"17:52:56"},{"id":151,"name":"Denver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91"/>
        <v>start /low /b %USERPROFILE%\Documents\GitHub\eaglep3\Utilities\DownloadLogsFromS3.py --loco 4026 --day 2017-11-22</v>
      </c>
      <c r="AN195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00:52:56"},{"id":29,"name":"Sharepoint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93"/>
        <v>https://d0f6bd738d7f1b3e5a7ca70fe4ff75f0.us-east-1.aws.found.io/app/kibana#/discover/Steve-Slow-Train-Analysis-(2080s-and-2083s)?_g=(refreshInterval:(display:Off,pause:!f,section:0,value:0),time:(from:'2017-11-22T16:36:55-0700',mode:absolute,to:'2017-11-22T18:52:56-0700'))&amp;_a=(columns:!('Message%20ID',Summary),filters:!(),index:'emp_*',interval:auto,query:(query_string:(analyze_wildcard:!t,query:'%22rtdc.l.rtdc.4026%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30" t="s">
        <v>838</v>
      </c>
      <c r="B196" s="226">
        <v>4025</v>
      </c>
      <c r="C196" s="228" t="s">
        <v>192</v>
      </c>
      <c r="D196" s="228" t="s">
        <v>1080</v>
      </c>
      <c r="E196" s="227">
        <v>43061.745937500003</v>
      </c>
      <c r="F196" s="227">
        <v>43061.758773148147</v>
      </c>
      <c r="G196" s="226">
        <v>58</v>
      </c>
      <c r="H196" s="228" t="s">
        <v>1081</v>
      </c>
      <c r="I196" s="227">
        <v>43061.766840277778</v>
      </c>
      <c r="J196" s="226">
        <v>0</v>
      </c>
      <c r="K196" s="238" t="str">
        <f t="shared" si="80"/>
        <v>4025/4026</v>
      </c>
      <c r="L196" s="246" t="str">
        <f>VLOOKUP(A196,'Trips&amp;Operators'!$C$1:$G$99911,5,FALSE)</f>
        <v>STAMBAUGH JAMES</v>
      </c>
      <c r="M196" s="225">
        <f t="shared" si="81"/>
        <v>8.0671296309446916E-3</v>
      </c>
      <c r="N196" s="226">
        <f t="shared" ref="N196:N229" si="116">24*60*SUM($M196:$M196)</f>
        <v>11.616666668560356</v>
      </c>
      <c r="O196" s="226"/>
      <c r="P196" s="226"/>
      <c r="Q196" s="229"/>
      <c r="R196" s="243"/>
      <c r="S196" s="250">
        <f t="shared" si="106"/>
        <v>1</v>
      </c>
      <c r="T196" s="243" t="str">
        <f t="shared" si="82"/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83"/>
        <v>https://d0f6bd738d7f1b3e5a7ca70fe4ff75f0.us-east-1.aws.found.io/app/kibana#/discover/Steve-Slow-Train-Analysis-(2080s-and-2083s)?_g=(refreshInterval:(display:Off,pause:!f,section:0,value:0),time:(from:'2017-11-22T16:54:09-0700',mode:absolute,to:'2017-11-22T19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248" t="str">
        <f>IF(AA196&lt;VLOOKUP(AG196,Variables!$AC$3:$AD$8,2,FALSE),"Y","N")</f>
        <v>N</v>
      </c>
      <c r="X196" s="248">
        <f t="shared" si="115"/>
        <v>1</v>
      </c>
      <c r="Y196" s="248">
        <f t="shared" si="113"/>
        <v>5.8608000000000002</v>
      </c>
      <c r="Z196" s="248">
        <f t="shared" si="114"/>
        <v>7.1199999999999999E-2</v>
      </c>
      <c r="AA196" s="248">
        <f t="shared" si="84"/>
        <v>5.7896000000000001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85"/>
        <v>836</v>
      </c>
      <c r="AE196" s="236" t="str">
        <f t="shared" si="86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196" s="235" t="str">
        <f t="shared" si="87"/>
        <v>"C:\Program Files (x86)\AstroGrep\AstroGrep.exe" /e /r /s /spath="%USERPROFILE%\AppData\Local\Temp\OnboardLogs" /stypes="app*4025*20171123*" /stext=" 01:.+((SYSTEM_STATE.+slice.+state.+changed )|(ment ac)|(multiple cpu faults)|(system.+state.+changed )|(\[timeout)|(PRM\|1\|D)|(kpr)|(kdp)|(train st.+moving)|(\|lc)|(penalty))"</v>
      </c>
      <c r="AG196" s="245" t="str">
        <f t="shared" si="88"/>
        <v>NW</v>
      </c>
      <c r="AH196" s="237" t="str">
        <f t="shared" si="89"/>
        <v>"%USERPROFILE%\Documents\GitHub\eaglep3\Utilities\RefineRTDCRunTimes.py" --tripid 836-22 --locoid 4025 --swversion DE.1.0.9.0 --startMP 300:58608 --initTime 2017-11-22T17:54:09 --startdatetime 2017-11-22T18:12:38 --delay 58 --endMP 204:712 --enddatetime 2017-11-22T18:24:15 --enforcementcount 0 &gt;&gt;%USERPROFILE%\Documents\GitHub\eaglep3-reporting\EC\2017-11-22-refined-times.txt</v>
      </c>
      <c r="AI196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{"issue":{"subject":"","project_id":79,"tracker_id":40,"status_id":1,"priority_id":2,"assigned_to_id":338,"start_date":"2017-11-22","description":"","custom_fields":[{"id":1,"name":"Subdivision","value":"NW"},{"id":4,"name":"Milepost","value":"0.0712"},{"id":17,"name":"Train ID","value":"836-22"},{"id":16,"name":"Locomotive ID","value":"4025"},{"id":130,"name":"Impact","value":""},{"id":150,"name":"Time of Event (Mountain Time)","value":"18:24:15"},{"id":151,"name":"Denver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91"/>
        <v>start /low /b %USERPROFILE%\Documents\GitHub\eaglep3\Utilities\DownloadLogsFromS3.py --loco 4025 --day 2017-11-22</v>
      </c>
      <c r="AN196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01:24:15"},{"id":29,"name":"Sharepoint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93"/>
        <v>https://d0f6bd738d7f1b3e5a7ca70fe4ff75f0.us-east-1.aws.found.io/app/kibana#/discover/Steve-Slow-Train-Analysis-(2080s-and-2083s)?_g=(refreshInterval:(display:Off,pause:!f,section:0,value:0),time:(from:'2017-11-22T16:54:09-0700',mode:absolute,to:'2017-11-22T19:24:15-0700'))&amp;_a=(columns:!('Message%20ID',Summary),filters:!(),index:'emp_*',interval:auto,query:(query_string:(analyze_wildcard:!t,query:'%22rtdc.l.rtdc.4025%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30" t="s">
        <v>841</v>
      </c>
      <c r="B197" s="226">
        <v>4024</v>
      </c>
      <c r="C197" s="228" t="s">
        <v>192</v>
      </c>
      <c r="D197" s="228" t="s">
        <v>1082</v>
      </c>
      <c r="E197" s="227">
        <v>43061.75203703704</v>
      </c>
      <c r="F197" s="227">
        <v>43061.756504629629</v>
      </c>
      <c r="G197" s="226">
        <v>105</v>
      </c>
      <c r="H197" s="228" t="s">
        <v>523</v>
      </c>
      <c r="I197" s="227">
        <v>43061.767939814818</v>
      </c>
      <c r="J197" s="226">
        <v>0</v>
      </c>
      <c r="K197" s="238" t="str">
        <f t="shared" si="80"/>
        <v>4023/4024</v>
      </c>
      <c r="L197" s="246" t="str">
        <f>VLOOKUP(A197,'Trips&amp;Operators'!$C$1:$G$99911,5,FALSE)</f>
        <v>LORI SANTOS</v>
      </c>
      <c r="M197" s="225">
        <f t="shared" si="81"/>
        <v>1.1435185188020114E-2</v>
      </c>
      <c r="N197" s="226">
        <f t="shared" si="116"/>
        <v>16.466666670748964</v>
      </c>
      <c r="O197" s="226"/>
      <c r="P197" s="226"/>
      <c r="Q197" s="229"/>
      <c r="R197" s="243"/>
      <c r="S197" s="250">
        <f t="shared" si="106"/>
        <v>1</v>
      </c>
      <c r="T197" s="243" t="str">
        <f t="shared" si="82"/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83"/>
        <v>https://d0f6bd738d7f1b3e5a7ca70fe4ff75f0.us-east-1.aws.found.io/app/kibana#/discover/Steve-Slow-Train-Analysis-(2080s-and-2083s)?_g=(refreshInterval:(display:Off,pause:!f,section:0,value:0),time:(from:'2017-11-22T17:02:56-0700',mode:absolute,to:'2017-11-22T19:25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7" s="248" t="str">
        <f>IF(AA197&lt;VLOOKUP(AG197,Variables!$AC$3:$AD$8,2,FALSE),"Y","N")</f>
        <v>N</v>
      </c>
      <c r="X197" s="248">
        <f t="shared" si="115"/>
        <v>1</v>
      </c>
      <c r="Y197" s="248">
        <f t="shared" si="113"/>
        <v>0.1168</v>
      </c>
      <c r="Z197" s="248">
        <f t="shared" si="114"/>
        <v>5.8949999999999996</v>
      </c>
      <c r="AA197" s="248">
        <f t="shared" si="84"/>
        <v>5.7782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85"/>
        <v>837</v>
      </c>
      <c r="AE197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197" s="235" t="str">
        <f t="shared" si="87"/>
        <v>"C:\Program Files (x86)\AstroGrep\AstroGrep.exe" /e /r /s /spath="%USERPROFILE%\AppData\Local\Temp\OnboardLogs" /stypes="app*4024*20171123*" /stext=" 01:.+((SYSTEM_STATE.+slice.+state.+changed )|(ment ac)|(multiple cpu faults)|(system.+state.+changed )|(\[timeout)|(PRM\|1\|D)|(kpr)|(kdp)|(train st.+moving)|(\|lc)|(penalty))"</v>
      </c>
      <c r="AG197" s="245" t="str">
        <f t="shared" si="88"/>
        <v>NW</v>
      </c>
      <c r="AH197" s="237" t="str">
        <f t="shared" si="89"/>
        <v>"%USERPROFILE%\Documents\GitHub\eaglep3\Utilities\RefineRTDCRunTimes.py" --tripid 837-22 --locoid 4024 --swversion DE.1.0.9.0 --startMP 204:1168 --initTime 2017-11-22T18:02:56 --startdatetime 2017-11-22T18:09:22 --delay 105 --endMP 300:58950 --enddatetime 2017-11-22T18:25:50 --enforcementcount 0 &gt;&gt;%USERPROFILE%\Documents\GitHub\eaglep3-reporting\EC\2017-11-22-refined-times.txt</v>
      </c>
      <c r="AI197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{"issue":{"subject":"","project_id":79,"tracker_id":40,"status_id":1,"priority_id":2,"assigned_to_id":338,"start_date":"2017-11-22","description":"","custom_fields":[{"id":1,"name":"Subdivision","value":"NW"},{"id":4,"name":"Milepost","value":"5.895"},{"id":17,"name":"Train ID","value":"837-22"},{"id":16,"name":"Locomotive ID","value":"4024"},{"id":130,"name":"Impact","value":""},{"id":150,"name":"Time of Event (Mountain Time)","value":"18:25:50"},{"id":151,"name":"Denver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91"/>
        <v>start /low /b %USERPROFILE%\Documents\GitHub\eaglep3\Utilities\DownloadLogsFromS3.py --loco 4024 --day 2017-11-22</v>
      </c>
      <c r="AN197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93"/>
        <v>https://d0f6bd738d7f1b3e5a7ca70fe4ff75f0.us-east-1.aws.found.io/app/kibana#/discover/Steve-Slow-Train-Analysis-(2080s-and-2083s)?_g=(refreshInterval:(display:Off,pause:!f,section:0,value:0),time:(from:'2017-11-22T17:02:56-0700',mode:absolute,to:'2017-11-22T19:25:50-0700'))&amp;_a=(columns:!('Message%20ID',Summary),filters:!(),index:'emp_*',interval:auto,query:(query_string:(analyze_wildcard:!t,query:'%22rtdc.l.rtdc.4024%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30" t="s">
        <v>845</v>
      </c>
      <c r="B198" s="226">
        <v>4023</v>
      </c>
      <c r="C198" s="228" t="s">
        <v>192</v>
      </c>
      <c r="D198" s="228" t="s">
        <v>1078</v>
      </c>
      <c r="E198" s="227">
        <v>43061.769270833334</v>
      </c>
      <c r="F198" s="227">
        <v>43061.779930555553</v>
      </c>
      <c r="G198" s="226">
        <v>68</v>
      </c>
      <c r="H198" s="228" t="s">
        <v>1045</v>
      </c>
      <c r="I198" s="227">
        <v>43061.788865740738</v>
      </c>
      <c r="J198" s="226">
        <v>0</v>
      </c>
      <c r="K198" s="238" t="str">
        <f t="shared" si="80"/>
        <v>4023/4024</v>
      </c>
      <c r="L198" s="246" t="str">
        <f>VLOOKUP(A198,'Trips&amp;Operators'!$C$1:$G$99911,5,FALSE)</f>
        <v>LORI SANTOS</v>
      </c>
      <c r="M198" s="225">
        <f t="shared" si="81"/>
        <v>8.9351851856918074E-3</v>
      </c>
      <c r="N198" s="226">
        <f t="shared" si="116"/>
        <v>12.866666667396203</v>
      </c>
      <c r="O198" s="226"/>
      <c r="P198" s="226"/>
      <c r="Q198" s="229"/>
      <c r="R198" s="243"/>
      <c r="S198" s="250">
        <f t="shared" si="106"/>
        <v>1</v>
      </c>
      <c r="T198" s="243" t="str">
        <f t="shared" si="82"/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83"/>
        <v>https://d0f6bd738d7f1b3e5a7ca70fe4ff75f0.us-east-1.aws.found.io/app/kibana#/discover/Steve-Slow-Train-Analysis-(2080s-and-2083s)?_g=(refreshInterval:(display:Off,pause:!f,section:0,value:0),time:(from:'2017-11-22T17:27:45-0700',mode:absolute,to:'2017-11-22T19:55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8" s="248" t="str">
        <f>IF(AA198&lt;VLOOKUP(AG198,Variables!$AC$3:$AD$8,2,FALSE),"Y","N")</f>
        <v>N</v>
      </c>
      <c r="X198" s="248">
        <f t="shared" si="115"/>
        <v>1</v>
      </c>
      <c r="Y198" s="248">
        <f t="shared" si="113"/>
        <v>5.8630000000000004</v>
      </c>
      <c r="Z198" s="248">
        <f t="shared" si="114"/>
        <v>8.5900000000000004E-2</v>
      </c>
      <c r="AA198" s="248">
        <f t="shared" si="84"/>
        <v>5.7771000000000008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85"/>
        <v>838</v>
      </c>
      <c r="AE198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198" s="235" t="str">
        <f t="shared" si="87"/>
        <v>"C:\Program Files (x86)\AstroGrep\AstroGrep.exe" /e /r /s /spath="%USERPROFILE%\AppData\Local\Temp\OnboardLogs" /stypes="app*4023*20171123*" /stext=" 01:.+((SYSTEM_STATE.+slice.+state.+changed )|(ment ac)|(multiple cpu faults)|(system.+state.+changed )|(\[timeout)|(PRM\|1\|D)|(kpr)|(kdp)|(train st.+moving)|(\|lc)|(penalty))"</v>
      </c>
      <c r="AG198" s="245" t="str">
        <f t="shared" si="88"/>
        <v>NW</v>
      </c>
      <c r="AH198" s="237" t="str">
        <f t="shared" si="89"/>
        <v>"%USERPROFILE%\Documents\GitHub\eaglep3\Utilities\RefineRTDCRunTimes.py" --tripid 838-22 --locoid 4023 --swversion DE.1.0.9.0 --startMP 300:58630 --initTime 2017-11-22T18:27:45 --startdatetime 2017-11-22T18:43:06 --delay 68 --endMP 204:859 --enddatetime 2017-11-22T18:55:58 --enforcementcount 0 &gt;&gt;%USERPROFILE%\Documents\GitHub\eaglep3-reporting\EC\2017-11-22-refined-times.txt</v>
      </c>
      <c r="AI198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{"issue":{"subject":"","project_id":79,"tracker_id":40,"status_id":1,"priority_id":2,"assigned_to_id":338,"start_date":"2017-11-22","description":"","custom_fields":[{"id":1,"name":"Subdivision","value":"NW"},{"id":4,"name":"Milepost","value":"0.0859"},{"id":17,"name":"Train ID","value":"838-22"},{"id":16,"name":"Locomotive ID","value":"4023"},{"id":130,"name":"Impact","value":""},{"id":150,"name":"Time of Event (Mountain Time)","value":"18:55:58"},{"id":151,"name":"Denver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91"/>
        <v>start /low /b %USERPROFILE%\Documents\GitHub\eaglep3\Utilities\DownloadLogsFromS3.py --loco 4023 --day 2017-11-22</v>
      </c>
      <c r="AN198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01:55:58"},{"id":29,"name":"Sharepoint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93"/>
        <v>https://d0f6bd738d7f1b3e5a7ca70fe4ff75f0.us-east-1.aws.found.io/app/kibana#/discover/Steve-Slow-Train-Analysis-(2080s-and-2083s)?_g=(refreshInterval:(display:Off,pause:!f,section:0,value:0),time:(from:'2017-11-22T17:27:45-0700',mode:absolute,to:'2017-11-22T19:55:58-0700'))&amp;_a=(columns:!('Message%20ID',Summary),filters:!(),index:'emp_*',interval:auto,query:(query_string:(analyze_wildcard:!t,query:'%22rtdc.l.rtdc.4023%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30" t="s">
        <v>846</v>
      </c>
      <c r="B199" s="226">
        <v>4026</v>
      </c>
      <c r="C199" s="228" t="s">
        <v>192</v>
      </c>
      <c r="D199" s="228" t="s">
        <v>1083</v>
      </c>
      <c r="E199" s="227">
        <v>43061.775335648148</v>
      </c>
      <c r="F199" s="227">
        <v>43061.777280092596</v>
      </c>
      <c r="G199" s="226">
        <v>48</v>
      </c>
      <c r="H199" s="228" t="s">
        <v>547</v>
      </c>
      <c r="I199" s="227">
        <v>43061.786712962959</v>
      </c>
      <c r="J199" s="226">
        <v>0</v>
      </c>
      <c r="K199" s="238" t="str">
        <f t="shared" si="80"/>
        <v>4025/4026</v>
      </c>
      <c r="L199" s="246" t="str">
        <f>VLOOKUP(A199,'Trips&amp;Operators'!$C$1:$G$99911,5,FALSE)</f>
        <v>STAMBAUGH JAMES</v>
      </c>
      <c r="M199" s="225">
        <f t="shared" si="81"/>
        <v>9.4328703635255806E-3</v>
      </c>
      <c r="N199" s="226">
        <f t="shared" si="116"/>
        <v>13.583333323476836</v>
      </c>
      <c r="O199" s="226"/>
      <c r="P199" s="226"/>
      <c r="Q199" s="229"/>
      <c r="R199" s="243"/>
      <c r="S199" s="250">
        <f t="shared" si="106"/>
        <v>1</v>
      </c>
      <c r="T199" s="243" t="str">
        <f t="shared" si="82"/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83"/>
        <v>https://d0f6bd738d7f1b3e5a7ca70fe4ff75f0.us-east-1.aws.found.io/app/kibana#/discover/Steve-Slow-Train-Analysis-(2080s-and-2083s)?_g=(refreshInterval:(display:Off,pause:!f,section:0,value:0),time:(from:'2017-11-22T17:36:29-0700',mode:absolute,to:'2017-11-22T19:52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9" s="248" t="str">
        <f>IF(AA199&lt;VLOOKUP(AG199,Variables!$AC$3:$AD$8,2,FALSE),"Y","N")</f>
        <v>N</v>
      </c>
      <c r="X199" s="248">
        <f t="shared" si="115"/>
        <v>1</v>
      </c>
      <c r="Y199" s="248">
        <f t="shared" si="113"/>
        <v>9.8299999999999998E-2</v>
      </c>
      <c r="Z199" s="248">
        <f t="shared" si="114"/>
        <v>5.8933</v>
      </c>
      <c r="AA199" s="248">
        <f t="shared" si="84"/>
        <v>5.7949999999999999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85"/>
        <v>839</v>
      </c>
      <c r="AE199" s="236" t="str">
        <f t="shared" si="86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199" s="235" t="str">
        <f t="shared" si="87"/>
        <v>"C:\Program Files (x86)\AstroGrep\AstroGrep.exe" /e /r /s /spath="%USERPROFILE%\AppData\Local\Temp\OnboardLogs" /stypes="app*4026*20171123*" /stext=" 01:.+((SYSTEM_STATE.+slice.+state.+changed )|(ment ac)|(multiple cpu faults)|(system.+state.+changed )|(\[timeout)|(PRM\|1\|D)|(kpr)|(kdp)|(train st.+moving)|(\|lc)|(penalty))"</v>
      </c>
      <c r="AG199" s="245" t="str">
        <f t="shared" si="88"/>
        <v>NW</v>
      </c>
      <c r="AH199" s="237" t="str">
        <f t="shared" si="89"/>
        <v>"%USERPROFILE%\Documents\GitHub\eaglep3\Utilities\RefineRTDCRunTimes.py" --tripid 839-22 --locoid 4026 --swversion DE.1.0.9.0 --startMP 204:983 --initTime 2017-11-22T18:36:29 --startdatetime 2017-11-22T18:39:17 --delay 48 --endMP 300:58933 --enddatetime 2017-11-22T18:52:52 --enforcementcount 0 &gt;&gt;%USERPROFILE%\Documents\GitHub\eaglep3-reporting\EC\2017-11-22-refined-times.txt</v>
      </c>
      <c r="AI199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{"issue":{"subject":"","project_id":79,"tracker_id":40,"status_id":1,"priority_id":2,"assigned_to_id":338,"start_date":"2017-11-22","description":"","custom_fields":[{"id":1,"name":"Subdivision","value":"NW"},{"id":4,"name":"Milepost","value":"5.8933"},{"id":17,"name":"Train ID","value":"839-22"},{"id":16,"name":"Locomotive ID","value":"4026"},{"id":130,"name":"Impact","value":""},{"id":150,"name":"Time of Event (Mountain Time)","value":"18:52:52"},{"id":151,"name":"Denver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91"/>
        <v>start /low /b %USERPROFILE%\Documents\GitHub\eaglep3\Utilities\DownloadLogsFromS3.py --loco 4026 --day 2017-11-22</v>
      </c>
      <c r="AN199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93"/>
        <v>https://d0f6bd738d7f1b3e5a7ca70fe4ff75f0.us-east-1.aws.found.io/app/kibana#/discover/Steve-Slow-Train-Analysis-(2080s-and-2083s)?_g=(refreshInterval:(display:Off,pause:!f,section:0,value:0),time:(from:'2017-11-22T17:36:29-0700',mode:absolute,to:'2017-11-22T19:52:52-0700'))&amp;_a=(columns:!('Message%20ID',Summary),filters:!(),index:'emp_*',interval:auto,query:(query_string:(analyze_wildcard:!t,query:'%22rtdc.l.rtdc.4026%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30" t="s">
        <v>856</v>
      </c>
      <c r="B200" s="226">
        <v>4023</v>
      </c>
      <c r="C200" s="228" t="s">
        <v>192</v>
      </c>
      <c r="D200" s="228" t="s">
        <v>1078</v>
      </c>
      <c r="E200" s="227">
        <v>43061.811249999999</v>
      </c>
      <c r="F200" s="227">
        <v>43061.821689814817</v>
      </c>
      <c r="G200" s="226">
        <v>68</v>
      </c>
      <c r="H200" s="228" t="s">
        <v>1084</v>
      </c>
      <c r="I200" s="227">
        <v>43061.830381944441</v>
      </c>
      <c r="J200" s="226">
        <v>0</v>
      </c>
      <c r="K200" s="238" t="str">
        <f t="shared" si="80"/>
        <v>4023/4024</v>
      </c>
      <c r="L200" s="246" t="str">
        <f>VLOOKUP(A200,'Trips&amp;Operators'!$C$1:$G$99911,5,FALSE)</f>
        <v>LORI SANTOS</v>
      </c>
      <c r="M200" s="225">
        <f t="shared" si="81"/>
        <v>8.6921296242508106E-3</v>
      </c>
      <c r="N200" s="226">
        <f t="shared" si="116"/>
        <v>12.516666658921167</v>
      </c>
      <c r="O200" s="226"/>
      <c r="P200" s="226"/>
      <c r="Q200" s="229"/>
      <c r="R200" s="243"/>
      <c r="S200" s="250">
        <f t="shared" si="106"/>
        <v>1</v>
      </c>
      <c r="T200" s="243" t="str">
        <f t="shared" si="82"/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83"/>
        <v>https://d0f6bd738d7f1b3e5a7ca70fe4ff75f0.us-east-1.aws.found.io/app/kibana#/discover/Steve-Slow-Train-Analysis-(2080s-and-2083s)?_g=(refreshInterval:(display:Off,pause:!f,section:0,value:0),time:(from:'2017-11-22T18:28:12-0700',mode:absolute,to:'2017-11-22T20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0" s="248" t="str">
        <f>IF(AA200&lt;VLOOKUP(AG200,Variables!$AC$3:$AD$8,2,FALSE),"Y","N")</f>
        <v>N</v>
      </c>
      <c r="X200" s="248">
        <f t="shared" si="115"/>
        <v>1</v>
      </c>
      <c r="Y200" s="248">
        <f t="shared" si="113"/>
        <v>5.8630000000000004</v>
      </c>
      <c r="Z200" s="248">
        <f t="shared" si="114"/>
        <v>8.7999999999999995E-2</v>
      </c>
      <c r="AA200" s="248">
        <f t="shared" si="84"/>
        <v>5.7750000000000004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85"/>
        <v>840</v>
      </c>
      <c r="AE200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200" s="235" t="str">
        <f t="shared" si="87"/>
        <v>"C:\Program Files (x86)\AstroGrep\AstroGrep.exe" /e /r /s /spath="%USERPROFILE%\AppData\Local\Temp\OnboardLogs" /stypes="app*4023*20171123*" /stext=" 02:.+((SYSTEM_STATE.+slice.+state.+changed )|(ment ac)|(multiple cpu faults)|(system.+state.+changed )|(\[timeout)|(PRM\|1\|D)|(kpr)|(kdp)|(train st.+moving)|(\|lc)|(penalty))"</v>
      </c>
      <c r="AG200" s="245" t="str">
        <f t="shared" si="88"/>
        <v>NW</v>
      </c>
      <c r="AH200" s="237" t="str">
        <f t="shared" si="89"/>
        <v>"%USERPROFILE%\Documents\GitHub\eaglep3\Utilities\RefineRTDCRunTimes.py" --tripid 840-22 --locoid 4023 --swversion DE.1.0.9.0 --startMP 300:58630 --initTime 2017-11-22T19:28:12 --startdatetime 2017-11-22T19:43:14 --delay 68 --endMP 204:880 --enddatetime 2017-11-22T19:55:45 --enforcementcount 0 &gt;&gt;%USERPROFILE%\Documents\GitHub\eaglep3-reporting\EC\2017-11-22-refined-times.txt</v>
      </c>
      <c r="AI200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{"issue":{"subject":"","project_id":79,"tracker_id":40,"status_id":1,"priority_id":2,"assigned_to_id":338,"start_date":"2017-11-22","description":"","custom_fields":[{"id":1,"name":"Subdivision","value":"NW"},{"id":4,"name":"Milepost","value":"0.088"},{"id":17,"name":"Train ID","value":"840-22"},{"id":16,"name":"Locomotive ID","value":"4023"},{"id":130,"name":"Impact","value":""},{"id":150,"name":"Time of Event (Mountain Time)","value":"19:55:45"},{"id":151,"name":"Denver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91"/>
        <v>start /low /b %USERPROFILE%\Documents\GitHub\eaglep3\Utilities\DownloadLogsFromS3.py --loco 4023 --day 2017-11-22</v>
      </c>
      <c r="AN200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93"/>
        <v>https://d0f6bd738d7f1b3e5a7ca70fe4ff75f0.us-east-1.aws.found.io/app/kibana#/discover/Steve-Slow-Train-Analysis-(2080s-and-2083s)?_g=(refreshInterval:(display:Off,pause:!f,section:0,value:0),time:(from:'2017-11-22T18:28:12-0700',mode:absolute,to:'2017-11-22T20:55:45-0700'))&amp;_a=(columns:!('Message%20ID',Summary),filters:!(),index:'emp_*',interval:auto,query:(query_string:(analyze_wildcard:!t,query:'%22rtdc.l.rtdc.4023%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30" t="s">
        <v>852</v>
      </c>
      <c r="B201" s="226">
        <v>4024</v>
      </c>
      <c r="C201" s="228" t="s">
        <v>192</v>
      </c>
      <c r="D201" s="228" t="s">
        <v>1085</v>
      </c>
      <c r="E201" s="227">
        <v>43061.79315972222</v>
      </c>
      <c r="F201" s="227">
        <v>43061.798229166663</v>
      </c>
      <c r="G201" s="226">
        <v>79</v>
      </c>
      <c r="H201" s="228" t="s">
        <v>624</v>
      </c>
      <c r="I201" s="227">
        <v>43061.809166666666</v>
      </c>
      <c r="J201" s="226">
        <v>0</v>
      </c>
      <c r="K201" s="238" t="str">
        <f t="shared" si="80"/>
        <v>4023/4024</v>
      </c>
      <c r="L201" s="246" t="str">
        <f>VLOOKUP(A201,'Trips&amp;Operators'!$C$1:$G$99911,5,FALSE)</f>
        <v>LORI SANTOS</v>
      </c>
      <c r="M201" s="225">
        <f t="shared" si="81"/>
        <v>1.0937500002910383E-2</v>
      </c>
      <c r="N201" s="226">
        <f t="shared" si="116"/>
        <v>15.750000004190952</v>
      </c>
      <c r="O201" s="226"/>
      <c r="P201" s="226"/>
      <c r="Q201" s="229"/>
      <c r="R201" s="243"/>
      <c r="S201" s="250">
        <f t="shared" si="106"/>
        <v>1</v>
      </c>
      <c r="T201" s="243" t="str">
        <f t="shared" si="82"/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83"/>
        <v>https://d0f6bd738d7f1b3e5a7ca70fe4ff75f0.us-east-1.aws.found.io/app/kibana#/discover/Steve-Slow-Train-Analysis-(2080s-and-2083s)?_g=(refreshInterval:(display:Off,pause:!f,section:0,value:0),time:(from:'2017-11-22T18:02:09-0700',mode:absolute,to:'2017-11-22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1" s="248" t="str">
        <f>IF(AA201&lt;VLOOKUP(AG201,Variables!$AC$3:$AD$8,2,FALSE),"Y","N")</f>
        <v>N</v>
      </c>
      <c r="X201" s="248">
        <f t="shared" si="115"/>
        <v>1</v>
      </c>
      <c r="Y201" s="248">
        <f t="shared" si="113"/>
        <v>0.1158</v>
      </c>
      <c r="Z201" s="248">
        <f t="shared" si="114"/>
        <v>5.8958000000000004</v>
      </c>
      <c r="AA201" s="248">
        <f t="shared" si="84"/>
        <v>5.78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85"/>
        <v>841</v>
      </c>
      <c r="AE201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201" s="235" t="str">
        <f t="shared" si="87"/>
        <v>"C:\Program Files (x86)\AstroGrep\AstroGrep.exe" /e /r /s /spath="%USERPROFILE%\AppData\Local\Temp\OnboardLogs" /stypes="app*4024*20171123*" /stext=" 02:.+((SYSTEM_STATE.+slice.+state.+changed )|(ment ac)|(multiple cpu faults)|(system.+state.+changed )|(\[timeout)|(PRM\|1\|D)|(kpr)|(kdp)|(train st.+moving)|(\|lc)|(penalty))"</v>
      </c>
      <c r="AG201" s="245" t="str">
        <f t="shared" si="88"/>
        <v>NW</v>
      </c>
      <c r="AH201" s="237" t="str">
        <f t="shared" si="89"/>
        <v>"%USERPROFILE%\Documents\GitHub\eaglep3\Utilities\RefineRTDCRunTimes.py" --tripid 841-22 --locoid 4024 --swversion DE.1.0.9.0 --startMP 204:1158 --initTime 2017-11-22T19:02:09 --startdatetime 2017-11-22T19:09:27 --delay 79 --endMP 300:58958 --enddatetime 2017-11-22T19:25:12 --enforcementcount 0 &gt;&gt;%USERPROFILE%\Documents\GitHub\eaglep3-reporting\EC\2017-11-22-refined-times.txt</v>
      </c>
      <c r="AI201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{"issue":{"subject":"","project_id":79,"tracker_id":40,"status_id":1,"priority_id":2,"assigned_to_id":338,"start_date":"2017-11-22","description":"","custom_fields":[{"id":1,"name":"Subdivision","value":"NW"},{"id":4,"name":"Milepost","value":"5.8958"},{"id":17,"name":"Train ID","value":"841-22"},{"id":16,"name":"Locomotive ID","value":"4024"},{"id":130,"name":"Impact","value":""},{"id":150,"name":"Time of Event (Mountain Time)","value":"19:25:12"},{"id":151,"name":"Denver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91"/>
        <v>start /low /b %USERPROFILE%\Documents\GitHub\eaglep3\Utilities\DownloadLogsFromS3.py --loco 4024 --day 2017-11-22</v>
      </c>
      <c r="AN201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93"/>
        <v>https://d0f6bd738d7f1b3e5a7ca70fe4ff75f0.us-east-1.aws.found.io/app/kibana#/discover/Steve-Slow-Train-Analysis-(2080s-and-2083s)?_g=(refreshInterval:(display:Off,pause:!f,section:0,value:0),time:(from:'2017-11-22T18:02:09-0700',mode:absolute,to:'2017-11-22T20:25:12-0700'))&amp;_a=(columns:!('Message%20ID',Summary),filters:!(),index:'emp_*',interval:auto,query:(query_string:(analyze_wildcard:!t,query:'%22rtdc.l.rtdc.4024%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30" t="s">
        <v>860</v>
      </c>
      <c r="B202" s="226">
        <v>4023</v>
      </c>
      <c r="C202" s="228" t="s">
        <v>192</v>
      </c>
      <c r="D202" s="228" t="s">
        <v>634</v>
      </c>
      <c r="E202" s="227">
        <v>43061.852025462962</v>
      </c>
      <c r="F202" s="227">
        <v>43061.863252314812</v>
      </c>
      <c r="G202" s="226">
        <v>71</v>
      </c>
      <c r="H202" s="228" t="s">
        <v>1086</v>
      </c>
      <c r="I202" s="227">
        <v>43061.873379629629</v>
      </c>
      <c r="J202" s="226">
        <v>0</v>
      </c>
      <c r="K202" s="238" t="str">
        <f t="shared" si="80"/>
        <v>4023/4024</v>
      </c>
      <c r="L202" s="246" t="str">
        <f>VLOOKUP(A202,'Trips&amp;Operators'!$C$1:$G$99911,5,FALSE)</f>
        <v>LORI SANTOS</v>
      </c>
      <c r="M202" s="225">
        <f t="shared" si="81"/>
        <v>1.0127314817509614E-2</v>
      </c>
      <c r="N202" s="226">
        <f t="shared" si="116"/>
        <v>14.583333337213844</v>
      </c>
      <c r="O202" s="226"/>
      <c r="P202" s="226"/>
      <c r="Q202" s="229"/>
      <c r="R202" s="243"/>
      <c r="S202" s="250">
        <f t="shared" si="106"/>
        <v>1</v>
      </c>
      <c r="T202" s="243" t="str">
        <f t="shared" si="82"/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83"/>
        <v>https://d0f6bd738d7f1b3e5a7ca70fe4ff75f0.us-east-1.aws.found.io/app/kibana#/discover/Steve-Slow-Train-Analysis-(2080s-and-2083s)?_g=(refreshInterval:(display:Off,pause:!f,section:0,value:0),time:(from:'2017-11-22T19:26:55-0700',mode:absolute,to:'2017-11-22T21:57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2" s="248" t="str">
        <f>IF(AA202&lt;VLOOKUP(AG202,Variables!$AC$3:$AD$8,2,FALSE),"Y","N")</f>
        <v>N</v>
      </c>
      <c r="X202" s="248">
        <f t="shared" si="115"/>
        <v>1</v>
      </c>
      <c r="Y202" s="248">
        <f t="shared" si="113"/>
        <v>5.8628</v>
      </c>
      <c r="Z202" s="248">
        <f t="shared" si="114"/>
        <v>8.6599999999999996E-2</v>
      </c>
      <c r="AA202" s="248">
        <f t="shared" si="84"/>
        <v>5.7762000000000002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85"/>
        <v>842</v>
      </c>
      <c r="AE202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202" s="235" t="str">
        <f t="shared" si="87"/>
        <v>"C:\Program Files (x86)\AstroGrep\AstroGrep.exe" /e /r /s /spath="%USERPROFILE%\AppData\Local\Temp\OnboardLogs" /stypes="app*4023*20171123*" /stext=" 03:.+((SYSTEM_STATE.+slice.+state.+changed )|(ment ac)|(multiple cpu faults)|(system.+state.+changed )|(\[timeout)|(PRM\|1\|D)|(kpr)|(kdp)|(train st.+moving)|(\|lc)|(penalty))"</v>
      </c>
      <c r="AG202" s="245" t="str">
        <f t="shared" si="88"/>
        <v>NW</v>
      </c>
      <c r="AH202" s="237" t="str">
        <f t="shared" si="89"/>
        <v>"%USERPROFILE%\Documents\GitHub\eaglep3\Utilities\RefineRTDCRunTimes.py" --tripid 842-22 --locoid 4023 --swversion DE.1.0.9.0 --startMP 300:58628 --initTime 2017-11-22T20:26:55 --startdatetime 2017-11-22T20:43:05 --delay 71 --endMP 204:866 --enddatetime 2017-11-22T20:57:40 --enforcementcount 0 &gt;&gt;%USERPROFILE%\Documents\GitHub\eaglep3-reporting\EC\2017-11-22-refined-times.txt</v>
      </c>
      <c r="AI202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{"issue":{"subject":"","project_id":79,"tracker_id":40,"status_id":1,"priority_id":2,"assigned_to_id":338,"start_date":"2017-11-22","description":"","custom_fields":[{"id":1,"name":"Subdivision","value":"NW"},{"id":4,"name":"Milepost","value":"0.0866"},{"id":17,"name":"Train ID","value":"842-22"},{"id":16,"name":"Locomotive ID","value":"4023"},{"id":130,"name":"Impact","value":""},{"id":150,"name":"Time of Event (Mountain Time)","value":"20:57:40"},{"id":151,"name":"Denver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91"/>
        <v>start /low /b %USERPROFILE%\Documents\GitHub\eaglep3\Utilities\DownloadLogsFromS3.py --loco 4023 --day 2017-11-22</v>
      </c>
      <c r="AN202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03:57:40"},{"id":29,"name":"Sharepoint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93"/>
        <v>https://d0f6bd738d7f1b3e5a7ca70fe4ff75f0.us-east-1.aws.found.io/app/kibana#/discover/Steve-Slow-Train-Analysis-(2080s-and-2083s)?_g=(refreshInterval:(display:Off,pause:!f,section:0,value:0),time:(from:'2017-11-22T19:26:55-0700',mode:absolute,to:'2017-11-22T21:57:40-0700'))&amp;_a=(columns:!('Message%20ID',Summary),filters:!(),index:'emp_*',interval:auto,query:(query_string:(analyze_wildcard:!t,query:'%22rtdc.l.rtdc.4023%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30" t="s">
        <v>859</v>
      </c>
      <c r="B203" s="226">
        <v>4024</v>
      </c>
      <c r="C203" s="228" t="s">
        <v>192</v>
      </c>
      <c r="D203" s="228" t="s">
        <v>1087</v>
      </c>
      <c r="E203" s="227">
        <v>43061.836759259262</v>
      </c>
      <c r="F203" s="227">
        <v>43061.839895833335</v>
      </c>
      <c r="G203" s="226">
        <v>62</v>
      </c>
      <c r="H203" s="228" t="s">
        <v>629</v>
      </c>
      <c r="I203" s="227">
        <v>43061.850486111114</v>
      </c>
      <c r="J203" s="226">
        <v>0</v>
      </c>
      <c r="K203" s="238" t="str">
        <f t="shared" si="80"/>
        <v>4023/4024</v>
      </c>
      <c r="L203" s="246" t="str">
        <f>VLOOKUP(A203,'Trips&amp;Operators'!$C$1:$G$99911,5,FALSE)</f>
        <v>LORI SANTOS</v>
      </c>
      <c r="M203" s="225">
        <f t="shared" si="81"/>
        <v>1.0590277779556345E-2</v>
      </c>
      <c r="N203" s="226">
        <f t="shared" si="116"/>
        <v>15.250000002561137</v>
      </c>
      <c r="O203" s="226"/>
      <c r="P203" s="226"/>
      <c r="Q203" s="229"/>
      <c r="R203" s="243"/>
      <c r="S203" s="250">
        <f t="shared" si="106"/>
        <v>1</v>
      </c>
      <c r="T203" s="243" t="str">
        <f t="shared" si="82"/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83"/>
        <v>https://d0f6bd738d7f1b3e5a7ca70fe4ff75f0.us-east-1.aws.found.io/app/kibana#/discover/Steve-Slow-Train-Analysis-(2080s-and-2083s)?_g=(refreshInterval:(display:Off,pause:!f,section:0,value:0),time:(from:'2017-11-22T19:04:56-0700',mode:absolute,to:'2017-11-22T21:24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3" s="248" t="str">
        <f>IF(AA203&lt;VLOOKUP(AG203,Variables!$AC$3:$AD$8,2,FALSE),"Y","N")</f>
        <v>N</v>
      </c>
      <c r="X203" s="248">
        <f t="shared" si="115"/>
        <v>1</v>
      </c>
      <c r="Y203" s="248">
        <f t="shared" si="113"/>
        <v>0.1188</v>
      </c>
      <c r="Z203" s="248">
        <f t="shared" si="114"/>
        <v>5.8944000000000001</v>
      </c>
      <c r="AA203" s="248">
        <f t="shared" si="84"/>
        <v>5.7755999999999998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85"/>
        <v>843</v>
      </c>
      <c r="AE203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203" s="235" t="str">
        <f t="shared" si="87"/>
        <v>"C:\Program Files (x86)\AstroGrep\AstroGrep.exe" /e /r /s /spath="%USERPROFILE%\AppData\Local\Temp\OnboardLogs" /stypes="app*4024*20171123*" /stext=" 03:.+((SYSTEM_STATE.+slice.+state.+changed )|(ment ac)|(multiple cpu faults)|(system.+state.+changed )|(\[timeout)|(PRM\|1\|D)|(kpr)|(kdp)|(train st.+moving)|(\|lc)|(penalty))"</v>
      </c>
      <c r="AG203" s="245" t="str">
        <f t="shared" si="88"/>
        <v>NW</v>
      </c>
      <c r="AH203" s="237" t="str">
        <f t="shared" si="89"/>
        <v>"%USERPROFILE%\Documents\GitHub\eaglep3\Utilities\RefineRTDCRunTimes.py" --tripid 843-22 --locoid 4024 --swversion DE.1.0.9.0 --startMP 204:1188 --initTime 2017-11-22T20:04:56 --startdatetime 2017-11-22T20:09:27 --delay 62 --endMP 300:58944 --enddatetime 2017-11-22T20:24:42 --enforcementcount 0 &gt;&gt;%USERPROFILE%\Documents\GitHub\eaglep3-reporting\EC\2017-11-22-refined-times.txt</v>
      </c>
      <c r="AI203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{"issue":{"subject":"","project_id":79,"tracker_id":40,"status_id":1,"priority_id":2,"assigned_to_id":338,"start_date":"2017-11-22","description":"","custom_fields":[{"id":1,"name":"Subdivision","value":"NW"},{"id":4,"name":"Milepost","value":"5.8944"},{"id":17,"name":"Train ID","value":"843-22"},{"id":16,"name":"Locomotive ID","value":"4024"},{"id":130,"name":"Impact","value":""},{"id":150,"name":"Time of Event (Mountain Time)","value":"20:24:42"},{"id":151,"name":"Denver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91"/>
        <v>start /low /b %USERPROFILE%\Documents\GitHub\eaglep3\Utilities\DownloadLogsFromS3.py --loco 4024 --day 2017-11-22</v>
      </c>
      <c r="AN203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03:24:42"},{"id":29,"name":"Sharepoint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93"/>
        <v>https://d0f6bd738d7f1b3e5a7ca70fe4ff75f0.us-east-1.aws.found.io/app/kibana#/discover/Steve-Slow-Train-Analysis-(2080s-and-2083s)?_g=(refreshInterval:(display:Off,pause:!f,section:0,value:0),time:(from:'2017-11-22T19:04:56-0700',mode:absolute,to:'2017-11-22T21:24:42-0700'))&amp;_a=(columns:!('Message%20ID',Summary),filters:!(),index:'emp_*',interval:auto,query:(query_string:(analyze_wildcard:!t,query:'%22rtdc.l.rtdc.4024%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30" t="s">
        <v>668</v>
      </c>
      <c r="B204" s="226">
        <v>4023</v>
      </c>
      <c r="C204" s="228" t="s">
        <v>192</v>
      </c>
      <c r="D204" s="228" t="s">
        <v>627</v>
      </c>
      <c r="E204" s="227">
        <v>43061.891145833331</v>
      </c>
      <c r="F204" s="227">
        <v>43061.904907407406</v>
      </c>
      <c r="G204" s="226">
        <v>66</v>
      </c>
      <c r="H204" s="228" t="s">
        <v>1088</v>
      </c>
      <c r="I204" s="227">
        <v>43061.912604166668</v>
      </c>
      <c r="J204" s="226">
        <v>0</v>
      </c>
      <c r="K204" s="238" t="str">
        <f t="shared" si="80"/>
        <v>4023/4024</v>
      </c>
      <c r="L204" s="246" t="str">
        <f>VLOOKUP(A204,'Trips&amp;Operators'!$C$1:$G$99911,5,FALSE)</f>
        <v>STAMBAUGH JAMES</v>
      </c>
      <c r="M204" s="225">
        <f t="shared" si="81"/>
        <v>7.6967592613073066E-3</v>
      </c>
      <c r="N204" s="226">
        <f t="shared" si="116"/>
        <v>11.083333336282521</v>
      </c>
      <c r="O204" s="226"/>
      <c r="P204" s="226"/>
      <c r="Q204" s="229"/>
      <c r="R204" s="243"/>
      <c r="S204" s="250">
        <f t="shared" si="106"/>
        <v>1</v>
      </c>
      <c r="T204" s="243" t="str">
        <f t="shared" si="82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83"/>
        <v>https://d0f6bd738d7f1b3e5a7ca70fe4ff75f0.us-east-1.aws.found.io/app/kibana#/discover/Steve-Slow-Train-Analysis-(2080s-and-2083s)?_g=(refreshInterval:(display:Off,pause:!f,section:0,value:0),time:(from:'2017-11-22T20:23:15-0700',mode:absolute,to:'2017-11-22T22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4" s="248" t="str">
        <f>IF(AA204&lt;VLOOKUP(AG204,Variables!$AC$3:$AD$8,2,FALSE),"Y","N")</f>
        <v>N</v>
      </c>
      <c r="X204" s="248">
        <f t="shared" si="115"/>
        <v>1</v>
      </c>
      <c r="Y204" s="248">
        <f t="shared" si="113"/>
        <v>5.8615000000000004</v>
      </c>
      <c r="Z204" s="248">
        <f t="shared" si="114"/>
        <v>7.17E-2</v>
      </c>
      <c r="AA204" s="248">
        <f t="shared" si="84"/>
        <v>5.7898000000000005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85"/>
        <v>844</v>
      </c>
      <c r="AE204" s="236" t="str">
        <f t="shared" si="86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204" s="235" t="str">
        <f t="shared" si="87"/>
        <v>"C:\Program Files (x86)\AstroGrep\AstroGrep.exe" /e /r /s /spath="%USERPROFILE%\AppData\Local\Temp\OnboardLogs" /stypes="app*4023*20171123*" /stext=" 04:.+((SYSTEM_STATE.+slice.+state.+changed )|(ment ac)|(multiple cpu faults)|(system.+state.+changed )|(\[timeout)|(PRM\|1\|D)|(kpr)|(kdp)|(train st.+moving)|(\|lc)|(penalty))"</v>
      </c>
      <c r="AG204" s="245" t="str">
        <f t="shared" si="88"/>
        <v>NW</v>
      </c>
      <c r="AH204" s="237" t="str">
        <f t="shared" si="89"/>
        <v>"%USERPROFILE%\Documents\GitHub\eaglep3\Utilities\RefineRTDCRunTimes.py" --tripid 844-22 --locoid 4023 --swversion DE.1.0.9.0 --startMP 300:58615 --initTime 2017-11-22T21:23:15 --startdatetime 2017-11-22T21:43:04 --delay 66 --endMP 204:717 --enddatetime 2017-11-22T21:54:09 --enforcementcount 0 &gt;&gt;%USERPROFILE%\Documents\GitHub\eaglep3-reporting\EC\2017-11-22-refined-times.txt</v>
      </c>
      <c r="AI204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{"issue":{"subject":"","project_id":79,"tracker_id":40,"status_id":1,"priority_id":2,"assigned_to_id":338,"start_date":"2017-11-22","description":"","custom_fields":[{"id":1,"name":"Subdivision","value":"NW"},{"id":4,"name":"Milepost","value":"0.0717"},{"id":17,"name":"Train ID","value":"844-22"},{"id":16,"name":"Locomotive ID","value":"4023"},{"id":130,"name":"Impact","value":""},{"id":150,"name":"Time of Event (Mountain Time)","value":"21:54:09"},{"id":151,"name":"Denver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91"/>
        <v>start /low /b %USERPROFILE%\Documents\GitHub\eaglep3\Utilities\DownloadLogsFromS3.py --loco 4023 --day 2017-11-22</v>
      </c>
      <c r="AN204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04:54:09"},{"id":29,"name":"Sharepoint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93"/>
        <v>https://d0f6bd738d7f1b3e5a7ca70fe4ff75f0.us-east-1.aws.found.io/app/kibana#/discover/Steve-Slow-Train-Analysis-(2080s-and-2083s)?_g=(refreshInterval:(display:Off,pause:!f,section:0,value:0),time:(from:'2017-11-22T20:23:15-0700',mode:absolute,to:'2017-11-22T22:54:09-0700'))&amp;_a=(columns:!('Message%20ID',Summary),filters:!(),index:'emp_*',interval:auto,query:(query_string:(analyze_wildcard:!t,query:'%22rtdc.l.rtdc.4023%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30" t="s">
        <v>863</v>
      </c>
      <c r="B205" s="226">
        <v>4024</v>
      </c>
      <c r="C205" s="228" t="s">
        <v>192</v>
      </c>
      <c r="D205" s="228" t="s">
        <v>1089</v>
      </c>
      <c r="E205" s="227">
        <v>43061.87841435185</v>
      </c>
      <c r="F205" s="227">
        <v>43061.881701388891</v>
      </c>
      <c r="G205" s="226">
        <v>59</v>
      </c>
      <c r="H205" s="228" t="s">
        <v>637</v>
      </c>
      <c r="I205" s="227">
        <v>43061.8903587963</v>
      </c>
      <c r="J205" s="226">
        <v>0</v>
      </c>
      <c r="K205" s="238" t="str">
        <f t="shared" si="80"/>
        <v>4023/4024</v>
      </c>
      <c r="L205" s="246" t="str">
        <f>VLOOKUP(A205,'Trips&amp;Operators'!$C$1:$G$99911,5,FALSE)</f>
        <v>STAMBAUGH JAMES</v>
      </c>
      <c r="M205" s="225">
        <f t="shared" si="81"/>
        <v>8.6574074084637687E-3</v>
      </c>
      <c r="N205" s="226">
        <f t="shared" si="116"/>
        <v>12.466666668187827</v>
      </c>
      <c r="O205" s="226"/>
      <c r="P205" s="226"/>
      <c r="Q205" s="229"/>
      <c r="R205" s="243"/>
      <c r="S205" s="250">
        <f t="shared" si="106"/>
        <v>1</v>
      </c>
      <c r="T205" s="243" t="str">
        <f t="shared" si="82"/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si="83"/>
        <v>https://d0f6bd738d7f1b3e5a7ca70fe4ff75f0.us-east-1.aws.found.io/app/kibana#/discover/Steve-Slow-Train-Analysis-(2080s-and-2083s)?_g=(refreshInterval:(display:Off,pause:!f,section:0,value:0),time:(from:'2017-11-22T20:04:55-0700',mode:absolute,to:'2017-11-22T22:22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5" s="248" t="str">
        <f>IF(AA205&lt;VLOOKUP(AG205,Variables!$AC$3:$AD$8,2,FALSE),"Y","N")</f>
        <v>N</v>
      </c>
      <c r="X205" s="248">
        <f t="shared" si="115"/>
        <v>1</v>
      </c>
      <c r="Y205" s="248">
        <f t="shared" si="113"/>
        <v>0.1163</v>
      </c>
      <c r="Z205" s="248">
        <f t="shared" si="114"/>
        <v>5.8929</v>
      </c>
      <c r="AA205" s="248">
        <f t="shared" si="84"/>
        <v>5.7766000000000002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si="85"/>
        <v>845</v>
      </c>
      <c r="AE205" s="236" t="str">
        <f t="shared" si="86"/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205" s="235" t="str">
        <f t="shared" si="87"/>
        <v>"C:\Program Files (x86)\AstroGrep\AstroGrep.exe" /e /r /s /spath="%USERPROFILE%\AppData\Local\Temp\OnboardLogs" /stypes="app*4024*20171123*" /stext=" 04:.+((SYSTEM_STATE.+slice.+state.+changed )|(ment ac)|(multiple cpu faults)|(system.+state.+changed )|(\[timeout)|(PRM\|1\|D)|(kpr)|(kdp)|(train st.+moving)|(\|lc)|(penalty))"</v>
      </c>
      <c r="AG205" s="245" t="str">
        <f t="shared" si="88"/>
        <v>NW</v>
      </c>
      <c r="AH205" s="237" t="str">
        <f t="shared" si="89"/>
        <v>"%USERPROFILE%\Documents\GitHub\eaglep3\Utilities\RefineRTDCRunTimes.py" --tripid 845-22 --locoid 4024 --swversion DE.1.0.9.0 --startMP 204:1163 --initTime 2017-11-22T21:04:55 --startdatetime 2017-11-22T21:09:39 --delay 59 --endMP 300:58929 --enddatetime 2017-11-22T21:22:07 --enforcementcount 0 &gt;&gt;%USERPROFILE%\Documents\GitHub\eaglep3-reporting\EC\2017-11-22-refined-times.txt</v>
      </c>
      <c r="AI205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{"issue":{"subject":"","project_id":79,"tracker_id":40,"status_id":1,"priority_id":2,"assigned_to_id":338,"start_date":"2017-11-22","description":"","custom_fields":[{"id":1,"name":"Subdivision","value":"NW"},{"id":4,"name":"Milepost","value":"5.8929"},{"id":17,"name":"Train ID","value":"845-22"},{"id":16,"name":"Locomotive ID","value":"4024"},{"id":130,"name":"Impact","value":""},{"id":150,"name":"Time of Event (Mountain Time)","value":"21:22:07"},{"id":151,"name":"Denver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91"/>
        <v>start /low /b %USERPROFILE%\Documents\GitHub\eaglep3\Utilities\DownloadLogsFromS3.py --loco 4024 --day 2017-11-22</v>
      </c>
      <c r="AN205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04:22:07"},{"id":29,"name":"Sharepoint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93"/>
        <v>https://d0f6bd738d7f1b3e5a7ca70fe4ff75f0.us-east-1.aws.found.io/app/kibana#/discover/Steve-Slow-Train-Analysis-(2080s-and-2083s)?_g=(refreshInterval:(display:Off,pause:!f,section:0,value:0),time:(from:'2017-11-22T20:04:55-0700',mode:absolute,to:'2017-11-22T22:22:07-0700'))&amp;_a=(columns:!('Message%20ID',Summary),filters:!(),index:'emp_*',interval:auto,query:(query_string:(analyze_wildcard:!t,query:'%22rtdc.l.rtdc.4024%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4" customFormat="1" x14ac:dyDescent="0.3">
      <c r="A206" s="230" t="s">
        <v>1128</v>
      </c>
      <c r="B206" s="226">
        <v>4023</v>
      </c>
      <c r="C206" s="228" t="s">
        <v>192</v>
      </c>
      <c r="D206" s="228" t="s">
        <v>1089</v>
      </c>
      <c r="E206" s="227">
        <v>43061.87841435185</v>
      </c>
      <c r="F206" s="227">
        <v>43061.942164351851</v>
      </c>
      <c r="G206" s="226">
        <v>77</v>
      </c>
      <c r="H206" s="228" t="s">
        <v>1092</v>
      </c>
      <c r="I206" s="227">
        <v>43061.954236111109</v>
      </c>
      <c r="J206" s="226">
        <v>0</v>
      </c>
      <c r="K206" s="238" t="str">
        <f t="shared" ref="K206" si="117">IF(ISEVEN(B206),(B206-1)&amp;"/"&amp;B206,B206&amp;"/"&amp;(B206+1))</f>
        <v>4023/4024</v>
      </c>
      <c r="L206" s="246" t="s">
        <v>1129</v>
      </c>
      <c r="M206" s="225">
        <f t="shared" ref="M206" si="118">I206-F206</f>
        <v>1.2071759258105885E-2</v>
      </c>
      <c r="N206" s="226">
        <f t="shared" si="116"/>
        <v>17.383333331672475</v>
      </c>
      <c r="O206" s="226"/>
      <c r="P206" s="226"/>
      <c r="Q206" s="229"/>
      <c r="R206" s="243"/>
      <c r="S206" s="250">
        <f t="shared" ref="S206" si="119">1/IF(AG206="EC",12,1)*SUM(U206:U206)</f>
        <v>1</v>
      </c>
      <c r="T206" s="243" t="str">
        <f t="shared" ref="T206" si="120">IF(ISEVEN(LEFT(AD206,4)),"Southbound","NorthBound")</f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ref="V206" si="12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-22T20:04:55-0700',mode:absolute,to:'2017-11-22T23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48" t="str">
        <f>IF(AA206&lt;VLOOKUP(AG206,Variables!$AC$3:$AD$8,2,FALSE),"Y","N")</f>
        <v>N</v>
      </c>
      <c r="X206" s="248">
        <f t="shared" si="115"/>
        <v>1</v>
      </c>
      <c r="Y206" s="248">
        <v>5.8623000000000003</v>
      </c>
      <c r="Z206" s="248">
        <v>6.9099999999999995E-2</v>
      </c>
      <c r="AA206" s="248">
        <f t="shared" ref="AA206" si="122">ABS(Z206-Y206)</f>
        <v>5.7932000000000006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ref="AD206" si="123">VALUE(LEFT(A206,LEN(A206)-3))</f>
        <v>846</v>
      </c>
      <c r="AE206" s="236" t="str">
        <f t="shared" ref="AE206" si="124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206" s="235" t="str">
        <f t="shared" ref="AF206" si="125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/stypes="app*4023*20171123*" /stext=" 05:.+((SYSTEM_STATE.+slice.+state.+changed )|(ment ac)|(multiple cpu faults)|(system.+state.+changed )|(\[timeout)|(PRM\|1\|D)|(kpr)|(kdp)|(train st.+moving)|(\|lc)|(penalty))"</v>
      </c>
      <c r="AG206" s="245" t="str">
        <f t="shared" ref="AG206" si="126">DetSubdiv(A206)</f>
        <v>NW</v>
      </c>
      <c r="AH206" s="237" t="str">
        <f t="shared" ref="AH206" si="12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846-22 --locoid 4023 --swversion DE.1.0.9.0 --startMP 204:1163 --initTime 2017-11-22T21:04:55 --startdatetime 2017-11-22T22:36:43 --delay 77 --endMP 204:691 --enddatetime 2017-11-22T22:54:06 --enforcementcount 0 &gt;&gt;%USERPROFILE%\Documents\GitHub\eaglep3-reporting\EC\2017-11-22-refined-times.txt</v>
      </c>
      <c r="AI206" s="239" t="str">
        <f t="shared" ref="AI206" si="12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{"issue":{"subject":"","project_id":79,"tracker_id":40,"status_id":1,"priority_id":2,"assigned_to_id":338,"start_date":"2017-11-22","description":"","custom_fields":[{"id":1,"name":"Subdivision","value":"NW"},{"id":4,"name":"Milepost","value":"0.0691"},{"id":17,"name":"Train ID","value":"846-22"},{"id":16,"name":"Locomotive ID","value":"4023"},{"id":130,"name":"Impact","value":""},{"id":150,"name":"Time of Event (Mountain Time)","value":"22:54:06"},{"id":151,"name":"Denver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2"/>
      <c r="AL206" s="232"/>
      <c r="AM206" s="241" t="str">
        <f t="shared" ref="AM206" si="129">"start /low /b "&amp;dls3logs&amp;" --loco "&amp;B206&amp;" --day "&amp;TEXT(F206,"YYYY-MM-DD")</f>
        <v>start /low /b %USERPROFILE%\Documents\GitHub\eaglep3\Utilities\DownloadLogsFromS3.py --loco 4023 --day 2017-11-22</v>
      </c>
      <c r="AN206" s="242" t="str">
        <f t="shared" ref="AN206" si="13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ref="AO206" si="131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-11-22T20:04:55-0700',mode:absolute,to:'2017-11-22T23:54:06-0700'))&amp;_a=(columns:!('Message%20ID',Summary),filters:!(),index:'emp_*',interval:auto,query:(query_string:(analyze_wildcard:!t,query:'%22rtdc.l.rtdc.4023%22')),sort:!(Time.ISO8601,asc))</v>
      </c>
    </row>
    <row r="207" spans="1:91" s="20" customFormat="1" x14ac:dyDescent="0.3">
      <c r="A207" s="230" t="s">
        <v>868</v>
      </c>
      <c r="B207" s="226">
        <v>4024</v>
      </c>
      <c r="C207" s="228" t="s">
        <v>192</v>
      </c>
      <c r="D207" s="228" t="s">
        <v>1090</v>
      </c>
      <c r="E207" s="227">
        <v>43061.920624999999</v>
      </c>
      <c r="F207" s="227">
        <v>43061.923460648148</v>
      </c>
      <c r="G207" s="226">
        <v>53</v>
      </c>
      <c r="H207" s="228" t="s">
        <v>1091</v>
      </c>
      <c r="I207" s="227">
        <v>43061.932939814818</v>
      </c>
      <c r="J207" s="226">
        <v>0</v>
      </c>
      <c r="K207" s="238" t="str">
        <f t="shared" ref="K207:K241" si="132">IF(ISEVEN(B207),(B207-1)&amp;"/"&amp;B207,B207&amp;"/"&amp;(B207+1))</f>
        <v>4023/4024</v>
      </c>
      <c r="L207" s="246" t="str">
        <f>VLOOKUP(A207,'Trips&amp;Operators'!$C$1:$G$99911,5,FALSE)</f>
        <v>STAMBAUGH JAMES</v>
      </c>
      <c r="M207" s="225">
        <f t="shared" ref="M207:M241" si="133">I207-F207</f>
        <v>9.4791666706441902E-3</v>
      </c>
      <c r="N207" s="226">
        <f t="shared" si="116"/>
        <v>13.650000005727634</v>
      </c>
      <c r="O207" s="226"/>
      <c r="P207" s="226"/>
      <c r="Q207" s="229"/>
      <c r="R207" s="243"/>
      <c r="S207" s="250">
        <f t="shared" si="106"/>
        <v>1</v>
      </c>
      <c r="T207" s="243" t="str">
        <f t="shared" ref="T207:T241" si="134">IF(ISEVEN(LEFT(AD207,4)),"Southbound","NorthBound")</f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ref="V207:V241" si="135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-22T21:05:42-0700',mode:absolute,to:'2017-11-22T23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7" s="248" t="str">
        <f>IF(AA207&lt;VLOOKUP(AG207,Variables!$AC$3:$AD$8,2,FALSE),"Y","N")</f>
        <v>N</v>
      </c>
      <c r="X207" s="248">
        <f t="shared" si="115"/>
        <v>1</v>
      </c>
      <c r="Y207" s="248">
        <f t="shared" si="113"/>
        <v>0.1027</v>
      </c>
      <c r="Z207" s="248">
        <f t="shared" si="114"/>
        <v>5.8939000000000004</v>
      </c>
      <c r="AA207" s="248">
        <f t="shared" ref="AA207:AA241" si="136">ABS(Z207-Y207)</f>
        <v>5.7912000000000008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ref="AD207:AD241" si="137">VALUE(LEFT(A207,LEN(A207)-3))</f>
        <v>847</v>
      </c>
      <c r="AE207" s="236" t="str">
        <f t="shared" ref="AE207:AE241" si="138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207" s="235" t="str">
        <f t="shared" ref="AF207:AF241" si="139"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/stypes="app*4024*20171123*" /stext=" 05:.+((SYSTEM_STATE.+slice.+state.+changed )|(ment ac)|(multiple cpu faults)|(system.+state.+changed )|(\[timeout)|(PRM\|1\|D)|(kpr)|(kdp)|(train st.+moving)|(\|lc)|(penalty))"</v>
      </c>
      <c r="AG207" s="245" t="str">
        <f t="shared" ref="AG207:AG241" si="140">DetSubdiv(A207)</f>
        <v>NW</v>
      </c>
      <c r="AH207" s="237" t="str">
        <f t="shared" si="89"/>
        <v>"%USERPROFILE%\Documents\GitHub\eaglep3\Utilities\RefineRTDCRunTimes.py" --tripid 847-22 --locoid 4024 --swversion DE.1.0.9.0 --startMP 204:1027 --initTime 2017-11-22T22:05:42 --startdatetime 2017-11-22T22:09:47 --delay 53 --endMP 300:58939 --enddatetime 2017-11-22T22:23:26 --enforcementcount 0 &gt;&gt;%USERPROFILE%\Documents\GitHub\eaglep3-reporting\EC\2017-11-22-refined-times.txt</v>
      </c>
      <c r="AI207" s="239" t="str">
        <f t="shared" si="90"/>
        <v>echo {"issue":{"subject":"","project_id":79,"tracker_id":40,"status_id":1,"priority_id":2,"assigned_to_id":338,"start_date":"2017-11-22","description":"","custom_fields":[{"id":1,"name":"Subdivision","value":"NW"},{"id":4,"name":"Milepost","value":"5.8939"},{"id":17,"name":"Train ID","value":"847-22"},{"id":16,"name":"Locomotive ID","value":"4024"},{"id":130,"name":"Impact","value":""},{"id":150,"name":"Time of Event (Mountain Time)","value":"22:23:26"},{"id":151,"name":"Denver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si="91"/>
        <v>start /low /b %USERPROFILE%\Documents\GitHub\eaglep3\Utilities\DownloadLogsFromS3.py --loco 4024 --day 2017-11-22</v>
      </c>
      <c r="AN207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93"/>
        <v>https://d0f6bd738d7f1b3e5a7ca70fe4ff75f0.us-east-1.aws.found.io/app/kibana#/discover/Steve-Slow-Train-Analysis-(2080s-and-2083s)?_g=(refreshInterval:(display:Off,pause:!f,section:0,value:0),time:(from:'2017-11-22T21:05:42-0700',mode:absolute,to:'2017-11-22T23:23:26-0700'))&amp;_a=(columns:!('Message%20ID',Summary),filters:!(),index:'emp_*',interval:auto,query:(query_string:(analyze_wildcard:!t,query:'%22rtdc.l.rtdc.4024%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4" customFormat="1" x14ac:dyDescent="0.3">
      <c r="A208" s="230" t="s">
        <v>1130</v>
      </c>
      <c r="B208" s="226">
        <v>4024</v>
      </c>
      <c r="C208" s="228" t="s">
        <v>192</v>
      </c>
      <c r="D208" s="228" t="s">
        <v>1090</v>
      </c>
      <c r="E208" s="227">
        <v>43061.920624999999</v>
      </c>
      <c r="F208" s="227">
        <v>43061.964907407404</v>
      </c>
      <c r="G208" s="226">
        <v>77</v>
      </c>
      <c r="H208" s="228" t="s">
        <v>1092</v>
      </c>
      <c r="I208" s="227">
        <v>43061.973865740743</v>
      </c>
      <c r="J208" s="226">
        <v>0</v>
      </c>
      <c r="K208" s="238" t="str">
        <f t="shared" ref="K208" si="141">IF(ISEVEN(B208),(B208-1)&amp;"/"&amp;B208,B208&amp;"/"&amp;(B208+1))</f>
        <v>4023/4024</v>
      </c>
      <c r="L208" s="246" t="s">
        <v>1129</v>
      </c>
      <c r="M208" s="225">
        <f t="shared" ref="M208" si="142">I208-F208</f>
        <v>8.9583333392511122E-3</v>
      </c>
      <c r="N208" s="226">
        <f t="shared" si="116"/>
        <v>12.900000008521602</v>
      </c>
      <c r="O208" s="226"/>
      <c r="P208" s="226"/>
      <c r="Q208" s="229"/>
      <c r="R208" s="243"/>
      <c r="S208" s="250">
        <f t="shared" ref="S208" si="143">1/IF(AG208="EC",12,1)*SUM(U208:U208)</f>
        <v>1</v>
      </c>
      <c r="T208" s="243" t="str">
        <f t="shared" ref="T208" si="144">IF(ISEVEN(LEFT(AD208,4)),"Southbound","NorthBound")</f>
        <v>NorthBound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ref="V208" si="145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-22T21:05:42-0700',mode:absolute,to:'2017-11-23T00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8" s="248" t="str">
        <f>IF(AA208&lt;VLOOKUP(AG208,Variables!$AC$3:$AD$8,2,FALSE),"Y","N")</f>
        <v>N</v>
      </c>
      <c r="X208" s="248">
        <f t="shared" si="115"/>
        <v>2</v>
      </c>
      <c r="Y208" s="248">
        <v>0.1202</v>
      </c>
      <c r="Z208" s="248">
        <v>5.8929</v>
      </c>
      <c r="AA208" s="248">
        <f t="shared" ref="AA208" si="146">ABS(Z208-Y208)</f>
        <v>5.7727000000000004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ref="AD208" si="147">VALUE(LEFT(A208,LEN(A208)-3))</f>
        <v>849</v>
      </c>
      <c r="AE208" s="236" t="str">
        <f t="shared" ref="AE208" si="148"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208" s="235" t="str">
        <f t="shared" ref="AF208" si="149"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/stypes="app*4024*20171123*" /stext=" 06:.+((SYSTEM_STATE.+slice.+state.+changed )|(ment ac)|(multiple cpu faults)|(system.+state.+changed )|(\[timeout)|(PRM\|1\|D)|(kpr)|(kdp)|(train st.+moving)|(\|lc)|(penalty))"</v>
      </c>
      <c r="AG208" s="245" t="str">
        <f t="shared" ref="AG208" si="150">DetSubdiv(A208)</f>
        <v>NW</v>
      </c>
      <c r="AH208" s="237" t="str">
        <f t="shared" ref="AH208" si="151"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849-22 --locoid 4024 --swversion DE.1.0.9.0 --startMP 204:1027 --initTime 2017-11-22T22:05:42 --startdatetime 2017-11-22T23:09:28 --delay 77 --endMP 204:691 --enddatetime 2017-11-22T23:22:22 --enforcementcount 0 &gt;&gt;%USERPROFILE%\Documents\GitHub\eaglep3-reporting\EC\2017-11-22-refined-times.txt</v>
      </c>
      <c r="AI208" s="239" t="str">
        <f t="shared" ref="AI208" si="152"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{"issue":{"subject":"","project_id":79,"tracker_id":40,"status_id":1,"priority_id":2,"assigned_to_id":338,"start_date":"2017-11-22","description":"","custom_fields":[{"id":1,"name":"Subdivision","value":"NW"},{"id":4,"name":"Milepost","value":"5.8929"},{"id":17,"name":"Train ID","value":"849-22"},{"id":16,"name":"Locomotive ID","value":"4024"},{"id":130,"name":"Impact","value":""},{"id":150,"name":"Time of Event (Mountain Time)","value":"23:22:22"},{"id":151,"name":"Denver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2"/>
      <c r="AL208" s="232"/>
      <c r="AM208" s="241" t="str">
        <f t="shared" ref="AM208" si="153">"start /low /b "&amp;dls3logs&amp;" --loco "&amp;B208&amp;" --day "&amp;TEXT(F208,"YYYY-MM-DD")</f>
        <v>start /low /b %USERPROFILE%\Documents\GitHub\eaglep3\Utilities\DownloadLogsFromS3.py --loco 4024 --day 2017-11-22</v>
      </c>
      <c r="AN208" s="242" t="str">
        <f t="shared" ref="AN208" si="154"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ref="AO208" si="155"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-11-22T21:05:42-0700',mode:absolute,to:'2017-11-23T00:22:22-0700'))&amp;_a=(columns:!('Message%20ID',Summary),filters:!(),index:'emp_*',interval:auto,query:(query_string:(analyze_wildcard:!t,query:'%22rtdc.l.rtdc.4024%22')),sort:!(Time.ISO8601,asc))</v>
      </c>
    </row>
    <row r="209" spans="1:91" s="20" customFormat="1" x14ac:dyDescent="0.3">
      <c r="A209" s="230" t="s">
        <v>672</v>
      </c>
      <c r="B209" s="226">
        <v>4017</v>
      </c>
      <c r="C209" s="228" t="s">
        <v>192</v>
      </c>
      <c r="D209" s="228" t="s">
        <v>1002</v>
      </c>
      <c r="E209" s="227">
        <v>43061.116550925923</v>
      </c>
      <c r="F209" s="227">
        <v>25568.708333333332</v>
      </c>
      <c r="G209" s="226">
        <v>69</v>
      </c>
      <c r="H209" s="228" t="s">
        <v>1003</v>
      </c>
      <c r="I209" s="227">
        <v>25568.708333333332</v>
      </c>
      <c r="J209" s="226">
        <v>0</v>
      </c>
      <c r="K209" s="238" t="str">
        <f t="shared" si="132"/>
        <v>4017/4018</v>
      </c>
      <c r="L209" s="246" t="str">
        <f>VLOOKUP(A209,'Trips&amp;Operators'!$C$1:$G$99911,5,FALSE)</f>
        <v>BONDS REYNALDO</v>
      </c>
      <c r="M209" s="225">
        <f t="shared" si="133"/>
        <v>0</v>
      </c>
      <c r="N209" s="226">
        <f t="shared" si="116"/>
        <v>0</v>
      </c>
      <c r="O209" s="226"/>
      <c r="P209" s="226"/>
      <c r="Q209" s="229"/>
      <c r="R209" s="243"/>
      <c r="S209" s="250">
        <f t="shared" si="106"/>
        <v>0</v>
      </c>
      <c r="T209" s="243" t="str">
        <f t="shared" si="134"/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9" t="str">
        <f t="shared" si="135"/>
        <v>https://d0f6bd738d7f1b3e5a7ca70fe4ff75f0.us-east-1.aws.found.io/app/kibana#/discover/Steve-Slow-Train-Analysis-(2080s-and-2083s)?_g=(refreshInterval:(display:Off,pause:!f,section:0,value:0),time:(from:'2017-11-22T01:47:50-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248" t="str">
        <f>IF(AA209&lt;VLOOKUP(AG209,Variables!$AC$3:$AD$8,2,FALSE),"Y","N")</f>
        <v>Y</v>
      </c>
      <c r="X209" s="248">
        <f t="shared" si="115"/>
        <v>-549</v>
      </c>
      <c r="Y209" s="248">
        <f t="shared" si="113"/>
        <v>0.3231</v>
      </c>
      <c r="Z209" s="248">
        <f t="shared" si="114"/>
        <v>0.1182</v>
      </c>
      <c r="AA209" s="248">
        <f t="shared" si="136"/>
        <v>0.2049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37"/>
        <v>300</v>
      </c>
      <c r="AE209" s="236" t="str">
        <f t="shared" si="138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09" s="235" t="str">
        <f t="shared" si="139"/>
        <v>"C:\Program Files (x86)\AstroGrep\AstroGrep.exe" /e /r /s /spath="%USERPROFILE%\AppData\Local\Temp\OnboardLogs" /stypes="app*4017*19700101*" /stext=" 00:.+((SYSTEM_STATE.+slice.+state.+changed )|(ment ac)|(multiple cpu faults)|(system.+state.+changed )|(\[timeout)|(PRM\|1\|D)|(kpr)|(kdp)|(train st.+moving)|(\|lc)|(penalty))"</v>
      </c>
      <c r="AG209" s="245" t="str">
        <f t="shared" si="140"/>
        <v>Other</v>
      </c>
      <c r="AH209" s="237" t="str">
        <f t="shared" si="89"/>
        <v>"%USERPROFILE%\Documents\GitHub\eaglep3\Utilities\RefineRTDCRunTimes.py" --tripid 300-22 --locoid 4017 --swversion DE.1.0.9.0 --startMP 204:3231 --initTime 2017-11-22T02:47:50 --startdatetime 1969-12-31T17:00:00 --delay 69 --endMP 204:1182 --enddatetime 1969-12-31T17:00:00 --enforcementcount 0 &gt;&gt;%USERPROFILE%\Documents\GitHub\eaglep3-reporting\EC\2017-11-22-refined-times.txt</v>
      </c>
      <c r="AI209" s="239" t="str">
        <f t="shared" si="90"/>
        <v>echo {"issue":{"subject":"","project_id":79,"tracker_id":40,"status_id":1,"priority_id":2,"assigned_to_id":338,"start_date":"1969-12-31","description":"","custom_fields":[{"id":1,"name":"Subdivision","value":"Other"},{"id":4,"name":"Milepost","value":"0.1182"},{"id":17,"name":"Train ID","value":"300-22"},{"id":16,"name":"Locomotive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91"/>
        <v>start /low /b %USERPROFILE%\Documents\GitHub\eaglep3\Utilities\DownloadLogsFromS3.py --loco 4017 --day 1969-12-31</v>
      </c>
      <c r="AN209" s="242" t="str">
        <f t="shared" si="92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93"/>
        <v>https://d0f6bd738d7f1b3e5a7ca70fe4ff75f0.us-east-1.aws.found.io/app/kibana#/discover/Steve-Slow-Train-Analysis-(2080s-and-2083s)?_g=(refreshInterval:(display:Off,pause:!f,section:0,value:0),time:(from:'2017-11-22T01:47:50-0700',mode:absolute,to:'1969-12-31T18:00:00-0700'))&amp;_a=(columns:!('Message%20ID',Summary),filters:!(),index:'emp_*',interval:auto,query:(query_string:(analyze_wildcard:!t,query:'%22rtdc.l.rtdc.4017%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30" t="s">
        <v>848</v>
      </c>
      <c r="B210" s="226">
        <v>4050</v>
      </c>
      <c r="C210" s="228" t="s">
        <v>192</v>
      </c>
      <c r="D210" s="228" t="s">
        <v>1004</v>
      </c>
      <c r="E210" s="227">
        <v>43061.779016203705</v>
      </c>
      <c r="F210" s="227">
        <v>43061.780405092592</v>
      </c>
      <c r="G210" s="226">
        <v>47</v>
      </c>
      <c r="H210" s="228" t="s">
        <v>522</v>
      </c>
      <c r="I210" s="227">
        <v>43061.787743055553</v>
      </c>
      <c r="J210" s="226">
        <v>0</v>
      </c>
      <c r="K210" s="238" t="str">
        <f t="shared" si="132"/>
        <v>4049/4050</v>
      </c>
      <c r="L210" s="246" t="str">
        <f>VLOOKUP(A210,'Trips&amp;Operators'!$C$1:$G$99911,5,FALSE)</f>
        <v>ANDREA WILLIAMS</v>
      </c>
      <c r="M210" s="225">
        <f t="shared" si="133"/>
        <v>7.3379629611736163E-3</v>
      </c>
      <c r="N210" s="226">
        <f t="shared" si="116"/>
        <v>10.566666664090008</v>
      </c>
      <c r="O210" s="226"/>
      <c r="P210" s="226"/>
      <c r="Q210" s="229"/>
      <c r="R210" s="243"/>
      <c r="S210" s="250">
        <f t="shared" si="106"/>
        <v>1</v>
      </c>
      <c r="T210" s="243" t="str">
        <f t="shared" si="134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35"/>
        <v>https://d0f6bd738d7f1b3e5a7ca70fe4ff75f0.us-east-1.aws.found.io/app/kibana#/discover/Steve-Slow-Train-Analysis-(2080s-and-2083s)?_g=(refreshInterval:(display:Off,pause:!f,section:0,value:0),time:(from:'2017-11-22T17:41:47-0700',mode:absolute,to:'2017-11-22T19:54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0" s="248" t="str">
        <f>IF(AA210&lt;VLOOKUP(AG210,Variables!$AC$3:$AD$8,2,FALSE),"Y","N")</f>
        <v>Y</v>
      </c>
      <c r="X210" s="248">
        <f t="shared" si="115"/>
        <v>1</v>
      </c>
      <c r="Y210" s="248">
        <f t="shared" si="113"/>
        <v>6.3700000000000007E-2</v>
      </c>
      <c r="Z210" s="248">
        <f t="shared" si="114"/>
        <v>2.3302</v>
      </c>
      <c r="AA210" s="248">
        <f t="shared" si="136"/>
        <v>2.2665000000000002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37"/>
        <v>301</v>
      </c>
      <c r="AE210" s="236" t="str">
        <f t="shared" si="138"/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AF210" s="235" t="str">
        <f t="shared" si="139"/>
        <v>"C:\Program Files (x86)\AstroGrep\AstroGrep.exe" /e /r /s /spath="%USERPROFILE%\AppData\Local\Temp\OnboardLogs" /stypes="app*4050*20171123*" /stext=" 01:.+((SYSTEM_STATE.+slice.+state.+changed )|(ment ac)|(multiple cpu faults)|(system.+state.+changed )|(\[timeout)|(PRM\|1\|D)|(kpr)|(kdp)|(train st.+moving)|(\|lc)|(penalty))"</v>
      </c>
      <c r="AG210" s="245" t="str">
        <f t="shared" si="140"/>
        <v>Other</v>
      </c>
      <c r="AH210" s="237" t="str">
        <f t="shared" si="89"/>
        <v>"%USERPROFILE%\Documents\GitHub\eaglep3\Utilities\RefineRTDCRunTimes.py" --tripid 301-22 --locoid 4050 --swversion DE.1.0.9.0 --startMP 204:637 --initTime 2017-11-22T18:41:47 --startdatetime 2017-11-22T18:43:47 --delay 47 --endMP 300:23302 --enddatetime 2017-11-22T18:54:21 --enforcementcount 0 &gt;&gt;%USERPROFILE%\Documents\GitHub\eaglep3-reporting\EC\2017-11-22-refined-times.txt</v>
      </c>
      <c r="AI210" s="239" t="str">
        <f t="shared" si="90"/>
        <v>echo {"issue":{"subject":"","project_id":79,"tracker_id":40,"status_id":1,"priority_id":2,"assigned_to_id":338,"start_date":"2017-11-22","description":"","custom_fields":[{"id":1,"name":"Subdivision","value":"Other"},{"id":4,"name":"Milepost","value":"2.3302"},{"id":17,"name":"Train ID","value":"301-22"},{"id":16,"name":"Locomotive ID","value":"4050"},{"id":130,"name":"Impact","value":""},{"id":150,"name":"Time of Event (Mountain Time)","value":"18:54:21"},{"id":151,"name":"Denver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91"/>
        <v>start /low /b %USERPROFILE%\Documents\GitHub\eaglep3\Utilities\DownloadLogsFromS3.py --loco 4050 --day 2017-11-22</v>
      </c>
      <c r="AN210" s="242" t="str">
        <f t="shared" si="92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01:54:21"},{"id":29,"name":"Sharepoint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93"/>
        <v>https://d0f6bd738d7f1b3e5a7ca70fe4ff75f0.us-east-1.aws.found.io/app/kibana#/discover/Steve-Slow-Train-Analysis-(2080s-and-2083s)?_g=(refreshInterval:(display:Off,pause:!f,section:0,value:0),time:(from:'2017-11-22T17:41:47-0700',mode:absolute,to:'2017-11-22T19:54:21-0700'))&amp;_a=(columns:!('Message%20ID',Summary),filters:!(),index:'emp_*',interval:auto,query:(query_string:(analyze_wildcard:!t,query:'%22rtdc.l.rtdc.4050%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30" t="s">
        <v>677</v>
      </c>
      <c r="B211" s="226">
        <v>4049</v>
      </c>
      <c r="C211" s="228" t="s">
        <v>192</v>
      </c>
      <c r="D211" s="228" t="s">
        <v>1005</v>
      </c>
      <c r="E211" s="227">
        <v>43061.140775462962</v>
      </c>
      <c r="F211" s="227">
        <v>43061.1484837963</v>
      </c>
      <c r="G211" s="226">
        <v>461</v>
      </c>
      <c r="H211" s="228" t="s">
        <v>583</v>
      </c>
      <c r="I211" s="227">
        <v>43061.154756944445</v>
      </c>
      <c r="J211" s="226">
        <v>0</v>
      </c>
      <c r="K211" s="238" t="str">
        <f t="shared" si="132"/>
        <v>4049/4050</v>
      </c>
      <c r="L211" s="246" t="str">
        <f>VLOOKUP(A211,'Trips&amp;Operators'!$C$1:$G$99911,5,FALSE)</f>
        <v>THOMPSON LESTER</v>
      </c>
      <c r="M211" s="225">
        <f t="shared" si="133"/>
        <v>6.2731481448281556E-3</v>
      </c>
      <c r="N211" s="226">
        <f t="shared" si="116"/>
        <v>9.0333333285525441</v>
      </c>
      <c r="O211" s="226"/>
      <c r="P211" s="226"/>
      <c r="Q211" s="229"/>
      <c r="R211" s="243"/>
      <c r="S211" s="250">
        <f t="shared" si="106"/>
        <v>1</v>
      </c>
      <c r="T211" s="243" t="str">
        <f t="shared" si="134"/>
        <v>Southbound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135"/>
        <v>https://d0f6bd738d7f1b3e5a7ca70fe4ff75f0.us-east-1.aws.found.io/app/kibana#/discover/Steve-Slow-Train-Analysis-(2080s-and-2083s)?_g=(refreshInterval:(display:Off,pause:!f,section:0,value:0),time:(from:'2017-11-22T02:22:43-0700',mode:absolute,to:'2017-11-22T04:42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1" s="248" t="str">
        <f>IF(AA211&lt;VLOOKUP(AG211,Variables!$AC$3:$AD$8,2,FALSE),"Y","N")</f>
        <v>Y</v>
      </c>
      <c r="X211" s="248">
        <f t="shared" si="115"/>
        <v>1</v>
      </c>
      <c r="Y211" s="248">
        <f t="shared" si="113"/>
        <v>2.3599000000000001</v>
      </c>
      <c r="Z211" s="248">
        <f t="shared" si="114"/>
        <v>1.4500000000000001E-2</v>
      </c>
      <c r="AA211" s="248">
        <f t="shared" si="136"/>
        <v>2.3454000000000002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37"/>
        <v>302</v>
      </c>
      <c r="AE211" s="236" t="str">
        <f t="shared" si="138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211" s="235" t="str">
        <f t="shared" si="139"/>
        <v>"C:\Program Files (x86)\AstroGrep\AstroGrep.exe" /e /r /s /spath="%USERPROFILE%\AppData\Local\Temp\OnboardLogs" /stypes="app*4049*20171122*" /stext=" 10:.+((SYSTEM_STATE.+slice.+state.+changed )|(ment ac)|(multiple cpu faults)|(system.+state.+changed )|(\[timeout)|(PRM\|1\|D)|(kpr)|(kdp)|(train st.+moving)|(\|lc)|(penalty))"</v>
      </c>
      <c r="AG211" s="245" t="str">
        <f t="shared" si="140"/>
        <v>Other</v>
      </c>
      <c r="AH211" s="237" t="str">
        <f t="shared" si="89"/>
        <v>"%USERPROFILE%\Documents\GitHub\eaglep3\Utilities\RefineRTDCRunTimes.py" --tripid 302-22 --locoid 4049 --swversion DE.1.0.9.0 --startMP 300:23599 --initTime 2017-11-22T03:22:43 --startdatetime 2017-11-22T03:33:49 --delay 461 --endMP 204:145 --enddatetime 2017-11-22T03:42:51 --enforcementcount 0 &gt;&gt;%USERPROFILE%\Documents\GitHub\eaglep3-reporting\EC\2017-11-22-refined-times.txt</v>
      </c>
      <c r="AI211" s="239" t="str">
        <f t="shared" si="90"/>
        <v>echo {"issue":{"subject":"","project_id":79,"tracker_id":40,"status_id":1,"priority_id":2,"assigned_to_id":338,"start_date":"2017-11-22","description":"","custom_fields":[{"id":1,"name":"Subdivision","value":"Other"},{"id":4,"name":"Milepost","value":"0.0145"},{"id":17,"name":"Train ID","value":"302-22"},{"id":16,"name":"Locomotive ID","value":"4049"},{"id":130,"name":"Impact","value":""},{"id":150,"name":"Time of Event (Mountain Time)","value":"03:42:51"},{"id":151,"name":"Denver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91"/>
        <v>start /low /b %USERPROFILE%\Documents\GitHub\eaglep3\Utilities\DownloadLogsFromS3.py --loco 4049 --day 2017-11-22</v>
      </c>
      <c r="AN211" s="242" t="str">
        <f t="shared" si="92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10:42:51"},{"id":29,"name":"Sharepoint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93"/>
        <v>https://d0f6bd738d7f1b3e5a7ca70fe4ff75f0.us-east-1.aws.found.io/app/kibana#/discover/Steve-Slow-Train-Analysis-(2080s-and-2083s)?_g=(refreshInterval:(display:Off,pause:!f,section:0,value:0),time:(from:'2017-11-22T02:22:43-0700',mode:absolute,to:'2017-11-22T04:42:51-0700'))&amp;_a=(columns:!('Message%20ID',Summary),filters:!(),index:'emp_*',interval:auto,query:(query_string:(analyze_wildcard:!t,query:'%22rtdc.l.rtdc.4049%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30" t="s">
        <v>853</v>
      </c>
      <c r="B212" s="226">
        <v>4020</v>
      </c>
      <c r="C212" s="228" t="s">
        <v>192</v>
      </c>
      <c r="D212" s="228" t="s">
        <v>612</v>
      </c>
      <c r="E212" s="227">
        <v>43061.797048611108</v>
      </c>
      <c r="F212" s="227">
        <v>43061.801701388889</v>
      </c>
      <c r="G212" s="226">
        <v>55</v>
      </c>
      <c r="H212" s="228" t="s">
        <v>1006</v>
      </c>
      <c r="I212" s="227">
        <v>43061.807997685188</v>
      </c>
      <c r="J212" s="226">
        <v>0</v>
      </c>
      <c r="K212" s="238" t="str">
        <f t="shared" si="132"/>
        <v>4019/4020</v>
      </c>
      <c r="L212" s="246" t="str">
        <f>VLOOKUP(A212,'Trips&amp;Operators'!$C$1:$G$99911,5,FALSE)</f>
        <v>BERLING GARY</v>
      </c>
      <c r="M212" s="225">
        <f t="shared" si="133"/>
        <v>6.2962962983874604E-3</v>
      </c>
      <c r="N212" s="226">
        <f t="shared" si="116"/>
        <v>9.066666669677943</v>
      </c>
      <c r="O212" s="226"/>
      <c r="P212" s="226"/>
      <c r="Q212" s="229"/>
      <c r="R212" s="243"/>
      <c r="S212" s="250">
        <f t="shared" si="106"/>
        <v>1</v>
      </c>
      <c r="T212" s="243" t="str">
        <f t="shared" si="134"/>
        <v>NorthBound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135"/>
        <v>https://d0f6bd738d7f1b3e5a7ca70fe4ff75f0.us-east-1.aws.found.io/app/kibana#/discover/Steve-Slow-Train-Analysis-(2080s-and-2083s)?_g=(refreshInterval:(display:Off,pause:!f,section:0,value:0),time:(from:'2017-11-22T18:07:45-0700',mode:absolute,to:'2017-11-22T20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248" t="str">
        <f>IF(AA212&lt;VLOOKUP(AG212,Variables!$AC$3:$AD$8,2,FALSE),"Y","N")</f>
        <v>Y</v>
      </c>
      <c r="X212" s="248">
        <f t="shared" si="115"/>
        <v>1</v>
      </c>
      <c r="Y212" s="248">
        <f t="shared" si="113"/>
        <v>5.3100000000000001E-2</v>
      </c>
      <c r="Z212" s="248">
        <f t="shared" si="114"/>
        <v>2.3346</v>
      </c>
      <c r="AA212" s="248">
        <f t="shared" si="136"/>
        <v>2.2814999999999999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37"/>
        <v>303</v>
      </c>
      <c r="AE212" s="236" t="str">
        <f t="shared" si="138"/>
        <v>aws s3 cp s3://rtdc.mdm.uploadarchive.raw/RTDC4020/ "%USERPROFILE%\AppData\Local\Temp\OnboardLogs"\RTDC4020\2017-11-22 --exclude "*" --recursive --include "*20171122*" &amp; "%USERPROFILE%\Documents\GitHub\mrs-test-scripts\Headless Mode &amp; Sideloading\WalkAndUnGZ.bat" "%USERPROFILE%\AppData\Local\Temp\OnboardLogs"\RTDC4020\2017-11-22 &amp; aws s3 cp s3://rtdc.mdm.uploadarchive.raw/RTDC4020/ "%USERPROFILE%\AppData\Local\Temp\OnboardLogs"\RTDC4020\2017-11-23 --exclude "*" --recursive --include "*20171123*" &amp; "%USERPROFILE%\Documents\GitHub\mrs-test-scripts\Headless Mode &amp; Sideloading\WalkAndUnGZ.bat" "%USERPROFILE%\AppData\Local\Temp\OnboardLogs"\RTDC4020\2017-11-23</v>
      </c>
      <c r="AF212" s="235" t="str">
        <f t="shared" si="139"/>
        <v>"C:\Program Files (x86)\AstroGrep\AstroGrep.exe" /e /r /s /spath="%USERPROFILE%\AppData\Local\Temp\OnboardLogs" /stypes="app*4020*20171123*" /stext=" 02:.+((SYSTEM_STATE.+slice.+state.+changed )|(ment ac)|(multiple cpu faults)|(system.+state.+changed )|(\[timeout)|(PRM\|1\|D)|(kpr)|(kdp)|(train st.+moving)|(\|lc)|(penalty))"</v>
      </c>
      <c r="AG212" s="245" t="str">
        <f t="shared" si="140"/>
        <v>Other</v>
      </c>
      <c r="AH212" s="237" t="str">
        <f t="shared" ref="AH212:AH241" si="156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303-22 --locoid 4020 --swversion DE.1.0.9.0 --startMP 204:531 --initTime 2017-11-22T19:07:45 --startdatetime 2017-11-22T19:14:27 --delay 55 --endMP 300:23346 --enddatetime 2017-11-22T19:23:31 --enforcementcount 0 &gt;&gt;%USERPROFILE%\Documents\GitHub\eaglep3-reporting\EC\2017-11-22-refined-times.txt</v>
      </c>
      <c r="AI212" s="239" t="str">
        <f t="shared" ref="AI212:AI241" si="157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{"issue":{"subject":"","project_id":79,"tracker_id":40,"status_id":1,"priority_id":2,"assigned_to_id":338,"start_date":"2017-11-22","description":"","custom_fields":[{"id":1,"name":"Subdivision","value":"Other"},{"id":4,"name":"Milepost","value":"2.3346"},{"id":17,"name":"Train ID","value":"303-22"},{"id":16,"name":"Locomotive ID","value":"4020"},{"id":130,"name":"Impact","value":""},{"id":150,"name":"Time of Event (Mountain Time)","value":"19:23:31"},{"id":151,"name":"Denver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ref="AM212:AM241" si="158">"start /low /b "&amp;dls3logs&amp;" --loco "&amp;B212&amp;" --day "&amp;TEXT(F212,"YYYY-MM-DD")</f>
        <v>start /low /b %USERPROFILE%\Documents\GitHub\eaglep3\Utilities\DownloadLogsFromS3.py --loco 4020 --day 2017-11-22</v>
      </c>
      <c r="AN212" s="242" t="str">
        <f t="shared" ref="AN212:AN241" si="159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ref="AO212:AO241" si="160"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-11-22T18:07:45-0700',mode:absolute,to:'2017-11-22T20:23:31-0700'))&amp;_a=(columns:!('Message%20ID',Summary),filters:!(),index:'emp_*',interval:auto,query:(query_string:(analyze_wildcard:!t,query:'%22rtdc.l.rtdc.4020%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230" t="s">
        <v>679</v>
      </c>
      <c r="B213" s="226">
        <v>4027</v>
      </c>
      <c r="C213" s="228" t="s">
        <v>192</v>
      </c>
      <c r="D213" s="228" t="s">
        <v>1007</v>
      </c>
      <c r="E213" s="227">
        <v>43061.161168981482</v>
      </c>
      <c r="F213" s="227">
        <v>43061.165196759262</v>
      </c>
      <c r="G213" s="226">
        <v>60</v>
      </c>
      <c r="H213" s="228" t="s">
        <v>621</v>
      </c>
      <c r="I213" s="227">
        <v>43061.169212962966</v>
      </c>
      <c r="J213" s="226">
        <v>0</v>
      </c>
      <c r="K213" s="238" t="str">
        <f t="shared" si="132"/>
        <v>4027/4028</v>
      </c>
      <c r="L213" s="246" t="str">
        <f>VLOOKUP(A213,'Trips&amp;Operators'!$C$1:$G$99911,5,FALSE)</f>
        <v>YORK EDGAR</v>
      </c>
      <c r="M213" s="225">
        <f t="shared" si="133"/>
        <v>4.016203703940846E-3</v>
      </c>
      <c r="N213" s="226">
        <f t="shared" si="116"/>
        <v>5.7833333336748183</v>
      </c>
      <c r="O213" s="226"/>
      <c r="P213" s="226"/>
      <c r="Q213" s="229"/>
      <c r="R213" s="243"/>
      <c r="S213" s="250">
        <f t="shared" si="106"/>
        <v>1</v>
      </c>
      <c r="T213" s="243" t="str">
        <f t="shared" si="134"/>
        <v>Southbound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 t="shared" si="135"/>
        <v>https://d0f6bd738d7f1b3e5a7ca70fe4ff75f0.us-east-1.aws.found.io/app/kibana#/discover/Steve-Slow-Train-Analysis-(2080s-and-2083s)?_g=(refreshInterval:(display:Off,pause:!f,section:0,value:0),time:(from:'2017-11-22T02:52:05-0700',mode:absolute,to:'2017-11-22T05:03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3" s="248" t="str">
        <f>IF(AA213&lt;VLOOKUP(AG213,Variables!$AC$3:$AD$8,2,FALSE),"Y","N")</f>
        <v>Y</v>
      </c>
      <c r="X213" s="248">
        <f t="shared" si="115"/>
        <v>1</v>
      </c>
      <c r="Y213" s="248">
        <f t="shared" si="113"/>
        <v>1.9759</v>
      </c>
      <c r="Z213" s="248">
        <f t="shared" si="114"/>
        <v>1.49E-2</v>
      </c>
      <c r="AA213" s="248">
        <f t="shared" si="136"/>
        <v>1.9610000000000001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37"/>
        <v>304</v>
      </c>
      <c r="AE213" s="236" t="str">
        <f t="shared" si="138"/>
        <v>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 &amp; aws s3 cp s3://rtdc.mdm.uploadarchive.raw/RTDC4027/ "%USERPROFILE%\AppData\Local\Temp\OnboardLogs"\RTDC4027\2017-11-23 --exclude "*" --recursive --include "*20171123*" &amp; "%USERPROFILE%\Documents\GitHub\mrs-test-scripts\Headless Mode &amp; Sideloading\WalkAndUnGZ.bat" "%USERPROFILE%\AppData\Local\Temp\OnboardLogs"\RTDC4027\2017-11-23</v>
      </c>
      <c r="AF213" s="235" t="str">
        <f t="shared" si="139"/>
        <v>"C:\Program Files (x86)\AstroGrep\AstroGrep.exe" /e /r /s /spath="%USERPROFILE%\AppData\Local\Temp\OnboardLogs" /stypes="app*4027*20171122*" /stext=" 11:.+((SYSTEM_STATE.+slice.+state.+changed )|(ment ac)|(multiple cpu faults)|(system.+state.+changed )|(\[timeout)|(PRM\|1\|D)|(kpr)|(kdp)|(train st.+moving)|(\|lc)|(penalty))"</v>
      </c>
      <c r="AG213" s="245" t="str">
        <f t="shared" si="140"/>
        <v>Other</v>
      </c>
      <c r="AH213" s="237" t="str">
        <f t="shared" si="156"/>
        <v>"%USERPROFILE%\Documents\GitHub\eaglep3\Utilities\RefineRTDCRunTimes.py" --tripid 304-22 --locoid 4027 --swversion DE.1.0.9.0 --startMP 300:19759 --initTime 2017-11-22T03:52:05 --startdatetime 2017-11-22T03:57:53 --delay 60 --endMP 204:149 --enddatetime 2017-11-22T04:03:40 --enforcementcount 0 &gt;&gt;%USERPROFILE%\Documents\GitHub\eaglep3-reporting\EC\2017-11-22-refined-times.txt</v>
      </c>
      <c r="AI213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{"issue":{"subject":"","project_id":79,"tracker_id":40,"status_id":1,"priority_id":2,"assigned_to_id":338,"start_date":"2017-11-22","description":"","custom_fields":[{"id":1,"name":"Subdivision","value":"Other"},{"id":4,"name":"Milepost","value":"0.0149"},{"id":17,"name":"Train ID","value":"304-22"},{"id":16,"name":"Locomotive ID","value":"4027"},{"id":130,"name":"Impact","value":""},{"id":150,"name":"Time of Event (Mountain Time)","value":"04:03:40"},{"id":151,"name":"Denver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158"/>
        <v>start /low /b %USERPROFILE%\Documents\GitHub\eaglep3\Utilities\DownloadLogsFromS3.py --loco 4027 --day 2017-11-22</v>
      </c>
      <c r="AN213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60"/>
        <v>https://d0f6bd738d7f1b3e5a7ca70fe4ff75f0.us-east-1.aws.found.io/app/kibana#/discover/Steve-Slow-Train-Analysis-(2080s-and-2083s)?_g=(refreshInterval:(display:Off,pause:!f,section:0,value:0),time:(from:'2017-11-22T02:52:05-0700',mode:absolute,to:'2017-11-22T05:03:40-0700'))&amp;_a=(columns:!('Message%20ID',Summary),filters:!(),index:'emp_*',interval:auto,query:(query_string:(analyze_wildcard:!t,query:'%22rtdc.l.rtdc.4027%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230" t="s">
        <v>663</v>
      </c>
      <c r="B214" s="226">
        <v>4040</v>
      </c>
      <c r="C214" s="228" t="s">
        <v>192</v>
      </c>
      <c r="D214" s="228" t="s">
        <v>1008</v>
      </c>
      <c r="E214" s="227">
        <v>43061.821527777778</v>
      </c>
      <c r="F214" s="227">
        <v>43061.824120370373</v>
      </c>
      <c r="G214" s="226">
        <v>50</v>
      </c>
      <c r="H214" s="228" t="s">
        <v>1009</v>
      </c>
      <c r="I214" s="227">
        <v>43061.829583333332</v>
      </c>
      <c r="J214" s="226">
        <v>0</v>
      </c>
      <c r="K214" s="238" t="str">
        <f t="shared" si="132"/>
        <v>4039/4040</v>
      </c>
      <c r="L214" s="246" t="str">
        <f>VLOOKUP(A214,'Trips&amp;Operators'!$C$1:$G$99911,5,FALSE)</f>
        <v>AUSTIN THOMPSON</v>
      </c>
      <c r="M214" s="225">
        <f t="shared" si="133"/>
        <v>5.4629629594273865E-3</v>
      </c>
      <c r="N214" s="226">
        <f t="shared" si="116"/>
        <v>7.8666666615754366</v>
      </c>
      <c r="O214" s="226"/>
      <c r="P214" s="226"/>
      <c r="Q214" s="229"/>
      <c r="R214" s="243"/>
      <c r="S214" s="250">
        <f t="shared" si="106"/>
        <v>1</v>
      </c>
      <c r="T214" s="243" t="str">
        <f t="shared" si="134"/>
        <v>NorthBound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135"/>
        <v>https://d0f6bd738d7f1b3e5a7ca70fe4ff75f0.us-east-1.aws.found.io/app/kibana#/discover/Steve-Slow-Train-Analysis-(2080s-and-2083s)?_g=(refreshInterval:(display:Off,pause:!f,section:0,value:0),time:(from:'2017-11-22T18:43:00-0700',mode:absolute,to:'2017-11-22T20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248" t="str">
        <f>IF(AA214&lt;VLOOKUP(AG214,Variables!$AC$3:$AD$8,2,FALSE),"Y","N")</f>
        <v>Y</v>
      </c>
      <c r="X214" s="248">
        <f t="shared" si="115"/>
        <v>1</v>
      </c>
      <c r="Y214" s="248">
        <f t="shared" si="113"/>
        <v>5.7500000000000002E-2</v>
      </c>
      <c r="Z214" s="248">
        <f t="shared" si="114"/>
        <v>2.2555000000000001</v>
      </c>
      <c r="AA214" s="248">
        <f t="shared" si="136"/>
        <v>2.198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137"/>
        <v>305</v>
      </c>
      <c r="AE214" s="236" t="str">
        <f t="shared" si="138"/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AF214" s="235" t="str">
        <f t="shared" si="139"/>
        <v>"C:\Program Files (x86)\AstroGrep\AstroGrep.exe" /e /r /s /spath="%USERPROFILE%\AppData\Local\Temp\OnboardLogs" /stypes="app*4040*20171123*" /stext=" 02:.+((SYSTEM_STATE.+slice.+state.+changed )|(ment ac)|(multiple cpu faults)|(system.+state.+changed )|(\[timeout)|(PRM\|1\|D)|(kpr)|(kdp)|(train st.+moving)|(\|lc)|(penalty))"</v>
      </c>
      <c r="AG214" s="245" t="str">
        <f t="shared" si="140"/>
        <v>Other</v>
      </c>
      <c r="AH214" s="237" t="str">
        <f t="shared" si="156"/>
        <v>"%USERPROFILE%\Documents\GitHub\eaglep3\Utilities\RefineRTDCRunTimes.py" --tripid 305-22 --locoid 4040 --swversion DE.1.0.9.0 --startMP 204:575 --initTime 2017-11-22T19:43:00 --startdatetime 2017-11-22T19:46:44 --delay 50 --endMP 300:22555 --enddatetime 2017-11-22T19:54:36 --enforcementcount 0 &gt;&gt;%USERPROFILE%\Documents\GitHub\eaglep3-reporting\EC\2017-11-22-refined-times.txt</v>
      </c>
      <c r="AI214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{"issue":{"subject":"","project_id":79,"tracker_id":40,"status_id":1,"priority_id":2,"assigned_to_id":338,"start_date":"2017-11-22","description":"","custom_fields":[{"id":1,"name":"Subdivision","value":"Other"},{"id":4,"name":"Milepost","value":"2.2555"},{"id":17,"name":"Train ID","value":"305-22"},{"id":16,"name":"Locomotive ID","value":"4040"},{"id":130,"name":"Impact","value":""},{"id":150,"name":"Time of Event (Mountain Time)","value":"19:54:36"},{"id":151,"name":"Denver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158"/>
        <v>start /low /b %USERPROFILE%\Documents\GitHub\eaglep3\Utilities\DownloadLogsFromS3.py --loco 4040 --day 2017-11-22</v>
      </c>
      <c r="AN214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60"/>
        <v>https://d0f6bd738d7f1b3e5a7ca70fe4ff75f0.us-east-1.aws.found.io/app/kibana#/discover/Steve-Slow-Train-Analysis-(2080s-and-2083s)?_g=(refreshInterval:(display:Off,pause:!f,section:0,value:0),time:(from:'2017-11-22T18:43:00-0700',mode:absolute,to:'2017-11-22T20:54:36-0700'))&amp;_a=(columns:!('Message%20ID',Summary),filters:!(),index:'emp_*',interval:auto,query:(query_string:(analyze_wildcard:!t,query:'%22rtdc.l.rtdc.4040%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230" t="s">
        <v>681</v>
      </c>
      <c r="B215" s="226">
        <v>4039</v>
      </c>
      <c r="C215" s="228" t="s">
        <v>192</v>
      </c>
      <c r="D215" s="228" t="s">
        <v>1010</v>
      </c>
      <c r="E215" s="227">
        <v>43061.168564814812</v>
      </c>
      <c r="F215" s="227">
        <v>43061.1716087963</v>
      </c>
      <c r="G215" s="226">
        <v>75</v>
      </c>
      <c r="H215" s="228" t="s">
        <v>588</v>
      </c>
      <c r="I215" s="227">
        <v>43061.177303240744</v>
      </c>
      <c r="J215" s="226">
        <v>0</v>
      </c>
      <c r="K215" s="238" t="str">
        <f t="shared" si="132"/>
        <v>4039/4040</v>
      </c>
      <c r="L215" s="246" t="str">
        <f>VLOOKUP(A215,'Trips&amp;Operators'!$C$1:$G$99911,5,FALSE)</f>
        <v>DAVIDSON DAVID</v>
      </c>
      <c r="M215" s="225">
        <f t="shared" si="133"/>
        <v>5.694444444088731E-3</v>
      </c>
      <c r="N215" s="226">
        <f t="shared" si="116"/>
        <v>8.1999999994877726</v>
      </c>
      <c r="O215" s="226"/>
      <c r="P215" s="226"/>
      <c r="Q215" s="229"/>
      <c r="R215" s="243"/>
      <c r="S215" s="250">
        <f t="shared" ref="S215:S241" si="161">1/IF(AG215="EC",12,1)*SUM(U215:U215)</f>
        <v>1</v>
      </c>
      <c r="T215" s="243" t="str">
        <f t="shared" si="134"/>
        <v>Southbound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135"/>
        <v>https://d0f6bd738d7f1b3e5a7ca70fe4ff75f0.us-east-1.aws.found.io/app/kibana#/discover/Steve-Slow-Train-Analysis-(2080s-and-2083s)?_g=(refreshInterval:(display:Off,pause:!f,section:0,value:0),time:(from:'2017-11-22T03:02:44-0700',mode:absolute,to:'2017-11-22T05:15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248" t="str">
        <f>IF(AA215&lt;VLOOKUP(AG215,Variables!$AC$3:$AD$8,2,FALSE),"Y","N")</f>
        <v>Y</v>
      </c>
      <c r="X215" s="248">
        <f t="shared" si="115"/>
        <v>1</v>
      </c>
      <c r="Y215" s="248">
        <f t="shared" si="113"/>
        <v>2.3330000000000002</v>
      </c>
      <c r="Z215" s="248">
        <f t="shared" si="114"/>
        <v>2.29E-2</v>
      </c>
      <c r="AA215" s="248">
        <f t="shared" si="136"/>
        <v>2.3101000000000003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37"/>
        <v>306</v>
      </c>
      <c r="AE215" s="236" t="str">
        <f t="shared" si="138"/>
        <v>aws s3 cp s3://rtdc.mdm.uploadarchive.raw/RTDC4039/ "%USERPROFILE%\AppData\Local\Temp\OnboardLogs"\RTDC4039\2017-11-22 --exclude "*" --recursive --include "*20171122*" &amp; "%USERPROFILE%\Documents\GitHub\mrs-test-scripts\Headless Mode &amp; Sideloading\WalkAndUnGZ.bat" "%USERPROFILE%\AppData\Local\Temp\OnboardLogs"\RTDC4039\2017-11-22 &amp; aws s3 cp s3://rtdc.mdm.uploadarchive.raw/RTDC4039/ "%USERPROFILE%\AppData\Local\Temp\OnboardLogs"\RTDC4039\2017-11-23 --exclude "*" --recursive --include "*20171123*" &amp; "%USERPROFILE%\Documents\GitHub\mrs-test-scripts\Headless Mode &amp; Sideloading\WalkAndUnGZ.bat" "%USERPROFILE%\AppData\Local\Temp\OnboardLogs"\RTDC4039\2017-11-23</v>
      </c>
      <c r="AF215" s="235" t="str">
        <f t="shared" si="139"/>
        <v>"C:\Program Files (x86)\AstroGrep\AstroGrep.exe" /e /r /s /spath="%USERPROFILE%\AppData\Local\Temp\OnboardLogs" /stypes="app*4039*20171122*" /stext=" 11:.+((SYSTEM_STATE.+slice.+state.+changed )|(ment ac)|(multiple cpu faults)|(system.+state.+changed )|(\[timeout)|(PRM\|1\|D)|(kpr)|(kdp)|(train st.+moving)|(\|lc)|(penalty))"</v>
      </c>
      <c r="AG215" s="245" t="str">
        <f t="shared" si="140"/>
        <v>Other</v>
      </c>
      <c r="AH215" s="237" t="str">
        <f t="shared" si="156"/>
        <v>"%USERPROFILE%\Documents\GitHub\eaglep3\Utilities\RefineRTDCRunTimes.py" --tripid 306-22 --locoid 4039 --swversion DE.1.0.9.0 --startMP 300:23330 --initTime 2017-11-22T04:02:44 --startdatetime 2017-11-22T04:07:07 --delay 75 --endMP 204:229 --enddatetime 2017-11-22T04:15:19 --enforcementcount 0 &gt;&gt;%USERPROFILE%\Documents\GitHub\eaglep3-reporting\EC\2017-11-22-refined-times.txt</v>
      </c>
      <c r="AI215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{"issue":{"subject":"","project_id":79,"tracker_id":40,"status_id":1,"priority_id":2,"assigned_to_id":338,"start_date":"2017-11-22","description":"","custom_fields":[{"id":1,"name":"Subdivision","value":"Other"},{"id":4,"name":"Milepost","value":"0.0229"},{"id":17,"name":"Train ID","value":"306-22"},{"id":16,"name":"Locomotive ID","value":"4039"},{"id":130,"name":"Impact","value":""},{"id":150,"name":"Time of Event (Mountain Time)","value":"04:15:19"},{"id":151,"name":"Denver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224"/>
      <c r="AK215" s="232"/>
      <c r="AL215" s="232"/>
      <c r="AM215" s="241" t="str">
        <f t="shared" si="158"/>
        <v>start /low /b %USERPROFILE%\Documents\GitHub\eaglep3\Utilities\DownloadLogsFromS3.py --loco 4039 --day 2017-11-22</v>
      </c>
      <c r="AN215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11:15:19"},{"id":29,"name":"Sharepoint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160"/>
        <v>https://d0f6bd738d7f1b3e5a7ca70fe4ff75f0.us-east-1.aws.found.io/app/kibana#/discover/Steve-Slow-Train-Analysis-(2080s-and-2083s)?_g=(refreshInterval:(display:Off,pause:!f,section:0,value:0),time:(from:'2017-11-22T03:02:44-0700',mode:absolute,to:'2017-11-22T05:15:19-0700'))&amp;_a=(columns:!('Message%20ID',Summary),filters:!(),index:'emp_*',interval:auto,query:(query_string:(analyze_wildcard:!t,query:'%22rtdc.l.rtdc.4039%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30" t="s">
        <v>881</v>
      </c>
      <c r="B216" s="226">
        <v>4002</v>
      </c>
      <c r="C216" s="228" t="s">
        <v>192</v>
      </c>
      <c r="D216" s="228" t="s">
        <v>1011</v>
      </c>
      <c r="E216" s="227">
        <v>43062.046643518515</v>
      </c>
      <c r="F216" s="227">
        <v>43062.047812500001</v>
      </c>
      <c r="G216" s="226">
        <v>44</v>
      </c>
      <c r="H216" s="228" t="s">
        <v>1012</v>
      </c>
      <c r="I216" s="227">
        <v>43062.054826388892</v>
      </c>
      <c r="J216" s="226">
        <v>0</v>
      </c>
      <c r="K216" s="238" t="str">
        <f t="shared" si="132"/>
        <v>4001/4002</v>
      </c>
      <c r="L216" s="246" t="str">
        <f>VLOOKUP(A216,'Trips&amp;Operators'!$C$1:$G$99911,5,FALSE)</f>
        <v>RESPASS AARON</v>
      </c>
      <c r="M216" s="225">
        <f t="shared" si="133"/>
        <v>7.0138888913788833E-3</v>
      </c>
      <c r="N216" s="226">
        <f t="shared" si="116"/>
        <v>10.100000003585592</v>
      </c>
      <c r="O216" s="226"/>
      <c r="P216" s="226"/>
      <c r="Q216" s="229"/>
      <c r="R216" s="243"/>
      <c r="S216" s="250">
        <f t="shared" si="161"/>
        <v>1</v>
      </c>
      <c r="T216" s="243" t="str">
        <f t="shared" si="134"/>
        <v>NorthBound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135"/>
        <v>https://d0f6bd738d7f1b3e5a7ca70fe4ff75f0.us-east-1.aws.found.io/app/kibana#/discover/Steve-Slow-Train-Analysis-(2080s-and-2083s)?_g=(refreshInterval:(display:Off,pause:!f,section:0,value:0),time:(from:'2017-11-23T00:07:10-0700',mode:absolute,to:'2017-11-23T02:18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248" t="str">
        <f>IF(AA216&lt;VLOOKUP(AG216,Variables!$AC$3:$AD$8,2,FALSE),"Y","N")</f>
        <v>Y</v>
      </c>
      <c r="X216" s="248">
        <f t="shared" si="115"/>
        <v>1</v>
      </c>
      <c r="Y216" s="248">
        <f t="shared" si="113"/>
        <v>5.8000000000000003E-2</v>
      </c>
      <c r="Z216" s="248">
        <f t="shared" si="114"/>
        <v>2.3147000000000002</v>
      </c>
      <c r="AA216" s="248">
        <f t="shared" si="136"/>
        <v>2.2567000000000004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37"/>
        <v>307</v>
      </c>
      <c r="AE216" s="236" t="str">
        <f t="shared" si="138"/>
        <v>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 &amp; aws s3 cp s3://rtdc.mdm.uploadarchive.raw/RTDC4002/ "%USERPROFILE%\AppData\Local\Temp\OnboardLogs"\RTDC4002\2017-11-24 --exclude "*" --recursive --include "*20171124*" &amp; "%USERPROFILE%\Documents\GitHub\mrs-test-scripts\Headless Mode &amp; Sideloading\WalkAndUnGZ.bat" "%USERPROFILE%\AppData\Local\Temp\OnboardLogs"\RTDC4002\2017-11-24</v>
      </c>
      <c r="AF216" s="235" t="str">
        <f t="shared" si="139"/>
        <v>"C:\Program Files (x86)\AstroGrep\AstroGrep.exe" /e /r /s /spath="%USERPROFILE%\AppData\Local\Temp\OnboardLogs" /stypes="app*4002*20171123*" /stext=" 08:.+((SYSTEM_STATE.+slice.+state.+changed )|(ment ac)|(multiple cpu faults)|(system.+state.+changed )|(\[timeout)|(PRM\|1\|D)|(kpr)|(kdp)|(train st.+moving)|(\|lc)|(penalty))"</v>
      </c>
      <c r="AG216" s="245" t="str">
        <f t="shared" si="140"/>
        <v>Other</v>
      </c>
      <c r="AH216" s="237" t="str">
        <f t="shared" si="156"/>
        <v>"%USERPROFILE%\Documents\GitHub\eaglep3\Utilities\RefineRTDCRunTimes.py" --tripid 307-22 --locoid 4002 --swversion DE.1.0.9.0 --startMP 204:580 --initTime 2017-11-23T01:07:10 --startdatetime 2017-11-23T01:08:51 --delay 44 --endMP 300:23147 --enddatetime 2017-11-23T01:18:57 --enforcementcount 0 &gt;&gt;%USERPROFILE%\Documents\GitHub\eaglep3-reporting\EC\2017-11-22-refined-times.txt</v>
      </c>
      <c r="AI216" s="239" t="str">
        <f t="shared" si="157"/>
        <v>echo {"issue":{"subject":"","project_id":79,"tracker_id":40,"status_id":1,"priority_id":2,"assigned_to_id":338,"start_date":"2017-11-23","description":"","custom_fields":[{"id":1,"name":"Subdivision","value":"Other"},{"id":4,"name":"Milepost","value":"2.3147"},{"id":17,"name":"Train ID","value":"307-22"},{"id":16,"name":"Locomotive ID","value":"4002"},{"id":130,"name":"Impact","value":""},{"id":150,"name":"Time of Event (Mountain Time)","value":"01:18:57"},{"id":151,"name":"Denver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158"/>
        <v>start /low /b %USERPROFILE%\Documents\GitHub\eaglep3\Utilities\DownloadLogsFromS3.py --loco 4002 --day 2017-11-23</v>
      </c>
      <c r="AN216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08:18:57"},{"id":29,"name":"Sharepoint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60"/>
        <v>https://d0f6bd738d7f1b3e5a7ca70fe4ff75f0.us-east-1.aws.found.io/app/kibana#/discover/Steve-Slow-Train-Analysis-(2080s-and-2083s)?_g=(refreshInterval:(display:Off,pause:!f,section:0,value:0),time:(from:'2017-11-23T00:07:10-0700',mode:absolute,to:'2017-11-23T02:18:57-0700'))&amp;_a=(columns:!('Message%20ID',Summary),filters:!(),index:'emp_*',interval:auto,query:(query_string:(analyze_wildcard:!t,query:'%22rtdc.l.rtdc.4002%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24" customFormat="1" x14ac:dyDescent="0.3">
      <c r="A217" s="230" t="s">
        <v>684</v>
      </c>
      <c r="B217" s="226">
        <v>4001</v>
      </c>
      <c r="C217" s="228" t="s">
        <v>192</v>
      </c>
      <c r="D217" s="228" t="s">
        <v>1013</v>
      </c>
      <c r="E217" s="227">
        <v>43061.179259259261</v>
      </c>
      <c r="F217" s="227">
        <v>43061.182928240742</v>
      </c>
      <c r="G217" s="226">
        <v>80</v>
      </c>
      <c r="H217" s="228" t="s">
        <v>512</v>
      </c>
      <c r="I217" s="227">
        <v>43061.191064814811</v>
      </c>
      <c r="J217" s="226">
        <v>0</v>
      </c>
      <c r="K217" s="238" t="str">
        <f t="shared" si="132"/>
        <v>4001/4002</v>
      </c>
      <c r="L217" s="246" t="str">
        <f>VLOOKUP(A217,'Trips&amp;Operators'!$C$1:$G$99911,5,FALSE)</f>
        <v>PAGE MARCUS</v>
      </c>
      <c r="M217" s="225">
        <f t="shared" si="133"/>
        <v>8.1365740697947331E-3</v>
      </c>
      <c r="N217" s="226">
        <f t="shared" si="116"/>
        <v>11.716666660504416</v>
      </c>
      <c r="O217" s="226"/>
      <c r="P217" s="226"/>
      <c r="Q217" s="229"/>
      <c r="R217" s="243"/>
      <c r="S217" s="250">
        <f t="shared" si="161"/>
        <v>1</v>
      </c>
      <c r="T217" s="243" t="str">
        <f t="shared" si="134"/>
        <v>Southbound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135"/>
        <v>https://d0f6bd738d7f1b3e5a7ca70fe4ff75f0.us-east-1.aws.found.io/app/kibana#/discover/Steve-Slow-Train-Analysis-(2080s-and-2083s)?_g=(refreshInterval:(display:Off,pause:!f,section:0,value:0),time:(from:'2017-11-22T03:18:08-0700',mode:absolute,to:'2017-11-22T05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7" s="248" t="str">
        <f>IF(AA217&lt;VLOOKUP(AG217,Variables!$AC$3:$AD$8,2,FALSE),"Y","N")</f>
        <v>Y</v>
      </c>
      <c r="X217" s="248">
        <f t="shared" si="115"/>
        <v>1</v>
      </c>
      <c r="Y217" s="248">
        <f t="shared" si="113"/>
        <v>2.3523000000000001</v>
      </c>
      <c r="Z217" s="248">
        <f t="shared" si="114"/>
        <v>1.7000000000000001E-2</v>
      </c>
      <c r="AA217" s="248">
        <f t="shared" si="136"/>
        <v>2.3353000000000002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37"/>
        <v>308</v>
      </c>
      <c r="AE217" s="236" t="str">
        <f t="shared" si="138"/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AF217" s="235" t="str">
        <f t="shared" si="139"/>
        <v>"C:\Program Files (x86)\AstroGrep\AstroGrep.exe" /e /r /s /spath="%USERPROFILE%\AppData\Local\Temp\OnboardLogs" /stypes="app*4001*20171122*" /stext=" 11:.+((SYSTEM_STATE.+slice.+state.+changed )|(ment ac)|(multiple cpu faults)|(system.+state.+changed )|(\[timeout)|(PRM\|1\|D)|(kpr)|(kdp)|(train st.+moving)|(\|lc)|(penalty))"</v>
      </c>
      <c r="AG217" s="245" t="str">
        <f t="shared" si="140"/>
        <v>Other</v>
      </c>
      <c r="AH217" s="237" t="str">
        <f t="shared" si="156"/>
        <v>"%USERPROFILE%\Documents\GitHub\eaglep3\Utilities\RefineRTDCRunTimes.py" --tripid 308-22 --locoid 4001 --swversion DE.1.0.9.0 --startMP 300:23523 --initTime 2017-11-22T04:18:08 --startdatetime 2017-11-22T04:23:25 --delay 80 --endMP 204:170 --enddatetime 2017-11-22T04:35:08 --enforcementcount 0 &gt;&gt;%USERPROFILE%\Documents\GitHub\eaglep3-reporting\EC\2017-11-22-refined-times.txt</v>
      </c>
      <c r="AI217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{"issue":{"subject":"","project_id":79,"tracker_id":40,"status_id":1,"priority_id":2,"assigned_to_id":338,"start_date":"2017-11-22","description":"","custom_fields":[{"id":1,"name":"Subdivision","value":"Other"},{"id":4,"name":"Milepost","value":"0.017"},{"id":17,"name":"Train ID","value":"308-22"},{"id":16,"name":"Locomotive ID","value":"4001"},{"id":130,"name":"Impact","value":""},{"id":150,"name":"Time of Event (Mountain Time)","value":"04:35:08"},{"id":151,"name":"Denver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232"/>
      <c r="AL217" s="232"/>
      <c r="AM217" s="241" t="str">
        <f t="shared" si="158"/>
        <v>start /low /b %USERPROFILE%\Documents\GitHub\eaglep3\Utilities\DownloadLogsFromS3.py --loco 4001 --day 2017-11-22</v>
      </c>
      <c r="AN217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160"/>
        <v>https://d0f6bd738d7f1b3e5a7ca70fe4ff75f0.us-east-1.aws.found.io/app/kibana#/discover/Steve-Slow-Train-Analysis-(2080s-and-2083s)?_g=(refreshInterval:(display:Off,pause:!f,section:0,value:0),time:(from:'2017-11-22T03:18:08-0700',mode:absolute,to:'2017-11-22T05:35:08-0700'))&amp;_a=(columns:!('Message%20ID',Summary),filters:!(),index:'emp_*',interval:auto,query:(query_string:(analyze_wildcard:!t,query:'%22rtdc.l.rtdc.4001%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230" t="s">
        <v>883</v>
      </c>
      <c r="B218" s="226">
        <v>4016</v>
      </c>
      <c r="C218" s="228" t="s">
        <v>192</v>
      </c>
      <c r="D218" s="228" t="s">
        <v>452</v>
      </c>
      <c r="E218" s="227">
        <v>43062.068240740744</v>
      </c>
      <c r="F218" s="227">
        <v>43062.069780092592</v>
      </c>
      <c r="G218" s="226">
        <v>62</v>
      </c>
      <c r="H218" s="228" t="s">
        <v>522</v>
      </c>
      <c r="I218" s="227">
        <v>43062.078761574077</v>
      </c>
      <c r="J218" s="226">
        <v>0</v>
      </c>
      <c r="K218" s="238" t="str">
        <f t="shared" si="132"/>
        <v>4015/4016</v>
      </c>
      <c r="L218" s="246" t="str">
        <f>VLOOKUP(A218,'Trips&amp;Operators'!$C$1:$G$99911,5,FALSE)</f>
        <v>LOZA FIDEL</v>
      </c>
      <c r="M218" s="225">
        <f t="shared" si="133"/>
        <v>8.9814814855344594E-3</v>
      </c>
      <c r="N218" s="226">
        <f t="shared" si="116"/>
        <v>12.933333339169621</v>
      </c>
      <c r="O218" s="226"/>
      <c r="P218" s="226"/>
      <c r="Q218" s="229"/>
      <c r="R218" s="243"/>
      <c r="S218" s="250">
        <f t="shared" si="161"/>
        <v>1</v>
      </c>
      <c r="T218" s="243" t="str">
        <f t="shared" si="134"/>
        <v>NorthBound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35"/>
        <v>https://d0f6bd738d7f1b3e5a7ca70fe4ff75f0.us-east-1.aws.found.io/app/kibana#/discover/Steve-Slow-Train-Analysis-(2080s-and-2083s)?_g=(refreshInterval:(display:Off,pause:!f,section:0,value:0),time:(from:'2017-11-23T00:38:16-0700',mode:absolute,to:'2017-11-23T02:53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248" t="str">
        <f>IF(AA218&lt;VLOOKUP(AG218,Variables!$AC$3:$AD$8,2,FALSE),"Y","N")</f>
        <v>Y</v>
      </c>
      <c r="X218" s="248">
        <f t="shared" si="115"/>
        <v>1</v>
      </c>
      <c r="Y218" s="248">
        <f t="shared" si="113"/>
        <v>5.3699999999999998E-2</v>
      </c>
      <c r="Z218" s="248">
        <f t="shared" si="114"/>
        <v>2.3302</v>
      </c>
      <c r="AA218" s="248">
        <f t="shared" si="136"/>
        <v>2.2765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37"/>
        <v>309</v>
      </c>
      <c r="AE218" s="236" t="str">
        <f t="shared" si="138"/>
        <v>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 &amp; 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</v>
      </c>
      <c r="AF218" s="235" t="str">
        <f t="shared" si="139"/>
        <v>"C:\Program Files (x86)\AstroGrep\AstroGrep.exe" /e /r /s /spath="%USERPROFILE%\AppData\Local\Temp\OnboardLogs" /stypes="app*4016*20171123*" /stext=" 08:.+((SYSTEM_STATE.+slice.+state.+changed )|(ment ac)|(multiple cpu faults)|(system.+state.+changed )|(\[timeout)|(PRM\|1\|D)|(kpr)|(kdp)|(train st.+moving)|(\|lc)|(penalty))"</v>
      </c>
      <c r="AG218" s="245" t="str">
        <f t="shared" si="140"/>
        <v>Other</v>
      </c>
      <c r="AH218" s="237" t="str">
        <f t="shared" si="156"/>
        <v>"%USERPROFILE%\Documents\GitHub\eaglep3\Utilities\RefineRTDCRunTimes.py" --tripid 309-22 --locoid 4016 --swversion DE.1.0.9.0 --startMP 204:537 --initTime 2017-11-23T01:38:16 --startdatetime 2017-11-23T01:40:29 --delay 62 --endMP 300:23302 --enddatetime 2017-11-23T01:53:25 --enforcementcount 0 &gt;&gt;%USERPROFILE%\Documents\GitHub\eaglep3-reporting\EC\2017-11-22-refined-times.txt</v>
      </c>
      <c r="AI218" s="239" t="str">
        <f t="shared" si="157"/>
        <v>echo {"issue":{"subject":"","project_id":79,"tracker_id":40,"status_id":1,"priority_id":2,"assigned_to_id":338,"start_date":"2017-11-23","description":"","custom_fields":[{"id":1,"name":"Subdivision","value":"Other"},{"id":4,"name":"Milepost","value":"2.3302"},{"id":17,"name":"Train ID","value":"309-22"},{"id":16,"name":"Locomotive ID","value":"4016"},{"id":130,"name":"Impact","value":""},{"id":150,"name":"Time of Event (Mountain Time)","value":"01:53:25"},{"id":151,"name":"Denver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158"/>
        <v>start /low /b %USERPROFILE%\Documents\GitHub\eaglep3\Utilities\DownloadLogsFromS3.py --loco 4016 --day 2017-11-23</v>
      </c>
      <c r="AN218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08:53:25"},{"id":29,"name":"Sharepoint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160"/>
        <v>https://d0f6bd738d7f1b3e5a7ca70fe4ff75f0.us-east-1.aws.found.io/app/kibana#/discover/Steve-Slow-Train-Analysis-(2080s-and-2083s)?_g=(refreshInterval:(display:Off,pause:!f,section:0,value:0),time:(from:'2017-11-23T00:38:16-0700',mode:absolute,to:'2017-11-23T02:53:25-0700'))&amp;_a=(columns:!('Message%20ID',Summary),filters:!(),index:'emp_*',interval:auto,query:(query_string:(analyze_wildcard:!t,query:'%22rtdc.l.rtdc.4016%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230" t="s">
        <v>691</v>
      </c>
      <c r="B219" s="226">
        <v>4005</v>
      </c>
      <c r="C219" s="228" t="s">
        <v>192</v>
      </c>
      <c r="D219" s="228" t="s">
        <v>1014</v>
      </c>
      <c r="E219" s="227">
        <v>43061.197812500002</v>
      </c>
      <c r="F219" s="227">
        <v>43061.201041666667</v>
      </c>
      <c r="G219" s="226">
        <v>72</v>
      </c>
      <c r="H219" s="228" t="s">
        <v>892</v>
      </c>
      <c r="I219" s="227">
        <v>43061.206631944442</v>
      </c>
      <c r="J219" s="226">
        <v>0</v>
      </c>
      <c r="K219" s="238" t="str">
        <f t="shared" si="132"/>
        <v>4005/4006</v>
      </c>
      <c r="L219" s="246" t="str">
        <f>VLOOKUP(A219,'Trips&amp;Operators'!$C$1:$G$99911,5,FALSE)</f>
        <v>YANAI IAN</v>
      </c>
      <c r="M219" s="225">
        <f t="shared" si="133"/>
        <v>5.5902777748997323E-3</v>
      </c>
      <c r="N219" s="226">
        <f t="shared" si="116"/>
        <v>8.0499999958556145</v>
      </c>
      <c r="O219" s="226"/>
      <c r="P219" s="226"/>
      <c r="Q219" s="229"/>
      <c r="R219" s="243"/>
      <c r="S219" s="250">
        <f t="shared" si="161"/>
        <v>1</v>
      </c>
      <c r="T219" s="243" t="str">
        <f t="shared" si="134"/>
        <v>Southbound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 t="shared" si="135"/>
        <v>https://d0f6bd738d7f1b3e5a7ca70fe4ff75f0.us-east-1.aws.found.io/app/kibana#/discover/Steve-Slow-Train-Analysis-(2080s-and-2083s)?_g=(refreshInterval:(display:Off,pause:!f,section:0,value:0),time:(from:'2017-11-22T03:44:51-0700',mode:absolute,to:'2017-11-22T05:57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9" s="248" t="str">
        <f>IF(AA219&lt;VLOOKUP(AG219,Variables!$AC$3:$AD$8,2,FALSE),"Y","N")</f>
        <v>Y</v>
      </c>
      <c r="X219" s="248">
        <f t="shared" si="115"/>
        <v>1</v>
      </c>
      <c r="Y219" s="248">
        <f t="shared" ref="Y219:Y241" si="162">RIGHT(D219,LEN(D219)-4)/10000</f>
        <v>2.3698999999999999</v>
      </c>
      <c r="Z219" s="248">
        <f t="shared" ref="Z219:Z241" si="163">RIGHT(H219,LEN(H219)-4)/10000</f>
        <v>2.4199999999999999E-2</v>
      </c>
      <c r="AA219" s="248">
        <f t="shared" si="136"/>
        <v>2.3456999999999999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137"/>
        <v>310</v>
      </c>
      <c r="AE219" s="236" t="str">
        <f t="shared" si="138"/>
        <v>aws s3 cp s3://rtdc.mdm.uploadarchive.raw/RTDC4005/ "%USERPROFILE%\AppData\Local\Temp\OnboardLogs"\RTDC4005\2017-11-22 --exclude "*" --recursive --include "*20171122*" &amp; "%USERPROFILE%\Documents\GitHub\mrs-test-scripts\Headless Mode &amp; Sideloading\WalkAndUnGZ.bat" "%USERPROFILE%\AppData\Local\Temp\OnboardLogs"\RTDC4005\2017-11-22 &amp; aws s3 cp s3://rtdc.mdm.uploadarchive.raw/RTDC4005/ "%USERPROFILE%\AppData\Local\Temp\OnboardLogs"\RTDC4005\2017-11-23 --exclude "*" --recursive --include "*20171123*" &amp; "%USERPROFILE%\Documents\GitHub\mrs-test-scripts\Headless Mode &amp; Sideloading\WalkAndUnGZ.bat" "%USERPROFILE%\AppData\Local\Temp\OnboardLogs"\RTDC4005\2017-11-23</v>
      </c>
      <c r="AF219" s="235" t="str">
        <f t="shared" si="139"/>
        <v>"C:\Program Files (x86)\AstroGrep\AstroGrep.exe" /e /r /s /spath="%USERPROFILE%\AppData\Local\Temp\OnboardLogs" /stypes="app*4005*20171122*" /stext=" 11:.+((SYSTEM_STATE.+slice.+state.+changed )|(ment ac)|(multiple cpu faults)|(system.+state.+changed )|(\[timeout)|(PRM\|1\|D)|(kpr)|(kdp)|(train st.+moving)|(\|lc)|(penalty))"</v>
      </c>
      <c r="AG219" s="245" t="str">
        <f t="shared" si="140"/>
        <v>Other</v>
      </c>
      <c r="AH219" s="237" t="str">
        <f t="shared" si="156"/>
        <v>"%USERPROFILE%\Documents\GitHub\eaglep3\Utilities\RefineRTDCRunTimes.py" --tripid 310-22 --locoid 4005 --swversion DE.1.0.9.0 --startMP 300:23699 --initTime 2017-11-22T04:44:51 --startdatetime 2017-11-22T04:49:30 --delay 72 --endMP 204:242 --enddatetime 2017-11-22T04:57:33 --enforcementcount 0 &gt;&gt;%USERPROFILE%\Documents\GitHub\eaglep3-reporting\EC\2017-11-22-refined-times.txt</v>
      </c>
      <c r="AI219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{"issue":{"subject":"","project_id":79,"tracker_id":40,"status_id":1,"priority_id":2,"assigned_to_id":338,"start_date":"2017-11-22","description":"","custom_fields":[{"id":1,"name":"Subdivision","value":"Other"},{"id":4,"name":"Milepost","value":"0.0242"},{"id":17,"name":"Train ID","value":"310-22"},{"id":16,"name":"Locomotive ID","value":"4005"},{"id":130,"name":"Impact","value":""},{"id":150,"name":"Time of Event (Mountain Time)","value":"04:57:33"},{"id":151,"name":"Denver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158"/>
        <v>start /low /b %USERPROFILE%\Documents\GitHub\eaglep3\Utilities\DownloadLogsFromS3.py --loco 4005 --day 2017-11-22</v>
      </c>
      <c r="AN219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11:57:33"},{"id":29,"name":"Sharepoint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160"/>
        <v>https://d0f6bd738d7f1b3e5a7ca70fe4ff75f0.us-east-1.aws.found.io/app/kibana#/discover/Steve-Slow-Train-Analysis-(2080s-and-2083s)?_g=(refreshInterval:(display:Off,pause:!f,section:0,value:0),time:(from:'2017-11-22T03:44:51-0700',mode:absolute,to:'2017-11-22T05:57:33-0700'))&amp;_a=(columns:!('Message%20ID',Summary),filters:!(),index:'emp_*',interval:auto,query:(query_string:(analyze_wildcard:!t,query:'%22rtdc.l.rtdc.4005%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30" t="s">
        <v>884</v>
      </c>
      <c r="B220" s="226">
        <v>4006</v>
      </c>
      <c r="C220" s="228" t="s">
        <v>192</v>
      </c>
      <c r="D220" s="228" t="s">
        <v>898</v>
      </c>
      <c r="E220" s="227">
        <v>43062.087430555555</v>
      </c>
      <c r="F220" s="227">
        <v>43062.08866898148</v>
      </c>
      <c r="G220" s="226">
        <v>48</v>
      </c>
      <c r="H220" s="228" t="s">
        <v>1015</v>
      </c>
      <c r="I220" s="227">
        <v>43062.09652777778</v>
      </c>
      <c r="J220" s="226">
        <v>0</v>
      </c>
      <c r="K220" s="238" t="str">
        <f t="shared" si="132"/>
        <v>4005/4006</v>
      </c>
      <c r="L220" s="246" t="str">
        <f>VLOOKUP(A220,'Trips&amp;Operators'!$C$1:$G$99911,5,FALSE)</f>
        <v>LOPES KIMBERLY</v>
      </c>
      <c r="M220" s="225">
        <f t="shared" si="133"/>
        <v>7.8587962998426519E-3</v>
      </c>
      <c r="N220" s="226">
        <f t="shared" si="116"/>
        <v>11.316666671773419</v>
      </c>
      <c r="O220" s="226"/>
      <c r="P220" s="226"/>
      <c r="Q220" s="229"/>
      <c r="R220" s="243"/>
      <c r="S220" s="250">
        <f t="shared" si="161"/>
        <v>1</v>
      </c>
      <c r="T220" s="243" t="str">
        <f t="shared" si="134"/>
        <v>NorthBound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 t="shared" si="135"/>
        <v>https://d0f6bd738d7f1b3e5a7ca70fe4ff75f0.us-east-1.aws.found.io/app/kibana#/discover/Steve-Slow-Train-Analysis-(2080s-and-2083s)?_g=(refreshInterval:(display:Off,pause:!f,section:0,value:0),time:(from:'2017-11-23T01:05:54-0700',mode:absolute,to:'2017-11-23T03:19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0" s="248" t="str">
        <f>IF(AA220&lt;VLOOKUP(AG220,Variables!$AC$3:$AD$8,2,FALSE),"Y","N")</f>
        <v>Y</v>
      </c>
      <c r="X220" s="248">
        <f t="shared" si="115"/>
        <v>1</v>
      </c>
      <c r="Y220" s="248">
        <f t="shared" si="162"/>
        <v>5.1299999999999998E-2</v>
      </c>
      <c r="Z220" s="248">
        <f t="shared" si="163"/>
        <v>2.3300999999999998</v>
      </c>
      <c r="AA220" s="248">
        <f t="shared" si="136"/>
        <v>2.2787999999999999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 t="shared" si="137"/>
        <v>311</v>
      </c>
      <c r="AE220" s="236" t="str">
        <f t="shared" si="138"/>
        <v>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 &amp; aws s3 cp s3://rtdc.mdm.uploadarchive.raw/RTDC4006/ "%USERPROFILE%\AppData\Local\Temp\OnboardLogs"\RTDC4006\2017-11-24 --exclude "*" --recursive --include "*20171124*" &amp; "%USERPROFILE%\Documents\GitHub\mrs-test-scripts\Headless Mode &amp; Sideloading\WalkAndUnGZ.bat" "%USERPROFILE%\AppData\Local\Temp\OnboardLogs"\RTDC4006\2017-11-24</v>
      </c>
      <c r="AF220" s="235" t="str">
        <f t="shared" si="139"/>
        <v>"C:\Program Files (x86)\AstroGrep\AstroGrep.exe" /e /r /s /spath="%USERPROFILE%\AppData\Local\Temp\OnboardLogs" /stypes="app*4006*20171123*" /stext=" 09:.+((SYSTEM_STATE.+slice.+state.+changed )|(ment ac)|(multiple cpu faults)|(system.+state.+changed )|(\[timeout)|(PRM\|1\|D)|(kpr)|(kdp)|(train st.+moving)|(\|lc)|(penalty))"</v>
      </c>
      <c r="AG220" s="245" t="str">
        <f t="shared" si="140"/>
        <v>Other</v>
      </c>
      <c r="AH220" s="237" t="str">
        <f t="shared" si="156"/>
        <v>"%USERPROFILE%\Documents\GitHub\eaglep3\Utilities\RefineRTDCRunTimes.py" --tripid 311-22 --locoid 4006 --swversion DE.1.0.9.0 --startMP 204:513 --initTime 2017-11-23T02:05:54 --startdatetime 2017-11-23T02:07:41 --delay 48 --endMP 300:23301 --enddatetime 2017-11-23T02:19:00 --enforcementcount 0 &gt;&gt;%USERPROFILE%\Documents\GitHub\eaglep3-reporting\EC\2017-11-22-refined-times.txt</v>
      </c>
      <c r="AI220" s="239" t="str">
        <f t="shared" si="157"/>
        <v>echo {"issue":{"subject":"","project_id":79,"tracker_id":40,"status_id":1,"priority_id":2,"assigned_to_id":338,"start_date":"2017-11-23","description":"","custom_fields":[{"id":1,"name":"Subdivision","value":"Other"},{"id":4,"name":"Milepost","value":"2.3301"},{"id":17,"name":"Train ID","value":"311-22"},{"id":16,"name":"Locomotive ID","value":"4006"},{"id":130,"name":"Impact","value":""},{"id":150,"name":"Time of Event (Mountain Time)","value":"02:19:00"},{"id":151,"name":"Denver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158"/>
        <v>start /low /b %USERPROFILE%\Documents\GitHub\eaglep3\Utilities\DownloadLogsFromS3.py --loco 4006 --day 2017-11-23</v>
      </c>
      <c r="AN220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09:19:00"},{"id":29,"name":"Sharepoint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160"/>
        <v>https://d0f6bd738d7f1b3e5a7ca70fe4ff75f0.us-east-1.aws.found.io/app/kibana#/discover/Steve-Slow-Train-Analysis-(2080s-and-2083s)?_g=(refreshInterval:(display:Off,pause:!f,section:0,value:0),time:(from:'2017-11-23T01:05:54-0700',mode:absolute,to:'2017-11-23T03:19:00-0700'))&amp;_a=(columns:!('Message%20ID',Summary),filters:!(),index:'emp_*',interval:auto,query:(query_string:(analyze_wildcard:!t,query:'%22rtdc.l.rtdc.4006%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30" t="s">
        <v>702</v>
      </c>
      <c r="B221" s="226">
        <v>4015</v>
      </c>
      <c r="C221" s="228" t="s">
        <v>192</v>
      </c>
      <c r="D221" s="228" t="s">
        <v>1016</v>
      </c>
      <c r="E221" s="227">
        <v>43061.228483796294</v>
      </c>
      <c r="F221" s="227">
        <v>43061.231111111112</v>
      </c>
      <c r="G221" s="226">
        <v>70</v>
      </c>
      <c r="H221" s="228" t="s">
        <v>495</v>
      </c>
      <c r="I221" s="227">
        <v>43061.236805555556</v>
      </c>
      <c r="J221" s="226">
        <v>0</v>
      </c>
      <c r="K221" s="238" t="str">
        <f t="shared" si="132"/>
        <v>4015/4016</v>
      </c>
      <c r="L221" s="246" t="str">
        <f>VLOOKUP(A221,'Trips&amp;Operators'!$C$1:$G$99911,5,FALSE)</f>
        <v>FORTUNATO FRANK</v>
      </c>
      <c r="M221" s="225">
        <f t="shared" si="133"/>
        <v>5.694444444088731E-3</v>
      </c>
      <c r="N221" s="226">
        <f t="shared" si="116"/>
        <v>8.1999999994877726</v>
      </c>
      <c r="O221" s="226"/>
      <c r="P221" s="226"/>
      <c r="Q221" s="229"/>
      <c r="R221" s="243"/>
      <c r="S221" s="250">
        <f t="shared" si="161"/>
        <v>1</v>
      </c>
      <c r="T221" s="243" t="str">
        <f t="shared" si="134"/>
        <v>Southbound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 t="shared" si="135"/>
        <v>https://d0f6bd738d7f1b3e5a7ca70fe4ff75f0.us-east-1.aws.found.io/app/kibana#/discover/Steve-Slow-Train-Analysis-(2080s-and-2083s)?_g=(refreshInterval:(display:Off,pause:!f,section:0,value:0),time:(from:'2017-11-22T04:29:01-0700',mode:absolute,to:'2017-11-22T06:41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248" t="str">
        <f>IF(AA221&lt;VLOOKUP(AG221,Variables!$AC$3:$AD$8,2,FALSE),"Y","N")</f>
        <v>Y</v>
      </c>
      <c r="X221" s="248">
        <f t="shared" ref="X221:X241" si="164">VALUE(LEFT(AD221,4))-VALUE(LEFT(AD220,4))</f>
        <v>1</v>
      </c>
      <c r="Y221" s="248">
        <f t="shared" si="162"/>
        <v>2.3733</v>
      </c>
      <c r="Z221" s="248">
        <f t="shared" si="163"/>
        <v>2.1100000000000001E-2</v>
      </c>
      <c r="AA221" s="248">
        <f t="shared" si="136"/>
        <v>2.3521999999999998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 t="shared" si="137"/>
        <v>312</v>
      </c>
      <c r="AE221" s="236" t="str">
        <f t="shared" si="138"/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AF221" s="235" t="str">
        <f t="shared" si="139"/>
        <v>"C:\Program Files (x86)\AstroGrep\AstroGrep.exe" /e /r /s /spath="%USERPROFILE%\AppData\Local\Temp\OnboardLogs" /stypes="app*4015*20171122*" /stext=" 12:.+((SYSTEM_STATE.+slice.+state.+changed )|(ment ac)|(multiple cpu faults)|(system.+state.+changed )|(\[timeout)|(PRM\|1\|D)|(kpr)|(kdp)|(train st.+moving)|(\|lc)|(penalty))"</v>
      </c>
      <c r="AG221" s="245" t="str">
        <f t="shared" si="140"/>
        <v>Other</v>
      </c>
      <c r="AH221" s="237" t="str">
        <f t="shared" si="156"/>
        <v>"%USERPROFILE%\Documents\GitHub\eaglep3\Utilities\RefineRTDCRunTimes.py" --tripid 312-22 --locoid 4015 --swversion DE.1.0.9.0 --startMP 300:23733 --initTime 2017-11-22T05:29:01 --startdatetime 2017-11-22T05:32:48 --delay 70 --endMP 204:211 --enddatetime 2017-11-22T05:41:00 --enforcementcount 0 &gt;&gt;%USERPROFILE%\Documents\GitHub\eaglep3-reporting\EC\2017-11-22-refined-times.txt</v>
      </c>
      <c r="AI221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{"issue":{"subject":"","project_id":79,"tracker_id":40,"status_id":1,"priority_id":2,"assigned_to_id":338,"start_date":"2017-11-22","description":"","custom_fields":[{"id":1,"name":"Subdivision","value":"Other"},{"id":4,"name":"Milepost","value":"0.0211"},{"id":17,"name":"Train ID","value":"312-22"},{"id":16,"name":"Locomotive ID","value":"4015"},{"id":130,"name":"Impact","value":""},{"id":150,"name":"Time of Event (Mountain Time)","value":"05:41:00"},{"id":151,"name":"Denver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158"/>
        <v>start /low /b %USERPROFILE%\Documents\GitHub\eaglep3\Utilities\DownloadLogsFromS3.py --loco 4015 --day 2017-11-22</v>
      </c>
      <c r="AN221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160"/>
        <v>https://d0f6bd738d7f1b3e5a7ca70fe4ff75f0.us-east-1.aws.found.io/app/kibana#/discover/Steve-Slow-Train-Analysis-(2080s-and-2083s)?_g=(refreshInterval:(display:Off,pause:!f,section:0,value:0),time:(from:'2017-11-22T04:29:01-0700',mode:absolute,to:'2017-11-22T06:41:00-0700'))&amp;_a=(columns:!('Message%20ID',Summary),filters:!(),index:'emp_*',interval:auto,query:(query_string:(analyze_wildcard:!t,query:'%22rtdc.l.rtdc.4015%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4" customFormat="1" x14ac:dyDescent="0.3">
      <c r="A222" s="230" t="s">
        <v>879</v>
      </c>
      <c r="B222" s="226">
        <v>4018</v>
      </c>
      <c r="C222" s="228" t="s">
        <v>192</v>
      </c>
      <c r="D222" s="228" t="s">
        <v>619</v>
      </c>
      <c r="E222" s="227">
        <v>43062.028611111113</v>
      </c>
      <c r="F222" s="227">
        <v>43062.031134259261</v>
      </c>
      <c r="G222" s="226">
        <v>81</v>
      </c>
      <c r="H222" s="228" t="s">
        <v>1017</v>
      </c>
      <c r="I222" s="227">
        <v>43062.042210648149</v>
      </c>
      <c r="J222" s="226">
        <v>0</v>
      </c>
      <c r="K222" s="238" t="str">
        <f t="shared" si="132"/>
        <v>4017/4018</v>
      </c>
      <c r="L222" s="246" t="str">
        <f>VLOOKUP(A222,'Trips&amp;Operators'!$C$1:$G$99911,5,FALSE)</f>
        <v>NICHOLSON WESLEY</v>
      </c>
      <c r="M222" s="225">
        <f t="shared" si="133"/>
        <v>1.1076388887886424E-2</v>
      </c>
      <c r="N222" s="226">
        <f t="shared" si="116"/>
        <v>15.94999999855645</v>
      </c>
      <c r="O222" s="226"/>
      <c r="P222" s="226"/>
      <c r="Q222" s="229"/>
      <c r="R222" s="243"/>
      <c r="S222" s="250">
        <f t="shared" si="161"/>
        <v>1</v>
      </c>
      <c r="T222" s="243" t="str">
        <f t="shared" si="134"/>
        <v>NorthBound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 t="shared" si="135"/>
        <v>https://d0f6bd738d7f1b3e5a7ca70fe4ff75f0.us-east-1.aws.found.io/app/kibana#/discover/Steve-Slow-Train-Analysis-(2080s-and-2083s)?_g=(refreshInterval:(display:Off,pause:!f,section:0,value:0),time:(from:'2017-11-22T23:41:12-0700',mode:absolute,to:'2017-11-23T02:00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2" s="248" t="str">
        <f>IF(AA222&lt;VLOOKUP(AG222,Variables!$AC$3:$AD$8,2,FALSE),"Y","N")</f>
        <v>Y</v>
      </c>
      <c r="X222" s="248">
        <f t="shared" si="164"/>
        <v>1</v>
      </c>
      <c r="Y222" s="248">
        <f t="shared" si="162"/>
        <v>5.3999999999999999E-2</v>
      </c>
      <c r="Z222" s="248">
        <f t="shared" si="163"/>
        <v>2.3311999999999999</v>
      </c>
      <c r="AA222" s="248">
        <f t="shared" si="136"/>
        <v>2.2772000000000001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 t="shared" si="137"/>
        <v>313</v>
      </c>
      <c r="AE222" s="236" t="str">
        <f t="shared" si="138"/>
        <v>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 &amp; aws s3 cp s3://rtdc.mdm.uploadarchive.raw/RTDC4018/ "%USERPROFILE%\AppData\Local\Temp\OnboardLogs"\RTDC4018\2017-11-24 --exclude "*" --recursive --include "*20171124*" &amp; "%USERPROFILE%\Documents\GitHub\mrs-test-scripts\Headless Mode &amp; Sideloading\WalkAndUnGZ.bat" "%USERPROFILE%\AppData\Local\Temp\OnboardLogs"\RTDC4018\2017-11-24</v>
      </c>
      <c r="AF222" s="235" t="str">
        <f t="shared" si="139"/>
        <v>"C:\Program Files (x86)\AstroGrep\AstroGrep.exe" /e /r /s /spath="%USERPROFILE%\AppData\Local\Temp\OnboardLogs" /stypes="app*4018*20171123*" /stext=" 08:.+((SYSTEM_STATE.+slice.+state.+changed )|(ment ac)|(multiple cpu faults)|(system.+state.+changed )|(\[timeout)|(PRM\|1\|D)|(kpr)|(kdp)|(train st.+moving)|(\|lc)|(penalty))"</v>
      </c>
      <c r="AG222" s="245" t="str">
        <f t="shared" si="140"/>
        <v>Other</v>
      </c>
      <c r="AH222" s="237" t="str">
        <f t="shared" si="156"/>
        <v>"%USERPROFILE%\Documents\GitHub\eaglep3\Utilities\RefineRTDCRunTimes.py" --tripid 313-22 --locoid 4018 --swversion DE.1.0.9.0 --startMP 204:540 --initTime 2017-11-23T00:41:12 --startdatetime 2017-11-23T00:44:50 --delay 81 --endMP 300:23312 --enddatetime 2017-11-23T01:00:47 --enforcementcount 0 &gt;&gt;%USERPROFILE%\Documents\GitHub\eaglep3-reporting\EC\2017-11-22-refined-times.txt</v>
      </c>
      <c r="AI222" s="239" t="str">
        <f t="shared" si="157"/>
        <v>echo {"issue":{"subject":"","project_id":79,"tracker_id":40,"status_id":1,"priority_id":2,"assigned_to_id":338,"start_date":"2017-11-23","description":"","custom_fields":[{"id":1,"name":"Subdivision","value":"Other"},{"id":4,"name":"Milepost","value":"2.3312"},{"id":17,"name":"Train ID","value":"313-22"},{"id":16,"name":"Locomotive ID","value":"4018"},{"id":130,"name":"Impact","value":""},{"id":150,"name":"Time of Event (Mountain Time)","value":"01:00:47"},{"id":151,"name":"Denver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2"/>
      <c r="AL222" s="232"/>
      <c r="AM222" s="241" t="str">
        <f t="shared" si="158"/>
        <v>start /low /b %USERPROFILE%\Documents\GitHub\eaglep3\Utilities\DownloadLogsFromS3.py --loco 4018 --day 2017-11-23</v>
      </c>
      <c r="AN222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08:00:47"},{"id":29,"name":"Sharepoint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160"/>
        <v>https://d0f6bd738d7f1b3e5a7ca70fe4ff75f0.us-east-1.aws.found.io/app/kibana#/discover/Steve-Slow-Train-Analysis-(2080s-and-2083s)?_g=(refreshInterval:(display:Off,pause:!f,section:0,value:0),time:(from:'2017-11-22T23:41:12-0700',mode:absolute,to:'2017-11-23T02:00:47-0700'))&amp;_a=(columns:!('Message%20ID',Summary),filters:!(),index:'emp_*',interval:auto,query:(query_string:(analyze_wildcard:!t,query:'%22rtdc.l.rtdc.4018%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230" t="s">
        <v>693</v>
      </c>
      <c r="B223" s="226">
        <v>4026</v>
      </c>
      <c r="C223" s="228" t="s">
        <v>192</v>
      </c>
      <c r="D223" s="228" t="s">
        <v>1093</v>
      </c>
      <c r="E223" s="227">
        <v>43061.203229166669</v>
      </c>
      <c r="F223" s="227">
        <v>43061.207152777781</v>
      </c>
      <c r="G223" s="226">
        <v>78</v>
      </c>
      <c r="H223" s="228" t="s">
        <v>1094</v>
      </c>
      <c r="I223" s="227">
        <v>43061.212650462963</v>
      </c>
      <c r="J223" s="226">
        <v>0</v>
      </c>
      <c r="K223" s="238" t="str">
        <f t="shared" si="132"/>
        <v>4025/4026</v>
      </c>
      <c r="L223" s="246" t="str">
        <f>VLOOKUP(A223,'Trips&amp;Operators'!$C$1:$G$99911,5,FALSE)</f>
        <v>ROMERO CHAD</v>
      </c>
      <c r="M223" s="225">
        <f t="shared" si="133"/>
        <v>5.4976851824903861E-3</v>
      </c>
      <c r="N223" s="226">
        <f t="shared" si="116"/>
        <v>7.9166666627861559</v>
      </c>
      <c r="O223" s="226"/>
      <c r="P223" s="226"/>
      <c r="Q223" s="229"/>
      <c r="R223" s="243"/>
      <c r="S223" s="250">
        <f t="shared" si="161"/>
        <v>0</v>
      </c>
      <c r="T223" s="243" t="str">
        <f t="shared" si="134"/>
        <v>NorthBound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9" t="str">
        <f t="shared" si="135"/>
        <v>https://d0f6bd738d7f1b3e5a7ca70fe4ff75f0.us-east-1.aws.found.io/app/kibana#/discover/Steve-Slow-Train-Analysis-(2080s-and-2083s)?_g=(refreshInterval:(display:Off,pause:!f,section:0,value:0),time:(from:'2017-11-22T03:52:39-0700',mode:absolute,to:'2017-11-22T06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3" s="248" t="str">
        <f>IF(AA223&lt;VLOOKUP(AG223,Variables!$AC$3:$AD$8,2,FALSE),"Y","N")</f>
        <v>Y</v>
      </c>
      <c r="X223" s="248">
        <f t="shared" si="164"/>
        <v>588</v>
      </c>
      <c r="Y223" s="248">
        <f t="shared" si="162"/>
        <v>2.9918999999999998</v>
      </c>
      <c r="Z223" s="248">
        <f t="shared" si="163"/>
        <v>5.8994999999999997</v>
      </c>
      <c r="AA223" s="248">
        <f t="shared" si="136"/>
        <v>2.9076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 t="shared" si="137"/>
        <v>901</v>
      </c>
      <c r="AE223" s="236" t="str">
        <f t="shared" si="138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223" s="235" t="str">
        <f t="shared" si="139"/>
        <v>"C:\Program Files (x86)\AstroGrep\AstroGrep.exe" /e /r /s /spath="%USERPROFILE%\AppData\Local\Temp\OnboardLogs" /stypes="app*4026*20171122*" /stext=" 12:.+((SYSTEM_STATE.+slice.+state.+changed )|(ment ac)|(multiple cpu faults)|(system.+state.+changed )|(\[timeout)|(PRM\|1\|D)|(kpr)|(kdp)|(train st.+moving)|(\|lc)|(penalty))"</v>
      </c>
      <c r="AG223" s="245" t="str">
        <f t="shared" si="140"/>
        <v>Other</v>
      </c>
      <c r="AH223" s="237" t="str">
        <f t="shared" si="156"/>
        <v>"%USERPROFILE%\Documents\GitHub\eaglep3\Utilities\RefineRTDCRunTimes.py" --tripid 901-22 --locoid 4026 --swversion DE.1.0.9.0 --startMP 300:29919 --initTime 2017-11-22T04:52:39 --startdatetime 2017-11-22T04:58:18 --delay 78 --endMP 300:58995 --enddatetime 2017-11-22T05:06:13 --enforcementcount 0 &gt;&gt;%USERPROFILE%\Documents\GitHub\eaglep3-reporting\EC\2017-11-22-refined-times.txt</v>
      </c>
      <c r="AI223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{"issue":{"subject":"","project_id":79,"tracker_id":40,"status_id":1,"priority_id":2,"assigned_to_id":338,"start_date":"2017-11-22","description":"","custom_fields":[{"id":1,"name":"Subdivision","value":"Other"},{"id":4,"name":"Milepost","value":"5.8995"},{"id":17,"name":"Train ID","value":"901-22"},{"id":16,"name":"Locomotive ID","value":"4026"},{"id":130,"name":"Impact","value":""},{"id":150,"name":"Time of Event (Mountain Time)","value":"05:06:13"},{"id":151,"name":"Denver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224"/>
      <c r="AK223" s="232"/>
      <c r="AL223" s="232"/>
      <c r="AM223" s="241" t="str">
        <f t="shared" si="158"/>
        <v>start /low /b %USERPROFILE%\Documents\GitHub\eaglep3\Utilities\DownloadLogsFromS3.py --loco 4026 --day 2017-11-22</v>
      </c>
      <c r="AN223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12:06:13"},{"id":29,"name":"Sharepoint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160"/>
        <v>https://d0f6bd738d7f1b3e5a7ca70fe4ff75f0.us-east-1.aws.found.io/app/kibana#/discover/Steve-Slow-Train-Analysis-(2080s-and-2083s)?_g=(refreshInterval:(display:Off,pause:!f,section:0,value:0),time:(from:'2017-11-22T03:52:39-0700',mode:absolute,to:'2017-11-22T06:06:13-0700'))&amp;_a=(columns:!('Message%20ID',Summary),filters:!(),index:'emp_*',interval:auto,query:(query_string:(analyze_wildcard:!t,query:'%22rtdc.l.rtdc.4026%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230" t="s">
        <v>705</v>
      </c>
      <c r="B224" s="226">
        <v>4023</v>
      </c>
      <c r="C224" s="228" t="s">
        <v>192</v>
      </c>
      <c r="D224" s="228" t="s">
        <v>1095</v>
      </c>
      <c r="E224" s="227">
        <v>43061.240173611113</v>
      </c>
      <c r="F224" s="227">
        <v>43061.24591435185</v>
      </c>
      <c r="G224" s="226">
        <v>135</v>
      </c>
      <c r="H224" s="228" t="s">
        <v>1096</v>
      </c>
      <c r="I224" s="227">
        <v>43061.251076388886</v>
      </c>
      <c r="J224" s="226">
        <v>0</v>
      </c>
      <c r="K224" s="238" t="str">
        <f t="shared" si="132"/>
        <v>4023/4024</v>
      </c>
      <c r="L224" s="246" t="str">
        <f>VLOOKUP(A224,'Trips&amp;Operators'!$C$1:$G$99911,5,FALSE)</f>
        <v>LONG FULLER</v>
      </c>
      <c r="M224" s="225">
        <f t="shared" si="133"/>
        <v>5.1620370359160006E-3</v>
      </c>
      <c r="N224" s="226">
        <f t="shared" si="116"/>
        <v>7.4333333317190409</v>
      </c>
      <c r="O224" s="226"/>
      <c r="P224" s="226"/>
      <c r="Q224" s="229"/>
      <c r="R224" s="243"/>
      <c r="S224" s="250">
        <f t="shared" si="161"/>
        <v>1</v>
      </c>
      <c r="T224" s="243" t="str">
        <f t="shared" si="134"/>
        <v>Southbound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9" t="str">
        <f t="shared" si="135"/>
        <v>https://d0f6bd738d7f1b3e5a7ca70fe4ff75f0.us-east-1.aws.found.io/app/kibana#/discover/Steve-Slow-Train-Analysis-(2080s-and-2083s)?_g=(refreshInterval:(display:Off,pause:!f,section:0,value:0),time:(from:'2017-11-22T04:45:51-0700',mode:absolute,to:'2017-11-22T07:01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4" s="248" t="str">
        <f>IF(AA224&lt;VLOOKUP(AG224,Variables!$AC$3:$AD$8,2,FALSE),"Y","N")</f>
        <v>Y</v>
      </c>
      <c r="X224" s="248">
        <f t="shared" si="164"/>
        <v>1</v>
      </c>
      <c r="Y224" s="248">
        <f t="shared" si="162"/>
        <v>2.3452999999999999</v>
      </c>
      <c r="Z224" s="248">
        <f t="shared" si="163"/>
        <v>7.4099999999999999E-2</v>
      </c>
      <c r="AA224" s="248">
        <f t="shared" si="136"/>
        <v>2.2711999999999999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 t="shared" si="137"/>
        <v>902</v>
      </c>
      <c r="AE224" s="236" t="str">
        <f t="shared" si="138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224" s="235" t="str">
        <f t="shared" si="139"/>
        <v>"C:\Program Files (x86)\AstroGrep\AstroGrep.exe" /e /r /s /spath="%USERPROFILE%\AppData\Local\Temp\OnboardLogs" /stypes="app*4023*20171122*" /stext=" 13:.+((SYSTEM_STATE.+slice.+state.+changed )|(ment ac)|(multiple cpu faults)|(system.+state.+changed )|(\[timeout)|(PRM\|1\|D)|(kpr)|(kdp)|(train st.+moving)|(\|lc)|(penalty))"</v>
      </c>
      <c r="AG224" s="245" t="str">
        <f t="shared" si="140"/>
        <v>Other</v>
      </c>
      <c r="AH224" s="237" t="str">
        <f t="shared" si="156"/>
        <v>"%USERPROFILE%\Documents\GitHub\eaglep3\Utilities\RefineRTDCRunTimes.py" --tripid 902-22 --locoid 4023 --swversion DE.1.0.9.0 --startMP 300:23453 --initTime 2017-11-22T05:45:51 --startdatetime 2017-11-22T05:54:07 --delay 135 --endMP 204:741 --enddatetime 2017-11-22T06:01:33 --enforcementcount 0 &gt;&gt;%USERPROFILE%\Documents\GitHub\eaglep3-reporting\EC\2017-11-22-refined-times.txt</v>
      </c>
      <c r="AI224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{"issue":{"subject":"","project_id":79,"tracker_id":40,"status_id":1,"priority_id":2,"assigned_to_id":338,"start_date":"2017-11-22","description":"","custom_fields":[{"id":1,"name":"Subdivision","value":"Other"},{"id":4,"name":"Milepost","value":"0.0741"},{"id":17,"name":"Train ID","value":"902-22"},{"id":16,"name":"Locomotive ID","value":"4023"},{"id":130,"name":"Impact","value":""},{"id":150,"name":"Time of Event (Mountain Time)","value":"06:01:33"},{"id":151,"name":"Denver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158"/>
        <v>start /low /b %USERPROFILE%\Documents\GitHub\eaglep3\Utilities\DownloadLogsFromS3.py --loco 4023 --day 2017-11-22</v>
      </c>
      <c r="AN224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13:01:33"},{"id":29,"name":"Sharepoint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160"/>
        <v>https://d0f6bd738d7f1b3e5a7ca70fe4ff75f0.us-east-1.aws.found.io/app/kibana#/discover/Steve-Slow-Train-Analysis-(2080s-and-2083s)?_g=(refreshInterval:(display:Off,pause:!f,section:0,value:0),time:(from:'2017-11-22T04:45:51-0700',mode:absolute,to:'2017-11-22T07:01:33-0700'))&amp;_a=(columns:!('Message%20ID',Summary),filters:!(),index:'emp_*',interval:auto,query:(query_string:(analyze_wildcard:!t,query:'%22rtdc.l.rtdc.4023%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230" t="s">
        <v>738</v>
      </c>
      <c r="B225" s="226">
        <v>4026</v>
      </c>
      <c r="C225" s="228" t="s">
        <v>192</v>
      </c>
      <c r="D225" s="228" t="s">
        <v>1097</v>
      </c>
      <c r="E225" s="227">
        <v>43061.352592592593</v>
      </c>
      <c r="F225" s="227">
        <v>43061.354074074072</v>
      </c>
      <c r="G225" s="226">
        <v>71</v>
      </c>
      <c r="H225" s="228" t="s">
        <v>1098</v>
      </c>
      <c r="I225" s="227">
        <v>43061.361157407409</v>
      </c>
      <c r="J225" s="226">
        <v>0</v>
      </c>
      <c r="K225" s="238" t="str">
        <f t="shared" si="132"/>
        <v>4025/4026</v>
      </c>
      <c r="L225" s="246" t="str">
        <f>VLOOKUP(A225,'Trips&amp;Operators'!$C$1:$G$99911,5,FALSE)</f>
        <v>ROMERO CHAD</v>
      </c>
      <c r="M225" s="225">
        <f t="shared" si="133"/>
        <v>7.0833333375048824E-3</v>
      </c>
      <c r="N225" s="226">
        <f t="shared" si="116"/>
        <v>10.200000006007031</v>
      </c>
      <c r="O225" s="226"/>
      <c r="P225" s="226"/>
      <c r="Q225" s="229"/>
      <c r="R225" s="243"/>
      <c r="S225" s="250">
        <f t="shared" si="161"/>
        <v>1</v>
      </c>
      <c r="T225" s="243" t="str">
        <f t="shared" si="134"/>
        <v>NorthBound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9" t="str">
        <f t="shared" si="135"/>
        <v>https://d0f6bd738d7f1b3e5a7ca70fe4ff75f0.us-east-1.aws.found.io/app/kibana#/discover/Steve-Slow-Train-Analysis-(2080s-and-2083s)?_g=(refreshInterval:(display:Off,pause:!f,section:0,value:0),time:(from:'2017-11-22T07:27:44-0700',mode:absolute,to:'2017-11-22T09:40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5" s="248" t="str">
        <f>IF(AA225&lt;VLOOKUP(AG225,Variables!$AC$3:$AD$8,2,FALSE),"Y","N")</f>
        <v>Y</v>
      </c>
      <c r="X225" s="248">
        <f t="shared" si="164"/>
        <v>1</v>
      </c>
      <c r="Y225" s="248">
        <f t="shared" si="162"/>
        <v>0.1116</v>
      </c>
      <c r="Z225" s="248">
        <f t="shared" si="163"/>
        <v>2.4209999999999998</v>
      </c>
      <c r="AA225" s="248">
        <f t="shared" si="136"/>
        <v>2.3093999999999997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 t="shared" si="137"/>
        <v>903</v>
      </c>
      <c r="AE225" s="236" t="str">
        <f t="shared" si="138"/>
        <v>aws s3 cp s3://rtdc.mdm.uploadarchive.raw/RTDC4026/ "%USERPROFILE%\AppData\Local\Temp\OnboardLogs"\RTDC4026\2017-11-22 --exclude "*" --recursive --include "*20171122*" &amp; "%USERPROFILE%\Documents\GitHub\mrs-test-scripts\Headless Mode &amp; Sideloading\WalkAndUnGZ.bat" "%USERPROFILE%\AppData\Local\Temp\OnboardLogs"\RTDC4026\2017-11-22 &amp; aws s3 cp s3://rtdc.mdm.uploadarchive.raw/RTDC4026/ "%USERPROFILE%\AppData\Local\Temp\OnboardLogs"\RTDC4026\2017-11-23 --exclude "*" --recursive --include "*20171123*" &amp; "%USERPROFILE%\Documents\GitHub\mrs-test-scripts\Headless Mode &amp; Sideloading\WalkAndUnGZ.bat" "%USERPROFILE%\AppData\Local\Temp\OnboardLogs"\RTDC4026\2017-11-23</v>
      </c>
      <c r="AF225" s="235" t="str">
        <f t="shared" si="139"/>
        <v>"C:\Program Files (x86)\AstroGrep\AstroGrep.exe" /e /r /s /spath="%USERPROFILE%\AppData\Local\Temp\OnboardLogs" /stypes="app*4026*20171122*" /stext=" 15:.+((SYSTEM_STATE.+slice.+state.+changed )|(ment ac)|(multiple cpu faults)|(system.+state.+changed )|(\[timeout)|(PRM\|1\|D)|(kpr)|(kdp)|(train st.+moving)|(\|lc)|(penalty))"</v>
      </c>
      <c r="AG225" s="245" t="str">
        <f t="shared" si="140"/>
        <v>Other</v>
      </c>
      <c r="AH225" s="237" t="str">
        <f t="shared" si="156"/>
        <v>"%USERPROFILE%\Documents\GitHub\eaglep3\Utilities\RefineRTDCRunTimes.py" --tripid 903-22 --locoid 4026 --swversion DE.1.0.9.0 --startMP 204:1116 --initTime 2017-11-22T08:27:44 --startdatetime 2017-11-22T08:29:52 --delay 71 --endMP 300:24210 --enddatetime 2017-11-22T08:40:04 --enforcementcount 0 &gt;&gt;%USERPROFILE%\Documents\GitHub\eaglep3-reporting\EC\2017-11-22-refined-times.txt</v>
      </c>
      <c r="AI225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{"issue":{"subject":"","project_id":79,"tracker_id":40,"status_id":1,"priority_id":2,"assigned_to_id":338,"start_date":"2017-11-22","description":"","custom_fields":[{"id":1,"name":"Subdivision","value":"Other"},{"id":4,"name":"Milepost","value":"2.421"},{"id":17,"name":"Train ID","value":"903-22"},{"id":16,"name":"Locomotive ID","value":"4026"},{"id":130,"name":"Impact","value":""},{"id":150,"name":"Time of Event (Mountain Time)","value":"08:40:04"},{"id":151,"name":"Denver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158"/>
        <v>start /low /b %USERPROFILE%\Documents\GitHub\eaglep3\Utilities\DownloadLogsFromS3.py --loco 4026 --day 2017-11-22</v>
      </c>
      <c r="AN225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160"/>
        <v>https://d0f6bd738d7f1b3e5a7ca70fe4ff75f0.us-east-1.aws.found.io/app/kibana#/discover/Steve-Slow-Train-Analysis-(2080s-and-2083s)?_g=(refreshInterval:(display:Off,pause:!f,section:0,value:0),time:(from:'2017-11-22T07:27:44-0700',mode:absolute,to:'2017-11-22T09:40:04-0700'))&amp;_a=(columns:!('Message%20ID',Summary),filters:!(),index:'emp_*',interval:auto,query:(query_string:(analyze_wildcard:!t,query:'%22rtdc.l.rtdc.4026%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230" t="s">
        <v>805</v>
      </c>
      <c r="B226" s="226">
        <v>4025</v>
      </c>
      <c r="C226" s="228" t="s">
        <v>192</v>
      </c>
      <c r="D226" s="228" t="s">
        <v>1099</v>
      </c>
      <c r="E226" s="227">
        <v>43061.640057870369</v>
      </c>
      <c r="F226" s="227">
        <v>43061.642962962964</v>
      </c>
      <c r="G226" s="226">
        <v>96</v>
      </c>
      <c r="H226" s="228" t="s">
        <v>1100</v>
      </c>
      <c r="I226" s="227">
        <v>43061.647685185184</v>
      </c>
      <c r="J226" s="226">
        <v>0</v>
      </c>
      <c r="K226" s="238" t="str">
        <f t="shared" si="132"/>
        <v>4025/4026</v>
      </c>
      <c r="L226" s="246" t="str">
        <f>VLOOKUP(A226,'Trips&amp;Operators'!$C$1:$G$99911,5,FALSE)</f>
        <v>STAMBAUGH JAMES</v>
      </c>
      <c r="M226" s="225">
        <f t="shared" si="133"/>
        <v>4.7222222201526165E-3</v>
      </c>
      <c r="N226" s="226">
        <f t="shared" si="116"/>
        <v>6.7999999970197678</v>
      </c>
      <c r="O226" s="226"/>
      <c r="P226" s="226"/>
      <c r="Q226" s="229"/>
      <c r="R226" s="243"/>
      <c r="S226" s="250">
        <f t="shared" si="161"/>
        <v>1</v>
      </c>
      <c r="T226" s="243" t="str">
        <f t="shared" si="134"/>
        <v>Southbound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9" t="str">
        <f t="shared" si="135"/>
        <v>https://d0f6bd738d7f1b3e5a7ca70fe4ff75f0.us-east-1.aws.found.io/app/kibana#/discover/Steve-Slow-Train-Analysis-(2080s-and-2083s)?_g=(refreshInterval:(display:Off,pause:!f,section:0,value:0),time:(from:'2017-11-22T14:21:41-0700',mode:absolute,to:'2017-11-22T16:32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6" s="248" t="str">
        <f>IF(AA226&lt;VLOOKUP(AG226,Variables!$AC$3:$AD$8,2,FALSE),"Y","N")</f>
        <v>Y</v>
      </c>
      <c r="X226" s="248">
        <f t="shared" si="164"/>
        <v>1</v>
      </c>
      <c r="Y226" s="248">
        <f t="shared" si="162"/>
        <v>2.3714</v>
      </c>
      <c r="Z226" s="248">
        <f t="shared" si="163"/>
        <v>7.0599999999999996E-2</v>
      </c>
      <c r="AA226" s="248">
        <f t="shared" si="136"/>
        <v>2.3007999999999997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 t="shared" si="137"/>
        <v>904</v>
      </c>
      <c r="AE226" s="236" t="str">
        <f t="shared" si="138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226" s="235" t="str">
        <f t="shared" si="139"/>
        <v>"C:\Program Files (x86)\AstroGrep\AstroGrep.exe" /e /r /s /spath="%USERPROFILE%\AppData\Local\Temp\OnboardLogs" /stypes="app*4025*20171122*" /stext=" 22:.+((SYSTEM_STATE.+slice.+state.+changed )|(ment ac)|(multiple cpu faults)|(system.+state.+changed )|(\[timeout)|(PRM\|1\|D)|(kpr)|(kdp)|(train st.+moving)|(\|lc)|(penalty))"</v>
      </c>
      <c r="AG226" s="245" t="str">
        <f t="shared" si="140"/>
        <v>Other</v>
      </c>
      <c r="AH226" s="237" t="str">
        <f t="shared" si="156"/>
        <v>"%USERPROFILE%\Documents\GitHub\eaglep3\Utilities\RefineRTDCRunTimes.py" --tripid 904-22 --locoid 4025 --swversion DE.1.0.9.0 --startMP 300:23714 --initTime 2017-11-22T15:21:41 --startdatetime 2017-11-22T15:25:52 --delay 96 --endMP 204:706 --enddatetime 2017-11-22T15:32:40 --enforcementcount 0 &gt;&gt;%USERPROFILE%\Documents\GitHub\eaglep3-reporting\EC\2017-11-22-refined-times.txt</v>
      </c>
      <c r="AI226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{"issue":{"subject":"","project_id":79,"tracker_id":40,"status_id":1,"priority_id":2,"assigned_to_id":338,"start_date":"2017-11-22","description":"","custom_fields":[{"id":1,"name":"Subdivision","value":"Other"},{"id":4,"name":"Milepost","value":"0.0706"},{"id":17,"name":"Train ID","value":"904-22"},{"id":16,"name":"Locomotive ID","value":"4025"},{"id":130,"name":"Impact","value":""},{"id":150,"name":"Time of Event (Mountain Time)","value":"15:32:40"},{"id":151,"name":"Denver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158"/>
        <v>start /low /b %USERPROFILE%\Documents\GitHub\eaglep3\Utilities\DownloadLogsFromS3.py --loco 4025 --day 2017-11-22</v>
      </c>
      <c r="AN226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22:32:40"},{"id":29,"name":"Sharepoint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160"/>
        <v>https://d0f6bd738d7f1b3e5a7ca70fe4ff75f0.us-east-1.aws.found.io/app/kibana#/discover/Steve-Slow-Train-Analysis-(2080s-and-2083s)?_g=(refreshInterval:(display:Off,pause:!f,section:0,value:0),time:(from:'2017-11-22T14:21:41-0700',mode:absolute,to:'2017-11-22T16:32:40-0700'))&amp;_a=(columns:!('Message%20ID',Summary),filters:!(),index:'emp_*',interval:auto,query:(query_string:(analyze_wildcard:!t,query:'%22rtdc.l.rtdc.4025%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230" t="s">
        <v>850</v>
      </c>
      <c r="B227" s="226">
        <v>4025</v>
      </c>
      <c r="C227" s="228" t="s">
        <v>192</v>
      </c>
      <c r="D227" s="228" t="s">
        <v>501</v>
      </c>
      <c r="E227" s="227">
        <v>43061.787569444445</v>
      </c>
      <c r="F227" s="227">
        <v>43061.7887962963</v>
      </c>
      <c r="G227" s="226">
        <v>69</v>
      </c>
      <c r="H227" s="228" t="s">
        <v>1101</v>
      </c>
      <c r="I227" s="227">
        <v>43061.794606481482</v>
      </c>
      <c r="J227" s="226">
        <v>0</v>
      </c>
      <c r="K227" s="238" t="str">
        <f t="shared" si="132"/>
        <v>4025/4026</v>
      </c>
      <c r="L227" s="246" t="str">
        <f>VLOOKUP(A227,'Trips&amp;Operators'!$C$1:$G$99911,5,FALSE)</f>
        <v>STAMBAUGH JAMES</v>
      </c>
      <c r="M227" s="225">
        <f t="shared" si="133"/>
        <v>5.8101851827814244E-3</v>
      </c>
      <c r="N227" s="226">
        <f t="shared" si="116"/>
        <v>8.3666666632052511</v>
      </c>
      <c r="O227" s="226"/>
      <c r="P227" s="226"/>
      <c r="Q227" s="229"/>
      <c r="R227" s="243"/>
      <c r="S227" s="250">
        <f t="shared" si="161"/>
        <v>0</v>
      </c>
      <c r="T227" s="243" t="str">
        <f t="shared" si="134"/>
        <v>Southbound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9" t="str">
        <f t="shared" si="135"/>
        <v>https://d0f6bd738d7f1b3e5a7ca70fe4ff75f0.us-east-1.aws.found.io/app/kibana#/discover/Steve-Slow-Train-Analysis-(2080s-and-2083s)?_g=(refreshInterval:(display:Off,pause:!f,section:0,value:0),time:(from:'2017-11-22T17:54:06-0700',mode:absolute,to:'2017-11-22T20:04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7" s="248" t="str">
        <f>IF(AA227&lt;VLOOKUP(AG227,Variables!$AC$3:$AD$8,2,FALSE),"Y","N")</f>
        <v>Y</v>
      </c>
      <c r="X227" s="248">
        <f t="shared" si="164"/>
        <v>2</v>
      </c>
      <c r="Y227" s="248">
        <f t="shared" si="162"/>
        <v>5.8624000000000001</v>
      </c>
      <c r="Z227" s="248">
        <f t="shared" si="163"/>
        <v>2.8797000000000001</v>
      </c>
      <c r="AA227" s="248">
        <f t="shared" si="136"/>
        <v>2.9826999999999999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 t="shared" si="137"/>
        <v>906</v>
      </c>
      <c r="AE227" s="236" t="str">
        <f t="shared" si="138"/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AF227" s="235" t="str">
        <f t="shared" si="139"/>
        <v>"C:\Program Files (x86)\AstroGrep\AstroGrep.exe" /e /r /s /spath="%USERPROFILE%\AppData\Local\Temp\OnboardLogs" /stypes="app*4025*20171123*" /stext=" 02:.+((SYSTEM_STATE.+slice.+state.+changed )|(ment ac)|(multiple cpu faults)|(system.+state.+changed )|(\[timeout)|(PRM\|1\|D)|(kpr)|(kdp)|(train st.+moving)|(\|lc)|(penalty))"</v>
      </c>
      <c r="AG227" s="245" t="str">
        <f t="shared" si="140"/>
        <v>Other</v>
      </c>
      <c r="AH227" s="237" t="str">
        <f t="shared" si="156"/>
        <v>"%USERPROFILE%\Documents\GitHub\eaglep3\Utilities\RefineRTDCRunTimes.py" --tripid 906-22 --locoid 4025 --swversion DE.1.0.9.0 --startMP 300:58624 --initTime 2017-11-22T18:54:06 --startdatetime 2017-11-22T18:55:52 --delay 69 --endMP 300:28797 --enddatetime 2017-11-22T19:04:14 --enforcementcount 0 &gt;&gt;%USERPROFILE%\Documents\GitHub\eaglep3-reporting\EC\2017-11-22-refined-times.txt</v>
      </c>
      <c r="AI227" s="239" t="str">
        <f t="shared" si="157"/>
        <v>echo {"issue":{"subject":"","project_id":79,"tracker_id":40,"status_id":1,"priority_id":2,"assigned_to_id":338,"start_date":"2017-11-22","description":"","custom_fields":[{"id":1,"name":"Subdivision","value":"Other"},{"id":4,"name":"Milepost","value":"2.8797"},{"id":17,"name":"Train ID","value":"906-22"},{"id":16,"name":"Locomotive ID","value":"4025"},{"id":130,"name":"Impact","value":""},{"id":150,"name":"Time of Event (Mountain Time)","value":"19:04:14"},{"id":151,"name":"Denver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158"/>
        <v>start /low /b %USERPROFILE%\Documents\GitHub\eaglep3\Utilities\DownloadLogsFromS3.py --loco 4025 --day 2017-11-22</v>
      </c>
      <c r="AN227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02:04:14"},{"id":29,"name":"Sharepoint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160"/>
        <v>https://d0f6bd738d7f1b3e5a7ca70fe4ff75f0.us-east-1.aws.found.io/app/kibana#/discover/Steve-Slow-Train-Analysis-(2080s-and-2083s)?_g=(refreshInterval:(display:Off,pause:!f,section:0,value:0),time:(from:'2017-11-22T17:54:06-0700',mode:absolute,to:'2017-11-22T20:04:14-0700'))&amp;_a=(columns:!('Message%20ID',Summary),filters:!(),index:'emp_*',interval:auto,query:(query_string:(analyze_wildcard:!t,query:'%22rtdc.l.rtdc.4025%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230" t="s">
        <v>675</v>
      </c>
      <c r="B228" s="226">
        <v>4018</v>
      </c>
      <c r="C228" s="228" t="s">
        <v>192</v>
      </c>
      <c r="D228" s="228" t="s">
        <v>487</v>
      </c>
      <c r="E228" s="227">
        <v>43061.13208333333</v>
      </c>
      <c r="F228" s="227">
        <v>43061.141412037039</v>
      </c>
      <c r="G228" s="226">
        <v>72</v>
      </c>
      <c r="H228" s="228" t="s">
        <v>1018</v>
      </c>
      <c r="I228" s="227">
        <v>43061.142523148148</v>
      </c>
      <c r="J228" s="226">
        <v>0</v>
      </c>
      <c r="K228" s="238" t="str">
        <f t="shared" si="132"/>
        <v>4017/4018</v>
      </c>
      <c r="L228" s="246" t="str">
        <f>VLOOKUP(A228,'Trips&amp;Operators'!$C$1:$G$99911,5,FALSE)</f>
        <v>SPECTOR MICHAEL</v>
      </c>
      <c r="M228" s="225">
        <f t="shared" si="133"/>
        <v>1.111111108912155E-3</v>
      </c>
      <c r="N228" s="226">
        <f t="shared" si="116"/>
        <v>1.5999999968335032</v>
      </c>
      <c r="O228" s="226"/>
      <c r="P228" s="226"/>
      <c r="Q228" s="229"/>
      <c r="R228" s="243"/>
      <c r="S228" s="250">
        <f t="shared" si="161"/>
        <v>0</v>
      </c>
      <c r="T228" s="243" t="str">
        <f t="shared" si="134"/>
        <v>NorthBound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9" t="str">
        <f t="shared" si="135"/>
        <v>https://d0f6bd738d7f1b3e5a7ca70fe4ff75f0.us-east-1.aws.found.io/app/kibana#/discover/Steve-Slow-Train-Analysis-(2080s-and-2083s)?_g=(refreshInterval:(display:Off,pause:!f,section:0,value:0),time:(from:'2017-11-22T02:10:12-0700',mode:absolute,to:'2017-11-22T04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248" t="str">
        <f>IF(AA228&lt;VLOOKUP(AG228,Variables!$AC$3:$AD$8,2,FALSE),"Y","N")</f>
        <v>Y</v>
      </c>
      <c r="X228" s="248">
        <f t="shared" si="164"/>
        <v>-855</v>
      </c>
      <c r="Y228" s="248">
        <f t="shared" si="162"/>
        <v>4.9700000000000001E-2</v>
      </c>
      <c r="Z228" s="248">
        <f t="shared" si="163"/>
        <v>0.35539999999999999</v>
      </c>
      <c r="AA228" s="248">
        <f t="shared" si="136"/>
        <v>0.30569999999999997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 t="shared" si="137"/>
        <v>51</v>
      </c>
      <c r="AE228" s="236" t="str">
        <f t="shared" si="138"/>
        <v>aws s3 cp s3://rtdc.mdm.uploadarchive.raw/RTDC4018/ "%USERPROFILE%\AppData\Local\Temp\OnboardLogs"\RTDC4018\2017-11-22 --exclude "*" --recursive --include "*20171122*" &amp; "%USERPROFILE%\Documents\GitHub\mrs-test-scripts\Headless Mode &amp; Sideloading\WalkAndUnGZ.bat" "%USERPROFILE%\AppData\Local\Temp\OnboardLogs"\RTDC4018\2017-11-22 &amp; aws s3 cp s3://rtdc.mdm.uploadarchive.raw/RTDC4018/ "%USERPROFILE%\AppData\Local\Temp\OnboardLogs"\RTDC4018\2017-11-23 --exclude "*" --recursive --include "*20171123*" &amp; "%USERPROFILE%\Documents\GitHub\mrs-test-scripts\Headless Mode &amp; Sideloading\WalkAndUnGZ.bat" "%USERPROFILE%\AppData\Local\Temp\OnboardLogs"\RTDC4018\2017-11-23</v>
      </c>
      <c r="AF228" s="235" t="str">
        <f t="shared" si="139"/>
        <v>"C:\Program Files (x86)\AstroGrep\AstroGrep.exe" /e /r /s /spath="%USERPROFILE%\AppData\Local\Temp\OnboardLogs" /stypes="app*4018*20171122*" /stext=" 10:.+((SYSTEM_STATE.+slice.+state.+changed )|(ment ac)|(multiple cpu faults)|(system.+state.+changed )|(\[timeout)|(PRM\|1\|D)|(kpr)|(kdp)|(train st.+moving)|(\|lc)|(penalty))"</v>
      </c>
      <c r="AG228" s="245" t="str">
        <f t="shared" si="140"/>
        <v>Shuttle/Test</v>
      </c>
      <c r="AH228" s="237" t="str">
        <f t="shared" si="156"/>
        <v>"%USERPROFILE%\Documents\GitHub\eaglep3\Utilities\RefineRTDCRunTimes.py" --tripid 51-22 --locoid 4018 --swversion DE.1.0.9.0 --startMP 204:497 --initTime 2017-11-22T03:10:12 --startdatetime 2017-11-22T03:23:38 --delay 72 --endMP 204:3554 --enddatetime 2017-11-22T03:25:14 --enforcementcount 0 &gt;&gt;%USERPROFILE%\Documents\GitHub\eaglep3-reporting\EC\2017-11-22-refined-times.txt</v>
      </c>
      <c r="AI228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0.3554"},{"id":17,"name":"Train ID","value":"51-22"},{"id":16,"name":"Locomotive ID","value":"4018"},{"id":130,"name":"Impact","value":""},{"id":150,"name":"Time of Event (Mountain Time)","value":"03:25:14"},{"id":151,"name":"Denver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158"/>
        <v>start /low /b %USERPROFILE%\Documents\GitHub\eaglep3\Utilities\DownloadLogsFromS3.py --loco 4018 --day 2017-11-22</v>
      </c>
      <c r="AN228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160"/>
        <v>https://d0f6bd738d7f1b3e5a7ca70fe4ff75f0.us-east-1.aws.found.io/app/kibana#/discover/Steve-Slow-Train-Analysis-(2080s-and-2083s)?_g=(refreshInterval:(display:Off,pause:!f,section:0,value:0),time:(from:'2017-11-22T02:10:12-0700',mode:absolute,to:'2017-11-22T04:25:14-0700'))&amp;_a=(columns:!('Message%20ID',Summary),filters:!(),index:'emp_*',interval:auto,query:(query_string:(analyze_wildcard:!t,query:'%22rtdc.l.rtdc.4018%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230" t="s">
        <v>675</v>
      </c>
      <c r="B229" s="226">
        <v>4017</v>
      </c>
      <c r="C229" s="228" t="s">
        <v>192</v>
      </c>
      <c r="D229" s="228" t="s">
        <v>1002</v>
      </c>
      <c r="E229" s="227">
        <v>43061.140046296299</v>
      </c>
      <c r="F229" s="227">
        <v>43061.141412037039</v>
      </c>
      <c r="G229" s="226">
        <v>70</v>
      </c>
      <c r="H229" s="228" t="s">
        <v>1003</v>
      </c>
      <c r="I229" s="227">
        <v>43061.142523148148</v>
      </c>
      <c r="J229" s="226">
        <v>0</v>
      </c>
      <c r="K229" s="238" t="str">
        <f t="shared" si="132"/>
        <v>4017/4018</v>
      </c>
      <c r="L229" s="246" t="str">
        <f>VLOOKUP(A229,'Trips&amp;Operators'!$C$1:$G$99911,5,FALSE)</f>
        <v>SPECTOR MICHAEL</v>
      </c>
      <c r="M229" s="225">
        <f t="shared" si="133"/>
        <v>1.111111108912155E-3</v>
      </c>
      <c r="N229" s="226">
        <f t="shared" si="116"/>
        <v>1.5999999968335032</v>
      </c>
      <c r="O229" s="226"/>
      <c r="P229" s="226"/>
      <c r="Q229" s="229"/>
      <c r="R229" s="243"/>
      <c r="S229" s="250">
        <f t="shared" si="161"/>
        <v>0</v>
      </c>
      <c r="T229" s="243" t="str">
        <f t="shared" si="134"/>
        <v>NorthBound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9" t="str">
        <f t="shared" si="135"/>
        <v>https://d0f6bd738d7f1b3e5a7ca70fe4ff75f0.us-east-1.aws.found.io/app/kibana#/discover/Steve-Slow-Train-Analysis-(2080s-and-2083s)?_g=(refreshInterval:(display:Off,pause:!f,section:0,value:0),time:(from:'2017-11-22T02:21:40-0700',mode:absolute,to:'2017-11-22T04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248" t="str">
        <f>IF(AA229&lt;VLOOKUP(AG229,Variables!$AC$3:$AD$8,2,FALSE),"Y","N")</f>
        <v>Y</v>
      </c>
      <c r="X229" s="248">
        <f t="shared" si="164"/>
        <v>0</v>
      </c>
      <c r="Y229" s="248">
        <f t="shared" si="162"/>
        <v>0.3231</v>
      </c>
      <c r="Z229" s="248">
        <f t="shared" si="163"/>
        <v>0.1182</v>
      </c>
      <c r="AA229" s="248">
        <f t="shared" si="136"/>
        <v>0.2049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 t="shared" si="137"/>
        <v>51</v>
      </c>
      <c r="AE229" s="236" t="str">
        <f t="shared" si="138"/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AF229" s="235" t="str">
        <f t="shared" si="139"/>
        <v>"C:\Program Files (x86)\AstroGrep\AstroGrep.exe" /e /r /s /spath="%USERPROFILE%\AppData\Local\Temp\OnboardLogs" /stypes="app*4017*20171122*" /stext=" 10:.+((SYSTEM_STATE.+slice.+state.+changed )|(ment ac)|(multiple cpu faults)|(system.+state.+changed )|(\[timeout)|(PRM\|1\|D)|(kpr)|(kdp)|(train st.+moving)|(\|lc)|(penalty))"</v>
      </c>
      <c r="AG229" s="245" t="str">
        <f t="shared" si="140"/>
        <v>Shuttle/Test</v>
      </c>
      <c r="AH229" s="237" t="str">
        <f t="shared" si="156"/>
        <v>"%USERPROFILE%\Documents\GitHub\eaglep3\Utilities\RefineRTDCRunTimes.py" --tripid 51-22 --locoid 4017 --swversion DE.1.0.9.0 --startMP 204:3231 --initTime 2017-11-22T03:21:40 --startdatetime 2017-11-22T03:23:38 --delay 70 --endMP 204:1182 --enddatetime 2017-11-22T03:25:14 --enforcementcount 0 &gt;&gt;%USERPROFILE%\Documents\GitHub\eaglep3-reporting\EC\2017-11-22-refined-times.txt</v>
      </c>
      <c r="AI229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0.1182"},{"id":17,"name":"Train ID","value":"51-22"},{"id":16,"name":"Locomotive ID","value":"4017"},{"id":130,"name":"Impact","value":""},{"id":150,"name":"Time of Event (Mountain Time)","value":"03:25:14"},{"id":151,"name":"Denver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158"/>
        <v>start /low /b %USERPROFILE%\Documents\GitHub\eaglep3\Utilities\DownloadLogsFromS3.py --loco 4017 --day 2017-11-22</v>
      </c>
      <c r="AN229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160"/>
        <v>https://d0f6bd738d7f1b3e5a7ca70fe4ff75f0.us-east-1.aws.found.io/app/kibana#/discover/Steve-Slow-Train-Analysis-(2080s-and-2083s)?_g=(refreshInterval:(display:Off,pause:!f,section:0,value:0),time:(from:'2017-11-22T02:21:40-0700',mode:absolute,to:'2017-11-22T04:25:14-0700'))&amp;_a=(columns:!('Message%20ID',Summary),filters:!(),index:'emp_*',interval:auto,query:(query_string:(analyze_wildcard:!t,query:'%22rtdc.l.rtdc.4017%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230" t="s">
        <v>675</v>
      </c>
      <c r="B230" s="226">
        <v>4006</v>
      </c>
      <c r="C230" s="228" t="s">
        <v>192</v>
      </c>
      <c r="D230" s="228" t="s">
        <v>446</v>
      </c>
      <c r="E230" s="227">
        <v>43061.333993055552</v>
      </c>
      <c r="F230" s="227">
        <v>43061.335266203707</v>
      </c>
      <c r="G230" s="226">
        <v>60</v>
      </c>
      <c r="H230" s="228" t="s">
        <v>540</v>
      </c>
      <c r="I230" s="227">
        <v>43061.362141203703</v>
      </c>
      <c r="J230" s="226">
        <v>0</v>
      </c>
      <c r="K230" s="238" t="str">
        <f t="shared" si="132"/>
        <v>4005/4006</v>
      </c>
      <c r="L230" s="246" t="str">
        <f>VLOOKUP(A230,'Trips&amp;Operators'!$C$1:$G$99911,5,FALSE)</f>
        <v>SPECTOR MICHAEL</v>
      </c>
      <c r="M230" s="225">
        <f t="shared" si="133"/>
        <v>2.6874999995925464E-2</v>
      </c>
      <c r="N230" s="226">
        <f t="shared" ref="N230:N242" si="165">24*60*SUM($M230:$M230)</f>
        <v>38.699999994132668</v>
      </c>
      <c r="O230" s="226"/>
      <c r="P230" s="226"/>
      <c r="Q230" s="229"/>
      <c r="R230" s="243"/>
      <c r="S230" s="250">
        <f t="shared" si="161"/>
        <v>1</v>
      </c>
      <c r="T230" s="243" t="str">
        <f t="shared" si="134"/>
        <v>NorthBound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49" t="str">
        <f t="shared" si="135"/>
        <v>https://d0f6bd738d7f1b3e5a7ca70fe4ff75f0.us-east-1.aws.found.io/app/kibana#/discover/Steve-Slow-Train-Analysis-(2080s-and-2083s)?_g=(refreshInterval:(display:Off,pause:!f,section:0,value:0),time:(from:'2017-11-22T07:00:57-0700',mode:absolute,to:'2017-11-22T09:41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0" s="248" t="str">
        <f>IF(AA230&lt;VLOOKUP(AG230,Variables!$AC$3:$AD$8,2,FALSE),"Y","N")</f>
        <v>Y</v>
      </c>
      <c r="X230" s="248">
        <f t="shared" si="164"/>
        <v>0</v>
      </c>
      <c r="Y230" s="248">
        <f t="shared" si="162"/>
        <v>5.0599999999999999E-2</v>
      </c>
      <c r="Z230" s="248">
        <f t="shared" si="163"/>
        <v>23.3308</v>
      </c>
      <c r="AA230" s="248">
        <f t="shared" si="136"/>
        <v>23.280200000000001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 t="shared" si="137"/>
        <v>51</v>
      </c>
      <c r="AE230" s="236" t="str">
        <f t="shared" si="138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230" s="235" t="str">
        <f t="shared" si="139"/>
        <v>"C:\Program Files (x86)\AstroGrep\AstroGrep.exe" /e /r /s /spath="%USERPROFILE%\AppData\Local\Temp\OnboardLogs" /stypes="app*4006*20171122*" /stext=" 15:.+((SYSTEM_STATE.+slice.+state.+changed )|(ment ac)|(multiple cpu faults)|(system.+state.+changed )|(\[timeout)|(PRM\|1\|D)|(kpr)|(kdp)|(train st.+moving)|(\|lc)|(penalty))"</v>
      </c>
      <c r="AG230" s="245" t="str">
        <f t="shared" si="140"/>
        <v>Shuttle/Test</v>
      </c>
      <c r="AH230" s="237" t="str">
        <f t="shared" si="156"/>
        <v>"%USERPROFILE%\Documents\GitHub\eaglep3\Utilities\RefineRTDCRunTimes.py" --tripid 51-22 --locoid 4006 --swversion DE.1.0.9.0 --startMP 204:506 --initTime 2017-11-22T08:00:57 --startdatetime 2017-11-22T08:02:47 --delay 60 --endMP 204:233308 --enddatetime 2017-11-22T08:41:29 --enforcementcount 0 &gt;&gt;%USERPROFILE%\Documents\GitHub\eaglep3-reporting\EC\2017-11-22-refined-times.txt</v>
      </c>
      <c r="AI230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23.3308"},{"id":17,"name":"Train ID","value":"51-22"},{"id":16,"name":"Locomotive ID","value":"4006"},{"id":130,"name":"Impact","value":""},{"id":150,"name":"Time of Event (Mountain Time)","value":"08:41:29"},{"id":151,"name":"Denver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158"/>
        <v>start /low /b %USERPROFILE%\Documents\GitHub\eaglep3\Utilities\DownloadLogsFromS3.py --loco 4006 --day 2017-11-22</v>
      </c>
      <c r="AN230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15:41:29"},{"id":29,"name":"Sharepoint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160"/>
        <v>https://d0f6bd738d7f1b3e5a7ca70fe4ff75f0.us-east-1.aws.found.io/app/kibana#/discover/Steve-Slow-Train-Analysis-(2080s-and-2083s)?_g=(refreshInterval:(display:Off,pause:!f,section:0,value:0),time:(from:'2017-11-22T07:00:57-0700',mode:absolute,to:'2017-11-22T09:41:29-0700'))&amp;_a=(columns:!('Message%20ID',Summary),filters:!(),index:'emp_*',interval:auto,query:(query_string:(analyze_wildcard:!t,query:'%22rtdc.l.rtdc.4006%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230" t="s">
        <v>675</v>
      </c>
      <c r="B231" s="226">
        <v>4006</v>
      </c>
      <c r="C231" s="228" t="s">
        <v>192</v>
      </c>
      <c r="D231" s="228" t="s">
        <v>612</v>
      </c>
      <c r="E231" s="227">
        <v>43061.401956018519</v>
      </c>
      <c r="F231" s="227">
        <v>43061.407060185185</v>
      </c>
      <c r="G231" s="226">
        <v>73</v>
      </c>
      <c r="H231" s="228" t="s">
        <v>1019</v>
      </c>
      <c r="I231" s="227">
        <v>43061.431956018518</v>
      </c>
      <c r="J231" s="226">
        <v>0</v>
      </c>
      <c r="K231" s="238" t="str">
        <f t="shared" si="132"/>
        <v>4005/4006</v>
      </c>
      <c r="L231" s="246" t="str">
        <f>VLOOKUP(A231,'Trips&amp;Operators'!$C$1:$G$99911,5,FALSE)</f>
        <v>SPECTOR MICHAEL</v>
      </c>
      <c r="M231" s="225">
        <f t="shared" si="133"/>
        <v>2.4895833332266193E-2</v>
      </c>
      <c r="N231" s="226">
        <f t="shared" si="165"/>
        <v>35.849999998463318</v>
      </c>
      <c r="O231" s="226"/>
      <c r="P231" s="226"/>
      <c r="Q231" s="229"/>
      <c r="R231" s="243"/>
      <c r="S231" s="250">
        <f t="shared" si="161"/>
        <v>1</v>
      </c>
      <c r="T231" s="243" t="str">
        <f t="shared" si="134"/>
        <v>NorthBound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9" t="str">
        <f t="shared" si="135"/>
        <v>https://d0f6bd738d7f1b3e5a7ca70fe4ff75f0.us-east-1.aws.found.io/app/kibana#/discover/Steve-Slow-Train-Analysis-(2080s-and-2083s)?_g=(refreshInterval:(display:Off,pause:!f,section:0,value:0),time:(from:'2017-11-22T08:38:49-0700',mode:absolute,to:'2017-11-22T11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248" t="str">
        <f>IF(AA231&lt;VLOOKUP(AG231,Variables!$AC$3:$AD$8,2,FALSE),"Y","N")</f>
        <v>Y</v>
      </c>
      <c r="X231" s="248">
        <f t="shared" si="164"/>
        <v>0</v>
      </c>
      <c r="Y231" s="248">
        <f t="shared" si="162"/>
        <v>5.3100000000000001E-2</v>
      </c>
      <c r="Z231" s="248">
        <f t="shared" si="163"/>
        <v>23.318000000000001</v>
      </c>
      <c r="AA231" s="248">
        <f t="shared" si="136"/>
        <v>23.264900000000001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 t="shared" si="137"/>
        <v>51</v>
      </c>
      <c r="AE231" s="236" t="str">
        <f t="shared" si="138"/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AF231" s="235" t="str">
        <f t="shared" si="139"/>
        <v>"C:\Program Files (x86)\AstroGrep\AstroGrep.exe" /e /r /s /spath="%USERPROFILE%\AppData\Local\Temp\OnboardLogs" /stypes="app*4006*20171122*" /stext=" 17:.+((SYSTEM_STATE.+slice.+state.+changed )|(ment ac)|(multiple cpu faults)|(system.+state.+changed )|(\[timeout)|(PRM\|1\|D)|(kpr)|(kdp)|(train st.+moving)|(\|lc)|(penalty))"</v>
      </c>
      <c r="AG231" s="245" t="str">
        <f t="shared" si="140"/>
        <v>Shuttle/Test</v>
      </c>
      <c r="AH231" s="237" t="str">
        <f t="shared" si="156"/>
        <v>"%USERPROFILE%\Documents\GitHub\eaglep3\Utilities\RefineRTDCRunTimes.py" --tripid 51-22 --locoid 4006 --swversion DE.1.0.9.0 --startMP 204:531 --initTime 2017-11-22T09:38:49 --startdatetime 2017-11-22T09:46:10 --delay 73 --endMP 204:233180 --enddatetime 2017-11-22T10:22:01 --enforcementcount 0 &gt;&gt;%USERPROFILE%\Documents\GitHub\eaglep3-reporting\EC\2017-11-22-refined-times.txt</v>
      </c>
      <c r="AI231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23.318"},{"id":17,"name":"Train ID","value":"51-22"},{"id":16,"name":"Locomotive ID","value":"4006"},{"id":130,"name":"Impact","value":""},{"id":150,"name":"Time of Event (Mountain Time)","value":"10:22:01"},{"id":151,"name":"Denver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158"/>
        <v>start /low /b %USERPROFILE%\Documents\GitHub\eaglep3\Utilities\DownloadLogsFromS3.py --loco 4006 --day 2017-11-22</v>
      </c>
      <c r="AN231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17:22:01"},{"id":29,"name":"Sharepoint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160"/>
        <v>https://d0f6bd738d7f1b3e5a7ca70fe4ff75f0.us-east-1.aws.found.io/app/kibana#/discover/Steve-Slow-Train-Analysis-(2080s-and-2083s)?_g=(refreshInterval:(display:Off,pause:!f,section:0,value:0),time:(from:'2017-11-22T08:38:49-0700',mode:absolute,to:'2017-11-22T11:22:01-0700'))&amp;_a=(columns:!('Message%20ID',Summary),filters:!(),index:'emp_*',interval:auto,query:(query_string:(analyze_wildcard:!t,query:'%22rtdc.l.rtdc.4006%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 s="230" t="s">
        <v>647</v>
      </c>
      <c r="B232" s="226">
        <v>4049</v>
      </c>
      <c r="C232" s="228" t="s">
        <v>192</v>
      </c>
      <c r="D232" s="228" t="s">
        <v>1020</v>
      </c>
      <c r="E232" s="227">
        <v>43061.327372685184</v>
      </c>
      <c r="F232" s="227">
        <v>43061.329108796293</v>
      </c>
      <c r="G232" s="226">
        <v>62</v>
      </c>
      <c r="H232" s="228" t="s">
        <v>511</v>
      </c>
      <c r="I232" s="227">
        <v>43061.345879629633</v>
      </c>
      <c r="J232" s="226">
        <v>0</v>
      </c>
      <c r="K232" s="238" t="str">
        <f t="shared" si="132"/>
        <v>4049/4050</v>
      </c>
      <c r="L232" s="246" t="str">
        <f>VLOOKUP(A232,'Trips&amp;Operators'!$C$1:$G$99911,5,FALSE)</f>
        <v>THOMPSON LESTER</v>
      </c>
      <c r="M232" s="225">
        <f t="shared" si="133"/>
        <v>1.6770833339251112E-2</v>
      </c>
      <c r="N232" s="226">
        <f t="shared" si="165"/>
        <v>24.150000008521602</v>
      </c>
      <c r="O232" s="226"/>
      <c r="P232" s="226"/>
      <c r="Q232" s="229"/>
      <c r="R232" s="243"/>
      <c r="S232" s="250">
        <f t="shared" si="161"/>
        <v>1</v>
      </c>
      <c r="T232" s="243" t="str">
        <f t="shared" si="134"/>
        <v>Southbound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9" t="str">
        <f t="shared" si="135"/>
        <v>https://d0f6bd738d7f1b3e5a7ca70fe4ff75f0.us-east-1.aws.found.io/app/kibana#/discover/Steve-Slow-Train-Analysis-(2080s-and-2083s)?_g=(refreshInterval:(display:Off,pause:!f,section:0,value:0),time:(from:'2017-11-22T06:51:25-0700',mode:absolute,to:'2017-11-22T09:18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2" s="248" t="str">
        <f>IF(AA232&lt;VLOOKUP(AG232,Variables!$AC$3:$AD$8,2,FALSE),"Y","N")</f>
        <v>Y</v>
      </c>
      <c r="X232" s="248">
        <f t="shared" si="164"/>
        <v>1</v>
      </c>
      <c r="Y232" s="248">
        <f t="shared" si="162"/>
        <v>10.707800000000001</v>
      </c>
      <c r="Z232" s="248">
        <f t="shared" si="163"/>
        <v>1.54E-2</v>
      </c>
      <c r="AA232" s="248">
        <f t="shared" si="136"/>
        <v>10.692400000000001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 t="shared" si="137"/>
        <v>52</v>
      </c>
      <c r="AE232" s="236" t="str">
        <f t="shared" si="138"/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AF232" s="235" t="str">
        <f t="shared" si="139"/>
        <v>"C:\Program Files (x86)\AstroGrep\AstroGrep.exe" /e /r /s /spath="%USERPROFILE%\AppData\Local\Temp\OnboardLogs" /stypes="app*4049*20171122*" /stext=" 15:.+((SYSTEM_STATE.+slice.+state.+changed )|(ment ac)|(multiple cpu faults)|(system.+state.+changed )|(\[timeout)|(PRM\|1\|D)|(kpr)|(kdp)|(train st.+moving)|(\|lc)|(penalty))"</v>
      </c>
      <c r="AG232" s="245" t="str">
        <f t="shared" si="140"/>
        <v>Shuttle/Test</v>
      </c>
      <c r="AH232" s="237" t="str">
        <f t="shared" si="156"/>
        <v>"%USERPROFILE%\Documents\GitHub\eaglep3\Utilities\RefineRTDCRunTimes.py" --tripid 52-22 --locoid 4049 --swversion DE.1.0.9.0 --startMP 204:107078 --initTime 2017-11-22T07:51:25 --startdatetime 2017-11-22T07:53:55 --delay 62 --endMP 204:154 --enddatetime 2017-11-22T08:18:04 --enforcementcount 0 &gt;&gt;%USERPROFILE%\Documents\GitHub\eaglep3-reporting\EC\2017-11-22-refined-times.txt</v>
      </c>
      <c r="AI232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0.0154"},{"id":17,"name":"Train ID","value":"52-22"},{"id":16,"name":"Locomotive ID","value":"4049"},{"id":130,"name":"Impact","value":""},{"id":150,"name":"Time of Event (Mountain Time)","value":"08:18:04"},{"id":151,"name":"Denver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158"/>
        <v>start /low /b %USERPROFILE%\Documents\GitHub\eaglep3\Utilities\DownloadLogsFromS3.py --loco 4049 --day 2017-11-22</v>
      </c>
      <c r="AN232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15:18:04"},{"id":29,"name":"Sharepoint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160"/>
        <v>https://d0f6bd738d7f1b3e5a7ca70fe4ff75f0.us-east-1.aws.found.io/app/kibana#/discover/Steve-Slow-Train-Analysis-(2080s-and-2083s)?_g=(refreshInterval:(display:Off,pause:!f,section:0,value:0),time:(from:'2017-11-22T06:51:25-0700',mode:absolute,to:'2017-11-22T09:18:04-0700'))&amp;_a=(columns:!('Message%20ID',Summary),filters:!(),index:'emp_*',interval:auto,query:(query_string:(analyze_wildcard:!t,query:'%22rtdc.l.rtdc.4049%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 s="230" t="s">
        <v>650</v>
      </c>
      <c r="B233" s="226">
        <v>4027</v>
      </c>
      <c r="C233" s="228" t="s">
        <v>192</v>
      </c>
      <c r="D233" s="228" t="s">
        <v>1021</v>
      </c>
      <c r="E233" s="227">
        <v>43061.332731481481</v>
      </c>
      <c r="F233" s="227">
        <v>43061.338263888887</v>
      </c>
      <c r="G233" s="226">
        <v>163</v>
      </c>
      <c r="H233" s="228" t="s">
        <v>1022</v>
      </c>
      <c r="I233" s="227">
        <v>43061.356736111113</v>
      </c>
      <c r="J233" s="226">
        <v>0</v>
      </c>
      <c r="K233" s="238" t="str">
        <f t="shared" si="132"/>
        <v>4027/4028</v>
      </c>
      <c r="L233" s="246" t="str">
        <f>VLOOKUP(A233,'Trips&amp;Operators'!$C$1:$G$99911,5,FALSE)</f>
        <v>PELLITIER GEORGE</v>
      </c>
      <c r="M233" s="225">
        <f t="shared" si="133"/>
        <v>1.8472222225682344E-2</v>
      </c>
      <c r="N233" s="226">
        <f t="shared" si="165"/>
        <v>26.600000004982576</v>
      </c>
      <c r="O233" s="226"/>
      <c r="P233" s="226"/>
      <c r="Q233" s="229"/>
      <c r="R233" s="243"/>
      <c r="S233" s="250">
        <f t="shared" si="161"/>
        <v>0</v>
      </c>
      <c r="T233" s="243" t="str">
        <f t="shared" si="134"/>
        <v>NorthBound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49" t="str">
        <f t="shared" si="135"/>
        <v>https://d0f6bd738d7f1b3e5a7ca70fe4ff75f0.us-east-1.aws.found.io/app/kibana#/discover/Steve-Slow-Train-Analysis-(2080s-and-2083s)?_g=(refreshInterval:(display:Off,pause:!f,section:0,value:0),time:(from:'2017-11-22T06:59:08-0700',mode:absolute,to:'2017-11-22T09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3" s="248" t="str">
        <f>IF(AA233&lt;VLOOKUP(AG233,Variables!$AC$3:$AD$8,2,FALSE),"Y","N")</f>
        <v>Y</v>
      </c>
      <c r="X233" s="248">
        <f t="shared" si="164"/>
        <v>1</v>
      </c>
      <c r="Y233" s="248">
        <f t="shared" si="162"/>
        <v>12.802300000000001</v>
      </c>
      <c r="Z233" s="248">
        <f t="shared" si="163"/>
        <v>12.8025</v>
      </c>
      <c r="AA233" s="248">
        <f t="shared" si="136"/>
        <v>1.9999999999953388E-4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 t="shared" si="137"/>
        <v>53</v>
      </c>
      <c r="AE233" s="236" t="str">
        <f t="shared" si="138"/>
        <v>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 &amp; aws s3 cp s3://rtdc.mdm.uploadarchive.raw/RTDC4027/ "%USERPROFILE%\AppData\Local\Temp\OnboardLogs"\RTDC4027\2017-11-23 --exclude "*" --recursive --include "*20171123*" &amp; "%USERPROFILE%\Documents\GitHub\mrs-test-scripts\Headless Mode &amp; Sideloading\WalkAndUnGZ.bat" "%USERPROFILE%\AppData\Local\Temp\OnboardLogs"\RTDC4027\2017-11-23</v>
      </c>
      <c r="AF233" s="235" t="str">
        <f t="shared" si="139"/>
        <v>"C:\Program Files (x86)\AstroGrep\AstroGrep.exe" /e /r /s /spath="%USERPROFILE%\AppData\Local\Temp\OnboardLogs" /stypes="app*4027*20171122*" /stext=" 15:.+((SYSTEM_STATE.+slice.+state.+changed )|(ment ac)|(multiple cpu faults)|(system.+state.+changed )|(\[timeout)|(PRM\|1\|D)|(kpr)|(kdp)|(train st.+moving)|(\|lc)|(penalty))"</v>
      </c>
      <c r="AG233" s="245" t="str">
        <f t="shared" si="140"/>
        <v>Shuttle/Test</v>
      </c>
      <c r="AH233" s="237" t="str">
        <f t="shared" si="156"/>
        <v>"%USERPROFILE%\Documents\GitHub\eaglep3\Utilities\RefineRTDCRunTimes.py" --tripid 53-22 --locoid 4027 --swversion DE.1.0.9.0 --startMP 204:128023 --initTime 2017-11-22T07:59:08 --startdatetime 2017-11-22T08:07:06 --delay 163 --endMP 204:128025 --enddatetime 2017-11-22T08:33:42 --enforcementcount 0 &gt;&gt;%USERPROFILE%\Documents\GitHub\eaglep3-reporting\EC\2017-11-22-refined-times.txt</v>
      </c>
      <c r="AI233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12.8025"},{"id":17,"name":"Train ID","value":"53-22"},{"id":16,"name":"Locomotive ID","value":"4027"},{"id":130,"name":"Impact","value":""},{"id":150,"name":"Time of Event (Mountain Time)","value":"08:33:42"},{"id":151,"name":"Denver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3" s="224"/>
      <c r="AK233" s="232"/>
      <c r="AL233" s="232"/>
      <c r="AM233" s="241" t="str">
        <f t="shared" si="158"/>
        <v>start /low /b %USERPROFILE%\Documents\GitHub\eaglep3\Utilities\DownloadLogsFromS3.py --loco 4027 --day 2017-11-22</v>
      </c>
      <c r="AN233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160"/>
        <v>https://d0f6bd738d7f1b3e5a7ca70fe4ff75f0.us-east-1.aws.found.io/app/kibana#/discover/Steve-Slow-Train-Analysis-(2080s-and-2083s)?_g=(refreshInterval:(display:Off,pause:!f,section:0,value:0),time:(from:'2017-11-22T06:59:08-0700',mode:absolute,to:'2017-11-22T09:33:42-0700'))&amp;_a=(columns:!('Message%20ID',Summary),filters:!(),index:'emp_*',interval:auto,query:(query_string:(analyze_wildcard:!t,query:'%22rtdc.l.rtdc.4027%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 s="230" t="s">
        <v>650</v>
      </c>
      <c r="B234" s="226">
        <v>4027</v>
      </c>
      <c r="C234" s="228" t="s">
        <v>192</v>
      </c>
      <c r="D234" s="228" t="s">
        <v>1023</v>
      </c>
      <c r="E234" s="227">
        <v>43061.337407407409</v>
      </c>
      <c r="F234" s="227">
        <v>43061.338263888887</v>
      </c>
      <c r="G234" s="226">
        <v>45</v>
      </c>
      <c r="H234" s="228" t="s">
        <v>922</v>
      </c>
      <c r="I234" s="227">
        <v>43061.356736111113</v>
      </c>
      <c r="J234" s="226">
        <v>0</v>
      </c>
      <c r="K234" s="238" t="str">
        <f t="shared" si="132"/>
        <v>4027/4028</v>
      </c>
      <c r="L234" s="246" t="str">
        <f>VLOOKUP(A234,'Trips&amp;Operators'!$C$1:$G$99911,5,FALSE)</f>
        <v>PELLITIER GEORGE</v>
      </c>
      <c r="M234" s="225">
        <f t="shared" si="133"/>
        <v>1.8472222225682344E-2</v>
      </c>
      <c r="N234" s="226">
        <f t="shared" si="165"/>
        <v>26.600000004982576</v>
      </c>
      <c r="O234" s="226"/>
      <c r="P234" s="226"/>
      <c r="Q234" s="229"/>
      <c r="R234" s="243"/>
      <c r="S234" s="250">
        <f t="shared" si="161"/>
        <v>0</v>
      </c>
      <c r="T234" s="243" t="str">
        <f t="shared" si="134"/>
        <v>NorthBound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49" t="str">
        <f t="shared" si="135"/>
        <v>https://d0f6bd738d7f1b3e5a7ca70fe4ff75f0.us-east-1.aws.found.io/app/kibana#/discover/Steve-Slow-Train-Analysis-(2080s-and-2083s)?_g=(refreshInterval:(display:Off,pause:!f,section:0,value:0),time:(from:'2017-11-22T07:05:52-0700',mode:absolute,to:'2017-11-22T09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4" s="248" t="str">
        <f>IF(AA234&lt;VLOOKUP(AG234,Variables!$AC$3:$AD$8,2,FALSE),"Y","N")</f>
        <v>Y</v>
      </c>
      <c r="X234" s="248">
        <f t="shared" si="164"/>
        <v>0</v>
      </c>
      <c r="Y234" s="248">
        <f t="shared" si="162"/>
        <v>12.342000000000001</v>
      </c>
      <c r="Z234" s="248">
        <f t="shared" si="163"/>
        <v>1.6E-2</v>
      </c>
      <c r="AA234" s="248">
        <f t="shared" si="136"/>
        <v>12.326000000000001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 t="shared" si="137"/>
        <v>53</v>
      </c>
      <c r="AE234" s="236" t="str">
        <f t="shared" si="138"/>
        <v>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 &amp; aws s3 cp s3://rtdc.mdm.uploadarchive.raw/RTDC4027/ "%USERPROFILE%\AppData\Local\Temp\OnboardLogs"\RTDC4027\2017-11-23 --exclude "*" --recursive --include "*20171123*" &amp; "%USERPROFILE%\Documents\GitHub\mrs-test-scripts\Headless Mode &amp; Sideloading\WalkAndUnGZ.bat" "%USERPROFILE%\AppData\Local\Temp\OnboardLogs"\RTDC4027\2017-11-23</v>
      </c>
      <c r="AF234" s="235" t="str">
        <f t="shared" si="139"/>
        <v>"C:\Program Files (x86)\AstroGrep\AstroGrep.exe" /e /r /s /spath="%USERPROFILE%\AppData\Local\Temp\OnboardLogs" /stypes="app*4027*20171122*" /stext=" 15:.+((SYSTEM_STATE.+slice.+state.+changed )|(ment ac)|(multiple cpu faults)|(system.+state.+changed )|(\[timeout)|(PRM\|1\|D)|(kpr)|(kdp)|(train st.+moving)|(\|lc)|(penalty))"</v>
      </c>
      <c r="AG234" s="245" t="str">
        <f t="shared" si="140"/>
        <v>Shuttle/Test</v>
      </c>
      <c r="AH234" s="237" t="str">
        <f t="shared" si="156"/>
        <v>"%USERPROFILE%\Documents\GitHub\eaglep3\Utilities\RefineRTDCRunTimes.py" --tripid 53-22 --locoid 4027 --swversion DE.1.0.9.0 --startMP 204:123420 --initTime 2017-11-22T08:05:52 --startdatetime 2017-11-22T08:07:06 --delay 45 --endMP 204:160 --enddatetime 2017-11-22T08:33:42 --enforcementcount 0 &gt;&gt;%USERPROFILE%\Documents\GitHub\eaglep3-reporting\EC\2017-11-22-refined-times.txt</v>
      </c>
      <c r="AI234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0.016"},{"id":17,"name":"Train ID","value":"53-22"},{"id":16,"name":"Locomotive ID","value":"4027"},{"id":130,"name":"Impact","value":""},{"id":150,"name":"Time of Event (Mountain Time)","value":"08:33:42"},{"id":151,"name":"Denver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158"/>
        <v>start /low /b %USERPROFILE%\Documents\GitHub\eaglep3\Utilities\DownloadLogsFromS3.py --loco 4027 --day 2017-11-22</v>
      </c>
      <c r="AN234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160"/>
        <v>https://d0f6bd738d7f1b3e5a7ca70fe4ff75f0.us-east-1.aws.found.io/app/kibana#/discover/Steve-Slow-Train-Analysis-(2080s-and-2083s)?_g=(refreshInterval:(display:Off,pause:!f,section:0,value:0),time:(from:'2017-11-22T07:05:52-0700',mode:absolute,to:'2017-11-22T09:33:42-0700'))&amp;_a=(columns:!('Message%20ID',Summary),filters:!(),index:'emp_*',interval:auto,query:(query_string:(analyze_wildcard:!t,query:'%22rtdc.l.rtdc.4027%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 s="230" t="s">
        <v>729</v>
      </c>
      <c r="B235" s="226">
        <v>4002</v>
      </c>
      <c r="C235" s="228" t="s">
        <v>192</v>
      </c>
      <c r="D235" s="228" t="s">
        <v>1024</v>
      </c>
      <c r="E235" s="227">
        <v>43061.325578703705</v>
      </c>
      <c r="F235" s="227">
        <v>43061.328449074077</v>
      </c>
      <c r="G235" s="226">
        <v>64</v>
      </c>
      <c r="H235" s="228" t="s">
        <v>1025</v>
      </c>
      <c r="I235" s="227">
        <v>43061.334953703707</v>
      </c>
      <c r="J235" s="226">
        <v>0</v>
      </c>
      <c r="K235" s="238" t="str">
        <f t="shared" si="132"/>
        <v>4001/4002</v>
      </c>
      <c r="L235" s="246" t="str">
        <f>VLOOKUP(A235,'Trips&amp;Operators'!$C$1:$G$99911,5,FALSE)</f>
        <v>PAGE MARCUS</v>
      </c>
      <c r="M235" s="225">
        <f t="shared" si="133"/>
        <v>6.5046296294895001E-3</v>
      </c>
      <c r="N235" s="226">
        <f t="shared" si="165"/>
        <v>9.3666666664648801</v>
      </c>
      <c r="O235" s="226"/>
      <c r="P235" s="226"/>
      <c r="Q235" s="229"/>
      <c r="R235" s="243"/>
      <c r="S235" s="250">
        <f t="shared" si="161"/>
        <v>0</v>
      </c>
      <c r="T235" s="243" t="str">
        <f t="shared" si="134"/>
        <v>Southbound</v>
      </c>
      <c r="U235" s="247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49" t="str">
        <f t="shared" si="135"/>
        <v>https://d0f6bd738d7f1b3e5a7ca70fe4ff75f0.us-east-1.aws.found.io/app/kibana#/discover/Steve-Slow-Train-Analysis-(2080s-and-2083s)?_g=(refreshInterval:(display:Off,pause:!f,section:0,value:0),time:(from:'2017-11-22T06:48:50-0700',mode:absolute,to:'2017-11-22T09:02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5" s="248" t="str">
        <f>IF(AA235&lt;VLOOKUP(AG235,Variables!$AC$3:$AD$8,2,FALSE),"Y","N")</f>
        <v>Y</v>
      </c>
      <c r="X235" s="248">
        <f t="shared" si="164"/>
        <v>1</v>
      </c>
      <c r="Y235" s="248">
        <f t="shared" si="162"/>
        <v>15.4255</v>
      </c>
      <c r="Z235" s="248">
        <f t="shared" si="163"/>
        <v>15.6656</v>
      </c>
      <c r="AA235" s="248">
        <f t="shared" si="136"/>
        <v>0.24009999999999998</v>
      </c>
      <c r="AB235" s="234" t="e">
        <f>VLOOKUP(A235,Enforcements!$C$7:$K$9,8,0)</f>
        <v>#N/A</v>
      </c>
      <c r="AC235" s="233" t="e">
        <f>VLOOKUP(A235,Enforcements!$C$7:$E$9,3,0)</f>
        <v>#N/A</v>
      </c>
      <c r="AD235" s="244">
        <f t="shared" si="137"/>
        <v>54</v>
      </c>
      <c r="AE235" s="236" t="str">
        <f t="shared" si="138"/>
        <v>aws s3 cp s3://rtdc.mdm.uploadarchive.raw/RTDC4002/ "%USERPROFILE%\AppData\Local\Temp\OnboardLogs"\RTDC4002\2017-11-22 --exclude "*" --recursive --include "*20171122*" &amp; "%USERPROFILE%\Documents\GitHub\mrs-test-scripts\Headless Mode &amp; Sideloading\WalkAndUnGZ.bat" "%USERPROFILE%\AppData\Local\Temp\OnboardLogs"\RTDC4002\2017-11-22 &amp; aws s3 cp s3://rtdc.mdm.uploadarchive.raw/RTDC4002/ "%USERPROFILE%\AppData\Local\Temp\OnboardLogs"\RTDC4002\2017-11-23 --exclude "*" --recursive --include "*20171123*" &amp; "%USERPROFILE%\Documents\GitHub\mrs-test-scripts\Headless Mode &amp; Sideloading\WalkAndUnGZ.bat" "%USERPROFILE%\AppData\Local\Temp\OnboardLogs"\RTDC4002\2017-11-23</v>
      </c>
      <c r="AF235" s="235" t="str">
        <f t="shared" si="139"/>
        <v>"C:\Program Files (x86)\AstroGrep\AstroGrep.exe" /e /r /s /spath="%USERPROFILE%\AppData\Local\Temp\OnboardLogs" /stypes="app*4002*20171122*" /stext=" 15:.+((SYSTEM_STATE.+slice.+state.+changed )|(ment ac)|(multiple cpu faults)|(system.+state.+changed )|(\[timeout)|(PRM\|1\|D)|(kpr)|(kdp)|(train st.+moving)|(\|lc)|(penalty))"</v>
      </c>
      <c r="AG235" s="245" t="str">
        <f t="shared" si="140"/>
        <v>Shuttle/Test</v>
      </c>
      <c r="AH235" s="237" t="str">
        <f t="shared" si="156"/>
        <v>"%USERPROFILE%\Documents\GitHub\eaglep3\Utilities\RefineRTDCRunTimes.py" --tripid 54-22 --locoid 4002 --swversion DE.1.0.9.0 --startMP 204:154255 --initTime 2017-11-22T07:48:50 --startdatetime 2017-11-22T07:52:58 --delay 64 --endMP 204:156656 --enddatetime 2017-11-22T08:02:20 --enforcementcount 0 &gt;&gt;%USERPROFILE%\Documents\GitHub\eaglep3-reporting\EC\2017-11-22-refined-times.txt</v>
      </c>
      <c r="AI235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15.6656"},{"id":17,"name":"Train ID","value":"54-22"},{"id":16,"name":"Locomotive ID","value":"4002"},{"id":130,"name":"Impact","value":""},{"id":150,"name":"Time of Event (Mountain Time)","value":"08:02:20"},{"id":151,"name":"Denver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5" s="224"/>
      <c r="AK235" s="232"/>
      <c r="AL235" s="232"/>
      <c r="AM235" s="241" t="str">
        <f t="shared" si="158"/>
        <v>start /low /b %USERPROFILE%\Documents\GitHub\eaglep3\Utilities\DownloadLogsFromS3.py --loco 4002 --day 2017-11-22</v>
      </c>
      <c r="AN235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15:02:20"},{"id":29,"name":"Sharepoint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231" t="str">
        <f t="shared" si="160"/>
        <v>https://d0f6bd738d7f1b3e5a7ca70fe4ff75f0.us-east-1.aws.found.io/app/kibana#/discover/Steve-Slow-Train-Analysis-(2080s-and-2083s)?_g=(refreshInterval:(display:Off,pause:!f,section:0,value:0),time:(from:'2017-11-22T06:48:50-0700',mode:absolute,to:'2017-11-22T09:02:20-0700'))&amp;_a=(columns:!('Message%20ID',Summary),filters:!(),index:'emp_*',interval:auto,query:(query_string:(analyze_wildcard:!t,query:'%22rtdc.l.rtdc.4002%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 s="230" t="s">
        <v>646</v>
      </c>
      <c r="B236" s="226">
        <v>4009</v>
      </c>
      <c r="C236" s="228" t="s">
        <v>192</v>
      </c>
      <c r="D236" s="228" t="s">
        <v>1026</v>
      </c>
      <c r="E236" s="227">
        <v>43061.328275462962</v>
      </c>
      <c r="F236" s="227">
        <v>43061.33284722222</v>
      </c>
      <c r="G236" s="226">
        <v>132</v>
      </c>
      <c r="H236" s="228" t="s">
        <v>1027</v>
      </c>
      <c r="I236" s="227">
        <v>43061.336793981478</v>
      </c>
      <c r="J236" s="226">
        <v>0</v>
      </c>
      <c r="K236" s="238" t="str">
        <f t="shared" si="132"/>
        <v>4009/4010</v>
      </c>
      <c r="L236" s="246" t="str">
        <f>VLOOKUP(A236,'Trips&amp;Operators'!$C$1:$G$99911,5,FALSE)</f>
        <v>HUFFSMITH MONTY</v>
      </c>
      <c r="M236" s="225">
        <f t="shared" si="133"/>
        <v>3.9467592578148469E-3</v>
      </c>
      <c r="N236" s="226">
        <f t="shared" si="165"/>
        <v>5.6833333312533796</v>
      </c>
      <c r="O236" s="226"/>
      <c r="P236" s="226"/>
      <c r="Q236" s="229"/>
      <c r="R236" s="243"/>
      <c r="S236" s="250">
        <f t="shared" si="161"/>
        <v>1</v>
      </c>
      <c r="T236" s="243" t="str">
        <f t="shared" si="134"/>
        <v>Southbound</v>
      </c>
      <c r="U236" s="247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49" t="str">
        <f t="shared" si="135"/>
        <v>https://d0f6bd738d7f1b3e5a7ca70fe4ff75f0.us-east-1.aws.found.io/app/kibana#/discover/Steve-Slow-Train-Analysis-(2080s-and-2083s)?_g=(refreshInterval:(display:Off,pause:!f,section:0,value:0),time:(from:'2017-11-22T06:52:43-0700',mode:absolute,to:'2017-11-22T09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6" s="248" t="str">
        <f>IF(AA236&lt;VLOOKUP(AG236,Variables!$AC$3:$AD$8,2,FALSE),"Y","N")</f>
        <v>Y</v>
      </c>
      <c r="X236" s="248">
        <f t="shared" si="164"/>
        <v>2</v>
      </c>
      <c r="Y236" s="248">
        <f t="shared" si="162"/>
        <v>2.2326999999999999</v>
      </c>
      <c r="Z236" s="248">
        <f t="shared" si="163"/>
        <v>0.44879999999999998</v>
      </c>
      <c r="AA236" s="248">
        <f t="shared" si="136"/>
        <v>1.7839</v>
      </c>
      <c r="AB236" s="234" t="e">
        <f>VLOOKUP(A236,Enforcements!$C$7:$K$9,8,0)</f>
        <v>#N/A</v>
      </c>
      <c r="AC236" s="233" t="e">
        <f>VLOOKUP(A236,Enforcements!$C$7:$E$9,3,0)</f>
        <v>#N/A</v>
      </c>
      <c r="AD236" s="244">
        <f t="shared" si="137"/>
        <v>56</v>
      </c>
      <c r="AE236" s="236" t="str">
        <f t="shared" si="138"/>
        <v>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 &amp; aws s3 cp s3://rtdc.mdm.uploadarchive.raw/RTDC4009/ "%USERPROFILE%\AppData\Local\Temp\OnboardLogs"\RTDC4009\2017-11-23 --exclude "*" --recursive --include "*20171123*" &amp; "%USERPROFILE%\Documents\GitHub\mrs-test-scripts\Headless Mode &amp; Sideloading\WalkAndUnGZ.bat" "%USERPROFILE%\AppData\Local\Temp\OnboardLogs"\RTDC4009\2017-11-23</v>
      </c>
      <c r="AF236" s="235" t="str">
        <f t="shared" si="139"/>
        <v>"C:\Program Files (x86)\AstroGrep\AstroGrep.exe" /e /r /s /spath="%USERPROFILE%\AppData\Local\Temp\OnboardLogs" /stypes="app*4009*20171122*" /stext=" 15:.+((SYSTEM_STATE.+slice.+state.+changed )|(ment ac)|(multiple cpu faults)|(system.+state.+changed )|(\[timeout)|(PRM\|1\|D)|(kpr)|(kdp)|(train st.+moving)|(\|lc)|(penalty))"</v>
      </c>
      <c r="AG236" s="245" t="str">
        <f t="shared" si="140"/>
        <v>Shuttle/Test</v>
      </c>
      <c r="AH236" s="237" t="str">
        <f t="shared" si="156"/>
        <v>"%USERPROFILE%\Documents\GitHub\eaglep3\Utilities\RefineRTDCRunTimes.py" --tripid 56-22 --locoid 4009 --swversion DE.1.0.9.0 --startMP 300:22327 --initTime 2017-11-22T07:52:43 --startdatetime 2017-11-22T07:59:18 --delay 132 --endMP 204:4488 --enddatetime 2017-11-22T08:04:59 --enforcementcount 0 &gt;&gt;%USERPROFILE%\Documents\GitHub\eaglep3-reporting\EC\2017-11-22-refined-times.txt</v>
      </c>
      <c r="AI236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0.4488"},{"id":17,"name":"Train ID","value":"56-22"},{"id":16,"name":"Locomotive ID","value":"4009"},{"id":130,"name":"Impact","value":""},{"id":150,"name":"Time of Event (Mountain Time)","value":"08:04:59"},{"id":151,"name":"Denver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6" s="224"/>
      <c r="AK236" s="232"/>
      <c r="AL236" s="232"/>
      <c r="AM236" s="241" t="str">
        <f t="shared" si="158"/>
        <v>start /low /b %USERPROFILE%\Documents\GitHub\eaglep3\Utilities\DownloadLogsFromS3.py --loco 4009 --day 2017-11-22</v>
      </c>
      <c r="AN236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15:04:59"},{"id":29,"name":"Sharepoint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231" t="str">
        <f t="shared" si="160"/>
        <v>https://d0f6bd738d7f1b3e5a7ca70fe4ff75f0.us-east-1.aws.found.io/app/kibana#/discover/Steve-Slow-Train-Analysis-(2080s-and-2083s)?_g=(refreshInterval:(display:Off,pause:!f,section:0,value:0),time:(from:'2017-11-22T06:52:43-0700',mode:absolute,to:'2017-11-22T09:04:59-0700'))&amp;_a=(columns:!('Message%20ID',Summary),filters:!(),index:'emp_*',interval:auto,query:(query_string:(analyze_wildcard:!t,query:'%22rtdc.l.rtdc.4009%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 s="230" t="s">
        <v>744</v>
      </c>
      <c r="B237" s="226">
        <v>4028</v>
      </c>
      <c r="C237" s="228" t="s">
        <v>192</v>
      </c>
      <c r="D237" s="228" t="s">
        <v>539</v>
      </c>
      <c r="E237" s="227">
        <v>43061.375902777778</v>
      </c>
      <c r="F237" s="227">
        <v>43061.377337962964</v>
      </c>
      <c r="G237" s="226">
        <v>79</v>
      </c>
      <c r="H237" s="228" t="s">
        <v>553</v>
      </c>
      <c r="I237" s="227">
        <v>25568.708333333332</v>
      </c>
      <c r="J237" s="226">
        <v>0</v>
      </c>
      <c r="K237" s="238" t="str">
        <f t="shared" si="132"/>
        <v>4027/4028</v>
      </c>
      <c r="L237" s="246" t="str">
        <f>VLOOKUP(A237,'Trips&amp;Operators'!$C$1:$G$99911,5,FALSE)</f>
        <v>ACKERMAN JARED</v>
      </c>
      <c r="M237" s="225">
        <f t="shared" si="133"/>
        <v>-17492.669004629632</v>
      </c>
      <c r="N237" s="226">
        <f t="shared" si="165"/>
        <v>-25189443.366666671</v>
      </c>
      <c r="O237" s="226"/>
      <c r="P237" s="226"/>
      <c r="Q237" s="229"/>
      <c r="R237" s="243"/>
      <c r="S237" s="250">
        <f t="shared" si="161"/>
        <v>1</v>
      </c>
      <c r="T237" s="243" t="str">
        <f t="shared" si="134"/>
        <v>NorthBound</v>
      </c>
      <c r="U237" s="247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249" t="str">
        <f t="shared" si="135"/>
        <v>https://d0f6bd738d7f1b3e5a7ca70fe4ff75f0.us-east-1.aws.found.io/app/kibana#/discover/Steve-Slow-Train-Analysis-(2080s-and-2083s)?_g=(refreshInterval:(display:Off,pause:!f,section:0,value:0),time:(from:'2017-11-22T08:01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7" s="248" t="str">
        <f>IF(AA237&lt;VLOOKUP(AG237,Variables!$AC$3:$AD$8,2,FALSE),"Y","N")</f>
        <v>Y</v>
      </c>
      <c r="X237" s="248">
        <f t="shared" si="164"/>
        <v>1</v>
      </c>
      <c r="Y237" s="248">
        <f t="shared" si="162"/>
        <v>4.8599999999999997E-2</v>
      </c>
      <c r="Z237" s="248">
        <f t="shared" si="163"/>
        <v>2.3304</v>
      </c>
      <c r="AA237" s="248">
        <f t="shared" si="136"/>
        <v>2.2818000000000001</v>
      </c>
      <c r="AB237" s="234" t="e">
        <f>VLOOKUP(A237,Enforcements!$C$7:$K$9,8,0)</f>
        <v>#N/A</v>
      </c>
      <c r="AC237" s="233" t="e">
        <f>VLOOKUP(A237,Enforcements!$C$7:$E$9,3,0)</f>
        <v>#N/A</v>
      </c>
      <c r="AD237" s="244">
        <f t="shared" si="137"/>
        <v>57</v>
      </c>
      <c r="AE237" s="236" t="str">
        <f t="shared" si="138"/>
        <v>aws s3 cp s3://rtdc.mdm.uploadarchive.raw/RTDC4028/ "%USERPROFILE%\AppData\Local\Temp\OnboardLogs"\RTDC4028\2017-11-22 --exclude "*" --recursive --include "*20171122*" &amp; "%USERPROFILE%\Documents\GitHub\mrs-test-scripts\Headless Mode &amp; Sideloading\WalkAndUnGZ.bat" "%USERPROFILE%\AppData\Local\Temp\OnboardLogs"\RTDC4028\2017-11-22 &amp; aws s3 cp s3://rtdc.mdm.uploadarchive.raw/RTDC4028/ "%USERPROFILE%\AppData\Local\Temp\OnboardLogs"\RTDC4028\2017-11-23 --exclude "*" --recursive --include "*20171123*" &amp; "%USERPROFILE%\Documents\GitHub\mrs-test-scripts\Headless Mode &amp; Sideloading\WalkAndUnGZ.bat" "%USERPROFILE%\AppData\Local\Temp\OnboardLogs"\RTDC4028\2017-11-23</v>
      </c>
      <c r="AF237" s="235" t="str">
        <f t="shared" si="139"/>
        <v>"C:\Program Files (x86)\AstroGrep\AstroGrep.exe" /e /r /s /spath="%USERPROFILE%\AppData\Local\Temp\OnboardLogs" /stypes="app*4028*19700101*" /stext=" 00:.+((SYSTEM_STATE.+slice.+state.+changed )|(ment ac)|(multiple cpu faults)|(system.+state.+changed )|(\[timeout)|(PRM\|1\|D)|(kpr)|(kdp)|(train st.+moving)|(\|lc)|(penalty))"</v>
      </c>
      <c r="AG237" s="245" t="str">
        <f t="shared" si="140"/>
        <v>Shuttle/Test</v>
      </c>
      <c r="AH237" s="237" t="str">
        <f t="shared" si="156"/>
        <v>"%USERPROFILE%\Documents\GitHub\eaglep3\Utilities\RefineRTDCRunTimes.py" --tripid 57-22 --locoid 4028 --swversion DE.1.0.9.0 --startMP 204:486 --initTime 2017-11-22T09:01:18 --startdatetime 2017-11-22T09:03:22 --delay 79 --endMP 300:23304 --enddatetime 1969-12-31T17:00:00 --enforcementcount 0 &gt;&gt;%USERPROFILE%\Documents\GitHub\eaglep3-reporting\EC\2017-11-22-refined-times.txt</v>
      </c>
      <c r="AI237" s="239" t="str">
        <f t="shared" si="157"/>
        <v>echo {"issue":{"subject":"","project_id":79,"tracker_id":40,"status_id":1,"priority_id":2,"assigned_to_id":338,"start_date":"1969-12-31","description":"","custom_fields":[{"id":1,"name":"Subdivision","value":"Shuttle/Test"},{"id":4,"name":"Milepost","value":"2.3304"},{"id":17,"name":"Train ID","value":"57-22"},{"id":16,"name":"Locomotive ID","value":"4028"},{"id":130,"name":"Impact","value":""},{"id":150,"name":"Time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7" s="224"/>
      <c r="AK237" s="232"/>
      <c r="AL237" s="232"/>
      <c r="AM237" s="241" t="str">
        <f t="shared" si="158"/>
        <v>start /low /b %USERPROFILE%\Documents\GitHub\eaglep3\Utilities\DownloadLogsFromS3.py --loco 4028 --day 2017-11-22</v>
      </c>
      <c r="AN237" s="242" t="str">
        <f t="shared" si="159"/>
        <v>echo {"issue":{"subject":"","project_id":30,"tracker_id":4,"status_id":1,"priority_id":1,"assigned_to_id":10,"start_date":"1970-01-01","description":"","custom_fields":[{"id":30,"name":"Category","value":"Issue"},{"id":3,"name":"Functional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UTC","value":"1970-01-01 00:00:00"},{"id":29,"name":"Sharepoint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231" t="str">
        <f t="shared" si="160"/>
        <v>https://d0f6bd738d7f1b3e5a7ca70fe4ff75f0.us-east-1.aws.found.io/app/kibana#/discover/Steve-Slow-Train-Analysis-(2080s-and-2083s)?_g=(refreshInterval:(display:Off,pause:!f,section:0,value:0),time:(from:'2017-11-22T08:01:18-0700',mode:absolute,to:'1969-12-31T18:00:00-0700'))&amp;_a=(columns:!('Message%20ID',Summary),filters:!(),index:'emp_*',interval:auto,query:(query_string:(analyze_wildcard:!t,query:'%22rtdc.l.rtdc.4028%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 s="230" t="s">
        <v>833</v>
      </c>
      <c r="B238" s="226">
        <v>4041</v>
      </c>
      <c r="C238" s="228" t="s">
        <v>192</v>
      </c>
      <c r="D238" s="228" t="s">
        <v>1028</v>
      </c>
      <c r="E238" s="227">
        <v>43061.732800925929</v>
      </c>
      <c r="F238" s="227">
        <v>43061.735335648147</v>
      </c>
      <c r="G238" s="226">
        <v>60</v>
      </c>
      <c r="H238" s="228" t="s">
        <v>1029</v>
      </c>
      <c r="I238" s="227">
        <v>43061.743703703702</v>
      </c>
      <c r="J238" s="226">
        <v>0</v>
      </c>
      <c r="K238" s="238" t="str">
        <f t="shared" si="132"/>
        <v>4041/4042</v>
      </c>
      <c r="L238" s="246" t="str">
        <f>VLOOKUP(A238,'Trips&amp;Operators'!$C$1:$G$99911,5,FALSE)</f>
        <v>MCREYNOLDS KYLE</v>
      </c>
      <c r="M238" s="225">
        <f t="shared" si="133"/>
        <v>8.3680555544560775E-3</v>
      </c>
      <c r="N238" s="226">
        <f t="shared" si="165"/>
        <v>12.049999998416752</v>
      </c>
      <c r="O238" s="226"/>
      <c r="P238" s="226"/>
      <c r="Q238" s="229"/>
      <c r="R238" s="243"/>
      <c r="S238" s="250">
        <f t="shared" si="161"/>
        <v>1</v>
      </c>
      <c r="T238" s="243" t="str">
        <f t="shared" si="134"/>
        <v>Southbound</v>
      </c>
      <c r="U238" s="247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49" t="str">
        <f t="shared" si="135"/>
        <v>https://d0f6bd738d7f1b3e5a7ca70fe4ff75f0.us-east-1.aws.found.io/app/kibana#/discover/Steve-Slow-Train-Analysis-(2080s-and-2083s)?_g=(refreshInterval:(display:Off,pause:!f,section:0,value:0),time:(from:'2017-11-22T16:35:14-0700',mode:absolute,to:'2017-11-22T18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8" s="248" t="str">
        <f>IF(AA238&lt;VLOOKUP(AG238,Variables!$AC$3:$AD$8,2,FALSE),"Y","N")</f>
        <v>Y</v>
      </c>
      <c r="X238" s="248">
        <f t="shared" si="164"/>
        <v>17</v>
      </c>
      <c r="Y238" s="248">
        <f t="shared" si="162"/>
        <v>2.3849</v>
      </c>
      <c r="Z238" s="248">
        <f t="shared" si="163"/>
        <v>0.1812</v>
      </c>
      <c r="AA238" s="248">
        <f t="shared" si="136"/>
        <v>2.2037</v>
      </c>
      <c r="AB238" s="234" t="e">
        <f>VLOOKUP(A238,Enforcements!$C$7:$K$9,8,0)</f>
        <v>#N/A</v>
      </c>
      <c r="AC238" s="233" t="e">
        <f>VLOOKUP(A238,Enforcements!$C$7:$E$9,3,0)</f>
        <v>#N/A</v>
      </c>
      <c r="AD238" s="244">
        <f t="shared" si="137"/>
        <v>74</v>
      </c>
      <c r="AE238" s="236" t="str">
        <f t="shared" si="138"/>
        <v>aws s3 cp s3://rtdc.mdm.uploadarchive.raw/RTDC4041/ "%USERPROFILE%\AppData\Local\Temp\OnboardLogs"\RTDC4041\2017-11-22 --exclude "*" --recursive --include "*20171122*" &amp; "%USERPROFILE%\Documents\GitHub\mrs-test-scripts\Headless Mode &amp; Sideloading\WalkAndUnGZ.bat" "%USERPROFILE%\AppData\Local\Temp\OnboardLogs"\RTDC4041\2017-11-22 &amp; aws s3 cp s3://rtdc.mdm.uploadarchive.raw/RTDC4041/ "%USERPROFILE%\AppData\Local\Temp\OnboardLogs"\RTDC4041\2017-11-23 --exclude "*" --recursive --include "*20171123*" &amp; "%USERPROFILE%\Documents\GitHub\mrs-test-scripts\Headless Mode &amp; Sideloading\WalkAndUnGZ.bat" "%USERPROFILE%\AppData\Local\Temp\OnboardLogs"\RTDC4041\2017-11-23</v>
      </c>
      <c r="AF238" s="235" t="str">
        <f t="shared" si="139"/>
        <v>"C:\Program Files (x86)\AstroGrep\AstroGrep.exe" /e /r /s /spath="%USERPROFILE%\AppData\Local\Temp\OnboardLogs" /stypes="app*4041*20171123*" /stext=" 00:.+((SYSTEM_STATE.+slice.+state.+changed )|(ment ac)|(multiple cpu faults)|(system.+state.+changed )|(\[timeout)|(PRM\|1\|D)|(kpr)|(kdp)|(train st.+moving)|(\|lc)|(penalty))"</v>
      </c>
      <c r="AG238" s="245" t="str">
        <f t="shared" si="140"/>
        <v>Shuttle/Test</v>
      </c>
      <c r="AH238" s="237" t="str">
        <f t="shared" si="156"/>
        <v>"%USERPROFILE%\Documents\GitHub\eaglep3\Utilities\RefineRTDCRunTimes.py" --tripid 74-22 --locoid 4041 --swversion DE.1.0.9.0 --startMP 300:23849 --initTime 2017-11-22T17:35:14 --startdatetime 2017-11-22T17:38:53 --delay 60 --endMP 204:1812 --enddatetime 2017-11-22T17:50:56 --enforcementcount 0 &gt;&gt;%USERPROFILE%\Documents\GitHub\eaglep3-reporting\EC\2017-11-22-refined-times.txt</v>
      </c>
      <c r="AI238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0.1812"},{"id":17,"name":"Train ID","value":"74-22"},{"id":16,"name":"Locomotive ID","value":"4041"},{"id":130,"name":"Impact","value":""},{"id":150,"name":"Time of Event (Mountain Time)","value":"17:50:56"},{"id":151,"name":"Denver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8" s="224"/>
      <c r="AK238" s="232"/>
      <c r="AL238" s="232"/>
      <c r="AM238" s="241" t="str">
        <f t="shared" si="158"/>
        <v>start /low /b %USERPROFILE%\Documents\GitHub\eaglep3\Utilities\DownloadLogsFromS3.py --loco 4041 --day 2017-11-22</v>
      </c>
      <c r="AN238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231" t="str">
        <f t="shared" si="160"/>
        <v>https://d0f6bd738d7f1b3e5a7ca70fe4ff75f0.us-east-1.aws.found.io/app/kibana#/discover/Steve-Slow-Train-Analysis-(2080s-and-2083s)?_g=(refreshInterval:(display:Off,pause:!f,section:0,value:0),time:(from:'2017-11-22T16:35:14-0700',mode:absolute,to:'2017-11-22T18:50:56-0700'))&amp;_a=(columns:!('Message%20ID',Summary),filters:!(),index:'emp_*',interval:auto,query:(query_string:(analyze_wildcard:!t,query:'%22rtdc.l.rtdc.4041%22')),sort:!(Time.ISO8601,asc))</v>
      </c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 s="230" t="s">
        <v>827</v>
      </c>
      <c r="B239" s="226">
        <v>4060</v>
      </c>
      <c r="C239" s="228" t="s">
        <v>192</v>
      </c>
      <c r="D239" s="228" t="s">
        <v>1030</v>
      </c>
      <c r="E239" s="227">
        <v>43061.714270833334</v>
      </c>
      <c r="F239" s="227">
        <v>43061.725578703707</v>
      </c>
      <c r="G239" s="226">
        <v>60</v>
      </c>
      <c r="H239" s="228" t="s">
        <v>1031</v>
      </c>
      <c r="I239" s="227">
        <v>43061.734583333331</v>
      </c>
      <c r="J239" s="226">
        <v>0</v>
      </c>
      <c r="K239" s="238" t="str">
        <f t="shared" si="132"/>
        <v>4059/4060</v>
      </c>
      <c r="L239" s="246" t="str">
        <f>VLOOKUP(A239,'Trips&amp;Operators'!$C$1:$G$99911,5,FALSE)</f>
        <v>MAGEE KENYA</v>
      </c>
      <c r="M239" s="225">
        <f t="shared" si="133"/>
        <v>9.0046296245418489E-3</v>
      </c>
      <c r="N239" s="226">
        <f t="shared" si="165"/>
        <v>12.966666659340262</v>
      </c>
      <c r="O239" s="226"/>
      <c r="P239" s="226"/>
      <c r="Q239" s="229"/>
      <c r="R239" s="243"/>
      <c r="S239" s="250">
        <f t="shared" si="161"/>
        <v>1</v>
      </c>
      <c r="T239" s="243" t="str">
        <f t="shared" si="134"/>
        <v>NorthBound</v>
      </c>
      <c r="U239" s="247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49" t="str">
        <f t="shared" si="135"/>
        <v>https://d0f6bd738d7f1b3e5a7ca70fe4ff75f0.us-east-1.aws.found.io/app/kibana#/discover/Steve-Slow-Train-Analysis-(2080s-and-2083s)?_g=(refreshInterval:(display:Off,pause:!f,section:0,value:0),time:(from:'2017-11-22T16:08:33-0700',mode:absolute,to:'2017-11-22T18:37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39" s="248" t="str">
        <f>IF(AA239&lt;VLOOKUP(AG239,Variables!$AC$3:$AD$8,2,FALSE),"Y","N")</f>
        <v>Y</v>
      </c>
      <c r="X239" s="248">
        <f t="shared" si="164"/>
        <v>1</v>
      </c>
      <c r="Y239" s="248">
        <f t="shared" si="162"/>
        <v>0.1148</v>
      </c>
      <c r="Z239" s="248">
        <f t="shared" si="163"/>
        <v>2.3317999999999999</v>
      </c>
      <c r="AA239" s="248">
        <f t="shared" si="136"/>
        <v>2.2170000000000001</v>
      </c>
      <c r="AB239" s="234" t="e">
        <f>VLOOKUP(A239,Enforcements!$C$7:$K$9,8,0)</f>
        <v>#N/A</v>
      </c>
      <c r="AC239" s="233" t="e">
        <f>VLOOKUP(A239,Enforcements!$C$7:$E$9,3,0)</f>
        <v>#N/A</v>
      </c>
      <c r="AD239" s="244">
        <f t="shared" si="137"/>
        <v>75</v>
      </c>
      <c r="AE239" s="236" t="str">
        <f t="shared" si="138"/>
        <v>aws s3 cp s3://rtdc.mdm.uploadarchive.raw/RTDC4060/ "%USERPROFILE%\AppData\Local\Temp\OnboardLogs"\RTDC4060\2017-11-22 --exclude "*" --recursive --include "*20171122*" &amp; "%USERPROFILE%\Documents\GitHub\mrs-test-scripts\Headless Mode &amp; Sideloading\WalkAndUnGZ.bat" "%USERPROFILE%\AppData\Local\Temp\OnboardLogs"\RTDC4060\2017-11-22 &amp; aws s3 cp s3://rtdc.mdm.uploadarchive.raw/RTDC4060/ "%USERPROFILE%\AppData\Local\Temp\OnboardLogs"\RTDC4060\2017-11-23 --exclude "*" --recursive --include "*20171123*" &amp; "%USERPROFILE%\Documents\GitHub\mrs-test-scripts\Headless Mode &amp; Sideloading\WalkAndUnGZ.bat" "%USERPROFILE%\AppData\Local\Temp\OnboardLogs"\RTDC4060\2017-11-23</v>
      </c>
      <c r="AF239" s="235" t="str">
        <f t="shared" si="139"/>
        <v>"C:\Program Files (x86)\AstroGrep\AstroGrep.exe" /e /r /s /spath="%USERPROFILE%\AppData\Local\Temp\OnboardLogs" /stypes="app*4060*20171123*" /stext=" 00:.+((SYSTEM_STATE.+slice.+state.+changed )|(ment ac)|(multiple cpu faults)|(system.+state.+changed )|(\[timeout)|(PRM\|1\|D)|(kpr)|(kdp)|(train st.+moving)|(\|lc)|(penalty))"</v>
      </c>
      <c r="AG239" s="245" t="str">
        <f t="shared" si="140"/>
        <v>Shuttle/Test</v>
      </c>
      <c r="AH239" s="237" t="str">
        <f t="shared" si="156"/>
        <v>"%USERPROFILE%\Documents\GitHub\eaglep3\Utilities\RefineRTDCRunTimes.py" --tripid 75-22 --locoid 4060 --swversion DE.1.0.9.0 --startMP 204:1148 --initTime 2017-11-22T17:08:33 --startdatetime 2017-11-22T17:24:50 --delay 60 --endMP 300:23318 --enddatetime 2017-11-22T17:37:48 --enforcementcount 0 &gt;&gt;%USERPROFILE%\Documents\GitHub\eaglep3-reporting\EC\2017-11-22-refined-times.txt</v>
      </c>
      <c r="AI239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2.3318"},{"id":17,"name":"Train ID","value":"75-22"},{"id":16,"name":"Locomotive ID","value":"4060"},{"id":130,"name":"Impact","value":""},{"id":150,"name":"Time of Event (Mountain Time)","value":"17:37:48"},{"id":151,"name":"Denver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9" s="224"/>
      <c r="AK239" s="232"/>
      <c r="AL239" s="232"/>
      <c r="AM239" s="241" t="str">
        <f t="shared" si="158"/>
        <v>start /low /b %USERPROFILE%\Documents\GitHub\eaglep3\Utilities\DownloadLogsFromS3.py --loco 4060 --day 2017-11-22</v>
      </c>
      <c r="AN239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00:37:48"},{"id":29,"name":"Sharepoint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231" t="str">
        <f t="shared" si="160"/>
        <v>https://d0f6bd738d7f1b3e5a7ca70fe4ff75f0.us-east-1.aws.found.io/app/kibana#/discover/Steve-Slow-Train-Analysis-(2080s-and-2083s)?_g=(refreshInterval:(display:Off,pause:!f,section:0,value:0),time:(from:'2017-11-22T16:08:33-0700',mode:absolute,to:'2017-11-22T18:37:48-0700'))&amp;_a=(columns:!('Message%20ID',Summary),filters:!(),index:'emp_*',interval:auto,query:(query_string:(analyze_wildcard:!t,query:'%22rtdc.l.rtdc.4060%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 s="230" t="s">
        <v>817</v>
      </c>
      <c r="B240" s="226">
        <v>4010</v>
      </c>
      <c r="C240" s="228" t="s">
        <v>192</v>
      </c>
      <c r="D240" s="228" t="s">
        <v>1032</v>
      </c>
      <c r="E240" s="227">
        <v>43061.667395833334</v>
      </c>
      <c r="F240" s="227">
        <v>43061.682511574072</v>
      </c>
      <c r="G240" s="226">
        <v>1244</v>
      </c>
      <c r="H240" s="228" t="s">
        <v>626</v>
      </c>
      <c r="I240" s="227">
        <v>43061.688530092593</v>
      </c>
      <c r="J240" s="226">
        <v>0</v>
      </c>
      <c r="K240" s="238" t="str">
        <f t="shared" si="132"/>
        <v>4009/4010</v>
      </c>
      <c r="L240" s="246" t="str">
        <f>VLOOKUP(A240,'Trips&amp;Operators'!$C$1:$G$99911,5,FALSE)</f>
        <v>NEWELL JAMES</v>
      </c>
      <c r="M240" s="225">
        <f t="shared" si="133"/>
        <v>6.0185185211594217E-3</v>
      </c>
      <c r="N240" s="226">
        <f t="shared" si="165"/>
        <v>8.6666666704695672</v>
      </c>
      <c r="O240" s="226"/>
      <c r="P240" s="226"/>
      <c r="Q240" s="229"/>
      <c r="R240" s="243"/>
      <c r="S240" s="250">
        <f t="shared" si="161"/>
        <v>1</v>
      </c>
      <c r="T240" s="243" t="str">
        <f t="shared" si="134"/>
        <v>NorthBound</v>
      </c>
      <c r="U240" s="247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249" t="str">
        <f t="shared" si="135"/>
        <v>https://d0f6bd738d7f1b3e5a7ca70fe4ff75f0.us-east-1.aws.found.io/app/kibana#/discover/Steve-Slow-Train-Analysis-(2080s-and-2083s)?_g=(refreshInterval:(display:Off,pause:!f,section:0,value:0),time:(from:'2017-11-22T15:01:03-0700',mode:absolute,to:'2017-11-22T17:31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0" s="248" t="str">
        <f>IF(AA240&lt;VLOOKUP(AG240,Variables!$AC$3:$AD$8,2,FALSE),"Y","N")</f>
        <v>Y</v>
      </c>
      <c r="X240" s="248">
        <f t="shared" si="164"/>
        <v>2</v>
      </c>
      <c r="Y240" s="248">
        <f t="shared" si="162"/>
        <v>0.11509999999999999</v>
      </c>
      <c r="Z240" s="248">
        <f t="shared" si="163"/>
        <v>2.3306</v>
      </c>
      <c r="AA240" s="248">
        <f t="shared" si="136"/>
        <v>2.2155</v>
      </c>
      <c r="AB240" s="234" t="e">
        <f>VLOOKUP(A240,Enforcements!$C$7:$K$9,8,0)</f>
        <v>#N/A</v>
      </c>
      <c r="AC240" s="233" t="e">
        <f>VLOOKUP(A240,Enforcements!$C$7:$E$9,3,0)</f>
        <v>#N/A</v>
      </c>
      <c r="AD240" s="244">
        <f t="shared" si="137"/>
        <v>77</v>
      </c>
      <c r="AE240" s="236" t="str">
        <f t="shared" si="138"/>
        <v>aws s3 cp s3://rtdc.mdm.uploadarchive.raw/RTDC4010/ "%USERPROFILE%\AppData\Local\Temp\OnboardLogs"\RTDC4010\2017-11-22 --exclude "*" --recursive --include "*20171122*" &amp; "%USERPROFILE%\Documents\GitHub\mrs-test-scripts\Headless Mode &amp; Sideloading\WalkAndUnGZ.bat" "%USERPROFILE%\AppData\Local\Temp\OnboardLogs"\RTDC4010\2017-11-22 &amp; aws s3 cp s3://rtdc.mdm.uploadarchive.raw/RTDC4010/ "%USERPROFILE%\AppData\Local\Temp\OnboardLogs"\RTDC4010\2017-11-23 --exclude "*" --recursive --include "*20171123*" &amp; "%USERPROFILE%\Documents\GitHub\mrs-test-scripts\Headless Mode &amp; Sideloading\WalkAndUnGZ.bat" "%USERPROFILE%\AppData\Local\Temp\OnboardLogs"\RTDC4010\2017-11-23</v>
      </c>
      <c r="AF240" s="235" t="str">
        <f t="shared" si="139"/>
        <v>"C:\Program Files (x86)\AstroGrep\AstroGrep.exe" /e /r /s /spath="%USERPROFILE%\AppData\Local\Temp\OnboardLogs" /stypes="app*4010*20171122*" /stext=" 23:.+((SYSTEM_STATE.+slice.+state.+changed )|(ment ac)|(multiple cpu faults)|(system.+state.+changed )|(\[timeout)|(PRM\|1\|D)|(kpr)|(kdp)|(train st.+moving)|(\|lc)|(penalty))"</v>
      </c>
      <c r="AG240" s="245" t="str">
        <f t="shared" si="140"/>
        <v>Shuttle/Test</v>
      </c>
      <c r="AH240" s="237" t="str">
        <f t="shared" si="156"/>
        <v>"%USERPROFILE%\Documents\GitHub\eaglep3\Utilities\RefineRTDCRunTimes.py" --tripid 77-22 --locoid 4010 --swversion DE.1.0.9.0 --startMP 204:1151 --initTime 2017-11-22T16:01:03 --startdatetime 2017-11-22T16:22:49 --delay 1244 --endMP 300:23306 --enddatetime 2017-11-22T16:31:29 --enforcementcount 0 &gt;&gt;%USERPROFILE%\Documents\GitHub\eaglep3-reporting\EC\2017-11-22-refined-times.txt</v>
      </c>
      <c r="AI240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2.3306"},{"id":17,"name":"Train ID","value":"77-22"},{"id":16,"name":"Locomotive ID","value":"4010"},{"id":130,"name":"Impact","value":""},{"id":150,"name":"Time of Event (Mountain Time)","value":"16:31:29"},{"id":151,"name":"Denver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0" s="224"/>
      <c r="AK240" s="232"/>
      <c r="AL240" s="232"/>
      <c r="AM240" s="241" t="str">
        <f t="shared" si="158"/>
        <v>start /low /b %USERPROFILE%\Documents\GitHub\eaglep3\Utilities\DownloadLogsFromS3.py --loco 4010 --day 2017-11-22</v>
      </c>
      <c r="AN240" s="242" t="str">
        <f t="shared" si="159"/>
        <v>echo {"issue":{"subject":"","project_id":30,"tracker_id":4,"status_id":1,"priority_id":1,"assigned_to_id":10,"start_date":"2017-11-22","description":"","custom_fields":[{"id":30,"name":"Category","value":"Issue"},{"id":3,"name":"Functional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UTC","value":"2017-11-22 23:31:29"},{"id":29,"name":"Sharepoint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231" t="str">
        <f t="shared" si="160"/>
        <v>https://d0f6bd738d7f1b3e5a7ca70fe4ff75f0.us-east-1.aws.found.io/app/kibana#/discover/Steve-Slow-Train-Analysis-(2080s-and-2083s)?_g=(refreshInterval:(display:Off,pause:!f,section:0,value:0),time:(from:'2017-11-22T15:01:03-0700',mode:absolute,to:'2017-11-22T17:31:29-0700'))&amp;_a=(columns:!('Message%20ID',Summary),filters:!(),index:'emp_*',interval:auto,query:(query_string:(analyze_wildcard:!t,query:'%22rtdc.l.rtdc.4010%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 s="230" t="s">
        <v>871</v>
      </c>
      <c r="B241" s="226">
        <v>4023</v>
      </c>
      <c r="C241" s="228" t="s">
        <v>192</v>
      </c>
      <c r="D241" s="228" t="s">
        <v>500</v>
      </c>
      <c r="E241" s="227">
        <v>43061.940636574072</v>
      </c>
      <c r="F241" s="227">
        <v>43061.942164351851</v>
      </c>
      <c r="G241" s="226">
        <v>77</v>
      </c>
      <c r="H241" s="228" t="s">
        <v>1092</v>
      </c>
      <c r="I241" s="227">
        <v>43061.954236111109</v>
      </c>
      <c r="J241" s="226">
        <v>0</v>
      </c>
      <c r="K241" s="238" t="str">
        <f t="shared" si="132"/>
        <v>4023/4024</v>
      </c>
      <c r="L241" s="246" t="str">
        <f>VLOOKUP(A241,'Trips&amp;Operators'!$C$1:$G$99911,5,FALSE)</f>
        <v>STAMBAUGH JAMES</v>
      </c>
      <c r="M241" s="225">
        <f t="shared" si="133"/>
        <v>1.2071759258105885E-2</v>
      </c>
      <c r="N241" s="226">
        <f t="shared" si="165"/>
        <v>17.383333331672475</v>
      </c>
      <c r="O241" s="226"/>
      <c r="P241" s="226"/>
      <c r="Q241" s="229"/>
      <c r="R241" s="243"/>
      <c r="S241" s="250">
        <f t="shared" si="161"/>
        <v>1</v>
      </c>
      <c r="T241" s="243" t="str">
        <f t="shared" si="134"/>
        <v>Southbound</v>
      </c>
      <c r="U241" s="247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49" t="str">
        <f t="shared" si="135"/>
        <v>https://d0f6bd738d7f1b3e5a7ca70fe4ff75f0.us-east-1.aws.found.io/app/kibana#/discover/Steve-Slow-Train-Analysis-(2080s-and-2083s)?_g=(refreshInterval:(display:Off,pause:!f,section:0,value:0),time:(from:'2017-11-22T21:34:31-0700',mode:absolute,to:'2017-11-22T23:54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1" s="248" t="str">
        <f>IF(AA241&lt;VLOOKUP(AG241,Variables!$AC$3:$AD$8,2,FALSE),"Y","N")</f>
        <v>Y</v>
      </c>
      <c r="X241" s="248">
        <f t="shared" si="164"/>
        <v>11</v>
      </c>
      <c r="Y241" s="248">
        <f t="shared" si="162"/>
        <v>5.8623000000000003</v>
      </c>
      <c r="Z241" s="248">
        <f t="shared" si="163"/>
        <v>6.9099999999999995E-2</v>
      </c>
      <c r="AA241" s="248">
        <f t="shared" si="136"/>
        <v>5.7932000000000006</v>
      </c>
      <c r="AB241" s="234" t="e">
        <f>VLOOKUP(A241,Enforcements!$C$7:$K$9,8,0)</f>
        <v>#N/A</v>
      </c>
      <c r="AC241" s="233" t="e">
        <f>VLOOKUP(A241,Enforcements!$C$7:$E$9,3,0)</f>
        <v>#N/A</v>
      </c>
      <c r="AD241" s="244">
        <f t="shared" si="137"/>
        <v>88</v>
      </c>
      <c r="AE241" s="236" t="str">
        <f t="shared" si="138"/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AF241" s="235" t="str">
        <f t="shared" si="139"/>
        <v>"C:\Program Files (x86)\AstroGrep\AstroGrep.exe" /e /r /s /spath="%USERPROFILE%\AppData\Local\Temp\OnboardLogs" /stypes="app*4023*20171123*" /stext=" 05:.+((SYSTEM_STATE.+slice.+state.+changed )|(ment ac)|(multiple cpu faults)|(system.+state.+changed )|(\[timeout)|(PRM\|1\|D)|(kpr)|(kdp)|(train st.+moving)|(\|lc)|(penalty))"</v>
      </c>
      <c r="AG241" s="245" t="str">
        <f t="shared" si="140"/>
        <v>Shuttle/Test</v>
      </c>
      <c r="AH241" s="237" t="str">
        <f t="shared" si="156"/>
        <v>"%USERPROFILE%\Documents\GitHub\eaglep3\Utilities\RefineRTDCRunTimes.py" --tripid 88-22 --locoid 4023 --swversion DE.1.0.9.0 --startMP 300:58623 --initTime 2017-11-22T22:34:31 --startdatetime 2017-11-22T22:36:43 --delay 77 --endMP 204:691 --enddatetime 2017-11-22T22:54:06 --enforcementcount 0 &gt;&gt;%USERPROFILE%\Documents\GitHub\eaglep3-reporting\EC\2017-11-22-refined-times.txt</v>
      </c>
      <c r="AI241" s="239" t="str">
        <f t="shared" si="157"/>
        <v>echo {"issue":{"subject":"","project_id":79,"tracker_id":40,"status_id":1,"priority_id":2,"assigned_to_id":338,"start_date":"2017-11-22","description":"","custom_fields":[{"id":1,"name":"Subdivision","value":"Shuttle/Test"},{"id":4,"name":"Milepost","value":"0.0691"},{"id":17,"name":"Train ID","value":"88-22"},{"id":16,"name":"Locomotive ID","value":"4023"},{"id":130,"name":"Impact","value":""},{"id":150,"name":"Time of Event (Mountain Time)","value":"22:54:06"},{"id":151,"name":"Denver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1" s="224"/>
      <c r="AK241" s="232"/>
      <c r="AL241" s="232"/>
      <c r="AM241" s="241" t="str">
        <f t="shared" si="158"/>
        <v>start /low /b %USERPROFILE%\Documents\GitHub\eaglep3\Utilities\DownloadLogsFromS3.py --loco 4023 --day 2017-11-22</v>
      </c>
      <c r="AN241" s="242" t="str">
        <f t="shared" si="159"/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05:54:06"},{"id":29,"name":"Sharepoint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231" t="str">
        <f t="shared" si="160"/>
        <v>https://d0f6bd738d7f1b3e5a7ca70fe4ff75f0.us-east-1.aws.found.io/app/kibana#/discover/Steve-Slow-Train-Analysis-(2080s-and-2083s)?_g=(refreshInterval:(display:Off,pause:!f,section:0,value:0),time:(from:'2017-11-22T21:34:31-0700',mode:absolute,to:'2017-11-22T23:54:06-0700'))&amp;_a=(columns:!('Message%20ID',Summary),filters:!(),index:'emp_*',interval:auto,query:(query_string:(analyze_wildcard:!t,query:'%22rtdc.l.rtdc.4023%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24" customFormat="1" x14ac:dyDescent="0.3">
      <c r="A242" s="230" t="s">
        <v>874</v>
      </c>
      <c r="B242" s="226">
        <v>4024</v>
      </c>
      <c r="C242" s="228" t="s">
        <v>192</v>
      </c>
      <c r="D242" s="228" t="s">
        <v>500</v>
      </c>
      <c r="E242" s="227">
        <v>43061.940636574072</v>
      </c>
      <c r="F242" s="227">
        <v>43061.964907407404</v>
      </c>
      <c r="G242" s="226">
        <v>77</v>
      </c>
      <c r="H242" s="228" t="s">
        <v>1092</v>
      </c>
      <c r="I242" s="227">
        <v>43061.973865740743</v>
      </c>
      <c r="J242" s="226">
        <v>0</v>
      </c>
      <c r="K242" s="238" t="str">
        <f t="shared" ref="K242" si="166">IF(ISEVEN(B242),(B242-1)&amp;"/"&amp;B242,B242&amp;"/"&amp;(B242+1))</f>
        <v>4023/4024</v>
      </c>
      <c r="L242" s="246" t="str">
        <f>VLOOKUP(A242,'Trips&amp;Operators'!$C$1:$G$99911,5,FALSE)</f>
        <v>STAMBAUGH JAMES</v>
      </c>
      <c r="M242" s="225">
        <f t="shared" ref="M242" si="167">I242-F242</f>
        <v>8.9583333392511122E-3</v>
      </c>
      <c r="N242" s="226">
        <f t="shared" si="165"/>
        <v>12.900000008521602</v>
      </c>
      <c r="O242" s="226"/>
      <c r="P242" s="226"/>
      <c r="Q242" s="229"/>
      <c r="R242" s="243"/>
      <c r="S242" s="250">
        <f t="shared" ref="S242" si="168">1/IF(AG242="EC",12,1)*SUM(U242:U242)</f>
        <v>1</v>
      </c>
      <c r="T242" s="243" t="str">
        <f t="shared" ref="T242" si="169">IF(ISEVEN(LEFT(AD242,4)),"Southbound","NorthBound")</f>
        <v>NorthBound</v>
      </c>
      <c r="U242" s="247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49" t="str">
        <f t="shared" ref="V242" si="170"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-11-22T21:34:31-0700',mode:absolute,to:'2017-11-23T00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2" s="248" t="str">
        <f>IF(AA242&lt;VLOOKUP(AG242,Variables!$AC$3:$AD$8,2,FALSE),"Y","N")</f>
        <v>Y</v>
      </c>
      <c r="X242" s="248">
        <f t="shared" ref="X242" si="171">VALUE(LEFT(AD242,4))-VALUE(LEFT(AD241,4))</f>
        <v>1</v>
      </c>
      <c r="Y242" s="248">
        <v>0.1202</v>
      </c>
      <c r="Z242" s="248">
        <v>5.8929</v>
      </c>
      <c r="AA242" s="248">
        <f t="shared" ref="AA242" si="172">ABS(Z242-Y242)</f>
        <v>5.7727000000000004</v>
      </c>
      <c r="AB242" s="234" t="e">
        <f>VLOOKUP(A242,Enforcements!$C$7:$K$9,8,0)</f>
        <v>#N/A</v>
      </c>
      <c r="AC242" s="233" t="e">
        <f>VLOOKUP(A242,Enforcements!$C$7:$E$9,3,0)</f>
        <v>#N/A</v>
      </c>
      <c r="AD242" s="244">
        <f t="shared" ref="AD242" si="173">VALUE(LEFT(A242,LEN(A242)-3))</f>
        <v>89</v>
      </c>
      <c r="AE242" s="236" t="str">
        <f t="shared" ref="AE242" si="174"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s3://rtdc.mdm.uploadarchive.raw/RTDC4024/ "%USERPROFILE%\AppData\Local\Temp\OnboardLogs"\RTDC4024\2017-11-22 --exclude "*" --recursive --include "*20171122*" &amp; "%USERPROFILE%\Documents\GitHub\mrs-test-scripts\Headless Mode &amp; Sideloading\WalkAndUnGZ.bat" "%USERPROFILE%\AppData\Local\Temp\OnboardLogs"\RTDC4024\2017-11-22 &amp; aws s3 cp s3://rtdc.mdm.uploadarchive.raw/RTDC4024/ "%USERPROFILE%\AppData\Local\Temp\OnboardLogs"\RTDC4024\2017-11-23 --exclude "*" --recursive --include "*20171123*" &amp; "%USERPROFILE%\Documents\GitHub\mrs-test-scripts\Headless Mode &amp; Sideloading\WalkAndUnGZ.bat" "%USERPROFILE%\AppData\Local\Temp\OnboardLogs"\RTDC4024\2017-11-23</v>
      </c>
      <c r="AF242" s="235" t="str">
        <f t="shared" ref="AF242" si="175"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/stypes="app*4024*20171123*" /stext=" 06:.+((SYSTEM_STATE.+slice.+state.+changed )|(ment ac)|(multiple cpu faults)|(system.+state.+changed )|(\[timeout)|(PRM\|1\|D)|(kpr)|(kdp)|(train st.+moving)|(\|lc)|(penalty))"</v>
      </c>
      <c r="AG242" s="245" t="str">
        <f t="shared" ref="AG242" si="176">DetSubdiv(A242)</f>
        <v>Shuttle/Test</v>
      </c>
      <c r="AH242" s="237" t="str">
        <f t="shared" ref="AH242" si="177">refinertdcruntimes&amp;" --tripid "&amp;A242&amp;" --locoid "&amp;B242&amp;" --swversion "&amp;C242&amp;" --startMP "&amp;D242&amp;" --initTime "&amp;TEXT(E242,"yyyy-mm-ddTHH:MM:SS")&amp;" --startdatetime "&amp;TEXT(F242,"yyyy-mm-ddTHH:MM:SS")&amp;" --delay "&amp;G242&amp;" --endMP "&amp;H242&amp;" --enddatetime "&amp;TEXT(I242,"yyyy-mm-ddTHH:MM:SS")&amp;" --enforcementcount "&amp;J242&amp;IF(outputrefinedruntimes," &gt;&gt;"&amp;RefinedRTDCRunTimesOutputFile,"")</f>
        <v>"%USERPROFILE%\Documents\GitHub\eaglep3\Utilities\RefineRTDCRunTimes.py" --tripid 89-22 --locoid 4024 --swversion DE.1.0.9.0 --startMP 300:58623 --initTime 2017-11-22T22:34:31 --startdatetime 2017-11-22T23:09:28 --delay 77 --endMP 204:691 --enddatetime 2017-11-22T23:22:22 --enforcementcount 0 &gt;&gt;%USERPROFILE%\Documents\GitHub\eaglep3-reporting\EC\2017-11-22-refined-times.txt</v>
      </c>
      <c r="AI242" s="239" t="str">
        <f t="shared" ref="AI242" si="178">"echo {""issue"":{""subject"":"""&amp;R242&amp;""",""project_id"":79,""tracker_id"":40,""status_id"":"&amp;redmine_status&amp;",""priority_id"":"&amp;redmine_priority&amp;",""assigned_to_id"":"&amp;redmine_assignee&amp;",""start_date"":"""&amp;TEXT(I242,"YYYY-mm-dd")&amp;""",""description"":"""&amp;AJ242&amp;""",""custom_fields"":[{""id"":1,""name"":""Subdivision"",""value"":"""&amp;AG242&amp;"""},{""id"":4,""name"":""Milepost"",""value"":"""&amp;Z242&amp;"""},{""id"":17,""name"":""Train ID"",""value"":"""&amp;A242&amp;"""},{""id"":16,""name"":""Locomotive ID"",""value"":"""&amp;B242&amp;"""},{""id"":130,""name"":""Impact"",""value"":"""&amp;AK242&amp;"""},{""id"":150,""name"":""Time of Event (Mountain Time)"",""value"":"""&amp;TEXT(I242,"hh:mm:ss")&amp;"""},{""id"":151,""name"":""Denver Issue ID"",""value"":"""&amp;"""},{""id"":178,""name"":""Operational Impact"",""value"":"""&amp;redmine_op_impact&amp;"""},{""id"":179,""name"":""Denver Segment Assigned"",""value"":"""&amp;AL242&amp;"""}]}}"&amp;"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-22","description":"","custom_fields":[{"id":1,"name":"Subdivision","value":"Shuttle/Test"},{"id":4,"name":"Milepost","value":"5.8929"},{"id":17,"name":"Train ID","value":"89-22"},{"id":16,"name":"Locomotive ID","value":"4024"},{"id":130,"name":"Impact","value":""},{"id":150,"name":"Time of Event (Mountain Time)","value":"23:22:22"},{"id":151,"name":"Denver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42" s="232"/>
      <c r="AL242" s="232"/>
      <c r="AM242" s="241" t="str">
        <f t="shared" ref="AM242" si="179">"start /low /b "&amp;dls3logs&amp;" --loco "&amp;B242&amp;" --day "&amp;TEXT(F242,"YYYY-MM-DD")</f>
        <v>start /low /b %USERPROFILE%\Documents\GitHub\eaglep3\Utilities\DownloadLogsFromS3.py --loco 4024 --day 2017-11-22</v>
      </c>
      <c r="AN242" s="242" t="str">
        <f t="shared" ref="AN242" si="180">"echo {""issue"":{""subject"":"""&amp;R242&amp;""",""project_id"":30,""tracker_id"":4,""status_id"":"&amp;redmine_status_wcr&amp;",""priority_id"":"&amp;redmine_priority_wcr&amp;",""assigned_to_id"":"&amp;redmine_assignee_wcr&amp;",""start_date"":"""&amp;TEXT(I242-utc_offset/24,"YYYY-mm-dd")&amp;""",""description"":"""&amp;AJ242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UTC","value":"2017-11-23 06:22:22"},{"id":29,"name":"Sharepoint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231" t="str">
        <f t="shared" ref="AO242" si="181"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Message%20ID',Summary),filters:!(),index:'emp_*',interval:auto,query:"&amp;"(query_string:(analyze_wildcard:!t,query:'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-11-22T21:34:31-0700',mode:absolute,to:'2017-11-23T00:22:22-0700'))&amp;_a=(columns:!('Message%20ID',Summary),filters:!(),index:'emp_*',interval:auto,query:(query_string:(analyze_wildcard:!t,query:'%22rtdc.l.rtdc.4024%22')),sort:!(Time.ISO8601,asc))</v>
      </c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M405"/>
      <c r="AO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M432"/>
      <c r="AO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M438"/>
      <c r="AO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M459"/>
      <c r="AO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9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4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</sheetData>
  <autoFilter ref="A12:AG497">
    <sortState ref="A13:AG497">
      <sortCondition ref="AG13:AG241"/>
      <sortCondition ref="AD13:AD241"/>
    </sortState>
  </autoFilter>
  <sortState ref="A13:AN402">
    <sortCondition ref="AG13:AG402"/>
    <sortCondition ref="AD13:AD402"/>
  </sortState>
  <mergeCells count="1">
    <mergeCell ref="A11:P11"/>
  </mergeCells>
  <conditionalFormatting sqref="W11:W12 W503:X1048576 W13:X242">
    <cfRule type="cellIs" dxfId="10" priority="465" operator="equal">
      <formula>"Y"</formula>
    </cfRule>
  </conditionalFormatting>
  <conditionalFormatting sqref="X503:X1048576 X13:X242">
    <cfRule type="cellIs" dxfId="9" priority="448" operator="greaterThan">
      <formula>1</formula>
    </cfRule>
  </conditionalFormatting>
  <conditionalFormatting sqref="X503:X1048576 X12:X242">
    <cfRule type="cellIs" dxfId="8" priority="445" operator="equal">
      <formula>0</formula>
    </cfRule>
  </conditionalFormatting>
  <conditionalFormatting sqref="A13:S242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Values'!$C$2:$C$15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1"/>
  <sheetViews>
    <sheetView topLeftCell="A2" zoomScaleNormal="100" workbookViewId="0">
      <selection activeCell="S11" sqref="S11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COUNTIF($O$7:$O$190,"=Y")</f>
        <v>5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COUNTA($O$7:$O$190)-O2</f>
        <v>20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1" t="str">
        <f>"Eagle P3 Braking Events - "&amp;TEXT(Variables!$A$2,"YYYY-mm-dd")</f>
        <v>Eagle P3 Braking Events - 2017-11-22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43061.858680555553</v>
      </c>
      <c r="B7" s="30" t="s">
        <v>666</v>
      </c>
      <c r="C7" s="30" t="s">
        <v>667</v>
      </c>
      <c r="D7" s="30" t="s">
        <v>49</v>
      </c>
      <c r="E7" s="30" t="s">
        <v>183</v>
      </c>
      <c r="F7" s="42">
        <v>0</v>
      </c>
      <c r="G7" s="42">
        <v>228</v>
      </c>
      <c r="H7" s="42">
        <v>26855</v>
      </c>
      <c r="I7" s="42">
        <v>27144</v>
      </c>
      <c r="J7" s="30" t="s">
        <v>184</v>
      </c>
      <c r="K7" s="42">
        <v>27053</v>
      </c>
      <c r="L7" s="131" t="s">
        <v>50</v>
      </c>
      <c r="M7" s="132">
        <f t="shared" ref="M7:M31" si="0">CONVERT((I7-K7)/10000,"mi","ft")*IF(L7="Increasing Mileposts (1)",-1,1)</f>
        <v>-48.048000000000002</v>
      </c>
      <c r="N7" s="133" t="str">
        <f>VLOOKUP(C7,'Trips&amp;Operators'!$C$1:$G$99911,5,FALSE)</f>
        <v>LOPES KIMBERLY</v>
      </c>
      <c r="O7" s="175" t="s">
        <v>178</v>
      </c>
      <c r="P7" s="240" t="s">
        <v>344</v>
      </c>
      <c r="Q7" s="30"/>
      <c r="R7" s="81" t="str">
        <f>VLOOKUP(C7,'Train Runs'!$A$13:$AE$10156,31,0)</f>
        <v>aws s3 cp s3://rtdc.mdm.uploadarchive.raw/RTDC4006/ "%USERPROFILE%\AppData\Local\Temp\OnboardLogs"\RTDC4006\2017-11-22 --exclude "*" --recursive --include "*20171122*" &amp; "%USERPROFILE%\Documents\GitHub\mrs-test-scripts\Headless Mode &amp; Sideloading\WalkAndUnGZ.bat" "%USERPROFILE%\AppData\Local\Temp\OnboardLogs"\RTDC4006\2017-11-22 &amp; aws s3 cp s3://rtdc.mdm.uploadarchive.raw/RTDC4006/ "%USERPROFILE%\AppData\Local\Temp\OnboardLogs"\RTDC4006\2017-11-23 --exclude "*" --recursive --include "*20171123*" &amp; "%USERPROFILE%\Documents\GitHub\mrs-test-scripts\Headless Mode &amp; Sideloading\WalkAndUnGZ.bat" "%USERPROFILE%\AppData\Local\Temp\OnboardLogs"\RTDC4006\2017-11-23</v>
      </c>
      <c r="S7" s="84" t="str">
        <f>VLOOKUP(C7,'Train Runs'!$A$13:$AE$10156,22,0)</f>
        <v>https://d0f6bd738d7f1b3e5a7ca70fe4ff75f0.us-east-1.aws.found.io/app/kibana#/discover/Steve-Slow-Train-Analysis-(2080s-and-2083s)?_g=(refreshInterval:(display:Off,pause:!f,section:0,value:0),time:(from:'2017-11-22T19:12:24-0700',mode:absolute,to:'2017-11-22T22:05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7" s="86" t="str">
        <f t="shared" ref="T7:T3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/stypes="*4006*201711230*" /stext=" 03:.+((SYSTEM_STATE.+slice.+state.+changed )|(ment ac)|(multiple cpu faults)|(system.+state.+changed )|(\[timeout)|(PRM\|1\|D)|(kpr)|(kdp)|(train st.+moving)|(\|lc)|(penalty))"</v>
      </c>
      <c r="U7" s="9" t="str">
        <f t="shared" ref="U7:U31" si="2">MID(B7,13,4)</f>
        <v>4006</v>
      </c>
      <c r="V7" s="31">
        <f t="shared" ref="V7:V31" si="3">A7-utc_offset/24</f>
        <v>43062.150347222218</v>
      </c>
      <c r="W7" s="45" t="str">
        <f t="shared" ref="W7:W31" si="4">DetSubdiv(C7)</f>
        <v>EC</v>
      </c>
      <c r="X7" s="22">
        <f t="shared" ref="X7:X31" si="5">VALUE(LEFT(C7,LEN(C7)-3))</f>
        <v>227</v>
      </c>
      <c r="Y7" s="96" t="str">
        <f t="shared" ref="Y7:Y3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Arrival","project_id":79,"tracker_id":40,"status_id":1,"priority_id":2,"assigned_to_id":338,"start_date":"2017-11-22","description":"","custom_fields":[{"id":1,"name":"Subdivision","value":"EC"},{"id":4,"name":"Milepost","value":"2.7053"},{"id":17,"name":"Train ID","value":"227-22"},{"id":16,"name":"Locomotive ID","value":"4006"},{"id":130,"name":"Impact","value":""},{"id":150,"name":"Time of Event (Mountain Time)","value":"20:36:30"},{"id":151,"name":"Denver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3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/c/Users/stu/AppData/Local/Temp/OnboardLogs/RTDC4006 --include="*4006*201711230*"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"%USERPROFILE%\AppData\Local\Temp\OnboardLogs"\RTDC4006\*4006*201711230* &gt;&gt; 2017-11-22-SliceDisagreementCheck.txt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4006 --day 2017-11-23</v>
      </c>
    </row>
    <row r="8" spans="1:32" s="1" customFormat="1" x14ac:dyDescent="0.3">
      <c r="A8" s="31">
        <v>43061.68136574074</v>
      </c>
      <c r="B8" s="30" t="s">
        <v>555</v>
      </c>
      <c r="C8" s="30" t="s">
        <v>660</v>
      </c>
      <c r="D8" s="30" t="s">
        <v>49</v>
      </c>
      <c r="E8" s="30" t="s">
        <v>183</v>
      </c>
      <c r="F8" s="42">
        <v>130</v>
      </c>
      <c r="G8" s="42">
        <v>313</v>
      </c>
      <c r="H8" s="42">
        <v>26270</v>
      </c>
      <c r="I8" s="42">
        <v>26956</v>
      </c>
      <c r="J8" s="30" t="s">
        <v>184</v>
      </c>
      <c r="K8" s="42">
        <v>27053</v>
      </c>
      <c r="L8" s="131" t="s">
        <v>50</v>
      </c>
      <c r="M8" s="132">
        <f t="shared" si="0"/>
        <v>51.216000000000001</v>
      </c>
      <c r="N8" s="133" t="str">
        <f>VLOOKUP(C8,'Trips&amp;Operators'!$C$1:$G$99911,5,FALSE)</f>
        <v>AUSTIN THOMPSON</v>
      </c>
      <c r="O8" s="175" t="s">
        <v>178</v>
      </c>
      <c r="P8" s="240" t="s">
        <v>344</v>
      </c>
      <c r="Q8" s="30"/>
      <c r="R8" s="81" t="str">
        <f>VLOOKUP(C8,'Train Runs'!$A$13:$AE$10156,31,0)</f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S8" s="84" t="str">
        <f>VLOOKUP(C8,'Train Runs'!$A$13:$AE$10156,22,0)</f>
        <v>https://d0f6bd738d7f1b3e5a7ca70fe4ff75f0.us-east-1.aws.found.io/app/kibana#/discover/Steve-Slow-Train-Analysis-(2080s-and-2083s)?_g=(refreshInterval:(display:Off,pause:!f,section:0,value:0),time:(from:'2017-11-22T15:09:58-0700',mode:absolute,to:'2017-11-22T17:51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8" s="86" t="str">
        <f t="shared" si="1"/>
        <v>"C:\Program Files (x86)\AstroGrep\AstroGrep.exe" /e /r /s /spath="%USERPROFILE%\AppData\Local\Temp\OnboardLogs" /stypes="*4040*201711222*" /stext=" 23:.+((SYSTEM_STATE.+slice.+state.+changed )|(ment ac)|(multiple cpu faults)|(system.+state.+changed )|(\[timeout)|(PRM\|1\|D)|(kpr)|(kdp)|(train st.+moving)|(\|lc)|(penalty))"</v>
      </c>
      <c r="U8" s="9" t="str">
        <f t="shared" si="2"/>
        <v>4040</v>
      </c>
      <c r="V8" s="31">
        <f t="shared" si="3"/>
        <v>43061.973032407404</v>
      </c>
      <c r="W8" s="45" t="str">
        <f t="shared" si="4"/>
        <v>EC</v>
      </c>
      <c r="X8" s="229">
        <f t="shared" si="5"/>
        <v>201</v>
      </c>
      <c r="Y8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Arrival","project_id":79,"tracker_id":40,"status_id":1,"priority_id":2,"assigned_to_id":338,"start_date":"2017-11-22","description":"","custom_fields":[{"id":1,"name":"Subdivision","value":"EC"},{"id":4,"name":"Milepost","value":"2.7053"},{"id":17,"name":"Train ID","value":"201-22"},{"id":16,"name":"Locomotive ID","value":"4040"},{"id":130,"name":"Impact","value":""},{"id":150,"name":"Time of Event (Mountain Time)","value":"16:21:10"},{"id":151,"name":"Denver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/c/Users/stu/AppData/Local/Temp/OnboardLogs/RTDC4040 --include="*4040*201711222*"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"%USERPROFILE%\AppData\Local\Temp\OnboardLogs"\RTDC4040\*4040*201711222* &gt;&gt; 2017-11-22-SliceDisagreementCheck.txt</v>
      </c>
      <c r="AE8" s="144" t="str">
        <f t="shared" ref="AE8:AE31" si="9">"start /low /b "&amp;dls3logs&amp;" --loco "&amp;U8&amp;" --day "&amp;TEXT(V8,"YYYY-MM-DD")</f>
        <v>start /low /b %USERPROFILE%\Documents\GitHub\eaglep3\Utilities\DownloadLogsFromS3.py --loco 4040 --day 2017-11-22</v>
      </c>
    </row>
    <row r="9" spans="1:32" s="1" customFormat="1" x14ac:dyDescent="0.3">
      <c r="A9" s="31">
        <v>43061.307800925926</v>
      </c>
      <c r="B9" s="30" t="s">
        <v>454</v>
      </c>
      <c r="C9" s="30" t="s">
        <v>641</v>
      </c>
      <c r="D9" s="30" t="s">
        <v>49</v>
      </c>
      <c r="E9" s="30" t="s">
        <v>183</v>
      </c>
      <c r="F9" s="42">
        <v>0</v>
      </c>
      <c r="G9" s="42">
        <v>169</v>
      </c>
      <c r="H9" s="42">
        <v>30714</v>
      </c>
      <c r="I9" s="42">
        <v>30876</v>
      </c>
      <c r="J9" s="30" t="s">
        <v>184</v>
      </c>
      <c r="K9" s="42">
        <v>30830</v>
      </c>
      <c r="L9" s="131" t="s">
        <v>50</v>
      </c>
      <c r="M9" s="132">
        <f t="shared" si="0"/>
        <v>-24.288</v>
      </c>
      <c r="N9" s="133" t="str">
        <f>VLOOKUP(C9,'Trips&amp;Operators'!$C$1:$G$99911,5,FALSE)</f>
        <v>THOMPSON LESTER</v>
      </c>
      <c r="O9" s="175" t="s">
        <v>178</v>
      </c>
      <c r="P9" s="240" t="s">
        <v>344</v>
      </c>
      <c r="Q9" s="30"/>
      <c r="R9" s="81" t="str">
        <f>VLOOKUP(C9,'Train Runs'!$A$13:$AE$10156,31,0)</f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S9" s="84" t="str">
        <f>VLOOKUP(C9,'Train Runs'!$A$13:$AE$10156,22,0)</f>
        <v>https://d0f6bd738d7f1b3e5a7ca70fe4ff75f0.us-east-1.aws.found.io/app/kibana#/discover/Steve-Slow-Train-Analysis-(2080s-and-2083s)?_g=(refreshInterval:(display:Off,pause:!f,section:0,value:0),time:(from:'2017-11-22T06:12:44-0700',mode:absolute,to:'2017-11-22T08:45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9" s="86" t="str">
        <f t="shared" si="1"/>
        <v>"C:\Program Files (x86)\AstroGrep\AstroGrep.exe" /e /r /s /spath="%USERPROFILE%\AppData\Local\Temp\OnboardLogs" /stypes="*4050*201711221*" /stext=" 14:.+((SYSTEM_STATE.+slice.+state.+changed )|(ment ac)|(multiple cpu faults)|(system.+state.+changed )|(\[timeout)|(PRM\|1\|D)|(kpr)|(kdp)|(train st.+moving)|(\|lc)|(penalty))"</v>
      </c>
      <c r="U9" s="9" t="str">
        <f t="shared" si="2"/>
        <v>4050</v>
      </c>
      <c r="V9" s="31">
        <f t="shared" si="3"/>
        <v>43061.59946759259</v>
      </c>
      <c r="W9" s="45" t="str">
        <f t="shared" si="4"/>
        <v>EC</v>
      </c>
      <c r="X9" s="229">
        <f t="shared" si="5"/>
        <v>129</v>
      </c>
      <c r="Y9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Arrival","project_id":79,"tracker_id":40,"status_id":1,"priority_id":2,"assigned_to_id":338,"start_date":"2017-11-22","description":"","custom_fields":[{"id":1,"name":"Subdivision","value":"EC"},{"id":4,"name":"Milepost","value":"3.083"},{"id":17,"name":"Train ID","value":"129-22"},{"id":16,"name":"Locomotive ID","value":"4050"},{"id":130,"name":"Impact","value":""},{"id":150,"name":"Time of Event (Mountain Time)","value":"07:23:14"},{"id":151,"name":"Denver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/c/Users/stu/AppData/Local/Temp/OnboardLogs/RTDC4050 --include="*4050*201711221*"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"%USERPROFILE%\AppData\Local\Temp\OnboardLogs"\RTDC4050\*4050*201711221* &gt;&gt; 2017-11-22-SliceDisagreementCheck.txt</v>
      </c>
      <c r="AE9" s="144" t="str">
        <f t="shared" si="9"/>
        <v>start /low /b %USERPROFILE%\Documents\GitHub\eaglep3\Utilities\DownloadLogsFromS3.py --loco 4050 --day 2017-11-22</v>
      </c>
    </row>
    <row r="10" spans="1:32" x14ac:dyDescent="0.3">
      <c r="A10" s="31">
        <v>43061.357465277775</v>
      </c>
      <c r="B10" s="30" t="s">
        <v>490</v>
      </c>
      <c r="C10" s="30" t="s">
        <v>651</v>
      </c>
      <c r="D10" s="30" t="s">
        <v>49</v>
      </c>
      <c r="E10" s="30" t="s">
        <v>183</v>
      </c>
      <c r="F10" s="42">
        <v>0</v>
      </c>
      <c r="G10" s="42">
        <v>195</v>
      </c>
      <c r="H10" s="42">
        <v>31005</v>
      </c>
      <c r="I10" s="42">
        <v>30843</v>
      </c>
      <c r="J10" s="30" t="s">
        <v>184</v>
      </c>
      <c r="K10" s="42">
        <v>30970</v>
      </c>
      <c r="L10" s="131" t="s">
        <v>51</v>
      </c>
      <c r="M10" s="132">
        <f t="shared" si="0"/>
        <v>-67.055999999999997</v>
      </c>
      <c r="N10" s="133" t="str">
        <f>VLOOKUP(C10,'Trips&amp;Operators'!$C$1:$G$99911,5,FALSE)</f>
        <v>BONDS REYNALDO</v>
      </c>
      <c r="O10" s="175" t="s">
        <v>178</v>
      </c>
      <c r="P10" s="240" t="s">
        <v>344</v>
      </c>
      <c r="Q10" s="30"/>
      <c r="R10" s="81" t="str">
        <f>VLOOKUP(C10,'Train Runs'!$A$13:$AE$10156,31,0)</f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S10" s="84" t="str">
        <f>VLOOKUP(C10,'Train Runs'!$A$13:$AE$10156,22,0)</f>
        <v>https://d0f6bd738d7f1b3e5a7ca70fe4ff75f0.us-east-1.aws.found.io/app/kibana#/discover/Steve-Slow-Train-Analysis-(2080s-and-2083s)?_g=(refreshInterval:(display:Off,pause:!f,section:0,value:0),time:(from:'2017-11-22T06:38:50-0700',mode:absolute,to:'2017-11-22T09:44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0" s="86" t="str">
        <f t="shared" si="1"/>
        <v>"C:\Program Files (x86)\AstroGrep\AstroGrep.exe" /e /r /s /spath="%USERPROFILE%\AppData\Local\Temp\OnboardLogs" /stypes="*4019*201711221*" /stext=" 15:.+((SYSTEM_STATE.+slice.+state.+changed )|(ment ac)|(multiple cpu faults)|(system.+state.+changed )|(\[timeout)|(PRM\|1\|D)|(kpr)|(kdp)|(train st.+moving)|(\|lc)|(penalty))"</v>
      </c>
      <c r="U10" s="9" t="str">
        <f t="shared" si="2"/>
        <v>4019</v>
      </c>
      <c r="V10" s="31">
        <f t="shared" si="3"/>
        <v>43061.649131944439</v>
      </c>
      <c r="W10" s="45" t="str">
        <f t="shared" si="4"/>
        <v>EC</v>
      </c>
      <c r="X10" s="229">
        <f t="shared" si="5"/>
        <v>126</v>
      </c>
      <c r="Y10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Arrival","project_id":79,"tracker_id":40,"status_id":1,"priority_id":2,"assigned_to_id":338,"start_date":"2017-11-22","description":"","custom_fields":[{"id":1,"name":"Subdivision","value":"EC"},{"id":4,"name":"Milepost","value":"3.097"},{"id":17,"name":"Train ID","value":"126-22"},{"id":16,"name":"Locomotive ID","value":"4019"},{"id":130,"name":"Impact","value":""},{"id":150,"name":"Time of Event (Mountain Time)","value":"08:34:45"},{"id":151,"name":"Denver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/c/Users/stu/AppData/Local/Temp/OnboardLogs/RTDC4019 --include="*4019*201711221*"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"%USERPROFILE%\AppData\Local\Temp\OnboardLogs"\RTDC4019\*4019*201711221* &gt;&gt; 2017-11-22-SliceDisagreementCheck.txt</v>
      </c>
      <c r="AE10" s="144" t="str">
        <f t="shared" si="9"/>
        <v>start /low /b %USERPROFILE%\Documents\GitHub\eaglep3\Utilities\DownloadLogsFromS3.py --loco 4019 --day 2017-11-22</v>
      </c>
      <c r="AF10" s="1"/>
    </row>
    <row r="11" spans="1:32" x14ac:dyDescent="0.3">
      <c r="A11" s="31">
        <v>43061.706863425927</v>
      </c>
      <c r="B11" s="30" t="s">
        <v>363</v>
      </c>
      <c r="C11" s="30" t="s">
        <v>661</v>
      </c>
      <c r="D11" s="30" t="s">
        <v>49</v>
      </c>
      <c r="E11" s="30" t="s">
        <v>183</v>
      </c>
      <c r="F11" s="42">
        <v>0</v>
      </c>
      <c r="G11" s="42">
        <v>182</v>
      </c>
      <c r="H11" s="42">
        <v>31023</v>
      </c>
      <c r="I11" s="42">
        <v>30868</v>
      </c>
      <c r="J11" s="30" t="s">
        <v>184</v>
      </c>
      <c r="K11" s="42">
        <v>30970</v>
      </c>
      <c r="L11" s="131" t="s">
        <v>51</v>
      </c>
      <c r="M11" s="132">
        <f t="shared" si="0"/>
        <v>-53.856000000000002</v>
      </c>
      <c r="N11" s="133" t="str">
        <f>VLOOKUP(C11,'Trips&amp;Operators'!$C$1:$G$99911,5,FALSE)</f>
        <v>KILLION DAVID</v>
      </c>
      <c r="O11" s="175" t="s">
        <v>178</v>
      </c>
      <c r="P11" s="240" t="s">
        <v>344</v>
      </c>
      <c r="Q11" s="30"/>
      <c r="R11" s="81" t="str">
        <f>VLOOKUP(C11,'Train Runs'!$A$13:$AE$10156,31,0)</f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S11" s="84" t="str">
        <f>VLOOKUP(C11,'Train Runs'!$A$13:$AE$10156,22,0)</f>
        <v>https://d0f6bd738d7f1b3e5a7ca70fe4ff75f0.us-east-1.aws.found.io/app/kibana#/discover/Steve-Slow-Train-Analysis-(2080s-and-2083s)?_g=(refreshInterval:(display:Off,pause:!f,section:0,value:0),time:(from:'2017-11-22T15:16:28-0700',mode:absolute,to:'2017-11-22T18:06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6" t="str">
        <f t="shared" si="1"/>
        <v>"C:\Program Files (x86)\AstroGrep\AstroGrep.exe" /e /r /s /spath="%USERPROFILE%\AppData\Local\Temp\OnboardLogs" /stypes="*4017*201711222*"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43061.998530092591</v>
      </c>
      <c r="W11" s="45" t="str">
        <f t="shared" si="4"/>
        <v>EC</v>
      </c>
      <c r="X11" s="229">
        <f t="shared" si="5"/>
        <v>196</v>
      </c>
      <c r="Y11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Arrival","project_id":79,"tracker_id":40,"status_id":1,"priority_id":2,"assigned_to_id":338,"start_date":"2017-11-22","description":"","custom_fields":[{"id":1,"name":"Subdivision","value":"EC"},{"id":4,"name":"Milepost","value":"3.097"},{"id":17,"name":"Train ID","value":"196-22"},{"id":16,"name":"Locomotive ID","value":"4017"},{"id":130,"name":"Impact","value":""},{"id":150,"name":"Time of Event (Mountain Time)","value":"16:57:53"},{"id":151,"name":"Denver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/c/Users/stu/AppData/Local/Temp/OnboardLogs/RTDC4017 --include="*4017*201711222*"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"%USERPROFILE%\AppData\Local\Temp\OnboardLogs"\RTDC4017\*4017*201711222* &gt;&gt; 2017-11-22-SliceDisagreementCheck.txt</v>
      </c>
      <c r="AE11" s="144" t="str">
        <f t="shared" si="9"/>
        <v>start /low /b %USERPROFILE%\Documents\GitHub\eaglep3\Utilities\DownloadLogsFromS3.py --loco 4017 --day 2017-11-22</v>
      </c>
      <c r="AF11" s="1"/>
    </row>
    <row r="12" spans="1:32" x14ac:dyDescent="0.3">
      <c r="A12" s="31">
        <v>43061.287280092591</v>
      </c>
      <c r="B12" s="30" t="s">
        <v>453</v>
      </c>
      <c r="C12" s="30" t="s">
        <v>640</v>
      </c>
      <c r="D12" s="30" t="s">
        <v>49</v>
      </c>
      <c r="E12" s="30" t="s">
        <v>183</v>
      </c>
      <c r="F12" s="42">
        <v>450</v>
      </c>
      <c r="G12" s="42">
        <v>545</v>
      </c>
      <c r="H12" s="42">
        <v>43857</v>
      </c>
      <c r="I12" s="42">
        <v>42384</v>
      </c>
      <c r="J12" s="30" t="s">
        <v>184</v>
      </c>
      <c r="K12" s="42">
        <v>42961</v>
      </c>
      <c r="L12" s="131" t="s">
        <v>51</v>
      </c>
      <c r="M12" s="132">
        <f t="shared" si="0"/>
        <v>-304.65600000000001</v>
      </c>
      <c r="N12" s="133" t="str">
        <f>VLOOKUP(C12,'Trips&amp;Operators'!$C$1:$G$99911,5,FALSE)</f>
        <v>THOMPSON LESTER</v>
      </c>
      <c r="O12" s="175" t="s">
        <v>178</v>
      </c>
      <c r="P12" s="240" t="s">
        <v>344</v>
      </c>
      <c r="Q12" s="30"/>
      <c r="R12" s="81" t="str">
        <f>VLOOKUP(C12,'Train Runs'!$A$13:$AE$10156,31,0)</f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S12" s="84" t="str">
        <f>VLOOKUP(C12,'Train Runs'!$A$13:$AE$10156,22,0)</f>
        <v>https://d0f6bd738d7f1b3e5a7ca70fe4ff75f0.us-east-1.aws.found.io/app/kibana#/discover/Steve-Slow-Train-Analysis-(2080s-and-2083s)?_g=(refreshInterval:(display:Off,pause:!f,section:0,value:0),time:(from:'2017-11-22T05:23:41-0700',mode:absolute,to:'2017-11-22T08:06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2" s="86" t="str">
        <f t="shared" si="1"/>
        <v>"C:\Program Files (x86)\AstroGrep\AstroGrep.exe" /e /r /s /spath="%USERPROFILE%\AppData\Local\Temp\OnboardLogs" /stypes="*4049*201711221*"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4049</v>
      </c>
      <c r="V12" s="31">
        <f t="shared" si="3"/>
        <v>43061.578946759255</v>
      </c>
      <c r="W12" s="45" t="str">
        <f t="shared" si="4"/>
        <v>EC</v>
      </c>
      <c r="X12" s="229">
        <f t="shared" si="5"/>
        <v>116</v>
      </c>
      <c r="Y12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Arrival","project_id":79,"tracker_id":40,"status_id":1,"priority_id":2,"assigned_to_id":338,"start_date":"2017-11-22","description":"","custom_fields":[{"id":1,"name":"Subdivision","value":"EC"},{"id":4,"name":"Milepost","value":"4.2961"},{"id":17,"name":"Train ID","value":"116-22"},{"id":16,"name":"Locomotive ID","value":"4049"},{"id":130,"name":"Impact","value":""},{"id":150,"name":"Time of Event (Mountain Time)","value":"06:53:41"},{"id":151,"name":"Denver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/c/Users/stu/AppData/Local/Temp/OnboardLogs/RTDC4049 --include="*4049*201711221*"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"%USERPROFILE%\AppData\Local\Temp\OnboardLogs"\RTDC4049\*4049*201711221* &gt;&gt; 2017-11-22-SliceDisagreementCheck.txt</v>
      </c>
      <c r="AE12" s="144" t="str">
        <f t="shared" si="9"/>
        <v>start /low /b %USERPROFILE%\Documents\GitHub\eaglep3\Utilities\DownloadLogsFromS3.py --loco 4049 --day 2017-11-22</v>
      </c>
      <c r="AF12" s="1"/>
    </row>
    <row r="13" spans="1:32" x14ac:dyDescent="0.3">
      <c r="A13" s="31">
        <v>43061.545972222222</v>
      </c>
      <c r="B13" s="30" t="s">
        <v>453</v>
      </c>
      <c r="C13" s="30" t="s">
        <v>658</v>
      </c>
      <c r="D13" s="30" t="s">
        <v>95</v>
      </c>
      <c r="E13" s="30" t="s">
        <v>183</v>
      </c>
      <c r="F13" s="42">
        <v>0</v>
      </c>
      <c r="G13" s="42">
        <v>363</v>
      </c>
      <c r="H13" s="42">
        <v>58890</v>
      </c>
      <c r="I13" s="42">
        <v>58205</v>
      </c>
      <c r="J13" s="30" t="s">
        <v>184</v>
      </c>
      <c r="K13" s="42">
        <v>58904</v>
      </c>
      <c r="L13" s="131" t="s">
        <v>51</v>
      </c>
      <c r="M13" s="132">
        <f t="shared" si="0"/>
        <v>-369.072</v>
      </c>
      <c r="N13" s="133" t="str">
        <f>VLOOKUP(C13,'Trips&amp;Operators'!$C$1:$G$99911,5,FALSE)</f>
        <v>ANDREA WILLIAMS</v>
      </c>
      <c r="O13" s="175" t="s">
        <v>178</v>
      </c>
      <c r="P13" s="240" t="s">
        <v>344</v>
      </c>
      <c r="Q13" s="30"/>
      <c r="R13" s="81" t="str">
        <f>VLOOKUP(C13,'Train Runs'!$A$13:$AE$10156,31,0)</f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S13" s="84" t="str">
        <f>VLOOKUP(C13,'Train Runs'!$A$13:$AE$10156,22,0)</f>
        <v>https://d0f6bd738d7f1b3e5a7ca70fe4ff75f0.us-east-1.aws.found.io/app/kibana#/discover/Steve-Slow-Train-Analysis-(2080s-and-2083s)?_g=(refreshInterval:(display:Off,pause:!f,section:0,value:0),time:(from:'2017-11-22T11:24:12-0700',mode:absolute,to:'2017-11-22T14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3" s="86" t="str">
        <f t="shared" si="1"/>
        <v>"C:\Program Files (x86)\AstroGrep\AstroGrep.exe" /e /r /s /spath="%USERPROFILE%\AppData\Local\Temp\OnboardLogs" /stypes="*4049*201711222*"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4049</v>
      </c>
      <c r="V13" s="31">
        <f t="shared" si="3"/>
        <v>43061.837638888886</v>
      </c>
      <c r="W13" s="45" t="str">
        <f t="shared" si="4"/>
        <v>EC</v>
      </c>
      <c r="X13" s="229">
        <f t="shared" si="5"/>
        <v>166</v>
      </c>
      <c r="Y13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Arrival","project_id":79,"tracker_id":40,"status_id":1,"priority_id":2,"assigned_to_id":338,"start_date":"2017-11-22","description":"","custom_fields":[{"id":1,"name":"Subdivision","value":"EC"},{"id":4,"name":"Milepost","value":"5.8904"},{"id":17,"name":"Train ID","value":"166-22"},{"id":16,"name":"Locomotive ID","value":"4049"},{"id":130,"name":"Impact","value":""},{"id":150,"name":"Time of Event (Mountain Time)","value":"13:06:12"},{"id":151,"name":"Denver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/c/Users/stu/AppData/Local/Temp/OnboardLogs/RTDC4049 --include="*4049*201711222*"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"%USERPROFILE%\AppData\Local\Temp\OnboardLogs"\RTDC4049\*4049*201711222* &gt;&gt; 2017-11-22-SliceDisagreementCheck.txt</v>
      </c>
      <c r="AE13" s="144" t="str">
        <f t="shared" si="9"/>
        <v>start /low /b %USERPROFILE%\Documents\GitHub\eaglep3\Utilities\DownloadLogsFromS3.py --loco 4049 --day 2017-11-22</v>
      </c>
      <c r="AF13" s="1"/>
    </row>
    <row r="14" spans="1:32" x14ac:dyDescent="0.3">
      <c r="A14" s="31">
        <v>43062.035671296297</v>
      </c>
      <c r="B14" s="30" t="s">
        <v>664</v>
      </c>
      <c r="C14" s="30" t="s">
        <v>671</v>
      </c>
      <c r="D14" s="30" t="s">
        <v>95</v>
      </c>
      <c r="E14" s="30" t="s">
        <v>183</v>
      </c>
      <c r="F14" s="42">
        <v>0</v>
      </c>
      <c r="G14" s="42">
        <v>117</v>
      </c>
      <c r="H14" s="42">
        <v>63303</v>
      </c>
      <c r="I14" s="42">
        <v>63229</v>
      </c>
      <c r="J14" s="30" t="s">
        <v>184</v>
      </c>
      <c r="K14" s="42">
        <v>63309</v>
      </c>
      <c r="L14" s="131" t="s">
        <v>51</v>
      </c>
      <c r="M14" s="132">
        <f t="shared" si="0"/>
        <v>-42.24</v>
      </c>
      <c r="N14" s="133" t="str">
        <f>VLOOKUP(C14,'Trips&amp;Operators'!$C$1:$G$99911,5,FALSE)</f>
        <v>RESPASS AARON</v>
      </c>
      <c r="O14" s="175" t="s">
        <v>178</v>
      </c>
      <c r="P14" s="240" t="s">
        <v>344</v>
      </c>
      <c r="Q14" s="30"/>
      <c r="R14" s="81" t="str">
        <f>VLOOKUP(C14,'Train Runs'!$A$13:$AE$10156,31,0)</f>
        <v>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 &amp; aws s3 cp s3://rtdc.mdm.uploadarchive.raw/RTDC4001/ "%USERPROFILE%\AppData\Local\Temp\OnboardLogs"\RTDC4001\2017-11-24 --exclude "*" --recursive --include "*20171124*" &amp; "%USERPROFILE%\Documents\GitHub\mrs-test-scripts\Headless Mode &amp; Sideloading\WalkAndUnGZ.bat" "%USERPROFILE%\AppData\Local\Temp\OnboardLogs"\RTDC4001\2017-11-24</v>
      </c>
      <c r="S14" s="84" t="str">
        <f>VLOOKUP(C14,'Train Runs'!$A$13:$AE$10156,22,0)</f>
        <v>https://d0f6bd738d7f1b3e5a7ca70fe4ff75f0.us-east-1.aws.found.io/app/kibana#/discover/Steve-Slow-Train-Analysis-(2080s-and-2083s)?_g=(refreshInterval:(display:Off,pause:!f,section:0,value:0),time:(from:'2017-11-22T23:27:05-0700',mode:absolute,to:'2017-11-23T02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6" t="str">
        <f t="shared" si="1"/>
        <v>"C:\Program Files (x86)\AstroGrep\AstroGrep.exe" /e /r /s /spath="%USERPROFILE%\AppData\Local\Temp\OnboardLogs" /stypes="*4001*201711230*" /stext=" 07:.+((SYSTEM_STATE.+slice.+state.+changed )|(ment ac)|(multiple cpu faults)|(system.+state.+changed )|(\[timeout)|(PRM\|1\|D)|(kpr)|(kdp)|(train st.+moving)|(\|lc)|(penalty))"</v>
      </c>
      <c r="U14" s="9" t="str">
        <f t="shared" si="2"/>
        <v>4001</v>
      </c>
      <c r="V14" s="31">
        <f t="shared" si="3"/>
        <v>43062.327337962961</v>
      </c>
      <c r="W14" s="45" t="str">
        <f t="shared" si="4"/>
        <v>EC</v>
      </c>
      <c r="X14" s="229">
        <f t="shared" si="5"/>
        <v>240</v>
      </c>
      <c r="Y14" s="239" t="str">
        <f t="shared" si="6"/>
        <v>echo {"issue":{"subject":"Early Arrival","project_id":79,"tracker_id":40,"status_id":1,"priority_id":2,"assigned_to_id":338,"start_date":"2017-11-23","description":"","custom_fields":[{"id":1,"name":"Subdivision","value":"EC"},{"id":4,"name":"Milepost","value":"6.3309"},{"id":17,"name":"Train ID","value":"240-22"},{"id":16,"name":"Locomotive ID","value":"4001"},{"id":130,"name":"Impact","value":""},{"id":150,"name":"Time of Event (Mountain Time)","value":"00:51:22"},{"id":151,"name":"Denver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/c/Users/stu/AppData/Local/Temp/OnboardLogs/RTDC4001 --include="*4001*201711230*"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"%USERPROFILE%\AppData\Local\Temp\OnboardLogs"\RTDC4001\*4001*201711230* &gt;&gt; 2017-11-22-SliceDisagreementCheck.txt</v>
      </c>
      <c r="AE14" s="144" t="str">
        <f t="shared" si="9"/>
        <v>start /low /b %USERPROFILE%\Documents\GitHub\eaglep3\Utilities\DownloadLogsFromS3.py --loco 4001 --day 2017-11-23</v>
      </c>
      <c r="AF14" s="1"/>
    </row>
    <row r="15" spans="1:32" x14ac:dyDescent="0.3">
      <c r="A15" s="31">
        <v>43061.401562500003</v>
      </c>
      <c r="B15" s="30" t="s">
        <v>453</v>
      </c>
      <c r="C15" s="30" t="s">
        <v>652</v>
      </c>
      <c r="D15" s="30" t="s">
        <v>49</v>
      </c>
      <c r="E15" s="30" t="s">
        <v>183</v>
      </c>
      <c r="F15" s="42">
        <v>160</v>
      </c>
      <c r="G15" s="42">
        <v>216</v>
      </c>
      <c r="H15" s="42">
        <v>63880</v>
      </c>
      <c r="I15" s="42">
        <v>63472</v>
      </c>
      <c r="J15" s="30" t="s">
        <v>184</v>
      </c>
      <c r="K15" s="42">
        <v>63309</v>
      </c>
      <c r="L15" s="131" t="s">
        <v>51</v>
      </c>
      <c r="M15" s="132">
        <f t="shared" si="0"/>
        <v>86.063999999999993</v>
      </c>
      <c r="N15" s="133" t="str">
        <f>VLOOKUP(C15,'Trips&amp;Operators'!$C$1:$G$99911,5,FALSE)</f>
        <v>THOMPSON LESTER</v>
      </c>
      <c r="O15" s="175" t="s">
        <v>178</v>
      </c>
      <c r="P15" s="240" t="s">
        <v>344</v>
      </c>
      <c r="Q15" s="30"/>
      <c r="R15" s="81" t="str">
        <f>VLOOKUP(C15,'Train Runs'!$A$13:$AE$10156,31,0)</f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S15" s="84" t="str">
        <f>VLOOKUP(C15,'Train Runs'!$A$13:$AE$10156,22,0)</f>
        <v>https://d0f6bd738d7f1b3e5a7ca70fe4ff75f0.us-east-1.aws.found.io/app/kibana#/discover/Steve-Slow-Train-Analysis-(2080s-and-2083s)?_g=(refreshInterval:(display:Off,pause:!f,section:0,value:0),time:(from:'2017-11-22T08:12:29-0700',mode:absolute,to:'2017-11-22T10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5" s="86" t="str">
        <f t="shared" si="1"/>
        <v>"C:\Program Files (x86)\AstroGrep\AstroGrep.exe" /e /r /s /spath="%USERPROFILE%\AppData\Local\Temp\OnboardLogs" /stypes="*4049*201711221*"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4049</v>
      </c>
      <c r="V15" s="31">
        <f t="shared" si="3"/>
        <v>43061.693229166667</v>
      </c>
      <c r="W15" s="45" t="str">
        <f t="shared" si="4"/>
        <v>EC</v>
      </c>
      <c r="X15" s="229">
        <f t="shared" si="5"/>
        <v>138</v>
      </c>
      <c r="Y15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Arrival","project_id":79,"tracker_id":40,"status_id":1,"priority_id":2,"assigned_to_id":338,"start_date":"2017-11-22","description":"","custom_fields":[{"id":1,"name":"Subdivision","value":"EC"},{"id":4,"name":"Milepost","value":"6.3309"},{"id":17,"name":"Train ID","value":"138-22"},{"id":16,"name":"Locomotive ID","value":"4049"},{"id":130,"name":"Impact","value":""},{"id":150,"name":"Time of Event (Mountain Time)","value":"09:38:15"},{"id":151,"name":"Denver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/c/Users/stu/AppData/Local/Temp/OnboardLogs/RTDC4049 --include="*4049*201711221*"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"%USERPROFILE%\AppData\Local\Temp\OnboardLogs"\RTDC4049\*4049*201711221* &gt;&gt; 2017-11-22-SliceDisagreementCheck.txt</v>
      </c>
      <c r="AE15" s="144" t="str">
        <f t="shared" si="9"/>
        <v>start /low /b %USERPROFILE%\Documents\GitHub\eaglep3\Utilities\DownloadLogsFromS3.py --loco 4049 --day 2017-11-22</v>
      </c>
      <c r="AF15" s="1"/>
    </row>
    <row r="16" spans="1:32" x14ac:dyDescent="0.3">
      <c r="A16" s="31">
        <v>43061.427372685182</v>
      </c>
      <c r="B16" s="30" t="s">
        <v>490</v>
      </c>
      <c r="C16" s="30" t="s">
        <v>653</v>
      </c>
      <c r="D16" s="30" t="s">
        <v>49</v>
      </c>
      <c r="E16" s="30" t="s">
        <v>190</v>
      </c>
      <c r="F16" s="42">
        <v>300</v>
      </c>
      <c r="G16" s="42">
        <v>403</v>
      </c>
      <c r="H16" s="42">
        <v>23362</v>
      </c>
      <c r="I16" s="42">
        <v>22401</v>
      </c>
      <c r="J16" s="30" t="s">
        <v>191</v>
      </c>
      <c r="K16" s="42">
        <v>21848</v>
      </c>
      <c r="L16" s="131" t="s">
        <v>51</v>
      </c>
      <c r="M16" s="132">
        <f t="shared" si="0"/>
        <v>291.98399999999998</v>
      </c>
      <c r="N16" s="133" t="str">
        <f>VLOOKUP(C16,'Trips&amp;Operators'!$C$1:$G$99911,5,FALSE)</f>
        <v>BONDS REYNALDO</v>
      </c>
      <c r="O16" s="175" t="s">
        <v>178</v>
      </c>
      <c r="P16" s="240"/>
      <c r="Q16" s="30"/>
      <c r="R16" s="81" t="str">
        <f>VLOOKUP(C16,'Train Runs'!$A$13:$AE$10156,31,0)</f>
        <v>aws s3 cp s3://rtdc.mdm.uploadarchive.raw/RTDC4019/ "%USERPROFILE%\AppData\Local\Temp\OnboardLogs"\RTDC4019\2017-11-22 --exclude "*" --recursive --include "*20171122*" &amp; "%USERPROFILE%\Documents\GitHub\mrs-test-scripts\Headless Mode &amp; Sideloading\WalkAndUnGZ.bat" "%USERPROFILE%\AppData\Local\Temp\OnboardLogs"\RTDC4019\2017-11-22 &amp; aws s3 cp s3://rtdc.mdm.uploadarchive.raw/RTDC4019/ "%USERPROFILE%\AppData\Local\Temp\OnboardLogs"\RTDC4019\2017-11-23 --exclude "*" --recursive --include "*20171123*" &amp; "%USERPROFILE%\Documents\GitHub\mrs-test-scripts\Headless Mode &amp; Sideloading\WalkAndUnGZ.bat" "%USERPROFILE%\AppData\Local\Temp\OnboardLogs"\RTDC4019\2017-11-23</v>
      </c>
      <c r="S16" s="84" t="str">
        <f>VLOOKUP(C16,'Train Runs'!$A$13:$AE$10156,22,0)</f>
        <v>https://d0f6bd738d7f1b3e5a7ca70fe4ff75f0.us-east-1.aws.found.io/app/kibana#/discover/Steve-Slow-Train-Analysis-(2080s-and-2083s)?_g=(refreshInterval:(display:Off,pause:!f,section:0,value:0),time:(from:'2017-11-22T08:35:45-0700',mode:absolute,to:'2017-11-22T11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6" s="86" t="str">
        <f t="shared" si="1"/>
        <v>"C:\Program Files (x86)\AstroGrep\AstroGrep.exe" /e /r /s /spath="%USERPROFILE%\AppData\Local\Temp\OnboardLogs" /stypes="*4019*201711221*" /stext=" 17:.+((SYSTEM_STATE.+slice.+state.+changed )|(ment ac)|(multiple cpu faults)|(system.+state.+changed )|(\[timeout)|(PRM\|1\|D)|(kpr)|(kdp)|(train st.+moving)|(\|lc)|(penalty))"</v>
      </c>
      <c r="U16" s="9" t="str">
        <f t="shared" si="2"/>
        <v>4019</v>
      </c>
      <c r="V16" s="31">
        <f t="shared" si="3"/>
        <v>43061.719039351847</v>
      </c>
      <c r="W16" s="45" t="str">
        <f t="shared" si="4"/>
        <v>EC</v>
      </c>
      <c r="X16" s="229">
        <f t="shared" si="5"/>
        <v>142</v>
      </c>
      <c r="Y16" s="239" t="str">
        <f t="shared" si="6"/>
        <v>echo {"issue":{"subject":"","project_id":79,"tracker_id":40,"status_id":1,"priority_id":2,"assigned_to_id":338,"start_date":"2017-11-22","description":"","custom_fields":[{"id":1,"name":"Subdivision","value":"EC"},{"id":4,"name":"Milepost","value":"2.1848"},{"id":17,"name":"Train ID","value":"142-22"},{"id":16,"name":"Locomotive ID","value":"4019"},{"id":130,"name":"Impact","value":""},{"id":150,"name":"Time of Event (Mountain Time)","value":"10:15:25"},{"id":151,"name":"Denver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/c/Users/stu/AppData/Local/Temp/OnboardLogs/RTDC4019 --include="*4019*201711221*"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"%USERPROFILE%\AppData\Local\Temp\OnboardLogs"\RTDC4019\*4019*201711221* &gt;&gt; 2017-11-22-SliceDisagreementCheck.txt</v>
      </c>
      <c r="AE16" s="144" t="str">
        <f t="shared" si="9"/>
        <v>start /low /b %USERPROFILE%\Documents\GitHub\eaglep3\Utilities\DownloadLogsFromS3.py --loco 4019 --day 2017-11-22</v>
      </c>
      <c r="AF16" s="1"/>
    </row>
    <row r="17" spans="1:32" x14ac:dyDescent="0.3">
      <c r="A17" s="31">
        <v>43061.623449074075</v>
      </c>
      <c r="B17" s="30" t="s">
        <v>363</v>
      </c>
      <c r="C17" s="30" t="s">
        <v>659</v>
      </c>
      <c r="D17" s="30" t="s">
        <v>49</v>
      </c>
      <c r="E17" s="30" t="s">
        <v>190</v>
      </c>
      <c r="F17" s="42">
        <v>400</v>
      </c>
      <c r="G17" s="42">
        <v>462</v>
      </c>
      <c r="H17" s="42">
        <v>120803</v>
      </c>
      <c r="I17" s="42">
        <v>119568</v>
      </c>
      <c r="J17" s="30" t="s">
        <v>191</v>
      </c>
      <c r="K17" s="42">
        <v>119716</v>
      </c>
      <c r="L17" s="131" t="s">
        <v>51</v>
      </c>
      <c r="M17" s="132">
        <f t="shared" si="0"/>
        <v>-78.144000000000005</v>
      </c>
      <c r="N17" s="133" t="str">
        <f>VLOOKUP(C17,'Trips&amp;Operators'!$C$1:$G$99911,5,FALSE)</f>
        <v>KILLION DAVID</v>
      </c>
      <c r="O17" s="175" t="s">
        <v>178</v>
      </c>
      <c r="P17" s="240"/>
      <c r="Q17" s="30"/>
      <c r="R17" s="81" t="str">
        <f>VLOOKUP(C17,'Train Runs'!$A$13:$AE$10156,31,0)</f>
        <v>aws s3 cp s3://rtdc.mdm.uploadarchive.raw/RTDC4017/ "%USERPROFILE%\AppData\Local\Temp\OnboardLogs"\RTDC4017\2017-11-22 --exclude "*" --recursive --include "*20171122*" &amp; "%USERPROFILE%\Documents\GitHub\mrs-test-scripts\Headless Mode &amp; Sideloading\WalkAndUnGZ.bat" "%USERPROFILE%\AppData\Local\Temp\OnboardLogs"\RTDC4017\2017-11-22 &amp; aws s3 cp s3://rtdc.mdm.uploadarchive.raw/RTDC4017/ "%USERPROFILE%\AppData\Local\Temp\OnboardLogs"\RTDC4017\2017-11-23 --exclude "*" --recursive --include "*20171123*" &amp; "%USERPROFILE%\Documents\GitHub\mrs-test-scripts\Headless Mode &amp; Sideloading\WalkAndUnGZ.bat" "%USERPROFILE%\AppData\Local\Temp\OnboardLogs"\RTDC4017\2017-11-23</v>
      </c>
      <c r="S17" s="84" t="str">
        <f>VLOOKUP(C17,'Train Runs'!$A$13:$AE$10156,22,0)</f>
        <v>https://d0f6bd738d7f1b3e5a7ca70fe4ff75f0.us-east-1.aws.found.io/app/kibana#/discover/Steve-Slow-Train-Analysis-(2080s-and-2083s)?_g=(refreshInterval:(display:Off,pause:!f,section:0,value:0),time:(from:'2017-11-22T13:31:14-0700',mode:absolute,to:'2017-11-22T16:22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6" t="str">
        <f t="shared" si="1"/>
        <v>"C:\Program Files (x86)\AstroGrep\AstroGrep.exe" /e /r /s /spath="%USERPROFILE%\AppData\Local\Temp\OnboardLogs" /stypes="*4017*201711222*" /stext=" 21:.+((SYSTEM_STATE.+slice.+state.+changed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43061.91511574074</v>
      </c>
      <c r="W17" s="45" t="str">
        <f t="shared" si="4"/>
        <v>EC</v>
      </c>
      <c r="X17" s="229">
        <f t="shared" si="5"/>
        <v>182</v>
      </c>
      <c r="Y17" s="239" t="str">
        <f t="shared" si="6"/>
        <v>echo {"issue":{"subject":"","project_id":79,"tracker_id":40,"status_id":1,"priority_id":2,"assigned_to_id":338,"start_date":"2017-11-22","description":"","custom_fields":[{"id":1,"name":"Subdivision","value":"EC"},{"id":4,"name":"Milepost","value":"11.9716"},{"id":17,"name":"Train ID","value":"182-22"},{"id":16,"name":"Locomotive ID","value":"4017"},{"id":130,"name":"Impact","value":""},{"id":150,"name":"Time of Event (Mountain Time)","value":"14:57:46"},{"id":151,"name":"Denver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/c/Users/stu/AppData/Local/Temp/OnboardLogs/RTDC4017 --include="*4017*201711222*"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"%USERPROFILE%\AppData\Local\Temp\OnboardLogs"\RTDC4017\*4017*201711222* &gt;&gt; 2017-11-22-SliceDisagreementCheck.txt</v>
      </c>
      <c r="AE17" s="144" t="str">
        <f t="shared" si="9"/>
        <v>start /low /b %USERPROFILE%\Documents\GitHub\eaglep3\Utilities\DownloadLogsFromS3.py --loco 4017 --day 2017-11-22</v>
      </c>
      <c r="AF17" s="1"/>
    </row>
    <row r="18" spans="1:32" x14ac:dyDescent="0.3">
      <c r="A18" s="31">
        <v>43061.438668981478</v>
      </c>
      <c r="B18" s="30" t="s">
        <v>454</v>
      </c>
      <c r="C18" s="30" t="s">
        <v>656</v>
      </c>
      <c r="D18" s="30" t="s">
        <v>95</v>
      </c>
      <c r="E18" s="30" t="s">
        <v>190</v>
      </c>
      <c r="F18" s="42">
        <v>600</v>
      </c>
      <c r="G18" s="42">
        <v>652</v>
      </c>
      <c r="H18" s="42">
        <v>188856</v>
      </c>
      <c r="I18" s="42">
        <v>192002</v>
      </c>
      <c r="J18" s="30" t="s">
        <v>191</v>
      </c>
      <c r="K18" s="42">
        <v>183829</v>
      </c>
      <c r="L18" s="131" t="s">
        <v>50</v>
      </c>
      <c r="M18" s="132">
        <f t="shared" si="0"/>
        <v>-4315.3440000000001</v>
      </c>
      <c r="N18" s="133" t="str">
        <f>VLOOKUP(C18,'Trips&amp;Operators'!$C$1:$G$99911,5,FALSE)</f>
        <v>THOMPSON LESTER</v>
      </c>
      <c r="O18" s="175" t="s">
        <v>178</v>
      </c>
      <c r="P18" s="240"/>
      <c r="Q18" s="30"/>
      <c r="R18" s="81" t="str">
        <f>VLOOKUP(C18,'Train Runs'!$A$13:$AE$10156,31,0)</f>
        <v>aws s3 cp s3://rtdc.mdm.uploadarchive.raw/RTDC4050/ "%USERPROFILE%\AppData\Local\Temp\OnboardLogs"\RTDC4050\2017-11-22 --exclude "*" --recursive --include "*20171122*" &amp; "%USERPROFILE%\Documents\GitHub\mrs-test-scripts\Headless Mode &amp; Sideloading\WalkAndUnGZ.bat" "%USERPROFILE%\AppData\Local\Temp\OnboardLogs"\RTDC4050\2017-11-22 &amp; aws s3 cp s3://rtdc.mdm.uploadarchive.raw/RTDC4050/ "%USERPROFILE%\AppData\Local\Temp\OnboardLogs"\RTDC4050\2017-11-23 --exclude "*" --recursive --include "*20171123*" &amp; "%USERPROFILE%\Documents\GitHub\mrs-test-scripts\Headless Mode &amp; Sideloading\WalkAndUnGZ.bat" "%USERPROFILE%\AppData\Local\Temp\OnboardLogs"\RTDC4050\2017-11-23</v>
      </c>
      <c r="S18" s="84" t="str">
        <f>VLOOKUP(C18,'Train Runs'!$A$13:$AE$10156,22,0)</f>
        <v>https://d0f6bd738d7f1b3e5a7ca70fe4ff75f0.us-east-1.aws.found.io/app/kibana#/discover/Steve-Slow-Train-Analysis-(2080s-and-2083s)?_g=(refreshInterval:(display:Off,pause:!f,section:0,value:0),time:(from:'2017-11-22T08:58:01-0700',mode:absolute,to:'2017-11-22T11:39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8" s="86" t="str">
        <f t="shared" si="1"/>
        <v>"C:\Program Files (x86)\AstroGrep\AstroGrep.exe" /e /r /s /spath="%USERPROFILE%\AppData\Local\Temp\OnboardLogs" /stypes="*4050*201711221*" /stext=" 17:.+((SYSTEM_STATE.+slice.+state.+changed )|(ment ac)|(multiple cpu faults)|(system.+state.+changed )|(\[timeout)|(PRM\|1\|D)|(kpr)|(kdp)|(train st.+moving)|(\|lc)|(penalty))"</v>
      </c>
      <c r="U18" s="9" t="str">
        <f t="shared" si="2"/>
        <v>4050</v>
      </c>
      <c r="V18" s="31">
        <f t="shared" si="3"/>
        <v>43061.730335648142</v>
      </c>
      <c r="W18" s="45" t="str">
        <f t="shared" si="4"/>
        <v>EC</v>
      </c>
      <c r="X18" s="229">
        <f t="shared" si="5"/>
        <v>151</v>
      </c>
      <c r="Y18" s="239" t="str">
        <f t="shared" si="6"/>
        <v>echo {"issue":{"subject":"","project_id":79,"tracker_id":40,"status_id":1,"priority_id":2,"assigned_to_id":338,"start_date":"2017-11-22","description":"","custom_fields":[{"id":1,"name":"Subdivision","value":"EC"},{"id":4,"name":"Milepost","value":"18.3829"},{"id":17,"name":"Train ID","value":"151-22"},{"id":16,"name":"Locomotive ID","value":"4050"},{"id":130,"name":"Impact","value":""},{"id":150,"name":"Time of Event (Mountain Time)","value":"10:31:41"},{"id":151,"name":"Denver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/c/Users/stu/AppData/Local/Temp/OnboardLogs/RTDC4050 --include="*4050*201711221*"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"%USERPROFILE%\AppData\Local\Temp\OnboardLogs"\RTDC4050\*4050*201711221* &gt;&gt; 2017-11-22-SliceDisagreementCheck.txt</v>
      </c>
      <c r="AE18" s="144" t="str">
        <f t="shared" si="9"/>
        <v>start /low /b %USERPROFILE%\Documents\GitHub\eaglep3\Utilities\DownloadLogsFromS3.py --loco 4050 --day 2017-11-22</v>
      </c>
      <c r="AF18" s="1"/>
    </row>
    <row r="19" spans="1:32" x14ac:dyDescent="0.3">
      <c r="A19" s="31">
        <v>43061.857129629629</v>
      </c>
      <c r="B19" s="30" t="s">
        <v>664</v>
      </c>
      <c r="C19" s="30" t="s">
        <v>665</v>
      </c>
      <c r="D19" s="30" t="s">
        <v>95</v>
      </c>
      <c r="E19" s="30" t="s">
        <v>190</v>
      </c>
      <c r="F19" s="42">
        <v>700</v>
      </c>
      <c r="G19" s="42">
        <v>750</v>
      </c>
      <c r="H19" s="42">
        <v>180365</v>
      </c>
      <c r="I19" s="42">
        <v>176832</v>
      </c>
      <c r="J19" s="30" t="s">
        <v>191</v>
      </c>
      <c r="K19" s="42">
        <v>183829</v>
      </c>
      <c r="L19" s="131" t="s">
        <v>51</v>
      </c>
      <c r="M19" s="132">
        <f t="shared" si="0"/>
        <v>-3694.4160000000002</v>
      </c>
      <c r="N19" s="133" t="str">
        <f>VLOOKUP(C19,'Trips&amp;Operators'!$C$1:$G$99911,5,FALSE)</f>
        <v>RESPASS AARON</v>
      </c>
      <c r="O19" s="175" t="s">
        <v>178</v>
      </c>
      <c r="P19" s="240"/>
      <c r="Q19" s="30"/>
      <c r="R19" s="81" t="str">
        <f>VLOOKUP(C19,'Train Runs'!$A$13:$AE$10156,31,0)</f>
        <v>aws s3 cp s3://rtdc.mdm.uploadarchive.raw/RTDC4001/ "%USERPROFILE%\AppData\Local\Temp\OnboardLogs"\RTDC4001\2017-11-22 --exclude "*" --recursive --include "*20171122*" &amp; "%USERPROFILE%\Documents\GitHub\mrs-test-scripts\Headless Mode &amp; Sideloading\WalkAndUnGZ.bat" "%USERPROFILE%\AppData\Local\Temp\OnboardLogs"\RTDC4001\2017-11-22 &amp; aws s3 cp s3://rtdc.mdm.uploadarchive.raw/RTDC4001/ "%USERPROFILE%\AppData\Local\Temp\OnboardLogs"\RTDC4001\2017-11-23 --exclude "*" --recursive --include "*20171123*" &amp; "%USERPROFILE%\Documents\GitHub\mrs-test-scripts\Headless Mode &amp; Sideloading\WalkAndUnGZ.bat" "%USERPROFILE%\AppData\Local\Temp\OnboardLogs"\RTDC4001\2017-11-23</v>
      </c>
      <c r="S19" s="84" t="str">
        <f>VLOOKUP(C19,'Train Runs'!$A$13:$AE$10156,22,0)</f>
        <v>https://d0f6bd738d7f1b3e5a7ca70fe4ff75f0.us-east-1.aws.found.io/app/kibana#/discover/Steve-Slow-Train-Analysis-(2080s-and-2083s)?_g=(refreshInterval:(display:Off,pause:!f,section:0,value:0),time:(from:'2017-11-22T19:11:05-0700',mode:absolute,to:'2017-11-22T22:04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 t="shared" si="1"/>
        <v>"C:\Program Files (x86)\AstroGrep\AstroGrep.exe" /e /r /s /spath="%USERPROFILE%\AppData\Local\Temp\OnboardLogs" /stypes="*4001*201711230*" /stext=" 03:.+((SYSTEM_STATE.+slice.+state.+changed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43062.148796296293</v>
      </c>
      <c r="W19" s="45" t="str">
        <f t="shared" si="4"/>
        <v>EC</v>
      </c>
      <c r="X19" s="229">
        <f t="shared" si="5"/>
        <v>224</v>
      </c>
      <c r="Y19" s="239" t="str">
        <f t="shared" si="6"/>
        <v>echo {"issue":{"subject":"","project_id":79,"tracker_id":40,"status_id":1,"priority_id":2,"assigned_to_id":338,"start_date":"2017-11-22","description":"","custom_fields":[{"id":1,"name":"Subdivision","value":"EC"},{"id":4,"name":"Milepost","value":"18.3829"},{"id":17,"name":"Train ID","value":"224-22"},{"id":16,"name":"Locomotive ID","value":"4001"},{"id":130,"name":"Impact","value":""},{"id":150,"name":"Time of Event (Mountain Time)","value":"20:34:16"},{"id":151,"name":"Denver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/c/Users/stu/AppData/Local/Temp/OnboardLogs/RTDC4001 --include="*4001*201711230*"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"%USERPROFILE%\AppData\Local\Temp\OnboardLogs"\RTDC4001\*4001*201711230* &gt;&gt; 2017-11-22-SliceDisagreementCheck.txt</v>
      </c>
      <c r="AE19" s="144" t="str">
        <f t="shared" si="9"/>
        <v>start /low /b %USERPROFILE%\Documents\GitHub\eaglep3\Utilities\DownloadLogsFromS3.py --loco 4001 --day 2017-11-23</v>
      </c>
      <c r="AF19" s="1"/>
    </row>
    <row r="20" spans="1:32" x14ac:dyDescent="0.3">
      <c r="A20" s="31">
        <v>43061.437037037038</v>
      </c>
      <c r="B20" s="30" t="s">
        <v>654</v>
      </c>
      <c r="C20" s="30" t="s">
        <v>655</v>
      </c>
      <c r="D20" s="30" t="s">
        <v>95</v>
      </c>
      <c r="E20" s="30" t="s">
        <v>190</v>
      </c>
      <c r="F20" s="42">
        <v>350</v>
      </c>
      <c r="G20" s="42">
        <v>404</v>
      </c>
      <c r="H20" s="42">
        <v>225321</v>
      </c>
      <c r="I20" s="42">
        <v>224173</v>
      </c>
      <c r="J20" s="30" t="s">
        <v>191</v>
      </c>
      <c r="K20" s="42">
        <v>232107</v>
      </c>
      <c r="L20" s="131" t="s">
        <v>51</v>
      </c>
      <c r="M20" s="132">
        <f t="shared" si="0"/>
        <v>-4189.152</v>
      </c>
      <c r="N20" s="133" t="str">
        <f>VLOOKUP(C20,'Trips&amp;Operators'!$C$1:$G$99911,5,FALSE)</f>
        <v>FORTUNATO FRANK</v>
      </c>
      <c r="O20" s="175" t="s">
        <v>178</v>
      </c>
      <c r="P20" s="240"/>
      <c r="Q20" s="30"/>
      <c r="R20" s="81" t="str">
        <f>VLOOKUP(C20,'Train Runs'!$A$13:$AE$10156,31,0)</f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S20" s="84" t="str">
        <f>VLOOKUP(C20,'Train Runs'!$A$13:$AE$10156,22,0)</f>
        <v>https://d0f6bd738d7f1b3e5a7ca70fe4ff75f0.us-east-1.aws.found.io/app/kibana#/discover/Steve-Slow-Train-Analysis-(2080s-and-2083s)?_g=(refreshInterval:(display:Off,pause:!f,section:0,value:0),time:(from:'2017-11-22T09:12:09-0700',mode:absolute,to:'2017-11-22T12:06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0" s="86" t="str">
        <f t="shared" si="1"/>
        <v>"C:\Program Files (x86)\AstroGrep\AstroGrep.exe" /e /r /s /spath="%USERPROFILE%\AppData\Local\Temp\OnboardLogs" /stypes="*4015*201711221*" /stext=" 17:.+((SYSTEM_STATE.+slice.+state.+changed )|(ment ac)|(multiple cpu faults)|(system.+state.+changed )|(\[timeout)|(PRM\|1\|D)|(kpr)|(kdp)|(train st.+moving)|(\|lc)|(penalty))"</v>
      </c>
      <c r="U20" s="9" t="str">
        <f t="shared" si="2"/>
        <v>4015</v>
      </c>
      <c r="V20" s="31">
        <f t="shared" si="3"/>
        <v>43061.728703703702</v>
      </c>
      <c r="W20" s="45" t="str">
        <f t="shared" si="4"/>
        <v>EC</v>
      </c>
      <c r="X20" s="229">
        <f t="shared" si="5"/>
        <v>148</v>
      </c>
      <c r="Y20" s="239" t="str">
        <f t="shared" si="6"/>
        <v>echo {"issue":{"subject":"","project_id":79,"tracker_id":40,"status_id":1,"priority_id":2,"assigned_to_id":338,"start_date":"2017-11-22","description":"","custom_fields":[{"id":1,"name":"Subdivision","value":"EC"},{"id":4,"name":"Milepost","value":"23.2107"},{"id":17,"name":"Train ID","value":"148-22"},{"id":16,"name":"Locomotive ID","value":"4015"},{"id":130,"name":"Impact","value":""},{"id":150,"name":"Time of Event (Mountain Time)","value":"10:29:20"},{"id":151,"name":"Denver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/c/Users/stu/AppData/Local/Temp/OnboardLogs/RTDC4015 --include="*4015*201711221*"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"%USERPROFILE%\AppData\Local\Temp\OnboardLogs"\RTDC4015\*4015*201711221* &gt;&gt; 2017-11-22-SliceDisagreementCheck.txt</v>
      </c>
      <c r="AE20" s="144" t="str">
        <f t="shared" si="9"/>
        <v>start /low /b %USERPROFILE%\Documents\GitHub\eaglep3\Utilities\DownloadLogsFromS3.py --loco 4015 --day 2017-11-22</v>
      </c>
      <c r="AF20" s="1"/>
    </row>
    <row r="21" spans="1:32" x14ac:dyDescent="0.3">
      <c r="A21" s="31">
        <v>43061.815324074072</v>
      </c>
      <c r="B21" s="30" t="s">
        <v>654</v>
      </c>
      <c r="C21" s="30" t="s">
        <v>662</v>
      </c>
      <c r="D21" s="30" t="s">
        <v>49</v>
      </c>
      <c r="E21" s="30" t="s">
        <v>460</v>
      </c>
      <c r="F21" s="42">
        <v>0</v>
      </c>
      <c r="G21" s="42">
        <v>735</v>
      </c>
      <c r="H21" s="42">
        <v>72711</v>
      </c>
      <c r="I21" s="42">
        <v>69601</v>
      </c>
      <c r="J21" s="30" t="s">
        <v>461</v>
      </c>
      <c r="K21" s="42">
        <v>69363</v>
      </c>
      <c r="L21" s="131" t="s">
        <v>51</v>
      </c>
      <c r="M21" s="132">
        <f t="shared" si="0"/>
        <v>125.664</v>
      </c>
      <c r="N21" s="133" t="str">
        <f>VLOOKUP(C21,'Trips&amp;Operators'!$C$1:$G$99911,5,FALSE)</f>
        <v>HAMMOND JUSTYNN</v>
      </c>
      <c r="O21" s="175" t="s">
        <v>349</v>
      </c>
      <c r="P21" s="240" t="s">
        <v>502</v>
      </c>
      <c r="Q21" s="30"/>
      <c r="R21" s="81" t="str">
        <f>VLOOKUP(C21,'Train Runs'!$A$13:$AE$10156,31,0)</f>
        <v>aws s3 cp s3://rtdc.mdm.uploadarchive.raw/RTDC4015/ "%USERPROFILE%\AppData\Local\Temp\OnboardLogs"\RTDC4015\2017-11-22 --exclude "*" --recursive --include "*20171122*" &amp; "%USERPROFILE%\Documents\GitHub\mrs-test-scripts\Headless Mode &amp; Sideloading\WalkAndUnGZ.bat" "%USERPROFILE%\AppData\Local\Temp\OnboardLogs"\RTDC4015\2017-11-22 &amp; aws s3 cp s3://rtdc.mdm.uploadarchive.raw/RTDC4015/ "%USERPROFILE%\AppData\Local\Temp\OnboardLogs"\RTDC4015\2017-11-23 --exclude "*" --recursive --include "*20171123*" &amp; "%USERPROFILE%\Documents\GitHub\mrs-test-scripts\Headless Mode &amp; Sideloading\WalkAndUnGZ.bat" "%USERPROFILE%\AppData\Local\Temp\OnboardLogs"\RTDC4015\2017-11-23</v>
      </c>
      <c r="S21" s="84" t="str">
        <f>VLOOKUP(C21,'Train Runs'!$A$13:$AE$10156,22,0)</f>
        <v>https://d0f6bd738d7f1b3e5a7ca70fe4ff75f0.us-east-1.aws.found.io/app/kibana#/discover/Steve-Slow-Train-Analysis-(2080s-and-2083s)?_g=(refreshInterval:(display:Off,pause:!f,section:0,value:0),time:(from:'2017-11-22T18:06:23-0700',mode:absolute,to:'2017-11-22T20:52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86" t="str">
        <f t="shared" si="1"/>
        <v>"C:\Program Files (x86)\AstroGrep\AstroGrep.exe" /e /r /s /spath="%USERPROFILE%\AppData\Local\Temp\OnboardLogs" /stypes="*4015*201711230*" /stext=" 02:.+((SYSTEM_STATE.+slice.+state.+changed )|(ment ac)|(multiple cpu faults)|(system.+state.+changed )|(\[timeout)|(PRM\|1\|D)|(kpr)|(kdp)|(train st.+moving)|(\|lc)|(penalty))"</v>
      </c>
      <c r="U21" s="9" t="str">
        <f t="shared" si="2"/>
        <v>4015</v>
      </c>
      <c r="V21" s="31">
        <f t="shared" si="3"/>
        <v>43062.106990740736</v>
      </c>
      <c r="W21" s="45" t="str">
        <f t="shared" si="4"/>
        <v>EC</v>
      </c>
      <c r="X21" s="229">
        <f t="shared" si="5"/>
        <v>218</v>
      </c>
      <c r="Y21" s="239" t="str">
        <f t="shared" si="6"/>
        <v>echo {"issue":{"subject":"Wi-MAX data drop","project_id":79,"tracker_id":40,"status_id":1,"priority_id":2,"assigned_to_id":338,"start_date":"2017-11-22","description":"","custom_fields":[{"id":1,"name":"Subdivision","value":"EC"},{"id":4,"name":"Milepost","value":"6.9363"},{"id":17,"name":"Train ID","value":"218-22"},{"id":16,"name":"Locomotive ID","value":"4015"},{"id":130,"name":"Impact","value":""},{"id":150,"name":"Time of Event (Mountain Time)","value":"19:34:04"},{"id":151,"name":"Denver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 t="shared" si="7"/>
        <v>grep -hrE -A400 "Enforcement Action" /c/Users/stu/AppData/Local/Temp/OnboardLogs/RTDC4015 --include="*4015*201711230*"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"%USERPROFILE%\AppData\Local\Temp\OnboardLogs"\RTDC4015\*4015*201711230* &gt;&gt; 2017-11-22-SliceDisagreementCheck.txt</v>
      </c>
      <c r="AE21" s="144" t="str">
        <f t="shared" si="9"/>
        <v>start /low /b %USERPROFILE%\Documents\GitHub\eaglep3\Utilities\DownloadLogsFromS3.py --loco 4015 --day 2017-11-23</v>
      </c>
      <c r="AF21" s="1"/>
    </row>
    <row r="22" spans="1:32" x14ac:dyDescent="0.3">
      <c r="A22" s="31">
        <v>43062.014699074076</v>
      </c>
      <c r="B22" s="30" t="s">
        <v>669</v>
      </c>
      <c r="C22" s="30" t="s">
        <v>670</v>
      </c>
      <c r="D22" s="30" t="s">
        <v>49</v>
      </c>
      <c r="E22" s="30" t="s">
        <v>460</v>
      </c>
      <c r="F22" s="42">
        <v>0</v>
      </c>
      <c r="G22" s="42">
        <v>616</v>
      </c>
      <c r="H22" s="42">
        <v>123731</v>
      </c>
      <c r="I22" s="42">
        <v>126622</v>
      </c>
      <c r="J22" s="30" t="s">
        <v>461</v>
      </c>
      <c r="K22" s="42">
        <v>126678</v>
      </c>
      <c r="L22" s="131" t="s">
        <v>50</v>
      </c>
      <c r="M22" s="132">
        <f t="shared" si="0"/>
        <v>29.568000000000001</v>
      </c>
      <c r="N22" s="133" t="str">
        <f>VLOOKUP(C22,'Trips&amp;Operators'!$C$1:$G$99911,5,FALSE)</f>
        <v>HAMMOND JUSTYNN</v>
      </c>
      <c r="O22" s="175" t="s">
        <v>349</v>
      </c>
      <c r="P22" s="240" t="s">
        <v>502</v>
      </c>
      <c r="Q22" s="30"/>
      <c r="R22" s="81" t="str">
        <f>VLOOKUP(C22,'Train Runs'!$A$13:$AE$10156,31,0)</f>
        <v>aws s3 cp s3://rtdc.mdm.uploadarchive.raw/RTDC4016/ "%USERPROFILE%\AppData\Local\Temp\OnboardLogs"\RTDC4016\2017-11-23 --exclude "*" --recursive --include "*20171123*" &amp; "%USERPROFILE%\Documents\GitHub\mrs-test-scripts\Headless Mode &amp; Sideloading\WalkAndUnGZ.bat" "%USERPROFILE%\AppData\Local\Temp\OnboardLogs"\RTDC4016\2017-11-23 &amp; aws s3 cp s3://rtdc.mdm.uploadarchive.raw/RTDC4016/ "%USERPROFILE%\AppData\Local\Temp\OnboardLogs"\RTDC4016\2017-11-24 --exclude "*" --recursive --include "*20171124*" &amp; "%USERPROFILE%\Documents\GitHub\mrs-test-scripts\Headless Mode &amp; Sideloading\WalkAndUnGZ.bat" "%USERPROFILE%\AppData\Local\Temp\OnboardLogs"\RTDC4016\2017-11-24</v>
      </c>
      <c r="S22" s="84" t="str">
        <f>VLOOKUP(C22,'Train Runs'!$A$13:$AE$10156,22,0)</f>
        <v>https://d0f6bd738d7f1b3e5a7ca70fe4ff75f0.us-east-1.aws.found.io/app/kibana#/discover/Steve-Slow-Train-Analysis-(2080s-and-2083s)?_g=(refreshInterval:(display:Off,pause:!f,section:0,value:0),time:(from:'2017-11-22T22:46:20-0700',mode:absolute,to:'2017-11-23T01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2" s="86" t="str">
        <f t="shared" si="1"/>
        <v>"C:\Program Files (x86)\AstroGrep\AstroGrep.exe" /e /r /s /spath="%USERPROFILE%\AppData\Local\Temp\OnboardLogs" /stypes="*4016*201711230*" /stext=" 07:.+((SYSTEM_STATE.+slice.+state.+changed )|(ment ac)|(multiple cpu faults)|(system.+state.+changed )|(\[timeout)|(PRM\|1\|D)|(kpr)|(kdp)|(train st.+moving)|(\|lc)|(penalty))"</v>
      </c>
      <c r="U22" s="9" t="str">
        <f t="shared" si="2"/>
        <v>4016</v>
      </c>
      <c r="V22" s="31">
        <f t="shared" si="3"/>
        <v>43062.30636574074</v>
      </c>
      <c r="W22" s="45" t="str">
        <f t="shared" si="4"/>
        <v>EC</v>
      </c>
      <c r="X22" s="229">
        <f t="shared" si="5"/>
        <v>241</v>
      </c>
      <c r="Y22" s="239" t="str">
        <f t="shared" si="6"/>
        <v>echo {"issue":{"subject":"Wi-MAX data drop","project_id":79,"tracker_id":40,"status_id":1,"priority_id":2,"assigned_to_id":338,"start_date":"2017-11-23","description":"","custom_fields":[{"id":1,"name":"Subdivision","value":"EC"},{"id":4,"name":"Milepost","value":"12.6678"},{"id":17,"name":"Train ID","value":"241-22"},{"id":16,"name":"Locomotive ID","value":"4016"},{"id":130,"name":"Impact","value":""},{"id":150,"name":"Time of Event (Mountain Time)","value":"00:21:10"},{"id":151,"name":"Denver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2"/>
      <c r="AB22" s="232"/>
      <c r="AC22" s="115" t="str">
        <f t="shared" si="7"/>
        <v>grep -hrE -A400 "Enforcement Action" /c/Users/stu/AppData/Local/Temp/OnboardLogs/RTDC4016 --include="*4016*201711230*"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"%USERPROFILE%\AppData\Local\Temp\OnboardLogs"\RTDC4016\*4016*201711230* &gt;&gt; 2017-11-22-SliceDisagreementCheck.txt</v>
      </c>
      <c r="AE22" s="144" t="str">
        <f t="shared" si="9"/>
        <v>start /low /b %USERPROFILE%\Documents\GitHub\eaglep3\Utilities\DownloadLogsFromS3.py --loco 4016 --day 2017-11-23</v>
      </c>
      <c r="AF22" s="1"/>
    </row>
    <row r="23" spans="1:32" x14ac:dyDescent="0.3">
      <c r="A23" s="31">
        <v>43061.3284375</v>
      </c>
      <c r="B23" s="30" t="s">
        <v>642</v>
      </c>
      <c r="C23" s="30" t="s">
        <v>643</v>
      </c>
      <c r="D23" s="30" t="s">
        <v>49</v>
      </c>
      <c r="E23" s="30" t="s">
        <v>355</v>
      </c>
      <c r="F23" s="42">
        <v>0</v>
      </c>
      <c r="G23" s="42">
        <v>99</v>
      </c>
      <c r="H23" s="42">
        <v>4800</v>
      </c>
      <c r="I23" s="42">
        <v>4643</v>
      </c>
      <c r="J23" s="30" t="s">
        <v>356</v>
      </c>
      <c r="K23" s="42">
        <v>4798</v>
      </c>
      <c r="L23" s="131" t="s">
        <v>51</v>
      </c>
      <c r="M23" s="132">
        <f t="shared" si="0"/>
        <v>-81.84</v>
      </c>
      <c r="N23" s="133" t="str">
        <f>VLOOKUP(C23,'Trips&amp;Operators'!$C$1:$G$99911,5,FALSE)</f>
        <v>LONG FULLER</v>
      </c>
      <c r="O23" s="175" t="s">
        <v>349</v>
      </c>
      <c r="P23" s="240" t="s">
        <v>639</v>
      </c>
      <c r="Q23" s="30"/>
      <c r="R23" s="81" t="str">
        <f>VLOOKUP(C23,'Train Runs'!$A$13:$AE$10156,31,0)</f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S23" s="84" t="str">
        <f>VLOOKUP(C23,'Train Runs'!$A$13:$AE$10156,22,0)</f>
        <v>https://d0f6bd738d7f1b3e5a7ca70fe4ff75f0.us-east-1.aws.found.io/app/kibana#/discover/Steve-Slow-Train-Analysis-(2080s-and-2083s)?_g=(refreshInterval:(display:Off,pause:!f,section:0,value:0),time:(from:'2017-11-22T06:26:56-0700',mode:absolute,to:'2017-11-22T08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86" t="str">
        <f t="shared" si="1"/>
        <v>"C:\Program Files (x86)\AstroGrep\AstroGrep.exe" /e /r /s /spath="%USERPROFILE%\AppData\Local\Temp\OnboardLogs" /stypes="*4023*201711221*" /stext=" 14:.+((SYSTEM_STATE.+slice.+state.+changed )|(ment ac)|(multiple cpu faults)|(system.+state.+changed )|(\[timeout)|(PRM\|1\|D)|(kpr)|(kdp)|(train st.+moving)|(\|lc)|(penalty))"</v>
      </c>
      <c r="U23" s="9" t="str">
        <f t="shared" si="2"/>
        <v>4023</v>
      </c>
      <c r="V23" s="31">
        <f t="shared" si="3"/>
        <v>43061.620104166665</v>
      </c>
      <c r="W23" s="45" t="str">
        <f t="shared" si="4"/>
        <v>NW</v>
      </c>
      <c r="X23" s="229">
        <f t="shared" si="5"/>
        <v>808</v>
      </c>
      <c r="Y23" s="239" t="str">
        <f t="shared" si="6"/>
        <v>echo {"issue":{"subject":"Poor GPS under Wewatta St overpass","project_id":79,"tracker_id":40,"status_id":1,"priority_id":2,"assigned_to_id":338,"start_date":"2017-11-22","description":"","custom_fields":[{"id":1,"name":"Subdivision","value":"NW"},{"id":4,"name":"Milepost","value":"0.4798"},{"id":17,"name":"Train ID","value":"808-22"},{"id":16,"name":"Locomotive ID","value":"4023"},{"id":130,"name":"Impact","value":""},{"id":150,"name":"Time of Event (Mountain Time)","value":"07:52:57"},{"id":151,"name":"Denver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2"/>
      <c r="AB23" s="232"/>
      <c r="AC23" s="115" t="str">
        <f t="shared" si="7"/>
        <v>grep -hrE -A400 "Enforcement Action" /c/Users/stu/AppData/Local/Temp/OnboardLogs/RTDC4023 --include="*4023*201711221*"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"%USERPROFILE%\AppData\Local\Temp\OnboardLogs"\RTDC4023\*4023*201711221* &gt;&gt; 2017-11-22-SliceDisagreementCheck.txt</v>
      </c>
      <c r="AE23" s="144" t="str">
        <f t="shared" si="9"/>
        <v>start /low /b %USERPROFILE%\Documents\GitHub\eaglep3\Utilities\DownloadLogsFromS3.py --loco 4023 --day 2017-11-22</v>
      </c>
      <c r="AF23" s="1"/>
    </row>
    <row r="24" spans="1:32" x14ac:dyDescent="0.3">
      <c r="A24" s="31">
        <v>43061.349120370367</v>
      </c>
      <c r="B24" s="30" t="s">
        <v>648</v>
      </c>
      <c r="C24" s="30" t="s">
        <v>649</v>
      </c>
      <c r="D24" s="30" t="s">
        <v>49</v>
      </c>
      <c r="E24" s="30" t="s">
        <v>355</v>
      </c>
      <c r="F24" s="42">
        <v>0</v>
      </c>
      <c r="G24" s="42">
        <v>87</v>
      </c>
      <c r="H24" s="42">
        <v>4821</v>
      </c>
      <c r="I24" s="42">
        <v>4684</v>
      </c>
      <c r="J24" s="30" t="s">
        <v>356</v>
      </c>
      <c r="K24" s="42">
        <v>4798</v>
      </c>
      <c r="L24" s="131" t="s">
        <v>51</v>
      </c>
      <c r="M24" s="132">
        <f t="shared" si="0"/>
        <v>-60.192</v>
      </c>
      <c r="N24" s="133" t="str">
        <f>VLOOKUP(C24,'Trips&amp;Operators'!$C$1:$G$99911,5,FALSE)</f>
        <v>ROMERO CHAD</v>
      </c>
      <c r="O24" s="175" t="s">
        <v>349</v>
      </c>
      <c r="P24" s="240" t="s">
        <v>639</v>
      </c>
      <c r="Q24" s="30"/>
      <c r="R24" s="81" t="str">
        <f>VLOOKUP(C24,'Train Runs'!$A$13:$AE$10156,31,0)</f>
        <v>aws s3 cp s3://rtdc.mdm.uploadarchive.raw/RTDC4025/ "%USERPROFILE%\AppData\Local\Temp\OnboardLogs"\RTDC4025\2017-11-22 --exclude "*" --recursive --include "*20171122*" &amp; "%USERPROFILE%\Documents\GitHub\mrs-test-scripts\Headless Mode &amp; Sideloading\WalkAndUnGZ.bat" "%USERPROFILE%\AppData\Local\Temp\OnboardLogs"\RTDC4025\2017-11-22 &amp; aws s3 cp s3://rtdc.mdm.uploadarchive.raw/RTDC4025/ "%USERPROFILE%\AppData\Local\Temp\OnboardLogs"\RTDC4025\2017-11-23 --exclude "*" --recursive --include "*20171123*" &amp; "%USERPROFILE%\Documents\GitHub\mrs-test-scripts\Headless Mode &amp; Sideloading\WalkAndUnGZ.bat" "%USERPROFILE%\AppData\Local\Temp\OnboardLogs"\RTDC4025\2017-11-23</v>
      </c>
      <c r="S24" s="84" t="str">
        <f>VLOOKUP(C24,'Train Runs'!$A$13:$AE$10156,22,0)</f>
        <v>https://d0f6bd738d7f1b3e5a7ca70fe4ff75f0.us-east-1.aws.found.io/app/kibana#/discover/Steve-Slow-Train-Analysis-(2080s-and-2083s)?_g=(refreshInterval:(display:Off,pause:!f,section:0,value:0),time:(from:'2017-11-22T06:55:27-0700',mode:absolute,to:'2017-11-22T09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4" s="86" t="str">
        <f t="shared" si="1"/>
        <v>"C:\Program Files (x86)\AstroGrep\AstroGrep.exe" /e /r /s /spath="%USERPROFILE%\AppData\Local\Temp\OnboardLogs" /stypes="*4025*201711221*" /stext=" 15:.+((SYSTEM_STATE.+slice.+state.+changed )|(ment ac)|(multiple cpu faults)|(system.+state.+changed )|(\[timeout)|(PRM\|1\|D)|(kpr)|(kdp)|(train st.+moving)|(\|lc)|(penalty))"</v>
      </c>
      <c r="U24" s="9" t="str">
        <f t="shared" si="2"/>
        <v>4025</v>
      </c>
      <c r="V24" s="31">
        <f t="shared" si="3"/>
        <v>43061.640787037031</v>
      </c>
      <c r="W24" s="45" t="str">
        <f t="shared" si="4"/>
        <v>NW</v>
      </c>
      <c r="X24" s="229">
        <f t="shared" si="5"/>
        <v>810</v>
      </c>
      <c r="Y24" s="239" t="str">
        <f t="shared" si="6"/>
        <v>echo {"issue":{"subject":"Poor GPS under Wewatta St overpass","project_id":79,"tracker_id":40,"status_id":1,"priority_id":2,"assigned_to_id":338,"start_date":"2017-11-22","description":"","custom_fields":[{"id":1,"name":"Subdivision","value":"NW"},{"id":4,"name":"Milepost","value":"0.4798"},{"id":17,"name":"Train ID","value":"810-22"},{"id":16,"name":"Locomotive ID","value":"4025"},{"id":130,"name":"Impact","value":""},{"id":150,"name":"Time of Event (Mountain Time)","value":"08:22:44"},{"id":151,"name":"Denver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2"/>
      <c r="AB24" s="232"/>
      <c r="AC24" s="115" t="str">
        <f t="shared" si="7"/>
        <v>grep -hrE -A400 "Enforcement Action" /c/Users/stu/AppData/Local/Temp/OnboardLogs/RTDC4025 --include="*4025*201711221*"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"%USERPROFILE%\AppData\Local\Temp\OnboardLogs"\RTDC4025\*4025*201711221* &gt;&gt; 2017-11-22-SliceDisagreementCheck.txt</v>
      </c>
      <c r="AE24" s="144" t="str">
        <f t="shared" si="9"/>
        <v>start /low /b %USERPROFILE%\Documents\GitHub\eaglep3\Utilities\DownloadLogsFromS3.py --loco 4025 --day 2017-11-22</v>
      </c>
      <c r="AF24" s="1"/>
    </row>
    <row r="25" spans="1:32" x14ac:dyDescent="0.3">
      <c r="A25" s="31">
        <v>43061.495243055557</v>
      </c>
      <c r="B25" s="30" t="s">
        <v>642</v>
      </c>
      <c r="C25" s="30" t="s">
        <v>657</v>
      </c>
      <c r="D25" s="30" t="s">
        <v>49</v>
      </c>
      <c r="E25" s="30" t="s">
        <v>355</v>
      </c>
      <c r="F25" s="42">
        <v>0</v>
      </c>
      <c r="G25" s="42">
        <v>82</v>
      </c>
      <c r="H25" s="42">
        <v>4906</v>
      </c>
      <c r="I25" s="42">
        <v>4774</v>
      </c>
      <c r="J25" s="30" t="s">
        <v>356</v>
      </c>
      <c r="K25" s="42">
        <v>4798</v>
      </c>
      <c r="L25" s="131" t="s">
        <v>51</v>
      </c>
      <c r="M25" s="132">
        <f t="shared" si="0"/>
        <v>-12.672000000000001</v>
      </c>
      <c r="N25" s="133" t="str">
        <f>VLOOKUP(C25,'Trips&amp;Operators'!$C$1:$G$99911,5,FALSE)</f>
        <v>LONG FULLER</v>
      </c>
      <c r="O25" s="175" t="s">
        <v>349</v>
      </c>
      <c r="P25" s="240" t="s">
        <v>639</v>
      </c>
      <c r="Q25" s="30"/>
      <c r="R25" s="81" t="str">
        <f>VLOOKUP(C25,'Train Runs'!$A$13:$AE$10156,31,0)</f>
        <v>aws s3 cp s3://rtdc.mdm.uploadarchive.raw/RTDC4023/ "%USERPROFILE%\AppData\Local\Temp\OnboardLogs"\RTDC4023\2017-11-22 --exclude "*" --recursive --include "*20171122*" &amp; "%USERPROFILE%\Documents\GitHub\mrs-test-scripts\Headless Mode &amp; Sideloading\WalkAndUnGZ.bat" "%USERPROFILE%\AppData\Local\Temp\OnboardLogs"\RTDC4023\2017-11-22 &amp; aws s3 cp s3://rtdc.mdm.uploadarchive.raw/RTDC4023/ "%USERPROFILE%\AppData\Local\Temp\OnboardLogs"\RTDC4023\2017-11-23 --exclude "*" --recursive --include "*20171123*" &amp; "%USERPROFILE%\Documents\GitHub\mrs-test-scripts\Headless Mode &amp; Sideloading\WalkAndUnGZ.bat" "%USERPROFILE%\AppData\Local\Temp\OnboardLogs"\RTDC4023\2017-11-23</v>
      </c>
      <c r="S25" s="84" t="str">
        <f>VLOOKUP(C25,'Train Runs'!$A$13:$AE$10156,22,0)</f>
        <v>https://d0f6bd738d7f1b3e5a7ca70fe4ff75f0.us-east-1.aws.found.io/app/kibana#/discover/Steve-Slow-Train-Analysis-(2080s-and-2083s)?_g=(refreshInterval:(display:Off,pause:!f,section:0,value:0),time:(from:'2017-11-22T10:25:43-0700',mode:absolute,to:'2017-11-22T12:53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6" t="str">
        <f t="shared" si="1"/>
        <v>"C:\Program Files (x86)\AstroGrep\AstroGrep.exe" /e /r /s /spath="%USERPROFILE%\AppData\Local\Temp\OnboardLogs" /stypes="*4023*201711221*"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4023</v>
      </c>
      <c r="V25" s="31">
        <f t="shared" si="3"/>
        <v>43061.786909722221</v>
      </c>
      <c r="W25" s="45" t="str">
        <f t="shared" si="4"/>
        <v>NW</v>
      </c>
      <c r="X25" s="229">
        <f t="shared" si="5"/>
        <v>818</v>
      </c>
      <c r="Y25" s="239" t="str">
        <f t="shared" si="6"/>
        <v>echo {"issue":{"subject":"Poor GPS under Wewatta St overpass","project_id":79,"tracker_id":40,"status_id":1,"priority_id":2,"assigned_to_id":338,"start_date":"2017-11-22","description":"","custom_fields":[{"id":1,"name":"Subdivision","value":"NW"},{"id":4,"name":"Milepost","value":"0.4798"},{"id":17,"name":"Train ID","value":"818-22"},{"id":16,"name":"Locomotive ID","value":"4023"},{"id":130,"name":"Impact","value":""},{"id":150,"name":"Time of Event (Mountain Time)","value":"11:53:09"},{"id":151,"name":"Denver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2"/>
      <c r="AB25" s="232"/>
      <c r="AC25" s="115" t="str">
        <f t="shared" si="7"/>
        <v>grep -hrE -A400 "Enforcement Action" /c/Users/stu/AppData/Local/Temp/OnboardLogs/RTDC4023 --include="*4023*201711221*"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"%USERPROFILE%\AppData\Local\Temp\OnboardLogs"\RTDC4023\*4023*201711221* &gt;&gt; 2017-11-22-SliceDisagreementCheck.txt</v>
      </c>
      <c r="AE25" s="144" t="str">
        <f t="shared" si="9"/>
        <v>start /low /b %USERPROFILE%\Documents\GitHub\eaglep3\Utilities\DownloadLogsFromS3.py --loco 4023 --day 2017-11-22</v>
      </c>
      <c r="AF25" s="1"/>
    </row>
    <row r="26" spans="1:32" x14ac:dyDescent="0.3">
      <c r="A26" s="31">
        <v>43061.829583333332</v>
      </c>
      <c r="B26" s="30" t="s">
        <v>555</v>
      </c>
      <c r="C26" s="30" t="s">
        <v>663</v>
      </c>
      <c r="D26" s="30" t="s">
        <v>49</v>
      </c>
      <c r="E26" s="30" t="s">
        <v>355</v>
      </c>
      <c r="F26" s="42">
        <v>0</v>
      </c>
      <c r="G26" s="42">
        <v>109</v>
      </c>
      <c r="H26" s="42">
        <v>22238</v>
      </c>
      <c r="I26" s="42">
        <v>22572</v>
      </c>
      <c r="J26" s="30" t="s">
        <v>356</v>
      </c>
      <c r="K26" s="42">
        <v>22314</v>
      </c>
      <c r="L26" s="131" t="s">
        <v>50</v>
      </c>
      <c r="M26" s="132">
        <f t="shared" si="0"/>
        <v>-136.22399999999999</v>
      </c>
      <c r="N26" s="133" t="str">
        <f>VLOOKUP(C26,'Trips&amp;Operators'!$C$1:$G$99911,5,FALSE)</f>
        <v>AUSTIN THOMPSON</v>
      </c>
      <c r="O26" s="175" t="s">
        <v>178</v>
      </c>
      <c r="P26" s="240"/>
      <c r="Q26" s="30"/>
      <c r="R26" s="81" t="str">
        <f>VLOOKUP(C26,'Train Runs'!$A$13:$AE$10156,31,0)</f>
        <v>aws s3 cp s3://rtdc.mdm.uploadarchive.raw/RTDC4040/ "%USERPROFILE%\AppData\Local\Temp\OnboardLogs"\RTDC4040\2017-11-22 --exclude "*" --recursive --include "*20171122*" &amp; "%USERPROFILE%\Documents\GitHub\mrs-test-scripts\Headless Mode &amp; Sideloading\WalkAndUnGZ.bat" "%USERPROFILE%\AppData\Local\Temp\OnboardLogs"\RTDC4040\2017-11-22 &amp; aws s3 cp s3://rtdc.mdm.uploadarchive.raw/RTDC4040/ "%USERPROFILE%\AppData\Local\Temp\OnboardLogs"\RTDC4040\2017-11-23 --exclude "*" --recursive --include "*20171123*" &amp; "%USERPROFILE%\Documents\GitHub\mrs-test-scripts\Headless Mode &amp; Sideloading\WalkAndUnGZ.bat" "%USERPROFILE%\AppData\Local\Temp\OnboardLogs"\RTDC4040\2017-11-23</v>
      </c>
      <c r="S26" s="84" t="str">
        <f>VLOOKUP(C26,'Train Runs'!$A$13:$AE$10156,22,0)</f>
        <v>https://d0f6bd738d7f1b3e5a7ca70fe4ff75f0.us-east-1.aws.found.io/app/kibana#/discover/Steve-Slow-Train-Analysis-(2080s-and-2083s)?_g=(refreshInterval:(display:Off,pause:!f,section:0,value:0),time:(from:'2017-11-22T18:43:00-0700',mode:absolute,to:'2017-11-22T20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6" s="86" t="str">
        <f t="shared" si="1"/>
        <v>"C:\Program Files (x86)\AstroGrep\AstroGrep.exe" /e /r /s /spath="%USERPROFILE%\AppData\Local\Temp\OnboardLogs" /stypes="*4040*201711230*" /stext=" 02:.+((SYSTEM_STATE.+slice.+state.+changed )|(ment ac)|(multiple cpu faults)|(system.+state.+changed )|(\[timeout)|(PRM\|1\|D)|(kpr)|(kdp)|(train st.+moving)|(\|lc)|(penalty))"</v>
      </c>
      <c r="U26" s="9" t="str">
        <f t="shared" si="2"/>
        <v>4040</v>
      </c>
      <c r="V26" s="31">
        <f t="shared" si="3"/>
        <v>43062.121249999997</v>
      </c>
      <c r="W26" s="45" t="str">
        <f t="shared" si="4"/>
        <v>Other</v>
      </c>
      <c r="X26" s="229">
        <f t="shared" si="5"/>
        <v>305</v>
      </c>
      <c r="Y26" s="239" t="str">
        <f t="shared" si="6"/>
        <v>echo {"issue":{"subject":"","project_id":79,"tracker_id":40,"status_id":1,"priority_id":2,"assigned_to_id":338,"start_date":"2017-11-22","description":"","custom_fields":[{"id":1,"name":"Subdivision","value":"Other"},{"id":4,"name":"Milepost","value":"2.2314"},{"id":17,"name":"Train ID","value":"305-22"},{"id":16,"name":"Locomotive ID","value":"4040"},{"id":130,"name":"Impact","value":""},{"id":150,"name":"Time of Event (Mountain Time)","value":"19:54:36"},{"id":151,"name":"Denver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2"/>
      <c r="AB26" s="232"/>
      <c r="AC26" s="115" t="str">
        <f t="shared" si="7"/>
        <v>grep -hrE -A400 "Enforcement Action" /c/Users/stu/AppData/Local/Temp/OnboardLogs/RTDC4040 --include="*4040*201711230*"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"%USERPROFILE%\AppData\Local\Temp\OnboardLogs"\RTDC4040\*4040*201711230* &gt;&gt; 2017-11-22-SliceDisagreementCheck.txt</v>
      </c>
      <c r="AE26" s="144" t="str">
        <f t="shared" si="9"/>
        <v>start /low /b %USERPROFILE%\Documents\GitHub\eaglep3\Utilities\DownloadLogsFromS3.py --loco 4040 --day 2017-11-23</v>
      </c>
      <c r="AF26" s="1"/>
    </row>
    <row r="27" spans="1:32" x14ac:dyDescent="0.3">
      <c r="A27" s="31">
        <v>43061.339965277781</v>
      </c>
      <c r="B27" s="30" t="s">
        <v>453</v>
      </c>
      <c r="C27" s="30" t="s">
        <v>647</v>
      </c>
      <c r="D27" s="30" t="s">
        <v>49</v>
      </c>
      <c r="E27" s="30" t="s">
        <v>183</v>
      </c>
      <c r="F27" s="42">
        <v>10</v>
      </c>
      <c r="G27" s="42">
        <v>76</v>
      </c>
      <c r="H27" s="42">
        <v>27427</v>
      </c>
      <c r="I27" s="42">
        <v>27349</v>
      </c>
      <c r="J27" s="30" t="s">
        <v>184</v>
      </c>
      <c r="K27" s="42">
        <v>27350</v>
      </c>
      <c r="L27" s="131" t="s">
        <v>51</v>
      </c>
      <c r="M27" s="132">
        <f t="shared" si="0"/>
        <v>-0.52800000000000002</v>
      </c>
      <c r="N27" s="133" t="str">
        <f>VLOOKUP(C27,'Trips&amp;Operators'!$C$1:$G$99911,5,FALSE)</f>
        <v>THOMPSON LESTER</v>
      </c>
      <c r="O27" s="175" t="s">
        <v>178</v>
      </c>
      <c r="P27" s="240" t="s">
        <v>344</v>
      </c>
      <c r="Q27" s="30"/>
      <c r="R27" s="81" t="str">
        <f>VLOOKUP(C27,'Train Runs'!$A$13:$AE$10156,31,0)</f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S27" s="84" t="str">
        <f>VLOOKUP(C27,'Train Runs'!$A$13:$AE$10156,22,0)</f>
        <v>https://d0f6bd738d7f1b3e5a7ca70fe4ff75f0.us-east-1.aws.found.io/app/kibana#/discover/Steve-Slow-Train-Analysis-(2080s-and-2083s)?_g=(refreshInterval:(display:Off,pause:!f,section:0,value:0),time:(from:'2017-11-22T06:51:25-0700',mode:absolute,to:'2017-11-22T09:18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7" s="86" t="str">
        <f t="shared" si="1"/>
        <v>"C:\Program Files (x86)\AstroGrep\AstroGrep.exe" /e /r /s /spath="%USERPROFILE%\AppData\Local\Temp\OnboardLogs" /stypes="*4049*201711221*" /stext=" 15:.+((SYSTEM_STATE.+slice.+state.+changed )|(ment ac)|(multiple cpu faults)|(system.+state.+changed )|(\[timeout)|(PRM\|1\|D)|(kpr)|(kdp)|(train st.+moving)|(\|lc)|(penalty))"</v>
      </c>
      <c r="U27" s="9" t="str">
        <f t="shared" si="2"/>
        <v>4049</v>
      </c>
      <c r="V27" s="31">
        <f t="shared" si="3"/>
        <v>43061.631631944445</v>
      </c>
      <c r="W27" s="45" t="str">
        <f t="shared" si="4"/>
        <v>Shuttle/Test</v>
      </c>
      <c r="X27" s="229">
        <f t="shared" si="5"/>
        <v>52</v>
      </c>
      <c r="Y27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Arrival","project_id":79,"tracker_id":40,"status_id":1,"priority_id":2,"assigned_to_id":338,"start_date":"2017-11-22","description":"","custom_fields":[{"id":1,"name":"Subdivision","value":"Shuttle/Test"},{"id":4,"name":"Milepost","value":"2.735"},{"id":17,"name":"Train ID","value":"52-22"},{"id":16,"name":"Locomotive ID","value":"4049"},{"id":130,"name":"Impact","value":""},{"id":150,"name":"Time of Event (Mountain Time)","value":"08:09:33"},{"id":151,"name":"Denver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2"/>
      <c r="AB27" s="232"/>
      <c r="AC27" s="115" t="str">
        <f t="shared" si="7"/>
        <v>grep -hrE -A400 "Enforcement Action" /c/Users/stu/AppData/Local/Temp/OnboardLogs/RTDC4049 --include="*4049*201711221*"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"%USERPROFILE%\AppData\Local\Temp\OnboardLogs"\RTDC4049\*4049*201711221* &gt;&gt; 2017-11-22-SliceDisagreementCheck.txt</v>
      </c>
      <c r="AE27" s="144" t="str">
        <f t="shared" si="9"/>
        <v>start /low /b %USERPROFILE%\Documents\GitHub\eaglep3\Utilities\DownloadLogsFromS3.py --loco 4049 --day 2017-11-22</v>
      </c>
      <c r="AF27" s="1"/>
    </row>
    <row r="28" spans="1:32" x14ac:dyDescent="0.3">
      <c r="A28" s="31">
        <v>43061.339560185188</v>
      </c>
      <c r="B28" s="30" t="s">
        <v>453</v>
      </c>
      <c r="C28" s="30" t="s">
        <v>647</v>
      </c>
      <c r="D28" s="30" t="s">
        <v>49</v>
      </c>
      <c r="E28" s="30" t="s">
        <v>183</v>
      </c>
      <c r="F28" s="42">
        <v>120</v>
      </c>
      <c r="G28" s="42">
        <v>170</v>
      </c>
      <c r="H28" s="42">
        <v>27607</v>
      </c>
      <c r="I28" s="42">
        <v>27468</v>
      </c>
      <c r="J28" s="30" t="s">
        <v>184</v>
      </c>
      <c r="K28" s="42">
        <v>27350</v>
      </c>
      <c r="L28" s="131" t="s">
        <v>51</v>
      </c>
      <c r="M28" s="132">
        <f t="shared" si="0"/>
        <v>62.304000000000002</v>
      </c>
      <c r="N28" s="133" t="str">
        <f>VLOOKUP(C28,'Trips&amp;Operators'!$C$1:$G$99911,5,FALSE)</f>
        <v>THOMPSON LESTER</v>
      </c>
      <c r="O28" s="175" t="s">
        <v>178</v>
      </c>
      <c r="P28" s="240" t="s">
        <v>344</v>
      </c>
      <c r="Q28" s="30"/>
      <c r="R28" s="81" t="str">
        <f>VLOOKUP(C28,'Train Runs'!$A$13:$AE$10156,31,0)</f>
        <v>aws s3 cp s3://rtdc.mdm.uploadarchive.raw/RTDC4049/ "%USERPROFILE%\AppData\Local\Temp\OnboardLogs"\RTDC4049\2017-11-22 --exclude "*" --recursive --include "*20171122*" &amp; "%USERPROFILE%\Documents\GitHub\mrs-test-scripts\Headless Mode &amp; Sideloading\WalkAndUnGZ.bat" "%USERPROFILE%\AppData\Local\Temp\OnboardLogs"\RTDC4049\2017-11-22 &amp; aws s3 cp s3://rtdc.mdm.uploadarchive.raw/RTDC4049/ "%USERPROFILE%\AppData\Local\Temp\OnboardLogs"\RTDC4049\2017-11-23 --exclude "*" --recursive --include "*20171123*" &amp; "%USERPROFILE%\Documents\GitHub\mrs-test-scripts\Headless Mode &amp; Sideloading\WalkAndUnGZ.bat" "%USERPROFILE%\AppData\Local\Temp\OnboardLogs"\RTDC4049\2017-11-23</v>
      </c>
      <c r="S28" s="84" t="str">
        <f>VLOOKUP(C28,'Train Runs'!$A$13:$AE$10156,22,0)</f>
        <v>https://d0f6bd738d7f1b3e5a7ca70fe4ff75f0.us-east-1.aws.found.io/app/kibana#/discover/Steve-Slow-Train-Analysis-(2080s-and-2083s)?_g=(refreshInterval:(display:Off,pause:!f,section:0,value:0),time:(from:'2017-11-22T06:51:25-0700',mode:absolute,to:'2017-11-22T09:18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8" s="86" t="str">
        <f t="shared" si="1"/>
        <v>"C:\Program Files (x86)\AstroGrep\AstroGrep.exe" /e /r /s /spath="%USERPROFILE%\AppData\Local\Temp\OnboardLogs" /stypes="*4049*201711221*" /stext=" 15:.+((SYSTEM_STATE.+slice.+state.+changed )|(ment ac)|(multiple cpu faults)|(system.+state.+changed )|(\[timeout)|(PRM\|1\|D)|(kpr)|(kdp)|(train st.+moving)|(\|lc)|(penalty))"</v>
      </c>
      <c r="U28" s="9" t="str">
        <f t="shared" si="2"/>
        <v>4049</v>
      </c>
      <c r="V28" s="31">
        <f t="shared" si="3"/>
        <v>43061.631226851852</v>
      </c>
      <c r="W28" s="45" t="str">
        <f t="shared" si="4"/>
        <v>Shuttle/Test</v>
      </c>
      <c r="X28" s="229">
        <f t="shared" si="5"/>
        <v>52</v>
      </c>
      <c r="Y28" s="239" t="str">
        <f t="shared" si="6"/>
        <v>echo {"issue":{"subject":"Early Arrival","project_id":79,"tracker_id":40,"status_id":1,"priority_id":2,"assigned_to_id":338,"start_date":"2017-11-22","description":"","custom_fields":[{"id":1,"name":"Subdivision","value":"Shuttle/Test"},{"id":4,"name":"Milepost","value":"2.735"},{"id":17,"name":"Train ID","value":"52-22"},{"id":16,"name":"Locomotive ID","value":"4049"},{"id":130,"name":"Impact","value":""},{"id":150,"name":"Time of Event (Mountain Time)","value":"08:08:58"},{"id":151,"name":"Denver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8"/>
      <c r="AA28" s="232"/>
      <c r="AB28" s="232"/>
      <c r="AC28" s="115" t="str">
        <f t="shared" si="7"/>
        <v>grep -hrE -A400 "Enforcement Action" /c/Users/stu/AppData/Local/Temp/OnboardLogs/RTDC4049 --include="*4049*201711221*"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"%USERPROFILE%\AppData\Local\Temp\OnboardLogs"\RTDC4049\*4049*201711221* &gt;&gt; 2017-11-22-SliceDisagreementCheck.txt</v>
      </c>
      <c r="AE28" s="144" t="str">
        <f t="shared" si="9"/>
        <v>start /low /b %USERPROFILE%\Documents\GitHub\eaglep3\Utilities\DownloadLogsFromS3.py --loco 4049 --day 2017-11-22</v>
      </c>
      <c r="AF28" s="1"/>
    </row>
    <row r="29" spans="1:32" x14ac:dyDescent="0.3">
      <c r="A29" s="31">
        <v>43061.350706018522</v>
      </c>
      <c r="B29" s="30" t="s">
        <v>492</v>
      </c>
      <c r="C29" s="30" t="s">
        <v>650</v>
      </c>
      <c r="D29" s="30" t="s">
        <v>49</v>
      </c>
      <c r="E29" s="30" t="s">
        <v>183</v>
      </c>
      <c r="F29" s="42">
        <v>0</v>
      </c>
      <c r="G29" s="42">
        <v>170</v>
      </c>
      <c r="H29" s="42">
        <v>30997</v>
      </c>
      <c r="I29" s="42">
        <v>30819</v>
      </c>
      <c r="J29" s="30" t="s">
        <v>184</v>
      </c>
      <c r="K29" s="42">
        <v>30970</v>
      </c>
      <c r="L29" s="131" t="s">
        <v>51</v>
      </c>
      <c r="M29" s="132">
        <f t="shared" si="0"/>
        <v>-79.727999999999994</v>
      </c>
      <c r="N29" s="133" t="str">
        <f>VLOOKUP(C29,'Trips&amp;Operators'!$C$1:$G$99911,5,FALSE)</f>
        <v>PELLITIER GEORGE</v>
      </c>
      <c r="O29" s="175" t="s">
        <v>178</v>
      </c>
      <c r="P29" s="240"/>
      <c r="Q29" s="30"/>
      <c r="R29" s="81" t="str">
        <f>VLOOKUP(C29,'Train Runs'!$A$13:$AE$10156,31,0)</f>
        <v>aws s3 cp s3://rtdc.mdm.uploadarchive.raw/RTDC4027/ "%USERPROFILE%\AppData\Local\Temp\OnboardLogs"\RTDC4027\2017-11-22 --exclude "*" --recursive --include "*20171122*" &amp; "%USERPROFILE%\Documents\GitHub\mrs-test-scripts\Headless Mode &amp; Sideloading\WalkAndUnGZ.bat" "%USERPROFILE%\AppData\Local\Temp\OnboardLogs"\RTDC4027\2017-11-22 &amp; aws s3 cp s3://rtdc.mdm.uploadarchive.raw/RTDC4027/ "%USERPROFILE%\AppData\Local\Temp\OnboardLogs"\RTDC4027\2017-11-23 --exclude "*" --recursive --include "*20171123*" &amp; "%USERPROFILE%\Documents\GitHub\mrs-test-scripts\Headless Mode &amp; Sideloading\WalkAndUnGZ.bat" "%USERPROFILE%\AppData\Local\Temp\OnboardLogs"\RTDC4027\2017-11-23</v>
      </c>
      <c r="S29" s="84" t="str">
        <f>VLOOKUP(C29,'Train Runs'!$A$13:$AE$10156,22,0)</f>
        <v>https://d0f6bd738d7f1b3e5a7ca70fe4ff75f0.us-east-1.aws.found.io/app/kibana#/discover/Steve-Slow-Train-Analysis-(2080s-and-2083s)?_g=(refreshInterval:(display:Off,pause:!f,section:0,value:0),time:(from:'2017-11-22T06:59:08-0700',mode:absolute,to:'2017-11-22T09:33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86" t="str">
        <f t="shared" si="1"/>
        <v>"C:\Program Files (x86)\AstroGrep\AstroGrep.exe" /e /r /s /spath="%USERPROFILE%\AppData\Local\Temp\OnboardLogs" /stypes="*4027*201711221*" /stext=" 15:.+((SYSTEM_STATE.+slice.+state.+changed )|(ment ac)|(multiple cpu faults)|(system.+state.+changed )|(\[timeout)|(PRM\|1\|D)|(kpr)|(kdp)|(train st.+moving)|(\|lc)|(penalty))"</v>
      </c>
      <c r="U29" s="9" t="str">
        <f t="shared" si="2"/>
        <v>4027</v>
      </c>
      <c r="V29" s="31">
        <f t="shared" si="3"/>
        <v>43061.642372685186</v>
      </c>
      <c r="W29" s="45" t="str">
        <f t="shared" si="4"/>
        <v>Shuttle/Test</v>
      </c>
      <c r="X29" s="229">
        <f t="shared" si="5"/>
        <v>53</v>
      </c>
      <c r="Y29" s="239" t="str">
        <f t="shared" si="6"/>
        <v>echo {"issue":{"subject":"","project_id":79,"tracker_id":40,"status_id":1,"priority_id":2,"assigned_to_id":338,"start_date":"2017-11-22","description":"","custom_fields":[{"id":1,"name":"Subdivision","value":"Shuttle/Test"},{"id":4,"name":"Milepost","value":"3.097"},{"id":17,"name":"Train ID","value":"53-22"},{"id":16,"name":"Locomotive ID","value":"4027"},{"id":130,"name":"Impact","value":""},{"id":150,"name":"Time of Event (Mountain Time)","value":"08:25:01"},{"id":151,"name":"Denver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2"/>
      <c r="AB29" s="232"/>
      <c r="AC29" s="115" t="str">
        <f t="shared" si="7"/>
        <v>grep -hrE -A400 "Enforcement Action" /c/Users/stu/AppData/Local/Temp/OnboardLogs/RTDC4027 --include="*4027*201711221*"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"%USERPROFILE%\AppData\Local\Temp\OnboardLogs"\RTDC4027\*4027*201711221* &gt;&gt; 2017-11-22-SliceDisagreementCheck.txt</v>
      </c>
      <c r="AE29" s="144" t="str">
        <f t="shared" si="9"/>
        <v>start /low /b %USERPROFILE%\Documents\GitHub\eaglep3\Utilities\DownloadLogsFromS3.py --loco 4027 --day 2017-11-22</v>
      </c>
      <c r="AF29" s="1"/>
    </row>
    <row r="30" spans="1:32" x14ac:dyDescent="0.3">
      <c r="A30" s="31">
        <v>43061.336631944447</v>
      </c>
      <c r="B30" s="30" t="s">
        <v>447</v>
      </c>
      <c r="C30" s="30" t="s">
        <v>646</v>
      </c>
      <c r="D30" s="30" t="s">
        <v>95</v>
      </c>
      <c r="E30" s="30" t="s">
        <v>355</v>
      </c>
      <c r="F30" s="42">
        <v>0</v>
      </c>
      <c r="G30" s="42">
        <v>121</v>
      </c>
      <c r="H30" s="42">
        <v>4780</v>
      </c>
      <c r="I30" s="42">
        <v>4606</v>
      </c>
      <c r="J30" s="30" t="s">
        <v>356</v>
      </c>
      <c r="K30" s="42">
        <v>4790</v>
      </c>
      <c r="L30" s="131" t="s">
        <v>51</v>
      </c>
      <c r="M30" s="132">
        <f t="shared" si="0"/>
        <v>-97.152000000000001</v>
      </c>
      <c r="N30" s="133" t="str">
        <f>VLOOKUP(C30,'Trips&amp;Operators'!$C$1:$G$99911,5,FALSE)</f>
        <v>HUFFSMITH MONTY</v>
      </c>
      <c r="O30" s="175" t="s">
        <v>178</v>
      </c>
      <c r="P30" s="240"/>
      <c r="Q30" s="30"/>
      <c r="R30" s="81" t="str">
        <f>VLOOKUP(C30,'Train Runs'!$A$13:$AE$10156,31,0)</f>
        <v>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 &amp; aws s3 cp s3://rtdc.mdm.uploadarchive.raw/RTDC4009/ "%USERPROFILE%\AppData\Local\Temp\OnboardLogs"\RTDC4009\2017-11-23 --exclude "*" --recursive --include "*20171123*" &amp; "%USERPROFILE%\Documents\GitHub\mrs-test-scripts\Headless Mode &amp; Sideloading\WalkAndUnGZ.bat" "%USERPROFILE%\AppData\Local\Temp\OnboardLogs"\RTDC4009\2017-11-23</v>
      </c>
      <c r="S30" s="84" t="str">
        <f>VLOOKUP(C30,'Train Runs'!$A$13:$AE$10156,22,0)</f>
        <v>https://d0f6bd738d7f1b3e5a7ca70fe4ff75f0.us-east-1.aws.found.io/app/kibana#/discover/Steve-Slow-Train-Analysis-(2080s-and-2083s)?_g=(refreshInterval:(display:Off,pause:!f,section:0,value:0),time:(from:'2017-11-22T06:52:43-0700',mode:absolute,to:'2017-11-22T09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86" t="str">
        <f t="shared" si="1"/>
        <v>"C:\Program Files (x86)\AstroGrep\AstroGrep.exe" /e /r /s /spath="%USERPROFILE%\AppData\Local\Temp\OnboardLogs" /stypes="*4009*201711221*" /stext=" 15:.+((SYSTEM_STATE.+slice.+state.+changed )|(ment ac)|(multiple cpu faults)|(system.+state.+changed )|(\[timeout)|(PRM\|1\|D)|(kpr)|(kdp)|(train st.+moving)|(\|lc)|(penalty))"</v>
      </c>
      <c r="U30" s="9" t="str">
        <f t="shared" si="2"/>
        <v>4009</v>
      </c>
      <c r="V30" s="31">
        <f t="shared" si="3"/>
        <v>43061.628298611111</v>
      </c>
      <c r="W30" s="45" t="str">
        <f t="shared" si="4"/>
        <v>Shuttle/Test</v>
      </c>
      <c r="X30" s="229">
        <f t="shared" si="5"/>
        <v>56</v>
      </c>
      <c r="Y30" s="239" t="str">
        <f t="shared" si="6"/>
        <v>echo {"issue":{"subject":"","project_id":79,"tracker_id":40,"status_id":1,"priority_id":2,"assigned_to_id":338,"start_date":"2017-11-22","description":"","custom_fields":[{"id":1,"name":"Subdivision","value":"Shuttle/Test"},{"id":4,"name":"Milepost","value":"0.479"},{"id":17,"name":"Train ID","value":"56-22"},{"id":16,"name":"Locomotive ID","value":"4009"},{"id":130,"name":"Impact","value":""},{"id":150,"name":"Time of Event (Mountain Time)","value":"08:04:45"},{"id":151,"name":"Denver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2"/>
      <c r="AB30" s="232"/>
      <c r="AC30" s="115" t="str">
        <f t="shared" si="7"/>
        <v>grep -hrE -A400 "Enforcement Action" /c/Users/stu/AppData/Local/Temp/OnboardLogs/RTDC4009 --include="*4009*201711221*"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"%USERPROFILE%\AppData\Local\Temp\OnboardLogs"\RTDC4009\*4009*201711221* &gt;&gt; 2017-11-22-SliceDisagreementCheck.txt</v>
      </c>
      <c r="AE30" s="144" t="str">
        <f t="shared" si="9"/>
        <v>start /low /b %USERPROFILE%\Documents\GitHub\eaglep3\Utilities\DownloadLogsFromS3.py --loco 4009 --day 2017-11-22</v>
      </c>
      <c r="AF30" s="1"/>
    </row>
    <row r="31" spans="1:32" x14ac:dyDescent="0.3">
      <c r="A31" s="31">
        <v>43061.336793981478</v>
      </c>
      <c r="B31" s="30" t="s">
        <v>447</v>
      </c>
      <c r="C31" s="30" t="s">
        <v>646</v>
      </c>
      <c r="D31" s="30" t="s">
        <v>95</v>
      </c>
      <c r="E31" s="30" t="s">
        <v>355</v>
      </c>
      <c r="F31" s="42">
        <v>0</v>
      </c>
      <c r="G31" s="42">
        <v>39</v>
      </c>
      <c r="H31" s="42">
        <v>4472</v>
      </c>
      <c r="I31" s="42">
        <v>4468</v>
      </c>
      <c r="J31" s="30" t="s">
        <v>356</v>
      </c>
      <c r="K31" s="42">
        <v>4790</v>
      </c>
      <c r="L31" s="131" t="s">
        <v>51</v>
      </c>
      <c r="M31" s="132">
        <f t="shared" si="0"/>
        <v>-170.01599999999999</v>
      </c>
      <c r="N31" s="133" t="str">
        <f>VLOOKUP(C31,'Trips&amp;Operators'!$C$1:$G$99911,5,FALSE)</f>
        <v>HUFFSMITH MONTY</v>
      </c>
      <c r="O31" s="175" t="s">
        <v>178</v>
      </c>
      <c r="P31" s="240"/>
      <c r="Q31" s="30"/>
      <c r="R31" s="81" t="str">
        <f>VLOOKUP(C31,'Train Runs'!$A$13:$AE$10156,31,0)</f>
        <v>aws s3 cp s3://rtdc.mdm.uploadarchive.raw/RTDC4009/ "%USERPROFILE%\AppData\Local\Temp\OnboardLogs"\RTDC4009\2017-11-22 --exclude "*" --recursive --include "*20171122*" &amp; "%USERPROFILE%\Documents\GitHub\mrs-test-scripts\Headless Mode &amp; Sideloading\WalkAndUnGZ.bat" "%USERPROFILE%\AppData\Local\Temp\OnboardLogs"\RTDC4009\2017-11-22 &amp; aws s3 cp s3://rtdc.mdm.uploadarchive.raw/RTDC4009/ "%USERPROFILE%\AppData\Local\Temp\OnboardLogs"\RTDC4009\2017-11-23 --exclude "*" --recursive --include "*20171123*" &amp; "%USERPROFILE%\Documents\GitHub\mrs-test-scripts\Headless Mode &amp; Sideloading\WalkAndUnGZ.bat" "%USERPROFILE%\AppData\Local\Temp\OnboardLogs"\RTDC4009\2017-11-23</v>
      </c>
      <c r="S31" s="84" t="str">
        <f>VLOOKUP(C31,'Train Runs'!$A$13:$AE$10156,22,0)</f>
        <v>https://d0f6bd738d7f1b3e5a7ca70fe4ff75f0.us-east-1.aws.found.io/app/kibana#/discover/Steve-Slow-Train-Analysis-(2080s-and-2083s)?_g=(refreshInterval:(display:Off,pause:!f,section:0,value:0),time:(from:'2017-11-22T06:52:43-0700',mode:absolute,to:'2017-11-22T09:04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86" t="str">
        <f t="shared" si="1"/>
        <v>"C:\Program Files (x86)\AstroGrep\AstroGrep.exe" /e /r /s /spath="%USERPROFILE%\AppData\Local\Temp\OnboardLogs" /stypes="*4009*201711221*" /stext=" 15:.+((SYSTEM_STATE.+slice.+state.+changed )|(ment ac)|(multiple cpu faults)|(system.+state.+changed )|(\[timeout)|(PRM\|1\|D)|(kpr)|(kdp)|(train st.+moving)|(\|lc)|(penalty))"</v>
      </c>
      <c r="U31" s="9" t="str">
        <f t="shared" si="2"/>
        <v>4009</v>
      </c>
      <c r="V31" s="31">
        <f t="shared" si="3"/>
        <v>43061.628460648142</v>
      </c>
      <c r="W31" s="45" t="str">
        <f t="shared" si="4"/>
        <v>Shuttle/Test</v>
      </c>
      <c r="X31" s="229">
        <f t="shared" si="5"/>
        <v>56</v>
      </c>
      <c r="Y31" s="239" t="str">
        <f t="shared" si="6"/>
        <v>echo {"issue":{"subject":"","project_id":79,"tracker_id":40,"status_id":1,"priority_id":2,"assigned_to_id":338,"start_date":"2017-11-22","description":"","custom_fields":[{"id":1,"name":"Subdivision","value":"Shuttle/Test"},{"id":4,"name":"Milepost","value":"0.479"},{"id":17,"name":"Train ID","value":"56-22"},{"id":16,"name":"Locomotive ID","value":"4009"},{"id":130,"name":"Impact","value":""},{"id":150,"name":"Time of Event (Mountain Time)","value":"08:04:59"},{"id":151,"name":"Denver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2"/>
      <c r="AB31" s="232"/>
      <c r="AC31" s="115" t="str">
        <f t="shared" si="7"/>
        <v>grep -hrE -A400 "Enforcement Action" /c/Users/stu/AppData/Local/Temp/OnboardLogs/RTDC4009 --include="*4009*201711221*"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"%USERPROFILE%\AppData\Local\Temp\OnboardLogs"\RTDC4009\*4009*201711221* &gt;&gt; 2017-11-22-SliceDisagreementCheck.txt</v>
      </c>
      <c r="AE31" s="144" t="str">
        <f t="shared" si="9"/>
        <v>start /low /b %USERPROFILE%\Documents\GitHub\eaglep3\Utilities\DownloadLogsFromS3.py --loco 4009 --day 2017-11-22</v>
      </c>
      <c r="AF31" s="1"/>
    </row>
  </sheetData>
  <autoFilter ref="A6:AC19">
    <sortState ref="A7:AC31">
      <sortCondition ref="W7:W31"/>
      <sortCondition ref="E7:E31"/>
      <sortCondition ref="K7:K31"/>
      <sortCondition ref="F7:F31"/>
    </sortState>
  </autoFilter>
  <sortState ref="A7:AE18">
    <sortCondition ref="W7:W18"/>
    <sortCondition ref="E7:E18"/>
    <sortCondition ref="K7:K18"/>
    <sortCondition ref="C7:C18"/>
    <sortCondition ref="F7:F18"/>
  </sortState>
  <mergeCells count="1">
    <mergeCell ref="A5:O5"/>
  </mergeCells>
  <conditionalFormatting sqref="O6:P6 R6 O7:O104857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31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AA7:AA31</xm:sqref>
        </x14:dataValidation>
        <x14:dataValidation type="list" allowBlank="1" showInputMessage="1" showErrorMessage="1">
          <x14:formula1>
            <xm:f>'Redmine List Values'!$C$2:$C$15</xm:f>
          </x14:formula1>
          <xm:sqref>AB7:AB31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1"/>
  <sheetViews>
    <sheetView workbookViewId="0">
      <selection activeCell="E12" sqref="E12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2" t="str">
        <f>"Trips that did not appear in PTC Data "&amp;TEXT(Variables!$A$2,"YYYY-mm-dd")</f>
        <v>Trips that did not appear in PTC Data 2017-11-22</v>
      </c>
      <c r="C1" s="252"/>
      <c r="D1" s="252"/>
      <c r="E1" s="252"/>
      <c r="F1" s="252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133</v>
      </c>
      <c r="B3" s="42" t="str">
        <f>A3&amp;"-"&amp;IF(DAY(Variables!$A$2)&lt;10,0,"")&amp;DAY(Variables!$A$2)</f>
        <v>133-22</v>
      </c>
      <c r="C3" s="134"/>
      <c r="D3" s="223" t="e">
        <f>VLOOKUP(B3,'Trips&amp;Operators'!$C$1:$H$1072,6,FALSE)</f>
        <v>#N/A</v>
      </c>
      <c r="E3" s="30" t="s">
        <v>1120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22133-22%22)),sort:!(Time.ISO8601,asc))</v>
      </c>
      <c r="J3" s="30" t="e">
        <f>VLOOKUP(B3,'Train Runs'!$A$13:$A$100153,1,FALSE)</f>
        <v>#N/A</v>
      </c>
    </row>
    <row r="4" spans="1:10" x14ac:dyDescent="0.3">
      <c r="A4" s="197"/>
      <c r="B4" s="42" t="str">
        <f>A4&amp;"-"&amp;IF(DAY(Variables!$A$2)&lt;10,0,"")&amp;DAY(Variables!$A$2)</f>
        <v>-22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Runs'!$A$13:$A$100153,1,FALSE)</f>
        <v>#N/A</v>
      </c>
    </row>
    <row r="5" spans="1:10" x14ac:dyDescent="0.3">
      <c r="A5" s="197"/>
      <c r="B5" s="42" t="str">
        <f>A5&amp;"-"&amp;IF(DAY(Variables!$A$2)&lt;10,0,"")&amp;DAY(Variables!$A$2)</f>
        <v>-22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Runs'!$A$13:$A$100153,1,FALSE)</f>
        <v>#N/A</v>
      </c>
    </row>
    <row r="6" spans="1:10" x14ac:dyDescent="0.3">
      <c r="A6" s="197"/>
      <c r="B6" s="42" t="str">
        <f>A6&amp;"-"&amp;IF(DAY(Variables!$A$2)&lt;10,0,"")&amp;DAY(Variables!$A$2)</f>
        <v>-22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Runs'!$A$13:$A$100153,1,FALSE)</f>
        <v>#N/A</v>
      </c>
    </row>
    <row r="7" spans="1:10" x14ac:dyDescent="0.3">
      <c r="A7" s="197"/>
      <c r="B7" s="42" t="str">
        <f>A7&amp;"-"&amp;IF(DAY(Variables!$A$2)&lt;10,0,"")&amp;DAY(Variables!$A$2)</f>
        <v>-22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Runs'!$A$13:$A$100153,1,FALSE)</f>
        <v>#N/A</v>
      </c>
    </row>
    <row r="8" spans="1:10" x14ac:dyDescent="0.3">
      <c r="A8" s="197"/>
      <c r="B8" s="42" t="str">
        <f>A8&amp;"-"&amp;IF(DAY(Variables!$A$2)&lt;10,0,"")&amp;DAY(Variables!$A$2)</f>
        <v>-22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Runs'!$A$13:$A$100153,1,FALSE)</f>
        <v>#N/A</v>
      </c>
    </row>
    <row r="9" spans="1:10" x14ac:dyDescent="0.3">
      <c r="A9" s="197"/>
      <c r="B9" s="42" t="str">
        <f>A9&amp;"-"&amp;IF(DAY(Variables!$A$2)&lt;10,0,"")&amp;DAY(Variables!$A$2)</f>
        <v>-22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Runs'!$A$13:$A$100153,1,FALSE)</f>
        <v>#N/A</v>
      </c>
    </row>
    <row r="10" spans="1:10" x14ac:dyDescent="0.3">
      <c r="A10" s="197"/>
      <c r="B10" s="42" t="str">
        <f>A10&amp;"-"&amp;IF(DAY(Variables!$A$2)&lt;10,0,"")&amp;DAY(Variables!$A$2)</f>
        <v>-22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Runs'!$A$13:$A$100153,1,FALSE)</f>
        <v>#N/A</v>
      </c>
    </row>
    <row r="11" spans="1:10" x14ac:dyDescent="0.3">
      <c r="A11" s="197"/>
      <c r="B11" s="42" t="str">
        <f>A11&amp;"-"&amp;IF(DAY(Variables!$A$2)&lt;10,0,"")&amp;DAY(Variables!$A$2)</f>
        <v>-22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Runs'!$A$13:$A$100153,1,FALSE)</f>
        <v>#N/A</v>
      </c>
    </row>
    <row r="12" spans="1:10" x14ac:dyDescent="0.3">
      <c r="A12" s="197"/>
      <c r="B12" s="42" t="str">
        <f>A12&amp;"-"&amp;IF(DAY(Variables!$A$2)&lt;10,0,"")&amp;DAY(Variables!$A$2)</f>
        <v>-22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Runs'!$A$13:$A$100153,1,FALSE)</f>
        <v>#N/A</v>
      </c>
    </row>
    <row r="13" spans="1:10" x14ac:dyDescent="0.3">
      <c r="A13" s="197"/>
      <c r="B13" s="42" t="str">
        <f>A13&amp;"-"&amp;IF(DAY(Variables!$A$2)&lt;10,0,"")&amp;DAY(Variables!$A$2)</f>
        <v>-22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Runs'!$A$13:$A$100153,1,FALSE)</f>
        <v>#N/A</v>
      </c>
    </row>
    <row r="14" spans="1:10" x14ac:dyDescent="0.3">
      <c r="A14" s="197"/>
      <c r="B14" s="42" t="str">
        <f>A14&amp;"-"&amp;IF(DAY(Variables!$A$2)&lt;10,0,"")&amp;DAY(Variables!$A$2)</f>
        <v>-22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Runs'!$A$13:$A$100153,1,FALSE)</f>
        <v>#N/A</v>
      </c>
    </row>
    <row r="15" spans="1:10" x14ac:dyDescent="0.3">
      <c r="A15" s="197"/>
      <c r="B15" s="42" t="str">
        <f>A15&amp;"-"&amp;IF(DAY(Variables!$A$2)&lt;10,0,"")&amp;DAY(Variables!$A$2)</f>
        <v>-22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Runs'!$A$13:$A$100153,1,FALSE)</f>
        <v>#N/A</v>
      </c>
    </row>
    <row r="16" spans="1:10" x14ac:dyDescent="0.3">
      <c r="A16" s="197"/>
      <c r="B16" s="42"/>
      <c r="C16" s="134"/>
      <c r="D16" s="152"/>
      <c r="E16" s="30"/>
      <c r="F16" s="21"/>
      <c r="G16" s="21"/>
      <c r="H16" s="29"/>
      <c r="I16" s="190"/>
      <c r="J16" s="30"/>
    </row>
    <row r="17" spans="1:10" x14ac:dyDescent="0.3">
      <c r="A17" s="197"/>
      <c r="B17" s="42"/>
      <c r="C17" s="134"/>
      <c r="D17" s="152"/>
      <c r="E17" s="30"/>
      <c r="F17" s="21"/>
      <c r="G17" s="21"/>
      <c r="H17" s="29"/>
      <c r="I17" s="190"/>
      <c r="J17" s="30"/>
    </row>
    <row r="18" spans="1:10" x14ac:dyDescent="0.3">
      <c r="A18" s="197"/>
      <c r="B18" s="42"/>
      <c r="C18" s="134"/>
      <c r="D18" s="152"/>
      <c r="E18" s="30"/>
      <c r="F18" s="21"/>
      <c r="G18" s="21"/>
      <c r="H18" s="29"/>
      <c r="I18" s="190"/>
      <c r="J18" s="30"/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</sheetData>
  <autoFilter ref="A2:J23"/>
  <sortState ref="A3:J15">
    <sortCondition ref="A3:A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4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43061.036608796298</v>
      </c>
      <c r="B2" s="20" t="s">
        <v>352</v>
      </c>
      <c r="C2" s="20" t="s">
        <v>578</v>
      </c>
      <c r="D2" s="137">
        <v>3320000</v>
      </c>
      <c r="E2" s="20" t="s">
        <v>364</v>
      </c>
      <c r="F2" s="20" t="s">
        <v>365</v>
      </c>
      <c r="G2" s="8" t="str">
        <f>E2&amp;" "&amp;F2</f>
        <v>NICHOLSON WESLEY</v>
      </c>
      <c r="H2" t="str">
        <f>MID(B2,13,4)</f>
        <v>4055</v>
      </c>
    </row>
    <row r="3" spans="1:8" x14ac:dyDescent="0.3">
      <c r="A3" s="8">
        <v>43061.048113425924</v>
      </c>
      <c r="B3" s="20" t="s">
        <v>525</v>
      </c>
      <c r="C3" s="20" t="s">
        <v>579</v>
      </c>
      <c r="D3" s="137">
        <v>890000</v>
      </c>
      <c r="E3" s="20" t="s">
        <v>345</v>
      </c>
      <c r="F3" s="20" t="s">
        <v>346</v>
      </c>
      <c r="G3" s="8" t="str">
        <f t="shared" ref="G3:G66" si="0">E3&amp;" "&amp;F3</f>
        <v>LOZA FIDEL</v>
      </c>
      <c r="H3" s="20" t="str">
        <f t="shared" ref="H3:H66" si="1">MID(B3,13,4)</f>
        <v>4054</v>
      </c>
    </row>
    <row r="4" spans="1:8" x14ac:dyDescent="0.3">
      <c r="A4" s="8">
        <v>43061.048171296294</v>
      </c>
      <c r="B4" s="20" t="s">
        <v>558</v>
      </c>
      <c r="C4" s="20" t="s">
        <v>580</v>
      </c>
      <c r="D4" s="137">
        <v>2610000</v>
      </c>
      <c r="E4" s="20" t="s">
        <v>381</v>
      </c>
      <c r="F4" s="20" t="s">
        <v>382</v>
      </c>
      <c r="G4" s="8" t="str">
        <f t="shared" si="0"/>
        <v>MAGEE KENYA</v>
      </c>
      <c r="H4" s="20" t="str">
        <f t="shared" si="1"/>
        <v>4013</v>
      </c>
    </row>
    <row r="5" spans="1:8" x14ac:dyDescent="0.3">
      <c r="A5" s="8">
        <v>43061.06927083333</v>
      </c>
      <c r="B5" s="20" t="s">
        <v>524</v>
      </c>
      <c r="C5" s="20" t="s">
        <v>581</v>
      </c>
      <c r="D5" s="137">
        <v>3320000</v>
      </c>
      <c r="E5" s="20" t="s">
        <v>364</v>
      </c>
      <c r="F5" s="20" t="s">
        <v>365</v>
      </c>
      <c r="G5" s="8" t="str">
        <f t="shared" si="0"/>
        <v>NICHOLSON WESLEY</v>
      </c>
      <c r="H5" s="20" t="str">
        <f t="shared" si="1"/>
        <v>4056</v>
      </c>
    </row>
    <row r="6" spans="1:8" x14ac:dyDescent="0.3">
      <c r="A6" s="8">
        <v>43061.095347222225</v>
      </c>
      <c r="B6" s="20" t="s">
        <v>557</v>
      </c>
      <c r="C6" s="20" t="s">
        <v>559</v>
      </c>
      <c r="D6" s="137">
        <v>2610000</v>
      </c>
      <c r="E6" s="20" t="s">
        <v>381</v>
      </c>
      <c r="F6" s="20" t="s">
        <v>382</v>
      </c>
      <c r="G6" s="8" t="str">
        <f t="shared" si="0"/>
        <v>MAGEE KENYA</v>
      </c>
      <c r="H6" s="20" t="str">
        <f t="shared" si="1"/>
        <v>4014</v>
      </c>
    </row>
    <row r="7" spans="1:8" x14ac:dyDescent="0.3">
      <c r="A7" s="8">
        <v>43061.117129629631</v>
      </c>
      <c r="B7" s="20" t="s">
        <v>363</v>
      </c>
      <c r="C7" s="20" t="s">
        <v>672</v>
      </c>
      <c r="D7" s="137">
        <v>940000</v>
      </c>
      <c r="E7" s="20" t="s">
        <v>673</v>
      </c>
      <c r="F7" s="20" t="s">
        <v>674</v>
      </c>
      <c r="G7" s="8" t="str">
        <f t="shared" si="0"/>
        <v>BONDS REYNALDO</v>
      </c>
      <c r="H7" s="20" t="str">
        <f t="shared" si="1"/>
        <v>4017</v>
      </c>
    </row>
    <row r="8" spans="1:8" x14ac:dyDescent="0.3">
      <c r="A8" s="8">
        <v>43061.132569444446</v>
      </c>
      <c r="B8" s="20" t="s">
        <v>361</v>
      </c>
      <c r="C8" s="20" t="s">
        <v>675</v>
      </c>
      <c r="D8" s="137">
        <v>1090000</v>
      </c>
      <c r="E8" s="20" t="s">
        <v>560</v>
      </c>
      <c r="F8" s="20" t="s">
        <v>353</v>
      </c>
      <c r="G8" s="8" t="str">
        <f t="shared" si="0"/>
        <v>SPECTOR MICHAEL</v>
      </c>
      <c r="H8" s="20" t="str">
        <f t="shared" si="1"/>
        <v>4018</v>
      </c>
    </row>
    <row r="9" spans="1:8" ht="15" thickBot="1" x14ac:dyDescent="0.35">
      <c r="A9" s="24">
        <v>43061.134247685186</v>
      </c>
      <c r="B9" s="20" t="s">
        <v>491</v>
      </c>
      <c r="C9" s="20" t="s">
        <v>676</v>
      </c>
      <c r="D9" s="137">
        <v>940000</v>
      </c>
      <c r="E9" s="20" t="s">
        <v>673</v>
      </c>
      <c r="F9" s="20" t="s">
        <v>674</v>
      </c>
      <c r="G9" s="8" t="str">
        <f t="shared" si="0"/>
        <v>BONDS REYNALDO</v>
      </c>
      <c r="H9" s="20" t="str">
        <f t="shared" si="1"/>
        <v>4020</v>
      </c>
    </row>
    <row r="10" spans="1:8" x14ac:dyDescent="0.3">
      <c r="A10" s="8">
        <v>43061.140555555554</v>
      </c>
      <c r="B10" s="20" t="s">
        <v>363</v>
      </c>
      <c r="C10" s="20" t="s">
        <v>675</v>
      </c>
      <c r="D10" s="137">
        <v>1090000</v>
      </c>
      <c r="E10" s="20" t="s">
        <v>560</v>
      </c>
      <c r="F10" s="20" t="s">
        <v>353</v>
      </c>
      <c r="G10" s="8" t="str">
        <f t="shared" si="0"/>
        <v>SPECTOR MICHAEL</v>
      </c>
      <c r="H10" s="20" t="str">
        <f t="shared" si="1"/>
        <v>4017</v>
      </c>
    </row>
    <row r="11" spans="1:8" x14ac:dyDescent="0.3">
      <c r="A11" s="8">
        <v>43061.145902777775</v>
      </c>
      <c r="B11" s="20" t="s">
        <v>453</v>
      </c>
      <c r="C11" s="20" t="s">
        <v>677</v>
      </c>
      <c r="D11" s="137">
        <v>3120000</v>
      </c>
      <c r="E11" s="20" t="s">
        <v>370</v>
      </c>
      <c r="F11" s="20" t="s">
        <v>527</v>
      </c>
      <c r="G11" s="8" t="str">
        <f t="shared" si="0"/>
        <v>THOMPSON LESTER</v>
      </c>
      <c r="H11" s="20" t="str">
        <f t="shared" si="1"/>
        <v>4049</v>
      </c>
    </row>
    <row r="12" spans="1:8" x14ac:dyDescent="0.3">
      <c r="A12" s="8">
        <v>43061.156701388885</v>
      </c>
      <c r="B12" s="20" t="s">
        <v>454</v>
      </c>
      <c r="C12" s="20" t="s">
        <v>678</v>
      </c>
      <c r="D12" s="137">
        <v>3120000</v>
      </c>
      <c r="E12" s="20" t="s">
        <v>370</v>
      </c>
      <c r="F12" s="20" t="s">
        <v>527</v>
      </c>
      <c r="G12" s="8" t="str">
        <f t="shared" si="0"/>
        <v>THOMPSON LESTER</v>
      </c>
      <c r="H12" s="20" t="str">
        <f t="shared" si="1"/>
        <v>4050</v>
      </c>
    </row>
    <row r="13" spans="1:8" x14ac:dyDescent="0.3">
      <c r="A13" s="8">
        <v>43061.161574074074</v>
      </c>
      <c r="B13" s="20" t="s">
        <v>492</v>
      </c>
      <c r="C13" s="20" t="s">
        <v>679</v>
      </c>
      <c r="D13" s="137">
        <v>1830000</v>
      </c>
      <c r="E13" s="20" t="s">
        <v>347</v>
      </c>
      <c r="F13" s="20" t="s">
        <v>348</v>
      </c>
      <c r="G13" s="8" t="str">
        <f t="shared" si="0"/>
        <v>YORK EDGAR</v>
      </c>
      <c r="H13" s="20" t="str">
        <f t="shared" si="1"/>
        <v>4027</v>
      </c>
    </row>
    <row r="14" spans="1:8" x14ac:dyDescent="0.3">
      <c r="A14" s="8">
        <v>43061.163425925923</v>
      </c>
      <c r="B14" s="20" t="s">
        <v>490</v>
      </c>
      <c r="C14" s="20" t="s">
        <v>680</v>
      </c>
      <c r="D14" s="137">
        <v>940000</v>
      </c>
      <c r="E14" s="20" t="s">
        <v>673</v>
      </c>
      <c r="F14" s="20" t="s">
        <v>674</v>
      </c>
      <c r="G14" s="8" t="str">
        <f t="shared" si="0"/>
        <v>BONDS REYNALDO</v>
      </c>
      <c r="H14" s="20" t="str">
        <f t="shared" si="1"/>
        <v>4019</v>
      </c>
    </row>
    <row r="15" spans="1:8" x14ac:dyDescent="0.3">
      <c r="A15" s="8">
        <v>43061.16914351852</v>
      </c>
      <c r="B15" s="20" t="s">
        <v>556</v>
      </c>
      <c r="C15" s="20" t="s">
        <v>681</v>
      </c>
      <c r="D15" s="137">
        <v>2600000</v>
      </c>
      <c r="E15" s="20" t="s">
        <v>493</v>
      </c>
      <c r="F15" s="20" t="s">
        <v>483</v>
      </c>
      <c r="G15" s="8" t="str">
        <f t="shared" si="0"/>
        <v>DAVIDSON DAVID</v>
      </c>
      <c r="H15" s="20" t="str">
        <f t="shared" si="1"/>
        <v>4039</v>
      </c>
    </row>
    <row r="16" spans="1:8" x14ac:dyDescent="0.3">
      <c r="A16" s="8">
        <v>43061.171435185184</v>
      </c>
      <c r="B16" s="20" t="s">
        <v>392</v>
      </c>
      <c r="C16" s="20" t="s">
        <v>682</v>
      </c>
      <c r="D16" s="137">
        <v>1830000</v>
      </c>
      <c r="E16" s="20" t="s">
        <v>347</v>
      </c>
      <c r="F16" s="20" t="s">
        <v>348</v>
      </c>
      <c r="G16" s="8" t="str">
        <f t="shared" si="0"/>
        <v>YORK EDGAR</v>
      </c>
      <c r="H16" s="20" t="str">
        <f t="shared" si="1"/>
        <v>4028</v>
      </c>
    </row>
    <row r="17" spans="1:8" x14ac:dyDescent="0.3">
      <c r="A17" s="8">
        <v>43061.179305555554</v>
      </c>
      <c r="B17" s="20" t="s">
        <v>555</v>
      </c>
      <c r="C17" s="20" t="s">
        <v>683</v>
      </c>
      <c r="D17" s="137">
        <v>2600000</v>
      </c>
      <c r="E17" s="20" t="s">
        <v>493</v>
      </c>
      <c r="F17" s="20" t="s">
        <v>483</v>
      </c>
      <c r="G17" s="8" t="str">
        <f t="shared" si="0"/>
        <v>DAVIDSON DAVID</v>
      </c>
      <c r="H17" s="20" t="str">
        <f t="shared" si="1"/>
        <v>4040</v>
      </c>
    </row>
    <row r="18" spans="1:8" x14ac:dyDescent="0.3">
      <c r="A18" s="8">
        <v>43061.179930555554</v>
      </c>
      <c r="B18" s="20" t="s">
        <v>664</v>
      </c>
      <c r="C18" s="20" t="s">
        <v>684</v>
      </c>
      <c r="D18" s="137">
        <v>3260000</v>
      </c>
      <c r="E18" s="20" t="s">
        <v>685</v>
      </c>
      <c r="F18" s="20" t="s">
        <v>686</v>
      </c>
      <c r="G18" s="8" t="str">
        <f t="shared" si="0"/>
        <v>PAGE MARCUS</v>
      </c>
      <c r="H18" s="20" t="str">
        <f t="shared" si="1"/>
        <v>4001</v>
      </c>
    </row>
    <row r="19" spans="1:8" x14ac:dyDescent="0.3">
      <c r="A19" s="8">
        <v>43061.193773148145</v>
      </c>
      <c r="B19" s="20" t="s">
        <v>687</v>
      </c>
      <c r="C19" s="20" t="s">
        <v>688</v>
      </c>
      <c r="D19" s="137">
        <v>3260000</v>
      </c>
      <c r="E19" s="20" t="s">
        <v>685</v>
      </c>
      <c r="F19" s="20" t="s">
        <v>686</v>
      </c>
      <c r="G19" s="8" t="str">
        <f t="shared" si="0"/>
        <v>PAGE MARCUS</v>
      </c>
      <c r="H19" s="20" t="str">
        <f t="shared" si="1"/>
        <v>4002</v>
      </c>
    </row>
    <row r="20" spans="1:8" x14ac:dyDescent="0.3">
      <c r="A20" s="8">
        <v>43061.194768518515</v>
      </c>
      <c r="B20" s="20" t="s">
        <v>453</v>
      </c>
      <c r="C20" s="20" t="s">
        <v>689</v>
      </c>
      <c r="D20" s="137">
        <v>3120000</v>
      </c>
      <c r="E20" s="20" t="s">
        <v>370</v>
      </c>
      <c r="F20" s="20" t="s">
        <v>527</v>
      </c>
      <c r="G20" s="8" t="str">
        <f t="shared" si="0"/>
        <v>THOMPSON LESTER</v>
      </c>
      <c r="H20" s="20" t="str">
        <f t="shared" si="1"/>
        <v>4049</v>
      </c>
    </row>
    <row r="21" spans="1:8" x14ac:dyDescent="0.3">
      <c r="A21" s="8">
        <v>43061.198344907411</v>
      </c>
      <c r="B21" s="20" t="s">
        <v>690</v>
      </c>
      <c r="C21" s="20" t="s">
        <v>691</v>
      </c>
      <c r="D21" s="137">
        <v>1230000</v>
      </c>
      <c r="E21" s="20" t="s">
        <v>563</v>
      </c>
      <c r="F21" s="20" t="s">
        <v>564</v>
      </c>
      <c r="G21" s="8" t="str">
        <f t="shared" si="0"/>
        <v>YANAI IAN</v>
      </c>
      <c r="H21" s="20" t="str">
        <f t="shared" si="1"/>
        <v>4005</v>
      </c>
    </row>
    <row r="22" spans="1:8" x14ac:dyDescent="0.3">
      <c r="A22" s="26">
        <v>43061.203252314815</v>
      </c>
      <c r="B22" s="20" t="s">
        <v>492</v>
      </c>
      <c r="C22" s="20" t="s">
        <v>692</v>
      </c>
      <c r="D22" s="137">
        <v>1830000</v>
      </c>
      <c r="E22" s="20" t="s">
        <v>347</v>
      </c>
      <c r="F22" s="20" t="s">
        <v>348</v>
      </c>
      <c r="G22" s="8" t="str">
        <f t="shared" si="0"/>
        <v>YORK EDGAR</v>
      </c>
      <c r="H22" s="20" t="str">
        <f t="shared" si="1"/>
        <v>4027</v>
      </c>
    </row>
    <row r="23" spans="1:8" x14ac:dyDescent="0.3">
      <c r="A23" s="8">
        <v>43061.203900462962</v>
      </c>
      <c r="B23" s="20" t="s">
        <v>644</v>
      </c>
      <c r="C23" s="20" t="s">
        <v>693</v>
      </c>
      <c r="D23" s="137">
        <v>2470000</v>
      </c>
      <c r="E23" s="20" t="s">
        <v>694</v>
      </c>
      <c r="F23" s="20" t="s">
        <v>695</v>
      </c>
      <c r="G23" s="8" t="str">
        <f t="shared" si="0"/>
        <v>ROMERO CHAD</v>
      </c>
      <c r="H23" s="20" t="str">
        <f t="shared" si="1"/>
        <v>4026</v>
      </c>
    </row>
    <row r="24" spans="1:8" x14ac:dyDescent="0.3">
      <c r="A24" s="8">
        <v>43061.20721064815</v>
      </c>
      <c r="B24" s="20" t="s">
        <v>491</v>
      </c>
      <c r="C24" s="20" t="s">
        <v>696</v>
      </c>
      <c r="D24" s="137">
        <v>940000</v>
      </c>
      <c r="E24" s="20" t="s">
        <v>673</v>
      </c>
      <c r="F24" s="20" t="s">
        <v>674</v>
      </c>
      <c r="G24" s="8" t="str">
        <f t="shared" si="0"/>
        <v>BONDS REYNALDO</v>
      </c>
      <c r="H24" s="20" t="str">
        <f t="shared" si="1"/>
        <v>4020</v>
      </c>
    </row>
    <row r="25" spans="1:8" x14ac:dyDescent="0.3">
      <c r="A25" s="8">
        <v>43061.208645833336</v>
      </c>
      <c r="B25" s="20" t="s">
        <v>666</v>
      </c>
      <c r="C25" s="20" t="s">
        <v>697</v>
      </c>
      <c r="D25" s="137">
        <v>1230000</v>
      </c>
      <c r="E25" s="20" t="s">
        <v>563</v>
      </c>
      <c r="F25" s="20" t="s">
        <v>564</v>
      </c>
      <c r="G25" s="8" t="str">
        <f t="shared" si="0"/>
        <v>YANAI IAN</v>
      </c>
      <c r="H25" s="20" t="str">
        <f t="shared" si="1"/>
        <v>4006</v>
      </c>
    </row>
    <row r="26" spans="1:8" x14ac:dyDescent="0.3">
      <c r="A26" s="8">
        <v>43061.215277777781</v>
      </c>
      <c r="B26" s="20" t="s">
        <v>648</v>
      </c>
      <c r="C26" s="20" t="s">
        <v>698</v>
      </c>
      <c r="D26" s="137">
        <v>2470000</v>
      </c>
      <c r="E26" s="20" t="s">
        <v>694</v>
      </c>
      <c r="F26" s="20" t="s">
        <v>695</v>
      </c>
      <c r="G26" s="8" t="str">
        <f t="shared" si="0"/>
        <v>ROMERO CHAD</v>
      </c>
      <c r="H26" s="20" t="str">
        <f t="shared" si="1"/>
        <v>4025</v>
      </c>
    </row>
    <row r="27" spans="1:8" x14ac:dyDescent="0.3">
      <c r="A27" s="8">
        <v>43061.215358796297</v>
      </c>
      <c r="B27" s="20" t="s">
        <v>556</v>
      </c>
      <c r="C27" s="20" t="s">
        <v>699</v>
      </c>
      <c r="D27" s="137">
        <v>2600000</v>
      </c>
      <c r="E27" s="20" t="s">
        <v>493</v>
      </c>
      <c r="F27" s="20" t="s">
        <v>483</v>
      </c>
      <c r="G27" s="8" t="str">
        <f t="shared" si="0"/>
        <v>DAVIDSON DAVID</v>
      </c>
      <c r="H27" s="20" t="str">
        <f t="shared" si="1"/>
        <v>4039</v>
      </c>
    </row>
    <row r="28" spans="1:8" x14ac:dyDescent="0.3">
      <c r="A28" s="8">
        <v>43061.227129629631</v>
      </c>
      <c r="B28" s="20" t="s">
        <v>644</v>
      </c>
      <c r="C28" s="20" t="s">
        <v>700</v>
      </c>
      <c r="D28" s="137">
        <v>2470000</v>
      </c>
      <c r="E28" s="20" t="s">
        <v>694</v>
      </c>
      <c r="F28" s="20" t="s">
        <v>695</v>
      </c>
      <c r="G28" s="8" t="str">
        <f t="shared" si="0"/>
        <v>ROMERO CHAD</v>
      </c>
      <c r="H28" s="20" t="str">
        <f t="shared" si="1"/>
        <v>4026</v>
      </c>
    </row>
    <row r="29" spans="1:8" x14ac:dyDescent="0.3">
      <c r="A29" s="8">
        <v>43061.227847222224</v>
      </c>
      <c r="B29" s="20" t="s">
        <v>454</v>
      </c>
      <c r="C29" s="20" t="s">
        <v>701</v>
      </c>
      <c r="D29" s="137">
        <v>3120000</v>
      </c>
      <c r="E29" s="20" t="s">
        <v>370</v>
      </c>
      <c r="F29" s="20" t="s">
        <v>527</v>
      </c>
      <c r="G29" s="8" t="str">
        <f t="shared" si="0"/>
        <v>THOMPSON LESTER</v>
      </c>
      <c r="H29" s="20" t="str">
        <f t="shared" si="1"/>
        <v>4050</v>
      </c>
    </row>
    <row r="30" spans="1:8" x14ac:dyDescent="0.3">
      <c r="A30" s="8">
        <v>43061.229004629633</v>
      </c>
      <c r="B30" s="20" t="s">
        <v>654</v>
      </c>
      <c r="C30" s="20" t="s">
        <v>702</v>
      </c>
      <c r="D30" s="137">
        <v>3000000</v>
      </c>
      <c r="E30" s="20" t="s">
        <v>504</v>
      </c>
      <c r="F30" s="20" t="s">
        <v>505</v>
      </c>
      <c r="G30" s="8" t="str">
        <f t="shared" si="0"/>
        <v>FORTUNATO FRANK</v>
      </c>
      <c r="H30" s="20" t="str">
        <f t="shared" si="1"/>
        <v>4015</v>
      </c>
    </row>
    <row r="31" spans="1:8" x14ac:dyDescent="0.3">
      <c r="A31" s="8">
        <v>43061.232523148145</v>
      </c>
      <c r="B31" s="20" t="s">
        <v>664</v>
      </c>
      <c r="C31" s="20" t="s">
        <v>703</v>
      </c>
      <c r="D31" s="137">
        <v>3260000</v>
      </c>
      <c r="E31" s="20" t="s">
        <v>685</v>
      </c>
      <c r="F31" s="20" t="s">
        <v>686</v>
      </c>
      <c r="G31" s="8" t="str">
        <f t="shared" si="0"/>
        <v>PAGE MARCUS</v>
      </c>
      <c r="H31" s="20" t="str">
        <f t="shared" si="1"/>
        <v>4001</v>
      </c>
    </row>
    <row r="32" spans="1:8" x14ac:dyDescent="0.3">
      <c r="A32" s="8">
        <v>43061.238333333335</v>
      </c>
      <c r="B32" s="20" t="s">
        <v>669</v>
      </c>
      <c r="C32" s="20" t="s">
        <v>704</v>
      </c>
      <c r="D32" s="137">
        <v>3000000</v>
      </c>
      <c r="E32" s="20" t="s">
        <v>504</v>
      </c>
      <c r="F32" s="20" t="s">
        <v>505</v>
      </c>
      <c r="G32" s="8" t="str">
        <f t="shared" si="0"/>
        <v>FORTUNATO FRANK</v>
      </c>
      <c r="H32" s="20" t="str">
        <f t="shared" si="1"/>
        <v>4016</v>
      </c>
    </row>
    <row r="33" spans="1:8" x14ac:dyDescent="0.3">
      <c r="A33" s="8">
        <v>43061.240983796299</v>
      </c>
      <c r="B33" s="20" t="s">
        <v>642</v>
      </c>
      <c r="C33" s="20" t="s">
        <v>705</v>
      </c>
      <c r="D33" s="137">
        <v>3840000</v>
      </c>
      <c r="E33" s="20" t="s">
        <v>706</v>
      </c>
      <c r="F33" s="20" t="s">
        <v>707</v>
      </c>
      <c r="G33" s="8" t="str">
        <f t="shared" si="0"/>
        <v>LONG FULLER</v>
      </c>
      <c r="H33" s="20" t="str">
        <f t="shared" si="1"/>
        <v>4023</v>
      </c>
    </row>
    <row r="34" spans="1:8" x14ac:dyDescent="0.3">
      <c r="A34" s="8">
        <v>43061.24627314815</v>
      </c>
      <c r="B34" s="20" t="s">
        <v>690</v>
      </c>
      <c r="C34" s="20" t="s">
        <v>708</v>
      </c>
      <c r="D34" s="137">
        <v>1230000</v>
      </c>
      <c r="E34" s="20" t="s">
        <v>563</v>
      </c>
      <c r="F34" s="20" t="s">
        <v>564</v>
      </c>
      <c r="G34" s="8" t="str">
        <f t="shared" si="0"/>
        <v>YANAI IAN</v>
      </c>
      <c r="H34" s="20" t="str">
        <f t="shared" si="1"/>
        <v>4005</v>
      </c>
    </row>
    <row r="35" spans="1:8" x14ac:dyDescent="0.3">
      <c r="A35" s="8">
        <v>43061.24627314815</v>
      </c>
      <c r="B35" s="20" t="s">
        <v>490</v>
      </c>
      <c r="C35" s="20" t="s">
        <v>709</v>
      </c>
      <c r="D35" s="137">
        <v>940000</v>
      </c>
      <c r="E35" s="20" t="s">
        <v>673</v>
      </c>
      <c r="F35" s="20" t="s">
        <v>674</v>
      </c>
      <c r="G35" s="8" t="str">
        <f t="shared" si="0"/>
        <v>BONDS REYNALDO</v>
      </c>
      <c r="H35" s="20" t="str">
        <f t="shared" si="1"/>
        <v>4019</v>
      </c>
    </row>
    <row r="36" spans="1:8" x14ac:dyDescent="0.3">
      <c r="A36" s="8">
        <v>43061.246493055558</v>
      </c>
      <c r="B36" s="20" t="s">
        <v>648</v>
      </c>
      <c r="C36" s="20" t="s">
        <v>710</v>
      </c>
      <c r="D36" s="137">
        <v>2470000</v>
      </c>
      <c r="E36" s="20" t="s">
        <v>694</v>
      </c>
      <c r="F36" s="20" t="s">
        <v>695</v>
      </c>
      <c r="G36" s="8" t="str">
        <f t="shared" si="0"/>
        <v>ROMERO CHAD</v>
      </c>
      <c r="H36" s="20" t="str">
        <f t="shared" si="1"/>
        <v>4025</v>
      </c>
    </row>
    <row r="37" spans="1:8" x14ac:dyDescent="0.3">
      <c r="A37" s="8">
        <v>43061.248206018521</v>
      </c>
      <c r="B37" s="20" t="s">
        <v>392</v>
      </c>
      <c r="C37" s="20" t="s">
        <v>711</v>
      </c>
      <c r="D37" s="137">
        <v>1830000</v>
      </c>
      <c r="E37" s="20" t="s">
        <v>347</v>
      </c>
      <c r="F37" s="20" t="s">
        <v>348</v>
      </c>
      <c r="G37" s="8" t="str">
        <f t="shared" si="0"/>
        <v>YORK EDGAR</v>
      </c>
      <c r="H37" s="20" t="str">
        <f t="shared" si="1"/>
        <v>4028</v>
      </c>
    </row>
    <row r="38" spans="1:8" x14ac:dyDescent="0.3">
      <c r="A38" s="8">
        <v>43061.254201388889</v>
      </c>
      <c r="B38" s="20" t="s">
        <v>712</v>
      </c>
      <c r="C38" s="20" t="s">
        <v>713</v>
      </c>
      <c r="D38" s="137">
        <v>3840000</v>
      </c>
      <c r="E38" s="20" t="s">
        <v>706</v>
      </c>
      <c r="F38" s="20" t="s">
        <v>707</v>
      </c>
      <c r="G38" s="8" t="str">
        <f t="shared" si="0"/>
        <v>LONG FULLER</v>
      </c>
      <c r="H38" s="20" t="str">
        <f t="shared" si="1"/>
        <v>4024</v>
      </c>
    </row>
    <row r="39" spans="1:8" x14ac:dyDescent="0.3">
      <c r="A39" s="8">
        <v>43061.257303240738</v>
      </c>
      <c r="B39" s="20" t="s">
        <v>555</v>
      </c>
      <c r="C39" s="20" t="s">
        <v>714</v>
      </c>
      <c r="D39" s="137">
        <v>2600000</v>
      </c>
      <c r="E39" s="20" t="s">
        <v>493</v>
      </c>
      <c r="F39" s="20" t="s">
        <v>483</v>
      </c>
      <c r="G39" s="8" t="str">
        <f t="shared" si="0"/>
        <v>DAVIDSON DAVID</v>
      </c>
      <c r="H39" s="20" t="str">
        <f t="shared" si="1"/>
        <v>4040</v>
      </c>
    </row>
    <row r="40" spans="1:8" x14ac:dyDescent="0.3">
      <c r="A40" s="8">
        <v>43061.266064814816</v>
      </c>
      <c r="B40" s="25" t="s">
        <v>687</v>
      </c>
      <c r="C40" s="20" t="s">
        <v>715</v>
      </c>
      <c r="D40" s="137">
        <v>3260000</v>
      </c>
      <c r="E40" s="20" t="s">
        <v>685</v>
      </c>
      <c r="F40" s="20" t="s">
        <v>686</v>
      </c>
      <c r="G40" s="8" t="str">
        <f t="shared" si="0"/>
        <v>PAGE MARCUS</v>
      </c>
      <c r="H40" s="20" t="str">
        <f t="shared" si="1"/>
        <v>4002</v>
      </c>
    </row>
    <row r="41" spans="1:8" x14ac:dyDescent="0.3">
      <c r="A41" s="8">
        <v>43061.266793981478</v>
      </c>
      <c r="B41" s="20" t="s">
        <v>453</v>
      </c>
      <c r="C41" s="20" t="s">
        <v>640</v>
      </c>
      <c r="D41" s="137">
        <v>3120000</v>
      </c>
      <c r="E41" s="20" t="s">
        <v>370</v>
      </c>
      <c r="F41" s="20" t="s">
        <v>527</v>
      </c>
      <c r="G41" s="8" t="str">
        <f t="shared" si="0"/>
        <v>THOMPSON LESTER</v>
      </c>
      <c r="H41" s="20" t="str">
        <f t="shared" si="1"/>
        <v>4049</v>
      </c>
    </row>
    <row r="42" spans="1:8" x14ac:dyDescent="0.3">
      <c r="A42" s="8">
        <v>43061.267870370371</v>
      </c>
      <c r="B42" s="20" t="s">
        <v>654</v>
      </c>
      <c r="C42" s="20" t="s">
        <v>716</v>
      </c>
      <c r="D42" s="137">
        <v>3000000</v>
      </c>
      <c r="E42" s="20" t="s">
        <v>504</v>
      </c>
      <c r="F42" s="20" t="s">
        <v>505</v>
      </c>
      <c r="G42" s="8" t="str">
        <f t="shared" si="0"/>
        <v>FORTUNATO FRANK</v>
      </c>
      <c r="H42" s="20" t="str">
        <f t="shared" si="1"/>
        <v>4015</v>
      </c>
    </row>
    <row r="43" spans="1:8" x14ac:dyDescent="0.3">
      <c r="A43" s="8">
        <v>43061.268912037034</v>
      </c>
      <c r="B43" s="20" t="s">
        <v>644</v>
      </c>
      <c r="C43" s="20" t="s">
        <v>717</v>
      </c>
      <c r="D43" s="137">
        <v>2470000</v>
      </c>
      <c r="E43" s="20" t="s">
        <v>694</v>
      </c>
      <c r="F43" s="20" t="s">
        <v>695</v>
      </c>
      <c r="G43" s="8" t="str">
        <f t="shared" si="0"/>
        <v>ROMERO CHAD</v>
      </c>
      <c r="H43" s="20" t="str">
        <f t="shared" si="1"/>
        <v>4026</v>
      </c>
    </row>
    <row r="44" spans="1:8" x14ac:dyDescent="0.3">
      <c r="A44" s="8">
        <v>43061.269594907404</v>
      </c>
      <c r="B44" s="20" t="s">
        <v>642</v>
      </c>
      <c r="C44" s="20" t="s">
        <v>718</v>
      </c>
      <c r="D44" s="137">
        <v>3840000</v>
      </c>
      <c r="E44" s="20" t="s">
        <v>706</v>
      </c>
      <c r="F44" s="20" t="s">
        <v>707</v>
      </c>
      <c r="G44" s="8" t="str">
        <f t="shared" si="0"/>
        <v>LONG FULLER</v>
      </c>
      <c r="H44" s="20" t="str">
        <f t="shared" si="1"/>
        <v>4023</v>
      </c>
    </row>
    <row r="45" spans="1:8" x14ac:dyDescent="0.3">
      <c r="A45" s="8">
        <v>43061.27616898148</v>
      </c>
      <c r="B45" s="20" t="s">
        <v>492</v>
      </c>
      <c r="C45" s="20" t="s">
        <v>719</v>
      </c>
      <c r="D45" s="137">
        <v>1830000</v>
      </c>
      <c r="E45" s="20" t="s">
        <v>347</v>
      </c>
      <c r="F45" s="20" t="s">
        <v>348</v>
      </c>
      <c r="G45" s="8" t="str">
        <f t="shared" si="0"/>
        <v>YORK EDGAR</v>
      </c>
      <c r="H45" s="20" t="str">
        <f t="shared" si="1"/>
        <v>4027</v>
      </c>
    </row>
    <row r="46" spans="1:8" x14ac:dyDescent="0.3">
      <c r="A46" s="8">
        <v>43061.276886574073</v>
      </c>
      <c r="B46" s="20" t="s">
        <v>491</v>
      </c>
      <c r="C46" s="20" t="s">
        <v>720</v>
      </c>
      <c r="D46" s="137">
        <v>940000</v>
      </c>
      <c r="E46" s="20" t="s">
        <v>673</v>
      </c>
      <c r="F46" s="20" t="s">
        <v>674</v>
      </c>
      <c r="G46" s="8" t="str">
        <f t="shared" si="0"/>
        <v>BONDS REYNALDO</v>
      </c>
      <c r="H46" s="20" t="str">
        <f t="shared" si="1"/>
        <v>4020</v>
      </c>
    </row>
    <row r="47" spans="1:8" x14ac:dyDescent="0.3">
      <c r="A47" s="8">
        <v>43061.28670138889</v>
      </c>
      <c r="B47" s="20" t="s">
        <v>666</v>
      </c>
      <c r="C47" s="20" t="s">
        <v>721</v>
      </c>
      <c r="D47" s="137">
        <v>1230000</v>
      </c>
      <c r="E47" s="20" t="s">
        <v>563</v>
      </c>
      <c r="F47" s="20" t="s">
        <v>564</v>
      </c>
      <c r="G47" s="8" t="str">
        <f t="shared" si="0"/>
        <v>YANAI IAN</v>
      </c>
      <c r="H47" s="20" t="str">
        <f t="shared" si="1"/>
        <v>4006</v>
      </c>
    </row>
    <row r="48" spans="1:8" x14ac:dyDescent="0.3">
      <c r="A48" s="8">
        <v>43061.287627314814</v>
      </c>
      <c r="B48" s="20" t="s">
        <v>556</v>
      </c>
      <c r="C48" s="20" t="s">
        <v>722</v>
      </c>
      <c r="D48" s="137">
        <v>2600000</v>
      </c>
      <c r="E48" s="20" t="s">
        <v>493</v>
      </c>
      <c r="F48" s="20" t="s">
        <v>483</v>
      </c>
      <c r="G48" s="8" t="str">
        <f t="shared" si="0"/>
        <v>DAVIDSON DAVID</v>
      </c>
      <c r="H48" s="20" t="str">
        <f t="shared" si="1"/>
        <v>4039</v>
      </c>
    </row>
    <row r="49" spans="1:8" x14ac:dyDescent="0.3">
      <c r="A49" s="8">
        <v>43061.288888888892</v>
      </c>
      <c r="B49" s="20" t="s">
        <v>648</v>
      </c>
      <c r="C49" s="20" t="s">
        <v>723</v>
      </c>
      <c r="D49" s="137">
        <v>2470000</v>
      </c>
      <c r="E49" s="20" t="s">
        <v>694</v>
      </c>
      <c r="F49" s="20" t="s">
        <v>695</v>
      </c>
      <c r="G49" s="8" t="str">
        <f t="shared" si="0"/>
        <v>ROMERO CHAD</v>
      </c>
      <c r="H49" s="20" t="str">
        <f t="shared" si="1"/>
        <v>4025</v>
      </c>
    </row>
    <row r="50" spans="1:8" x14ac:dyDescent="0.3">
      <c r="A50" s="8">
        <v>43061.291574074072</v>
      </c>
      <c r="B50" s="20" t="s">
        <v>712</v>
      </c>
      <c r="C50" s="20" t="s">
        <v>724</v>
      </c>
      <c r="D50" s="137">
        <v>3840000</v>
      </c>
      <c r="E50" s="20" t="s">
        <v>706</v>
      </c>
      <c r="F50" s="20" t="s">
        <v>707</v>
      </c>
      <c r="G50" s="8" t="str">
        <f t="shared" si="0"/>
        <v>LONG FULLER</v>
      </c>
      <c r="H50" s="20" t="str">
        <f t="shared" si="1"/>
        <v>4024</v>
      </c>
    </row>
    <row r="51" spans="1:8" x14ac:dyDescent="0.3">
      <c r="A51" s="8">
        <v>43061.300868055558</v>
      </c>
      <c r="B51" s="20" t="s">
        <v>454</v>
      </c>
      <c r="C51" s="20" t="s">
        <v>641</v>
      </c>
      <c r="D51" s="137">
        <v>3120000</v>
      </c>
      <c r="E51" s="20" t="s">
        <v>370</v>
      </c>
      <c r="F51" s="20" t="s">
        <v>527</v>
      </c>
      <c r="G51" s="8" t="str">
        <f t="shared" si="0"/>
        <v>THOMPSON LESTER</v>
      </c>
      <c r="H51" s="20" t="str">
        <f t="shared" si="1"/>
        <v>4050</v>
      </c>
    </row>
    <row r="52" spans="1:8" x14ac:dyDescent="0.3">
      <c r="A52" s="8">
        <v>43061.307222222225</v>
      </c>
      <c r="B52" s="20" t="s">
        <v>669</v>
      </c>
      <c r="C52" s="20" t="s">
        <v>725</v>
      </c>
      <c r="D52" s="137">
        <v>3000000</v>
      </c>
      <c r="E52" s="20" t="s">
        <v>504</v>
      </c>
      <c r="F52" s="20" t="s">
        <v>505</v>
      </c>
      <c r="G52" s="8" t="str">
        <f t="shared" si="0"/>
        <v>FORTUNATO FRANK</v>
      </c>
      <c r="H52" s="20" t="str">
        <f t="shared" si="1"/>
        <v>4016</v>
      </c>
    </row>
    <row r="53" spans="1:8" x14ac:dyDescent="0.3">
      <c r="A53" s="8">
        <v>43061.307858796295</v>
      </c>
      <c r="B53" s="20" t="s">
        <v>664</v>
      </c>
      <c r="C53" s="20" t="s">
        <v>726</v>
      </c>
      <c r="D53" s="137">
        <v>3260000</v>
      </c>
      <c r="E53" s="20" t="s">
        <v>685</v>
      </c>
      <c r="F53" s="20" t="s">
        <v>686</v>
      </c>
      <c r="G53" s="8" t="str">
        <f t="shared" si="0"/>
        <v>PAGE MARCUS</v>
      </c>
      <c r="H53" s="20" t="str">
        <f t="shared" si="1"/>
        <v>4001</v>
      </c>
    </row>
    <row r="54" spans="1:8" x14ac:dyDescent="0.3">
      <c r="A54" s="8">
        <v>43061.308020833334</v>
      </c>
      <c r="B54" s="20" t="s">
        <v>666</v>
      </c>
      <c r="C54" s="20" t="s">
        <v>721</v>
      </c>
      <c r="D54" s="137">
        <v>1230000</v>
      </c>
      <c r="E54" s="20" t="s">
        <v>563</v>
      </c>
      <c r="F54" s="20" t="s">
        <v>564</v>
      </c>
      <c r="G54" s="8" t="str">
        <f t="shared" si="0"/>
        <v>YANAI IAN</v>
      </c>
      <c r="H54" s="20" t="str">
        <f t="shared" si="1"/>
        <v>4006</v>
      </c>
    </row>
    <row r="55" spans="1:8" x14ac:dyDescent="0.3">
      <c r="A55" s="8">
        <v>43061.310983796298</v>
      </c>
      <c r="B55" s="20" t="s">
        <v>642</v>
      </c>
      <c r="C55" s="20" t="s">
        <v>643</v>
      </c>
      <c r="D55" s="137">
        <v>3840000</v>
      </c>
      <c r="E55" s="20" t="s">
        <v>706</v>
      </c>
      <c r="F55" s="20" t="s">
        <v>707</v>
      </c>
      <c r="G55" s="8" t="str">
        <f t="shared" si="0"/>
        <v>LONG FULLER</v>
      </c>
      <c r="H55" s="20" t="str">
        <f t="shared" si="1"/>
        <v>4023</v>
      </c>
    </row>
    <row r="56" spans="1:8" x14ac:dyDescent="0.3">
      <c r="A56" s="8">
        <v>43061.31108796296</v>
      </c>
      <c r="B56" s="20" t="s">
        <v>644</v>
      </c>
      <c r="C56" s="20" t="s">
        <v>645</v>
      </c>
      <c r="D56" s="137">
        <v>2470000</v>
      </c>
      <c r="E56" s="20" t="s">
        <v>694</v>
      </c>
      <c r="F56" s="20" t="s">
        <v>695</v>
      </c>
      <c r="G56" s="8" t="str">
        <f t="shared" si="0"/>
        <v>ROMERO CHAD</v>
      </c>
      <c r="H56" s="20" t="str">
        <f t="shared" si="1"/>
        <v>4026</v>
      </c>
    </row>
    <row r="57" spans="1:8" x14ac:dyDescent="0.3">
      <c r="A57" s="8">
        <v>43061.31144675926</v>
      </c>
      <c r="B57" s="20" t="s">
        <v>555</v>
      </c>
      <c r="C57" s="20" t="s">
        <v>727</v>
      </c>
      <c r="D57" s="137">
        <v>2600000</v>
      </c>
      <c r="E57" s="20" t="s">
        <v>493</v>
      </c>
      <c r="F57" s="20" t="s">
        <v>483</v>
      </c>
      <c r="G57" s="8" t="str">
        <f t="shared" si="0"/>
        <v>DAVIDSON DAVID</v>
      </c>
      <c r="H57" s="20" t="str">
        <f t="shared" si="1"/>
        <v>4040</v>
      </c>
    </row>
    <row r="58" spans="1:8" x14ac:dyDescent="0.3">
      <c r="A58" s="8">
        <v>43061.312847222223</v>
      </c>
      <c r="B58" s="20" t="s">
        <v>690</v>
      </c>
      <c r="C58" s="20" t="s">
        <v>728</v>
      </c>
      <c r="D58" s="137">
        <v>1230000</v>
      </c>
      <c r="E58" s="20" t="s">
        <v>563</v>
      </c>
      <c r="F58" s="20" t="s">
        <v>564</v>
      </c>
      <c r="G58" s="8" t="str">
        <f t="shared" si="0"/>
        <v>YANAI IAN</v>
      </c>
      <c r="H58" s="20" t="str">
        <f t="shared" si="1"/>
        <v>4005</v>
      </c>
    </row>
    <row r="59" spans="1:8" x14ac:dyDescent="0.3">
      <c r="A59" s="8">
        <v>43061.31931712963</v>
      </c>
      <c r="B59" s="20" t="s">
        <v>490</v>
      </c>
      <c r="C59" s="20" t="s">
        <v>651</v>
      </c>
      <c r="D59" s="137">
        <v>940000</v>
      </c>
      <c r="E59" s="20" t="s">
        <v>673</v>
      </c>
      <c r="F59" s="20" t="s">
        <v>674</v>
      </c>
      <c r="G59" s="8" t="str">
        <f t="shared" si="0"/>
        <v>BONDS REYNALDO</v>
      </c>
      <c r="H59" s="20" t="str">
        <f t="shared" si="1"/>
        <v>4019</v>
      </c>
    </row>
    <row r="60" spans="1:8" x14ac:dyDescent="0.3">
      <c r="A60" s="8">
        <v>43061.325937499998</v>
      </c>
      <c r="B60" s="20" t="s">
        <v>687</v>
      </c>
      <c r="C60" s="20" t="s">
        <v>729</v>
      </c>
      <c r="D60" s="137">
        <v>3260000</v>
      </c>
      <c r="E60" s="20" t="s">
        <v>685</v>
      </c>
      <c r="F60" s="20" t="s">
        <v>686</v>
      </c>
      <c r="G60" s="8" t="str">
        <f t="shared" si="0"/>
        <v>PAGE MARCUS</v>
      </c>
      <c r="H60" s="20" t="str">
        <f t="shared" si="1"/>
        <v>4002</v>
      </c>
    </row>
    <row r="61" spans="1:8" x14ac:dyDescent="0.3">
      <c r="A61" s="8">
        <v>43061.326331018521</v>
      </c>
      <c r="B61" s="20" t="s">
        <v>453</v>
      </c>
      <c r="C61" s="20" t="s">
        <v>647</v>
      </c>
      <c r="D61" s="137">
        <v>3120000</v>
      </c>
      <c r="E61" s="20" t="s">
        <v>370</v>
      </c>
      <c r="F61" s="20" t="s">
        <v>527</v>
      </c>
      <c r="G61" s="8" t="str">
        <f t="shared" si="0"/>
        <v>THOMPSON LESTER</v>
      </c>
      <c r="H61" s="20" t="str">
        <f t="shared" si="1"/>
        <v>4049</v>
      </c>
    </row>
    <row r="62" spans="1:8" x14ac:dyDescent="0.3">
      <c r="A62" s="8">
        <v>43061.327719907407</v>
      </c>
      <c r="B62" s="20" t="s">
        <v>447</v>
      </c>
      <c r="C62" s="20" t="s">
        <v>646</v>
      </c>
      <c r="D62" s="137">
        <v>3180000</v>
      </c>
      <c r="E62" s="20" t="s">
        <v>730</v>
      </c>
      <c r="F62" s="20" t="s">
        <v>731</v>
      </c>
      <c r="G62" s="8" t="str">
        <f t="shared" si="0"/>
        <v>HUFFSMITH MONTY</v>
      </c>
      <c r="H62" s="20" t="str">
        <f t="shared" si="1"/>
        <v>4009</v>
      </c>
    </row>
    <row r="63" spans="1:8" x14ac:dyDescent="0.3">
      <c r="A63" s="8">
        <v>43061.327731481484</v>
      </c>
      <c r="B63" s="20" t="s">
        <v>453</v>
      </c>
      <c r="C63" s="20" t="s">
        <v>647</v>
      </c>
      <c r="D63" s="137">
        <v>3120000</v>
      </c>
      <c r="E63" s="20" t="s">
        <v>370</v>
      </c>
      <c r="F63" s="20" t="s">
        <v>527</v>
      </c>
      <c r="G63" s="8" t="str">
        <f t="shared" si="0"/>
        <v>THOMPSON LESTER</v>
      </c>
      <c r="H63" s="20" t="str">
        <f t="shared" si="1"/>
        <v>4049</v>
      </c>
    </row>
    <row r="64" spans="1:8" x14ac:dyDescent="0.3">
      <c r="A64" s="26">
        <v>43061.328564814816</v>
      </c>
      <c r="B64" s="20" t="s">
        <v>447</v>
      </c>
      <c r="C64" s="20" t="s">
        <v>646</v>
      </c>
      <c r="D64" s="137">
        <v>3180000</v>
      </c>
      <c r="E64" s="20" t="s">
        <v>730</v>
      </c>
      <c r="F64" s="20" t="s">
        <v>731</v>
      </c>
      <c r="G64" s="8" t="str">
        <f t="shared" si="0"/>
        <v>HUFFSMITH MONTY</v>
      </c>
      <c r="H64" s="20" t="str">
        <f t="shared" si="1"/>
        <v>4009</v>
      </c>
    </row>
    <row r="65" spans="1:8" x14ac:dyDescent="0.3">
      <c r="A65" s="8">
        <v>43061.330231481479</v>
      </c>
      <c r="B65" s="20" t="s">
        <v>447</v>
      </c>
      <c r="C65" s="20" t="s">
        <v>646</v>
      </c>
      <c r="D65" s="137">
        <v>3180000</v>
      </c>
      <c r="E65" s="20" t="s">
        <v>730</v>
      </c>
      <c r="F65" s="20" t="s">
        <v>731</v>
      </c>
      <c r="G65" s="8" t="str">
        <f t="shared" si="0"/>
        <v>HUFFSMITH MONTY</v>
      </c>
      <c r="H65" s="20" t="str">
        <f t="shared" si="1"/>
        <v>4009</v>
      </c>
    </row>
    <row r="66" spans="1:8" x14ac:dyDescent="0.3">
      <c r="A66" s="8">
        <v>43061.330740740741</v>
      </c>
      <c r="B66" s="20" t="s">
        <v>648</v>
      </c>
      <c r="C66" s="20" t="s">
        <v>649</v>
      </c>
      <c r="D66" s="137">
        <v>2470000</v>
      </c>
      <c r="E66" s="20" t="s">
        <v>694</v>
      </c>
      <c r="F66" s="20" t="s">
        <v>695</v>
      </c>
      <c r="G66" s="8" t="str">
        <f t="shared" si="0"/>
        <v>ROMERO CHAD</v>
      </c>
      <c r="H66" s="20" t="str">
        <f t="shared" si="1"/>
        <v>4025</v>
      </c>
    </row>
    <row r="67" spans="1:8" x14ac:dyDescent="0.3">
      <c r="A67" s="8">
        <v>43061.331944444442</v>
      </c>
      <c r="B67" s="20" t="s">
        <v>666</v>
      </c>
      <c r="C67" s="20" t="s">
        <v>675</v>
      </c>
      <c r="D67" s="137">
        <v>1230000</v>
      </c>
      <c r="E67" s="20" t="s">
        <v>563</v>
      </c>
      <c r="F67" s="20" t="s">
        <v>564</v>
      </c>
      <c r="G67" s="8" t="str">
        <f t="shared" ref="G67:G130" si="2">E67&amp;" "&amp;F67</f>
        <v>YANAI IAN</v>
      </c>
      <c r="H67" s="20" t="str">
        <f t="shared" ref="H67:H130" si="3">MID(B67,13,4)</f>
        <v>4006</v>
      </c>
    </row>
    <row r="68" spans="1:8" x14ac:dyDescent="0.3">
      <c r="A68" s="8">
        <v>43061.332743055558</v>
      </c>
      <c r="B68" s="20" t="s">
        <v>666</v>
      </c>
      <c r="C68" s="20" t="s">
        <v>675</v>
      </c>
      <c r="D68" s="137">
        <v>1230000</v>
      </c>
      <c r="E68" s="20" t="s">
        <v>563</v>
      </c>
      <c r="F68" s="20" t="s">
        <v>564</v>
      </c>
      <c r="G68" s="8" t="str">
        <f t="shared" si="2"/>
        <v>YANAI IAN</v>
      </c>
      <c r="H68" s="20" t="str">
        <f t="shared" si="3"/>
        <v>4006</v>
      </c>
    </row>
    <row r="69" spans="1:8" x14ac:dyDescent="0.3">
      <c r="A69" s="8">
        <v>43061.33326388889</v>
      </c>
      <c r="B69" s="20" t="s">
        <v>666</v>
      </c>
      <c r="C69" s="20" t="s">
        <v>675</v>
      </c>
      <c r="D69" s="137">
        <v>1230000</v>
      </c>
      <c r="E69" s="20" t="s">
        <v>563</v>
      </c>
      <c r="F69" s="20" t="s">
        <v>564</v>
      </c>
      <c r="G69" s="8" t="str">
        <f t="shared" si="2"/>
        <v>YANAI IAN</v>
      </c>
      <c r="H69" s="20" t="str">
        <f t="shared" si="3"/>
        <v>4006</v>
      </c>
    </row>
    <row r="70" spans="1:8" x14ac:dyDescent="0.3">
      <c r="A70" s="8">
        <v>43061.333321759259</v>
      </c>
      <c r="B70" s="20" t="s">
        <v>712</v>
      </c>
      <c r="C70" s="20" t="s">
        <v>732</v>
      </c>
      <c r="D70" s="137">
        <v>3840000</v>
      </c>
      <c r="E70" s="20" t="s">
        <v>706</v>
      </c>
      <c r="F70" s="20" t="s">
        <v>707</v>
      </c>
      <c r="G70" s="8" t="str">
        <f t="shared" si="2"/>
        <v>LONG FULLER</v>
      </c>
      <c r="H70" s="20" t="str">
        <f t="shared" si="3"/>
        <v>4024</v>
      </c>
    </row>
    <row r="71" spans="1:8" x14ac:dyDescent="0.3">
      <c r="A71" s="8">
        <v>43061.33390046296</v>
      </c>
      <c r="B71" s="20" t="s">
        <v>666</v>
      </c>
      <c r="C71" s="20" t="s">
        <v>675</v>
      </c>
      <c r="D71" s="137">
        <v>1230000</v>
      </c>
      <c r="E71" s="20" t="s">
        <v>563</v>
      </c>
      <c r="F71" s="20" t="s">
        <v>564</v>
      </c>
      <c r="G71" s="8" t="str">
        <f t="shared" si="2"/>
        <v>YANAI IAN</v>
      </c>
      <c r="H71" s="20" t="str">
        <f t="shared" si="3"/>
        <v>4006</v>
      </c>
    </row>
    <row r="72" spans="1:8" x14ac:dyDescent="0.3">
      <c r="A72" s="8">
        <v>43061.33421296296</v>
      </c>
      <c r="B72" s="20" t="s">
        <v>492</v>
      </c>
      <c r="C72" s="20" t="s">
        <v>650</v>
      </c>
      <c r="D72" s="137">
        <v>330000</v>
      </c>
      <c r="E72" s="20" t="s">
        <v>565</v>
      </c>
      <c r="F72" s="20" t="s">
        <v>566</v>
      </c>
      <c r="G72" s="8" t="str">
        <f t="shared" si="2"/>
        <v>PELLITIER GEORGE</v>
      </c>
      <c r="H72" s="20" t="str">
        <f t="shared" si="3"/>
        <v>4027</v>
      </c>
    </row>
    <row r="73" spans="1:8" x14ac:dyDescent="0.3">
      <c r="A73" s="8">
        <v>43061.334456018521</v>
      </c>
      <c r="B73" s="20" t="s">
        <v>666</v>
      </c>
      <c r="C73" s="20" t="s">
        <v>675</v>
      </c>
      <c r="D73" s="137">
        <v>1230000</v>
      </c>
      <c r="E73" s="20" t="s">
        <v>563</v>
      </c>
      <c r="F73" s="20" t="s">
        <v>564</v>
      </c>
      <c r="G73" s="8" t="str">
        <f t="shared" si="2"/>
        <v>YANAI IAN</v>
      </c>
      <c r="H73" s="20" t="str">
        <f t="shared" si="3"/>
        <v>4006</v>
      </c>
    </row>
    <row r="74" spans="1:8" x14ac:dyDescent="0.3">
      <c r="A74" s="8">
        <v>43061.337638888886</v>
      </c>
      <c r="B74" s="20" t="s">
        <v>492</v>
      </c>
      <c r="C74" s="20" t="s">
        <v>650</v>
      </c>
      <c r="D74" s="137">
        <v>330000</v>
      </c>
      <c r="E74" s="20" t="s">
        <v>565</v>
      </c>
      <c r="F74" s="20" t="s">
        <v>566</v>
      </c>
      <c r="G74" s="8" t="str">
        <f t="shared" si="2"/>
        <v>PELLITIER GEORGE</v>
      </c>
      <c r="H74" s="20" t="str">
        <f t="shared" si="3"/>
        <v>4027</v>
      </c>
    </row>
    <row r="75" spans="1:8" x14ac:dyDescent="0.3">
      <c r="A75" s="8">
        <v>43061.340231481481</v>
      </c>
      <c r="B75" s="20" t="s">
        <v>664</v>
      </c>
      <c r="C75" s="20" t="s">
        <v>733</v>
      </c>
      <c r="D75" s="137">
        <v>3260000</v>
      </c>
      <c r="E75" s="20" t="s">
        <v>685</v>
      </c>
      <c r="F75" s="20" t="s">
        <v>686</v>
      </c>
      <c r="G75" s="8" t="str">
        <f t="shared" si="2"/>
        <v>PAGE MARCUS</v>
      </c>
      <c r="H75" s="20" t="str">
        <f t="shared" si="3"/>
        <v>4001</v>
      </c>
    </row>
    <row r="76" spans="1:8" x14ac:dyDescent="0.3">
      <c r="A76" s="8">
        <v>43061.344178240739</v>
      </c>
      <c r="B76" s="20" t="s">
        <v>556</v>
      </c>
      <c r="C76" s="20" t="s">
        <v>734</v>
      </c>
      <c r="D76" s="137">
        <v>2600000</v>
      </c>
      <c r="E76" s="20" t="s">
        <v>493</v>
      </c>
      <c r="F76" s="20" t="s">
        <v>483</v>
      </c>
      <c r="G76" s="8" t="str">
        <f t="shared" si="2"/>
        <v>DAVIDSON DAVID</v>
      </c>
      <c r="H76" s="20" t="str">
        <f t="shared" si="3"/>
        <v>4039</v>
      </c>
    </row>
    <row r="77" spans="1:8" x14ac:dyDescent="0.3">
      <c r="A77" s="8">
        <v>43061.348182870373</v>
      </c>
      <c r="B77" s="20" t="s">
        <v>454</v>
      </c>
      <c r="C77" s="20" t="s">
        <v>735</v>
      </c>
      <c r="D77" s="137">
        <v>3120000</v>
      </c>
      <c r="E77" s="20" t="s">
        <v>370</v>
      </c>
      <c r="F77" s="20" t="s">
        <v>527</v>
      </c>
      <c r="G77" s="8" t="str">
        <f t="shared" si="2"/>
        <v>THOMPSON LESTER</v>
      </c>
      <c r="H77" s="20" t="str">
        <f t="shared" si="3"/>
        <v>4050</v>
      </c>
    </row>
    <row r="78" spans="1:8" x14ac:dyDescent="0.3">
      <c r="A78" s="8">
        <v>43061.35050925926</v>
      </c>
      <c r="B78" s="20" t="s">
        <v>361</v>
      </c>
      <c r="C78" s="20" t="s">
        <v>736</v>
      </c>
      <c r="D78" s="137">
        <v>3180000</v>
      </c>
      <c r="E78" s="20" t="s">
        <v>730</v>
      </c>
      <c r="F78" s="20" t="s">
        <v>731</v>
      </c>
      <c r="G78" s="8" t="str">
        <f t="shared" si="2"/>
        <v>HUFFSMITH MONTY</v>
      </c>
      <c r="H78" s="20" t="str">
        <f t="shared" si="3"/>
        <v>4018</v>
      </c>
    </row>
    <row r="79" spans="1:8" x14ac:dyDescent="0.3">
      <c r="A79" s="8">
        <v>43061.352592592593</v>
      </c>
      <c r="B79" s="20" t="s">
        <v>642</v>
      </c>
      <c r="C79" s="20" t="s">
        <v>737</v>
      </c>
      <c r="D79" s="137">
        <v>3840000</v>
      </c>
      <c r="E79" s="20" t="s">
        <v>706</v>
      </c>
      <c r="F79" s="20" t="s">
        <v>707</v>
      </c>
      <c r="G79" s="8" t="str">
        <f t="shared" si="2"/>
        <v>LONG FULLER</v>
      </c>
      <c r="H79" s="20" t="str">
        <f t="shared" si="3"/>
        <v>4023</v>
      </c>
    </row>
    <row r="80" spans="1:8" x14ac:dyDescent="0.3">
      <c r="A80" s="8">
        <v>43061.353171296294</v>
      </c>
      <c r="B80" s="20" t="s">
        <v>644</v>
      </c>
      <c r="C80" s="20" t="s">
        <v>738</v>
      </c>
      <c r="D80" s="137">
        <v>2470000</v>
      </c>
      <c r="E80" s="20" t="s">
        <v>694</v>
      </c>
      <c r="F80" s="20" t="s">
        <v>695</v>
      </c>
      <c r="G80" s="8" t="str">
        <f t="shared" si="2"/>
        <v>ROMERO CHAD</v>
      </c>
      <c r="H80" s="20" t="str">
        <f t="shared" si="3"/>
        <v>4026</v>
      </c>
    </row>
    <row r="81" spans="1:8" x14ac:dyDescent="0.3">
      <c r="A81" s="8">
        <v>43061.361435185187</v>
      </c>
      <c r="B81" s="20" t="s">
        <v>654</v>
      </c>
      <c r="C81" s="20" t="s">
        <v>739</v>
      </c>
      <c r="D81" s="137">
        <v>3000000</v>
      </c>
      <c r="E81" s="20" t="s">
        <v>504</v>
      </c>
      <c r="F81" s="20" t="s">
        <v>505</v>
      </c>
      <c r="G81" s="8" t="str">
        <f t="shared" si="2"/>
        <v>FORTUNATO FRANK</v>
      </c>
      <c r="H81" s="20" t="str">
        <f t="shared" si="3"/>
        <v>4015</v>
      </c>
    </row>
    <row r="82" spans="1:8" x14ac:dyDescent="0.3">
      <c r="A82" s="8">
        <v>43061.364224537036</v>
      </c>
      <c r="B82" s="20" t="s">
        <v>690</v>
      </c>
      <c r="C82" s="20" t="s">
        <v>740</v>
      </c>
      <c r="D82" s="137">
        <v>1230000</v>
      </c>
      <c r="E82" s="20" t="s">
        <v>563</v>
      </c>
      <c r="F82" s="20" t="s">
        <v>564</v>
      </c>
      <c r="G82" s="8" t="str">
        <f t="shared" si="2"/>
        <v>YANAI IAN</v>
      </c>
      <c r="H82" s="20" t="str">
        <f t="shared" si="3"/>
        <v>4005</v>
      </c>
    </row>
    <row r="83" spans="1:8" x14ac:dyDescent="0.3">
      <c r="A83" s="8">
        <v>43061.365717592591</v>
      </c>
      <c r="B83" s="20" t="s">
        <v>491</v>
      </c>
      <c r="C83" s="20" t="s">
        <v>741</v>
      </c>
      <c r="D83" s="137">
        <v>940000</v>
      </c>
      <c r="E83" s="20" t="s">
        <v>673</v>
      </c>
      <c r="F83" s="20" t="s">
        <v>674</v>
      </c>
      <c r="G83" s="8" t="str">
        <f t="shared" si="2"/>
        <v>BONDS REYNALDO</v>
      </c>
      <c r="H83" s="20" t="str">
        <f t="shared" si="3"/>
        <v>4020</v>
      </c>
    </row>
    <row r="84" spans="1:8" x14ac:dyDescent="0.3">
      <c r="A84" s="8">
        <v>43061.370995370373</v>
      </c>
      <c r="B84" s="20" t="s">
        <v>687</v>
      </c>
      <c r="C84" s="20" t="s">
        <v>742</v>
      </c>
      <c r="D84" s="137">
        <v>3260000</v>
      </c>
      <c r="E84" s="20" t="s">
        <v>685</v>
      </c>
      <c r="F84" s="20" t="s">
        <v>686</v>
      </c>
      <c r="G84" s="8" t="str">
        <f t="shared" si="2"/>
        <v>PAGE MARCUS</v>
      </c>
      <c r="H84" s="20" t="str">
        <f t="shared" si="3"/>
        <v>4002</v>
      </c>
    </row>
    <row r="85" spans="1:8" x14ac:dyDescent="0.3">
      <c r="A85" s="8">
        <v>43061.374664351853</v>
      </c>
      <c r="B85" s="20" t="s">
        <v>712</v>
      </c>
      <c r="C85" s="20" t="s">
        <v>743</v>
      </c>
      <c r="D85" s="137">
        <v>3840000</v>
      </c>
      <c r="E85" s="20" t="s">
        <v>706</v>
      </c>
      <c r="F85" s="20" t="s">
        <v>707</v>
      </c>
      <c r="G85" s="8" t="str">
        <f t="shared" si="2"/>
        <v>LONG FULLER</v>
      </c>
      <c r="H85" s="20" t="str">
        <f t="shared" si="3"/>
        <v>4024</v>
      </c>
    </row>
    <row r="86" spans="1:8" x14ac:dyDescent="0.3">
      <c r="A86" s="8">
        <v>43061.376493055555</v>
      </c>
      <c r="B86" s="20" t="s">
        <v>392</v>
      </c>
      <c r="C86" s="20" t="s">
        <v>744</v>
      </c>
      <c r="D86" s="137">
        <v>1260000</v>
      </c>
      <c r="E86" s="20" t="s">
        <v>561</v>
      </c>
      <c r="F86" s="20" t="s">
        <v>562</v>
      </c>
      <c r="G86" s="8" t="str">
        <f t="shared" si="2"/>
        <v>ACKERMAN JARED</v>
      </c>
      <c r="H86" s="20" t="str">
        <f t="shared" si="3"/>
        <v>4028</v>
      </c>
    </row>
    <row r="87" spans="1:8" x14ac:dyDescent="0.3">
      <c r="A87" s="8">
        <v>43061.3827662037</v>
      </c>
      <c r="B87" s="20" t="s">
        <v>453</v>
      </c>
      <c r="C87" s="20" t="s">
        <v>652</v>
      </c>
      <c r="D87" s="137">
        <v>3120000</v>
      </c>
      <c r="E87" s="20" t="s">
        <v>370</v>
      </c>
      <c r="F87" s="20" t="s">
        <v>527</v>
      </c>
      <c r="G87" s="8" t="str">
        <f t="shared" si="2"/>
        <v>THOMPSON LESTER</v>
      </c>
      <c r="H87" s="20" t="str">
        <f t="shared" si="3"/>
        <v>4049</v>
      </c>
    </row>
    <row r="88" spans="1:8" x14ac:dyDescent="0.3">
      <c r="A88" s="8">
        <v>43061.383877314816</v>
      </c>
      <c r="B88" s="20" t="s">
        <v>363</v>
      </c>
      <c r="C88" s="20" t="s">
        <v>745</v>
      </c>
      <c r="D88" s="137">
        <v>3180000</v>
      </c>
      <c r="E88" s="20" t="s">
        <v>730</v>
      </c>
      <c r="F88" s="20" t="s">
        <v>731</v>
      </c>
      <c r="G88" s="8" t="str">
        <f t="shared" si="2"/>
        <v>HUFFSMITH MONTY</v>
      </c>
      <c r="H88" s="20" t="str">
        <f t="shared" si="3"/>
        <v>4017</v>
      </c>
    </row>
    <row r="89" spans="1:8" x14ac:dyDescent="0.3">
      <c r="A89" s="8">
        <v>43061.384016203701</v>
      </c>
      <c r="B89" s="20" t="s">
        <v>453</v>
      </c>
      <c r="C89" s="20" t="s">
        <v>652</v>
      </c>
      <c r="D89" s="137">
        <v>3120000</v>
      </c>
      <c r="E89" s="20" t="s">
        <v>370</v>
      </c>
      <c r="F89" s="20" t="s">
        <v>527</v>
      </c>
      <c r="G89" s="8" t="str">
        <f t="shared" si="2"/>
        <v>THOMPSON LESTER</v>
      </c>
      <c r="H89" s="20" t="str">
        <f t="shared" si="3"/>
        <v>4049</v>
      </c>
    </row>
    <row r="90" spans="1:8" x14ac:dyDescent="0.3">
      <c r="A90" s="8">
        <v>43061.384189814817</v>
      </c>
      <c r="B90" s="20" t="s">
        <v>555</v>
      </c>
      <c r="C90" s="20" t="s">
        <v>746</v>
      </c>
      <c r="D90" s="137">
        <v>2600000</v>
      </c>
      <c r="E90" s="20" t="s">
        <v>493</v>
      </c>
      <c r="F90" s="20" t="s">
        <v>483</v>
      </c>
      <c r="G90" s="8" t="str">
        <f t="shared" si="2"/>
        <v>DAVIDSON DAVID</v>
      </c>
      <c r="H90" s="20" t="str">
        <f t="shared" si="3"/>
        <v>4040</v>
      </c>
    </row>
    <row r="91" spans="1:8" x14ac:dyDescent="0.3">
      <c r="A91" s="8">
        <v>43061.390868055554</v>
      </c>
      <c r="B91" s="20" t="s">
        <v>669</v>
      </c>
      <c r="C91" s="20" t="s">
        <v>747</v>
      </c>
      <c r="D91" s="137">
        <v>3000000</v>
      </c>
      <c r="E91" s="20" t="s">
        <v>504</v>
      </c>
      <c r="F91" s="20" t="s">
        <v>505</v>
      </c>
      <c r="G91" s="8" t="str">
        <f t="shared" si="2"/>
        <v>FORTUNATO FRANK</v>
      </c>
      <c r="H91" s="20" t="str">
        <f t="shared" si="3"/>
        <v>4016</v>
      </c>
    </row>
    <row r="92" spans="1:8" x14ac:dyDescent="0.3">
      <c r="A92" s="8">
        <v>43061.394479166665</v>
      </c>
      <c r="B92" s="20" t="s">
        <v>642</v>
      </c>
      <c r="C92" s="20" t="s">
        <v>748</v>
      </c>
      <c r="D92" s="137">
        <v>3840000</v>
      </c>
      <c r="E92" s="20" t="s">
        <v>706</v>
      </c>
      <c r="F92" s="20" t="s">
        <v>707</v>
      </c>
      <c r="G92" s="8" t="str">
        <f t="shared" si="2"/>
        <v>LONG FULLER</v>
      </c>
      <c r="H92" s="20" t="str">
        <f t="shared" si="3"/>
        <v>4023</v>
      </c>
    </row>
    <row r="93" spans="1:8" x14ac:dyDescent="0.3">
      <c r="A93" s="8">
        <v>43061.400358796294</v>
      </c>
      <c r="B93" s="20" t="s">
        <v>490</v>
      </c>
      <c r="C93" s="20" t="s">
        <v>653</v>
      </c>
      <c r="D93" s="137">
        <v>940000</v>
      </c>
      <c r="E93" s="20" t="s">
        <v>673</v>
      </c>
      <c r="F93" s="20" t="s">
        <v>674</v>
      </c>
      <c r="G93" s="8" t="str">
        <f t="shared" si="2"/>
        <v>BONDS REYNALDO</v>
      </c>
      <c r="H93" s="20" t="str">
        <f t="shared" si="3"/>
        <v>4019</v>
      </c>
    </row>
    <row r="94" spans="1:8" x14ac:dyDescent="0.3">
      <c r="A94" s="8">
        <v>43061.402199074073</v>
      </c>
      <c r="B94" s="20" t="s">
        <v>666</v>
      </c>
      <c r="C94" s="20" t="s">
        <v>675</v>
      </c>
      <c r="D94" s="137">
        <v>1230000</v>
      </c>
      <c r="E94" s="20" t="s">
        <v>563</v>
      </c>
      <c r="F94" s="20" t="s">
        <v>564</v>
      </c>
      <c r="G94" s="8" t="str">
        <f t="shared" si="2"/>
        <v>YANAI IAN</v>
      </c>
      <c r="H94" s="20" t="str">
        <f t="shared" si="3"/>
        <v>4006</v>
      </c>
    </row>
    <row r="95" spans="1:8" x14ac:dyDescent="0.3">
      <c r="A95" s="8">
        <v>43061.409861111111</v>
      </c>
      <c r="B95" s="20" t="s">
        <v>664</v>
      </c>
      <c r="C95" s="20" t="s">
        <v>749</v>
      </c>
      <c r="D95" s="137">
        <v>3260000</v>
      </c>
      <c r="E95" s="20" t="s">
        <v>685</v>
      </c>
      <c r="F95" s="20" t="s">
        <v>686</v>
      </c>
      <c r="G95" s="8" t="str">
        <f t="shared" si="2"/>
        <v>PAGE MARCUS</v>
      </c>
      <c r="H95" s="20" t="str">
        <f t="shared" si="3"/>
        <v>4001</v>
      </c>
    </row>
    <row r="96" spans="1:8" x14ac:dyDescent="0.3">
      <c r="A96" s="8">
        <v>43061.412488425929</v>
      </c>
      <c r="B96" s="20" t="s">
        <v>556</v>
      </c>
      <c r="C96" s="20" t="s">
        <v>750</v>
      </c>
      <c r="D96" s="137">
        <v>2600000</v>
      </c>
      <c r="E96" s="20" t="s">
        <v>493</v>
      </c>
      <c r="F96" s="20" t="s">
        <v>483</v>
      </c>
      <c r="G96" s="8" t="str">
        <f t="shared" si="2"/>
        <v>DAVIDSON DAVID</v>
      </c>
      <c r="H96" s="20" t="str">
        <f t="shared" si="3"/>
        <v>4039</v>
      </c>
    </row>
    <row r="97" spans="1:8" x14ac:dyDescent="0.3">
      <c r="A97" s="8">
        <v>43061.414641203701</v>
      </c>
      <c r="B97" s="20" t="s">
        <v>712</v>
      </c>
      <c r="C97" s="20" t="s">
        <v>751</v>
      </c>
      <c r="D97" s="137">
        <v>3840000</v>
      </c>
      <c r="E97" s="20" t="s">
        <v>706</v>
      </c>
      <c r="F97" s="20" t="s">
        <v>707</v>
      </c>
      <c r="G97" s="8" t="str">
        <f t="shared" si="2"/>
        <v>LONG FULLER</v>
      </c>
      <c r="H97" s="20" t="str">
        <f t="shared" si="3"/>
        <v>4024</v>
      </c>
    </row>
    <row r="98" spans="1:8" x14ac:dyDescent="0.3">
      <c r="A98" s="8">
        <v>43061.415833333333</v>
      </c>
      <c r="B98" s="20" t="s">
        <v>454</v>
      </c>
      <c r="C98" s="20" t="s">
        <v>656</v>
      </c>
      <c r="D98" s="137">
        <v>3120000</v>
      </c>
      <c r="E98" s="20" t="s">
        <v>370</v>
      </c>
      <c r="F98" s="20" t="s">
        <v>527</v>
      </c>
      <c r="G98" s="8" t="str">
        <f t="shared" si="2"/>
        <v>THOMPSON LESTER</v>
      </c>
      <c r="H98" s="20" t="str">
        <f t="shared" si="3"/>
        <v>4050</v>
      </c>
    </row>
    <row r="99" spans="1:8" x14ac:dyDescent="0.3">
      <c r="A99" s="8">
        <v>43061.424166666664</v>
      </c>
      <c r="B99" s="20" t="s">
        <v>361</v>
      </c>
      <c r="C99" s="20" t="s">
        <v>752</v>
      </c>
      <c r="D99" s="137">
        <v>2470000</v>
      </c>
      <c r="E99" s="20" t="s">
        <v>694</v>
      </c>
      <c r="F99" s="20" t="s">
        <v>695</v>
      </c>
      <c r="G99" s="8" t="str">
        <f t="shared" si="2"/>
        <v>ROMERO CHAD</v>
      </c>
      <c r="H99" s="20" t="str">
        <f t="shared" si="3"/>
        <v>4018</v>
      </c>
    </row>
    <row r="100" spans="1:8" x14ac:dyDescent="0.3">
      <c r="A100" s="8">
        <v>43061.42559027778</v>
      </c>
      <c r="B100" s="20" t="s">
        <v>654</v>
      </c>
      <c r="C100" s="20" t="s">
        <v>655</v>
      </c>
      <c r="D100" s="137">
        <v>3000000</v>
      </c>
      <c r="E100" s="20" t="s">
        <v>504</v>
      </c>
      <c r="F100" s="20" t="s">
        <v>505</v>
      </c>
      <c r="G100" s="8" t="str">
        <f t="shared" si="2"/>
        <v>FORTUNATO FRANK</v>
      </c>
      <c r="H100" s="20" t="str">
        <f t="shared" si="3"/>
        <v>4015</v>
      </c>
    </row>
    <row r="101" spans="1:8" x14ac:dyDescent="0.3">
      <c r="A101" s="8">
        <v>43061.433749999997</v>
      </c>
      <c r="B101" s="20" t="s">
        <v>690</v>
      </c>
      <c r="C101" s="20" t="s">
        <v>753</v>
      </c>
      <c r="D101" s="137">
        <v>1230000</v>
      </c>
      <c r="E101" s="20" t="s">
        <v>563</v>
      </c>
      <c r="F101" s="20" t="s">
        <v>564</v>
      </c>
      <c r="G101" s="8" t="str">
        <f t="shared" si="2"/>
        <v>YANAI IAN</v>
      </c>
      <c r="H101" s="20" t="str">
        <f t="shared" si="3"/>
        <v>4005</v>
      </c>
    </row>
    <row r="102" spans="1:8" x14ac:dyDescent="0.3">
      <c r="A102" s="8">
        <v>43061.435162037036</v>
      </c>
      <c r="B102" s="20" t="s">
        <v>642</v>
      </c>
      <c r="C102" s="20" t="s">
        <v>754</v>
      </c>
      <c r="D102" s="137">
        <v>3840000</v>
      </c>
      <c r="E102" s="20" t="s">
        <v>706</v>
      </c>
      <c r="F102" s="20" t="s">
        <v>707</v>
      </c>
      <c r="G102" s="8" t="str">
        <f t="shared" si="2"/>
        <v>LONG FULLER</v>
      </c>
      <c r="H102" s="20" t="str">
        <f t="shared" si="3"/>
        <v>4023</v>
      </c>
    </row>
    <row r="103" spans="1:8" x14ac:dyDescent="0.3">
      <c r="A103" s="8">
        <v>43061.435335648152</v>
      </c>
      <c r="B103" s="20" t="s">
        <v>491</v>
      </c>
      <c r="C103" s="20" t="s">
        <v>755</v>
      </c>
      <c r="D103" s="137">
        <v>1340000</v>
      </c>
      <c r="E103" s="20" t="s">
        <v>756</v>
      </c>
      <c r="F103" s="20" t="s">
        <v>757</v>
      </c>
      <c r="G103" s="8" t="str">
        <f t="shared" si="2"/>
        <v>BEAM ROSS</v>
      </c>
      <c r="H103" s="20" t="str">
        <f t="shared" si="3"/>
        <v>4020</v>
      </c>
    </row>
    <row r="104" spans="1:8" x14ac:dyDescent="0.3">
      <c r="A104" s="8">
        <v>43061.445057870369</v>
      </c>
      <c r="B104" s="20" t="s">
        <v>687</v>
      </c>
      <c r="C104" s="20" t="s">
        <v>758</v>
      </c>
      <c r="D104" s="137">
        <v>920000</v>
      </c>
      <c r="E104" s="20" t="s">
        <v>529</v>
      </c>
      <c r="F104" s="20" t="s">
        <v>353</v>
      </c>
      <c r="G104" s="8" t="str">
        <f t="shared" si="2"/>
        <v>DAVIS MICHAEL</v>
      </c>
      <c r="H104" s="20" t="str">
        <f t="shared" si="3"/>
        <v>4002</v>
      </c>
    </row>
    <row r="105" spans="1:8" x14ac:dyDescent="0.3">
      <c r="A105" s="8">
        <v>43061.454768518517</v>
      </c>
      <c r="B105" s="20" t="s">
        <v>555</v>
      </c>
      <c r="C105" s="20" t="s">
        <v>759</v>
      </c>
      <c r="D105" s="137">
        <v>1780000</v>
      </c>
      <c r="E105" s="20" t="s">
        <v>570</v>
      </c>
      <c r="F105" s="20" t="s">
        <v>571</v>
      </c>
      <c r="G105" s="8" t="str">
        <f t="shared" si="2"/>
        <v>DE LA ROSA ALEX</v>
      </c>
      <c r="H105" s="20" t="str">
        <f t="shared" si="3"/>
        <v>4040</v>
      </c>
    </row>
    <row r="106" spans="1:8" x14ac:dyDescent="0.3">
      <c r="A106" s="8">
        <v>43061.45553240741</v>
      </c>
      <c r="B106" s="20" t="s">
        <v>363</v>
      </c>
      <c r="C106" s="20" t="s">
        <v>760</v>
      </c>
      <c r="D106" s="137">
        <v>2470000</v>
      </c>
      <c r="E106" s="20" t="s">
        <v>694</v>
      </c>
      <c r="F106" s="20" t="s">
        <v>695</v>
      </c>
      <c r="G106" s="8" t="str">
        <f t="shared" si="2"/>
        <v>ROMERO CHAD</v>
      </c>
      <c r="H106" s="20" t="str">
        <f t="shared" si="3"/>
        <v>4017</v>
      </c>
    </row>
    <row r="107" spans="1:8" x14ac:dyDescent="0.3">
      <c r="A107" s="8">
        <v>43061.455833333333</v>
      </c>
      <c r="B107" s="20" t="s">
        <v>453</v>
      </c>
      <c r="C107" s="20" t="s">
        <v>761</v>
      </c>
      <c r="D107" s="137">
        <v>3120000</v>
      </c>
      <c r="E107" s="20" t="s">
        <v>370</v>
      </c>
      <c r="F107" s="20" t="s">
        <v>527</v>
      </c>
      <c r="G107" s="8" t="str">
        <f t="shared" si="2"/>
        <v>THOMPSON LESTER</v>
      </c>
      <c r="H107" s="20" t="str">
        <f t="shared" si="3"/>
        <v>4049</v>
      </c>
    </row>
    <row r="108" spans="1:8" x14ac:dyDescent="0.3">
      <c r="A108" s="8">
        <v>43061.459340277775</v>
      </c>
      <c r="B108" s="20" t="s">
        <v>712</v>
      </c>
      <c r="C108" s="20" t="s">
        <v>762</v>
      </c>
      <c r="D108" s="137">
        <v>3840000</v>
      </c>
      <c r="E108" s="20" t="s">
        <v>706</v>
      </c>
      <c r="F108" s="20" t="s">
        <v>707</v>
      </c>
      <c r="G108" s="8" t="str">
        <f t="shared" si="2"/>
        <v>LONG FULLER</v>
      </c>
      <c r="H108" s="20" t="str">
        <f t="shared" si="3"/>
        <v>4024</v>
      </c>
    </row>
    <row r="109" spans="1:8" x14ac:dyDescent="0.3">
      <c r="A109" s="8">
        <v>43061.463935185187</v>
      </c>
      <c r="B109" s="20" t="s">
        <v>490</v>
      </c>
      <c r="C109" s="20" t="s">
        <v>763</v>
      </c>
      <c r="D109" s="137">
        <v>1340000</v>
      </c>
      <c r="E109" s="20" t="s">
        <v>756</v>
      </c>
      <c r="F109" s="20" t="s">
        <v>757</v>
      </c>
      <c r="G109" s="8" t="str">
        <f t="shared" si="2"/>
        <v>BEAM ROSS</v>
      </c>
      <c r="H109" s="20" t="str">
        <f t="shared" si="3"/>
        <v>4019</v>
      </c>
    </row>
    <row r="110" spans="1:8" x14ac:dyDescent="0.3">
      <c r="A110" s="8">
        <v>43061.466863425929</v>
      </c>
      <c r="B110" s="20" t="s">
        <v>669</v>
      </c>
      <c r="C110" s="20" t="s">
        <v>764</v>
      </c>
      <c r="D110" s="137">
        <v>1770000</v>
      </c>
      <c r="E110" s="20" t="s">
        <v>567</v>
      </c>
      <c r="F110" s="20" t="s">
        <v>568</v>
      </c>
      <c r="G110" s="8" t="str">
        <f t="shared" si="2"/>
        <v>BRUDER RICHARD</v>
      </c>
      <c r="H110" s="20" t="str">
        <f t="shared" si="3"/>
        <v>4016</v>
      </c>
    </row>
    <row r="111" spans="1:8" x14ac:dyDescent="0.3">
      <c r="A111" s="8">
        <v>43061.474861111114</v>
      </c>
      <c r="B111" s="20" t="s">
        <v>666</v>
      </c>
      <c r="C111" s="20" t="s">
        <v>765</v>
      </c>
      <c r="D111" s="137">
        <v>880000</v>
      </c>
      <c r="E111" s="20" t="s">
        <v>528</v>
      </c>
      <c r="F111" s="20" t="s">
        <v>353</v>
      </c>
      <c r="G111" s="8" t="str">
        <f t="shared" si="2"/>
        <v>STEWART MICHAEL</v>
      </c>
      <c r="H111" s="20" t="str">
        <f t="shared" si="3"/>
        <v>4006</v>
      </c>
    </row>
    <row r="112" spans="1:8" x14ac:dyDescent="0.3">
      <c r="A112" s="8">
        <v>43061.476747685185</v>
      </c>
      <c r="B112" s="20" t="s">
        <v>642</v>
      </c>
      <c r="C112" s="20" t="s">
        <v>657</v>
      </c>
      <c r="D112" s="137">
        <v>3840000</v>
      </c>
      <c r="E112" s="20" t="s">
        <v>706</v>
      </c>
      <c r="F112" s="20" t="s">
        <v>707</v>
      </c>
      <c r="G112" s="8" t="str">
        <f t="shared" si="2"/>
        <v>LONG FULLER</v>
      </c>
      <c r="H112" s="20" t="str">
        <f t="shared" si="3"/>
        <v>4023</v>
      </c>
    </row>
    <row r="113" spans="1:8" x14ac:dyDescent="0.3">
      <c r="A113" s="8">
        <v>43061.485671296294</v>
      </c>
      <c r="B113" s="20" t="s">
        <v>454</v>
      </c>
      <c r="C113" s="20" t="s">
        <v>766</v>
      </c>
      <c r="D113" s="137">
        <v>3670000</v>
      </c>
      <c r="E113" s="20" t="s">
        <v>383</v>
      </c>
      <c r="F113" s="20" t="s">
        <v>369</v>
      </c>
      <c r="G113" s="8" t="str">
        <f t="shared" si="2"/>
        <v>ANDREA WILLIAMS</v>
      </c>
      <c r="H113" s="20" t="str">
        <f t="shared" si="3"/>
        <v>4050</v>
      </c>
    </row>
    <row r="114" spans="1:8" x14ac:dyDescent="0.3">
      <c r="A114" s="8">
        <v>43061.486701388887</v>
      </c>
      <c r="B114" s="20" t="s">
        <v>664</v>
      </c>
      <c r="C114" s="20" t="s">
        <v>767</v>
      </c>
      <c r="D114" s="137">
        <v>920000</v>
      </c>
      <c r="E114" s="20" t="s">
        <v>529</v>
      </c>
      <c r="F114" s="20" t="s">
        <v>353</v>
      </c>
      <c r="G114" s="8" t="str">
        <f t="shared" si="2"/>
        <v>DAVIS MICHAEL</v>
      </c>
      <c r="H114" s="20" t="str">
        <f t="shared" si="3"/>
        <v>4001</v>
      </c>
    </row>
    <row r="115" spans="1:8" x14ac:dyDescent="0.3">
      <c r="A115" s="8">
        <v>43061.49423611111</v>
      </c>
      <c r="B115" s="20" t="s">
        <v>361</v>
      </c>
      <c r="C115" s="20" t="s">
        <v>768</v>
      </c>
      <c r="D115" s="137">
        <v>2030000</v>
      </c>
      <c r="E115" s="20" t="s">
        <v>769</v>
      </c>
      <c r="F115" s="20" t="s">
        <v>483</v>
      </c>
      <c r="G115" s="8" t="str">
        <f t="shared" si="2"/>
        <v>KILLION DAVID</v>
      </c>
      <c r="H115" s="20" t="str">
        <f t="shared" si="3"/>
        <v>4018</v>
      </c>
    </row>
    <row r="116" spans="1:8" x14ac:dyDescent="0.3">
      <c r="A116" s="8">
        <v>43061.496238425927</v>
      </c>
      <c r="B116" s="20" t="s">
        <v>556</v>
      </c>
      <c r="C116" s="20" t="s">
        <v>770</v>
      </c>
      <c r="D116" s="137">
        <v>1780000</v>
      </c>
      <c r="E116" s="20" t="s">
        <v>570</v>
      </c>
      <c r="F116" s="20" t="s">
        <v>571</v>
      </c>
      <c r="G116" s="8" t="str">
        <f t="shared" si="2"/>
        <v>DE LA ROSA ALEX</v>
      </c>
      <c r="H116" s="20" t="str">
        <f t="shared" si="3"/>
        <v>4039</v>
      </c>
    </row>
    <row r="117" spans="1:8" x14ac:dyDescent="0.3">
      <c r="A117" s="8">
        <v>43061.499618055554</v>
      </c>
      <c r="B117" s="20" t="s">
        <v>712</v>
      </c>
      <c r="C117" s="20" t="s">
        <v>771</v>
      </c>
      <c r="D117" s="137">
        <v>3840000</v>
      </c>
      <c r="E117" s="20" t="s">
        <v>706</v>
      </c>
      <c r="F117" s="20" t="s">
        <v>707</v>
      </c>
      <c r="G117" s="8" t="str">
        <f t="shared" si="2"/>
        <v>LONG FULLER</v>
      </c>
      <c r="H117" s="20" t="str">
        <f t="shared" si="3"/>
        <v>4024</v>
      </c>
    </row>
    <row r="118" spans="1:8" x14ac:dyDescent="0.3">
      <c r="A118" s="8">
        <v>43061.505462962959</v>
      </c>
      <c r="B118" s="20" t="s">
        <v>491</v>
      </c>
      <c r="C118" s="20" t="s">
        <v>772</v>
      </c>
      <c r="D118" s="137">
        <v>2350000</v>
      </c>
      <c r="E118" s="20" t="s">
        <v>773</v>
      </c>
      <c r="F118" s="20" t="s">
        <v>774</v>
      </c>
      <c r="G118" s="8" t="str">
        <f t="shared" si="2"/>
        <v>BERLING GARY</v>
      </c>
      <c r="H118" s="20" t="str">
        <f t="shared" si="3"/>
        <v>4020</v>
      </c>
    </row>
    <row r="119" spans="1:8" x14ac:dyDescent="0.3">
      <c r="A119" s="8">
        <v>43061.505925925929</v>
      </c>
      <c r="B119" s="20" t="s">
        <v>654</v>
      </c>
      <c r="C119" s="20" t="s">
        <v>775</v>
      </c>
      <c r="D119" s="137">
        <v>1770000</v>
      </c>
      <c r="E119" s="20" t="s">
        <v>567</v>
      </c>
      <c r="F119" s="20" t="s">
        <v>568</v>
      </c>
      <c r="G119" s="8" t="str">
        <f t="shared" si="2"/>
        <v>BRUDER RICHARD</v>
      </c>
      <c r="H119" s="20" t="str">
        <f t="shared" si="3"/>
        <v>4015</v>
      </c>
    </row>
    <row r="120" spans="1:8" x14ac:dyDescent="0.3">
      <c r="A120" s="8">
        <v>43061.516377314816</v>
      </c>
      <c r="B120" s="20" t="s">
        <v>690</v>
      </c>
      <c r="C120" s="20" t="s">
        <v>776</v>
      </c>
      <c r="D120" s="137">
        <v>880000</v>
      </c>
      <c r="E120" s="20" t="s">
        <v>528</v>
      </c>
      <c r="F120" s="20" t="s">
        <v>353</v>
      </c>
      <c r="G120" s="8" t="str">
        <f t="shared" si="2"/>
        <v>STEWART MICHAEL</v>
      </c>
      <c r="H120" s="20" t="str">
        <f t="shared" si="3"/>
        <v>4005</v>
      </c>
    </row>
    <row r="121" spans="1:8" x14ac:dyDescent="0.3">
      <c r="A121" s="8">
        <v>43061.517407407409</v>
      </c>
      <c r="B121" s="20" t="s">
        <v>453</v>
      </c>
      <c r="C121" s="20" t="s">
        <v>658</v>
      </c>
      <c r="D121" s="137">
        <v>3670000</v>
      </c>
      <c r="E121" s="20" t="s">
        <v>383</v>
      </c>
      <c r="F121" s="20" t="s">
        <v>369</v>
      </c>
      <c r="G121" s="8" t="str">
        <f t="shared" si="2"/>
        <v>ANDREA WILLIAMS</v>
      </c>
      <c r="H121" s="20" t="str">
        <f t="shared" si="3"/>
        <v>4049</v>
      </c>
    </row>
    <row r="122" spans="1:8" x14ac:dyDescent="0.3">
      <c r="A122" s="8">
        <v>43061.517569444448</v>
      </c>
      <c r="B122" s="25" t="s">
        <v>642</v>
      </c>
      <c r="C122" s="20" t="s">
        <v>777</v>
      </c>
      <c r="D122" s="137">
        <v>3840000</v>
      </c>
      <c r="E122" s="20" t="s">
        <v>706</v>
      </c>
      <c r="F122" s="20" t="s">
        <v>707</v>
      </c>
      <c r="G122" s="8" t="str">
        <f t="shared" si="2"/>
        <v>LONG FULLER</v>
      </c>
      <c r="H122" s="20" t="str">
        <f t="shared" si="3"/>
        <v>4023</v>
      </c>
    </row>
    <row r="123" spans="1:8" x14ac:dyDescent="0.3">
      <c r="A123" s="8">
        <v>43061.519849537035</v>
      </c>
      <c r="B123" s="20" t="s">
        <v>687</v>
      </c>
      <c r="C123" s="20" t="s">
        <v>778</v>
      </c>
      <c r="D123" s="137">
        <v>920000</v>
      </c>
      <c r="E123" s="20" t="s">
        <v>529</v>
      </c>
      <c r="F123" s="20" t="s">
        <v>353</v>
      </c>
      <c r="G123" s="8" t="str">
        <f t="shared" si="2"/>
        <v>DAVIS MICHAEL</v>
      </c>
      <c r="H123" s="20" t="str">
        <f t="shared" si="3"/>
        <v>4002</v>
      </c>
    </row>
    <row r="124" spans="1:8" x14ac:dyDescent="0.3">
      <c r="A124" s="8">
        <v>43061.528495370374</v>
      </c>
      <c r="B124" s="20" t="s">
        <v>555</v>
      </c>
      <c r="C124" s="20" t="s">
        <v>779</v>
      </c>
      <c r="D124" s="137">
        <v>3700000</v>
      </c>
      <c r="E124" s="20" t="s">
        <v>455</v>
      </c>
      <c r="F124" s="20" t="s">
        <v>370</v>
      </c>
      <c r="G124" s="8" t="str">
        <f t="shared" si="2"/>
        <v>AUSTIN THOMPSON</v>
      </c>
      <c r="H124" s="20" t="str">
        <f t="shared" si="3"/>
        <v>4040</v>
      </c>
    </row>
    <row r="125" spans="1:8" x14ac:dyDescent="0.3">
      <c r="A125" s="8">
        <v>43061.531701388885</v>
      </c>
      <c r="B125" s="20" t="s">
        <v>363</v>
      </c>
      <c r="C125" s="20" t="s">
        <v>780</v>
      </c>
      <c r="D125" s="137">
        <v>2030000</v>
      </c>
      <c r="E125" s="20" t="s">
        <v>769</v>
      </c>
      <c r="F125" s="20" t="s">
        <v>483</v>
      </c>
      <c r="G125" s="8" t="str">
        <f t="shared" si="2"/>
        <v>KILLION DAVID</v>
      </c>
      <c r="H125" s="20" t="str">
        <f t="shared" si="3"/>
        <v>4017</v>
      </c>
    </row>
    <row r="126" spans="1:8" x14ac:dyDescent="0.3">
      <c r="A126" s="8">
        <v>43061.53869212963</v>
      </c>
      <c r="B126" s="20" t="s">
        <v>669</v>
      </c>
      <c r="C126" s="20" t="s">
        <v>781</v>
      </c>
      <c r="D126" s="137">
        <v>1770000</v>
      </c>
      <c r="E126" s="20" t="s">
        <v>567</v>
      </c>
      <c r="F126" s="20" t="s">
        <v>568</v>
      </c>
      <c r="G126" s="8" t="str">
        <f t="shared" si="2"/>
        <v>BRUDER RICHARD</v>
      </c>
      <c r="H126" s="20" t="str">
        <f t="shared" si="3"/>
        <v>4016</v>
      </c>
    </row>
    <row r="127" spans="1:8" x14ac:dyDescent="0.3">
      <c r="A127" s="8">
        <v>43061.543020833335</v>
      </c>
      <c r="B127" s="20" t="s">
        <v>712</v>
      </c>
      <c r="C127" s="20" t="s">
        <v>782</v>
      </c>
      <c r="D127" s="137">
        <v>3810000</v>
      </c>
      <c r="E127" s="20" t="s">
        <v>783</v>
      </c>
      <c r="F127" s="20" t="s">
        <v>784</v>
      </c>
      <c r="G127" s="8" t="str">
        <f t="shared" si="2"/>
        <v>LORI SANTOS</v>
      </c>
      <c r="H127" s="20" t="str">
        <f t="shared" si="3"/>
        <v>4024</v>
      </c>
    </row>
    <row r="128" spans="1:8" x14ac:dyDescent="0.3">
      <c r="A128" s="8">
        <v>43061.546770833331</v>
      </c>
      <c r="B128" s="20" t="s">
        <v>490</v>
      </c>
      <c r="C128" s="20" t="s">
        <v>785</v>
      </c>
      <c r="D128" s="137">
        <v>2350000</v>
      </c>
      <c r="E128" s="20" t="s">
        <v>773</v>
      </c>
      <c r="F128" s="20" t="s">
        <v>774</v>
      </c>
      <c r="G128" s="8" t="str">
        <f t="shared" si="2"/>
        <v>BERLING GARY</v>
      </c>
      <c r="H128" s="20" t="str">
        <f t="shared" si="3"/>
        <v>4019</v>
      </c>
    </row>
    <row r="129" spans="1:8" x14ac:dyDescent="0.3">
      <c r="A129" s="8">
        <v>43061.548078703701</v>
      </c>
      <c r="B129" s="20" t="s">
        <v>666</v>
      </c>
      <c r="C129" s="20" t="s">
        <v>786</v>
      </c>
      <c r="D129" s="137">
        <v>880000</v>
      </c>
      <c r="E129" s="20" t="s">
        <v>528</v>
      </c>
      <c r="F129" s="20" t="s">
        <v>353</v>
      </c>
      <c r="G129" s="8" t="str">
        <f t="shared" si="2"/>
        <v>STEWART MICHAEL</v>
      </c>
      <c r="H129" s="20" t="str">
        <f t="shared" si="3"/>
        <v>4006</v>
      </c>
    </row>
    <row r="130" spans="1:8" x14ac:dyDescent="0.3">
      <c r="A130" s="8">
        <v>43061.557928240742</v>
      </c>
      <c r="B130" s="20" t="s">
        <v>556</v>
      </c>
      <c r="C130" s="20" t="s">
        <v>787</v>
      </c>
      <c r="D130" s="137">
        <v>3700000</v>
      </c>
      <c r="E130" s="20" t="s">
        <v>455</v>
      </c>
      <c r="F130" s="20" t="s">
        <v>370</v>
      </c>
      <c r="G130" s="8" t="str">
        <f t="shared" si="2"/>
        <v>AUSTIN THOMPSON</v>
      </c>
      <c r="H130" s="20" t="str">
        <f t="shared" si="3"/>
        <v>4039</v>
      </c>
    </row>
    <row r="131" spans="1:8" x14ac:dyDescent="0.3">
      <c r="A131" s="8">
        <v>43061.558136574073</v>
      </c>
      <c r="B131" s="20" t="s">
        <v>454</v>
      </c>
      <c r="C131" s="20" t="s">
        <v>788</v>
      </c>
      <c r="D131" s="137">
        <v>3670000</v>
      </c>
      <c r="E131" s="20" t="s">
        <v>383</v>
      </c>
      <c r="F131" s="20" t="s">
        <v>369</v>
      </c>
      <c r="G131" s="8" t="str">
        <f t="shared" ref="G131:G194" si="4">E131&amp;" "&amp;F131</f>
        <v>ANDREA WILLIAMS</v>
      </c>
      <c r="H131" s="20" t="str">
        <f t="shared" ref="H131:H194" si="5">MID(B131,13,4)</f>
        <v>4050</v>
      </c>
    </row>
    <row r="132" spans="1:8" x14ac:dyDescent="0.3">
      <c r="A132" s="8">
        <v>43061.558425925927</v>
      </c>
      <c r="B132" s="20" t="s">
        <v>664</v>
      </c>
      <c r="C132" s="20" t="s">
        <v>789</v>
      </c>
      <c r="D132" s="137">
        <v>920000</v>
      </c>
      <c r="E132" s="20" t="s">
        <v>529</v>
      </c>
      <c r="F132" s="20" t="s">
        <v>353</v>
      </c>
      <c r="G132" s="8" t="str">
        <f t="shared" si="4"/>
        <v>DAVIS MICHAEL</v>
      </c>
      <c r="H132" s="20" t="str">
        <f t="shared" si="5"/>
        <v>4001</v>
      </c>
    </row>
    <row r="133" spans="1:8" x14ac:dyDescent="0.3">
      <c r="A133" s="8">
        <v>43061.565671296295</v>
      </c>
      <c r="B133" s="20" t="s">
        <v>642</v>
      </c>
      <c r="C133" s="20" t="s">
        <v>790</v>
      </c>
      <c r="D133" s="137">
        <v>3810000</v>
      </c>
      <c r="E133" s="20" t="s">
        <v>783</v>
      </c>
      <c r="F133" s="20" t="s">
        <v>784</v>
      </c>
      <c r="G133" s="8" t="str">
        <f t="shared" si="4"/>
        <v>LORI SANTOS</v>
      </c>
      <c r="H133" s="20" t="str">
        <f t="shared" si="5"/>
        <v>4023</v>
      </c>
    </row>
    <row r="134" spans="1:8" x14ac:dyDescent="0.3">
      <c r="A134" s="8">
        <v>43061.568796296298</v>
      </c>
      <c r="B134" s="20" t="s">
        <v>361</v>
      </c>
      <c r="C134" s="20" t="s">
        <v>791</v>
      </c>
      <c r="D134" s="137">
        <v>2030000</v>
      </c>
      <c r="E134" s="20" t="s">
        <v>769</v>
      </c>
      <c r="F134" s="20" t="s">
        <v>483</v>
      </c>
      <c r="G134" s="8" t="str">
        <f t="shared" si="4"/>
        <v>KILLION DAVID</v>
      </c>
      <c r="H134" s="20" t="str">
        <f t="shared" si="5"/>
        <v>4018</v>
      </c>
    </row>
    <row r="135" spans="1:8" x14ac:dyDescent="0.3">
      <c r="A135" s="8">
        <v>43061.578611111108</v>
      </c>
      <c r="B135" s="20" t="s">
        <v>654</v>
      </c>
      <c r="C135" s="20" t="s">
        <v>792</v>
      </c>
      <c r="D135" s="137">
        <v>1770000</v>
      </c>
      <c r="E135" s="20" t="s">
        <v>567</v>
      </c>
      <c r="F135" s="20" t="s">
        <v>568</v>
      </c>
      <c r="G135" s="8" t="str">
        <f t="shared" si="4"/>
        <v>BRUDER RICHARD</v>
      </c>
      <c r="H135" s="20" t="str">
        <f t="shared" si="5"/>
        <v>4015</v>
      </c>
    </row>
    <row r="136" spans="1:8" x14ac:dyDescent="0.3">
      <c r="A136" s="8">
        <v>43061.578622685185</v>
      </c>
      <c r="B136" s="20" t="s">
        <v>491</v>
      </c>
      <c r="C136" s="20" t="s">
        <v>793</v>
      </c>
      <c r="D136" s="137">
        <v>2350000</v>
      </c>
      <c r="E136" s="20" t="s">
        <v>773</v>
      </c>
      <c r="F136" s="20" t="s">
        <v>774</v>
      </c>
      <c r="G136" s="8" t="str">
        <f t="shared" si="4"/>
        <v>BERLING GARY</v>
      </c>
      <c r="H136" s="20" t="str">
        <f t="shared" si="5"/>
        <v>4020</v>
      </c>
    </row>
    <row r="137" spans="1:8" x14ac:dyDescent="0.3">
      <c r="A137" s="8">
        <v>43061.586087962962</v>
      </c>
      <c r="B137" s="20" t="s">
        <v>712</v>
      </c>
      <c r="C137" s="20" t="s">
        <v>794</v>
      </c>
      <c r="D137" s="137">
        <v>3810000</v>
      </c>
      <c r="E137" s="20" t="s">
        <v>783</v>
      </c>
      <c r="F137" s="20" t="s">
        <v>784</v>
      </c>
      <c r="G137" s="8" t="str">
        <f t="shared" si="4"/>
        <v>LORI SANTOS</v>
      </c>
      <c r="H137" s="20" t="str">
        <f t="shared" si="5"/>
        <v>4024</v>
      </c>
    </row>
    <row r="138" spans="1:8" x14ac:dyDescent="0.3">
      <c r="A138" s="8">
        <v>43061.589201388888</v>
      </c>
      <c r="B138" s="20" t="s">
        <v>690</v>
      </c>
      <c r="C138" s="20" t="s">
        <v>795</v>
      </c>
      <c r="D138" s="137">
        <v>880000</v>
      </c>
      <c r="E138" s="20" t="s">
        <v>528</v>
      </c>
      <c r="F138" s="20" t="s">
        <v>353</v>
      </c>
      <c r="G138" s="8" t="str">
        <f t="shared" si="4"/>
        <v>STEWART MICHAEL</v>
      </c>
      <c r="H138" s="20" t="str">
        <f t="shared" si="5"/>
        <v>4005</v>
      </c>
    </row>
    <row r="139" spans="1:8" x14ac:dyDescent="0.3">
      <c r="A139" s="8">
        <v>43061.592638888891</v>
      </c>
      <c r="B139" s="20" t="s">
        <v>687</v>
      </c>
      <c r="C139" s="20" t="s">
        <v>796</v>
      </c>
      <c r="D139" s="137">
        <v>920000</v>
      </c>
      <c r="E139" s="20" t="s">
        <v>529</v>
      </c>
      <c r="F139" s="20" t="s">
        <v>353</v>
      </c>
      <c r="G139" s="8" t="str">
        <f t="shared" si="4"/>
        <v>DAVIS MICHAEL</v>
      </c>
      <c r="H139" s="20" t="str">
        <f t="shared" si="5"/>
        <v>4002</v>
      </c>
    </row>
    <row r="140" spans="1:8" x14ac:dyDescent="0.3">
      <c r="A140" s="8">
        <v>43061.594212962962</v>
      </c>
      <c r="B140" s="20" t="s">
        <v>453</v>
      </c>
      <c r="C140" s="20" t="s">
        <v>797</v>
      </c>
      <c r="D140" s="137">
        <v>3670000</v>
      </c>
      <c r="E140" s="20" t="s">
        <v>383</v>
      </c>
      <c r="F140" s="20" t="s">
        <v>369</v>
      </c>
      <c r="G140" s="8" t="str">
        <f t="shared" si="4"/>
        <v>ANDREA WILLIAMS</v>
      </c>
      <c r="H140" s="20" t="str">
        <f t="shared" si="5"/>
        <v>4049</v>
      </c>
    </row>
    <row r="141" spans="1:8" x14ac:dyDescent="0.3">
      <c r="A141" s="8">
        <v>43061.599699074075</v>
      </c>
      <c r="B141" s="20" t="s">
        <v>555</v>
      </c>
      <c r="C141" s="20" t="s">
        <v>798</v>
      </c>
      <c r="D141" s="137">
        <v>3700000</v>
      </c>
      <c r="E141" s="20" t="s">
        <v>455</v>
      </c>
      <c r="F141" s="20" t="s">
        <v>370</v>
      </c>
      <c r="G141" s="8" t="str">
        <f t="shared" si="4"/>
        <v>AUSTIN THOMPSON</v>
      </c>
      <c r="H141" s="20" t="str">
        <f t="shared" si="5"/>
        <v>4040</v>
      </c>
    </row>
    <row r="142" spans="1:8" x14ac:dyDescent="0.3">
      <c r="A142" s="8">
        <v>43061.605370370373</v>
      </c>
      <c r="B142" s="20" t="s">
        <v>363</v>
      </c>
      <c r="C142" s="20" t="s">
        <v>659</v>
      </c>
      <c r="D142" s="137">
        <v>2030000</v>
      </c>
      <c r="E142" s="20" t="s">
        <v>769</v>
      </c>
      <c r="F142" s="20" t="s">
        <v>483</v>
      </c>
      <c r="G142" s="8" t="str">
        <f t="shared" si="4"/>
        <v>KILLION DAVID</v>
      </c>
      <c r="H142" s="20" t="str">
        <f t="shared" si="5"/>
        <v>4017</v>
      </c>
    </row>
    <row r="143" spans="1:8" x14ac:dyDescent="0.3">
      <c r="A143" s="8">
        <v>43061.610844907409</v>
      </c>
      <c r="B143" s="20" t="s">
        <v>669</v>
      </c>
      <c r="C143" s="20" t="s">
        <v>799</v>
      </c>
      <c r="D143" s="137">
        <v>1770000</v>
      </c>
      <c r="E143" s="20" t="s">
        <v>567</v>
      </c>
      <c r="F143" s="20" t="s">
        <v>568</v>
      </c>
      <c r="G143" s="8" t="str">
        <f t="shared" si="4"/>
        <v>BRUDER RICHARD</v>
      </c>
      <c r="H143" s="20" t="str">
        <f t="shared" si="5"/>
        <v>4016</v>
      </c>
    </row>
    <row r="144" spans="1:8" x14ac:dyDescent="0.3">
      <c r="A144" s="8">
        <v>43061.618796296294</v>
      </c>
      <c r="B144" s="20" t="s">
        <v>490</v>
      </c>
      <c r="C144" s="20" t="s">
        <v>800</v>
      </c>
      <c r="D144" s="137">
        <v>2350000</v>
      </c>
      <c r="E144" s="20" t="s">
        <v>773</v>
      </c>
      <c r="F144" s="20" t="s">
        <v>774</v>
      </c>
      <c r="G144" s="8" t="str">
        <f t="shared" si="4"/>
        <v>BERLING GARY</v>
      </c>
      <c r="H144" s="20" t="str">
        <f t="shared" si="5"/>
        <v>4019</v>
      </c>
    </row>
    <row r="145" spans="1:8" x14ac:dyDescent="0.3">
      <c r="A145" s="8">
        <v>43061.620937500003</v>
      </c>
      <c r="B145" s="20" t="s">
        <v>666</v>
      </c>
      <c r="C145" s="20" t="s">
        <v>801</v>
      </c>
      <c r="D145" s="137">
        <v>880000</v>
      </c>
      <c r="E145" s="20" t="s">
        <v>528</v>
      </c>
      <c r="F145" s="20" t="s">
        <v>353</v>
      </c>
      <c r="G145" s="8" t="str">
        <f t="shared" si="4"/>
        <v>STEWART MICHAEL</v>
      </c>
      <c r="H145" s="20" t="str">
        <f t="shared" si="5"/>
        <v>4006</v>
      </c>
    </row>
    <row r="146" spans="1:8" x14ac:dyDescent="0.3">
      <c r="A146" s="8">
        <v>43061.628194444442</v>
      </c>
      <c r="B146" s="20" t="s">
        <v>712</v>
      </c>
      <c r="C146" s="20" t="s">
        <v>802</v>
      </c>
      <c r="D146" s="137">
        <v>3810000</v>
      </c>
      <c r="E146" s="20" t="s">
        <v>783</v>
      </c>
      <c r="F146" s="20" t="s">
        <v>784</v>
      </c>
      <c r="G146" s="8" t="str">
        <f t="shared" si="4"/>
        <v>LORI SANTOS</v>
      </c>
      <c r="H146" s="20" t="str">
        <f t="shared" si="5"/>
        <v>4024</v>
      </c>
    </row>
    <row r="147" spans="1:8" x14ac:dyDescent="0.3">
      <c r="A147" s="8">
        <v>43061.630682870367</v>
      </c>
      <c r="B147" s="20" t="s">
        <v>454</v>
      </c>
      <c r="C147" s="20" t="s">
        <v>803</v>
      </c>
      <c r="D147" s="137">
        <v>3670000</v>
      </c>
      <c r="E147" s="20" t="s">
        <v>383</v>
      </c>
      <c r="F147" s="20" t="s">
        <v>369</v>
      </c>
      <c r="G147" s="8" t="str">
        <f t="shared" si="4"/>
        <v>ANDREA WILLIAMS</v>
      </c>
      <c r="H147" s="20" t="str">
        <f t="shared" si="5"/>
        <v>4050</v>
      </c>
    </row>
    <row r="148" spans="1:8" x14ac:dyDescent="0.3">
      <c r="A148" s="8">
        <v>43061.631608796299</v>
      </c>
      <c r="B148" s="20" t="s">
        <v>664</v>
      </c>
      <c r="C148" s="20" t="s">
        <v>804</v>
      </c>
      <c r="D148" s="137">
        <v>920000</v>
      </c>
      <c r="E148" s="20" t="s">
        <v>529</v>
      </c>
      <c r="F148" s="20" t="s">
        <v>353</v>
      </c>
      <c r="G148" s="8" t="str">
        <f t="shared" si="4"/>
        <v>DAVIS MICHAEL</v>
      </c>
      <c r="H148" s="20" t="str">
        <f t="shared" si="5"/>
        <v>4001</v>
      </c>
    </row>
    <row r="149" spans="1:8" x14ac:dyDescent="0.3">
      <c r="A149" s="8">
        <v>43061.640960648147</v>
      </c>
      <c r="B149" s="20" t="s">
        <v>648</v>
      </c>
      <c r="C149" s="20" t="s">
        <v>805</v>
      </c>
      <c r="D149" s="137">
        <v>2000000</v>
      </c>
      <c r="E149" s="20" t="s">
        <v>395</v>
      </c>
      <c r="F149" s="20" t="s">
        <v>396</v>
      </c>
      <c r="G149" s="8" t="str">
        <f t="shared" si="4"/>
        <v>STAMBAUGH JAMES</v>
      </c>
      <c r="H149" s="20" t="str">
        <f t="shared" si="5"/>
        <v>4025</v>
      </c>
    </row>
    <row r="150" spans="1:8" x14ac:dyDescent="0.3">
      <c r="A150" s="8">
        <v>43061.641921296294</v>
      </c>
      <c r="B150" s="20" t="s">
        <v>556</v>
      </c>
      <c r="C150" s="20" t="s">
        <v>806</v>
      </c>
      <c r="D150" s="137">
        <v>3700000</v>
      </c>
      <c r="E150" s="20" t="s">
        <v>455</v>
      </c>
      <c r="F150" s="20" t="s">
        <v>370</v>
      </c>
      <c r="G150" s="8" t="str">
        <f t="shared" si="4"/>
        <v>AUSTIN THOMPSON</v>
      </c>
      <c r="H150" s="20" t="str">
        <f t="shared" si="5"/>
        <v>4039</v>
      </c>
    </row>
    <row r="151" spans="1:8" x14ac:dyDescent="0.3">
      <c r="A151" s="8">
        <v>43061.642557870371</v>
      </c>
      <c r="B151" s="20" t="s">
        <v>361</v>
      </c>
      <c r="C151" s="20" t="s">
        <v>807</v>
      </c>
      <c r="D151" s="137">
        <v>2030000</v>
      </c>
      <c r="E151" s="20" t="s">
        <v>769</v>
      </c>
      <c r="F151" s="20" t="s">
        <v>483</v>
      </c>
      <c r="G151" s="8" t="str">
        <f t="shared" si="4"/>
        <v>KILLION DAVID</v>
      </c>
      <c r="H151" s="20" t="str">
        <f t="shared" si="5"/>
        <v>4018</v>
      </c>
    </row>
    <row r="152" spans="1:8" x14ac:dyDescent="0.3">
      <c r="A152" s="8">
        <v>43061.644780092596</v>
      </c>
      <c r="B152" s="20" t="s">
        <v>642</v>
      </c>
      <c r="C152" s="20" t="s">
        <v>808</v>
      </c>
      <c r="D152" s="137">
        <v>3810000</v>
      </c>
      <c r="E152" s="20" t="s">
        <v>783</v>
      </c>
      <c r="F152" s="20" t="s">
        <v>784</v>
      </c>
      <c r="G152" s="8" t="str">
        <f t="shared" si="4"/>
        <v>LORI SANTOS</v>
      </c>
      <c r="H152" s="20" t="str">
        <f t="shared" si="5"/>
        <v>4023</v>
      </c>
    </row>
    <row r="153" spans="1:8" x14ac:dyDescent="0.3">
      <c r="A153" s="8">
        <v>43061.650208333333</v>
      </c>
      <c r="B153" s="20" t="s">
        <v>644</v>
      </c>
      <c r="C153" s="20" t="s">
        <v>809</v>
      </c>
      <c r="D153" s="137">
        <v>2000000</v>
      </c>
      <c r="E153" s="20" t="s">
        <v>395</v>
      </c>
      <c r="F153" s="20" t="s">
        <v>396</v>
      </c>
      <c r="G153" s="8" t="str">
        <f t="shared" si="4"/>
        <v>STAMBAUGH JAMES</v>
      </c>
      <c r="H153" s="20" t="str">
        <f t="shared" si="5"/>
        <v>4026</v>
      </c>
    </row>
    <row r="154" spans="1:8" x14ac:dyDescent="0.3">
      <c r="A154" s="8">
        <v>43061.65152777778</v>
      </c>
      <c r="B154" s="20" t="s">
        <v>491</v>
      </c>
      <c r="C154" s="20" t="s">
        <v>810</v>
      </c>
      <c r="D154" s="137">
        <v>2350000</v>
      </c>
      <c r="E154" s="20" t="s">
        <v>773</v>
      </c>
      <c r="F154" s="20" t="s">
        <v>774</v>
      </c>
      <c r="G154" s="8" t="str">
        <f t="shared" si="4"/>
        <v>BERLING GARY</v>
      </c>
      <c r="H154" s="20" t="str">
        <f t="shared" si="5"/>
        <v>4020</v>
      </c>
    </row>
    <row r="155" spans="1:8" x14ac:dyDescent="0.3">
      <c r="A155" s="8">
        <v>43061.651956018519</v>
      </c>
      <c r="B155" s="20" t="s">
        <v>654</v>
      </c>
      <c r="C155" s="20" t="s">
        <v>811</v>
      </c>
      <c r="D155" s="137">
        <v>1770000</v>
      </c>
      <c r="E155" s="20" t="s">
        <v>567</v>
      </c>
      <c r="F155" s="20" t="s">
        <v>568</v>
      </c>
      <c r="G155" s="8" t="str">
        <f t="shared" si="4"/>
        <v>BRUDER RICHARD</v>
      </c>
      <c r="H155" s="20" t="str">
        <f t="shared" si="5"/>
        <v>4015</v>
      </c>
    </row>
    <row r="156" spans="1:8" x14ac:dyDescent="0.3">
      <c r="A156" s="8">
        <v>43061.662511574075</v>
      </c>
      <c r="B156" s="20" t="s">
        <v>690</v>
      </c>
      <c r="C156" s="20" t="s">
        <v>812</v>
      </c>
      <c r="D156" s="137">
        <v>880000</v>
      </c>
      <c r="E156" s="20" t="s">
        <v>528</v>
      </c>
      <c r="F156" s="20" t="s">
        <v>353</v>
      </c>
      <c r="G156" s="8" t="str">
        <f t="shared" si="4"/>
        <v>STEWART MICHAEL</v>
      </c>
      <c r="H156" s="20" t="str">
        <f t="shared" si="5"/>
        <v>4005</v>
      </c>
    </row>
    <row r="157" spans="1:8" x14ac:dyDescent="0.3">
      <c r="A157" s="8">
        <v>43061.662766203706</v>
      </c>
      <c r="B157" s="20" t="s">
        <v>453</v>
      </c>
      <c r="C157" s="20" t="s">
        <v>813</v>
      </c>
      <c r="D157" s="137">
        <v>3670000</v>
      </c>
      <c r="E157" s="20" t="s">
        <v>383</v>
      </c>
      <c r="F157" s="20" t="s">
        <v>369</v>
      </c>
      <c r="G157" s="8" t="str">
        <f t="shared" si="4"/>
        <v>ANDREA WILLIAMS</v>
      </c>
      <c r="H157" s="20" t="str">
        <f t="shared" si="5"/>
        <v>4049</v>
      </c>
    </row>
    <row r="158" spans="1:8" x14ac:dyDescent="0.3">
      <c r="A158" s="8">
        <v>43061.663437499999</v>
      </c>
      <c r="B158" s="20" t="s">
        <v>648</v>
      </c>
      <c r="C158" s="20" t="s">
        <v>814</v>
      </c>
      <c r="D158" s="137">
        <v>2000000</v>
      </c>
      <c r="E158" s="20" t="s">
        <v>395</v>
      </c>
      <c r="F158" s="20" t="s">
        <v>396</v>
      </c>
      <c r="G158" s="8" t="str">
        <f t="shared" si="4"/>
        <v>STAMBAUGH JAMES</v>
      </c>
      <c r="H158" s="20" t="str">
        <f t="shared" si="5"/>
        <v>4025</v>
      </c>
    </row>
    <row r="159" spans="1:8" x14ac:dyDescent="0.3">
      <c r="A159" s="8">
        <v>43061.664212962962</v>
      </c>
      <c r="B159" s="20" t="s">
        <v>687</v>
      </c>
      <c r="C159" s="20" t="s">
        <v>815</v>
      </c>
      <c r="D159" s="137">
        <v>920000</v>
      </c>
      <c r="E159" s="20" t="s">
        <v>529</v>
      </c>
      <c r="F159" s="20" t="s">
        <v>353</v>
      </c>
      <c r="G159" s="8" t="str">
        <f t="shared" si="4"/>
        <v>DAVIS MICHAEL</v>
      </c>
      <c r="H159" s="20" t="str">
        <f t="shared" si="5"/>
        <v>4002</v>
      </c>
    </row>
    <row r="160" spans="1:8" x14ac:dyDescent="0.3">
      <c r="A160" s="8">
        <v>43061.670219907406</v>
      </c>
      <c r="B160" s="20" t="s">
        <v>712</v>
      </c>
      <c r="C160" s="20" t="s">
        <v>816</v>
      </c>
      <c r="D160" s="137">
        <v>3810000</v>
      </c>
      <c r="E160" s="20" t="s">
        <v>783</v>
      </c>
      <c r="F160" s="20" t="s">
        <v>784</v>
      </c>
      <c r="G160" s="8" t="str">
        <f t="shared" si="4"/>
        <v>LORI SANTOS</v>
      </c>
      <c r="H160" s="20" t="str">
        <f t="shared" si="5"/>
        <v>4024</v>
      </c>
    </row>
    <row r="161" spans="1:8" x14ac:dyDescent="0.3">
      <c r="A161" s="8">
        <v>43061.674004629633</v>
      </c>
      <c r="B161" s="20" t="s">
        <v>555</v>
      </c>
      <c r="C161" s="20" t="s">
        <v>660</v>
      </c>
      <c r="D161" s="137">
        <v>3700000</v>
      </c>
      <c r="E161" s="20" t="s">
        <v>455</v>
      </c>
      <c r="F161" s="20" t="s">
        <v>370</v>
      </c>
      <c r="G161" s="8" t="str">
        <f t="shared" si="4"/>
        <v>AUSTIN THOMPSON</v>
      </c>
      <c r="H161" s="20" t="str">
        <f t="shared" si="5"/>
        <v>4040</v>
      </c>
    </row>
    <row r="162" spans="1:8" x14ac:dyDescent="0.3">
      <c r="A162" s="8">
        <v>43061.678437499999</v>
      </c>
      <c r="B162" s="20" t="s">
        <v>363</v>
      </c>
      <c r="C162" s="20" t="s">
        <v>661</v>
      </c>
      <c r="D162" s="137">
        <v>2030000</v>
      </c>
      <c r="E162" s="20" t="s">
        <v>769</v>
      </c>
      <c r="F162" s="20" t="s">
        <v>483</v>
      </c>
      <c r="G162" s="8" t="str">
        <f t="shared" si="4"/>
        <v>KILLION DAVID</v>
      </c>
      <c r="H162" s="20" t="str">
        <f t="shared" si="5"/>
        <v>4017</v>
      </c>
    </row>
    <row r="163" spans="1:8" x14ac:dyDescent="0.3">
      <c r="A163" s="8">
        <v>43061.681585648148</v>
      </c>
      <c r="B163" s="20" t="s">
        <v>448</v>
      </c>
      <c r="C163" s="20" t="s">
        <v>817</v>
      </c>
      <c r="D163" s="137">
        <v>1810000</v>
      </c>
      <c r="E163" s="20" t="s">
        <v>569</v>
      </c>
      <c r="F163" s="20" t="s">
        <v>396</v>
      </c>
      <c r="G163" s="8" t="str">
        <f t="shared" si="4"/>
        <v>NEWELL JAMES</v>
      </c>
      <c r="H163" s="20" t="str">
        <f t="shared" si="5"/>
        <v>4010</v>
      </c>
    </row>
    <row r="164" spans="1:8" x14ac:dyDescent="0.3">
      <c r="A164" s="8">
        <v>43061.684930555559</v>
      </c>
      <c r="B164" s="20" t="s">
        <v>669</v>
      </c>
      <c r="C164" s="20" t="s">
        <v>818</v>
      </c>
      <c r="D164" s="137">
        <v>1770000</v>
      </c>
      <c r="E164" s="20" t="s">
        <v>567</v>
      </c>
      <c r="F164" s="20" t="s">
        <v>568</v>
      </c>
      <c r="G164" s="8" t="str">
        <f t="shared" si="4"/>
        <v>BRUDER RICHARD</v>
      </c>
      <c r="H164" s="20" t="str">
        <f t="shared" si="5"/>
        <v>4016</v>
      </c>
    </row>
    <row r="165" spans="1:8" x14ac:dyDescent="0.3">
      <c r="A165" s="8">
        <v>43061.686249999999</v>
      </c>
      <c r="B165" s="20" t="s">
        <v>642</v>
      </c>
      <c r="C165" s="20" t="s">
        <v>819</v>
      </c>
      <c r="D165" s="137">
        <v>3810000</v>
      </c>
      <c r="E165" s="20" t="s">
        <v>783</v>
      </c>
      <c r="F165" s="20" t="s">
        <v>784</v>
      </c>
      <c r="G165" s="8" t="str">
        <f t="shared" si="4"/>
        <v>LORI SANTOS</v>
      </c>
      <c r="H165" s="20" t="str">
        <f t="shared" si="5"/>
        <v>4023</v>
      </c>
    </row>
    <row r="166" spans="1:8" x14ac:dyDescent="0.3">
      <c r="A166" s="8">
        <v>43061.689872685187</v>
      </c>
      <c r="B166" s="20" t="s">
        <v>490</v>
      </c>
      <c r="C166" s="20" t="s">
        <v>820</v>
      </c>
      <c r="D166" s="137">
        <v>2350000</v>
      </c>
      <c r="E166" s="20" t="s">
        <v>773</v>
      </c>
      <c r="F166" s="20" t="s">
        <v>774</v>
      </c>
      <c r="G166" s="8" t="str">
        <f t="shared" si="4"/>
        <v>BERLING GARY</v>
      </c>
      <c r="H166" s="20" t="str">
        <f t="shared" si="5"/>
        <v>4019</v>
      </c>
    </row>
    <row r="167" spans="1:8" x14ac:dyDescent="0.3">
      <c r="A167" s="8">
        <v>43061.691493055558</v>
      </c>
      <c r="B167" s="20" t="s">
        <v>644</v>
      </c>
      <c r="C167" s="20" t="s">
        <v>821</v>
      </c>
      <c r="D167" s="137">
        <v>2000000</v>
      </c>
      <c r="E167" s="20" t="s">
        <v>395</v>
      </c>
      <c r="F167" s="20" t="s">
        <v>396</v>
      </c>
      <c r="G167" s="8" t="str">
        <f t="shared" si="4"/>
        <v>STAMBAUGH JAMES</v>
      </c>
      <c r="H167" s="20" t="str">
        <f t="shared" si="5"/>
        <v>4026</v>
      </c>
    </row>
    <row r="168" spans="1:8" x14ac:dyDescent="0.3">
      <c r="A168" s="8">
        <v>43061.694849537038</v>
      </c>
      <c r="B168" s="20" t="s">
        <v>666</v>
      </c>
      <c r="C168" s="20" t="s">
        <v>822</v>
      </c>
      <c r="D168" s="137">
        <v>880000</v>
      </c>
      <c r="E168" s="20" t="s">
        <v>528</v>
      </c>
      <c r="F168" s="20" t="s">
        <v>353</v>
      </c>
      <c r="G168" s="8" t="str">
        <f t="shared" si="4"/>
        <v>STEWART MICHAEL</v>
      </c>
      <c r="H168" s="20" t="str">
        <f t="shared" si="5"/>
        <v>4006</v>
      </c>
    </row>
    <row r="169" spans="1:8" x14ac:dyDescent="0.3">
      <c r="A169" s="8">
        <v>43061.703738425924</v>
      </c>
      <c r="B169" s="20" t="s">
        <v>454</v>
      </c>
      <c r="C169" s="20" t="s">
        <v>823</v>
      </c>
      <c r="D169" s="137">
        <v>3670000</v>
      </c>
      <c r="E169" s="20" t="s">
        <v>383</v>
      </c>
      <c r="F169" s="20" t="s">
        <v>369</v>
      </c>
      <c r="G169" s="8" t="str">
        <f t="shared" si="4"/>
        <v>ANDREA WILLIAMS</v>
      </c>
      <c r="H169" s="20" t="str">
        <f t="shared" si="5"/>
        <v>4050</v>
      </c>
    </row>
    <row r="170" spans="1:8" x14ac:dyDescent="0.3">
      <c r="A170" s="8">
        <v>43061.705046296294</v>
      </c>
      <c r="B170" s="20" t="s">
        <v>664</v>
      </c>
      <c r="C170" s="20" t="s">
        <v>824</v>
      </c>
      <c r="D170" s="137">
        <v>920000</v>
      </c>
      <c r="E170" s="20" t="s">
        <v>529</v>
      </c>
      <c r="F170" s="20" t="s">
        <v>353</v>
      </c>
      <c r="G170" s="8" t="str">
        <f t="shared" si="4"/>
        <v>DAVIS MICHAEL</v>
      </c>
      <c r="H170" s="20" t="str">
        <f t="shared" si="5"/>
        <v>4001</v>
      </c>
    </row>
    <row r="171" spans="1:8" x14ac:dyDescent="0.3">
      <c r="A171" s="8">
        <v>43061.705949074072</v>
      </c>
      <c r="B171" s="20" t="s">
        <v>648</v>
      </c>
      <c r="C171" s="20" t="s">
        <v>825</v>
      </c>
      <c r="D171" s="137">
        <v>2000000</v>
      </c>
      <c r="E171" s="20" t="s">
        <v>395</v>
      </c>
      <c r="F171" s="20" t="s">
        <v>396</v>
      </c>
      <c r="G171" s="8" t="str">
        <f t="shared" si="4"/>
        <v>STAMBAUGH JAMES</v>
      </c>
      <c r="H171" s="20" t="str">
        <f t="shared" si="5"/>
        <v>4025</v>
      </c>
    </row>
    <row r="172" spans="1:8" x14ac:dyDescent="0.3">
      <c r="A172" s="8">
        <v>43061.710439814815</v>
      </c>
      <c r="B172" s="20" t="s">
        <v>712</v>
      </c>
      <c r="C172" s="20" t="s">
        <v>826</v>
      </c>
      <c r="D172" s="137">
        <v>3810000</v>
      </c>
      <c r="E172" s="20" t="s">
        <v>783</v>
      </c>
      <c r="F172" s="20" t="s">
        <v>784</v>
      </c>
      <c r="G172" s="8" t="str">
        <f t="shared" si="4"/>
        <v>LORI SANTOS</v>
      </c>
      <c r="H172" s="20" t="str">
        <f t="shared" si="5"/>
        <v>4024</v>
      </c>
    </row>
    <row r="173" spans="1:8" x14ac:dyDescent="0.3">
      <c r="A173" s="8">
        <v>43061.714756944442</v>
      </c>
      <c r="B173" s="20" t="s">
        <v>358</v>
      </c>
      <c r="C173" s="20" t="s">
        <v>827</v>
      </c>
      <c r="D173" s="137">
        <v>2610000</v>
      </c>
      <c r="E173" s="20" t="s">
        <v>381</v>
      </c>
      <c r="F173" s="20" t="s">
        <v>382</v>
      </c>
      <c r="G173" s="8" t="str">
        <f t="shared" si="4"/>
        <v>MAGEE KENYA</v>
      </c>
      <c r="H173" s="20" t="str">
        <f t="shared" si="5"/>
        <v>4060</v>
      </c>
    </row>
    <row r="174" spans="1:8" x14ac:dyDescent="0.3">
      <c r="A174" s="8">
        <v>43061.714918981481</v>
      </c>
      <c r="B174" s="20" t="s">
        <v>556</v>
      </c>
      <c r="C174" s="20" t="s">
        <v>828</v>
      </c>
      <c r="D174" s="137">
        <v>3700000</v>
      </c>
      <c r="E174" s="20" t="s">
        <v>455</v>
      </c>
      <c r="F174" s="20" t="s">
        <v>370</v>
      </c>
      <c r="G174" s="8" t="str">
        <f t="shared" si="4"/>
        <v>AUSTIN THOMPSON</v>
      </c>
      <c r="H174" s="20" t="str">
        <f t="shared" si="5"/>
        <v>4039</v>
      </c>
    </row>
    <row r="175" spans="1:8" x14ac:dyDescent="0.3">
      <c r="A175" s="8">
        <v>43061.71707175926</v>
      </c>
      <c r="B175" s="20" t="s">
        <v>361</v>
      </c>
      <c r="C175" s="20" t="s">
        <v>829</v>
      </c>
      <c r="D175" s="137">
        <v>2030000</v>
      </c>
      <c r="E175" s="20" t="s">
        <v>769</v>
      </c>
      <c r="F175" s="20" t="s">
        <v>483</v>
      </c>
      <c r="G175" s="8" t="str">
        <f t="shared" si="4"/>
        <v>KILLION DAVID</v>
      </c>
      <c r="H175" s="20" t="str">
        <f t="shared" si="5"/>
        <v>4018</v>
      </c>
    </row>
    <row r="176" spans="1:8" x14ac:dyDescent="0.3">
      <c r="A176" s="8">
        <v>43061.724259259259</v>
      </c>
      <c r="B176" s="20" t="s">
        <v>654</v>
      </c>
      <c r="C176" s="20" t="s">
        <v>830</v>
      </c>
      <c r="D176" s="137">
        <v>1770000</v>
      </c>
      <c r="E176" s="20" t="s">
        <v>567</v>
      </c>
      <c r="F176" s="20" t="s">
        <v>568</v>
      </c>
      <c r="G176" s="8" t="str">
        <f t="shared" si="4"/>
        <v>BRUDER RICHARD</v>
      </c>
      <c r="H176" s="20" t="str">
        <f t="shared" si="5"/>
        <v>4015</v>
      </c>
    </row>
    <row r="177" spans="1:8" x14ac:dyDescent="0.3">
      <c r="A177" s="8">
        <v>43061.72452546296</v>
      </c>
      <c r="B177" s="20" t="s">
        <v>491</v>
      </c>
      <c r="C177" s="20" t="s">
        <v>831</v>
      </c>
      <c r="D177" s="137">
        <v>2350000</v>
      </c>
      <c r="E177" s="20" t="s">
        <v>773</v>
      </c>
      <c r="F177" s="20" t="s">
        <v>774</v>
      </c>
      <c r="G177" s="8" t="str">
        <f t="shared" si="4"/>
        <v>BERLING GARY</v>
      </c>
      <c r="H177" s="20" t="str">
        <f t="shared" si="5"/>
        <v>4020</v>
      </c>
    </row>
    <row r="178" spans="1:8" x14ac:dyDescent="0.3">
      <c r="A178" s="8">
        <v>43061.729432870372</v>
      </c>
      <c r="B178" s="20" t="s">
        <v>642</v>
      </c>
      <c r="C178" s="20" t="s">
        <v>832</v>
      </c>
      <c r="D178" s="137">
        <v>3810000</v>
      </c>
      <c r="E178" s="20" t="s">
        <v>783</v>
      </c>
      <c r="F178" s="20" t="s">
        <v>784</v>
      </c>
      <c r="G178" s="8" t="str">
        <f t="shared" si="4"/>
        <v>LORI SANTOS</v>
      </c>
      <c r="H178" s="20" t="str">
        <f t="shared" si="5"/>
        <v>4023</v>
      </c>
    </row>
    <row r="179" spans="1:8" x14ac:dyDescent="0.3">
      <c r="A179" s="8">
        <v>43061.733263888891</v>
      </c>
      <c r="B179" s="20" t="s">
        <v>503</v>
      </c>
      <c r="C179" s="20" t="s">
        <v>833</v>
      </c>
      <c r="D179" s="137">
        <v>2540000</v>
      </c>
      <c r="E179" s="20" t="s">
        <v>467</v>
      </c>
      <c r="F179" s="20" t="s">
        <v>468</v>
      </c>
      <c r="G179" s="8" t="str">
        <f t="shared" si="4"/>
        <v>MCREYNOLDS KYLE</v>
      </c>
      <c r="H179" s="20" t="str">
        <f t="shared" si="5"/>
        <v>4041</v>
      </c>
    </row>
    <row r="180" spans="1:8" x14ac:dyDescent="0.3">
      <c r="A180" s="8">
        <v>43061.734351851854</v>
      </c>
      <c r="B180" s="20" t="s">
        <v>644</v>
      </c>
      <c r="C180" s="20" t="s">
        <v>834</v>
      </c>
      <c r="D180" s="137">
        <v>2000000</v>
      </c>
      <c r="E180" s="20" t="s">
        <v>395</v>
      </c>
      <c r="F180" s="20" t="s">
        <v>396</v>
      </c>
      <c r="G180" s="8" t="str">
        <f t="shared" si="4"/>
        <v>STAMBAUGH JAMES</v>
      </c>
      <c r="H180" s="20" t="str">
        <f t="shared" si="5"/>
        <v>4026</v>
      </c>
    </row>
    <row r="181" spans="1:8" x14ac:dyDescent="0.3">
      <c r="A181" s="8">
        <v>43061.73541666667</v>
      </c>
      <c r="B181" s="20" t="s">
        <v>453</v>
      </c>
      <c r="C181" s="20" t="s">
        <v>835</v>
      </c>
      <c r="D181" s="137">
        <v>3670000</v>
      </c>
      <c r="E181" s="20" t="s">
        <v>383</v>
      </c>
      <c r="F181" s="20" t="s">
        <v>369</v>
      </c>
      <c r="G181" s="8" t="str">
        <f t="shared" si="4"/>
        <v>ANDREA WILLIAMS</v>
      </c>
      <c r="H181" s="20" t="str">
        <f t="shared" si="5"/>
        <v>4049</v>
      </c>
    </row>
    <row r="182" spans="1:8" x14ac:dyDescent="0.3">
      <c r="A182" s="8">
        <v>43061.735555555555</v>
      </c>
      <c r="B182" s="20" t="s">
        <v>690</v>
      </c>
      <c r="C182" s="20" t="s">
        <v>836</v>
      </c>
      <c r="D182" s="137">
        <v>880000</v>
      </c>
      <c r="E182" s="20" t="s">
        <v>528</v>
      </c>
      <c r="F182" s="20" t="s">
        <v>353</v>
      </c>
      <c r="G182" s="8" t="str">
        <f t="shared" si="4"/>
        <v>STEWART MICHAEL</v>
      </c>
      <c r="H182" s="20" t="str">
        <f t="shared" si="5"/>
        <v>4005</v>
      </c>
    </row>
    <row r="183" spans="1:8" x14ac:dyDescent="0.3">
      <c r="A183" s="8">
        <v>43061.73636574074</v>
      </c>
      <c r="B183" s="20" t="s">
        <v>687</v>
      </c>
      <c r="C183" s="20" t="s">
        <v>837</v>
      </c>
      <c r="D183" s="137">
        <v>3220000</v>
      </c>
      <c r="E183" s="20" t="s">
        <v>379</v>
      </c>
      <c r="F183" s="20" t="s">
        <v>380</v>
      </c>
      <c r="G183" s="8" t="str">
        <f t="shared" si="4"/>
        <v>RESPASS AARON</v>
      </c>
      <c r="H183" s="20" t="str">
        <f t="shared" si="5"/>
        <v>4002</v>
      </c>
    </row>
    <row r="184" spans="1:8" x14ac:dyDescent="0.3">
      <c r="A184" s="8">
        <v>43061.746388888889</v>
      </c>
      <c r="B184" s="20" t="s">
        <v>648</v>
      </c>
      <c r="C184" s="20" t="s">
        <v>838</v>
      </c>
      <c r="D184" s="137">
        <v>2000000</v>
      </c>
      <c r="E184" s="20" t="s">
        <v>395</v>
      </c>
      <c r="F184" s="20" t="s">
        <v>396</v>
      </c>
      <c r="G184" s="8" t="str">
        <f t="shared" si="4"/>
        <v>STAMBAUGH JAMES</v>
      </c>
      <c r="H184" s="20" t="str">
        <f t="shared" si="5"/>
        <v>4025</v>
      </c>
    </row>
    <row r="185" spans="1:8" x14ac:dyDescent="0.3">
      <c r="A185" s="8">
        <v>43061.747604166667</v>
      </c>
      <c r="B185" s="20" t="s">
        <v>555</v>
      </c>
      <c r="C185" s="20" t="s">
        <v>839</v>
      </c>
      <c r="D185" s="137">
        <v>3700000</v>
      </c>
      <c r="E185" s="20" t="s">
        <v>455</v>
      </c>
      <c r="F185" s="20" t="s">
        <v>370</v>
      </c>
      <c r="G185" s="8" t="str">
        <f t="shared" si="4"/>
        <v>AUSTIN THOMPSON</v>
      </c>
      <c r="H185" s="20" t="str">
        <f t="shared" si="5"/>
        <v>4040</v>
      </c>
    </row>
    <row r="186" spans="1:8" x14ac:dyDescent="0.3">
      <c r="A186" s="8">
        <v>43061.752453703702</v>
      </c>
      <c r="B186" s="20" t="s">
        <v>363</v>
      </c>
      <c r="C186" s="20" t="s">
        <v>840</v>
      </c>
      <c r="D186" s="137">
        <v>2030000</v>
      </c>
      <c r="E186" s="20" t="s">
        <v>769</v>
      </c>
      <c r="F186" s="20" t="s">
        <v>483</v>
      </c>
      <c r="G186" s="8" t="str">
        <f t="shared" si="4"/>
        <v>KILLION DAVID</v>
      </c>
      <c r="H186" s="20" t="str">
        <f t="shared" si="5"/>
        <v>4017</v>
      </c>
    </row>
    <row r="187" spans="1:8" x14ac:dyDescent="0.3">
      <c r="A187" s="8">
        <v>43061.752962962964</v>
      </c>
      <c r="B187" s="20" t="s">
        <v>712</v>
      </c>
      <c r="C187" s="20" t="s">
        <v>841</v>
      </c>
      <c r="D187" s="137">
        <v>3810000</v>
      </c>
      <c r="E187" s="20" t="s">
        <v>783</v>
      </c>
      <c r="F187" s="20" t="s">
        <v>784</v>
      </c>
      <c r="G187" s="8" t="str">
        <f t="shared" si="4"/>
        <v>LORI SANTOS</v>
      </c>
      <c r="H187" s="20" t="str">
        <f t="shared" si="5"/>
        <v>4024</v>
      </c>
    </row>
    <row r="188" spans="1:8" x14ac:dyDescent="0.3">
      <c r="A188" s="8">
        <v>43061.758784722224</v>
      </c>
      <c r="B188" s="20" t="s">
        <v>669</v>
      </c>
      <c r="C188" s="20" t="s">
        <v>842</v>
      </c>
      <c r="D188" s="137">
        <v>3680000</v>
      </c>
      <c r="E188" s="20" t="s">
        <v>506</v>
      </c>
      <c r="F188" s="20" t="s">
        <v>507</v>
      </c>
      <c r="G188" s="8" t="str">
        <f t="shared" si="4"/>
        <v>HAMMOND JUSTYNN</v>
      </c>
      <c r="H188" s="20" t="str">
        <f t="shared" si="5"/>
        <v>4016</v>
      </c>
    </row>
    <row r="189" spans="1:8" x14ac:dyDescent="0.3">
      <c r="A189" s="8">
        <v>43061.762488425928</v>
      </c>
      <c r="B189" s="20" t="s">
        <v>490</v>
      </c>
      <c r="C189" s="20" t="s">
        <v>843</v>
      </c>
      <c r="D189" s="137">
        <v>2350000</v>
      </c>
      <c r="E189" s="20" t="s">
        <v>773</v>
      </c>
      <c r="F189" s="20" t="s">
        <v>774</v>
      </c>
      <c r="G189" s="8" t="str">
        <f t="shared" si="4"/>
        <v>BERLING GARY</v>
      </c>
      <c r="H189" s="20" t="str">
        <f t="shared" si="5"/>
        <v>4019</v>
      </c>
    </row>
    <row r="190" spans="1:8" x14ac:dyDescent="0.3">
      <c r="A190" s="8">
        <v>43061.766655092593</v>
      </c>
      <c r="B190" s="20" t="s">
        <v>666</v>
      </c>
      <c r="C190" s="20" t="s">
        <v>844</v>
      </c>
      <c r="D190" s="137">
        <v>2440000</v>
      </c>
      <c r="E190" s="20" t="s">
        <v>465</v>
      </c>
      <c r="F190" s="20" t="s">
        <v>466</v>
      </c>
      <c r="G190" s="8" t="str">
        <f t="shared" si="4"/>
        <v>LOPES KIMBERLY</v>
      </c>
      <c r="H190" s="20" t="str">
        <f t="shared" si="5"/>
        <v>4006</v>
      </c>
    </row>
    <row r="191" spans="1:8" x14ac:dyDescent="0.3">
      <c r="A191" s="8">
        <v>43061.769826388889</v>
      </c>
      <c r="B191" s="20" t="s">
        <v>642</v>
      </c>
      <c r="C191" s="20" t="s">
        <v>845</v>
      </c>
      <c r="D191" s="137">
        <v>3810000</v>
      </c>
      <c r="E191" s="20" t="s">
        <v>783</v>
      </c>
      <c r="F191" s="20" t="s">
        <v>784</v>
      </c>
      <c r="G191" s="8" t="str">
        <f t="shared" si="4"/>
        <v>LORI SANTOS</v>
      </c>
      <c r="H191" s="20" t="str">
        <f t="shared" si="5"/>
        <v>4023</v>
      </c>
    </row>
    <row r="192" spans="1:8" x14ac:dyDescent="0.3">
      <c r="A192" s="8">
        <v>43061.775671296295</v>
      </c>
      <c r="B192" s="20" t="s">
        <v>644</v>
      </c>
      <c r="C192" s="20" t="s">
        <v>846</v>
      </c>
      <c r="D192" s="137">
        <v>2000000</v>
      </c>
      <c r="E192" s="20" t="s">
        <v>395</v>
      </c>
      <c r="F192" s="20" t="s">
        <v>396</v>
      </c>
      <c r="G192" s="8" t="str">
        <f t="shared" si="4"/>
        <v>STAMBAUGH JAMES</v>
      </c>
      <c r="H192" s="20" t="str">
        <f t="shared" si="5"/>
        <v>4026</v>
      </c>
    </row>
    <row r="193" spans="1:8" x14ac:dyDescent="0.3">
      <c r="A193" s="8">
        <v>43061.775891203702</v>
      </c>
      <c r="B193" s="20" t="s">
        <v>664</v>
      </c>
      <c r="C193" s="20" t="s">
        <v>847</v>
      </c>
      <c r="D193" s="137">
        <v>3220000</v>
      </c>
      <c r="E193" s="20" t="s">
        <v>379</v>
      </c>
      <c r="F193" s="20" t="s">
        <v>380</v>
      </c>
      <c r="G193" s="8" t="str">
        <f t="shared" si="4"/>
        <v>RESPASS AARON</v>
      </c>
      <c r="H193" s="20" t="str">
        <f t="shared" si="5"/>
        <v>4001</v>
      </c>
    </row>
    <row r="194" spans="1:8" x14ac:dyDescent="0.3">
      <c r="A194" s="8">
        <v>43061.779340277775</v>
      </c>
      <c r="B194" s="20" t="s">
        <v>454</v>
      </c>
      <c r="C194" s="20" t="s">
        <v>848</v>
      </c>
      <c r="D194" s="137">
        <v>3670000</v>
      </c>
      <c r="E194" s="20" t="s">
        <v>383</v>
      </c>
      <c r="F194" s="20" t="s">
        <v>369</v>
      </c>
      <c r="G194" s="8" t="str">
        <f t="shared" si="4"/>
        <v>ANDREA WILLIAMS</v>
      </c>
      <c r="H194" s="20" t="str">
        <f t="shared" si="5"/>
        <v>4050</v>
      </c>
    </row>
    <row r="195" spans="1:8" x14ac:dyDescent="0.3">
      <c r="A195" s="8">
        <v>43061.786516203705</v>
      </c>
      <c r="B195" s="20" t="s">
        <v>556</v>
      </c>
      <c r="C195" s="20" t="s">
        <v>849</v>
      </c>
      <c r="D195" s="137">
        <v>3700000</v>
      </c>
      <c r="E195" s="20" t="s">
        <v>455</v>
      </c>
      <c r="F195" s="20" t="s">
        <v>370</v>
      </c>
      <c r="G195" s="8" t="str">
        <f t="shared" ref="G195:G258" si="6">E195&amp;" "&amp;F195</f>
        <v>AUSTIN THOMPSON</v>
      </c>
      <c r="H195" s="20" t="str">
        <f t="shared" ref="H195:H258" si="7">MID(B195,13,4)</f>
        <v>4039</v>
      </c>
    </row>
    <row r="196" spans="1:8" x14ac:dyDescent="0.3">
      <c r="A196" s="8">
        <v>43061.788159722222</v>
      </c>
      <c r="B196" s="20" t="s">
        <v>648</v>
      </c>
      <c r="C196" s="20" t="s">
        <v>850</v>
      </c>
      <c r="D196" s="137">
        <v>2000000</v>
      </c>
      <c r="E196" s="20" t="s">
        <v>395</v>
      </c>
      <c r="F196" s="20" t="s">
        <v>396</v>
      </c>
      <c r="G196" s="8" t="str">
        <f t="shared" si="6"/>
        <v>STAMBAUGH JAMES</v>
      </c>
      <c r="H196" s="20" t="str">
        <f t="shared" si="7"/>
        <v>4025</v>
      </c>
    </row>
    <row r="197" spans="1:8" x14ac:dyDescent="0.3">
      <c r="A197" s="8">
        <v>43061.790578703702</v>
      </c>
      <c r="B197" s="20" t="s">
        <v>361</v>
      </c>
      <c r="C197" s="20" t="s">
        <v>851</v>
      </c>
      <c r="D197" s="137">
        <v>3320000</v>
      </c>
      <c r="E197" s="20" t="s">
        <v>364</v>
      </c>
      <c r="F197" s="20" t="s">
        <v>365</v>
      </c>
      <c r="G197" s="8" t="str">
        <f t="shared" si="6"/>
        <v>NICHOLSON WESLEY</v>
      </c>
      <c r="H197" s="20" t="str">
        <f t="shared" si="7"/>
        <v>4018</v>
      </c>
    </row>
    <row r="198" spans="1:8" x14ac:dyDescent="0.3">
      <c r="A198" s="8">
        <v>43061.793819444443</v>
      </c>
      <c r="B198" s="20" t="s">
        <v>712</v>
      </c>
      <c r="C198" s="20" t="s">
        <v>852</v>
      </c>
      <c r="D198" s="137">
        <v>3810000</v>
      </c>
      <c r="E198" s="20" t="s">
        <v>783</v>
      </c>
      <c r="F198" s="20" t="s">
        <v>784</v>
      </c>
      <c r="G198" s="8" t="str">
        <f t="shared" si="6"/>
        <v>LORI SANTOS</v>
      </c>
      <c r="H198" s="20" t="str">
        <f t="shared" si="7"/>
        <v>4024</v>
      </c>
    </row>
    <row r="199" spans="1:8" x14ac:dyDescent="0.3">
      <c r="A199" s="8">
        <v>43061.796909722223</v>
      </c>
      <c r="B199" s="20" t="s">
        <v>654</v>
      </c>
      <c r="C199" s="20" t="s">
        <v>662</v>
      </c>
      <c r="D199" s="137">
        <v>3680000</v>
      </c>
      <c r="E199" s="20" t="s">
        <v>506</v>
      </c>
      <c r="F199" s="20" t="s">
        <v>507</v>
      </c>
      <c r="G199" s="8" t="str">
        <f t="shared" si="6"/>
        <v>HAMMOND JUSTYNN</v>
      </c>
      <c r="H199" s="20" t="str">
        <f t="shared" si="7"/>
        <v>4015</v>
      </c>
    </row>
    <row r="200" spans="1:8" x14ac:dyDescent="0.3">
      <c r="A200" s="8">
        <v>43061.797395833331</v>
      </c>
      <c r="B200" s="20" t="s">
        <v>491</v>
      </c>
      <c r="C200" s="20" t="s">
        <v>853</v>
      </c>
      <c r="D200" s="137">
        <v>2350000</v>
      </c>
      <c r="E200" s="20" t="s">
        <v>773</v>
      </c>
      <c r="F200" s="20" t="s">
        <v>774</v>
      </c>
      <c r="G200" s="8" t="str">
        <f t="shared" si="6"/>
        <v>BERLING GARY</v>
      </c>
      <c r="H200" s="20" t="str">
        <f t="shared" si="7"/>
        <v>4020</v>
      </c>
    </row>
    <row r="201" spans="1:8" x14ac:dyDescent="0.3">
      <c r="A201" s="8">
        <v>43061.804895833331</v>
      </c>
      <c r="B201" s="20" t="s">
        <v>690</v>
      </c>
      <c r="C201" s="20" t="s">
        <v>854</v>
      </c>
      <c r="D201" s="137">
        <v>2440000</v>
      </c>
      <c r="E201" s="20" t="s">
        <v>465</v>
      </c>
      <c r="F201" s="20" t="s">
        <v>466</v>
      </c>
      <c r="G201" s="8" t="str">
        <f t="shared" si="6"/>
        <v>LOPES KIMBERLY</v>
      </c>
      <c r="H201" s="20" t="str">
        <f t="shared" si="7"/>
        <v>4005</v>
      </c>
    </row>
    <row r="202" spans="1:8" x14ac:dyDescent="0.3">
      <c r="A202" s="26">
        <v>43061.807881944442</v>
      </c>
      <c r="B202" s="20" t="s">
        <v>687</v>
      </c>
      <c r="C202" s="20" t="s">
        <v>855</v>
      </c>
      <c r="D202" s="137">
        <v>3220000</v>
      </c>
      <c r="E202" s="20" t="s">
        <v>379</v>
      </c>
      <c r="F202" s="20" t="s">
        <v>380</v>
      </c>
      <c r="G202" s="8" t="str">
        <f t="shared" si="6"/>
        <v>RESPASS AARON</v>
      </c>
      <c r="H202" s="20" t="str">
        <f t="shared" si="7"/>
        <v>4002</v>
      </c>
    </row>
    <row r="203" spans="1:8" x14ac:dyDescent="0.3">
      <c r="A203" s="8">
        <v>43061.811782407407</v>
      </c>
      <c r="B203" s="20" t="s">
        <v>642</v>
      </c>
      <c r="C203" s="20" t="s">
        <v>856</v>
      </c>
      <c r="D203" s="137">
        <v>3810000</v>
      </c>
      <c r="E203" s="20" t="s">
        <v>783</v>
      </c>
      <c r="F203" s="20" t="s">
        <v>784</v>
      </c>
      <c r="G203" s="8" t="str">
        <f t="shared" si="6"/>
        <v>LORI SANTOS</v>
      </c>
      <c r="H203" s="20" t="str">
        <f t="shared" si="7"/>
        <v>4023</v>
      </c>
    </row>
    <row r="204" spans="1:8" x14ac:dyDescent="0.3">
      <c r="A204" s="8">
        <v>43061.821898148148</v>
      </c>
      <c r="B204" s="20" t="s">
        <v>555</v>
      </c>
      <c r="C204" s="20" t="s">
        <v>663</v>
      </c>
      <c r="D204" s="137">
        <v>3700000</v>
      </c>
      <c r="E204" s="20" t="s">
        <v>455</v>
      </c>
      <c r="F204" s="20" t="s">
        <v>370</v>
      </c>
      <c r="G204" s="8" t="str">
        <f t="shared" si="6"/>
        <v>AUSTIN THOMPSON</v>
      </c>
      <c r="H204" s="20" t="str">
        <f t="shared" si="7"/>
        <v>4040</v>
      </c>
    </row>
    <row r="205" spans="1:8" x14ac:dyDescent="0.3">
      <c r="A205" s="8">
        <v>43061.823923611111</v>
      </c>
      <c r="B205" s="20" t="s">
        <v>363</v>
      </c>
      <c r="C205" s="20" t="s">
        <v>857</v>
      </c>
      <c r="D205" s="137">
        <v>3320000</v>
      </c>
      <c r="E205" s="20" t="s">
        <v>364</v>
      </c>
      <c r="F205" s="20" t="s">
        <v>365</v>
      </c>
      <c r="G205" s="8" t="str">
        <f t="shared" si="6"/>
        <v>NICHOLSON WESLEY</v>
      </c>
      <c r="H205" s="20" t="str">
        <f t="shared" si="7"/>
        <v>4017</v>
      </c>
    </row>
    <row r="206" spans="1:8" x14ac:dyDescent="0.3">
      <c r="A206" s="8">
        <v>43061.830671296295</v>
      </c>
      <c r="B206" s="20" t="s">
        <v>363</v>
      </c>
      <c r="C206" s="20" t="s">
        <v>857</v>
      </c>
      <c r="D206" s="137">
        <v>3320000</v>
      </c>
      <c r="E206" s="20" t="s">
        <v>364</v>
      </c>
      <c r="F206" s="20" t="s">
        <v>365</v>
      </c>
      <c r="G206" s="8" t="str">
        <f t="shared" si="6"/>
        <v>NICHOLSON WESLEY</v>
      </c>
      <c r="H206" s="20" t="str">
        <f t="shared" si="7"/>
        <v>4017</v>
      </c>
    </row>
    <row r="207" spans="1:8" x14ac:dyDescent="0.3">
      <c r="A207" s="8">
        <v>43061.831099537034</v>
      </c>
      <c r="B207" s="20" t="s">
        <v>669</v>
      </c>
      <c r="C207" s="20" t="s">
        <v>858</v>
      </c>
      <c r="D207" s="137">
        <v>890000</v>
      </c>
      <c r="E207" s="20" t="s">
        <v>345</v>
      </c>
      <c r="F207" s="20" t="s">
        <v>346</v>
      </c>
      <c r="G207" s="8" t="str">
        <f t="shared" si="6"/>
        <v>LOZA FIDEL</v>
      </c>
      <c r="H207" s="20" t="str">
        <f t="shared" si="7"/>
        <v>4016</v>
      </c>
    </row>
    <row r="208" spans="1:8" x14ac:dyDescent="0.3">
      <c r="A208" s="8">
        <v>43061.837233796294</v>
      </c>
      <c r="B208" s="20" t="s">
        <v>712</v>
      </c>
      <c r="C208" s="20" t="s">
        <v>859</v>
      </c>
      <c r="D208" s="137">
        <v>3810000</v>
      </c>
      <c r="E208" s="20" t="s">
        <v>783</v>
      </c>
      <c r="F208" s="20" t="s">
        <v>784</v>
      </c>
      <c r="G208" s="8" t="str">
        <f t="shared" si="6"/>
        <v>LORI SANTOS</v>
      </c>
      <c r="H208" s="20" t="str">
        <f t="shared" si="7"/>
        <v>4024</v>
      </c>
    </row>
    <row r="209" spans="1:8" x14ac:dyDescent="0.3">
      <c r="A209" s="8">
        <v>43061.841400462959</v>
      </c>
      <c r="B209" s="20" t="s">
        <v>664</v>
      </c>
      <c r="C209" s="20" t="s">
        <v>665</v>
      </c>
      <c r="D209" s="137">
        <v>3220000</v>
      </c>
      <c r="E209" s="20" t="s">
        <v>379</v>
      </c>
      <c r="F209" s="20" t="s">
        <v>380</v>
      </c>
      <c r="G209" s="8" t="str">
        <f t="shared" si="6"/>
        <v>RESPASS AARON</v>
      </c>
      <c r="H209" s="20" t="str">
        <f t="shared" si="7"/>
        <v>4001</v>
      </c>
    </row>
    <row r="210" spans="1:8" x14ac:dyDescent="0.3">
      <c r="A210" s="8">
        <v>43061.841689814813</v>
      </c>
      <c r="B210" s="20" t="s">
        <v>363</v>
      </c>
      <c r="C210" s="20" t="s">
        <v>857</v>
      </c>
      <c r="D210" s="137">
        <v>3320000</v>
      </c>
      <c r="E210" s="20" t="s">
        <v>364</v>
      </c>
      <c r="F210" s="20" t="s">
        <v>365</v>
      </c>
      <c r="G210" s="8" t="str">
        <f t="shared" si="6"/>
        <v>NICHOLSON WESLEY</v>
      </c>
      <c r="H210" s="20" t="str">
        <f t="shared" si="7"/>
        <v>4017</v>
      </c>
    </row>
    <row r="211" spans="1:8" x14ac:dyDescent="0.3">
      <c r="A211" s="8">
        <v>43061.842268518521</v>
      </c>
      <c r="B211" s="20" t="s">
        <v>666</v>
      </c>
      <c r="C211" s="20" t="s">
        <v>667</v>
      </c>
      <c r="D211" s="137">
        <v>2440000</v>
      </c>
      <c r="E211" s="20" t="s">
        <v>465</v>
      </c>
      <c r="F211" s="20" t="s">
        <v>466</v>
      </c>
      <c r="G211" s="8" t="str">
        <f t="shared" si="6"/>
        <v>LOPES KIMBERLY</v>
      </c>
      <c r="H211" s="20" t="str">
        <f t="shared" si="7"/>
        <v>4006</v>
      </c>
    </row>
    <row r="212" spans="1:8" x14ac:dyDescent="0.3">
      <c r="A212" s="8">
        <v>43061.852627314816</v>
      </c>
      <c r="B212" s="20" t="s">
        <v>642</v>
      </c>
      <c r="C212" s="20" t="s">
        <v>860</v>
      </c>
      <c r="D212" s="137">
        <v>3810000</v>
      </c>
      <c r="E212" s="20" t="s">
        <v>783</v>
      </c>
      <c r="F212" s="20" t="s">
        <v>784</v>
      </c>
      <c r="G212" s="8" t="str">
        <f t="shared" si="6"/>
        <v>LORI SANTOS</v>
      </c>
      <c r="H212" s="20" t="str">
        <f t="shared" si="7"/>
        <v>4023</v>
      </c>
    </row>
    <row r="213" spans="1:8" x14ac:dyDescent="0.3">
      <c r="A213" s="8">
        <v>43061.8671412037</v>
      </c>
      <c r="B213" s="20" t="s">
        <v>654</v>
      </c>
      <c r="C213" s="20" t="s">
        <v>861</v>
      </c>
      <c r="D213" s="137">
        <v>890000</v>
      </c>
      <c r="E213" s="20" t="s">
        <v>345</v>
      </c>
      <c r="F213" s="20" t="s">
        <v>346</v>
      </c>
      <c r="G213" s="8" t="str">
        <f t="shared" si="6"/>
        <v>LOZA FIDEL</v>
      </c>
      <c r="H213" s="20" t="str">
        <f t="shared" si="7"/>
        <v>4015</v>
      </c>
    </row>
    <row r="214" spans="1:8" x14ac:dyDescent="0.3">
      <c r="A214" s="8">
        <v>43061.870740740742</v>
      </c>
      <c r="B214" s="20" t="s">
        <v>361</v>
      </c>
      <c r="C214" s="20" t="s">
        <v>862</v>
      </c>
      <c r="D214" s="137">
        <v>3130000</v>
      </c>
      <c r="E214" s="20" t="s">
        <v>572</v>
      </c>
      <c r="F214" s="20" t="s">
        <v>573</v>
      </c>
      <c r="G214" s="8" t="str">
        <f t="shared" si="6"/>
        <v>ZEWDU DEREJE</v>
      </c>
      <c r="H214" s="20" t="str">
        <f t="shared" si="7"/>
        <v>4018</v>
      </c>
    </row>
    <row r="215" spans="1:8" x14ac:dyDescent="0.3">
      <c r="A215" s="8">
        <v>43061.878877314812</v>
      </c>
      <c r="B215" s="20" t="s">
        <v>712</v>
      </c>
      <c r="C215" s="20" t="s">
        <v>863</v>
      </c>
      <c r="D215" s="137">
        <v>2000000</v>
      </c>
      <c r="E215" s="20" t="s">
        <v>395</v>
      </c>
      <c r="F215" s="20" t="s">
        <v>396</v>
      </c>
      <c r="G215" s="8" t="str">
        <f t="shared" si="6"/>
        <v>STAMBAUGH JAMES</v>
      </c>
      <c r="H215" s="20" t="str">
        <f t="shared" si="7"/>
        <v>4024</v>
      </c>
    </row>
    <row r="216" spans="1:8" x14ac:dyDescent="0.3">
      <c r="A216" s="8">
        <v>43061.881620370368</v>
      </c>
      <c r="B216" s="20" t="s">
        <v>687</v>
      </c>
      <c r="C216" s="20" t="s">
        <v>864</v>
      </c>
      <c r="D216" s="137">
        <v>3220000</v>
      </c>
      <c r="E216" s="20" t="s">
        <v>379</v>
      </c>
      <c r="F216" s="20" t="s">
        <v>380</v>
      </c>
      <c r="G216" s="8" t="str">
        <f t="shared" si="6"/>
        <v>RESPASS AARON</v>
      </c>
      <c r="H216" s="20" t="str">
        <f t="shared" si="7"/>
        <v>4002</v>
      </c>
    </row>
    <row r="217" spans="1:8" x14ac:dyDescent="0.3">
      <c r="A217" s="8">
        <v>43061.888726851852</v>
      </c>
      <c r="B217" s="20" t="s">
        <v>690</v>
      </c>
      <c r="C217" s="20" t="s">
        <v>865</v>
      </c>
      <c r="D217" s="137">
        <v>2440000</v>
      </c>
      <c r="E217" s="20" t="s">
        <v>465</v>
      </c>
      <c r="F217" s="20" t="s">
        <v>466</v>
      </c>
      <c r="G217" s="8" t="str">
        <f t="shared" si="6"/>
        <v>LOPES KIMBERLY</v>
      </c>
      <c r="H217" s="20" t="str">
        <f t="shared" si="7"/>
        <v>4005</v>
      </c>
    </row>
    <row r="218" spans="1:8" x14ac:dyDescent="0.3">
      <c r="A218" s="8">
        <v>43061.891689814816</v>
      </c>
      <c r="B218" s="20" t="s">
        <v>642</v>
      </c>
      <c r="C218" s="20" t="s">
        <v>668</v>
      </c>
      <c r="D218" s="137">
        <v>2000000</v>
      </c>
      <c r="E218" s="20" t="s">
        <v>395</v>
      </c>
      <c r="F218" s="20" t="s">
        <v>396</v>
      </c>
      <c r="G218" s="8" t="str">
        <f t="shared" si="6"/>
        <v>STAMBAUGH JAMES</v>
      </c>
      <c r="H218" s="20" t="str">
        <f t="shared" si="7"/>
        <v>4023</v>
      </c>
    </row>
    <row r="219" spans="1:8" x14ac:dyDescent="0.3">
      <c r="A219" s="8">
        <v>43061.90185185185</v>
      </c>
      <c r="B219" s="20" t="s">
        <v>669</v>
      </c>
      <c r="C219" s="20" t="s">
        <v>866</v>
      </c>
      <c r="D219" s="137">
        <v>3680000</v>
      </c>
      <c r="E219" s="20" t="s">
        <v>506</v>
      </c>
      <c r="F219" s="20" t="s">
        <v>507</v>
      </c>
      <c r="G219" s="8" t="str">
        <f t="shared" si="6"/>
        <v>HAMMOND JUSTYNN</v>
      </c>
      <c r="H219" s="20" t="str">
        <f t="shared" si="7"/>
        <v>4016</v>
      </c>
    </row>
    <row r="220" spans="1:8" x14ac:dyDescent="0.3">
      <c r="A220" s="8">
        <v>43061.913287037038</v>
      </c>
      <c r="B220" s="20" t="s">
        <v>363</v>
      </c>
      <c r="C220" s="20" t="s">
        <v>867</v>
      </c>
      <c r="D220" s="137">
        <v>3130000</v>
      </c>
      <c r="E220" s="20" t="s">
        <v>572</v>
      </c>
      <c r="F220" s="20" t="s">
        <v>573</v>
      </c>
      <c r="G220" s="8" t="str">
        <f t="shared" si="6"/>
        <v>ZEWDU DEREJE</v>
      </c>
      <c r="H220" s="20" t="str">
        <f t="shared" si="7"/>
        <v>4017</v>
      </c>
    </row>
    <row r="221" spans="1:8" x14ac:dyDescent="0.3">
      <c r="A221" s="8">
        <v>43061.920497685183</v>
      </c>
      <c r="B221" s="20" t="s">
        <v>712</v>
      </c>
      <c r="C221" s="20" t="s">
        <v>668</v>
      </c>
      <c r="D221" s="137">
        <v>2000000</v>
      </c>
      <c r="E221" s="20" t="s">
        <v>395</v>
      </c>
      <c r="F221" s="20" t="s">
        <v>396</v>
      </c>
      <c r="G221" s="8" t="str">
        <f t="shared" si="6"/>
        <v>STAMBAUGH JAMES</v>
      </c>
      <c r="H221" s="20" t="str">
        <f t="shared" si="7"/>
        <v>4024</v>
      </c>
    </row>
    <row r="222" spans="1:8" x14ac:dyDescent="0.3">
      <c r="A222" s="8">
        <v>43061.921030092592</v>
      </c>
      <c r="B222" s="20" t="s">
        <v>712</v>
      </c>
      <c r="C222" s="20" t="s">
        <v>868</v>
      </c>
      <c r="D222" s="137">
        <v>2000000</v>
      </c>
      <c r="E222" s="20" t="s">
        <v>395</v>
      </c>
      <c r="F222" s="20" t="s">
        <v>396</v>
      </c>
      <c r="G222" s="8" t="str">
        <f t="shared" si="6"/>
        <v>STAMBAUGH JAMES</v>
      </c>
      <c r="H222" s="20" t="str">
        <f t="shared" si="7"/>
        <v>4024</v>
      </c>
    </row>
    <row r="223" spans="1:8" x14ac:dyDescent="0.3">
      <c r="A223" s="8">
        <v>43061.927384259259</v>
      </c>
      <c r="B223" s="20" t="s">
        <v>666</v>
      </c>
      <c r="C223" s="20" t="s">
        <v>869</v>
      </c>
      <c r="D223" s="137">
        <v>2540000</v>
      </c>
      <c r="E223" s="20" t="s">
        <v>467</v>
      </c>
      <c r="F223" s="20" t="s">
        <v>468</v>
      </c>
      <c r="G223" s="8" t="str">
        <f t="shared" si="6"/>
        <v>MCREYNOLDS KYLE</v>
      </c>
      <c r="H223" s="20" t="str">
        <f t="shared" si="7"/>
        <v>4006</v>
      </c>
    </row>
    <row r="224" spans="1:8" x14ac:dyDescent="0.3">
      <c r="A224" s="8">
        <v>43061.930405092593</v>
      </c>
      <c r="B224" t="s">
        <v>664</v>
      </c>
      <c r="C224" t="s">
        <v>870</v>
      </c>
      <c r="D224" s="137">
        <v>3220000</v>
      </c>
      <c r="E224" t="s">
        <v>379</v>
      </c>
      <c r="F224" s="20" t="s">
        <v>380</v>
      </c>
      <c r="G224" s="8" t="str">
        <f t="shared" si="6"/>
        <v>RESPASS AARON</v>
      </c>
      <c r="H224" s="20" t="str">
        <f t="shared" si="7"/>
        <v>4001</v>
      </c>
    </row>
    <row r="225" spans="1:8" x14ac:dyDescent="0.3">
      <c r="A225" s="8">
        <v>43061.939259259256</v>
      </c>
      <c r="B225" t="s">
        <v>642</v>
      </c>
      <c r="C225" t="s">
        <v>871</v>
      </c>
      <c r="D225" s="137">
        <v>2000000</v>
      </c>
      <c r="E225" t="s">
        <v>395</v>
      </c>
      <c r="F225" s="20" t="s">
        <v>396</v>
      </c>
      <c r="G225" s="8" t="str">
        <f t="shared" si="6"/>
        <v>STAMBAUGH JAMES</v>
      </c>
      <c r="H225" s="20" t="str">
        <f t="shared" si="7"/>
        <v>4023</v>
      </c>
    </row>
    <row r="226" spans="1:8" x14ac:dyDescent="0.3">
      <c r="A226" s="8">
        <v>43061.939837962964</v>
      </c>
      <c r="B226" t="s">
        <v>642</v>
      </c>
      <c r="C226" t="s">
        <v>871</v>
      </c>
      <c r="D226" s="137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4023</v>
      </c>
    </row>
    <row r="227" spans="1:8" x14ac:dyDescent="0.3">
      <c r="A227" s="8">
        <v>43061.940532407411</v>
      </c>
      <c r="B227" t="s">
        <v>642</v>
      </c>
      <c r="C227" t="s">
        <v>871</v>
      </c>
      <c r="D227" s="137">
        <v>2000000</v>
      </c>
      <c r="E227" t="s">
        <v>395</v>
      </c>
      <c r="F227" s="20" t="s">
        <v>396</v>
      </c>
      <c r="G227" s="8" t="str">
        <f t="shared" si="6"/>
        <v>STAMBAUGH JAMES</v>
      </c>
      <c r="H227" s="20" t="str">
        <f t="shared" si="7"/>
        <v>4023</v>
      </c>
    </row>
    <row r="228" spans="1:8" x14ac:dyDescent="0.3">
      <c r="A228" s="8">
        <v>43061.941168981481</v>
      </c>
      <c r="B228" t="s">
        <v>642</v>
      </c>
      <c r="C228" t="s">
        <v>871</v>
      </c>
      <c r="D228" s="137">
        <v>2000000</v>
      </c>
      <c r="E228" t="s">
        <v>395</v>
      </c>
      <c r="F228" s="20" t="s">
        <v>396</v>
      </c>
      <c r="G228" s="8" t="str">
        <f t="shared" si="6"/>
        <v>STAMBAUGH JAMES</v>
      </c>
      <c r="H228" s="20" t="str">
        <f t="shared" si="7"/>
        <v>4023</v>
      </c>
    </row>
    <row r="229" spans="1:8" x14ac:dyDescent="0.3">
      <c r="A229" s="8">
        <v>43061.944571759261</v>
      </c>
      <c r="B229" t="s">
        <v>361</v>
      </c>
      <c r="C229" t="s">
        <v>872</v>
      </c>
      <c r="D229" s="137">
        <v>3320000</v>
      </c>
      <c r="E229" t="s">
        <v>364</v>
      </c>
      <c r="F229" s="20" t="s">
        <v>365</v>
      </c>
      <c r="G229" s="8" t="str">
        <f t="shared" si="6"/>
        <v>NICHOLSON WESLEY</v>
      </c>
      <c r="H229" s="20" t="str">
        <f t="shared" si="7"/>
        <v>4018</v>
      </c>
    </row>
    <row r="230" spans="1:8" x14ac:dyDescent="0.3">
      <c r="A230" s="8">
        <v>43061.951909722222</v>
      </c>
      <c r="B230" t="s">
        <v>654</v>
      </c>
      <c r="C230" t="s">
        <v>873</v>
      </c>
      <c r="D230" s="137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4015</v>
      </c>
    </row>
    <row r="231" spans="1:8" x14ac:dyDescent="0.3">
      <c r="A231" s="8">
        <v>43061.962141203701</v>
      </c>
      <c r="B231" t="s">
        <v>712</v>
      </c>
      <c r="C231" t="s">
        <v>874</v>
      </c>
      <c r="D231" s="137">
        <v>2000000</v>
      </c>
      <c r="E231" t="s">
        <v>395</v>
      </c>
      <c r="F231" s="20" t="s">
        <v>396</v>
      </c>
      <c r="G231" s="8" t="str">
        <f t="shared" si="6"/>
        <v>STAMBAUGH JAMES</v>
      </c>
      <c r="H231" s="20" t="str">
        <f t="shared" si="7"/>
        <v>4024</v>
      </c>
    </row>
    <row r="232" spans="1:8" x14ac:dyDescent="0.3">
      <c r="A232" s="8">
        <v>43061.969398148147</v>
      </c>
      <c r="B232" t="s">
        <v>690</v>
      </c>
      <c r="C232" t="s">
        <v>875</v>
      </c>
      <c r="D232" s="137">
        <v>2540000</v>
      </c>
      <c r="E232" t="s">
        <v>467</v>
      </c>
      <c r="F232" s="20" t="s">
        <v>468</v>
      </c>
      <c r="G232" s="8" t="str">
        <f t="shared" si="6"/>
        <v>MCREYNOLDS KYLE</v>
      </c>
      <c r="H232" s="20" t="str">
        <f t="shared" si="7"/>
        <v>4005</v>
      </c>
    </row>
    <row r="233" spans="1:8" x14ac:dyDescent="0.3">
      <c r="A233" s="8">
        <v>43061.97016203704</v>
      </c>
      <c r="B233" t="s">
        <v>654</v>
      </c>
      <c r="C233" t="s">
        <v>873</v>
      </c>
      <c r="D233" s="137">
        <v>3680000</v>
      </c>
      <c r="E233" t="s">
        <v>506</v>
      </c>
      <c r="F233" s="20" t="s">
        <v>507</v>
      </c>
      <c r="G233" s="8" t="str">
        <f t="shared" si="6"/>
        <v>HAMMOND JUSTYNN</v>
      </c>
      <c r="H233" s="20" t="str">
        <f t="shared" si="7"/>
        <v>4015</v>
      </c>
    </row>
    <row r="234" spans="1:8" x14ac:dyDescent="0.3">
      <c r="A234" s="8">
        <v>43061.976215277777</v>
      </c>
      <c r="B234" t="s">
        <v>687</v>
      </c>
      <c r="C234" t="s">
        <v>876</v>
      </c>
      <c r="D234" s="137">
        <v>3220000</v>
      </c>
      <c r="E234" t="s">
        <v>379</v>
      </c>
      <c r="F234" s="20" t="s">
        <v>380</v>
      </c>
      <c r="G234" s="8" t="str">
        <f t="shared" si="6"/>
        <v>RESPASS AARON</v>
      </c>
      <c r="H234" s="20" t="str">
        <f t="shared" si="7"/>
        <v>4002</v>
      </c>
    </row>
    <row r="235" spans="1:8" x14ac:dyDescent="0.3">
      <c r="A235" s="8">
        <v>43061.990925925929</v>
      </c>
      <c r="B235" t="s">
        <v>669</v>
      </c>
      <c r="C235" t="s">
        <v>670</v>
      </c>
      <c r="D235" s="137">
        <v>3680000</v>
      </c>
      <c r="E235" t="s">
        <v>506</v>
      </c>
      <c r="F235" s="20" t="s">
        <v>507</v>
      </c>
      <c r="G235" s="8" t="str">
        <f t="shared" si="6"/>
        <v>HAMMOND JUSTYNN</v>
      </c>
      <c r="H235" s="20" t="str">
        <f t="shared" si="7"/>
        <v>4016</v>
      </c>
    </row>
    <row r="236" spans="1:8" x14ac:dyDescent="0.3">
      <c r="A236" s="8">
        <v>43061.9919212963</v>
      </c>
      <c r="B236" t="s">
        <v>363</v>
      </c>
      <c r="C236" t="s">
        <v>877</v>
      </c>
      <c r="D236" s="137">
        <v>3320000</v>
      </c>
      <c r="E236" t="s">
        <v>364</v>
      </c>
      <c r="F236" s="20" t="s">
        <v>365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666</v>
      </c>
      <c r="C237" t="s">
        <v>878</v>
      </c>
      <c r="D237" s="137">
        <v>2440000</v>
      </c>
      <c r="E237" t="s">
        <v>465</v>
      </c>
      <c r="F237" s="20" t="s">
        <v>466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664</v>
      </c>
      <c r="C238" t="s">
        <v>671</v>
      </c>
      <c r="D238" s="137">
        <v>3220000</v>
      </c>
      <c r="E238" t="s">
        <v>379</v>
      </c>
      <c r="F238" s="20" t="s">
        <v>380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361</v>
      </c>
      <c r="C239" t="s">
        <v>879</v>
      </c>
      <c r="D239" s="137">
        <v>3320000</v>
      </c>
      <c r="E239" t="s">
        <v>364</v>
      </c>
      <c r="F239" s="20" t="s">
        <v>365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654</v>
      </c>
      <c r="C240" t="s">
        <v>880</v>
      </c>
      <c r="D240" s="137">
        <v>3680000</v>
      </c>
      <c r="E240" t="s">
        <v>506</v>
      </c>
      <c r="F240" s="20" t="s">
        <v>507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687</v>
      </c>
      <c r="C241" t="s">
        <v>881</v>
      </c>
      <c r="D241" s="137">
        <v>3220000</v>
      </c>
      <c r="E241" t="s">
        <v>379</v>
      </c>
      <c r="F241" s="20" t="s">
        <v>380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690</v>
      </c>
      <c r="C242" t="s">
        <v>882</v>
      </c>
      <c r="D242" s="137">
        <v>2440000</v>
      </c>
      <c r="E242" t="s">
        <v>465</v>
      </c>
      <c r="F242" s="20" t="s">
        <v>466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669</v>
      </c>
      <c r="C243" t="s">
        <v>883</v>
      </c>
      <c r="D243" s="137">
        <v>890000</v>
      </c>
      <c r="E243" t="s">
        <v>345</v>
      </c>
      <c r="F243" s="20" t="s">
        <v>346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666</v>
      </c>
      <c r="C244" t="s">
        <v>884</v>
      </c>
      <c r="D244" s="137">
        <v>2440000</v>
      </c>
      <c r="E244" t="s">
        <v>465</v>
      </c>
      <c r="F244" s="20" t="s">
        <v>466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524</v>
      </c>
      <c r="C245" t="s">
        <v>574</v>
      </c>
      <c r="D245" s="137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557</v>
      </c>
      <c r="C246" t="s">
        <v>575</v>
      </c>
      <c r="D246" s="137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526</v>
      </c>
      <c r="C247" t="s">
        <v>576</v>
      </c>
      <c r="D247" s="137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448</v>
      </c>
      <c r="C248" t="s">
        <v>577</v>
      </c>
      <c r="D248" s="137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352</v>
      </c>
      <c r="C249" t="s">
        <v>578</v>
      </c>
      <c r="D249" s="137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525</v>
      </c>
      <c r="C250" t="s">
        <v>579</v>
      </c>
      <c r="D250" s="137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558</v>
      </c>
      <c r="C251" t="s">
        <v>580</v>
      </c>
      <c r="D251" s="137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524</v>
      </c>
      <c r="C252" t="s">
        <v>581</v>
      </c>
      <c r="D252" s="137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557</v>
      </c>
      <c r="C253" t="s">
        <v>559</v>
      </c>
      <c r="D253" s="137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367</v>
      </c>
      <c r="C254" t="s">
        <v>508</v>
      </c>
      <c r="D254" s="137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457</v>
      </c>
      <c r="C255" t="s">
        <v>509</v>
      </c>
      <c r="D255" s="137">
        <v>3340000</v>
      </c>
      <c r="E255" t="s">
        <v>481</v>
      </c>
      <c r="F255" s="20" t="s">
        <v>482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448</v>
      </c>
      <c r="C256" t="s">
        <v>510</v>
      </c>
      <c r="D256" s="137">
        <v>3680000</v>
      </c>
      <c r="E256" t="s">
        <v>506</v>
      </c>
      <c r="F256" s="20" t="s">
        <v>507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453</v>
      </c>
      <c r="C257" t="s">
        <v>469</v>
      </c>
      <c r="D257" s="137">
        <v>2540000</v>
      </c>
      <c r="E257" t="s">
        <v>467</v>
      </c>
      <c r="F257" s="20" t="s">
        <v>468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463</v>
      </c>
      <c r="D258" s="137">
        <v>3700000</v>
      </c>
      <c r="E258" t="s">
        <v>455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448</v>
      </c>
      <c r="C259" t="s">
        <v>470</v>
      </c>
      <c r="D259" s="137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464</v>
      </c>
      <c r="C260" t="s">
        <v>471</v>
      </c>
      <c r="D260" s="137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454</v>
      </c>
      <c r="C261" t="s">
        <v>472</v>
      </c>
      <c r="D261" s="137">
        <v>2440000</v>
      </c>
      <c r="E261" t="s">
        <v>465</v>
      </c>
      <c r="F261" s="20" t="s">
        <v>466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391</v>
      </c>
      <c r="C262" t="s">
        <v>473</v>
      </c>
      <c r="D262" s="137">
        <v>3700000</v>
      </c>
      <c r="E262" t="s">
        <v>455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462</v>
      </c>
      <c r="C263" t="s">
        <v>474</v>
      </c>
      <c r="D263" s="137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475</v>
      </c>
      <c r="D264" s="137">
        <v>3700000</v>
      </c>
      <c r="E264" t="s">
        <v>455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387</v>
      </c>
      <c r="C265" t="s">
        <v>399</v>
      </c>
      <c r="D265" s="137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400</v>
      </c>
      <c r="D266" s="137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385</v>
      </c>
      <c r="C267" t="s">
        <v>401</v>
      </c>
      <c r="D267" s="137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391</v>
      </c>
      <c r="C268" t="s">
        <v>402</v>
      </c>
      <c r="D268" s="137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403</v>
      </c>
      <c r="D269" s="137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404</v>
      </c>
      <c r="D270" s="137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372</v>
      </c>
      <c r="C271" t="s">
        <v>405</v>
      </c>
      <c r="D271" s="137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384</v>
      </c>
      <c r="C272" t="s">
        <v>406</v>
      </c>
      <c r="D272" s="137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392</v>
      </c>
      <c r="C273" t="s">
        <v>407</v>
      </c>
      <c r="D273" s="137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393</v>
      </c>
      <c r="C274" t="s">
        <v>408</v>
      </c>
      <c r="D274" s="137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409</v>
      </c>
      <c r="D275" s="137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386</v>
      </c>
      <c r="C276" t="s">
        <v>410</v>
      </c>
      <c r="D276" s="137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411</v>
      </c>
      <c r="D277" s="137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412</v>
      </c>
      <c r="D278" s="137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384</v>
      </c>
      <c r="C279" t="s">
        <v>413</v>
      </c>
      <c r="D279" s="137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371</v>
      </c>
      <c r="C280" t="s">
        <v>414</v>
      </c>
      <c r="D280" s="137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387</v>
      </c>
      <c r="C281" t="s">
        <v>388</v>
      </c>
      <c r="D281" s="137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386</v>
      </c>
      <c r="C282" t="s">
        <v>415</v>
      </c>
      <c r="D282" s="137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416</v>
      </c>
      <c r="D283" s="137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417</v>
      </c>
      <c r="D284" s="137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372</v>
      </c>
      <c r="C285" t="s">
        <v>418</v>
      </c>
      <c r="D285" s="137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384</v>
      </c>
      <c r="C286" t="s">
        <v>419</v>
      </c>
      <c r="D286" s="137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384</v>
      </c>
      <c r="C287" t="s">
        <v>419</v>
      </c>
      <c r="D287" s="137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393</v>
      </c>
      <c r="C288" t="s">
        <v>420</v>
      </c>
      <c r="D288" s="137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421</v>
      </c>
      <c r="D289" s="137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386</v>
      </c>
      <c r="C290" t="s">
        <v>422</v>
      </c>
      <c r="D290" s="137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371</v>
      </c>
      <c r="C291" t="s">
        <v>423</v>
      </c>
      <c r="D291" s="137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424</v>
      </c>
      <c r="D292" s="137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384</v>
      </c>
      <c r="C293" t="s">
        <v>425</v>
      </c>
      <c r="D293" s="137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387</v>
      </c>
      <c r="C294" t="s">
        <v>389</v>
      </c>
      <c r="D294" s="137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426</v>
      </c>
      <c r="D295" s="137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386</v>
      </c>
      <c r="C296" t="s">
        <v>427</v>
      </c>
      <c r="D296" s="137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428</v>
      </c>
      <c r="D297" s="137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372</v>
      </c>
      <c r="C298" t="s">
        <v>429</v>
      </c>
      <c r="D298" s="137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384</v>
      </c>
      <c r="C299" t="s">
        <v>430</v>
      </c>
      <c r="D299" s="137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393</v>
      </c>
      <c r="C300" t="s">
        <v>431</v>
      </c>
      <c r="D300" s="137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432</v>
      </c>
      <c r="D301" s="137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386</v>
      </c>
      <c r="C302" t="s">
        <v>433</v>
      </c>
      <c r="D302" s="137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390</v>
      </c>
      <c r="D303" s="137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371</v>
      </c>
      <c r="C304" t="s">
        <v>434</v>
      </c>
      <c r="D304" s="137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387</v>
      </c>
      <c r="C305" t="s">
        <v>435</v>
      </c>
      <c r="D305" s="137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436</v>
      </c>
      <c r="D306" s="137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437</v>
      </c>
      <c r="D307" s="137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372</v>
      </c>
      <c r="C308" t="s">
        <v>438</v>
      </c>
      <c r="D308" s="137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393</v>
      </c>
      <c r="C309" t="s">
        <v>439</v>
      </c>
      <c r="D309" s="137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440</v>
      </c>
      <c r="D310" s="137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371</v>
      </c>
      <c r="C311" t="s">
        <v>441</v>
      </c>
      <c r="D311" s="137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442</v>
      </c>
      <c r="D312" s="137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S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449</v>
      </c>
      <c r="K1" s="217" t="s">
        <v>157</v>
      </c>
      <c r="L1" s="217" t="s">
        <v>155</v>
      </c>
      <c r="M1" s="217" t="s">
        <v>150</v>
      </c>
      <c r="N1" s="217" t="s">
        <v>160</v>
      </c>
      <c r="O1" s="217" t="s">
        <v>334</v>
      </c>
      <c r="P1" s="217" t="s">
        <v>154</v>
      </c>
      <c r="Q1" s="217" t="s">
        <v>161</v>
      </c>
      <c r="R1" s="217" t="s">
        <v>335</v>
      </c>
      <c r="S1" s="217" t="s">
        <v>158</v>
      </c>
      <c r="T1"/>
    </row>
    <row r="2" spans="1:20" x14ac:dyDescent="0.3">
      <c r="A2" s="195">
        <v>33.979999999999997</v>
      </c>
      <c r="B2" s="195">
        <v>0.03</v>
      </c>
      <c r="C2" s="195">
        <v>30.06</v>
      </c>
      <c r="D2" s="8">
        <v>43061</v>
      </c>
      <c r="E2" s="195">
        <v>0.85</v>
      </c>
      <c r="F2" s="195" t="s">
        <v>477</v>
      </c>
      <c r="G2" s="195">
        <v>250.31</v>
      </c>
      <c r="H2" s="195">
        <v>0</v>
      </c>
      <c r="I2" s="195">
        <v>0</v>
      </c>
      <c r="J2" s="195"/>
      <c r="K2" s="195">
        <v>1025.33</v>
      </c>
      <c r="L2" s="195" t="s">
        <v>476</v>
      </c>
      <c r="M2" s="195">
        <v>33.979999999999997</v>
      </c>
      <c r="N2" s="195">
        <v>1511334000</v>
      </c>
      <c r="O2" s="195">
        <v>0</v>
      </c>
      <c r="P2" s="195">
        <v>3.52</v>
      </c>
      <c r="Q2" s="195">
        <v>183</v>
      </c>
      <c r="R2" s="195">
        <v>2.5499999999999998</v>
      </c>
      <c r="S2" s="195">
        <v>0.77</v>
      </c>
      <c r="T2"/>
    </row>
    <row r="3" spans="1:20" x14ac:dyDescent="0.3">
      <c r="A3" s="195">
        <v>35.19</v>
      </c>
      <c r="B3" s="195">
        <v>0.05</v>
      </c>
      <c r="C3" s="195">
        <v>30.88</v>
      </c>
      <c r="D3" s="8">
        <v>43061.041666666664</v>
      </c>
      <c r="E3" s="195">
        <v>0.84</v>
      </c>
      <c r="F3" s="195" t="s">
        <v>477</v>
      </c>
      <c r="G3" s="195">
        <v>249.78</v>
      </c>
      <c r="H3" s="195">
        <v>0</v>
      </c>
      <c r="I3" s="195">
        <v>0</v>
      </c>
      <c r="J3" s="195"/>
      <c r="K3" s="195">
        <v>1024.3499999999999</v>
      </c>
      <c r="L3" s="195" t="s">
        <v>476</v>
      </c>
      <c r="M3" s="195">
        <v>35.19</v>
      </c>
      <c r="N3" s="195">
        <v>1511337600</v>
      </c>
      <c r="O3" s="195">
        <v>0</v>
      </c>
      <c r="P3" s="195">
        <v>3.52</v>
      </c>
      <c r="Q3" s="195">
        <v>165</v>
      </c>
      <c r="R3" s="195">
        <v>2.1800000000000002</v>
      </c>
      <c r="S3" s="195">
        <v>0.46</v>
      </c>
      <c r="T3"/>
    </row>
    <row r="4" spans="1:20" x14ac:dyDescent="0.3">
      <c r="A4" s="195">
        <v>35.08</v>
      </c>
      <c r="B4" s="195">
        <v>0.05</v>
      </c>
      <c r="C4" s="195">
        <v>30.37</v>
      </c>
      <c r="D4" s="8">
        <v>43061.083333333336</v>
      </c>
      <c r="E4" s="195">
        <v>0.83</v>
      </c>
      <c r="F4" s="195" t="s">
        <v>477</v>
      </c>
      <c r="G4" s="195">
        <v>248.84</v>
      </c>
      <c r="H4" s="195">
        <v>0</v>
      </c>
      <c r="I4" s="195">
        <v>0</v>
      </c>
      <c r="J4" s="195"/>
      <c r="K4" s="195">
        <v>1023.9</v>
      </c>
      <c r="L4" s="195" t="s">
        <v>476</v>
      </c>
      <c r="M4" s="195">
        <v>35.08</v>
      </c>
      <c r="N4" s="195">
        <v>1511341200</v>
      </c>
      <c r="O4" s="195">
        <v>0</v>
      </c>
      <c r="P4" s="195">
        <v>3.52</v>
      </c>
      <c r="Q4" s="195">
        <v>193</v>
      </c>
      <c r="R4" s="195">
        <v>2.62</v>
      </c>
      <c r="S4" s="195">
        <v>0.7</v>
      </c>
      <c r="T4"/>
    </row>
    <row r="5" spans="1:20" x14ac:dyDescent="0.3">
      <c r="A5" s="195">
        <v>34.65</v>
      </c>
      <c r="B5" s="195">
        <v>0.09</v>
      </c>
      <c r="C5" s="195">
        <v>30.06</v>
      </c>
      <c r="D5" s="8">
        <v>43061.125</v>
      </c>
      <c r="E5" s="195">
        <v>0.83</v>
      </c>
      <c r="F5" s="195" t="s">
        <v>477</v>
      </c>
      <c r="G5" s="195">
        <v>247.36</v>
      </c>
      <c r="H5" s="195">
        <v>0</v>
      </c>
      <c r="I5" s="195">
        <v>0</v>
      </c>
      <c r="J5" s="195"/>
      <c r="K5" s="195">
        <v>1024.4000000000001</v>
      </c>
      <c r="L5" s="195" t="s">
        <v>476</v>
      </c>
      <c r="M5" s="195">
        <v>34.65</v>
      </c>
      <c r="N5" s="195">
        <v>1511344800</v>
      </c>
      <c r="O5" s="195">
        <v>0</v>
      </c>
      <c r="P5" s="195">
        <v>3.52</v>
      </c>
      <c r="Q5" s="195">
        <v>179</v>
      </c>
      <c r="R5" s="195">
        <v>2.56</v>
      </c>
      <c r="S5" s="195">
        <v>0.63</v>
      </c>
      <c r="T5"/>
    </row>
    <row r="6" spans="1:20" x14ac:dyDescent="0.3">
      <c r="A6" s="195">
        <v>34.85</v>
      </c>
      <c r="B6" s="195">
        <v>0.04</v>
      </c>
      <c r="C6" s="195">
        <v>30.03</v>
      </c>
      <c r="D6" s="8">
        <v>43061.166666666664</v>
      </c>
      <c r="E6" s="195">
        <v>0.82</v>
      </c>
      <c r="F6" s="195" t="s">
        <v>477</v>
      </c>
      <c r="G6" s="195">
        <v>245.6</v>
      </c>
      <c r="H6" s="195">
        <v>0</v>
      </c>
      <c r="I6" s="195">
        <v>0</v>
      </c>
      <c r="J6" s="195"/>
      <c r="K6" s="195">
        <v>1023.77</v>
      </c>
      <c r="L6" s="195" t="s">
        <v>476</v>
      </c>
      <c r="M6" s="195">
        <v>34.85</v>
      </c>
      <c r="N6" s="195">
        <v>1511348400</v>
      </c>
      <c r="O6" s="195">
        <v>0</v>
      </c>
      <c r="P6" s="195">
        <v>3.52</v>
      </c>
      <c r="Q6" s="195">
        <v>249</v>
      </c>
      <c r="R6" s="195">
        <v>2.42</v>
      </c>
      <c r="S6" s="195">
        <v>0.23</v>
      </c>
      <c r="T6"/>
    </row>
    <row r="7" spans="1:20" x14ac:dyDescent="0.3">
      <c r="A7" s="195">
        <v>34.92</v>
      </c>
      <c r="B7" s="195">
        <v>0.08</v>
      </c>
      <c r="C7" s="195">
        <v>30.07</v>
      </c>
      <c r="D7" s="8">
        <v>43061.208333333336</v>
      </c>
      <c r="E7" s="195">
        <v>0.82</v>
      </c>
      <c r="F7" s="195" t="s">
        <v>477</v>
      </c>
      <c r="G7" s="195">
        <v>245.19</v>
      </c>
      <c r="H7" s="195">
        <v>1E-4</v>
      </c>
      <c r="I7" s="195">
        <v>0.01</v>
      </c>
      <c r="J7" s="195" t="s">
        <v>450</v>
      </c>
      <c r="K7" s="195">
        <v>1024.05</v>
      </c>
      <c r="L7" s="195" t="s">
        <v>476</v>
      </c>
      <c r="M7" s="195">
        <v>34.92</v>
      </c>
      <c r="N7" s="195">
        <v>1511352000</v>
      </c>
      <c r="O7" s="195">
        <v>0</v>
      </c>
      <c r="P7" s="195">
        <v>3.23</v>
      </c>
      <c r="Q7" s="195">
        <v>179</v>
      </c>
      <c r="R7" s="195">
        <v>2.5</v>
      </c>
      <c r="S7" s="195">
        <v>0.62</v>
      </c>
      <c r="T7"/>
    </row>
    <row r="8" spans="1:20" x14ac:dyDescent="0.3">
      <c r="A8" s="195">
        <v>35.840000000000003</v>
      </c>
      <c r="B8" s="195">
        <v>0.15</v>
      </c>
      <c r="C8" s="195">
        <v>29.85</v>
      </c>
      <c r="D8" s="8">
        <v>43061.25</v>
      </c>
      <c r="E8" s="195">
        <v>0.79</v>
      </c>
      <c r="F8" s="195" t="s">
        <v>477</v>
      </c>
      <c r="G8" s="195">
        <v>244.38</v>
      </c>
      <c r="H8" s="195">
        <v>0</v>
      </c>
      <c r="I8" s="195">
        <v>0</v>
      </c>
      <c r="J8" s="195"/>
      <c r="K8" s="195">
        <v>1023.87</v>
      </c>
      <c r="L8" s="195" t="s">
        <v>476</v>
      </c>
      <c r="M8" s="195">
        <v>35.840000000000003</v>
      </c>
      <c r="N8" s="195">
        <v>1511355600</v>
      </c>
      <c r="O8" s="195">
        <v>0</v>
      </c>
      <c r="P8" s="195">
        <v>3.32</v>
      </c>
      <c r="Q8" s="195">
        <v>175</v>
      </c>
      <c r="R8" s="195">
        <v>4.3600000000000003</v>
      </c>
      <c r="S8" s="195">
        <v>1.21</v>
      </c>
      <c r="T8"/>
    </row>
    <row r="9" spans="1:20" x14ac:dyDescent="0.3">
      <c r="A9" s="195">
        <v>37.65</v>
      </c>
      <c r="B9" s="195">
        <v>0.18</v>
      </c>
      <c r="C9" s="195">
        <v>29.27</v>
      </c>
      <c r="D9" s="8">
        <v>43061.291666666664</v>
      </c>
      <c r="E9" s="195">
        <v>0.71</v>
      </c>
      <c r="F9" s="195" t="s">
        <v>885</v>
      </c>
      <c r="G9" s="195">
        <v>243.83</v>
      </c>
      <c r="H9" s="195">
        <v>0</v>
      </c>
      <c r="I9" s="195">
        <v>0</v>
      </c>
      <c r="J9" s="195"/>
      <c r="K9" s="195">
        <v>1024.32</v>
      </c>
      <c r="L9" s="195" t="s">
        <v>476</v>
      </c>
      <c r="M9" s="195">
        <v>37.65</v>
      </c>
      <c r="N9" s="195">
        <v>1511359200</v>
      </c>
      <c r="O9" s="195">
        <v>0</v>
      </c>
      <c r="P9" s="195">
        <v>3</v>
      </c>
      <c r="Q9" s="195">
        <v>164</v>
      </c>
      <c r="R9" s="195">
        <v>5.31</v>
      </c>
      <c r="S9" s="195">
        <v>1.51</v>
      </c>
      <c r="T9"/>
    </row>
    <row r="10" spans="1:20" x14ac:dyDescent="0.3">
      <c r="A10" s="195">
        <v>39.61</v>
      </c>
      <c r="B10" s="195">
        <v>0.14000000000000001</v>
      </c>
      <c r="C10" s="195">
        <v>29.78</v>
      </c>
      <c r="D10" s="8">
        <v>43061.333333333336</v>
      </c>
      <c r="E10" s="195">
        <v>0.68</v>
      </c>
      <c r="F10" s="195" t="s">
        <v>885</v>
      </c>
      <c r="G10" s="195">
        <v>243.42</v>
      </c>
      <c r="H10" s="195">
        <v>0</v>
      </c>
      <c r="I10" s="195">
        <v>0</v>
      </c>
      <c r="J10" s="195"/>
      <c r="K10" s="195">
        <v>1024.1600000000001</v>
      </c>
      <c r="L10" s="195" t="s">
        <v>476</v>
      </c>
      <c r="M10" s="195">
        <v>39.61</v>
      </c>
      <c r="N10" s="195">
        <v>1511362800</v>
      </c>
      <c r="O10" s="195">
        <v>1</v>
      </c>
      <c r="P10" s="195">
        <v>2.8</v>
      </c>
      <c r="Q10" s="195">
        <v>178</v>
      </c>
      <c r="R10" s="195">
        <v>4.62</v>
      </c>
      <c r="S10" s="195">
        <v>1.26</v>
      </c>
      <c r="T10"/>
    </row>
    <row r="11" spans="1:20" x14ac:dyDescent="0.3">
      <c r="A11" s="195">
        <v>45.01</v>
      </c>
      <c r="B11" s="195">
        <v>0.19</v>
      </c>
      <c r="C11" s="195">
        <v>32.24</v>
      </c>
      <c r="D11" s="8">
        <v>43061.375</v>
      </c>
      <c r="E11" s="195">
        <v>0.61</v>
      </c>
      <c r="F11" s="195" t="s">
        <v>885</v>
      </c>
      <c r="G11" s="195">
        <v>243.14</v>
      </c>
      <c r="H11" s="195">
        <v>0</v>
      </c>
      <c r="I11" s="195">
        <v>0</v>
      </c>
      <c r="J11" s="195"/>
      <c r="K11" s="195">
        <v>1023.67</v>
      </c>
      <c r="L11" s="195" t="s">
        <v>476</v>
      </c>
      <c r="M11" s="195">
        <v>45.01</v>
      </c>
      <c r="N11" s="195">
        <v>1511366400</v>
      </c>
      <c r="O11" s="195">
        <v>1</v>
      </c>
      <c r="P11" s="195">
        <v>4.53</v>
      </c>
      <c r="Q11" s="195">
        <v>191</v>
      </c>
      <c r="R11" s="195">
        <v>4.3</v>
      </c>
      <c r="S11" s="195">
        <v>1.42</v>
      </c>
      <c r="T11"/>
    </row>
    <row r="12" spans="1:20" x14ac:dyDescent="0.3">
      <c r="A12" s="195">
        <v>52.86</v>
      </c>
      <c r="B12" s="195">
        <v>0.06</v>
      </c>
      <c r="C12" s="195">
        <v>33.99</v>
      </c>
      <c r="D12" s="8">
        <v>43061.416666666664</v>
      </c>
      <c r="E12" s="195">
        <v>0.49</v>
      </c>
      <c r="F12" s="195" t="s">
        <v>885</v>
      </c>
      <c r="G12" s="195">
        <v>242.86</v>
      </c>
      <c r="H12" s="195">
        <v>0</v>
      </c>
      <c r="I12" s="195">
        <v>0</v>
      </c>
      <c r="J12" s="195"/>
      <c r="K12" s="195">
        <v>1022.7</v>
      </c>
      <c r="L12" s="195" t="s">
        <v>476</v>
      </c>
      <c r="M12" s="195">
        <v>52.86</v>
      </c>
      <c r="N12" s="195">
        <v>1511370000</v>
      </c>
      <c r="O12" s="195">
        <v>2</v>
      </c>
      <c r="P12" s="195">
        <v>3.33</v>
      </c>
      <c r="Q12" s="195">
        <v>171</v>
      </c>
      <c r="R12" s="195">
        <v>4.5</v>
      </c>
      <c r="S12" s="195">
        <v>1.1299999999999999</v>
      </c>
      <c r="T12"/>
    </row>
    <row r="13" spans="1:20" x14ac:dyDescent="0.3">
      <c r="A13" s="195">
        <v>60.5</v>
      </c>
      <c r="B13" s="195">
        <v>0.12</v>
      </c>
      <c r="C13" s="195">
        <v>34.99</v>
      </c>
      <c r="D13" s="8">
        <v>43061.458333333336</v>
      </c>
      <c r="E13" s="195">
        <v>0.38</v>
      </c>
      <c r="F13" s="195" t="s">
        <v>885</v>
      </c>
      <c r="G13" s="195">
        <v>241.62</v>
      </c>
      <c r="H13" s="195">
        <v>2.0000000000000001E-4</v>
      </c>
      <c r="I13" s="195">
        <v>0.01</v>
      </c>
      <c r="J13" s="195" t="s">
        <v>450</v>
      </c>
      <c r="K13" s="195">
        <v>1021.45</v>
      </c>
      <c r="L13" s="195" t="s">
        <v>476</v>
      </c>
      <c r="M13" s="195">
        <v>60.5</v>
      </c>
      <c r="N13" s="195">
        <v>1511373600</v>
      </c>
      <c r="O13" s="195">
        <v>3</v>
      </c>
      <c r="P13" s="195">
        <v>4.97</v>
      </c>
      <c r="Q13" s="195">
        <v>161</v>
      </c>
      <c r="R13" s="195">
        <v>5.39</v>
      </c>
      <c r="S13" s="195">
        <v>0.96</v>
      </c>
      <c r="T13"/>
    </row>
    <row r="14" spans="1:20" x14ac:dyDescent="0.3">
      <c r="A14" s="195">
        <v>65.61</v>
      </c>
      <c r="B14" s="195">
        <v>0.14000000000000001</v>
      </c>
      <c r="C14" s="195">
        <v>35.090000000000003</v>
      </c>
      <c r="D14" s="8">
        <v>43061.5</v>
      </c>
      <c r="E14" s="195">
        <v>0.32</v>
      </c>
      <c r="F14" s="195" t="s">
        <v>885</v>
      </c>
      <c r="G14" s="195">
        <v>241.48</v>
      </c>
      <c r="H14" s="195">
        <v>1E-4</v>
      </c>
      <c r="I14" s="195">
        <v>0.01</v>
      </c>
      <c r="J14" s="195" t="s">
        <v>450</v>
      </c>
      <c r="K14" s="195">
        <v>1020.44</v>
      </c>
      <c r="L14" s="195" t="s">
        <v>476</v>
      </c>
      <c r="M14" s="195">
        <v>65.61</v>
      </c>
      <c r="N14" s="195">
        <v>1511377200</v>
      </c>
      <c r="O14" s="195">
        <v>3</v>
      </c>
      <c r="P14" s="195">
        <v>4.87</v>
      </c>
      <c r="Q14" s="195">
        <v>258</v>
      </c>
      <c r="R14" s="195">
        <v>6.54</v>
      </c>
      <c r="S14" s="195">
        <v>0.53</v>
      </c>
      <c r="T14"/>
    </row>
    <row r="15" spans="1:20" x14ac:dyDescent="0.3">
      <c r="A15" s="195">
        <v>68.45</v>
      </c>
      <c r="B15" s="195">
        <v>0.08</v>
      </c>
      <c r="C15" s="195">
        <v>35.369999999999997</v>
      </c>
      <c r="D15" s="8">
        <v>43061.541666666664</v>
      </c>
      <c r="E15" s="195">
        <v>0.28999999999999998</v>
      </c>
      <c r="F15" s="195" t="s">
        <v>885</v>
      </c>
      <c r="G15" s="195">
        <v>241.34</v>
      </c>
      <c r="H15" s="195">
        <v>0</v>
      </c>
      <c r="I15" s="195">
        <v>0</v>
      </c>
      <c r="J15" s="195"/>
      <c r="K15" s="195">
        <v>1019.64</v>
      </c>
      <c r="L15" s="195" t="s">
        <v>476</v>
      </c>
      <c r="M15" s="195">
        <v>68.45</v>
      </c>
      <c r="N15" s="195">
        <v>1511380800</v>
      </c>
      <c r="O15" s="195">
        <v>2</v>
      </c>
      <c r="P15" s="195">
        <v>4.79</v>
      </c>
      <c r="Q15" s="195">
        <v>287</v>
      </c>
      <c r="R15" s="195">
        <v>8.52</v>
      </c>
      <c r="S15" s="195">
        <v>1.45</v>
      </c>
      <c r="T15"/>
    </row>
    <row r="16" spans="1:20" x14ac:dyDescent="0.3">
      <c r="A16" s="195">
        <v>68.16</v>
      </c>
      <c r="B16" s="195">
        <v>7.0000000000000007E-2</v>
      </c>
      <c r="C16" s="195">
        <v>35.130000000000003</v>
      </c>
      <c r="D16" s="8">
        <v>43061.583333333336</v>
      </c>
      <c r="E16" s="195">
        <v>0.3</v>
      </c>
      <c r="F16" s="195" t="s">
        <v>885</v>
      </c>
      <c r="G16" s="195">
        <v>241.2</v>
      </c>
      <c r="H16" s="195">
        <v>0</v>
      </c>
      <c r="I16" s="195">
        <v>0</v>
      </c>
      <c r="J16" s="195"/>
      <c r="K16" s="195">
        <v>1019.24</v>
      </c>
      <c r="L16" s="195" t="s">
        <v>476</v>
      </c>
      <c r="M16" s="195">
        <v>68.16</v>
      </c>
      <c r="N16" s="195">
        <v>1511384400</v>
      </c>
      <c r="O16" s="195">
        <v>2</v>
      </c>
      <c r="P16" s="195">
        <v>4.79</v>
      </c>
      <c r="Q16" s="195">
        <v>288</v>
      </c>
      <c r="R16" s="195">
        <v>13.67</v>
      </c>
      <c r="S16" s="195">
        <v>5.28</v>
      </c>
      <c r="T16"/>
    </row>
    <row r="17" spans="1:20" x14ac:dyDescent="0.3">
      <c r="A17" s="195">
        <v>65.87</v>
      </c>
      <c r="B17" s="195">
        <v>0.08</v>
      </c>
      <c r="C17" s="195">
        <v>35.770000000000003</v>
      </c>
      <c r="D17" s="8">
        <v>43061.625</v>
      </c>
      <c r="E17" s="195">
        <v>0.33</v>
      </c>
      <c r="F17" s="195" t="s">
        <v>885</v>
      </c>
      <c r="G17" s="195">
        <v>240.65</v>
      </c>
      <c r="H17" s="195">
        <v>0</v>
      </c>
      <c r="I17" s="195">
        <v>0</v>
      </c>
      <c r="J17" s="195"/>
      <c r="K17" s="195">
        <v>1019.9</v>
      </c>
      <c r="L17" s="195" t="s">
        <v>476</v>
      </c>
      <c r="M17" s="195">
        <v>65.87</v>
      </c>
      <c r="N17" s="195">
        <v>1511388000</v>
      </c>
      <c r="O17" s="195">
        <v>1</v>
      </c>
      <c r="P17" s="195">
        <v>4.79</v>
      </c>
      <c r="Q17" s="195">
        <v>285</v>
      </c>
      <c r="R17" s="195">
        <v>16.5</v>
      </c>
      <c r="S17" s="195">
        <v>6.81</v>
      </c>
      <c r="T17"/>
    </row>
    <row r="18" spans="1:20" x14ac:dyDescent="0.3">
      <c r="A18" s="195">
        <v>62.61</v>
      </c>
      <c r="B18" s="195">
        <v>0.11</v>
      </c>
      <c r="C18" s="195">
        <v>36.130000000000003</v>
      </c>
      <c r="D18" s="8">
        <v>43061.666666666664</v>
      </c>
      <c r="E18" s="195">
        <v>0.37</v>
      </c>
      <c r="F18" s="195" t="s">
        <v>885</v>
      </c>
      <c r="G18" s="195">
        <v>239.82</v>
      </c>
      <c r="H18" s="195">
        <v>2.0000000000000001E-4</v>
      </c>
      <c r="I18" s="195">
        <v>0.01</v>
      </c>
      <c r="J18" s="195" t="s">
        <v>450</v>
      </c>
      <c r="K18" s="195">
        <v>1020.68</v>
      </c>
      <c r="L18" s="195" t="s">
        <v>476</v>
      </c>
      <c r="M18" s="195">
        <v>62.61</v>
      </c>
      <c r="N18" s="195">
        <v>1511391600</v>
      </c>
      <c r="O18" s="195">
        <v>1</v>
      </c>
      <c r="P18" s="195">
        <v>4.79</v>
      </c>
      <c r="Q18" s="195">
        <v>282</v>
      </c>
      <c r="R18" s="195">
        <v>14.14</v>
      </c>
      <c r="S18" s="195">
        <v>6.17</v>
      </c>
      <c r="T18"/>
    </row>
    <row r="19" spans="1:20" x14ac:dyDescent="0.3">
      <c r="A19" s="195">
        <v>60.12</v>
      </c>
      <c r="B19" s="195">
        <v>0.08</v>
      </c>
      <c r="C19" s="195">
        <v>35.82</v>
      </c>
      <c r="D19" s="8">
        <v>43061.708333333336</v>
      </c>
      <c r="E19" s="195">
        <v>0.4</v>
      </c>
      <c r="F19" s="195" t="s">
        <v>477</v>
      </c>
      <c r="G19" s="195">
        <v>239.82</v>
      </c>
      <c r="H19" s="195">
        <v>1E-4</v>
      </c>
      <c r="I19" s="195">
        <v>0.01</v>
      </c>
      <c r="J19" s="195" t="s">
        <v>450</v>
      </c>
      <c r="K19" s="195">
        <v>1021.7</v>
      </c>
      <c r="L19" s="195" t="s">
        <v>476</v>
      </c>
      <c r="M19" s="195">
        <v>60.12</v>
      </c>
      <c r="N19" s="195">
        <v>1511395200</v>
      </c>
      <c r="O19" s="195">
        <v>0</v>
      </c>
      <c r="P19" s="195">
        <v>4.5199999999999996</v>
      </c>
      <c r="Q19" s="195">
        <v>288</v>
      </c>
      <c r="R19" s="195">
        <v>10.210000000000001</v>
      </c>
      <c r="S19" s="195">
        <v>3.95</v>
      </c>
      <c r="T19"/>
    </row>
    <row r="20" spans="1:20" x14ac:dyDescent="0.3">
      <c r="A20" s="195">
        <v>58.8</v>
      </c>
      <c r="B20" s="195">
        <v>0.11</v>
      </c>
      <c r="C20" s="195">
        <v>35.630000000000003</v>
      </c>
      <c r="D20" s="8">
        <v>43061.75</v>
      </c>
      <c r="E20" s="195">
        <v>0.42</v>
      </c>
      <c r="F20" s="195" t="s">
        <v>477</v>
      </c>
      <c r="G20" s="195">
        <v>238.84</v>
      </c>
      <c r="H20" s="195">
        <v>0</v>
      </c>
      <c r="I20" s="195">
        <v>0</v>
      </c>
      <c r="J20" s="195"/>
      <c r="K20" s="195">
        <v>1022.54</v>
      </c>
      <c r="L20" s="195" t="s">
        <v>476</v>
      </c>
      <c r="M20" s="195">
        <v>58.8</v>
      </c>
      <c r="N20" s="195">
        <v>1511398800</v>
      </c>
      <c r="O20" s="195">
        <v>0</v>
      </c>
      <c r="P20" s="195">
        <v>4.79</v>
      </c>
      <c r="Q20" s="195">
        <v>290</v>
      </c>
      <c r="R20" s="195">
        <v>9.8800000000000008</v>
      </c>
      <c r="S20" s="195">
        <v>3.74</v>
      </c>
      <c r="T20"/>
    </row>
    <row r="21" spans="1:20" x14ac:dyDescent="0.3">
      <c r="A21" s="195">
        <v>57.24</v>
      </c>
      <c r="B21" s="195">
        <v>0.23</v>
      </c>
      <c r="C21" s="195">
        <v>35.43</v>
      </c>
      <c r="D21" s="8">
        <v>43061.791666666664</v>
      </c>
      <c r="E21" s="195">
        <v>0.44</v>
      </c>
      <c r="F21" s="195" t="s">
        <v>477</v>
      </c>
      <c r="G21" s="195">
        <v>237.85</v>
      </c>
      <c r="H21" s="195">
        <v>0</v>
      </c>
      <c r="I21" s="195">
        <v>0</v>
      </c>
      <c r="J21" s="195"/>
      <c r="K21" s="195">
        <v>1022.85</v>
      </c>
      <c r="L21" s="195" t="s">
        <v>476</v>
      </c>
      <c r="M21" s="195">
        <v>57.24</v>
      </c>
      <c r="N21" s="195">
        <v>1511402400</v>
      </c>
      <c r="O21" s="195">
        <v>0</v>
      </c>
      <c r="P21" s="195">
        <v>4.79</v>
      </c>
      <c r="Q21" s="195">
        <v>283</v>
      </c>
      <c r="R21" s="195">
        <v>5.38</v>
      </c>
      <c r="S21" s="195">
        <v>1.99</v>
      </c>
      <c r="T21"/>
    </row>
    <row r="22" spans="1:20" x14ac:dyDescent="0.3">
      <c r="A22" s="195">
        <v>55.08</v>
      </c>
      <c r="B22" s="195">
        <v>0.18</v>
      </c>
      <c r="C22" s="195">
        <v>35.71</v>
      </c>
      <c r="D22" s="8">
        <v>43061.833333333336</v>
      </c>
      <c r="E22" s="195">
        <v>0.48</v>
      </c>
      <c r="F22" s="195" t="s">
        <v>477</v>
      </c>
      <c r="G22" s="195">
        <v>236.58</v>
      </c>
      <c r="H22" s="195">
        <v>0</v>
      </c>
      <c r="I22" s="195">
        <v>0</v>
      </c>
      <c r="J22" s="195"/>
      <c r="K22" s="195">
        <v>1022.58</v>
      </c>
      <c r="L22" s="195" t="s">
        <v>476</v>
      </c>
      <c r="M22" s="195">
        <v>55.08</v>
      </c>
      <c r="N22" s="195">
        <v>1511406000</v>
      </c>
      <c r="O22" s="195">
        <v>0</v>
      </c>
      <c r="P22" s="195">
        <v>4.24</v>
      </c>
      <c r="Q22" s="195">
        <v>228</v>
      </c>
      <c r="R22" s="195">
        <v>4.95</v>
      </c>
      <c r="S22" s="195">
        <v>0.73</v>
      </c>
      <c r="T22"/>
    </row>
    <row r="23" spans="1:20" x14ac:dyDescent="0.3">
      <c r="A23" s="195">
        <v>52.4</v>
      </c>
      <c r="B23" s="195">
        <v>0.15</v>
      </c>
      <c r="C23" s="195">
        <v>35.090000000000003</v>
      </c>
      <c r="D23" s="8">
        <v>43061.875</v>
      </c>
      <c r="E23" s="195">
        <v>0.52</v>
      </c>
      <c r="F23" s="195" t="s">
        <v>477</v>
      </c>
      <c r="G23" s="195">
        <v>235.44</v>
      </c>
      <c r="H23" s="195">
        <v>0</v>
      </c>
      <c r="I23" s="195">
        <v>0</v>
      </c>
      <c r="J23" s="195"/>
      <c r="K23" s="195">
        <v>1022.22</v>
      </c>
      <c r="L23" s="195" t="s">
        <v>476</v>
      </c>
      <c r="M23" s="195">
        <v>52.4</v>
      </c>
      <c r="N23" s="195">
        <v>1511409600</v>
      </c>
      <c r="O23" s="195">
        <v>0</v>
      </c>
      <c r="P23" s="195">
        <v>4.2</v>
      </c>
      <c r="Q23" s="195">
        <v>175</v>
      </c>
      <c r="R23" s="195">
        <v>3.75</v>
      </c>
      <c r="S23" s="195">
        <v>0.66</v>
      </c>
      <c r="T23"/>
    </row>
    <row r="24" spans="1:20" x14ac:dyDescent="0.3">
      <c r="A24" s="195">
        <v>49.28</v>
      </c>
      <c r="B24" s="195">
        <v>0.1</v>
      </c>
      <c r="C24" s="195">
        <v>34.78</v>
      </c>
      <c r="D24" s="8">
        <v>43061.916666666664</v>
      </c>
      <c r="E24" s="195">
        <v>0.56999999999999995</v>
      </c>
      <c r="F24" s="195" t="s">
        <v>477</v>
      </c>
      <c r="G24" s="195">
        <v>234.16</v>
      </c>
      <c r="H24" s="195">
        <v>0</v>
      </c>
      <c r="I24" s="195">
        <v>0</v>
      </c>
      <c r="J24" s="195"/>
      <c r="K24" s="195">
        <v>1021.88</v>
      </c>
      <c r="L24" s="195" t="s">
        <v>476</v>
      </c>
      <c r="M24" s="195">
        <v>49.28</v>
      </c>
      <c r="N24" s="195">
        <v>1511413200</v>
      </c>
      <c r="O24" s="195">
        <v>0</v>
      </c>
      <c r="P24" s="195">
        <v>2.35</v>
      </c>
      <c r="Q24" s="195">
        <v>213</v>
      </c>
      <c r="R24" s="195">
        <v>3.56</v>
      </c>
      <c r="S24" s="195">
        <v>0.53</v>
      </c>
      <c r="T24"/>
    </row>
    <row r="25" spans="1:20" x14ac:dyDescent="0.3">
      <c r="A25" s="195">
        <v>47.36</v>
      </c>
      <c r="B25" s="195">
        <v>0.03</v>
      </c>
      <c r="C25" s="195">
        <v>34.46</v>
      </c>
      <c r="D25" s="8">
        <v>43061.958333333336</v>
      </c>
      <c r="E25" s="195">
        <v>0.61</v>
      </c>
      <c r="F25" s="195" t="s">
        <v>477</v>
      </c>
      <c r="G25" s="195">
        <v>233.01</v>
      </c>
      <c r="H25" s="195">
        <v>0</v>
      </c>
      <c r="I25" s="195">
        <v>0</v>
      </c>
      <c r="J25" s="195"/>
      <c r="K25" s="195">
        <v>1021.71</v>
      </c>
      <c r="L25" s="195" t="s">
        <v>476</v>
      </c>
      <c r="M25" s="195">
        <v>47.36</v>
      </c>
      <c r="N25" s="195">
        <v>1511416800</v>
      </c>
      <c r="O25" s="195">
        <v>0</v>
      </c>
      <c r="P25" s="195">
        <v>2.92</v>
      </c>
      <c r="Q25" s="195">
        <v>190</v>
      </c>
      <c r="R25" s="195">
        <v>3.08</v>
      </c>
      <c r="S25" s="195">
        <v>1</v>
      </c>
      <c r="T25"/>
    </row>
    <row r="26" spans="1:20" x14ac:dyDescent="0.3">
      <c r="A26" s="195">
        <v>45.49</v>
      </c>
      <c r="B26" s="195">
        <v>0.02</v>
      </c>
      <c r="C26" s="195">
        <v>33.99</v>
      </c>
      <c r="D26" s="8">
        <v>43062</v>
      </c>
      <c r="E26" s="195">
        <v>0.64</v>
      </c>
      <c r="F26" s="195" t="s">
        <v>477</v>
      </c>
      <c r="G26" s="195">
        <v>232.14</v>
      </c>
      <c r="H26" s="195">
        <v>0</v>
      </c>
      <c r="I26" s="195">
        <v>0</v>
      </c>
      <c r="J26" s="195"/>
      <c r="K26" s="195">
        <v>1021.15</v>
      </c>
      <c r="L26" s="195" t="s">
        <v>476</v>
      </c>
      <c r="M26" s="195">
        <v>45.49</v>
      </c>
      <c r="N26" s="195">
        <v>1511420400</v>
      </c>
      <c r="O26" s="195">
        <v>0</v>
      </c>
      <c r="P26" s="195">
        <v>3.33</v>
      </c>
      <c r="Q26" s="195">
        <v>169</v>
      </c>
      <c r="R26" s="195">
        <v>3.5</v>
      </c>
      <c r="S26" s="195">
        <v>1.04</v>
      </c>
      <c r="T26"/>
    </row>
    <row r="27" spans="1:20" x14ac:dyDescent="0.3">
      <c r="A27" s="195">
        <v>44.82</v>
      </c>
      <c r="B27" s="195">
        <v>0.03</v>
      </c>
      <c r="C27" s="195">
        <v>33.520000000000003</v>
      </c>
      <c r="D27" s="8">
        <v>43062.041666666664</v>
      </c>
      <c r="E27" s="195">
        <v>0.64</v>
      </c>
      <c r="F27" s="195" t="s">
        <v>477</v>
      </c>
      <c r="G27" s="195">
        <v>231.13</v>
      </c>
      <c r="H27" s="195">
        <v>0</v>
      </c>
      <c r="I27" s="195">
        <v>0</v>
      </c>
      <c r="J27" s="195"/>
      <c r="K27" s="195">
        <v>1020.81</v>
      </c>
      <c r="L27" s="195" t="s">
        <v>476</v>
      </c>
      <c r="M27" s="195">
        <v>44.82</v>
      </c>
      <c r="N27" s="195">
        <v>1511424000</v>
      </c>
      <c r="O27" s="195">
        <v>0</v>
      </c>
      <c r="P27" s="195">
        <v>2.78</v>
      </c>
      <c r="Q27" s="195">
        <v>190</v>
      </c>
      <c r="R27" s="195">
        <v>3.58</v>
      </c>
      <c r="S27" s="195">
        <v>1.24</v>
      </c>
      <c r="T27"/>
    </row>
    <row r="28" spans="1:20" x14ac:dyDescent="0.3">
      <c r="A28" s="195">
        <v>44.19</v>
      </c>
      <c r="B28" s="195">
        <v>0.05</v>
      </c>
      <c r="C28" s="195">
        <v>33.08</v>
      </c>
      <c r="D28" s="8">
        <v>43062.083333333336</v>
      </c>
      <c r="E28" s="195">
        <v>0.65</v>
      </c>
      <c r="F28" s="195" t="s">
        <v>477</v>
      </c>
      <c r="G28" s="195">
        <v>230.11</v>
      </c>
      <c r="H28" s="195">
        <v>0</v>
      </c>
      <c r="I28" s="195">
        <v>0</v>
      </c>
      <c r="J28" s="195"/>
      <c r="K28" s="195">
        <v>1020.86</v>
      </c>
      <c r="L28" s="195" t="s">
        <v>476</v>
      </c>
      <c r="M28" s="195">
        <v>44.19</v>
      </c>
      <c r="N28" s="195">
        <v>1511427600</v>
      </c>
      <c r="O28" s="195">
        <v>0</v>
      </c>
      <c r="P28" s="195">
        <v>3.01</v>
      </c>
      <c r="Q28" s="195">
        <v>183</v>
      </c>
      <c r="R28" s="195">
        <v>3.74</v>
      </c>
      <c r="S28" s="195">
        <v>1.43</v>
      </c>
      <c r="T28"/>
    </row>
    <row r="29" spans="1:20" x14ac:dyDescent="0.3">
      <c r="A29" s="195">
        <v>44.03</v>
      </c>
      <c r="B29" s="195">
        <v>0.08</v>
      </c>
      <c r="C29" s="195">
        <v>32.9</v>
      </c>
      <c r="D29" s="8">
        <v>43062.125</v>
      </c>
      <c r="E29" s="195">
        <v>0.65</v>
      </c>
      <c r="F29" s="195" t="s">
        <v>477</v>
      </c>
      <c r="G29" s="195">
        <v>228.95</v>
      </c>
      <c r="H29" s="195">
        <v>0</v>
      </c>
      <c r="I29" s="195">
        <v>0</v>
      </c>
      <c r="J29" s="195"/>
      <c r="K29" s="195">
        <v>1021.56</v>
      </c>
      <c r="L29" s="195" t="s">
        <v>476</v>
      </c>
      <c r="M29" s="195">
        <v>44.03</v>
      </c>
      <c r="N29" s="195">
        <v>1511431200</v>
      </c>
      <c r="O29" s="195">
        <v>0</v>
      </c>
      <c r="P29" s="195">
        <v>4.8899999999999997</v>
      </c>
      <c r="Q29" s="195">
        <v>211</v>
      </c>
      <c r="R29" s="195">
        <v>4.57</v>
      </c>
      <c r="S29" s="195">
        <v>2.2000000000000002</v>
      </c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43061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1102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638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1103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1104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1105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1106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1107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1108</v>
      </c>
      <c r="J25" s="139" t="s">
        <v>144</v>
      </c>
      <c r="M25" s="153" t="b">
        <v>1</v>
      </c>
    </row>
    <row r="26" spans="3:24" x14ac:dyDescent="0.3">
      <c r="C26" t="s">
        <v>1109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%USERPROFILE%\Documents\GitHub\eaglep3-reporting\EC\2017-11-22-refined-times.txt</v>
      </c>
    </row>
    <row r="27" spans="3:24" x14ac:dyDescent="0.3">
      <c r="C27" t="s">
        <v>1110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%USERPROFILE%\Documents\GitHub\eaglep3-reporting\EC\2017-11-22-Enforcements.txt</v>
      </c>
    </row>
    <row r="28" spans="3:24" x14ac:dyDescent="0.3">
      <c r="C28" t="s">
        <v>1111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%USERPROFILE%\Documents\GitHub\eaglep3-reporting\EC\2017-11-22-Runs-refined.txt</v>
      </c>
    </row>
    <row r="29" spans="3:24" x14ac:dyDescent="0.3">
      <c r="C29" t="s">
        <v>1112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%USERPROFILE%\Documents\GitHub\eaglep3-reporting\EC\2017-11-22-Trips.txt</v>
      </c>
    </row>
    <row r="30" spans="3:24" x14ac:dyDescent="0.3">
      <c r="C30" t="s">
        <v>1113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%USERPROFILE%\Documents\GitHub\eaglep3-reporting\EC\2017-11-22-Weather.txt</v>
      </c>
    </row>
    <row r="31" spans="3:24" x14ac:dyDescent="0.3">
      <c r="C31" t="s">
        <v>1114</v>
      </c>
      <c r="J31" s="139" t="s">
        <v>188</v>
      </c>
      <c r="M31" s="153" t="s">
        <v>189</v>
      </c>
    </row>
    <row r="32" spans="3:24" x14ac:dyDescent="0.3">
      <c r="C32" t="s">
        <v>1115</v>
      </c>
    </row>
    <row r="33" spans="3:3" x14ac:dyDescent="0.3">
      <c r="C33" t="s">
        <v>1116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2017-11-27T16:03:07Z</dcterms:modified>
</cp:coreProperties>
</file>